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Screener" sheetId="1" state="visible" r:id="rId1"/>
    <sheet xmlns:r="http://schemas.openxmlformats.org/officeDocument/2006/relationships" name="Database" sheetId="2" state="visible" r:id="rId2"/>
    <sheet xmlns:r="http://schemas.openxmlformats.org/officeDocument/2006/relationships" name="Pipeline" sheetId="3" state="visible" r:id="rId3"/>
    <sheet xmlns:r="http://schemas.openxmlformats.org/officeDocument/2006/relationships" name="AH" sheetId="4" state="visible" r:id="rId4"/>
    <sheet xmlns:r="http://schemas.openxmlformats.org/officeDocument/2006/relationships" name="CS League" sheetId="5" state="visible" r:id="rId5"/>
    <sheet xmlns:r="http://schemas.openxmlformats.org/officeDocument/2006/relationships" name="SM League" sheetId="6" state="visible" r:id="rId6"/>
    <sheet xmlns:r="http://schemas.openxmlformats.org/officeDocument/2006/relationships" name="Verify (BBG)" sheetId="7" state="visible" r:id="rId7"/>
    <sheet xmlns:r="http://schemas.openxmlformats.org/officeDocument/2006/relationships" name="Analogs" sheetId="8" state="visible" r:id="rId8"/>
    <sheet xmlns:r="http://schemas.openxmlformats.org/officeDocument/2006/relationships" name="SizeBench" sheetId="9" state="visible" r:id="rId9"/>
    <sheet xmlns:r="http://schemas.openxmlformats.org/officeDocument/2006/relationships" name="BBG Verify" sheetId="10" state="visible" r:id="rId10"/>
    <sheet xmlns:r="http://schemas.openxmlformats.org/officeDocument/2006/relationships" name="Taxonomy" sheetId="11" state="visible" r:id="rId11"/>
    <sheet xmlns:r="http://schemas.openxmlformats.org/officeDocument/2006/relationships" name="Verification" sheetId="12" state="visible" r:id="rId12"/>
    <sheet xmlns:r="http://schemas.openxmlformats.org/officeDocument/2006/relationships" name="Calc (scoring engine)" sheetId="13" state="visible" r:id="rId13"/>
    <sheet xmlns:r="http://schemas.openxmlformats.org/officeDocument/2006/relationships" name="Notes" sheetId="14" state="visible" r:id="rId14"/>
  </sheets>
  <definedNames>
    <definedName name="AllDeals">'Calc (scoring engine)'!$AA$3:$AA$528</definedName>
    <definedName name="A_PX">Screener!$B$53</definedName>
    <definedName name="A_FX">Screener!$B$54</definedName>
    <definedName name="A_HKD">Screener!$B$55</definedName>
    <definedName name="H_TRM">Screener!$B$57</definedName>
    <definedName name="AnalogKey">Analogs!$G$13:$G$141</definedName>
    <definedName name="AnalogN">Analogs!$C$13:$C$141</definedName>
    <definedName name="AnalogMed">Analogs!$D$13:$D$141</definedName>
    <definedName name="AnalogHit">Analogs!$E$13:$E$141</definedName>
    <definedName name="SubsecKey">Analogs!$A$145:$A$184</definedName>
    <definedName name="SubsecN">Analogs!$B$145:$B$184</definedName>
    <definedName name="SubsecMed">Analogs!$C$145:$C$184</definedName>
    <definedName name="SubsecHit">Analogs!$D$145:$D$184</definedName>
    <definedName name="SubsecPE">Analogs!$E$145:$E$184</definedName>
    <definedName name="SubsecPS">Analogs!$F$145:$F$184</definedName>
    <definedName name="W_SUB">Notes!$B$27</definedName>
    <definedName name="W_SEC">Notes!$B$28</definedName>
    <definedName name="W_SIZE">Notes!$B$29</definedName>
    <definedName name="W_PROF">Notes!$B$30</definedName>
    <definedName name="W_AH">Notes!$B$31</definedName>
    <definedName name="W_REC">Notes!$B$32</definedName>
    <definedName name="W_CS">Notes!$B$33</definedName>
    <definedName name="W_PE">Notes!$B$34</definedName>
    <definedName name="W_PEHW">Notes!$B$35</definedName>
    <definedName name="W_SIZEHW">Notes!$B$36</definedName>
    <definedName name="W_RECD">Notes!$B$37</definedName>
    <definedName name="SubsectorList">Taxonomy!$E$4:$E$44</definedName>
    <definedName name="_xlnm._FilterDatabase" localSheetId="1" hidden="1">'Database'!$A$4:$CA$518</definedName>
    <definedName name="_xlnm._FilterDatabase" localSheetId="4" hidden="1">'CS League'!$A$4:$K$1073</definedName>
    <definedName name="_xlnm._FilterDatabase" localSheetId="5" hidden="1">'SM League'!$A$4:$R$69</definedName>
  </definedNames>
  <calcPr calcId="124519" fullCalcOnLoad="1"/>
</workbook>
</file>

<file path=xl/styles.xml><?xml version="1.0" encoding="utf-8"?>
<styleSheet xmlns="http://schemas.openxmlformats.org/spreadsheetml/2006/main">
  <numFmts count="10">
    <numFmt numFmtId="164" formatCode="yyyy-mm-dd"/>
    <numFmt numFmtId="165" formatCode="0.000"/>
    <numFmt numFmtId="166" formatCode="0.0&quot;%&quot;"/>
    <numFmt numFmtId="167" formatCode="#,##0.0"/>
    <numFmt numFmtId="168" formatCode="0.0&quot;%&quot;;;&quot;none&quot;"/>
    <numFmt numFmtId="169" formatCode="+0.0&quot;%&quot;;-0.0&quot;%&quot;"/>
    <numFmt numFmtId="170" formatCode="0.0"/>
    <numFmt numFmtId="171" formatCode="+0.0%;-0.0%"/>
    <numFmt numFmtId="172" formatCode="0.0000"/>
    <numFmt numFmtId="173" formatCode="0&quot;%&quot;"/>
  </numFmts>
  <fonts count="9">
    <font>
      <name val="Calibri"/>
      <family val="2"/>
      <color theme="1"/>
      <sz val="11"/>
      <scheme val="minor"/>
    </font>
    <font>
      <name val="Arial"/>
      <b val="1"/>
      <sz val="13"/>
    </font>
    <font>
      <name val="Arial"/>
      <i val="1"/>
      <color rgb="00808080"/>
      <sz val="9"/>
    </font>
    <font>
      <name val="Arial"/>
      <b val="1"/>
      <color rgb="00FFFFFF"/>
      <sz val="10"/>
    </font>
    <font>
      <name val="Arial"/>
      <sz val="10"/>
    </font>
    <font>
      <name val="Arial"/>
      <color rgb="000000FF"/>
      <sz val="10"/>
      <u val="single"/>
    </font>
    <font>
      <name val="Arial"/>
      <color rgb="000000FF"/>
      <sz val="10"/>
    </font>
    <font>
      <name val="Arial"/>
      <b val="1"/>
      <sz val="10"/>
    </font>
    <font>
      <name val="Arial"/>
      <b val="1"/>
      <color rgb="00C00000"/>
      <sz val="10"/>
    </font>
  </fonts>
  <fills count="18">
    <fill>
      <patternFill/>
    </fill>
    <fill>
      <patternFill patternType="gray125"/>
    </fill>
    <fill>
      <patternFill patternType="solid">
        <fgColor rgb="00203864"/>
      </patternFill>
    </fill>
    <fill>
      <patternFill patternType="solid">
        <fgColor rgb="00274E13"/>
      </patternFill>
    </fill>
    <fill>
      <patternFill patternType="solid">
        <fgColor rgb="007A5C00"/>
      </patternFill>
    </fill>
    <fill>
      <patternFill patternType="solid">
        <fgColor rgb="00434343"/>
      </patternFill>
    </fill>
    <fill>
      <patternFill patternType="solid">
        <fgColor rgb="00742323"/>
      </patternFill>
    </fill>
    <fill>
      <patternFill patternType="solid">
        <fgColor rgb="00274E63"/>
      </patternFill>
    </fill>
    <fill>
      <patternFill patternType="solid">
        <fgColor rgb="00305496"/>
      </patternFill>
    </fill>
    <fill>
      <patternFill patternType="solid">
        <fgColor rgb="001F7A6D"/>
      </patternFill>
    </fill>
    <fill>
      <patternFill patternType="solid">
        <fgColor rgb="00F2F2F2"/>
      </patternFill>
    </fill>
    <fill>
      <patternFill patternType="solid">
        <fgColor rgb="00FFC000"/>
      </patternFill>
    </fill>
    <fill>
      <patternFill patternType="solid">
        <fgColor rgb="001F3864"/>
      </patternFill>
    </fill>
    <fill>
      <patternFill patternType="solid">
        <fgColor rgb="00DDEBF7"/>
      </patternFill>
    </fill>
    <fill>
      <patternFill patternType="solid">
        <fgColor rgb="00FDE9D9"/>
      </patternFill>
    </fill>
    <fill>
      <patternFill patternType="solid">
        <fgColor rgb="00C6EFCE"/>
      </patternFill>
    </fill>
    <fill>
      <patternFill patternType="solid">
        <fgColor rgb="00FBFCFE"/>
      </patternFill>
    </fill>
    <fill>
      <patternFill patternType="solid">
        <fgColor rgb="00F2F6FB"/>
      </patternFill>
    </fill>
  </fills>
  <borders count="23">
    <border>
      <left/>
      <right/>
      <top/>
      <bottom/>
      <diagonal/>
    </border>
    <border>
      <left style="thin"/>
      <right style="thin"/>
      <top style="thin"/>
      <bottom style="thin"/>
    </border>
    <border>
      <left/>
      <right/>
      <top style="thin"/>
      <bottom/>
      <diagonal/>
    </border>
    <border>
      <left/>
      <right style="thin"/>
      <top style="thin"/>
      <bottom/>
      <diagonal/>
    </border>
    <border>
      <left/>
      <right/>
      <top style="thin"/>
      <bottom style="thin"/>
      <diagonal/>
    </border>
    <border>
      <left/>
      <right style="thin"/>
      <top style="thin"/>
      <bottom style="thin"/>
      <diagonal/>
    </border>
    <border>
      <left style="medium">
        <color rgb="00305496"/>
      </left>
      <right/>
      <top/>
      <bottom/>
    </border>
    <border>
      <left style="thin">
        <color rgb="00B8C4D0"/>
      </left>
      <right style="thin"/>
      <top style="thin">
        <color rgb="00B8C4D0"/>
      </top>
      <bottom style="thin"/>
    </border>
    <border>
      <left/>
      <right/>
      <top style="thin">
        <color rgb="00B8C4D0"/>
      </top>
      <bottom style="thin"/>
    </border>
    <border>
      <left/>
      <right style="thin">
        <color rgb="00B8C4D0"/>
      </right>
      <top style="thin">
        <color rgb="00B8C4D0"/>
      </top>
      <bottom style="thin"/>
    </border>
    <border>
      <left style="thin">
        <color rgb="00B8C4D0"/>
      </left>
      <right style="thin"/>
      <top style="thin"/>
      <bottom style="thin"/>
    </border>
    <border>
      <left/>
      <right/>
      <top/>
      <bottom/>
    </border>
    <border>
      <left/>
      <right style="thin">
        <color rgb="00B8C4D0"/>
      </right>
      <top/>
      <bottom/>
    </border>
    <border>
      <left style="thin"/>
      <right style="thin">
        <color rgb="00B8C4D0"/>
      </right>
      <top style="thin"/>
      <bottom style="thin"/>
    </border>
    <border>
      <left style="thin">
        <color rgb="00B8C4D0"/>
      </left>
      <right style="thin"/>
      <top style="thin"/>
      <bottom style="thin">
        <color rgb="00B8C4D0"/>
      </bottom>
    </border>
    <border>
      <left style="thin"/>
      <right style="thin"/>
      <top style="thin"/>
      <bottom style="thin">
        <color rgb="00B8C4D0"/>
      </bottom>
    </border>
    <border>
      <left/>
      <right style="thin">
        <color rgb="00B8C4D0"/>
      </right>
      <top/>
      <bottom style="thin">
        <color rgb="00B8C4D0"/>
      </bottom>
    </border>
    <border>
      <left style="thin">
        <color rgb="00B8C4D0"/>
      </left>
      <right/>
      <top style="thin">
        <color rgb="00B8C4D0"/>
      </top>
      <bottom/>
    </border>
    <border>
      <left/>
      <right/>
      <top style="thin">
        <color rgb="00B8C4D0"/>
      </top>
      <bottom/>
    </border>
    <border>
      <left/>
      <right style="thin">
        <color rgb="00B8C4D0"/>
      </right>
      <top style="thin">
        <color rgb="00B8C4D0"/>
      </top>
      <bottom/>
    </border>
    <border>
      <left style="thin">
        <color rgb="00B8C4D0"/>
      </left>
      <right/>
      <top/>
      <bottom/>
    </border>
    <border>
      <left style="thin">
        <color rgb="00B8C4D0"/>
      </left>
      <right/>
      <top/>
      <bottom style="thin">
        <color rgb="00B8C4D0"/>
      </bottom>
    </border>
    <border>
      <left/>
      <right/>
      <top/>
      <bottom style="thin">
        <color rgb="00B8C4D0"/>
      </bottom>
    </border>
  </borders>
  <cellStyleXfs count="1">
    <xf numFmtId="0" fontId="0" fillId="0" borderId="0"/>
  </cellStyleXfs>
  <cellXfs count="108">
    <xf numFmtId="0" fontId="0" fillId="0" borderId="0" pivotButton="0" quotePrefix="0" xfId="0"/>
    <xf numFmtId="0" fontId="1" fillId="0" borderId="0" pivotButton="0" quotePrefix="0" xfId="0"/>
    <xf numFmtId="0" fontId="2" fillId="0" borderId="0" pivotButton="0" quotePrefix="0" xfId="0"/>
    <xf numFmtId="0" fontId="3" fillId="12" borderId="7" applyAlignment="1" pivotButton="0" quotePrefix="0" xfId="0">
      <alignment horizontal="center"/>
    </xf>
    <xf numFmtId="0" fontId="0" fillId="16" borderId="8" pivotButton="0" quotePrefix="0" xfId="0"/>
    <xf numFmtId="0" fontId="0" fillId="16" borderId="9" pivotButton="0" quotePrefix="0" xfId="0"/>
    <xf numFmtId="0" fontId="4" fillId="0" borderId="10" pivotButton="0" quotePrefix="0" xfId="0"/>
    <xf numFmtId="0" fontId="6" fillId="13" borderId="1" pivotButton="0" quotePrefix="0" xfId="0"/>
    <xf numFmtId="0" fontId="0" fillId="16" borderId="11" pivotButton="0" quotePrefix="0" xfId="0"/>
    <xf numFmtId="0" fontId="0" fillId="16" borderId="12" pivotButton="0" quotePrefix="0" xfId="0"/>
    <xf numFmtId="0" fontId="4" fillId="10" borderId="1" pivotButton="0" quotePrefix="0" xfId="0"/>
    <xf numFmtId="0" fontId="3" fillId="12" borderId="10" applyAlignment="1" pivotButton="0" quotePrefix="0" xfId="0">
      <alignment horizontal="center" vertical="center" wrapText="1"/>
    </xf>
    <xf numFmtId="0" fontId="3" fillId="12" borderId="1" applyAlignment="1" pivotButton="0" quotePrefix="0" xfId="0">
      <alignment horizontal="center" vertical="center" wrapText="1"/>
    </xf>
    <xf numFmtId="0" fontId="3" fillId="12" borderId="13" applyAlignment="1" pivotButton="0" quotePrefix="0" xfId="0">
      <alignment horizontal="center" vertical="center" wrapText="1"/>
    </xf>
    <xf numFmtId="0" fontId="7" fillId="0" borderId="0" pivotButton="0" quotePrefix="0" xfId="0"/>
    <xf numFmtId="0" fontId="2" fillId="0" borderId="12" pivotButton="0" quotePrefix="0" xfId="0"/>
    <xf numFmtId="0" fontId="4" fillId="0" borderId="1" pivotButton="0" quotePrefix="0" xfId="0"/>
    <xf numFmtId="9" fontId="4" fillId="10" borderId="1" pivotButton="0" quotePrefix="0" xfId="0"/>
    <xf numFmtId="3" fontId="4" fillId="10" borderId="1" pivotButton="0" quotePrefix="0" xfId="0"/>
    <xf numFmtId="3" fontId="6" fillId="13" borderId="1" pivotButton="0" quotePrefix="0" xfId="0"/>
    <xf numFmtId="0" fontId="0" fillId="17" borderId="12" pivotButton="0" quotePrefix="0" xfId="0"/>
    <xf numFmtId="164" fontId="4" fillId="10" borderId="1" pivotButton="0" quotePrefix="0" xfId="0"/>
    <xf numFmtId="164" fontId="6" fillId="13" borderId="1" pivotButton="0" quotePrefix="0" xfId="0"/>
    <xf numFmtId="169" fontId="4" fillId="10" borderId="1" pivotButton="0" quotePrefix="0" xfId="0"/>
    <xf numFmtId="170" fontId="4" fillId="10" borderId="1" pivotButton="0" quotePrefix="0" xfId="0"/>
    <xf numFmtId="170" fontId="6" fillId="13" borderId="1" pivotButton="0" quotePrefix="0" xfId="0"/>
    <xf numFmtId="167" fontId="4" fillId="10" borderId="1" pivotButton="0" quotePrefix="0" xfId="0"/>
    <xf numFmtId="167" fontId="6" fillId="13" borderId="1" pivotButton="0" quotePrefix="0" xfId="0"/>
    <xf numFmtId="166" fontId="4" fillId="10" borderId="1" pivotButton="0" quotePrefix="0" xfId="0"/>
    <xf numFmtId="0" fontId="4" fillId="0" borderId="14" pivotButton="0" quotePrefix="0" xfId="0"/>
    <xf numFmtId="0" fontId="6" fillId="13" borderId="15" pivotButton="0" quotePrefix="0" xfId="0"/>
    <xf numFmtId="0" fontId="4" fillId="0" borderId="15" pivotButton="0" quotePrefix="0" xfId="0"/>
    <xf numFmtId="1" fontId="6" fillId="13" borderId="15" pivotButton="0" quotePrefix="0" xfId="0"/>
    <xf numFmtId="0" fontId="2" fillId="0" borderId="16" pivotButton="0" quotePrefix="0" xfId="0"/>
    <xf numFmtId="0" fontId="0" fillId="0" borderId="4" pivotButton="0" quotePrefix="0" xfId="0"/>
    <xf numFmtId="0" fontId="0" fillId="0" borderId="5" pivotButton="0" quotePrefix="0" xfId="0"/>
    <xf numFmtId="0" fontId="3" fillId="8" borderId="1" applyAlignment="1" pivotButton="0" quotePrefix="0" xfId="0">
      <alignment horizontal="center" vertical="center" wrapText="1"/>
    </xf>
    <xf numFmtId="0" fontId="3" fillId="9" borderId="1" applyAlignment="1" pivotButton="0" quotePrefix="0" xfId="0">
      <alignment horizontal="center" vertical="center" wrapText="1"/>
    </xf>
    <xf numFmtId="0" fontId="4" fillId="10" borderId="1" applyAlignment="1" pivotButton="0" quotePrefix="0" xfId="0">
      <alignment horizontal="center"/>
    </xf>
    <xf numFmtId="49" fontId="4" fillId="10" borderId="1" pivotButton="0" quotePrefix="0" xfId="0"/>
    <xf numFmtId="165" fontId="4" fillId="10" borderId="1" pivotButton="0" quotePrefix="0" xfId="0"/>
    <xf numFmtId="2" fontId="4" fillId="10" borderId="1" pivotButton="0" quotePrefix="0" xfId="0"/>
    <xf numFmtId="168" fontId="4" fillId="10" borderId="1" pivotButton="0" quotePrefix="0" xfId="0"/>
    <xf numFmtId="171" fontId="4" fillId="10" borderId="1" pivotButton="0" quotePrefix="0" xfId="0"/>
    <xf numFmtId="1" fontId="4" fillId="10" borderId="1" pivotButton="0" quotePrefix="0" xfId="0"/>
    <xf numFmtId="0" fontId="7" fillId="0" borderId="1" pivotButton="0" quotePrefix="0" xfId="0"/>
    <xf numFmtId="172" fontId="4" fillId="10" borderId="1" pivotButton="0" quotePrefix="0" xfId="0"/>
    <xf numFmtId="0" fontId="7" fillId="0" borderId="17" pivotButton="0" quotePrefix="0" xfId="0"/>
    <xf numFmtId="0" fontId="0" fillId="0" borderId="18" pivotButton="0" quotePrefix="0" xfId="0"/>
    <xf numFmtId="0" fontId="0" fillId="0" borderId="19" pivotButton="0" quotePrefix="0" xfId="0"/>
    <xf numFmtId="0" fontId="2" fillId="0" borderId="20" pivotButton="0" quotePrefix="0" xfId="0"/>
    <xf numFmtId="0" fontId="0" fillId="0" borderId="11" pivotButton="0" quotePrefix="0" xfId="0"/>
    <xf numFmtId="0" fontId="0" fillId="0" borderId="12" pivotButton="0" quotePrefix="0" xfId="0"/>
    <xf numFmtId="0" fontId="2" fillId="0" borderId="21" pivotButton="0" quotePrefix="0" xfId="0"/>
    <xf numFmtId="0" fontId="0" fillId="0" borderId="22" pivotButton="0" quotePrefix="0" xfId="0"/>
    <xf numFmtId="0" fontId="0" fillId="0" borderId="16" pivotButton="0" quotePrefix="0" xfId="0"/>
    <xf numFmtId="0" fontId="3" fillId="2" borderId="1" applyAlignment="1" pivotButton="0" quotePrefix="0" xfId="0">
      <alignment horizontal="center" vertical="center" wrapText="1"/>
    </xf>
    <xf numFmtId="0" fontId="3" fillId="3" borderId="1" applyAlignment="1" pivotButton="0" quotePrefix="0" xfId="0">
      <alignment horizontal="center" vertical="center" wrapText="1"/>
    </xf>
    <xf numFmtId="0" fontId="3" fillId="4" borderId="1" applyAlignment="1" pivotButton="0" quotePrefix="0" xfId="0">
      <alignment horizontal="center" vertical="center" wrapText="1"/>
    </xf>
    <xf numFmtId="0" fontId="3" fillId="5" borderId="1" applyAlignment="1" pivotButton="0" quotePrefix="0" xfId="0">
      <alignment horizontal="center" vertical="center" wrapText="1"/>
    </xf>
    <xf numFmtId="0" fontId="3" fillId="6" borderId="1" applyAlignment="1" pivotButton="0" quotePrefix="0" xfId="0">
      <alignment horizontal="center" vertical="center" wrapText="1"/>
    </xf>
    <xf numFmtId="0" fontId="3" fillId="7" borderId="1" applyAlignment="1" pivotButton="0" quotePrefix="0" xfId="0">
      <alignment horizontal="center" vertical="center" wrapText="1"/>
    </xf>
    <xf numFmtId="49" fontId="4" fillId="0" borderId="0" pivotButton="0" quotePrefix="0" xfId="0"/>
    <xf numFmtId="0" fontId="4" fillId="0" borderId="0" pivotButton="0" quotePrefix="0" xfId="0"/>
    <xf numFmtId="164" fontId="4" fillId="0" borderId="0" pivotButton="0" quotePrefix="0" xfId="0"/>
    <xf numFmtId="3" fontId="4" fillId="0" borderId="6" pivotButton="0" quotePrefix="0" xfId="0"/>
    <xf numFmtId="165" fontId="4" fillId="0" borderId="0" pivotButton="0" quotePrefix="0" xfId="0"/>
    <xf numFmtId="166" fontId="4" fillId="0" borderId="0" pivotButton="0" quotePrefix="0" xfId="0"/>
    <xf numFmtId="3" fontId="4" fillId="0" borderId="0" pivotButton="0" quotePrefix="0" xfId="0"/>
    <xf numFmtId="167" fontId="4" fillId="0" borderId="6" pivotButton="0" quotePrefix="0" xfId="0"/>
    <xf numFmtId="2" fontId="4" fillId="0" borderId="0" pivotButton="0" quotePrefix="0" xfId="0"/>
    <xf numFmtId="168" fontId="4" fillId="0" borderId="0" pivotButton="0" quotePrefix="0" xfId="0"/>
    <xf numFmtId="169" fontId="4" fillId="0" borderId="0" pivotButton="0" quotePrefix="0" xfId="0"/>
    <xf numFmtId="169" fontId="4" fillId="0" borderId="6" pivotButton="0" quotePrefix="0" xfId="0"/>
    <xf numFmtId="170" fontId="4" fillId="0" borderId="0" pivotButton="0" quotePrefix="0" xfId="0"/>
    <xf numFmtId="170" fontId="4" fillId="10" borderId="0" pivotButton="0" quotePrefix="0" xfId="0"/>
    <xf numFmtId="0" fontId="4" fillId="0" borderId="6" pivotButton="0" quotePrefix="0" xfId="0"/>
    <xf numFmtId="0" fontId="4" fillId="10" borderId="0" pivotButton="0" quotePrefix="0" xfId="0"/>
    <xf numFmtId="0" fontId="5" fillId="0" borderId="0" pivotButton="0" quotePrefix="0" xfId="0"/>
    <xf numFmtId="2" fontId="4" fillId="10" borderId="0" pivotButton="0" quotePrefix="0" xfId="0"/>
    <xf numFmtId="171" fontId="4" fillId="0" borderId="0" pivotButton="0" quotePrefix="0" xfId="0"/>
    <xf numFmtId="3" fontId="4" fillId="10" borderId="0" pivotButton="0" quotePrefix="0" xfId="0"/>
    <xf numFmtId="0" fontId="4" fillId="11" borderId="6" pivotButton="0" quotePrefix="0" xfId="0"/>
    <xf numFmtId="0" fontId="4" fillId="14" borderId="0" pivotButton="0" quotePrefix="0" xfId="0"/>
    <xf numFmtId="165" fontId="4" fillId="14" borderId="0" pivotButton="0" quotePrefix="0" xfId="0"/>
    <xf numFmtId="170" fontId="4" fillId="14" borderId="0" pivotButton="0" quotePrefix="0" xfId="0"/>
    <xf numFmtId="166" fontId="4" fillId="14" borderId="0" pivotButton="0" quotePrefix="0" xfId="0"/>
    <xf numFmtId="169" fontId="4" fillId="14" borderId="0" pivotButton="0" quotePrefix="0" xfId="0"/>
    <xf numFmtId="0" fontId="7" fillId="15" borderId="1" pivotButton="0" quotePrefix="0" xfId="0"/>
    <xf numFmtId="1" fontId="4" fillId="0" borderId="1" pivotButton="0" quotePrefix="0" xfId="0"/>
    <xf numFmtId="0" fontId="8" fillId="0" borderId="1" pivotButton="0" quotePrefix="0" xfId="0"/>
    <xf numFmtId="49" fontId="4" fillId="0" borderId="1" pivotButton="0" quotePrefix="0" xfId="0"/>
    <xf numFmtId="165" fontId="6" fillId="13" borderId="1" pivotButton="0" quotePrefix="0" xfId="0"/>
    <xf numFmtId="171" fontId="4" fillId="0" borderId="1" pivotButton="0" quotePrefix="0" xfId="0"/>
    <xf numFmtId="173" fontId="4" fillId="0" borderId="1" pivotButton="0" quotePrefix="0" xfId="0"/>
    <xf numFmtId="169" fontId="4" fillId="0" borderId="1" pivotButton="0" quotePrefix="0" xfId="0"/>
    <xf numFmtId="0" fontId="2" fillId="0" borderId="1" pivotButton="0" quotePrefix="0" xfId="0"/>
    <xf numFmtId="3" fontId="4" fillId="0" borderId="1" pivotButton="0" quotePrefix="0" xfId="0"/>
    <xf numFmtId="164" fontId="4" fillId="0" borderId="1" pivotButton="0" quotePrefix="0" xfId="0"/>
    <xf numFmtId="165" fontId="4" fillId="0" borderId="1" pivotButton="0" quotePrefix="0" xfId="0"/>
    <xf numFmtId="166" fontId="4" fillId="0" borderId="1" pivotButton="0" quotePrefix="0" xfId="0"/>
    <xf numFmtId="170" fontId="4" fillId="0" borderId="1" pivotButton="0" quotePrefix="0" xfId="0"/>
    <xf numFmtId="0" fontId="4" fillId="0" borderId="1" applyAlignment="1" pivotButton="0" quotePrefix="0" xfId="0">
      <alignment horizontal="center"/>
    </xf>
    <xf numFmtId="4" fontId="4" fillId="10" borderId="1" pivotButton="0" quotePrefix="0" xfId="0"/>
    <xf numFmtId="4" fontId="4" fillId="0" borderId="1" pivotButton="0" quotePrefix="0" xfId="0"/>
    <xf numFmtId="0" fontId="7" fillId="10" borderId="0" pivotButton="0" quotePrefix="0" xfId="0"/>
    <xf numFmtId="167" fontId="4" fillId="0" borderId="1" pivotButton="0" quotePrefix="0" xfId="0"/>
    <xf numFmtId="0" fontId="4" fillId="0" borderId="1" applyAlignment="1" pivotButton="0" quotePrefix="0" xfId="0">
      <alignment vertical="top" wrapText="1"/>
    </xf>
  </cellXfs>
  <cellStyles count="1">
    <cellStyle name="Normal" xfId="0" builtinId="0" hidden="0"/>
  </cellStyles>
  <dxfs count="4">
    <dxf>
      <fill>
        <patternFill patternType="solid">
          <fgColor rgb="00C6EFCE"/>
        </patternFill>
      </fill>
    </dxf>
    <dxf>
      <fill>
        <patternFill patternType="solid">
          <fgColor rgb="00FFE699"/>
        </patternFill>
      </fill>
    </dxf>
    <dxf>
      <fill>
        <patternFill patternType="solid">
          <fgColor rgb="00F7F9FB"/>
        </patternFill>
      </fill>
    </dxf>
    <dxf>
      <fill>
        <patternFill patternType="solid">
          <fgColor rgb="00FFC000"/>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styles" Target="styles.xml" Id="rId15"/><Relationship Type="http://schemas.openxmlformats.org/officeDocument/2006/relationships/theme" Target="theme/theme1.xml" Id="rId16"/></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A-share close, last month (Bloomberg)</a:t>
            </a:r>
          </a:p>
        </rich>
      </tx>
    </title>
    <plotArea>
      <lineChart>
        <grouping val="standard"/>
        <ser>
          <idx val="0"/>
          <order val="0"/>
          <tx>
            <strRef>
              <f>'Screener'!G55</f>
            </strRef>
          </tx>
          <spPr>
            <a:ln xmlns:a="http://schemas.openxmlformats.org/drawingml/2006/main">
              <a:prstDash val="solid"/>
            </a:ln>
          </spPr>
          <marker>
            <symbol val="none"/>
            <spPr>
              <a:ln xmlns:a="http://schemas.openxmlformats.org/drawingml/2006/main">
                <a:prstDash val="solid"/>
              </a:ln>
            </spPr>
          </marker>
          <cat>
            <numRef>
              <f>'Screener'!$F$56:$F$79</f>
            </numRef>
          </cat>
          <val>
            <numRef>
              <f>'Screener'!$G$56:$G$79</f>
            </numRef>
          </val>
        </ser>
        <axId val="10"/>
        <axId val="100"/>
      </lineChart>
      <catAx>
        <axId val="10"/>
        <scaling>
          <orientation val="minMax"/>
        </scaling>
        <delete val="0"/>
        <axPos val="l"/>
        <title>
          <tx>
            <rich>
              <a:bodyPr xmlns:a="http://schemas.openxmlformats.org/drawingml/2006/main"/>
              <a:p xmlns:a="http://schemas.openxmlformats.org/drawingml/2006/main">
                <a:pPr>
                  <a:defRPr/>
                </a:pPr>
                <a:r>
                  <a:t>session</a:t>
                </a:r>
              </a:p>
            </rich>
          </tx>
        </title>
        <majorTickMark val="none"/>
        <minorTickMark val="none"/>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CNY</a:t>
                </a:r>
              </a:p>
            </rich>
          </tx>
        </title>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s>
</file>

<file path=xl/drawings/drawing1.xml><?xml version="1.0" encoding="utf-8"?>
<wsDr xmlns="http://schemas.openxmlformats.org/drawingml/2006/spreadsheetDrawing">
  <oneCellAnchor>
    <from>
      <col>9</col>
      <colOff>0</colOff>
      <row>51</row>
      <rowOff>0</rowOff>
    </from>
    <ext cx="6120000" cy="306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tabColor rgb="002A78D6"/>
    <outlinePr summaryBelow="1" summaryRight="1"/>
    <pageSetUpPr/>
  </sheetPr>
  <dimension ref="A1:BU66"/>
  <sheetViews>
    <sheetView showGridLines="0" workbookViewId="0">
      <pane xSplit="2" ySplit="20" topLeftCell="C21" activePane="bottomRight" state="frozen"/>
      <selection pane="topRight"/>
      <selection pane="bottomLeft"/>
      <selection pane="bottomRight" activeCell="A1" sqref="A1"/>
    </sheetView>
  </sheetViews>
  <sheetFormatPr baseColWidth="8" defaultRowHeight="15"/>
  <cols>
    <col width="27" customWidth="1" min="1" max="1"/>
    <col width="22" customWidth="1" min="2" max="2"/>
    <col width="7" customWidth="1" min="3" max="3"/>
    <col width="12" customWidth="1" min="4" max="4"/>
    <col width="22" customWidth="1" min="5" max="5"/>
    <col width="20" customWidth="1" min="6" max="6"/>
    <col width="9" customWidth="1" min="7" max="7"/>
    <col width="11" customWidth="1" min="8" max="8"/>
    <col width="12" customWidth="1" min="9" max="9"/>
    <col width="9" customWidth="1" min="10" max="10"/>
    <col width="9" customWidth="1" min="11" max="11"/>
    <col width="9" customWidth="1" min="12" max="12"/>
    <col width="8" customWidth="1" min="13" max="13"/>
    <col width="8" customWidth="1" min="14" max="14"/>
    <col width="11" customWidth="1" min="15" max="15"/>
    <col width="12" customWidth="1" min="16" max="16"/>
    <col width="10" customWidth="1" min="17" max="17"/>
    <col width="9" customWidth="1" min="18" max="18"/>
    <col width="11" customWidth="1" min="19" max="19"/>
    <col width="13" customWidth="1" min="20" max="20"/>
    <col width="15" customWidth="1" min="21" max="21"/>
    <col width="11" customWidth="1" min="22" max="22"/>
    <col width="46" customWidth="1" min="23" max="23"/>
    <col width="9" customWidth="1" min="24" max="24"/>
    <col width="14" customWidth="1" min="25" max="25"/>
    <col width="12" customWidth="1" min="26" max="26"/>
    <col width="12" customWidth="1" min="27" max="27"/>
    <col width="13" customWidth="1" min="28" max="28"/>
    <col width="12" customWidth="1" min="29" max="29"/>
    <col width="17" customWidth="1" min="30" max="30"/>
    <col width="13" customWidth="1" min="31" max="31"/>
    <col width="34" customWidth="1" min="32" max="32"/>
    <col width="14" customWidth="1" min="33" max="33"/>
    <col width="9" customWidth="1" min="34" max="34"/>
    <col width="10" customWidth="1" min="35" max="35"/>
    <col width="11" customWidth="1" min="36" max="36"/>
    <col width="9" customWidth="1" min="37" max="37"/>
    <col width="9" customWidth="1" min="38" max="38"/>
    <col width="9" customWidth="1" min="39" max="39"/>
    <col width="9" customWidth="1" min="40" max="40"/>
    <col width="9" customWidth="1" min="41" max="41"/>
    <col width="9" customWidth="1" min="42" max="42"/>
    <col width="10" customWidth="1" min="43" max="43"/>
    <col width="10" customWidth="1" min="44" max="44"/>
    <col width="10" customWidth="1" min="45" max="45"/>
    <col width="10" customWidth="1" min="46" max="46"/>
    <col width="11" customWidth="1" min="47" max="47"/>
    <col width="11" customWidth="1" min="48" max="48"/>
    <col width="10" customWidth="1" min="49" max="49"/>
    <col width="11" customWidth="1" min="50" max="50"/>
    <col width="11" customWidth="1" min="51" max="51"/>
    <col width="8" customWidth="1" min="52" max="52"/>
    <col width="8" customWidth="1" min="53" max="53"/>
    <col width="10" customWidth="1" min="54" max="54"/>
    <col width="10" customWidth="1" min="55" max="55"/>
    <col width="8" customWidth="1" min="56" max="56"/>
    <col width="11" customWidth="1" min="57" max="57"/>
    <col width="10" customWidth="1" min="58" max="58"/>
    <col width="10" customWidth="1" min="59" max="59"/>
    <col width="8" customWidth="1" min="60" max="60"/>
    <col width="11" customWidth="1" min="61" max="61"/>
    <col width="11" customWidth="1" min="62" max="62"/>
    <col width="10" customWidth="1" min="63" max="63"/>
    <col width="11" customWidth="1" min="64" max="64"/>
    <col width="14" customWidth="1" min="65" max="65"/>
    <col width="11" customWidth="1" min="66" max="66"/>
    <col width="11" customWidth="1" min="67" max="67"/>
    <col width="30" customWidth="1" min="68" max="68"/>
    <col width="34" customWidth="1" min="69" max="69"/>
    <col width="9" customWidth="1" min="70" max="70"/>
    <col width="14" customWidth="1" min="71" max="71"/>
    <col width="8" customWidth="1" min="72" max="72"/>
    <col width="46" customWidth="1" min="73" max="73"/>
  </cols>
  <sheetData>
    <row r="1" ht="26" customHeight="1">
      <c r="A1" s="1" t="inlineStr">
        <is>
          <t>COMPS SCREENER</t>
        </is>
      </c>
    </row>
    <row r="2">
      <c r="A2" s="2" t="inlineStr">
        <is>
          <t>Pick a deal (blue). Comps are ranked SUBSECTOR FIRST — a same-subsector deal always beats a same-sector one. The score for every comp is shown in full on the right, so nothing is hidden.</t>
        </is>
      </c>
    </row>
    <row r="3"/>
    <row r="4" ht="20" customHeight="1">
      <c r="A4" s="3" t="inlineStr">
        <is>
          <t>TARGET — pick it, or type your own terms</t>
        </is>
      </c>
      <c r="B4" s="4" t="n"/>
      <c r="C4" s="4" t="n"/>
      <c r="D4" s="4" t="n"/>
      <c r="E4" s="5" t="n"/>
    </row>
    <row r="5" ht="16" customHeight="1">
      <c r="A5" s="6" t="inlineStr">
        <is>
          <t>Pick a deal (pipeline or listed)</t>
        </is>
      </c>
      <c r="B5" s="7" t="inlineStr">
        <is>
          <t>Xiaohongshu (RedNote)</t>
        </is>
      </c>
      <c r="C5" s="8" t="n"/>
      <c r="D5" s="8" t="n"/>
      <c r="E5" s="9" t="n"/>
      <c r="G5" s="10">
        <f>IF(AND($D$8="",N($D$9)&lt;=0),"Ranking on profile and recency only — no subsector, no size. Type either one in the TYPE TO OVERRIDE column and the comps re-rank as you type.",IF($D$8="","No subsector — ranking on size, profile and recency. Pick one in the override column to rank subsector-first.",IF(N($D$9)&lt;=0,"No deal size yet (normal for a PHIP-stage applicant) — ranking on subsector, profile and recency. Type the expected HK$m size in the override column to add size proximity.","Ranking subsector-first on "&amp;$D$8&amp;", size HK$"&amp;TEXT($D$9,"#,##0")&amp;"m.")))</f>
        <v/>
      </c>
    </row>
    <row r="6" ht="16" customHeight="1">
      <c r="A6" s="11" t="inlineStr">
        <is>
          <t>TARGET ATTRIBUTE</t>
        </is>
      </c>
      <c r="B6" s="12" t="inlineStr">
        <is>
          <t>From the pick</t>
        </is>
      </c>
      <c r="C6" s="12" t="inlineStr">
        <is>
          <t>TYPE TO OVERRIDE</t>
        </is>
      </c>
      <c r="D6" s="12" t="inlineStr">
        <is>
          <t>Engine uses</t>
        </is>
      </c>
      <c r="E6" s="13" t="inlineStr">
        <is>
          <t>what it does</t>
        </is>
      </c>
    </row>
    <row r="7" ht="16" customHeight="1">
      <c r="A7" s="6" t="inlineStr">
        <is>
          <t>Sector</t>
        </is>
      </c>
      <c r="B7" s="10">
        <f>IFERROR(INDEX('Calc (scoring engine)'!$AB$3:$AB$528,MATCH($B$5,AllDeals,0)),"")</f>
        <v/>
      </c>
      <c r="C7" s="7" t="n"/>
      <c r="D7" s="10">
        <f>IF($C7&lt;&gt;"",$C7,$B7)</f>
        <v/>
      </c>
      <c r="E7" s="9" t="n"/>
      <c r="G7" s="14" t="inlineStr">
        <is>
          <t>SIZE BENCHMARK</t>
        </is>
      </c>
    </row>
    <row r="8" ht="16" customHeight="1">
      <c r="A8" s="6" t="inlineStr">
        <is>
          <t>Subsector</t>
        </is>
      </c>
      <c r="B8" s="10">
        <f>IFERROR(INDEX('Calc (scoring engine)'!$AC$3:$AC$528,MATCH($B$5,AllDeals,0)),"")</f>
        <v/>
      </c>
      <c r="C8" s="7" t="n"/>
      <c r="D8" s="10">
        <f>IF($C8&lt;&gt;"",$C8,$B8)</f>
        <v/>
      </c>
      <c r="E8" s="15" t="inlineStr">
        <is>
          <t>THE GATE — same-subsector comps rank first</t>
        </is>
      </c>
      <c r="G8" s="16" t="inlineStr">
        <is>
          <t>Percentile vs 2021-26 deals</t>
        </is>
      </c>
      <c r="H8" s="17">
        <f>IF(N($D$9)&lt;=0,"n/a",COUNTIF(Database!$I$5:$I$518,"&lt;"&amp;$D$9)/COUNT(Database!$I$5:$I$518))</f>
        <v/>
      </c>
    </row>
    <row r="9" ht="16" customHeight="1">
      <c r="A9" s="6" t="inlineStr">
        <is>
          <t>Size (HK$m)</t>
        </is>
      </c>
      <c r="B9" s="18">
        <f>IFERROR(INDEX('Calc (scoring engine)'!$AD$3:$AD$528,MATCH($B$5,AllDeals,0)),"")</f>
        <v/>
      </c>
      <c r="C9" s="19" t="n"/>
      <c r="D9" s="18">
        <f>IF($C9&lt;&gt;"",$C9,$B9)</f>
        <v/>
      </c>
      <c r="E9" s="9" t="n"/>
      <c r="G9" s="16" t="inlineStr">
        <is>
          <t>Bucket</t>
        </is>
      </c>
      <c r="H9" s="10">
        <f>IF(N($D$9)&lt;=0,"size not set",IF($D$9&gt;=20000,"Mega",IF($D$9&gt;=5000,"Large",IF($D$9&gt;=1000,"Mid","Small"))))</f>
        <v/>
      </c>
    </row>
    <row r="10" ht="16" customHeight="1">
      <c r="A10" s="6" t="inlineStr">
        <is>
          <t>Profitable (Y/N)</t>
        </is>
      </c>
      <c r="B10" s="10">
        <f>IFERROR(INDEX('Calc (scoring engine)'!$AE$3:$AE$528,MATCH($B$5,AllDeals,0)),"")</f>
        <v/>
      </c>
      <c r="C10" s="7" t="n"/>
      <c r="D10" s="10">
        <f>IF($C10&lt;&gt;"",$C10,$B10)</f>
        <v/>
      </c>
      <c r="E10" s="20" t="n"/>
    </row>
    <row r="11" ht="16" customHeight="1">
      <c r="A11" s="6" t="inlineStr">
        <is>
          <t>H-share (Y/N)</t>
        </is>
      </c>
      <c r="B11" s="10">
        <f>IFERROR(INDEX('Calc (scoring engine)'!$AF$3:$AF$528,MATCH($B$5,AllDeals,0)),"")</f>
        <v/>
      </c>
      <c r="C11" s="7" t="n"/>
      <c r="D11" s="10">
        <f>IF($C11&lt;&gt;"",$C11,$B11)</f>
        <v/>
      </c>
      <c r="E11" s="9" t="n"/>
      <c r="G11" s="14" t="inlineStr">
        <is>
          <t>WHAT THE DATABASE HOLDS ON THIS DEAL</t>
        </is>
      </c>
    </row>
    <row r="12" ht="16" customHeight="1">
      <c r="A12" s="6" t="inlineStr">
        <is>
          <t>IPO / expected date</t>
        </is>
      </c>
      <c r="B12" s="21">
        <f>IFERROR(INDEX('Calc (scoring engine)'!$AG$3:$AG$528,MATCH($B$5,AllDeals,0)),"")</f>
        <v/>
      </c>
      <c r="C12" s="22" t="n"/>
      <c r="D12" s="21">
        <f>IF($C12&lt;&gt;"",$C12,IF(ISNUMBER($B12),$B12,TODAY()))</f>
        <v/>
      </c>
      <c r="E12" s="20" t="n"/>
      <c r="G12" s="16" t="inlineStr">
        <is>
          <t>Day-1</t>
        </is>
      </c>
      <c r="H12" s="23">
        <f>IFERROR(IF(INDEX(Database!$AK$5:$AK$518,MATCH($B$5,Database!$B$5:$B$518,0))="","—",INDEX(Database!$AK$5:$AK$518,MATCH($B$5,Database!$B$5:$B$518,0))),"not listed yet")</f>
        <v/>
      </c>
    </row>
    <row r="13" ht="16" customHeight="1">
      <c r="A13" s="6" t="inlineStr">
        <is>
          <t>Target P/E (x)</t>
        </is>
      </c>
      <c r="B13" s="24">
        <f>IFERROR(INDEX('Calc (scoring engine)'!$AH$3:$AH$528,MATCH($B$5,AllDeals,0)),"")</f>
        <v/>
      </c>
      <c r="C13" s="25" t="n"/>
      <c r="D13" s="24">
        <f>IF($C13&lt;&gt;"",$C13,$B13)</f>
        <v/>
      </c>
      <c r="E13" s="15" t="inlineStr">
        <is>
          <t>comps near this multiple rank higher</t>
        </is>
      </c>
      <c r="G13" s="16" t="inlineStr">
        <is>
          <t>1-month</t>
        </is>
      </c>
      <c r="H13" s="23">
        <f>IFERROR(IF(INDEX(Database!$AO$5:$AO$518,MATCH($B$5,Database!$B$5:$B$518,0))="","—",INDEX(Database!$AO$5:$AO$518,MATCH($B$5,Database!$B$5:$B$518,0))),"not listed yet")</f>
        <v/>
      </c>
    </row>
    <row r="14" ht="16" customHeight="1">
      <c r="A14" s="6" t="inlineStr">
        <is>
          <t>Public sub (x), expected</t>
        </is>
      </c>
      <c r="B14" s="26">
        <f>IFERROR(INDEX(Database!$S$5:$S$518,MATCH($B$5,Database!$B$5:$B$518,0)),"")</f>
        <v/>
      </c>
      <c r="C14" s="27" t="n"/>
      <c r="D14" s="26">
        <f>IF($C14&lt;&gt;"",$C14,$B14)</f>
        <v/>
      </c>
      <c r="E14" s="15" t="inlineStr">
        <is>
          <t>drives 'demand-similar first'</t>
        </is>
      </c>
      <c r="G14" s="16" t="inlineStr">
        <is>
          <t>Public sub (x)</t>
        </is>
      </c>
      <c r="H14" s="26">
        <f>IFERROR(IF(INDEX(Database!$S$5:$S$518,MATCH($B$5,Database!$B$5:$B$518,0))="","—",INDEX(Database!$S$5:$S$518,MATCH($B$5,Database!$B$5:$B$518,0))),"not listed yet")</f>
        <v/>
      </c>
    </row>
    <row r="15" ht="16" customHeight="1">
      <c r="A15" s="11" t="inlineStr">
        <is>
          <t>HOW TO RANK &amp; FILTER</t>
        </is>
      </c>
      <c r="B15" s="12" t="inlineStr">
        <is>
          <t>You choose</t>
        </is>
      </c>
      <c r="C15" s="12" t="inlineStr"/>
      <c r="D15" s="12" t="inlineStr"/>
      <c r="E15" s="13" t="inlineStr">
        <is>
          <t>what it does</t>
        </is>
      </c>
      <c r="G15" s="16" t="inlineStr">
        <is>
          <t>Cornerstone %</t>
        </is>
      </c>
      <c r="H15" s="28">
        <f>IFERROR(IF(INDEX(Database!$U$5:$U$518,MATCH($B$5,Database!$B$5:$B$518,0))="","—",INDEX(Database!$U$5:$U$518,MATCH($B$5,Database!$B$5:$B$518,0))),"not listed yet")</f>
        <v/>
      </c>
    </row>
    <row r="16" ht="16" customHeight="1">
      <c r="A16" s="6" t="inlineStr">
        <is>
          <t>Rank by</t>
        </is>
      </c>
      <c r="B16" s="7" t="inlineStr">
        <is>
          <t>standard</t>
        </is>
      </c>
      <c r="C16" s="8" t="n"/>
      <c r="D16" s="8" t="n"/>
      <c r="E16" s="15" t="inlineStr">
        <is>
          <t>standard = subsector-first · the other two are explained below</t>
        </is>
      </c>
      <c r="G16" s="16" t="inlineStr">
        <is>
          <t>Sponsors</t>
        </is>
      </c>
      <c r="H16" s="10">
        <f>IFERROR(IF(INDEX(Database!$BS$5:$BS$518,MATCH($B$5,Database!$B$5:$B$518,0))="","—",INDEX(Database!$BS$5:$BS$518,MATCH($B$5,Database!$B$5:$B$518,0))),"not listed yet")</f>
        <v/>
      </c>
    </row>
    <row r="17" ht="16" customHeight="1">
      <c r="A17" s="6" t="inlineStr">
        <is>
          <t>Cornerstone investor to match</t>
        </is>
      </c>
      <c r="B17" s="7" t="n"/>
      <c r="C17" s="16" t="inlineStr">
        <is>
          <t>Force-include</t>
        </is>
      </c>
      <c r="D17" s="7" t="n"/>
      <c r="E17" s="15" t="inlineStr">
        <is>
          <t>type e.g. hillhouse — adds one key to 'Shared CS'</t>
        </is>
      </c>
      <c r="F17" s="2" t="inlineStr">
        <is>
          <t>codes as in the Database, comma-separated (9888, 2015) — pinned to the top of the comps, past every filter</t>
        </is>
      </c>
    </row>
    <row r="18" ht="16" customHeight="1">
      <c r="A18" s="29" t="inlineStr">
        <is>
          <t>A-share filter</t>
        </is>
      </c>
      <c r="B18" s="30" t="inlineStr">
        <is>
          <t>All</t>
        </is>
      </c>
      <c r="C18" s="31" t="inlineStr">
        <is>
          <t>Comps to show</t>
        </is>
      </c>
      <c r="D18" s="32" t="n">
        <v>10</v>
      </c>
      <c r="E18" s="33" t="inlineStr">
        <is>
          <t>screen A+H only / non-A only · 3-15 comps</t>
        </is>
      </c>
    </row>
    <row r="19" ht="18" customHeight="1">
      <c r="A19" s="12" t="inlineStr">
        <is>
          <t>IDENTITY</t>
        </is>
      </c>
      <c r="B19" s="34" t="n"/>
      <c r="C19" s="34" t="n"/>
      <c r="D19" s="34" t="n"/>
      <c r="E19" s="34" t="n"/>
      <c r="F19" s="34" t="n"/>
      <c r="G19" s="34" t="n"/>
      <c r="H19" s="35" t="n"/>
      <c r="I19" s="12" t="inlineStr">
        <is>
          <t>DEAL TERMS</t>
        </is>
      </c>
      <c r="J19" s="34" t="n"/>
      <c r="K19" s="34" t="n"/>
      <c r="L19" s="34" t="n"/>
      <c r="M19" s="34" t="n"/>
      <c r="N19" s="34" t="n"/>
      <c r="O19" s="34" t="n"/>
      <c r="P19" s="35" t="n"/>
      <c r="Q19" s="12" t="inlineStr">
        <is>
          <t>DEMAND</t>
        </is>
      </c>
      <c r="R19" s="34" t="n"/>
      <c r="S19" s="34" t="n"/>
      <c r="T19" s="34" t="n"/>
      <c r="U19" s="34" t="n"/>
      <c r="V19" s="34" t="n"/>
      <c r="W19" s="34" t="n"/>
      <c r="X19" s="34" t="n"/>
      <c r="Y19" s="34" t="n"/>
      <c r="Z19" s="34" t="n"/>
      <c r="AA19" s="34" t="n"/>
      <c r="AB19" s="34" t="n"/>
      <c r="AC19" s="34" t="n"/>
      <c r="AD19" s="34" t="n"/>
      <c r="AE19" s="34" t="n"/>
      <c r="AF19" s="34" t="n"/>
      <c r="AG19" s="35" t="n"/>
      <c r="AH19" s="12" t="inlineStr">
        <is>
          <t>PERFORMANCE</t>
        </is>
      </c>
      <c r="AI19" s="34" t="n"/>
      <c r="AJ19" s="34" t="n"/>
      <c r="AK19" s="34" t="n"/>
      <c r="AL19" s="34" t="n"/>
      <c r="AM19" s="34" t="n"/>
      <c r="AN19" s="34" t="n"/>
      <c r="AO19" s="34" t="n"/>
      <c r="AP19" s="34" t="n"/>
      <c r="AQ19" s="34" t="n"/>
      <c r="AR19" s="34" t="n"/>
      <c r="AS19" s="34" t="n"/>
      <c r="AT19" s="34" t="n"/>
      <c r="AU19" s="34" t="n"/>
      <c r="AV19" s="34" t="n"/>
      <c r="AW19" s="35" t="n"/>
      <c r="AX19" s="12" t="inlineStr">
        <is>
          <t>FUNDAMENTALS</t>
        </is>
      </c>
      <c r="AY19" s="34" t="n"/>
      <c r="AZ19" s="34" t="n"/>
      <c r="BA19" s="34" t="n"/>
      <c r="BB19" s="34" t="n"/>
      <c r="BC19" s="34" t="n"/>
      <c r="BD19" s="34" t="n"/>
      <c r="BE19" s="34" t="n"/>
      <c r="BF19" s="34" t="n"/>
      <c r="BG19" s="35" t="n"/>
      <c r="BH19" s="12" t="inlineStr">
        <is>
          <t>A / H</t>
        </is>
      </c>
      <c r="BI19" s="34" t="n"/>
      <c r="BJ19" s="34" t="n"/>
      <c r="BK19" s="34" t="n"/>
      <c r="BL19" s="34" t="n"/>
      <c r="BM19" s="34" t="n"/>
      <c r="BN19" s="34" t="n"/>
      <c r="BO19" s="35" t="n"/>
      <c r="BP19" s="12" t="inlineStr">
        <is>
          <t>BANKS &amp; DOCS</t>
        </is>
      </c>
      <c r="BQ19" s="35" t="n"/>
      <c r="BR19" s="12" t="inlineStr">
        <is>
          <t>SCORING</t>
        </is>
      </c>
      <c r="BS19" s="34" t="n"/>
      <c r="BT19" s="34" t="n"/>
      <c r="BU19" s="35" t="n"/>
    </row>
    <row r="20" ht="26" customHeight="1">
      <c r="A20" s="36" t="inlineStr">
        <is>
          <t>Rank</t>
        </is>
      </c>
      <c r="B20" s="36" t="inlineStr">
        <is>
          <t>Name</t>
        </is>
      </c>
      <c r="C20" s="36" t="inlineStr">
        <is>
          <t>Code</t>
        </is>
      </c>
      <c r="D20" s="36" t="inlineStr">
        <is>
          <t>Sector</t>
        </is>
      </c>
      <c r="E20" s="36" t="inlineStr">
        <is>
          <t>Subsector</t>
        </is>
      </c>
      <c r="F20" s="36" t="inlineStr">
        <is>
          <t>Industry (AAStocks)</t>
        </is>
      </c>
      <c r="G20" s="36" t="inlineStr">
        <is>
          <t>Regime</t>
        </is>
      </c>
      <c r="H20" s="36" t="inlineStr">
        <is>
          <t>IPO date</t>
        </is>
      </c>
      <c r="I20" s="36" t="inlineStr">
        <is>
          <t>Deal size (HK$m)</t>
        </is>
      </c>
      <c r="J20" s="36" t="inlineStr">
        <is>
          <t>Range low (HK$)</t>
        </is>
      </c>
      <c r="K20" s="36" t="inlineStr">
        <is>
          <t>Max/cap (HK$)</t>
        </is>
      </c>
      <c r="L20" s="36" t="inlineStr">
        <is>
          <t>Final px (HK$)</t>
        </is>
      </c>
      <c r="M20" s="36" t="inlineStr">
        <is>
          <t>Priced at cap</t>
        </is>
      </c>
      <c r="N20" s="36" t="inlineStr">
        <is>
          <t>% of cap</t>
        </is>
      </c>
      <c r="O20" s="36" t="inlineStr">
        <is>
          <t>Priced in range %</t>
        </is>
      </c>
      <c r="P20" s="36" t="inlineStr">
        <is>
          <t>Mkt cap at IPO (HK$m)</t>
        </is>
      </c>
      <c r="Q20" s="36" t="inlineStr">
        <is>
          <t>Public sub (x)</t>
        </is>
      </c>
      <c r="R20" s="36" t="inlineStr">
        <is>
          <t>Intl sub (x)</t>
        </is>
      </c>
      <c r="S20" s="36" t="inlineStr">
        <is>
          <t>Cornerstone %</t>
        </is>
      </c>
      <c r="T20" s="36" t="inlineStr">
        <is>
          <t>Eff. free float (HK$m)</t>
        </is>
      </c>
      <c r="U20" s="36" t="inlineStr">
        <is>
          <t>Eff. free float (shares)</t>
        </is>
      </c>
      <c r="V20" s="36" t="inlineStr">
        <is>
          <t>Eff. free float (% of cap)</t>
        </is>
      </c>
      <c r="W20" s="36" t="inlineStr">
        <is>
          <t>Cornerstone investors</t>
        </is>
      </c>
      <c r="X20" s="36" t="inlineStr">
        <is>
          <t>Greenshoe size (%)</t>
        </is>
      </c>
      <c r="Y20" s="36" t="inlineStr">
        <is>
          <t>Grey mkt % vs offer</t>
        </is>
      </c>
      <c r="Z20" s="36" t="inlineStr">
        <is>
          <t>Grey mkt close</t>
        </is>
      </c>
      <c r="AA20" s="36" t="inlineStr">
        <is>
          <t>Grey → day-1</t>
        </is>
      </c>
      <c r="AB20" s="36" t="inlineStr">
        <is>
          <t>Grey called day-1</t>
        </is>
      </c>
      <c r="AC20" s="36" t="inlineStr">
        <is>
          <t>Grey mkt date</t>
        </is>
      </c>
      <c r="AD20" s="36" t="inlineStr">
        <is>
          <t>Shoe outcome (final)</t>
        </is>
      </c>
      <c r="AE20" s="36" t="inlineStr">
        <is>
          <t>Shoe ends (filed)</t>
        </is>
      </c>
      <c r="AF20" s="36" t="inlineStr">
        <is>
          <t>Stabilising manager</t>
        </is>
      </c>
      <c r="AG20" s="36" t="inlineStr">
        <is>
          <t>SM key</t>
        </is>
      </c>
      <c r="AH20" s="36" t="inlineStr">
        <is>
          <t>Day-1</t>
        </is>
      </c>
      <c r="AI20" s="36" t="inlineStr">
        <is>
          <t>Day-1 open pop</t>
        </is>
      </c>
      <c r="AJ20" s="36" t="inlineStr">
        <is>
          <t>Day-1 open→close</t>
        </is>
      </c>
      <c r="AK20" s="36" t="inlineStr">
        <is>
          <t>1-week</t>
        </is>
      </c>
      <c r="AL20" s="36" t="inlineStr">
        <is>
          <t>1-month</t>
        </is>
      </c>
      <c r="AM20" s="36" t="inlineStr">
        <is>
          <t>3-month</t>
        </is>
      </c>
      <c r="AN20" s="37" t="inlineStr">
        <is>
          <t>1w ex-pop</t>
        </is>
      </c>
      <c r="AO20" s="37" t="inlineStr">
        <is>
          <t>1m ex-pop</t>
        </is>
      </c>
      <c r="AP20" s="37" t="inlineStr">
        <is>
          <t>3m ex-pop</t>
        </is>
      </c>
      <c r="AQ20" s="36" t="inlineStr">
        <is>
          <t>Alpha 1w vs index</t>
        </is>
      </c>
      <c r="AR20" s="36" t="inlineStr">
        <is>
          <t>Alpha 1m vs index</t>
        </is>
      </c>
      <c r="AS20" s="36" t="inlineStr">
        <is>
          <t>Alpha 3m vs index</t>
        </is>
      </c>
      <c r="AT20" s="37" t="inlineStr">
        <is>
          <t>Alpha 1m ex-pop</t>
        </is>
      </c>
      <c r="AU20" s="36" t="inlineStr">
        <is>
          <t>Index, IPO→1m</t>
        </is>
      </c>
      <c r="AV20" s="36" t="inlineStr">
        <is>
          <t>Index, d1→1m</t>
        </is>
      </c>
      <c r="AW20" s="36" t="inlineStr">
        <is>
          <t>Since IPO</t>
        </is>
      </c>
      <c r="AX20" s="36" t="inlineStr">
        <is>
          <t>Latest FY rev (HK$m)</t>
        </is>
      </c>
      <c r="AY20" s="36" t="inlineStr">
        <is>
          <t>Latest FY NI (HK$m)</t>
        </is>
      </c>
      <c r="AZ20" s="36" t="inlineStr">
        <is>
          <t>Profitable</t>
        </is>
      </c>
      <c r="BA20" s="36" t="inlineStr">
        <is>
          <t>P/E at IPO</t>
        </is>
      </c>
      <c r="BB20" s="36" t="inlineStr">
        <is>
          <t>P/E at IPO (BBG)</t>
        </is>
      </c>
      <c r="BC20" s="36" t="inlineStr">
        <is>
          <t>P/E today (BBG)</t>
        </is>
      </c>
      <c r="BD20" s="36" t="inlineStr">
        <is>
          <t>P/S at IPO</t>
        </is>
      </c>
      <c r="BE20" s="36" t="inlineStr">
        <is>
          <t>P/S today (BBG)</t>
        </is>
      </c>
      <c r="BF20" s="36" t="inlineStr">
        <is>
          <t>P/E now (x)</t>
        </is>
      </c>
      <c r="BG20" s="36" t="inlineStr">
        <is>
          <t>P/S now (x)</t>
        </is>
      </c>
      <c r="BH20" s="36" t="inlineStr">
        <is>
          <t>A/H pair</t>
        </is>
      </c>
      <c r="BI20" s="36" t="inlineStr">
        <is>
          <t>A-share code</t>
        </is>
      </c>
      <c r="BJ20" s="36" t="inlineStr">
        <is>
          <t>A prem vs H at IPO</t>
        </is>
      </c>
      <c r="BK20" s="36" t="inlineStr">
        <is>
          <t>A close used (HK$)</t>
        </is>
      </c>
      <c r="BL20" s="36" t="inlineStr">
        <is>
          <t>A premium (today)</t>
        </is>
      </c>
      <c r="BM20" s="36" t="inlineStr">
        <is>
          <t>A-line mkt cap now (HK$m)</t>
        </is>
      </c>
      <c r="BN20" s="36" t="inlineStr">
        <is>
          <t>A P/E @H-IPO (BBG)</t>
        </is>
      </c>
      <c r="BO20" s="36" t="inlineStr">
        <is>
          <t>HSAHP @IPO (BBG)</t>
        </is>
      </c>
      <c r="BP20" s="36" t="inlineStr">
        <is>
          <t>Sponsors</t>
        </is>
      </c>
      <c r="BQ20" s="36" t="inlineStr">
        <is>
          <t>Bookrunners</t>
        </is>
      </c>
      <c r="BR20" s="36" t="inlineStr">
        <is>
          <t>Shared CS</t>
        </is>
      </c>
      <c r="BS20" s="36" t="inlineStr">
        <is>
          <t>Match</t>
        </is>
      </c>
      <c r="BT20" s="36" t="inlineStr">
        <is>
          <t>Score</t>
        </is>
      </c>
      <c r="BU20" s="36" t="inlineStr">
        <is>
          <t>why</t>
        </is>
      </c>
    </row>
    <row r="21">
      <c r="A21" s="38">
        <f>IF(OR(1&gt;MAX(3,MIN(15,N($D$18))),IFERROR(LARGE('Calc (scoring engine)'!$K$5:$K$518,1),-999999)&lt;=-900000),"",1)</f>
        <v/>
      </c>
      <c r="B21" s="10">
        <f>IF(OR(1&gt;MAX(3,MIN(15,N($D$18))),IFERROR(LARGE('Calc (scoring engine)'!$K$5:$K$518,1),-999999)&lt;=-900000),"",IFERROR(IF(INDEX(Database!$B$5:$B$518,MATCH(LARGE('Calc (scoring engine)'!$K$5:$K$518,1),'Calc (scoring engine)'!$K$5:$K$518,0))="","—",INDEX(Database!$B$5:$B$518,MATCH(LARGE('Calc (scoring engine)'!$K$5:$K$518,1),'Calc (scoring engine)'!$K$5:$K$518,0))),""))</f>
        <v/>
      </c>
      <c r="C21" s="39">
        <f>IF(OR(1&gt;MAX(3,MIN(15,N($D$18))),IFERROR(LARGE('Calc (scoring engine)'!$K$5:$K$518,1),-999999)&lt;=-900000),"",IFERROR(IF(INDEX(Database!$A$5:$A$518,MATCH(LARGE('Calc (scoring engine)'!$K$5:$K$518,1),'Calc (scoring engine)'!$K$5:$K$518,0))="","—",INDEX(Database!$A$5:$A$518,MATCH(LARGE('Calc (scoring engine)'!$K$5:$K$518,1),'Calc (scoring engine)'!$K$5:$K$518,0))),""))</f>
        <v/>
      </c>
      <c r="D21" s="10">
        <f>IF(OR(1&gt;MAX(3,MIN(15,N($D$18))),IFERROR(LARGE('Calc (scoring engine)'!$K$5:$K$518,1),-999999)&lt;=-900000),"",IFERROR(IF(INDEX(Database!$D$5:$D$518,MATCH(LARGE('Calc (scoring engine)'!$K$5:$K$518,1),'Calc (scoring engine)'!$K$5:$K$518,0))="","—",INDEX(Database!$D$5:$D$518,MATCH(LARGE('Calc (scoring engine)'!$K$5:$K$518,1),'Calc (scoring engine)'!$K$5:$K$518,0))),""))</f>
        <v/>
      </c>
      <c r="E21" s="10">
        <f>IF(OR(1&gt;MAX(3,MIN(15,N($D$18))),IFERROR(LARGE('Calc (scoring engine)'!$K$5:$K$518,1),-999999)&lt;=-900000),"",IFERROR(IF(INDEX(Database!$E$5:$E$518,MATCH(LARGE('Calc (scoring engine)'!$K$5:$K$518,1),'Calc (scoring engine)'!$K$5:$K$518,0))="","—",INDEX(Database!$E$5:$E$518,MATCH(LARGE('Calc (scoring engine)'!$K$5:$K$518,1),'Calc (scoring engine)'!$K$5:$K$518,0))),""))</f>
        <v/>
      </c>
      <c r="F21" s="10">
        <f>IF(OR(1&gt;MAX(3,MIN(15,N($D$18))),IFERROR(LARGE('Calc (scoring engine)'!$K$5:$K$518,1),-999999)&lt;=-900000),"",IFERROR(IF(INDEX(Database!$F$5:$F$518,MATCH(LARGE('Calc (scoring engine)'!$K$5:$K$518,1),'Calc (scoring engine)'!$K$5:$K$518,0))="","—",INDEX(Database!$F$5:$F$518,MATCH(LARGE('Calc (scoring engine)'!$K$5:$K$518,1),'Calc (scoring engine)'!$K$5:$K$518,0))),""))</f>
        <v/>
      </c>
      <c r="G21" s="10">
        <f>IF(OR(1&gt;MAX(3,MIN(15,N($D$18))),IFERROR(LARGE('Calc (scoring engine)'!$K$5:$K$518,1),-999999)&lt;=-900000),"",IFERROR(IF(INDEX(Database!$G$5:$G$518,MATCH(LARGE('Calc (scoring engine)'!$K$5:$K$518,1),'Calc (scoring engine)'!$K$5:$K$518,0))="","—",INDEX(Database!$G$5:$G$518,MATCH(LARGE('Calc (scoring engine)'!$K$5:$K$518,1),'Calc (scoring engine)'!$K$5:$K$518,0))),""))</f>
        <v/>
      </c>
      <c r="H21" s="21">
        <f>IF(OR(1&gt;MAX(3,MIN(15,N($D$18))),IFERROR(LARGE('Calc (scoring engine)'!$K$5:$K$518,1),-999999)&lt;=-900000),"",IFERROR(IF(INDEX(Database!$H$5:$H$518,MATCH(LARGE('Calc (scoring engine)'!$K$5:$K$518,1),'Calc (scoring engine)'!$K$5:$K$518,0))="","—",INDEX(Database!$H$5:$H$518,MATCH(LARGE('Calc (scoring engine)'!$K$5:$K$518,1),'Calc (scoring engine)'!$K$5:$K$518,0))),""))</f>
        <v/>
      </c>
      <c r="I21" s="18">
        <f>IF(OR(1&gt;MAX(3,MIN(15,N($D$18))),IFERROR(LARGE('Calc (scoring engine)'!$K$5:$K$518,1),-999999)&lt;=-900000),"",IFERROR(IF(INDEX(Database!$I$5:$I$518,MATCH(LARGE('Calc (scoring engine)'!$K$5:$K$518,1),'Calc (scoring engine)'!$K$5:$K$518,0))="","—",INDEX(Database!$I$5:$I$518,MATCH(LARGE('Calc (scoring engine)'!$K$5:$K$518,1),'Calc (scoring engine)'!$K$5:$K$518,0))),""))</f>
        <v/>
      </c>
      <c r="J21" s="40">
        <f>IF(OR(1&gt;MAX(3,MIN(15,N($D$18))),IFERROR(LARGE('Calc (scoring engine)'!$K$5:$K$518,1),-999999)&lt;=-900000),"",IFERROR(IF(INDEX(Database!$K$5:$K$518,MATCH(LARGE('Calc (scoring engine)'!$K$5:$K$518,1),'Calc (scoring engine)'!$K$5:$K$518,0))="","—",INDEX(Database!$K$5:$K$518,MATCH(LARGE('Calc (scoring engine)'!$K$5:$K$518,1),'Calc (scoring engine)'!$K$5:$K$518,0))),""))</f>
        <v/>
      </c>
      <c r="K21" s="40">
        <f>IF(OR(1&gt;MAX(3,MIN(15,N($D$18))),IFERROR(LARGE('Calc (scoring engine)'!$K$5:$K$518,1),-999999)&lt;=-900000),"",IFERROR(IF(INDEX(Database!$L$5:$L$518,MATCH(LARGE('Calc (scoring engine)'!$K$5:$K$518,1),'Calc (scoring engine)'!$K$5:$K$518,0))="","—",INDEX(Database!$L$5:$L$518,MATCH(LARGE('Calc (scoring engine)'!$K$5:$K$518,1),'Calc (scoring engine)'!$K$5:$K$518,0))),""))</f>
        <v/>
      </c>
      <c r="L21" s="40">
        <f>IF(OR(1&gt;MAX(3,MIN(15,N($D$18))),IFERROR(LARGE('Calc (scoring engine)'!$K$5:$K$518,1),-999999)&lt;=-900000),"",IFERROR(IF(INDEX(Database!$M$5:$M$518,MATCH(LARGE('Calc (scoring engine)'!$K$5:$K$518,1),'Calc (scoring engine)'!$K$5:$K$518,0))="","—",INDEX(Database!$M$5:$M$518,MATCH(LARGE('Calc (scoring engine)'!$K$5:$K$518,1),'Calc (scoring engine)'!$K$5:$K$518,0))),""))</f>
        <v/>
      </c>
      <c r="M21" s="10">
        <f>IF(OR(1&gt;MAX(3,MIN(15,N($D$18))),IFERROR(LARGE('Calc (scoring engine)'!$K$5:$K$518,1),-999999)&lt;=-900000),"",IFERROR(IF(INDEX(Database!$N$5:$N$518,MATCH(LARGE('Calc (scoring engine)'!$K$5:$K$518,1),'Calc (scoring engine)'!$K$5:$K$518,0))="","—",INDEX(Database!$N$5:$N$518,MATCH(LARGE('Calc (scoring engine)'!$K$5:$K$518,1),'Calc (scoring engine)'!$K$5:$K$518,0))),""))</f>
        <v/>
      </c>
      <c r="N21" s="28">
        <f>IF(OR(1&gt;MAX(3,MIN(15,N($D$18))),IFERROR(LARGE('Calc (scoring engine)'!$K$5:$K$518,1),-999999)&lt;=-900000),"",IFERROR(IF(INDEX(Database!$O$5:$O$518,MATCH(LARGE('Calc (scoring engine)'!$K$5:$K$518,1),'Calc (scoring engine)'!$K$5:$K$518,0))="","—",INDEX(Database!$O$5:$O$518,MATCH(LARGE('Calc (scoring engine)'!$K$5:$K$518,1),'Calc (scoring engine)'!$K$5:$K$518,0))),""))</f>
        <v/>
      </c>
      <c r="O21" s="28">
        <f>IF(OR(1&gt;MAX(3,MIN(15,N($D$18))),IFERROR(LARGE('Calc (scoring engine)'!$K$5:$K$518,1),-999999)&lt;=-900000),"",IFERROR(IF(INDEX(Database!$P$5:$P$518,MATCH(LARGE('Calc (scoring engine)'!$K$5:$K$518,1),'Calc (scoring engine)'!$K$5:$K$518,0))="","—",INDEX(Database!$P$5:$P$518,MATCH(LARGE('Calc (scoring engine)'!$K$5:$K$518,1),'Calc (scoring engine)'!$K$5:$K$518,0))),""))</f>
        <v/>
      </c>
      <c r="P21" s="18">
        <f>IF(OR(1&gt;MAX(3,MIN(15,N($D$18))),IFERROR(LARGE('Calc (scoring engine)'!$K$5:$K$518,1),-999999)&lt;=-900000),"",IFERROR(IF(INDEX(Database!$Q$5:$Q$518,MATCH(LARGE('Calc (scoring engine)'!$K$5:$K$518,1),'Calc (scoring engine)'!$K$5:$K$518,0))="","—",INDEX(Database!$Q$5:$Q$518,MATCH(LARGE('Calc (scoring engine)'!$K$5:$K$518,1),'Calc (scoring engine)'!$K$5:$K$518,0))),""))</f>
        <v/>
      </c>
      <c r="Q21" s="26">
        <f>IF(OR(1&gt;MAX(3,MIN(15,N($D$18))),IFERROR(LARGE('Calc (scoring engine)'!$K$5:$K$518,1),-999999)&lt;=-900000),"",IFERROR(IF(INDEX(Database!$S$5:$S$518,MATCH(LARGE('Calc (scoring engine)'!$K$5:$K$518,1),'Calc (scoring engine)'!$K$5:$K$518,0))="","—",INDEX(Database!$S$5:$S$518,MATCH(LARGE('Calc (scoring engine)'!$K$5:$K$518,1),'Calc (scoring engine)'!$K$5:$K$518,0))),""))</f>
        <v/>
      </c>
      <c r="R21" s="41">
        <f>IF(OR(1&gt;MAX(3,MIN(15,N($D$18))),IFERROR(LARGE('Calc (scoring engine)'!$K$5:$K$518,1),-999999)&lt;=-900000),"",IFERROR(IF(INDEX(Database!$T$5:$T$518,MATCH(LARGE('Calc (scoring engine)'!$K$5:$K$518,1),'Calc (scoring engine)'!$K$5:$K$518,0))="","—",INDEX(Database!$T$5:$T$518,MATCH(LARGE('Calc (scoring engine)'!$K$5:$K$518,1),'Calc (scoring engine)'!$K$5:$K$518,0))),""))</f>
        <v/>
      </c>
      <c r="S21" s="42">
        <f>IF(OR(1&gt;MAX(3,MIN(15,N($D$18))),IFERROR(LARGE('Calc (scoring engine)'!$K$5:$K$518,1),-999999)&lt;=-900000),"",IFERROR(IF(INDEX(Database!$U$5:$U$518,MATCH(LARGE('Calc (scoring engine)'!$K$5:$K$518,1),'Calc (scoring engine)'!$K$5:$K$518,0))="","—",INDEX(Database!$U$5:$U$518,MATCH(LARGE('Calc (scoring engine)'!$K$5:$K$518,1),'Calc (scoring engine)'!$K$5:$K$518,0))),""))</f>
        <v/>
      </c>
      <c r="T21" s="18">
        <f>IF(OR(1&gt;MAX(3,MIN(15,N($D$18))),IFERROR(LARGE('Calc (scoring engine)'!$K$5:$K$518,1),-999999)&lt;=-900000),"",IFERROR(IF(INDEX(Database!$V$5:$V$518,MATCH(LARGE('Calc (scoring engine)'!$K$5:$K$518,1),'Calc (scoring engine)'!$K$5:$K$518,0))="","—",INDEX(Database!$V$5:$V$518,MATCH(LARGE('Calc (scoring engine)'!$K$5:$K$518,1),'Calc (scoring engine)'!$K$5:$K$518,0))),""))</f>
        <v/>
      </c>
      <c r="U21" s="18">
        <f>IF(OR(1&gt;MAX(3,MIN(15,N($D$18))),IFERROR(LARGE('Calc (scoring engine)'!$K$5:$K$518,1),-999999)&lt;=-900000),"",IFERROR(IF(INDEX(Database!$W$5:$W$518,MATCH(LARGE('Calc (scoring engine)'!$K$5:$K$518,1),'Calc (scoring engine)'!$K$5:$K$518,0))="","—",INDEX(Database!$W$5:$W$518,MATCH(LARGE('Calc (scoring engine)'!$K$5:$K$518,1),'Calc (scoring engine)'!$K$5:$K$518,0))),""))</f>
        <v/>
      </c>
      <c r="V21" s="28">
        <f>IF(OR(1&gt;MAX(3,MIN(15,N($D$18))),IFERROR(LARGE('Calc (scoring engine)'!$K$5:$K$518,1),-999999)&lt;=-900000),"",IFERROR(IF(INDEX(Database!$X$5:$X$518,MATCH(LARGE('Calc (scoring engine)'!$K$5:$K$518,1),'Calc (scoring engine)'!$K$5:$K$518,0))="","—",INDEX(Database!$X$5:$X$518,MATCH(LARGE('Calc (scoring engine)'!$K$5:$K$518,1),'Calc (scoring engine)'!$K$5:$K$518,0))),""))</f>
        <v/>
      </c>
      <c r="W21" s="10">
        <f>IF(OR(1&gt;MAX(3,MIN(15,N($D$18))),IFERROR(LARGE('Calc (scoring engine)'!$K$5:$K$518,1),-999999)&lt;=-900000),"",IFERROR(IF(INDEX(Database!$Y$5:$Y$518,MATCH(LARGE('Calc (scoring engine)'!$K$5:$K$518,1),'Calc (scoring engine)'!$K$5:$K$518,0))="","—",INDEX(Database!$Y$5:$Y$518,MATCH(LARGE('Calc (scoring engine)'!$K$5:$K$518,1),'Calc (scoring engine)'!$K$5:$K$518,0))),""))</f>
        <v/>
      </c>
      <c r="X21" s="28">
        <f>IF(OR(1&gt;MAX(3,MIN(15,N($D$18))),IFERROR(LARGE('Calc (scoring engine)'!$K$5:$K$518,1),-999999)&lt;=-900000),"",IFERROR(IF(INDEX(Database!$AA$5:$AA$518,MATCH(LARGE('Calc (scoring engine)'!$K$5:$K$518,1),'Calc (scoring engine)'!$K$5:$K$518,0))="","—",INDEX(Database!$AA$5:$AA$518,MATCH(LARGE('Calc (scoring engine)'!$K$5:$K$518,1),'Calc (scoring engine)'!$K$5:$K$518,0))),""))</f>
        <v/>
      </c>
      <c r="Y21" s="23">
        <f>IF(OR(1&gt;MAX(3,MIN(15,N($D$18))),IFERROR(LARGE('Calc (scoring engine)'!$K$5:$K$518,1),-999999)&lt;=-900000),"",IFERROR(IF(INDEX(Database!$AB$5:$AB$518,MATCH(LARGE('Calc (scoring engine)'!$K$5:$K$518,1),'Calc (scoring engine)'!$K$5:$K$518,0))="","—",INDEX(Database!$AB$5:$AB$518,MATCH(LARGE('Calc (scoring engine)'!$K$5:$K$518,1),'Calc (scoring engine)'!$K$5:$K$518,0))),""))</f>
        <v/>
      </c>
      <c r="Z21" s="40">
        <f>IF(OR(1&gt;MAX(3,MIN(15,N($D$18))),IFERROR(LARGE('Calc (scoring engine)'!$K$5:$K$518,1),-999999)&lt;=-900000),"",IFERROR(IF(INDEX(Database!$AC$5:$AC$518,MATCH(LARGE('Calc (scoring engine)'!$K$5:$K$518,1),'Calc (scoring engine)'!$K$5:$K$518,0))="","—",INDEX(Database!$AC$5:$AC$518,MATCH(LARGE('Calc (scoring engine)'!$K$5:$K$518,1),'Calc (scoring engine)'!$K$5:$K$518,0))),""))</f>
        <v/>
      </c>
      <c r="AA21" s="23">
        <f>IF(OR(1&gt;MAX(3,MIN(15,N($D$18))),IFERROR(LARGE('Calc (scoring engine)'!$K$5:$K$518,1),-999999)&lt;=-900000),"",IFERROR(IF(INDEX(Database!$AD$5:$AD$518,MATCH(LARGE('Calc (scoring engine)'!$K$5:$K$518,1),'Calc (scoring engine)'!$K$5:$K$518,0))="","—",INDEX(Database!$AD$5:$AD$518,MATCH(LARGE('Calc (scoring engine)'!$K$5:$K$518,1),'Calc (scoring engine)'!$K$5:$K$518,0))),""))</f>
        <v/>
      </c>
      <c r="AB21" s="10">
        <f>IF(OR(1&gt;MAX(3,MIN(15,N($D$18))),IFERROR(LARGE('Calc (scoring engine)'!$K$5:$K$518,1),-999999)&lt;=-900000),"",IFERROR(IF(INDEX(Database!$AE$5:$AE$518,MATCH(LARGE('Calc (scoring engine)'!$K$5:$K$518,1),'Calc (scoring engine)'!$K$5:$K$518,0))="","—",INDEX(Database!$AE$5:$AE$518,MATCH(LARGE('Calc (scoring engine)'!$K$5:$K$518,1),'Calc (scoring engine)'!$K$5:$K$518,0))),""))</f>
        <v/>
      </c>
      <c r="AC21" s="10">
        <f>IF(OR(1&gt;MAX(3,MIN(15,N($D$18))),IFERROR(LARGE('Calc (scoring engine)'!$K$5:$K$518,1),-999999)&lt;=-900000),"",IFERROR(IF(INDEX(Database!$AF$5:$AF$518,MATCH(LARGE('Calc (scoring engine)'!$K$5:$K$518,1),'Calc (scoring engine)'!$K$5:$K$518,0))="","—",INDEX(Database!$AF$5:$AF$518,MATCH(LARGE('Calc (scoring engine)'!$K$5:$K$518,1),'Calc (scoring engine)'!$K$5:$K$518,0))),""))</f>
        <v/>
      </c>
      <c r="AD21" s="10">
        <f>IF(OR(1&gt;MAX(3,MIN(15,N($D$18))),IFERROR(LARGE('Calc (scoring engine)'!$K$5:$K$518,1),-999999)&lt;=-900000),"",IFERROR(IF(INDEX(Database!$AG$5:$AG$518,MATCH(LARGE('Calc (scoring engine)'!$K$5:$K$518,1),'Calc (scoring engine)'!$K$5:$K$518,0))="","—",INDEX(Database!$AG$5:$AG$518,MATCH(LARGE('Calc (scoring engine)'!$K$5:$K$518,1),'Calc (scoring engine)'!$K$5:$K$518,0))),""))</f>
        <v/>
      </c>
      <c r="AE21" s="10">
        <f>IF(OR(1&gt;MAX(3,MIN(15,N($D$18))),IFERROR(LARGE('Calc (scoring engine)'!$K$5:$K$518,1),-999999)&lt;=-900000),"",IFERROR(IF(INDEX(Database!$AH$5:$AH$518,MATCH(LARGE('Calc (scoring engine)'!$K$5:$K$518,1),'Calc (scoring engine)'!$K$5:$K$518,0))="","—",INDEX(Database!$AH$5:$AH$518,MATCH(LARGE('Calc (scoring engine)'!$K$5:$K$518,1),'Calc (scoring engine)'!$K$5:$K$518,0))),""))</f>
        <v/>
      </c>
      <c r="AF21" s="10">
        <f>IF(OR(1&gt;MAX(3,MIN(15,N($D$18))),IFERROR(LARGE('Calc (scoring engine)'!$K$5:$K$518,1),-999999)&lt;=-900000),"",IFERROR(IF(INDEX(Database!$AI$5:$AI$518,MATCH(LARGE('Calc (scoring engine)'!$K$5:$K$518,1),'Calc (scoring engine)'!$K$5:$K$518,0))="","—",INDEX(Database!$AI$5:$AI$518,MATCH(LARGE('Calc (scoring engine)'!$K$5:$K$518,1),'Calc (scoring engine)'!$K$5:$K$518,0))),""))</f>
        <v/>
      </c>
      <c r="AG21" s="10">
        <f>IF(OR(1&gt;MAX(3,MIN(15,N($D$18))),IFERROR(LARGE('Calc (scoring engine)'!$K$5:$K$518,1),-999999)&lt;=-900000),"",IFERROR(IF(INDEX(Database!$AJ$5:$AJ$518,MATCH(LARGE('Calc (scoring engine)'!$K$5:$K$518,1),'Calc (scoring engine)'!$K$5:$K$518,0))="","—",INDEX(Database!$AJ$5:$AJ$518,MATCH(LARGE('Calc (scoring engine)'!$K$5:$K$518,1),'Calc (scoring engine)'!$K$5:$K$518,0))),""))</f>
        <v/>
      </c>
      <c r="AH21" s="23">
        <f>IF(OR(1&gt;MAX(3,MIN(15,N($D$18))),IFERROR(LARGE('Calc (scoring engine)'!$K$5:$K$518,1),-999999)&lt;=-900000),"",IFERROR(IF(INDEX(Database!$AK$5:$AK$518,MATCH(LARGE('Calc (scoring engine)'!$K$5:$K$518,1),'Calc (scoring engine)'!$K$5:$K$518,0))="","—",INDEX(Database!$AK$5:$AK$518,MATCH(LARGE('Calc (scoring engine)'!$K$5:$K$518,1),'Calc (scoring engine)'!$K$5:$K$518,0))),""))</f>
        <v/>
      </c>
      <c r="AI21" s="23">
        <f>IF(OR(1&gt;MAX(3,MIN(15,N($D$18))),IFERROR(LARGE('Calc (scoring engine)'!$K$5:$K$518,1),-999999)&lt;=-900000),"",IFERROR(IF(INDEX(Database!$AL$5:$AL$518,MATCH(LARGE('Calc (scoring engine)'!$K$5:$K$518,1),'Calc (scoring engine)'!$K$5:$K$518,0))="","—",INDEX(Database!$AL$5:$AL$518,MATCH(LARGE('Calc (scoring engine)'!$K$5:$K$518,1),'Calc (scoring engine)'!$K$5:$K$518,0))),""))</f>
        <v/>
      </c>
      <c r="AJ21" s="23">
        <f>IF(OR(1&gt;MAX(3,MIN(15,N($D$18))),IFERROR(LARGE('Calc (scoring engine)'!$K$5:$K$518,1),-999999)&lt;=-900000),"",IFERROR(IF(INDEX(Database!$AM$5:$AM$518,MATCH(LARGE('Calc (scoring engine)'!$K$5:$K$518,1),'Calc (scoring engine)'!$K$5:$K$518,0))="","—",INDEX(Database!$AM$5:$AM$518,MATCH(LARGE('Calc (scoring engine)'!$K$5:$K$518,1),'Calc (scoring engine)'!$K$5:$K$518,0))),""))</f>
        <v/>
      </c>
      <c r="AK21" s="23">
        <f>IF(OR(1&gt;MAX(3,MIN(15,N($D$18))),IFERROR(LARGE('Calc (scoring engine)'!$K$5:$K$518,1),-999999)&lt;=-900000),"",IFERROR(IF(INDEX(Database!$AN$5:$AN$518,MATCH(LARGE('Calc (scoring engine)'!$K$5:$K$518,1),'Calc (scoring engine)'!$K$5:$K$518,0))="","—",INDEX(Database!$AN$5:$AN$518,MATCH(LARGE('Calc (scoring engine)'!$K$5:$K$518,1),'Calc (scoring engine)'!$K$5:$K$518,0))),""))</f>
        <v/>
      </c>
      <c r="AL21" s="23">
        <f>IF(OR(1&gt;MAX(3,MIN(15,N($D$18))),IFERROR(LARGE('Calc (scoring engine)'!$K$5:$K$518,1),-999999)&lt;=-900000),"",IFERROR(IF(INDEX(Database!$AO$5:$AO$518,MATCH(LARGE('Calc (scoring engine)'!$K$5:$K$518,1),'Calc (scoring engine)'!$K$5:$K$518,0))="","—",INDEX(Database!$AO$5:$AO$518,MATCH(LARGE('Calc (scoring engine)'!$K$5:$K$518,1),'Calc (scoring engine)'!$K$5:$K$518,0))),""))</f>
        <v/>
      </c>
      <c r="AM21" s="23">
        <f>IF(OR(1&gt;MAX(3,MIN(15,N($D$18))),IFERROR(LARGE('Calc (scoring engine)'!$K$5:$K$518,1),-999999)&lt;=-900000),"",IFERROR(IF(INDEX(Database!$AP$5:$AP$518,MATCH(LARGE('Calc (scoring engine)'!$K$5:$K$518,1),'Calc (scoring engine)'!$K$5:$K$518,0))="","—",INDEX(Database!$AP$5:$AP$518,MATCH(LARGE('Calc (scoring engine)'!$K$5:$K$518,1),'Calc (scoring engine)'!$K$5:$K$518,0))),""))</f>
        <v/>
      </c>
      <c r="AN21" s="23">
        <f>IF(OR(1&gt;MAX(3,MIN(15,N($D$18))),IFERROR(LARGE('Calc (scoring engine)'!$K$5:$K$518,1),-999999)&lt;=-900000),"",IFERROR(IF(INDEX(Database!$AQ$5:$AQ$518,MATCH(LARGE('Calc (scoring engine)'!$K$5:$K$518,1),'Calc (scoring engine)'!$K$5:$K$518,0))="","—",INDEX(Database!$AQ$5:$AQ$518,MATCH(LARGE('Calc (scoring engine)'!$K$5:$K$518,1),'Calc (scoring engine)'!$K$5:$K$518,0))),""))</f>
        <v/>
      </c>
      <c r="AO21" s="23">
        <f>IF(OR(1&gt;MAX(3,MIN(15,N($D$18))),IFERROR(LARGE('Calc (scoring engine)'!$K$5:$K$518,1),-999999)&lt;=-900000),"",IFERROR(IF(INDEX(Database!$AR$5:$AR$518,MATCH(LARGE('Calc (scoring engine)'!$K$5:$K$518,1),'Calc (scoring engine)'!$K$5:$K$518,0))="","—",INDEX(Database!$AR$5:$AR$518,MATCH(LARGE('Calc (scoring engine)'!$K$5:$K$518,1),'Calc (scoring engine)'!$K$5:$K$518,0))),""))</f>
        <v/>
      </c>
      <c r="AP21" s="23">
        <f>IF(OR(1&gt;MAX(3,MIN(15,N($D$18))),IFERROR(LARGE('Calc (scoring engine)'!$K$5:$K$518,1),-999999)&lt;=-900000),"",IFERROR(IF(INDEX(Database!$AS$5:$AS$518,MATCH(LARGE('Calc (scoring engine)'!$K$5:$K$518,1),'Calc (scoring engine)'!$K$5:$K$518,0))="","—",INDEX(Database!$AS$5:$AS$518,MATCH(LARGE('Calc (scoring engine)'!$K$5:$K$518,1),'Calc (scoring engine)'!$K$5:$K$518,0))),""))</f>
        <v/>
      </c>
      <c r="AQ21" s="23">
        <f>IF(OR(1&gt;MAX(3,MIN(15,N($D$18))),IFERROR(LARGE('Calc (scoring engine)'!$K$5:$K$518,1),-999999)&lt;=-900000),"",IFERROR(IF(INDEX(Database!$AT$5:$AT$518,MATCH(LARGE('Calc (scoring engine)'!$K$5:$K$518,1),'Calc (scoring engine)'!$K$5:$K$518,0))="","—",INDEX(Database!$AT$5:$AT$518,MATCH(LARGE('Calc (scoring engine)'!$K$5:$K$518,1),'Calc (scoring engine)'!$K$5:$K$518,0))),""))</f>
        <v/>
      </c>
      <c r="AR21" s="23">
        <f>IF(OR(1&gt;MAX(3,MIN(15,N($D$18))),IFERROR(LARGE('Calc (scoring engine)'!$K$5:$K$518,1),-999999)&lt;=-900000),"",IFERROR(IF(INDEX(Database!$AU$5:$AU$518,MATCH(LARGE('Calc (scoring engine)'!$K$5:$K$518,1),'Calc (scoring engine)'!$K$5:$K$518,0))="","—",INDEX(Database!$AU$5:$AU$518,MATCH(LARGE('Calc (scoring engine)'!$K$5:$K$518,1),'Calc (scoring engine)'!$K$5:$K$518,0))),""))</f>
        <v/>
      </c>
      <c r="AS21" s="23">
        <f>IF(OR(1&gt;MAX(3,MIN(15,N($D$18))),IFERROR(LARGE('Calc (scoring engine)'!$K$5:$K$518,1),-999999)&lt;=-900000),"",IFERROR(IF(INDEX(Database!$AV$5:$AV$518,MATCH(LARGE('Calc (scoring engine)'!$K$5:$K$518,1),'Calc (scoring engine)'!$K$5:$K$518,0))="","—",INDEX(Database!$AV$5:$AV$518,MATCH(LARGE('Calc (scoring engine)'!$K$5:$K$518,1),'Calc (scoring engine)'!$K$5:$K$518,0))),""))</f>
        <v/>
      </c>
      <c r="AT21" s="23">
        <f>IF(OR(1&gt;MAX(3,MIN(15,N($D$18))),IFERROR(LARGE('Calc (scoring engine)'!$K$5:$K$518,1),-999999)&lt;=-900000),"",IFERROR(IF(INDEX(Database!$AW$5:$AW$518,MATCH(LARGE('Calc (scoring engine)'!$K$5:$K$518,1),'Calc (scoring engine)'!$K$5:$K$518,0))="","—",INDEX(Database!$AW$5:$AW$518,MATCH(LARGE('Calc (scoring engine)'!$K$5:$K$518,1),'Calc (scoring engine)'!$K$5:$K$518,0))),""))</f>
        <v/>
      </c>
      <c r="AU21" s="23">
        <f>IF(OR(1&gt;MAX(3,MIN(15,N($D$18))),IFERROR(LARGE('Calc (scoring engine)'!$K$5:$K$518,1),-999999)&lt;=-900000),"",IFERROR(IF(INDEX(Database!$AX$5:$AX$518,MATCH(LARGE('Calc (scoring engine)'!$K$5:$K$518,1),'Calc (scoring engine)'!$K$5:$K$518,0))="","—",INDEX(Database!$AX$5:$AX$518,MATCH(LARGE('Calc (scoring engine)'!$K$5:$K$518,1),'Calc (scoring engine)'!$K$5:$K$518,0))),""))</f>
        <v/>
      </c>
      <c r="AV21" s="23">
        <f>IF(OR(1&gt;MAX(3,MIN(15,N($D$18))),IFERROR(LARGE('Calc (scoring engine)'!$K$5:$K$518,1),-999999)&lt;=-900000),"",IFERROR(IF(INDEX(Database!$AY$5:$AY$518,MATCH(LARGE('Calc (scoring engine)'!$K$5:$K$518,1),'Calc (scoring engine)'!$K$5:$K$518,0))="","—",INDEX(Database!$AY$5:$AY$518,MATCH(LARGE('Calc (scoring engine)'!$K$5:$K$518,1),'Calc (scoring engine)'!$K$5:$K$518,0))),""))</f>
        <v/>
      </c>
      <c r="AW21" s="23">
        <f>IF(OR(1&gt;MAX(3,MIN(15,N($D$18))),IFERROR(LARGE('Calc (scoring engine)'!$K$5:$K$518,1),-999999)&lt;=-900000),"",IFERROR(IF(INDEX(Database!$BA$5:$BA$518,MATCH(LARGE('Calc (scoring engine)'!$K$5:$K$518,1),'Calc (scoring engine)'!$K$5:$K$518,0))="","—",INDEX(Database!$BA$5:$BA$518,MATCH(LARGE('Calc (scoring engine)'!$K$5:$K$518,1),'Calc (scoring engine)'!$K$5:$K$518,0))),""))</f>
        <v/>
      </c>
      <c r="AX21" s="18">
        <f>IF(OR(1&gt;MAX(3,MIN(15,N($D$18))),IFERROR(LARGE('Calc (scoring engine)'!$K$5:$K$518,1),-999999)&lt;=-900000),"",IFERROR(IF(INDEX(Database!$BC$5:$BC$518,MATCH(LARGE('Calc (scoring engine)'!$K$5:$K$518,1),'Calc (scoring engine)'!$K$5:$K$518,0))="","—",INDEX(Database!$BC$5:$BC$518,MATCH(LARGE('Calc (scoring engine)'!$K$5:$K$518,1),'Calc (scoring engine)'!$K$5:$K$518,0))),""))</f>
        <v/>
      </c>
      <c r="AY21" s="18">
        <f>IF(OR(1&gt;MAX(3,MIN(15,N($D$18))),IFERROR(LARGE('Calc (scoring engine)'!$K$5:$K$518,1),-999999)&lt;=-900000),"",IFERROR(IF(INDEX(Database!$BD$5:$BD$518,MATCH(LARGE('Calc (scoring engine)'!$K$5:$K$518,1),'Calc (scoring engine)'!$K$5:$K$518,0))="","—",INDEX(Database!$BD$5:$BD$518,MATCH(LARGE('Calc (scoring engine)'!$K$5:$K$518,1),'Calc (scoring engine)'!$K$5:$K$518,0))),""))</f>
        <v/>
      </c>
      <c r="AZ21" s="10">
        <f>IF(OR(1&gt;MAX(3,MIN(15,N($D$18))),IFERROR(LARGE('Calc (scoring engine)'!$K$5:$K$518,1),-999999)&lt;=-900000),"",IFERROR(IF(INDEX(Database!$BE$5:$BE$518,MATCH(LARGE('Calc (scoring engine)'!$K$5:$K$518,1),'Calc (scoring engine)'!$K$5:$K$518,0))="","—",INDEX(Database!$BE$5:$BE$518,MATCH(LARGE('Calc (scoring engine)'!$K$5:$K$518,1),'Calc (scoring engine)'!$K$5:$K$518,0))),""))</f>
        <v/>
      </c>
      <c r="BA21" s="24">
        <f>IF(OR(1&gt;MAX(3,MIN(15,N($D$18))),IFERROR(LARGE('Calc (scoring engine)'!$K$5:$K$518,1),-999999)&lt;=-900000),"",IFERROR(IF(N(INDEX(Database!$BF$5:$BF$518,MATCH(LARGE('Calc (scoring engine)'!$K$5:$K$518,1),'Calc (scoring engine)'!$K$5:$K$518,0)))&lt;=0,IF(INDEX(Database!$BE$5:$BE$518,MATCH(LARGE('Calc (scoring engine)'!$K$5:$K$518,1),'Calc (scoring engine)'!$K$5:$K$518,0))="N","n/m","—"),INDEX(Database!$BF$5:$BF$518,MATCH(LARGE('Calc (scoring engine)'!$K$5:$K$518,1),'Calc (scoring engine)'!$K$5:$K$518,0))),""))</f>
        <v/>
      </c>
      <c r="BB21" s="24">
        <f>IF(OR(1&gt;MAX(3,MIN(15,N($D$18))),IFERROR(LARGE('Calc (scoring engine)'!$K$5:$K$518,1),-999999)&lt;=-900000),"",IFERROR(IF(INDEX(Database!$BG$5:$BG$518,MATCH(LARGE('Calc (scoring engine)'!$K$5:$K$518,1),'Calc (scoring engine)'!$K$5:$K$518,0))="","—",INDEX(Database!$BG$5:$BG$518,MATCH(LARGE('Calc (scoring engine)'!$K$5:$K$518,1),'Calc (scoring engine)'!$K$5:$K$518,0))),""))</f>
        <v/>
      </c>
      <c r="BC21" s="24">
        <f>IF(OR(1&gt;MAX(3,MIN(15,N($D$18))),IFERROR(LARGE('Calc (scoring engine)'!$K$5:$K$518,1),-999999)&lt;=-900000),"",IFERROR(IF(INDEX(Database!$BH$5:$BH$518,MATCH(LARGE('Calc (scoring engine)'!$K$5:$K$518,1),'Calc (scoring engine)'!$K$5:$K$518,0))="","—",INDEX(Database!$BH$5:$BH$518,MATCH(LARGE('Calc (scoring engine)'!$K$5:$K$518,1),'Calc (scoring engine)'!$K$5:$K$518,0))),""))</f>
        <v/>
      </c>
      <c r="BD21" s="24">
        <f>IF(OR(1&gt;MAX(3,MIN(15,N($D$18))),IFERROR(LARGE('Calc (scoring engine)'!$K$5:$K$518,1),-999999)&lt;=-900000),"",IFERROR(IF(INDEX(Database!$BI$5:$BI$518,MATCH(LARGE('Calc (scoring engine)'!$K$5:$K$518,1),'Calc (scoring engine)'!$K$5:$K$518,0))="","—",INDEX(Database!$BI$5:$BI$518,MATCH(LARGE('Calc (scoring engine)'!$K$5:$K$518,1),'Calc (scoring engine)'!$K$5:$K$518,0))),""))</f>
        <v/>
      </c>
      <c r="BE21" s="24">
        <f>IF(OR(1&gt;MAX(3,MIN(15,N($D$18))),IFERROR(LARGE('Calc (scoring engine)'!$K$5:$K$518,1),-999999)&lt;=-900000),"",IFERROR(IF(INDEX(Database!$BJ$5:$BJ$518,MATCH(LARGE('Calc (scoring engine)'!$K$5:$K$518,1),'Calc (scoring engine)'!$K$5:$K$518,0))="","—",INDEX(Database!$BJ$5:$BJ$518,MATCH(LARGE('Calc (scoring engine)'!$K$5:$K$518,1),'Calc (scoring engine)'!$K$5:$K$518,0))),""))</f>
        <v/>
      </c>
      <c r="BF21" s="24">
        <f>IF(OR(1&gt;MAX(3,MIN(15,N($D$18))),IFERROR(LARGE('Calc (scoring engine)'!$K$5:$K$518,1),-999999)&lt;=-900000),"",IFERROR(IFERROR(BDP(TEXT(INDEX(Database!$A$5:$A$518,MATCH(LARGE('Calc (scoring engine)'!$K$5:$K$518,1),'Calc (scoring engine)'!$K$5:$K$518,0)),"0")&amp;" HK Equity","PE_RATIO"),IF(INDEX(Database!$BH$5:$BH$518,MATCH(LARGE('Calc (scoring engine)'!$K$5:$K$518,1),'Calc (scoring engine)'!$K$5:$K$518,0))="","—",INDEX(Database!$BH$5:$BH$518,MATCH(LARGE('Calc (scoring engine)'!$K$5:$K$518,1),'Calc (scoring engine)'!$K$5:$K$518,0)))),""))</f>
        <v/>
      </c>
      <c r="BG21" s="24">
        <f>IF(OR(1&gt;MAX(3,MIN(15,N($D$18))),IFERROR(LARGE('Calc (scoring engine)'!$K$5:$K$518,1),-999999)&lt;=-900000),"",IFERROR(IFERROR(BDP(TEXT(INDEX(Database!$A$5:$A$518,MATCH(LARGE('Calc (scoring engine)'!$K$5:$K$518,1),'Calc (scoring engine)'!$K$5:$K$518,0)),"0")&amp;" HK Equity","PX_TO_SALES_RATIO"),IF(INDEX(Database!$BI$5:$BI$518,MATCH(LARGE('Calc (scoring engine)'!$K$5:$K$518,1),'Calc (scoring engine)'!$K$5:$K$518,0))="","—",INDEX(Database!$BI$5:$BI$518,MATCH(LARGE('Calc (scoring engine)'!$K$5:$K$518,1),'Calc (scoring engine)'!$K$5:$K$518,0)))),""))</f>
        <v/>
      </c>
      <c r="BH21" s="10">
        <f>IF(OR(1&gt;MAX(3,MIN(15,N($D$18))),IFERROR(LARGE('Calc (scoring engine)'!$K$5:$K$518,1),-999999)&lt;=-900000),"",IFERROR(IF(INDEX(Database!$BK$5:$BK$518,MATCH(LARGE('Calc (scoring engine)'!$K$5:$K$518,1),'Calc (scoring engine)'!$K$5:$K$518,0))="","—",INDEX(Database!$BK$5:$BK$518,MATCH(LARGE('Calc (scoring engine)'!$K$5:$K$518,1),'Calc (scoring engine)'!$K$5:$K$518,0))),""))</f>
        <v/>
      </c>
      <c r="BI21" s="10">
        <f>IF(OR(1&gt;MAX(3,MIN(15,N($D$18))),IFERROR(LARGE('Calc (scoring engine)'!$K$5:$K$518,1),-999999)&lt;=-900000),"",IFERROR(IF(INDEX(Database!$BL$5:$BL$518,MATCH(LARGE('Calc (scoring engine)'!$K$5:$K$518,1),'Calc (scoring engine)'!$K$5:$K$518,0))="","—",INDEX(Database!$BL$5:$BL$518,MATCH(LARGE('Calc (scoring engine)'!$K$5:$K$518,1),'Calc (scoring engine)'!$K$5:$K$518,0))),""))</f>
        <v/>
      </c>
      <c r="BJ21" s="23">
        <f>IF(OR(1&gt;MAX(3,MIN(15,N($D$18))),IFERROR(LARGE('Calc (scoring engine)'!$K$5:$K$518,1),-999999)&lt;=-900000),"",IFERROR(IF(INDEX(Database!$BM$5:$BM$518,MATCH(LARGE('Calc (scoring engine)'!$K$5:$K$518,1),'Calc (scoring engine)'!$K$5:$K$518,0))="","—",INDEX(Database!$BM$5:$BM$518,MATCH(LARGE('Calc (scoring engine)'!$K$5:$K$518,1),'Calc (scoring engine)'!$K$5:$K$518,0))),""))</f>
        <v/>
      </c>
      <c r="BK21" s="40">
        <f>IF(OR(1&gt;MAX(3,MIN(15,N($D$18))),IFERROR(LARGE('Calc (scoring engine)'!$K$5:$K$518,1),-999999)&lt;=-900000),"",IFERROR(IF(INDEX(Database!$BN$5:$BN$518,MATCH(LARGE('Calc (scoring engine)'!$K$5:$K$518,1),'Calc (scoring engine)'!$K$5:$K$518,0))="","—",INDEX(Database!$BN$5:$BN$518,MATCH(LARGE('Calc (scoring engine)'!$K$5:$K$518,1),'Calc (scoring engine)'!$K$5:$K$518,0))),""))</f>
        <v/>
      </c>
      <c r="BL21" s="43">
        <f>IF(OR(1&gt;MAX(3,MIN(15,N($D$18))),IFERROR(LARGE('Calc (scoring engine)'!$K$5:$K$518,1),-999999)&lt;=-900000),"",IFERROR(IF(INDEX(Database!$BO$5:$BO$518,MATCH(LARGE('Calc (scoring engine)'!$K$5:$K$518,1),'Calc (scoring engine)'!$K$5:$K$518,0))="","—",INDEX(Database!$BO$5:$BO$518,MATCH(LARGE('Calc (scoring engine)'!$K$5:$K$518,1),'Calc (scoring engine)'!$K$5:$K$518,0))),""))</f>
        <v/>
      </c>
      <c r="BM21" s="18">
        <f>IF(OR(1&gt;MAX(3,MIN(15,N($D$18))),IFERROR(LARGE('Calc (scoring engine)'!$K$5:$K$518,1),-999999)&lt;=-900000),"",IFERROR(IF(INDEX(Database!$BP$5:$BP$518,MATCH(LARGE('Calc (scoring engine)'!$K$5:$K$518,1),'Calc (scoring engine)'!$K$5:$K$518,0))="","—",INDEX(Database!$BP$5:$BP$518,MATCH(LARGE('Calc (scoring engine)'!$K$5:$K$518,1),'Calc (scoring engine)'!$K$5:$K$518,0))),""))</f>
        <v/>
      </c>
      <c r="BN21" s="24">
        <f>IF(OR(1&gt;MAX(3,MIN(15,N($D$18))),IFERROR(LARGE('Calc (scoring engine)'!$K$5:$K$518,1),-999999)&lt;=-900000),"",IFERROR(IF(INDEX(Database!$BQ$5:$BQ$518,MATCH(LARGE('Calc (scoring engine)'!$K$5:$K$518,1),'Calc (scoring engine)'!$K$5:$K$518,0))="","—",INDEX(Database!$BQ$5:$BQ$518,MATCH(LARGE('Calc (scoring engine)'!$K$5:$K$518,1),'Calc (scoring engine)'!$K$5:$K$518,0))),""))</f>
        <v/>
      </c>
      <c r="BO21" s="24">
        <f>IF(OR(1&gt;MAX(3,MIN(15,N($D$18))),IFERROR(LARGE('Calc (scoring engine)'!$K$5:$K$518,1),-999999)&lt;=-900000),"",IFERROR(IF(INDEX(Database!$BR$5:$BR$518,MATCH(LARGE('Calc (scoring engine)'!$K$5:$K$518,1),'Calc (scoring engine)'!$K$5:$K$518,0))="","—",INDEX(Database!$BR$5:$BR$518,MATCH(LARGE('Calc (scoring engine)'!$K$5:$K$518,1),'Calc (scoring engine)'!$K$5:$K$518,0))),""))</f>
        <v/>
      </c>
      <c r="BP21" s="10">
        <f>IF(OR(1&gt;MAX(3,MIN(15,N($D$18))),IFERROR(LARGE('Calc (scoring engine)'!$K$5:$K$518,1),-999999)&lt;=-900000),"",IFERROR(IF(INDEX(Database!$BS$5:$BS$518,MATCH(LARGE('Calc (scoring engine)'!$K$5:$K$518,1),'Calc (scoring engine)'!$K$5:$K$518,0))="","—",INDEX(Database!$BS$5:$BS$518,MATCH(LARGE('Calc (scoring engine)'!$K$5:$K$518,1),'Calc (scoring engine)'!$K$5:$K$518,0))),""))</f>
        <v/>
      </c>
      <c r="BQ21" s="10">
        <f>IF(OR(1&gt;MAX(3,MIN(15,N($D$18))),IFERROR(LARGE('Calc (scoring engine)'!$K$5:$K$518,1),-999999)&lt;=-900000),"",IFERROR(IF(INDEX(Database!$BU$5:$BU$518,MATCH(LARGE('Calc (scoring engine)'!$K$5:$K$518,1),'Calc (scoring engine)'!$K$5:$K$518,0))="","—",INDEX(Database!$BU$5:$BU$518,MATCH(LARGE('Calc (scoring engine)'!$K$5:$K$518,1),'Calc (scoring engine)'!$K$5:$K$518,0))),""))</f>
        <v/>
      </c>
      <c r="BR21" s="44">
        <f>IF(OR(1&gt;MAX(3,MIN(15,N($D$18))),IFERROR(LARGE('Calc (scoring engine)'!$K$5:$K$518,1),-999999)&lt;=-900000),"",IFERROR(IF(INDEX('Calc (scoring engine)'!$H$5:$H$518,MATCH(LARGE('Calc (scoring engine)'!$K$5:$K$518,1),'Calc (scoring engine)'!$K$5:$K$518,0))&gt;0,INDEX('Calc (scoring engine)'!$H$5:$H$518,MATCH(LARGE('Calc (scoring engine)'!$K$5:$K$518,1),'Calc (scoring engine)'!$K$5:$K$518,0)),""),""))</f>
        <v/>
      </c>
      <c r="BS21" s="10">
        <f>IF(OR(1&gt;MAX(3,MIN(15,N($D$18))),IFERROR(LARGE('Calc (scoring engine)'!$K$5:$K$518,1),-999999)&lt;=-900000),"",IF(IFERROR(INDEX('Calc (scoring engine)'!$B$5:$B$518,MATCH(LARGE('Calc (scoring engine)'!$K$5:$K$518,1),'Calc (scoring engine)'!$K$5:$K$518,0)),0)=1,"same subsector","sector only"))</f>
        <v/>
      </c>
      <c r="BT21" s="44">
        <f>IF(OR(1&gt;MAX(3,MIN(15,N($D$18))),IFERROR(LARGE('Calc (scoring engine)'!$K$5:$K$518,1),-999999)&lt;=-900000),"",ROUND(IFERROR(LARGE('Calc (scoring engine)'!$K$5:$K$518,1),0),0))</f>
        <v/>
      </c>
      <c r="BU21" s="10">
        <f>IF(OR(1&gt;MAX(3,MIN(15,N($D$18))),IFERROR(LARGE('Calc (scoring engine)'!$K$5:$K$518,1),-999999)&lt;=-900000),"",IFERROR("sub "&amp;INDEX('Calc (scoring engine)'!$B$5:$B$518,MATCH(LARGE('Calc (scoring engine)'!$K$5:$K$518,1),'Calc (scoring engine)'!$K$5:$K$518,0))*W_SUB&amp;" + size "&amp;ROUND(INDEX('Calc (scoring engine)'!$D$5:$D$518,MATCH(LARGE('Calc (scoring engine)'!$K$5:$K$518,1),'Calc (scoring engine)'!$K$5:$K$518,0))*W_SIZE,0)&amp;" + prof "&amp;INDEX('Calc (scoring engine)'!$E$5:$E$518,MATCH(LARGE('Calc (scoring engine)'!$K$5:$K$518,1),'Calc (scoring engine)'!$K$5:$K$518,0))*W_PROF&amp;" + recency "&amp;ROUND(INDEX('Calc (scoring engine)'!$G$5:$G$518,MATCH(LARGE('Calc (scoring engine)'!$K$5:$K$518,1),'Calc (scoring engine)'!$K$5:$K$518,0))*W_REC,0)&amp;IF(INDEX('Calc (scoring engine)'!$H$5:$H$518,MATCH(LARGE('Calc (scoring engine)'!$K$5:$K$518,1),'Calc (scoring engine)'!$K$5:$K$518,0))&gt;0," + shared CS x"&amp;INDEX('Calc (scoring engine)'!$H$5:$H$518,MATCH(LARGE('Calc (scoring engine)'!$K$5:$K$518,1),'Calc (scoring engine)'!$K$5:$K$518,0)),""),""))</f>
        <v/>
      </c>
    </row>
    <row r="22">
      <c r="A22" s="38">
        <f>IF(OR(2&gt;MAX(3,MIN(15,N($D$18))),IFERROR(LARGE('Calc (scoring engine)'!$K$5:$K$518,2),-999999)&lt;=-900000),"",2)</f>
        <v/>
      </c>
      <c r="B22" s="10">
        <f>IF(OR(2&gt;MAX(3,MIN(15,N($D$18))),IFERROR(LARGE('Calc (scoring engine)'!$K$5:$K$518,2),-999999)&lt;=-900000),"",IFERROR(IF(INDEX(Database!$B$5:$B$518,MATCH(LARGE('Calc (scoring engine)'!$K$5:$K$518,2),'Calc (scoring engine)'!$K$5:$K$518,0))="","—",INDEX(Database!$B$5:$B$518,MATCH(LARGE('Calc (scoring engine)'!$K$5:$K$518,2),'Calc (scoring engine)'!$K$5:$K$518,0))),""))</f>
        <v/>
      </c>
      <c r="C22" s="39">
        <f>IF(OR(2&gt;MAX(3,MIN(15,N($D$18))),IFERROR(LARGE('Calc (scoring engine)'!$K$5:$K$518,2),-999999)&lt;=-900000),"",IFERROR(IF(INDEX(Database!$A$5:$A$518,MATCH(LARGE('Calc (scoring engine)'!$K$5:$K$518,2),'Calc (scoring engine)'!$K$5:$K$518,0))="","—",INDEX(Database!$A$5:$A$518,MATCH(LARGE('Calc (scoring engine)'!$K$5:$K$518,2),'Calc (scoring engine)'!$K$5:$K$518,0))),""))</f>
        <v/>
      </c>
      <c r="D22" s="10">
        <f>IF(OR(2&gt;MAX(3,MIN(15,N($D$18))),IFERROR(LARGE('Calc (scoring engine)'!$K$5:$K$518,2),-999999)&lt;=-900000),"",IFERROR(IF(INDEX(Database!$D$5:$D$518,MATCH(LARGE('Calc (scoring engine)'!$K$5:$K$518,2),'Calc (scoring engine)'!$K$5:$K$518,0))="","—",INDEX(Database!$D$5:$D$518,MATCH(LARGE('Calc (scoring engine)'!$K$5:$K$518,2),'Calc (scoring engine)'!$K$5:$K$518,0))),""))</f>
        <v/>
      </c>
      <c r="E22" s="10">
        <f>IF(OR(2&gt;MAX(3,MIN(15,N($D$18))),IFERROR(LARGE('Calc (scoring engine)'!$K$5:$K$518,2),-999999)&lt;=-900000),"",IFERROR(IF(INDEX(Database!$E$5:$E$518,MATCH(LARGE('Calc (scoring engine)'!$K$5:$K$518,2),'Calc (scoring engine)'!$K$5:$K$518,0))="","—",INDEX(Database!$E$5:$E$518,MATCH(LARGE('Calc (scoring engine)'!$K$5:$K$518,2),'Calc (scoring engine)'!$K$5:$K$518,0))),""))</f>
        <v/>
      </c>
      <c r="F22" s="10">
        <f>IF(OR(2&gt;MAX(3,MIN(15,N($D$18))),IFERROR(LARGE('Calc (scoring engine)'!$K$5:$K$518,2),-999999)&lt;=-900000),"",IFERROR(IF(INDEX(Database!$F$5:$F$518,MATCH(LARGE('Calc (scoring engine)'!$K$5:$K$518,2),'Calc (scoring engine)'!$K$5:$K$518,0))="","—",INDEX(Database!$F$5:$F$518,MATCH(LARGE('Calc (scoring engine)'!$K$5:$K$518,2),'Calc (scoring engine)'!$K$5:$K$518,0))),""))</f>
        <v/>
      </c>
      <c r="G22" s="10">
        <f>IF(OR(2&gt;MAX(3,MIN(15,N($D$18))),IFERROR(LARGE('Calc (scoring engine)'!$K$5:$K$518,2),-999999)&lt;=-900000),"",IFERROR(IF(INDEX(Database!$G$5:$G$518,MATCH(LARGE('Calc (scoring engine)'!$K$5:$K$518,2),'Calc (scoring engine)'!$K$5:$K$518,0))="","—",INDEX(Database!$G$5:$G$518,MATCH(LARGE('Calc (scoring engine)'!$K$5:$K$518,2),'Calc (scoring engine)'!$K$5:$K$518,0))),""))</f>
        <v/>
      </c>
      <c r="H22" s="21">
        <f>IF(OR(2&gt;MAX(3,MIN(15,N($D$18))),IFERROR(LARGE('Calc (scoring engine)'!$K$5:$K$518,2),-999999)&lt;=-900000),"",IFERROR(IF(INDEX(Database!$H$5:$H$518,MATCH(LARGE('Calc (scoring engine)'!$K$5:$K$518,2),'Calc (scoring engine)'!$K$5:$K$518,0))="","—",INDEX(Database!$H$5:$H$518,MATCH(LARGE('Calc (scoring engine)'!$K$5:$K$518,2),'Calc (scoring engine)'!$K$5:$K$518,0))),""))</f>
        <v/>
      </c>
      <c r="I22" s="18">
        <f>IF(OR(2&gt;MAX(3,MIN(15,N($D$18))),IFERROR(LARGE('Calc (scoring engine)'!$K$5:$K$518,2),-999999)&lt;=-900000),"",IFERROR(IF(INDEX(Database!$I$5:$I$518,MATCH(LARGE('Calc (scoring engine)'!$K$5:$K$518,2),'Calc (scoring engine)'!$K$5:$K$518,0))="","—",INDEX(Database!$I$5:$I$518,MATCH(LARGE('Calc (scoring engine)'!$K$5:$K$518,2),'Calc (scoring engine)'!$K$5:$K$518,0))),""))</f>
        <v/>
      </c>
      <c r="J22" s="40">
        <f>IF(OR(2&gt;MAX(3,MIN(15,N($D$18))),IFERROR(LARGE('Calc (scoring engine)'!$K$5:$K$518,2),-999999)&lt;=-900000),"",IFERROR(IF(INDEX(Database!$K$5:$K$518,MATCH(LARGE('Calc (scoring engine)'!$K$5:$K$518,2),'Calc (scoring engine)'!$K$5:$K$518,0))="","—",INDEX(Database!$K$5:$K$518,MATCH(LARGE('Calc (scoring engine)'!$K$5:$K$518,2),'Calc (scoring engine)'!$K$5:$K$518,0))),""))</f>
        <v/>
      </c>
      <c r="K22" s="40">
        <f>IF(OR(2&gt;MAX(3,MIN(15,N($D$18))),IFERROR(LARGE('Calc (scoring engine)'!$K$5:$K$518,2),-999999)&lt;=-900000),"",IFERROR(IF(INDEX(Database!$L$5:$L$518,MATCH(LARGE('Calc (scoring engine)'!$K$5:$K$518,2),'Calc (scoring engine)'!$K$5:$K$518,0))="","—",INDEX(Database!$L$5:$L$518,MATCH(LARGE('Calc (scoring engine)'!$K$5:$K$518,2),'Calc (scoring engine)'!$K$5:$K$518,0))),""))</f>
        <v/>
      </c>
      <c r="L22" s="40">
        <f>IF(OR(2&gt;MAX(3,MIN(15,N($D$18))),IFERROR(LARGE('Calc (scoring engine)'!$K$5:$K$518,2),-999999)&lt;=-900000),"",IFERROR(IF(INDEX(Database!$M$5:$M$518,MATCH(LARGE('Calc (scoring engine)'!$K$5:$K$518,2),'Calc (scoring engine)'!$K$5:$K$518,0))="","—",INDEX(Database!$M$5:$M$518,MATCH(LARGE('Calc (scoring engine)'!$K$5:$K$518,2),'Calc (scoring engine)'!$K$5:$K$518,0))),""))</f>
        <v/>
      </c>
      <c r="M22" s="10">
        <f>IF(OR(2&gt;MAX(3,MIN(15,N($D$18))),IFERROR(LARGE('Calc (scoring engine)'!$K$5:$K$518,2),-999999)&lt;=-900000),"",IFERROR(IF(INDEX(Database!$N$5:$N$518,MATCH(LARGE('Calc (scoring engine)'!$K$5:$K$518,2),'Calc (scoring engine)'!$K$5:$K$518,0))="","—",INDEX(Database!$N$5:$N$518,MATCH(LARGE('Calc (scoring engine)'!$K$5:$K$518,2),'Calc (scoring engine)'!$K$5:$K$518,0))),""))</f>
        <v/>
      </c>
      <c r="N22" s="28">
        <f>IF(OR(2&gt;MAX(3,MIN(15,N($D$18))),IFERROR(LARGE('Calc (scoring engine)'!$K$5:$K$518,2),-999999)&lt;=-900000),"",IFERROR(IF(INDEX(Database!$O$5:$O$518,MATCH(LARGE('Calc (scoring engine)'!$K$5:$K$518,2),'Calc (scoring engine)'!$K$5:$K$518,0))="","—",INDEX(Database!$O$5:$O$518,MATCH(LARGE('Calc (scoring engine)'!$K$5:$K$518,2),'Calc (scoring engine)'!$K$5:$K$518,0))),""))</f>
        <v/>
      </c>
      <c r="O22" s="28">
        <f>IF(OR(2&gt;MAX(3,MIN(15,N($D$18))),IFERROR(LARGE('Calc (scoring engine)'!$K$5:$K$518,2),-999999)&lt;=-900000),"",IFERROR(IF(INDEX(Database!$P$5:$P$518,MATCH(LARGE('Calc (scoring engine)'!$K$5:$K$518,2),'Calc (scoring engine)'!$K$5:$K$518,0))="","—",INDEX(Database!$P$5:$P$518,MATCH(LARGE('Calc (scoring engine)'!$K$5:$K$518,2),'Calc (scoring engine)'!$K$5:$K$518,0))),""))</f>
        <v/>
      </c>
      <c r="P22" s="18">
        <f>IF(OR(2&gt;MAX(3,MIN(15,N($D$18))),IFERROR(LARGE('Calc (scoring engine)'!$K$5:$K$518,2),-999999)&lt;=-900000),"",IFERROR(IF(INDEX(Database!$Q$5:$Q$518,MATCH(LARGE('Calc (scoring engine)'!$K$5:$K$518,2),'Calc (scoring engine)'!$K$5:$K$518,0))="","—",INDEX(Database!$Q$5:$Q$518,MATCH(LARGE('Calc (scoring engine)'!$K$5:$K$518,2),'Calc (scoring engine)'!$K$5:$K$518,0))),""))</f>
        <v/>
      </c>
      <c r="Q22" s="26">
        <f>IF(OR(2&gt;MAX(3,MIN(15,N($D$18))),IFERROR(LARGE('Calc (scoring engine)'!$K$5:$K$518,2),-999999)&lt;=-900000),"",IFERROR(IF(INDEX(Database!$S$5:$S$518,MATCH(LARGE('Calc (scoring engine)'!$K$5:$K$518,2),'Calc (scoring engine)'!$K$5:$K$518,0))="","—",INDEX(Database!$S$5:$S$518,MATCH(LARGE('Calc (scoring engine)'!$K$5:$K$518,2),'Calc (scoring engine)'!$K$5:$K$518,0))),""))</f>
        <v/>
      </c>
      <c r="R22" s="41">
        <f>IF(OR(2&gt;MAX(3,MIN(15,N($D$18))),IFERROR(LARGE('Calc (scoring engine)'!$K$5:$K$518,2),-999999)&lt;=-900000),"",IFERROR(IF(INDEX(Database!$T$5:$T$518,MATCH(LARGE('Calc (scoring engine)'!$K$5:$K$518,2),'Calc (scoring engine)'!$K$5:$K$518,0))="","—",INDEX(Database!$T$5:$T$518,MATCH(LARGE('Calc (scoring engine)'!$K$5:$K$518,2),'Calc (scoring engine)'!$K$5:$K$518,0))),""))</f>
        <v/>
      </c>
      <c r="S22" s="42">
        <f>IF(OR(2&gt;MAX(3,MIN(15,N($D$18))),IFERROR(LARGE('Calc (scoring engine)'!$K$5:$K$518,2),-999999)&lt;=-900000),"",IFERROR(IF(INDEX(Database!$U$5:$U$518,MATCH(LARGE('Calc (scoring engine)'!$K$5:$K$518,2),'Calc (scoring engine)'!$K$5:$K$518,0))="","—",INDEX(Database!$U$5:$U$518,MATCH(LARGE('Calc (scoring engine)'!$K$5:$K$518,2),'Calc (scoring engine)'!$K$5:$K$518,0))),""))</f>
        <v/>
      </c>
      <c r="T22" s="18">
        <f>IF(OR(2&gt;MAX(3,MIN(15,N($D$18))),IFERROR(LARGE('Calc (scoring engine)'!$K$5:$K$518,2),-999999)&lt;=-900000),"",IFERROR(IF(INDEX(Database!$V$5:$V$518,MATCH(LARGE('Calc (scoring engine)'!$K$5:$K$518,2),'Calc (scoring engine)'!$K$5:$K$518,0))="","—",INDEX(Database!$V$5:$V$518,MATCH(LARGE('Calc (scoring engine)'!$K$5:$K$518,2),'Calc (scoring engine)'!$K$5:$K$518,0))),""))</f>
        <v/>
      </c>
      <c r="U22" s="18">
        <f>IF(OR(2&gt;MAX(3,MIN(15,N($D$18))),IFERROR(LARGE('Calc (scoring engine)'!$K$5:$K$518,2),-999999)&lt;=-900000),"",IFERROR(IF(INDEX(Database!$W$5:$W$518,MATCH(LARGE('Calc (scoring engine)'!$K$5:$K$518,2),'Calc (scoring engine)'!$K$5:$K$518,0))="","—",INDEX(Database!$W$5:$W$518,MATCH(LARGE('Calc (scoring engine)'!$K$5:$K$518,2),'Calc (scoring engine)'!$K$5:$K$518,0))),""))</f>
        <v/>
      </c>
      <c r="V22" s="28">
        <f>IF(OR(2&gt;MAX(3,MIN(15,N($D$18))),IFERROR(LARGE('Calc (scoring engine)'!$K$5:$K$518,2),-999999)&lt;=-900000),"",IFERROR(IF(INDEX(Database!$X$5:$X$518,MATCH(LARGE('Calc (scoring engine)'!$K$5:$K$518,2),'Calc (scoring engine)'!$K$5:$K$518,0))="","—",INDEX(Database!$X$5:$X$518,MATCH(LARGE('Calc (scoring engine)'!$K$5:$K$518,2),'Calc (scoring engine)'!$K$5:$K$518,0))),""))</f>
        <v/>
      </c>
      <c r="W22" s="10">
        <f>IF(OR(2&gt;MAX(3,MIN(15,N($D$18))),IFERROR(LARGE('Calc (scoring engine)'!$K$5:$K$518,2),-999999)&lt;=-900000),"",IFERROR(IF(INDEX(Database!$Y$5:$Y$518,MATCH(LARGE('Calc (scoring engine)'!$K$5:$K$518,2),'Calc (scoring engine)'!$K$5:$K$518,0))="","—",INDEX(Database!$Y$5:$Y$518,MATCH(LARGE('Calc (scoring engine)'!$K$5:$K$518,2),'Calc (scoring engine)'!$K$5:$K$518,0))),""))</f>
        <v/>
      </c>
      <c r="X22" s="28">
        <f>IF(OR(2&gt;MAX(3,MIN(15,N($D$18))),IFERROR(LARGE('Calc (scoring engine)'!$K$5:$K$518,2),-999999)&lt;=-900000),"",IFERROR(IF(INDEX(Database!$AA$5:$AA$518,MATCH(LARGE('Calc (scoring engine)'!$K$5:$K$518,2),'Calc (scoring engine)'!$K$5:$K$518,0))="","—",INDEX(Database!$AA$5:$AA$518,MATCH(LARGE('Calc (scoring engine)'!$K$5:$K$518,2),'Calc (scoring engine)'!$K$5:$K$518,0))),""))</f>
        <v/>
      </c>
      <c r="Y22" s="23">
        <f>IF(OR(2&gt;MAX(3,MIN(15,N($D$18))),IFERROR(LARGE('Calc (scoring engine)'!$K$5:$K$518,2),-999999)&lt;=-900000),"",IFERROR(IF(INDEX(Database!$AB$5:$AB$518,MATCH(LARGE('Calc (scoring engine)'!$K$5:$K$518,2),'Calc (scoring engine)'!$K$5:$K$518,0))="","—",INDEX(Database!$AB$5:$AB$518,MATCH(LARGE('Calc (scoring engine)'!$K$5:$K$518,2),'Calc (scoring engine)'!$K$5:$K$518,0))),""))</f>
        <v/>
      </c>
      <c r="Z22" s="40">
        <f>IF(OR(2&gt;MAX(3,MIN(15,N($D$18))),IFERROR(LARGE('Calc (scoring engine)'!$K$5:$K$518,2),-999999)&lt;=-900000),"",IFERROR(IF(INDEX(Database!$AC$5:$AC$518,MATCH(LARGE('Calc (scoring engine)'!$K$5:$K$518,2),'Calc (scoring engine)'!$K$5:$K$518,0))="","—",INDEX(Database!$AC$5:$AC$518,MATCH(LARGE('Calc (scoring engine)'!$K$5:$K$518,2),'Calc (scoring engine)'!$K$5:$K$518,0))),""))</f>
        <v/>
      </c>
      <c r="AA22" s="23">
        <f>IF(OR(2&gt;MAX(3,MIN(15,N($D$18))),IFERROR(LARGE('Calc (scoring engine)'!$K$5:$K$518,2),-999999)&lt;=-900000),"",IFERROR(IF(INDEX(Database!$AD$5:$AD$518,MATCH(LARGE('Calc (scoring engine)'!$K$5:$K$518,2),'Calc (scoring engine)'!$K$5:$K$518,0))="","—",INDEX(Database!$AD$5:$AD$518,MATCH(LARGE('Calc (scoring engine)'!$K$5:$K$518,2),'Calc (scoring engine)'!$K$5:$K$518,0))),""))</f>
        <v/>
      </c>
      <c r="AB22" s="10">
        <f>IF(OR(2&gt;MAX(3,MIN(15,N($D$18))),IFERROR(LARGE('Calc (scoring engine)'!$K$5:$K$518,2),-999999)&lt;=-900000),"",IFERROR(IF(INDEX(Database!$AE$5:$AE$518,MATCH(LARGE('Calc (scoring engine)'!$K$5:$K$518,2),'Calc (scoring engine)'!$K$5:$K$518,0))="","—",INDEX(Database!$AE$5:$AE$518,MATCH(LARGE('Calc (scoring engine)'!$K$5:$K$518,2),'Calc (scoring engine)'!$K$5:$K$518,0))),""))</f>
        <v/>
      </c>
      <c r="AC22" s="10">
        <f>IF(OR(2&gt;MAX(3,MIN(15,N($D$18))),IFERROR(LARGE('Calc (scoring engine)'!$K$5:$K$518,2),-999999)&lt;=-900000),"",IFERROR(IF(INDEX(Database!$AF$5:$AF$518,MATCH(LARGE('Calc (scoring engine)'!$K$5:$K$518,2),'Calc (scoring engine)'!$K$5:$K$518,0))="","—",INDEX(Database!$AF$5:$AF$518,MATCH(LARGE('Calc (scoring engine)'!$K$5:$K$518,2),'Calc (scoring engine)'!$K$5:$K$518,0))),""))</f>
        <v/>
      </c>
      <c r="AD22" s="10">
        <f>IF(OR(2&gt;MAX(3,MIN(15,N($D$18))),IFERROR(LARGE('Calc (scoring engine)'!$K$5:$K$518,2),-999999)&lt;=-900000),"",IFERROR(IF(INDEX(Database!$AG$5:$AG$518,MATCH(LARGE('Calc (scoring engine)'!$K$5:$K$518,2),'Calc (scoring engine)'!$K$5:$K$518,0))="","—",INDEX(Database!$AG$5:$AG$518,MATCH(LARGE('Calc (scoring engine)'!$K$5:$K$518,2),'Calc (scoring engine)'!$K$5:$K$518,0))),""))</f>
        <v/>
      </c>
      <c r="AE22" s="10">
        <f>IF(OR(2&gt;MAX(3,MIN(15,N($D$18))),IFERROR(LARGE('Calc (scoring engine)'!$K$5:$K$518,2),-999999)&lt;=-900000),"",IFERROR(IF(INDEX(Database!$AH$5:$AH$518,MATCH(LARGE('Calc (scoring engine)'!$K$5:$K$518,2),'Calc (scoring engine)'!$K$5:$K$518,0))="","—",INDEX(Database!$AH$5:$AH$518,MATCH(LARGE('Calc (scoring engine)'!$K$5:$K$518,2),'Calc (scoring engine)'!$K$5:$K$518,0))),""))</f>
        <v/>
      </c>
      <c r="AF22" s="10">
        <f>IF(OR(2&gt;MAX(3,MIN(15,N($D$18))),IFERROR(LARGE('Calc (scoring engine)'!$K$5:$K$518,2),-999999)&lt;=-900000),"",IFERROR(IF(INDEX(Database!$AI$5:$AI$518,MATCH(LARGE('Calc (scoring engine)'!$K$5:$K$518,2),'Calc (scoring engine)'!$K$5:$K$518,0))="","—",INDEX(Database!$AI$5:$AI$518,MATCH(LARGE('Calc (scoring engine)'!$K$5:$K$518,2),'Calc (scoring engine)'!$K$5:$K$518,0))),""))</f>
        <v/>
      </c>
      <c r="AG22" s="10">
        <f>IF(OR(2&gt;MAX(3,MIN(15,N($D$18))),IFERROR(LARGE('Calc (scoring engine)'!$K$5:$K$518,2),-999999)&lt;=-900000),"",IFERROR(IF(INDEX(Database!$AJ$5:$AJ$518,MATCH(LARGE('Calc (scoring engine)'!$K$5:$K$518,2),'Calc (scoring engine)'!$K$5:$K$518,0))="","—",INDEX(Database!$AJ$5:$AJ$518,MATCH(LARGE('Calc (scoring engine)'!$K$5:$K$518,2),'Calc (scoring engine)'!$K$5:$K$518,0))),""))</f>
        <v/>
      </c>
      <c r="AH22" s="23">
        <f>IF(OR(2&gt;MAX(3,MIN(15,N($D$18))),IFERROR(LARGE('Calc (scoring engine)'!$K$5:$K$518,2),-999999)&lt;=-900000),"",IFERROR(IF(INDEX(Database!$AK$5:$AK$518,MATCH(LARGE('Calc (scoring engine)'!$K$5:$K$518,2),'Calc (scoring engine)'!$K$5:$K$518,0))="","—",INDEX(Database!$AK$5:$AK$518,MATCH(LARGE('Calc (scoring engine)'!$K$5:$K$518,2),'Calc (scoring engine)'!$K$5:$K$518,0))),""))</f>
        <v/>
      </c>
      <c r="AI22" s="23">
        <f>IF(OR(2&gt;MAX(3,MIN(15,N($D$18))),IFERROR(LARGE('Calc (scoring engine)'!$K$5:$K$518,2),-999999)&lt;=-900000),"",IFERROR(IF(INDEX(Database!$AL$5:$AL$518,MATCH(LARGE('Calc (scoring engine)'!$K$5:$K$518,2),'Calc (scoring engine)'!$K$5:$K$518,0))="","—",INDEX(Database!$AL$5:$AL$518,MATCH(LARGE('Calc (scoring engine)'!$K$5:$K$518,2),'Calc (scoring engine)'!$K$5:$K$518,0))),""))</f>
        <v/>
      </c>
      <c r="AJ22" s="23">
        <f>IF(OR(2&gt;MAX(3,MIN(15,N($D$18))),IFERROR(LARGE('Calc (scoring engine)'!$K$5:$K$518,2),-999999)&lt;=-900000),"",IFERROR(IF(INDEX(Database!$AM$5:$AM$518,MATCH(LARGE('Calc (scoring engine)'!$K$5:$K$518,2),'Calc (scoring engine)'!$K$5:$K$518,0))="","—",INDEX(Database!$AM$5:$AM$518,MATCH(LARGE('Calc (scoring engine)'!$K$5:$K$518,2),'Calc (scoring engine)'!$K$5:$K$518,0))),""))</f>
        <v/>
      </c>
      <c r="AK22" s="23">
        <f>IF(OR(2&gt;MAX(3,MIN(15,N($D$18))),IFERROR(LARGE('Calc (scoring engine)'!$K$5:$K$518,2),-999999)&lt;=-900000),"",IFERROR(IF(INDEX(Database!$AN$5:$AN$518,MATCH(LARGE('Calc (scoring engine)'!$K$5:$K$518,2),'Calc (scoring engine)'!$K$5:$K$518,0))="","—",INDEX(Database!$AN$5:$AN$518,MATCH(LARGE('Calc (scoring engine)'!$K$5:$K$518,2),'Calc (scoring engine)'!$K$5:$K$518,0))),""))</f>
        <v/>
      </c>
      <c r="AL22" s="23">
        <f>IF(OR(2&gt;MAX(3,MIN(15,N($D$18))),IFERROR(LARGE('Calc (scoring engine)'!$K$5:$K$518,2),-999999)&lt;=-900000),"",IFERROR(IF(INDEX(Database!$AO$5:$AO$518,MATCH(LARGE('Calc (scoring engine)'!$K$5:$K$518,2),'Calc (scoring engine)'!$K$5:$K$518,0))="","—",INDEX(Database!$AO$5:$AO$518,MATCH(LARGE('Calc (scoring engine)'!$K$5:$K$518,2),'Calc (scoring engine)'!$K$5:$K$518,0))),""))</f>
        <v/>
      </c>
      <c r="AM22" s="23">
        <f>IF(OR(2&gt;MAX(3,MIN(15,N($D$18))),IFERROR(LARGE('Calc (scoring engine)'!$K$5:$K$518,2),-999999)&lt;=-900000),"",IFERROR(IF(INDEX(Database!$AP$5:$AP$518,MATCH(LARGE('Calc (scoring engine)'!$K$5:$K$518,2),'Calc (scoring engine)'!$K$5:$K$518,0))="","—",INDEX(Database!$AP$5:$AP$518,MATCH(LARGE('Calc (scoring engine)'!$K$5:$K$518,2),'Calc (scoring engine)'!$K$5:$K$518,0))),""))</f>
        <v/>
      </c>
      <c r="AN22" s="23">
        <f>IF(OR(2&gt;MAX(3,MIN(15,N($D$18))),IFERROR(LARGE('Calc (scoring engine)'!$K$5:$K$518,2),-999999)&lt;=-900000),"",IFERROR(IF(INDEX(Database!$AQ$5:$AQ$518,MATCH(LARGE('Calc (scoring engine)'!$K$5:$K$518,2),'Calc (scoring engine)'!$K$5:$K$518,0))="","—",INDEX(Database!$AQ$5:$AQ$518,MATCH(LARGE('Calc (scoring engine)'!$K$5:$K$518,2),'Calc (scoring engine)'!$K$5:$K$518,0))),""))</f>
        <v/>
      </c>
      <c r="AO22" s="23">
        <f>IF(OR(2&gt;MAX(3,MIN(15,N($D$18))),IFERROR(LARGE('Calc (scoring engine)'!$K$5:$K$518,2),-999999)&lt;=-900000),"",IFERROR(IF(INDEX(Database!$AR$5:$AR$518,MATCH(LARGE('Calc (scoring engine)'!$K$5:$K$518,2),'Calc (scoring engine)'!$K$5:$K$518,0))="","—",INDEX(Database!$AR$5:$AR$518,MATCH(LARGE('Calc (scoring engine)'!$K$5:$K$518,2),'Calc (scoring engine)'!$K$5:$K$518,0))),""))</f>
        <v/>
      </c>
      <c r="AP22" s="23">
        <f>IF(OR(2&gt;MAX(3,MIN(15,N($D$18))),IFERROR(LARGE('Calc (scoring engine)'!$K$5:$K$518,2),-999999)&lt;=-900000),"",IFERROR(IF(INDEX(Database!$AS$5:$AS$518,MATCH(LARGE('Calc (scoring engine)'!$K$5:$K$518,2),'Calc (scoring engine)'!$K$5:$K$518,0))="","—",INDEX(Database!$AS$5:$AS$518,MATCH(LARGE('Calc (scoring engine)'!$K$5:$K$518,2),'Calc (scoring engine)'!$K$5:$K$518,0))),""))</f>
        <v/>
      </c>
      <c r="AQ22" s="23">
        <f>IF(OR(2&gt;MAX(3,MIN(15,N($D$18))),IFERROR(LARGE('Calc (scoring engine)'!$K$5:$K$518,2),-999999)&lt;=-900000),"",IFERROR(IF(INDEX(Database!$AT$5:$AT$518,MATCH(LARGE('Calc (scoring engine)'!$K$5:$K$518,2),'Calc (scoring engine)'!$K$5:$K$518,0))="","—",INDEX(Database!$AT$5:$AT$518,MATCH(LARGE('Calc (scoring engine)'!$K$5:$K$518,2),'Calc (scoring engine)'!$K$5:$K$518,0))),""))</f>
        <v/>
      </c>
      <c r="AR22" s="23">
        <f>IF(OR(2&gt;MAX(3,MIN(15,N($D$18))),IFERROR(LARGE('Calc (scoring engine)'!$K$5:$K$518,2),-999999)&lt;=-900000),"",IFERROR(IF(INDEX(Database!$AU$5:$AU$518,MATCH(LARGE('Calc (scoring engine)'!$K$5:$K$518,2),'Calc (scoring engine)'!$K$5:$K$518,0))="","—",INDEX(Database!$AU$5:$AU$518,MATCH(LARGE('Calc (scoring engine)'!$K$5:$K$518,2),'Calc (scoring engine)'!$K$5:$K$518,0))),""))</f>
        <v/>
      </c>
      <c r="AS22" s="23">
        <f>IF(OR(2&gt;MAX(3,MIN(15,N($D$18))),IFERROR(LARGE('Calc (scoring engine)'!$K$5:$K$518,2),-999999)&lt;=-900000),"",IFERROR(IF(INDEX(Database!$AV$5:$AV$518,MATCH(LARGE('Calc (scoring engine)'!$K$5:$K$518,2),'Calc (scoring engine)'!$K$5:$K$518,0))="","—",INDEX(Database!$AV$5:$AV$518,MATCH(LARGE('Calc (scoring engine)'!$K$5:$K$518,2),'Calc (scoring engine)'!$K$5:$K$518,0))),""))</f>
        <v/>
      </c>
      <c r="AT22" s="23">
        <f>IF(OR(2&gt;MAX(3,MIN(15,N($D$18))),IFERROR(LARGE('Calc (scoring engine)'!$K$5:$K$518,2),-999999)&lt;=-900000),"",IFERROR(IF(INDEX(Database!$AW$5:$AW$518,MATCH(LARGE('Calc (scoring engine)'!$K$5:$K$518,2),'Calc (scoring engine)'!$K$5:$K$518,0))="","—",INDEX(Database!$AW$5:$AW$518,MATCH(LARGE('Calc (scoring engine)'!$K$5:$K$518,2),'Calc (scoring engine)'!$K$5:$K$518,0))),""))</f>
        <v/>
      </c>
      <c r="AU22" s="23">
        <f>IF(OR(2&gt;MAX(3,MIN(15,N($D$18))),IFERROR(LARGE('Calc (scoring engine)'!$K$5:$K$518,2),-999999)&lt;=-900000),"",IFERROR(IF(INDEX(Database!$AX$5:$AX$518,MATCH(LARGE('Calc (scoring engine)'!$K$5:$K$518,2),'Calc (scoring engine)'!$K$5:$K$518,0))="","—",INDEX(Database!$AX$5:$AX$518,MATCH(LARGE('Calc (scoring engine)'!$K$5:$K$518,2),'Calc (scoring engine)'!$K$5:$K$518,0))),""))</f>
        <v/>
      </c>
      <c r="AV22" s="23">
        <f>IF(OR(2&gt;MAX(3,MIN(15,N($D$18))),IFERROR(LARGE('Calc (scoring engine)'!$K$5:$K$518,2),-999999)&lt;=-900000),"",IFERROR(IF(INDEX(Database!$AY$5:$AY$518,MATCH(LARGE('Calc (scoring engine)'!$K$5:$K$518,2),'Calc (scoring engine)'!$K$5:$K$518,0))="","—",INDEX(Database!$AY$5:$AY$518,MATCH(LARGE('Calc (scoring engine)'!$K$5:$K$518,2),'Calc (scoring engine)'!$K$5:$K$518,0))),""))</f>
        <v/>
      </c>
      <c r="AW22" s="23">
        <f>IF(OR(2&gt;MAX(3,MIN(15,N($D$18))),IFERROR(LARGE('Calc (scoring engine)'!$K$5:$K$518,2),-999999)&lt;=-900000),"",IFERROR(IF(INDEX(Database!$BA$5:$BA$518,MATCH(LARGE('Calc (scoring engine)'!$K$5:$K$518,2),'Calc (scoring engine)'!$K$5:$K$518,0))="","—",INDEX(Database!$BA$5:$BA$518,MATCH(LARGE('Calc (scoring engine)'!$K$5:$K$518,2),'Calc (scoring engine)'!$K$5:$K$518,0))),""))</f>
        <v/>
      </c>
      <c r="AX22" s="18">
        <f>IF(OR(2&gt;MAX(3,MIN(15,N($D$18))),IFERROR(LARGE('Calc (scoring engine)'!$K$5:$K$518,2),-999999)&lt;=-900000),"",IFERROR(IF(INDEX(Database!$BC$5:$BC$518,MATCH(LARGE('Calc (scoring engine)'!$K$5:$K$518,2),'Calc (scoring engine)'!$K$5:$K$518,0))="","—",INDEX(Database!$BC$5:$BC$518,MATCH(LARGE('Calc (scoring engine)'!$K$5:$K$518,2),'Calc (scoring engine)'!$K$5:$K$518,0))),""))</f>
        <v/>
      </c>
      <c r="AY22" s="18">
        <f>IF(OR(2&gt;MAX(3,MIN(15,N($D$18))),IFERROR(LARGE('Calc (scoring engine)'!$K$5:$K$518,2),-999999)&lt;=-900000),"",IFERROR(IF(INDEX(Database!$BD$5:$BD$518,MATCH(LARGE('Calc (scoring engine)'!$K$5:$K$518,2),'Calc (scoring engine)'!$K$5:$K$518,0))="","—",INDEX(Database!$BD$5:$BD$518,MATCH(LARGE('Calc (scoring engine)'!$K$5:$K$518,2),'Calc (scoring engine)'!$K$5:$K$518,0))),""))</f>
        <v/>
      </c>
      <c r="AZ22" s="10">
        <f>IF(OR(2&gt;MAX(3,MIN(15,N($D$18))),IFERROR(LARGE('Calc (scoring engine)'!$K$5:$K$518,2),-999999)&lt;=-900000),"",IFERROR(IF(INDEX(Database!$BE$5:$BE$518,MATCH(LARGE('Calc (scoring engine)'!$K$5:$K$518,2),'Calc (scoring engine)'!$K$5:$K$518,0))="","—",INDEX(Database!$BE$5:$BE$518,MATCH(LARGE('Calc (scoring engine)'!$K$5:$K$518,2),'Calc (scoring engine)'!$K$5:$K$518,0))),""))</f>
        <v/>
      </c>
      <c r="BA22" s="24">
        <f>IF(OR(2&gt;MAX(3,MIN(15,N($D$18))),IFERROR(LARGE('Calc (scoring engine)'!$K$5:$K$518,2),-999999)&lt;=-900000),"",IFERROR(IF(N(INDEX(Database!$BF$5:$BF$518,MATCH(LARGE('Calc (scoring engine)'!$K$5:$K$518,2),'Calc (scoring engine)'!$K$5:$K$518,0)))&lt;=0,IF(INDEX(Database!$BE$5:$BE$518,MATCH(LARGE('Calc (scoring engine)'!$K$5:$K$518,2),'Calc (scoring engine)'!$K$5:$K$518,0))="N","n/m","—"),INDEX(Database!$BF$5:$BF$518,MATCH(LARGE('Calc (scoring engine)'!$K$5:$K$518,2),'Calc (scoring engine)'!$K$5:$K$518,0))),""))</f>
        <v/>
      </c>
      <c r="BB22" s="24">
        <f>IF(OR(2&gt;MAX(3,MIN(15,N($D$18))),IFERROR(LARGE('Calc (scoring engine)'!$K$5:$K$518,2),-999999)&lt;=-900000),"",IFERROR(IF(INDEX(Database!$BG$5:$BG$518,MATCH(LARGE('Calc (scoring engine)'!$K$5:$K$518,2),'Calc (scoring engine)'!$K$5:$K$518,0))="","—",INDEX(Database!$BG$5:$BG$518,MATCH(LARGE('Calc (scoring engine)'!$K$5:$K$518,2),'Calc (scoring engine)'!$K$5:$K$518,0))),""))</f>
        <v/>
      </c>
      <c r="BC22" s="24">
        <f>IF(OR(2&gt;MAX(3,MIN(15,N($D$18))),IFERROR(LARGE('Calc (scoring engine)'!$K$5:$K$518,2),-999999)&lt;=-900000),"",IFERROR(IF(INDEX(Database!$BH$5:$BH$518,MATCH(LARGE('Calc (scoring engine)'!$K$5:$K$518,2),'Calc (scoring engine)'!$K$5:$K$518,0))="","—",INDEX(Database!$BH$5:$BH$518,MATCH(LARGE('Calc (scoring engine)'!$K$5:$K$518,2),'Calc (scoring engine)'!$K$5:$K$518,0))),""))</f>
        <v/>
      </c>
      <c r="BD22" s="24">
        <f>IF(OR(2&gt;MAX(3,MIN(15,N($D$18))),IFERROR(LARGE('Calc (scoring engine)'!$K$5:$K$518,2),-999999)&lt;=-900000),"",IFERROR(IF(INDEX(Database!$BI$5:$BI$518,MATCH(LARGE('Calc (scoring engine)'!$K$5:$K$518,2),'Calc (scoring engine)'!$K$5:$K$518,0))="","—",INDEX(Database!$BI$5:$BI$518,MATCH(LARGE('Calc (scoring engine)'!$K$5:$K$518,2),'Calc (scoring engine)'!$K$5:$K$518,0))),""))</f>
        <v/>
      </c>
      <c r="BE22" s="24">
        <f>IF(OR(2&gt;MAX(3,MIN(15,N($D$18))),IFERROR(LARGE('Calc (scoring engine)'!$K$5:$K$518,2),-999999)&lt;=-900000),"",IFERROR(IF(INDEX(Database!$BJ$5:$BJ$518,MATCH(LARGE('Calc (scoring engine)'!$K$5:$K$518,2),'Calc (scoring engine)'!$K$5:$K$518,0))="","—",INDEX(Database!$BJ$5:$BJ$518,MATCH(LARGE('Calc (scoring engine)'!$K$5:$K$518,2),'Calc (scoring engine)'!$K$5:$K$518,0))),""))</f>
        <v/>
      </c>
      <c r="BF22" s="24">
        <f>IF(OR(2&gt;MAX(3,MIN(15,N($D$18))),IFERROR(LARGE('Calc (scoring engine)'!$K$5:$K$518,2),-999999)&lt;=-900000),"",IFERROR(IFERROR(BDP(TEXT(INDEX(Database!$A$5:$A$518,MATCH(LARGE('Calc (scoring engine)'!$K$5:$K$518,2),'Calc (scoring engine)'!$K$5:$K$518,0)),"0")&amp;" HK Equity","PE_RATIO"),IF(INDEX(Database!$BH$5:$BH$518,MATCH(LARGE('Calc (scoring engine)'!$K$5:$K$518,2),'Calc (scoring engine)'!$K$5:$K$518,0))="","—",INDEX(Database!$BH$5:$BH$518,MATCH(LARGE('Calc (scoring engine)'!$K$5:$K$518,2),'Calc (scoring engine)'!$K$5:$K$518,0)))),""))</f>
        <v/>
      </c>
      <c r="BG22" s="24">
        <f>IF(OR(2&gt;MAX(3,MIN(15,N($D$18))),IFERROR(LARGE('Calc (scoring engine)'!$K$5:$K$518,2),-999999)&lt;=-900000),"",IFERROR(IFERROR(BDP(TEXT(INDEX(Database!$A$5:$A$518,MATCH(LARGE('Calc (scoring engine)'!$K$5:$K$518,2),'Calc (scoring engine)'!$K$5:$K$518,0)),"0")&amp;" HK Equity","PX_TO_SALES_RATIO"),IF(INDEX(Database!$BI$5:$BI$518,MATCH(LARGE('Calc (scoring engine)'!$K$5:$K$518,2),'Calc (scoring engine)'!$K$5:$K$518,0))="","—",INDEX(Database!$BI$5:$BI$518,MATCH(LARGE('Calc (scoring engine)'!$K$5:$K$518,2),'Calc (scoring engine)'!$K$5:$K$518,0)))),""))</f>
        <v/>
      </c>
      <c r="BH22" s="10">
        <f>IF(OR(2&gt;MAX(3,MIN(15,N($D$18))),IFERROR(LARGE('Calc (scoring engine)'!$K$5:$K$518,2),-999999)&lt;=-900000),"",IFERROR(IF(INDEX(Database!$BK$5:$BK$518,MATCH(LARGE('Calc (scoring engine)'!$K$5:$K$518,2),'Calc (scoring engine)'!$K$5:$K$518,0))="","—",INDEX(Database!$BK$5:$BK$518,MATCH(LARGE('Calc (scoring engine)'!$K$5:$K$518,2),'Calc (scoring engine)'!$K$5:$K$518,0))),""))</f>
        <v/>
      </c>
      <c r="BI22" s="10">
        <f>IF(OR(2&gt;MAX(3,MIN(15,N($D$18))),IFERROR(LARGE('Calc (scoring engine)'!$K$5:$K$518,2),-999999)&lt;=-900000),"",IFERROR(IF(INDEX(Database!$BL$5:$BL$518,MATCH(LARGE('Calc (scoring engine)'!$K$5:$K$518,2),'Calc (scoring engine)'!$K$5:$K$518,0))="","—",INDEX(Database!$BL$5:$BL$518,MATCH(LARGE('Calc (scoring engine)'!$K$5:$K$518,2),'Calc (scoring engine)'!$K$5:$K$518,0))),""))</f>
        <v/>
      </c>
      <c r="BJ22" s="23">
        <f>IF(OR(2&gt;MAX(3,MIN(15,N($D$18))),IFERROR(LARGE('Calc (scoring engine)'!$K$5:$K$518,2),-999999)&lt;=-900000),"",IFERROR(IF(INDEX(Database!$BM$5:$BM$518,MATCH(LARGE('Calc (scoring engine)'!$K$5:$K$518,2),'Calc (scoring engine)'!$K$5:$K$518,0))="","—",INDEX(Database!$BM$5:$BM$518,MATCH(LARGE('Calc (scoring engine)'!$K$5:$K$518,2),'Calc (scoring engine)'!$K$5:$K$518,0))),""))</f>
        <v/>
      </c>
      <c r="BK22" s="40">
        <f>IF(OR(2&gt;MAX(3,MIN(15,N($D$18))),IFERROR(LARGE('Calc (scoring engine)'!$K$5:$K$518,2),-999999)&lt;=-900000),"",IFERROR(IF(INDEX(Database!$BN$5:$BN$518,MATCH(LARGE('Calc (scoring engine)'!$K$5:$K$518,2),'Calc (scoring engine)'!$K$5:$K$518,0))="","—",INDEX(Database!$BN$5:$BN$518,MATCH(LARGE('Calc (scoring engine)'!$K$5:$K$518,2),'Calc (scoring engine)'!$K$5:$K$518,0))),""))</f>
        <v/>
      </c>
      <c r="BL22" s="43">
        <f>IF(OR(2&gt;MAX(3,MIN(15,N($D$18))),IFERROR(LARGE('Calc (scoring engine)'!$K$5:$K$518,2),-999999)&lt;=-900000),"",IFERROR(IF(INDEX(Database!$BO$5:$BO$518,MATCH(LARGE('Calc (scoring engine)'!$K$5:$K$518,2),'Calc (scoring engine)'!$K$5:$K$518,0))="","—",INDEX(Database!$BO$5:$BO$518,MATCH(LARGE('Calc (scoring engine)'!$K$5:$K$518,2),'Calc (scoring engine)'!$K$5:$K$518,0))),""))</f>
        <v/>
      </c>
      <c r="BM22" s="18">
        <f>IF(OR(2&gt;MAX(3,MIN(15,N($D$18))),IFERROR(LARGE('Calc (scoring engine)'!$K$5:$K$518,2),-999999)&lt;=-900000),"",IFERROR(IF(INDEX(Database!$BP$5:$BP$518,MATCH(LARGE('Calc (scoring engine)'!$K$5:$K$518,2),'Calc (scoring engine)'!$K$5:$K$518,0))="","—",INDEX(Database!$BP$5:$BP$518,MATCH(LARGE('Calc (scoring engine)'!$K$5:$K$518,2),'Calc (scoring engine)'!$K$5:$K$518,0))),""))</f>
        <v/>
      </c>
      <c r="BN22" s="24">
        <f>IF(OR(2&gt;MAX(3,MIN(15,N($D$18))),IFERROR(LARGE('Calc (scoring engine)'!$K$5:$K$518,2),-999999)&lt;=-900000),"",IFERROR(IF(INDEX(Database!$BQ$5:$BQ$518,MATCH(LARGE('Calc (scoring engine)'!$K$5:$K$518,2),'Calc (scoring engine)'!$K$5:$K$518,0))="","—",INDEX(Database!$BQ$5:$BQ$518,MATCH(LARGE('Calc (scoring engine)'!$K$5:$K$518,2),'Calc (scoring engine)'!$K$5:$K$518,0))),""))</f>
        <v/>
      </c>
      <c r="BO22" s="24">
        <f>IF(OR(2&gt;MAX(3,MIN(15,N($D$18))),IFERROR(LARGE('Calc (scoring engine)'!$K$5:$K$518,2),-999999)&lt;=-900000),"",IFERROR(IF(INDEX(Database!$BR$5:$BR$518,MATCH(LARGE('Calc (scoring engine)'!$K$5:$K$518,2),'Calc (scoring engine)'!$K$5:$K$518,0))="","—",INDEX(Database!$BR$5:$BR$518,MATCH(LARGE('Calc (scoring engine)'!$K$5:$K$518,2),'Calc (scoring engine)'!$K$5:$K$518,0))),""))</f>
        <v/>
      </c>
      <c r="BP22" s="10">
        <f>IF(OR(2&gt;MAX(3,MIN(15,N($D$18))),IFERROR(LARGE('Calc (scoring engine)'!$K$5:$K$518,2),-999999)&lt;=-900000),"",IFERROR(IF(INDEX(Database!$BS$5:$BS$518,MATCH(LARGE('Calc (scoring engine)'!$K$5:$K$518,2),'Calc (scoring engine)'!$K$5:$K$518,0))="","—",INDEX(Database!$BS$5:$BS$518,MATCH(LARGE('Calc (scoring engine)'!$K$5:$K$518,2),'Calc (scoring engine)'!$K$5:$K$518,0))),""))</f>
        <v/>
      </c>
      <c r="BQ22" s="10">
        <f>IF(OR(2&gt;MAX(3,MIN(15,N($D$18))),IFERROR(LARGE('Calc (scoring engine)'!$K$5:$K$518,2),-999999)&lt;=-900000),"",IFERROR(IF(INDEX(Database!$BU$5:$BU$518,MATCH(LARGE('Calc (scoring engine)'!$K$5:$K$518,2),'Calc (scoring engine)'!$K$5:$K$518,0))="","—",INDEX(Database!$BU$5:$BU$518,MATCH(LARGE('Calc (scoring engine)'!$K$5:$K$518,2),'Calc (scoring engine)'!$K$5:$K$518,0))),""))</f>
        <v/>
      </c>
      <c r="BR22" s="44">
        <f>IF(OR(2&gt;MAX(3,MIN(15,N($D$18))),IFERROR(LARGE('Calc (scoring engine)'!$K$5:$K$518,2),-999999)&lt;=-900000),"",IFERROR(IF(INDEX('Calc (scoring engine)'!$H$5:$H$518,MATCH(LARGE('Calc (scoring engine)'!$K$5:$K$518,2),'Calc (scoring engine)'!$K$5:$K$518,0))&gt;0,INDEX('Calc (scoring engine)'!$H$5:$H$518,MATCH(LARGE('Calc (scoring engine)'!$K$5:$K$518,2),'Calc (scoring engine)'!$K$5:$K$518,0)),""),""))</f>
        <v/>
      </c>
      <c r="BS22" s="10">
        <f>IF(OR(2&gt;MAX(3,MIN(15,N($D$18))),IFERROR(LARGE('Calc (scoring engine)'!$K$5:$K$518,2),-999999)&lt;=-900000),"",IF(IFERROR(INDEX('Calc (scoring engine)'!$B$5:$B$518,MATCH(LARGE('Calc (scoring engine)'!$K$5:$K$518,2),'Calc (scoring engine)'!$K$5:$K$518,0)),0)=1,"same subsector","sector only"))</f>
        <v/>
      </c>
      <c r="BT22" s="44">
        <f>IF(OR(2&gt;MAX(3,MIN(15,N($D$18))),IFERROR(LARGE('Calc (scoring engine)'!$K$5:$K$518,2),-999999)&lt;=-900000),"",ROUND(IFERROR(LARGE('Calc (scoring engine)'!$K$5:$K$518,2),0),0))</f>
        <v/>
      </c>
      <c r="BU22" s="10">
        <f>IF(OR(2&gt;MAX(3,MIN(15,N($D$18))),IFERROR(LARGE('Calc (scoring engine)'!$K$5:$K$518,2),-999999)&lt;=-900000),"",IFERROR("sub "&amp;INDEX('Calc (scoring engine)'!$B$5:$B$518,MATCH(LARGE('Calc (scoring engine)'!$K$5:$K$518,2),'Calc (scoring engine)'!$K$5:$K$518,0))*W_SUB&amp;" + size "&amp;ROUND(INDEX('Calc (scoring engine)'!$D$5:$D$518,MATCH(LARGE('Calc (scoring engine)'!$K$5:$K$518,2),'Calc (scoring engine)'!$K$5:$K$518,0))*W_SIZE,0)&amp;" + prof "&amp;INDEX('Calc (scoring engine)'!$E$5:$E$518,MATCH(LARGE('Calc (scoring engine)'!$K$5:$K$518,2),'Calc (scoring engine)'!$K$5:$K$518,0))*W_PROF&amp;" + recency "&amp;ROUND(INDEX('Calc (scoring engine)'!$G$5:$G$518,MATCH(LARGE('Calc (scoring engine)'!$K$5:$K$518,2),'Calc (scoring engine)'!$K$5:$K$518,0))*W_REC,0)&amp;IF(INDEX('Calc (scoring engine)'!$H$5:$H$518,MATCH(LARGE('Calc (scoring engine)'!$K$5:$K$518,2),'Calc (scoring engine)'!$K$5:$K$518,0))&gt;0," + shared CS x"&amp;INDEX('Calc (scoring engine)'!$H$5:$H$518,MATCH(LARGE('Calc (scoring engine)'!$K$5:$K$518,2),'Calc (scoring engine)'!$K$5:$K$518,0)),""),""))</f>
        <v/>
      </c>
    </row>
    <row r="23">
      <c r="A23" s="38">
        <f>IF(OR(3&gt;MAX(3,MIN(15,N($D$18))),IFERROR(LARGE('Calc (scoring engine)'!$K$5:$K$518,3),-999999)&lt;=-900000),"",3)</f>
        <v/>
      </c>
      <c r="B23" s="10">
        <f>IF(OR(3&gt;MAX(3,MIN(15,N($D$18))),IFERROR(LARGE('Calc (scoring engine)'!$K$5:$K$518,3),-999999)&lt;=-900000),"",IFERROR(IF(INDEX(Database!$B$5:$B$518,MATCH(LARGE('Calc (scoring engine)'!$K$5:$K$518,3),'Calc (scoring engine)'!$K$5:$K$518,0))="","—",INDEX(Database!$B$5:$B$518,MATCH(LARGE('Calc (scoring engine)'!$K$5:$K$518,3),'Calc (scoring engine)'!$K$5:$K$518,0))),""))</f>
        <v/>
      </c>
      <c r="C23" s="39">
        <f>IF(OR(3&gt;MAX(3,MIN(15,N($D$18))),IFERROR(LARGE('Calc (scoring engine)'!$K$5:$K$518,3),-999999)&lt;=-900000),"",IFERROR(IF(INDEX(Database!$A$5:$A$518,MATCH(LARGE('Calc (scoring engine)'!$K$5:$K$518,3),'Calc (scoring engine)'!$K$5:$K$518,0))="","—",INDEX(Database!$A$5:$A$518,MATCH(LARGE('Calc (scoring engine)'!$K$5:$K$518,3),'Calc (scoring engine)'!$K$5:$K$518,0))),""))</f>
        <v/>
      </c>
      <c r="D23" s="10">
        <f>IF(OR(3&gt;MAX(3,MIN(15,N($D$18))),IFERROR(LARGE('Calc (scoring engine)'!$K$5:$K$518,3),-999999)&lt;=-900000),"",IFERROR(IF(INDEX(Database!$D$5:$D$518,MATCH(LARGE('Calc (scoring engine)'!$K$5:$K$518,3),'Calc (scoring engine)'!$K$5:$K$518,0))="","—",INDEX(Database!$D$5:$D$518,MATCH(LARGE('Calc (scoring engine)'!$K$5:$K$518,3),'Calc (scoring engine)'!$K$5:$K$518,0))),""))</f>
        <v/>
      </c>
      <c r="E23" s="10">
        <f>IF(OR(3&gt;MAX(3,MIN(15,N($D$18))),IFERROR(LARGE('Calc (scoring engine)'!$K$5:$K$518,3),-999999)&lt;=-900000),"",IFERROR(IF(INDEX(Database!$E$5:$E$518,MATCH(LARGE('Calc (scoring engine)'!$K$5:$K$518,3),'Calc (scoring engine)'!$K$5:$K$518,0))="","—",INDEX(Database!$E$5:$E$518,MATCH(LARGE('Calc (scoring engine)'!$K$5:$K$518,3),'Calc (scoring engine)'!$K$5:$K$518,0))),""))</f>
        <v/>
      </c>
      <c r="F23" s="10">
        <f>IF(OR(3&gt;MAX(3,MIN(15,N($D$18))),IFERROR(LARGE('Calc (scoring engine)'!$K$5:$K$518,3),-999999)&lt;=-900000),"",IFERROR(IF(INDEX(Database!$F$5:$F$518,MATCH(LARGE('Calc (scoring engine)'!$K$5:$K$518,3),'Calc (scoring engine)'!$K$5:$K$518,0))="","—",INDEX(Database!$F$5:$F$518,MATCH(LARGE('Calc (scoring engine)'!$K$5:$K$518,3),'Calc (scoring engine)'!$K$5:$K$518,0))),""))</f>
        <v/>
      </c>
      <c r="G23" s="10">
        <f>IF(OR(3&gt;MAX(3,MIN(15,N($D$18))),IFERROR(LARGE('Calc (scoring engine)'!$K$5:$K$518,3),-999999)&lt;=-900000),"",IFERROR(IF(INDEX(Database!$G$5:$G$518,MATCH(LARGE('Calc (scoring engine)'!$K$5:$K$518,3),'Calc (scoring engine)'!$K$5:$K$518,0))="","—",INDEX(Database!$G$5:$G$518,MATCH(LARGE('Calc (scoring engine)'!$K$5:$K$518,3),'Calc (scoring engine)'!$K$5:$K$518,0))),""))</f>
        <v/>
      </c>
      <c r="H23" s="21">
        <f>IF(OR(3&gt;MAX(3,MIN(15,N($D$18))),IFERROR(LARGE('Calc (scoring engine)'!$K$5:$K$518,3),-999999)&lt;=-900000),"",IFERROR(IF(INDEX(Database!$H$5:$H$518,MATCH(LARGE('Calc (scoring engine)'!$K$5:$K$518,3),'Calc (scoring engine)'!$K$5:$K$518,0))="","—",INDEX(Database!$H$5:$H$518,MATCH(LARGE('Calc (scoring engine)'!$K$5:$K$518,3),'Calc (scoring engine)'!$K$5:$K$518,0))),""))</f>
        <v/>
      </c>
      <c r="I23" s="18">
        <f>IF(OR(3&gt;MAX(3,MIN(15,N($D$18))),IFERROR(LARGE('Calc (scoring engine)'!$K$5:$K$518,3),-999999)&lt;=-900000),"",IFERROR(IF(INDEX(Database!$I$5:$I$518,MATCH(LARGE('Calc (scoring engine)'!$K$5:$K$518,3),'Calc (scoring engine)'!$K$5:$K$518,0))="","—",INDEX(Database!$I$5:$I$518,MATCH(LARGE('Calc (scoring engine)'!$K$5:$K$518,3),'Calc (scoring engine)'!$K$5:$K$518,0))),""))</f>
        <v/>
      </c>
      <c r="J23" s="40">
        <f>IF(OR(3&gt;MAX(3,MIN(15,N($D$18))),IFERROR(LARGE('Calc (scoring engine)'!$K$5:$K$518,3),-999999)&lt;=-900000),"",IFERROR(IF(INDEX(Database!$K$5:$K$518,MATCH(LARGE('Calc (scoring engine)'!$K$5:$K$518,3),'Calc (scoring engine)'!$K$5:$K$518,0))="","—",INDEX(Database!$K$5:$K$518,MATCH(LARGE('Calc (scoring engine)'!$K$5:$K$518,3),'Calc (scoring engine)'!$K$5:$K$518,0))),""))</f>
        <v/>
      </c>
      <c r="K23" s="40">
        <f>IF(OR(3&gt;MAX(3,MIN(15,N($D$18))),IFERROR(LARGE('Calc (scoring engine)'!$K$5:$K$518,3),-999999)&lt;=-900000),"",IFERROR(IF(INDEX(Database!$L$5:$L$518,MATCH(LARGE('Calc (scoring engine)'!$K$5:$K$518,3),'Calc (scoring engine)'!$K$5:$K$518,0))="","—",INDEX(Database!$L$5:$L$518,MATCH(LARGE('Calc (scoring engine)'!$K$5:$K$518,3),'Calc (scoring engine)'!$K$5:$K$518,0))),""))</f>
        <v/>
      </c>
      <c r="L23" s="40">
        <f>IF(OR(3&gt;MAX(3,MIN(15,N($D$18))),IFERROR(LARGE('Calc (scoring engine)'!$K$5:$K$518,3),-999999)&lt;=-900000),"",IFERROR(IF(INDEX(Database!$M$5:$M$518,MATCH(LARGE('Calc (scoring engine)'!$K$5:$K$518,3),'Calc (scoring engine)'!$K$5:$K$518,0))="","—",INDEX(Database!$M$5:$M$518,MATCH(LARGE('Calc (scoring engine)'!$K$5:$K$518,3),'Calc (scoring engine)'!$K$5:$K$518,0))),""))</f>
        <v/>
      </c>
      <c r="M23" s="10">
        <f>IF(OR(3&gt;MAX(3,MIN(15,N($D$18))),IFERROR(LARGE('Calc (scoring engine)'!$K$5:$K$518,3),-999999)&lt;=-900000),"",IFERROR(IF(INDEX(Database!$N$5:$N$518,MATCH(LARGE('Calc (scoring engine)'!$K$5:$K$518,3),'Calc (scoring engine)'!$K$5:$K$518,0))="","—",INDEX(Database!$N$5:$N$518,MATCH(LARGE('Calc (scoring engine)'!$K$5:$K$518,3),'Calc (scoring engine)'!$K$5:$K$518,0))),""))</f>
        <v/>
      </c>
      <c r="N23" s="28">
        <f>IF(OR(3&gt;MAX(3,MIN(15,N($D$18))),IFERROR(LARGE('Calc (scoring engine)'!$K$5:$K$518,3),-999999)&lt;=-900000),"",IFERROR(IF(INDEX(Database!$O$5:$O$518,MATCH(LARGE('Calc (scoring engine)'!$K$5:$K$518,3),'Calc (scoring engine)'!$K$5:$K$518,0))="","—",INDEX(Database!$O$5:$O$518,MATCH(LARGE('Calc (scoring engine)'!$K$5:$K$518,3),'Calc (scoring engine)'!$K$5:$K$518,0))),""))</f>
        <v/>
      </c>
      <c r="O23" s="28">
        <f>IF(OR(3&gt;MAX(3,MIN(15,N($D$18))),IFERROR(LARGE('Calc (scoring engine)'!$K$5:$K$518,3),-999999)&lt;=-900000),"",IFERROR(IF(INDEX(Database!$P$5:$P$518,MATCH(LARGE('Calc (scoring engine)'!$K$5:$K$518,3),'Calc (scoring engine)'!$K$5:$K$518,0))="","—",INDEX(Database!$P$5:$P$518,MATCH(LARGE('Calc (scoring engine)'!$K$5:$K$518,3),'Calc (scoring engine)'!$K$5:$K$518,0))),""))</f>
        <v/>
      </c>
      <c r="P23" s="18">
        <f>IF(OR(3&gt;MAX(3,MIN(15,N($D$18))),IFERROR(LARGE('Calc (scoring engine)'!$K$5:$K$518,3),-999999)&lt;=-900000),"",IFERROR(IF(INDEX(Database!$Q$5:$Q$518,MATCH(LARGE('Calc (scoring engine)'!$K$5:$K$518,3),'Calc (scoring engine)'!$K$5:$K$518,0))="","—",INDEX(Database!$Q$5:$Q$518,MATCH(LARGE('Calc (scoring engine)'!$K$5:$K$518,3),'Calc (scoring engine)'!$K$5:$K$518,0))),""))</f>
        <v/>
      </c>
      <c r="Q23" s="26">
        <f>IF(OR(3&gt;MAX(3,MIN(15,N($D$18))),IFERROR(LARGE('Calc (scoring engine)'!$K$5:$K$518,3),-999999)&lt;=-900000),"",IFERROR(IF(INDEX(Database!$S$5:$S$518,MATCH(LARGE('Calc (scoring engine)'!$K$5:$K$518,3),'Calc (scoring engine)'!$K$5:$K$518,0))="","—",INDEX(Database!$S$5:$S$518,MATCH(LARGE('Calc (scoring engine)'!$K$5:$K$518,3),'Calc (scoring engine)'!$K$5:$K$518,0))),""))</f>
        <v/>
      </c>
      <c r="R23" s="41">
        <f>IF(OR(3&gt;MAX(3,MIN(15,N($D$18))),IFERROR(LARGE('Calc (scoring engine)'!$K$5:$K$518,3),-999999)&lt;=-900000),"",IFERROR(IF(INDEX(Database!$T$5:$T$518,MATCH(LARGE('Calc (scoring engine)'!$K$5:$K$518,3),'Calc (scoring engine)'!$K$5:$K$518,0))="","—",INDEX(Database!$T$5:$T$518,MATCH(LARGE('Calc (scoring engine)'!$K$5:$K$518,3),'Calc (scoring engine)'!$K$5:$K$518,0))),""))</f>
        <v/>
      </c>
      <c r="S23" s="42">
        <f>IF(OR(3&gt;MAX(3,MIN(15,N($D$18))),IFERROR(LARGE('Calc (scoring engine)'!$K$5:$K$518,3),-999999)&lt;=-900000),"",IFERROR(IF(INDEX(Database!$U$5:$U$518,MATCH(LARGE('Calc (scoring engine)'!$K$5:$K$518,3),'Calc (scoring engine)'!$K$5:$K$518,0))="","—",INDEX(Database!$U$5:$U$518,MATCH(LARGE('Calc (scoring engine)'!$K$5:$K$518,3),'Calc (scoring engine)'!$K$5:$K$518,0))),""))</f>
        <v/>
      </c>
      <c r="T23" s="18">
        <f>IF(OR(3&gt;MAX(3,MIN(15,N($D$18))),IFERROR(LARGE('Calc (scoring engine)'!$K$5:$K$518,3),-999999)&lt;=-900000),"",IFERROR(IF(INDEX(Database!$V$5:$V$518,MATCH(LARGE('Calc (scoring engine)'!$K$5:$K$518,3),'Calc (scoring engine)'!$K$5:$K$518,0))="","—",INDEX(Database!$V$5:$V$518,MATCH(LARGE('Calc (scoring engine)'!$K$5:$K$518,3),'Calc (scoring engine)'!$K$5:$K$518,0))),""))</f>
        <v/>
      </c>
      <c r="U23" s="18">
        <f>IF(OR(3&gt;MAX(3,MIN(15,N($D$18))),IFERROR(LARGE('Calc (scoring engine)'!$K$5:$K$518,3),-999999)&lt;=-900000),"",IFERROR(IF(INDEX(Database!$W$5:$W$518,MATCH(LARGE('Calc (scoring engine)'!$K$5:$K$518,3),'Calc (scoring engine)'!$K$5:$K$518,0))="","—",INDEX(Database!$W$5:$W$518,MATCH(LARGE('Calc (scoring engine)'!$K$5:$K$518,3),'Calc (scoring engine)'!$K$5:$K$518,0))),""))</f>
        <v/>
      </c>
      <c r="V23" s="28">
        <f>IF(OR(3&gt;MAX(3,MIN(15,N($D$18))),IFERROR(LARGE('Calc (scoring engine)'!$K$5:$K$518,3),-999999)&lt;=-900000),"",IFERROR(IF(INDEX(Database!$X$5:$X$518,MATCH(LARGE('Calc (scoring engine)'!$K$5:$K$518,3),'Calc (scoring engine)'!$K$5:$K$518,0))="","—",INDEX(Database!$X$5:$X$518,MATCH(LARGE('Calc (scoring engine)'!$K$5:$K$518,3),'Calc (scoring engine)'!$K$5:$K$518,0))),""))</f>
        <v/>
      </c>
      <c r="W23" s="10">
        <f>IF(OR(3&gt;MAX(3,MIN(15,N($D$18))),IFERROR(LARGE('Calc (scoring engine)'!$K$5:$K$518,3),-999999)&lt;=-900000),"",IFERROR(IF(INDEX(Database!$Y$5:$Y$518,MATCH(LARGE('Calc (scoring engine)'!$K$5:$K$518,3),'Calc (scoring engine)'!$K$5:$K$518,0))="","—",INDEX(Database!$Y$5:$Y$518,MATCH(LARGE('Calc (scoring engine)'!$K$5:$K$518,3),'Calc (scoring engine)'!$K$5:$K$518,0))),""))</f>
        <v/>
      </c>
      <c r="X23" s="28">
        <f>IF(OR(3&gt;MAX(3,MIN(15,N($D$18))),IFERROR(LARGE('Calc (scoring engine)'!$K$5:$K$518,3),-999999)&lt;=-900000),"",IFERROR(IF(INDEX(Database!$AA$5:$AA$518,MATCH(LARGE('Calc (scoring engine)'!$K$5:$K$518,3),'Calc (scoring engine)'!$K$5:$K$518,0))="","—",INDEX(Database!$AA$5:$AA$518,MATCH(LARGE('Calc (scoring engine)'!$K$5:$K$518,3),'Calc (scoring engine)'!$K$5:$K$518,0))),""))</f>
        <v/>
      </c>
      <c r="Y23" s="23">
        <f>IF(OR(3&gt;MAX(3,MIN(15,N($D$18))),IFERROR(LARGE('Calc (scoring engine)'!$K$5:$K$518,3),-999999)&lt;=-900000),"",IFERROR(IF(INDEX(Database!$AB$5:$AB$518,MATCH(LARGE('Calc (scoring engine)'!$K$5:$K$518,3),'Calc (scoring engine)'!$K$5:$K$518,0))="","—",INDEX(Database!$AB$5:$AB$518,MATCH(LARGE('Calc (scoring engine)'!$K$5:$K$518,3),'Calc (scoring engine)'!$K$5:$K$518,0))),""))</f>
        <v/>
      </c>
      <c r="Z23" s="40">
        <f>IF(OR(3&gt;MAX(3,MIN(15,N($D$18))),IFERROR(LARGE('Calc (scoring engine)'!$K$5:$K$518,3),-999999)&lt;=-900000),"",IFERROR(IF(INDEX(Database!$AC$5:$AC$518,MATCH(LARGE('Calc (scoring engine)'!$K$5:$K$518,3),'Calc (scoring engine)'!$K$5:$K$518,0))="","—",INDEX(Database!$AC$5:$AC$518,MATCH(LARGE('Calc (scoring engine)'!$K$5:$K$518,3),'Calc (scoring engine)'!$K$5:$K$518,0))),""))</f>
        <v/>
      </c>
      <c r="AA23" s="23">
        <f>IF(OR(3&gt;MAX(3,MIN(15,N($D$18))),IFERROR(LARGE('Calc (scoring engine)'!$K$5:$K$518,3),-999999)&lt;=-900000),"",IFERROR(IF(INDEX(Database!$AD$5:$AD$518,MATCH(LARGE('Calc (scoring engine)'!$K$5:$K$518,3),'Calc (scoring engine)'!$K$5:$K$518,0))="","—",INDEX(Database!$AD$5:$AD$518,MATCH(LARGE('Calc (scoring engine)'!$K$5:$K$518,3),'Calc (scoring engine)'!$K$5:$K$518,0))),""))</f>
        <v/>
      </c>
      <c r="AB23" s="10">
        <f>IF(OR(3&gt;MAX(3,MIN(15,N($D$18))),IFERROR(LARGE('Calc (scoring engine)'!$K$5:$K$518,3),-999999)&lt;=-900000),"",IFERROR(IF(INDEX(Database!$AE$5:$AE$518,MATCH(LARGE('Calc (scoring engine)'!$K$5:$K$518,3),'Calc (scoring engine)'!$K$5:$K$518,0))="","—",INDEX(Database!$AE$5:$AE$518,MATCH(LARGE('Calc (scoring engine)'!$K$5:$K$518,3),'Calc (scoring engine)'!$K$5:$K$518,0))),""))</f>
        <v/>
      </c>
      <c r="AC23" s="10">
        <f>IF(OR(3&gt;MAX(3,MIN(15,N($D$18))),IFERROR(LARGE('Calc (scoring engine)'!$K$5:$K$518,3),-999999)&lt;=-900000),"",IFERROR(IF(INDEX(Database!$AF$5:$AF$518,MATCH(LARGE('Calc (scoring engine)'!$K$5:$K$518,3),'Calc (scoring engine)'!$K$5:$K$518,0))="","—",INDEX(Database!$AF$5:$AF$518,MATCH(LARGE('Calc (scoring engine)'!$K$5:$K$518,3),'Calc (scoring engine)'!$K$5:$K$518,0))),""))</f>
        <v/>
      </c>
      <c r="AD23" s="10">
        <f>IF(OR(3&gt;MAX(3,MIN(15,N($D$18))),IFERROR(LARGE('Calc (scoring engine)'!$K$5:$K$518,3),-999999)&lt;=-900000),"",IFERROR(IF(INDEX(Database!$AG$5:$AG$518,MATCH(LARGE('Calc (scoring engine)'!$K$5:$K$518,3),'Calc (scoring engine)'!$K$5:$K$518,0))="","—",INDEX(Database!$AG$5:$AG$518,MATCH(LARGE('Calc (scoring engine)'!$K$5:$K$518,3),'Calc (scoring engine)'!$K$5:$K$518,0))),""))</f>
        <v/>
      </c>
      <c r="AE23" s="10">
        <f>IF(OR(3&gt;MAX(3,MIN(15,N($D$18))),IFERROR(LARGE('Calc (scoring engine)'!$K$5:$K$518,3),-999999)&lt;=-900000),"",IFERROR(IF(INDEX(Database!$AH$5:$AH$518,MATCH(LARGE('Calc (scoring engine)'!$K$5:$K$518,3),'Calc (scoring engine)'!$K$5:$K$518,0))="","—",INDEX(Database!$AH$5:$AH$518,MATCH(LARGE('Calc (scoring engine)'!$K$5:$K$518,3),'Calc (scoring engine)'!$K$5:$K$518,0))),""))</f>
        <v/>
      </c>
      <c r="AF23" s="10">
        <f>IF(OR(3&gt;MAX(3,MIN(15,N($D$18))),IFERROR(LARGE('Calc (scoring engine)'!$K$5:$K$518,3),-999999)&lt;=-900000),"",IFERROR(IF(INDEX(Database!$AI$5:$AI$518,MATCH(LARGE('Calc (scoring engine)'!$K$5:$K$518,3),'Calc (scoring engine)'!$K$5:$K$518,0))="","—",INDEX(Database!$AI$5:$AI$518,MATCH(LARGE('Calc (scoring engine)'!$K$5:$K$518,3),'Calc (scoring engine)'!$K$5:$K$518,0))),""))</f>
        <v/>
      </c>
      <c r="AG23" s="10">
        <f>IF(OR(3&gt;MAX(3,MIN(15,N($D$18))),IFERROR(LARGE('Calc (scoring engine)'!$K$5:$K$518,3),-999999)&lt;=-900000),"",IFERROR(IF(INDEX(Database!$AJ$5:$AJ$518,MATCH(LARGE('Calc (scoring engine)'!$K$5:$K$518,3),'Calc (scoring engine)'!$K$5:$K$518,0))="","—",INDEX(Database!$AJ$5:$AJ$518,MATCH(LARGE('Calc (scoring engine)'!$K$5:$K$518,3),'Calc (scoring engine)'!$K$5:$K$518,0))),""))</f>
        <v/>
      </c>
      <c r="AH23" s="23">
        <f>IF(OR(3&gt;MAX(3,MIN(15,N($D$18))),IFERROR(LARGE('Calc (scoring engine)'!$K$5:$K$518,3),-999999)&lt;=-900000),"",IFERROR(IF(INDEX(Database!$AK$5:$AK$518,MATCH(LARGE('Calc (scoring engine)'!$K$5:$K$518,3),'Calc (scoring engine)'!$K$5:$K$518,0))="","—",INDEX(Database!$AK$5:$AK$518,MATCH(LARGE('Calc (scoring engine)'!$K$5:$K$518,3),'Calc (scoring engine)'!$K$5:$K$518,0))),""))</f>
        <v/>
      </c>
      <c r="AI23" s="23">
        <f>IF(OR(3&gt;MAX(3,MIN(15,N($D$18))),IFERROR(LARGE('Calc (scoring engine)'!$K$5:$K$518,3),-999999)&lt;=-900000),"",IFERROR(IF(INDEX(Database!$AL$5:$AL$518,MATCH(LARGE('Calc (scoring engine)'!$K$5:$K$518,3),'Calc (scoring engine)'!$K$5:$K$518,0))="","—",INDEX(Database!$AL$5:$AL$518,MATCH(LARGE('Calc (scoring engine)'!$K$5:$K$518,3),'Calc (scoring engine)'!$K$5:$K$518,0))),""))</f>
        <v/>
      </c>
      <c r="AJ23" s="23">
        <f>IF(OR(3&gt;MAX(3,MIN(15,N($D$18))),IFERROR(LARGE('Calc (scoring engine)'!$K$5:$K$518,3),-999999)&lt;=-900000),"",IFERROR(IF(INDEX(Database!$AM$5:$AM$518,MATCH(LARGE('Calc (scoring engine)'!$K$5:$K$518,3),'Calc (scoring engine)'!$K$5:$K$518,0))="","—",INDEX(Database!$AM$5:$AM$518,MATCH(LARGE('Calc (scoring engine)'!$K$5:$K$518,3),'Calc (scoring engine)'!$K$5:$K$518,0))),""))</f>
        <v/>
      </c>
      <c r="AK23" s="23">
        <f>IF(OR(3&gt;MAX(3,MIN(15,N($D$18))),IFERROR(LARGE('Calc (scoring engine)'!$K$5:$K$518,3),-999999)&lt;=-900000),"",IFERROR(IF(INDEX(Database!$AN$5:$AN$518,MATCH(LARGE('Calc (scoring engine)'!$K$5:$K$518,3),'Calc (scoring engine)'!$K$5:$K$518,0))="","—",INDEX(Database!$AN$5:$AN$518,MATCH(LARGE('Calc (scoring engine)'!$K$5:$K$518,3),'Calc (scoring engine)'!$K$5:$K$518,0))),""))</f>
        <v/>
      </c>
      <c r="AL23" s="23">
        <f>IF(OR(3&gt;MAX(3,MIN(15,N($D$18))),IFERROR(LARGE('Calc (scoring engine)'!$K$5:$K$518,3),-999999)&lt;=-900000),"",IFERROR(IF(INDEX(Database!$AO$5:$AO$518,MATCH(LARGE('Calc (scoring engine)'!$K$5:$K$518,3),'Calc (scoring engine)'!$K$5:$K$518,0))="","—",INDEX(Database!$AO$5:$AO$518,MATCH(LARGE('Calc (scoring engine)'!$K$5:$K$518,3),'Calc (scoring engine)'!$K$5:$K$518,0))),""))</f>
        <v/>
      </c>
      <c r="AM23" s="23">
        <f>IF(OR(3&gt;MAX(3,MIN(15,N($D$18))),IFERROR(LARGE('Calc (scoring engine)'!$K$5:$K$518,3),-999999)&lt;=-900000),"",IFERROR(IF(INDEX(Database!$AP$5:$AP$518,MATCH(LARGE('Calc (scoring engine)'!$K$5:$K$518,3),'Calc (scoring engine)'!$K$5:$K$518,0))="","—",INDEX(Database!$AP$5:$AP$518,MATCH(LARGE('Calc (scoring engine)'!$K$5:$K$518,3),'Calc (scoring engine)'!$K$5:$K$518,0))),""))</f>
        <v/>
      </c>
      <c r="AN23" s="23">
        <f>IF(OR(3&gt;MAX(3,MIN(15,N($D$18))),IFERROR(LARGE('Calc (scoring engine)'!$K$5:$K$518,3),-999999)&lt;=-900000),"",IFERROR(IF(INDEX(Database!$AQ$5:$AQ$518,MATCH(LARGE('Calc (scoring engine)'!$K$5:$K$518,3),'Calc (scoring engine)'!$K$5:$K$518,0))="","—",INDEX(Database!$AQ$5:$AQ$518,MATCH(LARGE('Calc (scoring engine)'!$K$5:$K$518,3),'Calc (scoring engine)'!$K$5:$K$518,0))),""))</f>
        <v/>
      </c>
      <c r="AO23" s="23">
        <f>IF(OR(3&gt;MAX(3,MIN(15,N($D$18))),IFERROR(LARGE('Calc (scoring engine)'!$K$5:$K$518,3),-999999)&lt;=-900000),"",IFERROR(IF(INDEX(Database!$AR$5:$AR$518,MATCH(LARGE('Calc (scoring engine)'!$K$5:$K$518,3),'Calc (scoring engine)'!$K$5:$K$518,0))="","—",INDEX(Database!$AR$5:$AR$518,MATCH(LARGE('Calc (scoring engine)'!$K$5:$K$518,3),'Calc (scoring engine)'!$K$5:$K$518,0))),""))</f>
        <v/>
      </c>
      <c r="AP23" s="23">
        <f>IF(OR(3&gt;MAX(3,MIN(15,N($D$18))),IFERROR(LARGE('Calc (scoring engine)'!$K$5:$K$518,3),-999999)&lt;=-900000),"",IFERROR(IF(INDEX(Database!$AS$5:$AS$518,MATCH(LARGE('Calc (scoring engine)'!$K$5:$K$518,3),'Calc (scoring engine)'!$K$5:$K$518,0))="","—",INDEX(Database!$AS$5:$AS$518,MATCH(LARGE('Calc (scoring engine)'!$K$5:$K$518,3),'Calc (scoring engine)'!$K$5:$K$518,0))),""))</f>
        <v/>
      </c>
      <c r="AQ23" s="23">
        <f>IF(OR(3&gt;MAX(3,MIN(15,N($D$18))),IFERROR(LARGE('Calc (scoring engine)'!$K$5:$K$518,3),-999999)&lt;=-900000),"",IFERROR(IF(INDEX(Database!$AT$5:$AT$518,MATCH(LARGE('Calc (scoring engine)'!$K$5:$K$518,3),'Calc (scoring engine)'!$K$5:$K$518,0))="","—",INDEX(Database!$AT$5:$AT$518,MATCH(LARGE('Calc (scoring engine)'!$K$5:$K$518,3),'Calc (scoring engine)'!$K$5:$K$518,0))),""))</f>
        <v/>
      </c>
      <c r="AR23" s="23">
        <f>IF(OR(3&gt;MAX(3,MIN(15,N($D$18))),IFERROR(LARGE('Calc (scoring engine)'!$K$5:$K$518,3),-999999)&lt;=-900000),"",IFERROR(IF(INDEX(Database!$AU$5:$AU$518,MATCH(LARGE('Calc (scoring engine)'!$K$5:$K$518,3),'Calc (scoring engine)'!$K$5:$K$518,0))="","—",INDEX(Database!$AU$5:$AU$518,MATCH(LARGE('Calc (scoring engine)'!$K$5:$K$518,3),'Calc (scoring engine)'!$K$5:$K$518,0))),""))</f>
        <v/>
      </c>
      <c r="AS23" s="23">
        <f>IF(OR(3&gt;MAX(3,MIN(15,N($D$18))),IFERROR(LARGE('Calc (scoring engine)'!$K$5:$K$518,3),-999999)&lt;=-900000),"",IFERROR(IF(INDEX(Database!$AV$5:$AV$518,MATCH(LARGE('Calc (scoring engine)'!$K$5:$K$518,3),'Calc (scoring engine)'!$K$5:$K$518,0))="","—",INDEX(Database!$AV$5:$AV$518,MATCH(LARGE('Calc (scoring engine)'!$K$5:$K$518,3),'Calc (scoring engine)'!$K$5:$K$518,0))),""))</f>
        <v/>
      </c>
      <c r="AT23" s="23">
        <f>IF(OR(3&gt;MAX(3,MIN(15,N($D$18))),IFERROR(LARGE('Calc (scoring engine)'!$K$5:$K$518,3),-999999)&lt;=-900000),"",IFERROR(IF(INDEX(Database!$AW$5:$AW$518,MATCH(LARGE('Calc (scoring engine)'!$K$5:$K$518,3),'Calc (scoring engine)'!$K$5:$K$518,0))="","—",INDEX(Database!$AW$5:$AW$518,MATCH(LARGE('Calc (scoring engine)'!$K$5:$K$518,3),'Calc (scoring engine)'!$K$5:$K$518,0))),""))</f>
        <v/>
      </c>
      <c r="AU23" s="23">
        <f>IF(OR(3&gt;MAX(3,MIN(15,N($D$18))),IFERROR(LARGE('Calc (scoring engine)'!$K$5:$K$518,3),-999999)&lt;=-900000),"",IFERROR(IF(INDEX(Database!$AX$5:$AX$518,MATCH(LARGE('Calc (scoring engine)'!$K$5:$K$518,3),'Calc (scoring engine)'!$K$5:$K$518,0))="","—",INDEX(Database!$AX$5:$AX$518,MATCH(LARGE('Calc (scoring engine)'!$K$5:$K$518,3),'Calc (scoring engine)'!$K$5:$K$518,0))),""))</f>
        <v/>
      </c>
      <c r="AV23" s="23">
        <f>IF(OR(3&gt;MAX(3,MIN(15,N($D$18))),IFERROR(LARGE('Calc (scoring engine)'!$K$5:$K$518,3),-999999)&lt;=-900000),"",IFERROR(IF(INDEX(Database!$AY$5:$AY$518,MATCH(LARGE('Calc (scoring engine)'!$K$5:$K$518,3),'Calc (scoring engine)'!$K$5:$K$518,0))="","—",INDEX(Database!$AY$5:$AY$518,MATCH(LARGE('Calc (scoring engine)'!$K$5:$K$518,3),'Calc (scoring engine)'!$K$5:$K$518,0))),""))</f>
        <v/>
      </c>
      <c r="AW23" s="23">
        <f>IF(OR(3&gt;MAX(3,MIN(15,N($D$18))),IFERROR(LARGE('Calc (scoring engine)'!$K$5:$K$518,3),-999999)&lt;=-900000),"",IFERROR(IF(INDEX(Database!$BA$5:$BA$518,MATCH(LARGE('Calc (scoring engine)'!$K$5:$K$518,3),'Calc (scoring engine)'!$K$5:$K$518,0))="","—",INDEX(Database!$BA$5:$BA$518,MATCH(LARGE('Calc (scoring engine)'!$K$5:$K$518,3),'Calc (scoring engine)'!$K$5:$K$518,0))),""))</f>
        <v/>
      </c>
      <c r="AX23" s="18">
        <f>IF(OR(3&gt;MAX(3,MIN(15,N($D$18))),IFERROR(LARGE('Calc (scoring engine)'!$K$5:$K$518,3),-999999)&lt;=-900000),"",IFERROR(IF(INDEX(Database!$BC$5:$BC$518,MATCH(LARGE('Calc (scoring engine)'!$K$5:$K$518,3),'Calc (scoring engine)'!$K$5:$K$518,0))="","—",INDEX(Database!$BC$5:$BC$518,MATCH(LARGE('Calc (scoring engine)'!$K$5:$K$518,3),'Calc (scoring engine)'!$K$5:$K$518,0))),""))</f>
        <v/>
      </c>
      <c r="AY23" s="18">
        <f>IF(OR(3&gt;MAX(3,MIN(15,N($D$18))),IFERROR(LARGE('Calc (scoring engine)'!$K$5:$K$518,3),-999999)&lt;=-900000),"",IFERROR(IF(INDEX(Database!$BD$5:$BD$518,MATCH(LARGE('Calc (scoring engine)'!$K$5:$K$518,3),'Calc (scoring engine)'!$K$5:$K$518,0))="","—",INDEX(Database!$BD$5:$BD$518,MATCH(LARGE('Calc (scoring engine)'!$K$5:$K$518,3),'Calc (scoring engine)'!$K$5:$K$518,0))),""))</f>
        <v/>
      </c>
      <c r="AZ23" s="10">
        <f>IF(OR(3&gt;MAX(3,MIN(15,N($D$18))),IFERROR(LARGE('Calc (scoring engine)'!$K$5:$K$518,3),-999999)&lt;=-900000),"",IFERROR(IF(INDEX(Database!$BE$5:$BE$518,MATCH(LARGE('Calc (scoring engine)'!$K$5:$K$518,3),'Calc (scoring engine)'!$K$5:$K$518,0))="","—",INDEX(Database!$BE$5:$BE$518,MATCH(LARGE('Calc (scoring engine)'!$K$5:$K$518,3),'Calc (scoring engine)'!$K$5:$K$518,0))),""))</f>
        <v/>
      </c>
      <c r="BA23" s="24">
        <f>IF(OR(3&gt;MAX(3,MIN(15,N($D$18))),IFERROR(LARGE('Calc (scoring engine)'!$K$5:$K$518,3),-999999)&lt;=-900000),"",IFERROR(IF(N(INDEX(Database!$BF$5:$BF$518,MATCH(LARGE('Calc (scoring engine)'!$K$5:$K$518,3),'Calc (scoring engine)'!$K$5:$K$518,0)))&lt;=0,IF(INDEX(Database!$BE$5:$BE$518,MATCH(LARGE('Calc (scoring engine)'!$K$5:$K$518,3),'Calc (scoring engine)'!$K$5:$K$518,0))="N","n/m","—"),INDEX(Database!$BF$5:$BF$518,MATCH(LARGE('Calc (scoring engine)'!$K$5:$K$518,3),'Calc (scoring engine)'!$K$5:$K$518,0))),""))</f>
        <v/>
      </c>
      <c r="BB23" s="24">
        <f>IF(OR(3&gt;MAX(3,MIN(15,N($D$18))),IFERROR(LARGE('Calc (scoring engine)'!$K$5:$K$518,3),-999999)&lt;=-900000),"",IFERROR(IF(INDEX(Database!$BG$5:$BG$518,MATCH(LARGE('Calc (scoring engine)'!$K$5:$K$518,3),'Calc (scoring engine)'!$K$5:$K$518,0))="","—",INDEX(Database!$BG$5:$BG$518,MATCH(LARGE('Calc (scoring engine)'!$K$5:$K$518,3),'Calc (scoring engine)'!$K$5:$K$518,0))),""))</f>
        <v/>
      </c>
      <c r="BC23" s="24">
        <f>IF(OR(3&gt;MAX(3,MIN(15,N($D$18))),IFERROR(LARGE('Calc (scoring engine)'!$K$5:$K$518,3),-999999)&lt;=-900000),"",IFERROR(IF(INDEX(Database!$BH$5:$BH$518,MATCH(LARGE('Calc (scoring engine)'!$K$5:$K$518,3),'Calc (scoring engine)'!$K$5:$K$518,0))="","—",INDEX(Database!$BH$5:$BH$518,MATCH(LARGE('Calc (scoring engine)'!$K$5:$K$518,3),'Calc (scoring engine)'!$K$5:$K$518,0))),""))</f>
        <v/>
      </c>
      <c r="BD23" s="24">
        <f>IF(OR(3&gt;MAX(3,MIN(15,N($D$18))),IFERROR(LARGE('Calc (scoring engine)'!$K$5:$K$518,3),-999999)&lt;=-900000),"",IFERROR(IF(INDEX(Database!$BI$5:$BI$518,MATCH(LARGE('Calc (scoring engine)'!$K$5:$K$518,3),'Calc (scoring engine)'!$K$5:$K$518,0))="","—",INDEX(Database!$BI$5:$BI$518,MATCH(LARGE('Calc (scoring engine)'!$K$5:$K$518,3),'Calc (scoring engine)'!$K$5:$K$518,0))),""))</f>
        <v/>
      </c>
      <c r="BE23" s="24">
        <f>IF(OR(3&gt;MAX(3,MIN(15,N($D$18))),IFERROR(LARGE('Calc (scoring engine)'!$K$5:$K$518,3),-999999)&lt;=-900000),"",IFERROR(IF(INDEX(Database!$BJ$5:$BJ$518,MATCH(LARGE('Calc (scoring engine)'!$K$5:$K$518,3),'Calc (scoring engine)'!$K$5:$K$518,0))="","—",INDEX(Database!$BJ$5:$BJ$518,MATCH(LARGE('Calc (scoring engine)'!$K$5:$K$518,3),'Calc (scoring engine)'!$K$5:$K$518,0))),""))</f>
        <v/>
      </c>
      <c r="BF23" s="24">
        <f>IF(OR(3&gt;MAX(3,MIN(15,N($D$18))),IFERROR(LARGE('Calc (scoring engine)'!$K$5:$K$518,3),-999999)&lt;=-900000),"",IFERROR(IFERROR(BDP(TEXT(INDEX(Database!$A$5:$A$518,MATCH(LARGE('Calc (scoring engine)'!$K$5:$K$518,3),'Calc (scoring engine)'!$K$5:$K$518,0)),"0")&amp;" HK Equity","PE_RATIO"),IF(INDEX(Database!$BH$5:$BH$518,MATCH(LARGE('Calc (scoring engine)'!$K$5:$K$518,3),'Calc (scoring engine)'!$K$5:$K$518,0))="","—",INDEX(Database!$BH$5:$BH$518,MATCH(LARGE('Calc (scoring engine)'!$K$5:$K$518,3),'Calc (scoring engine)'!$K$5:$K$518,0)))),""))</f>
        <v/>
      </c>
      <c r="BG23" s="24">
        <f>IF(OR(3&gt;MAX(3,MIN(15,N($D$18))),IFERROR(LARGE('Calc (scoring engine)'!$K$5:$K$518,3),-999999)&lt;=-900000),"",IFERROR(IFERROR(BDP(TEXT(INDEX(Database!$A$5:$A$518,MATCH(LARGE('Calc (scoring engine)'!$K$5:$K$518,3),'Calc (scoring engine)'!$K$5:$K$518,0)),"0")&amp;" HK Equity","PX_TO_SALES_RATIO"),IF(INDEX(Database!$BI$5:$BI$518,MATCH(LARGE('Calc (scoring engine)'!$K$5:$K$518,3),'Calc (scoring engine)'!$K$5:$K$518,0))="","—",INDEX(Database!$BI$5:$BI$518,MATCH(LARGE('Calc (scoring engine)'!$K$5:$K$518,3),'Calc (scoring engine)'!$K$5:$K$518,0)))),""))</f>
        <v/>
      </c>
      <c r="BH23" s="10">
        <f>IF(OR(3&gt;MAX(3,MIN(15,N($D$18))),IFERROR(LARGE('Calc (scoring engine)'!$K$5:$K$518,3),-999999)&lt;=-900000),"",IFERROR(IF(INDEX(Database!$BK$5:$BK$518,MATCH(LARGE('Calc (scoring engine)'!$K$5:$K$518,3),'Calc (scoring engine)'!$K$5:$K$518,0))="","—",INDEX(Database!$BK$5:$BK$518,MATCH(LARGE('Calc (scoring engine)'!$K$5:$K$518,3),'Calc (scoring engine)'!$K$5:$K$518,0))),""))</f>
        <v/>
      </c>
      <c r="BI23" s="10">
        <f>IF(OR(3&gt;MAX(3,MIN(15,N($D$18))),IFERROR(LARGE('Calc (scoring engine)'!$K$5:$K$518,3),-999999)&lt;=-900000),"",IFERROR(IF(INDEX(Database!$BL$5:$BL$518,MATCH(LARGE('Calc (scoring engine)'!$K$5:$K$518,3),'Calc (scoring engine)'!$K$5:$K$518,0))="","—",INDEX(Database!$BL$5:$BL$518,MATCH(LARGE('Calc (scoring engine)'!$K$5:$K$518,3),'Calc (scoring engine)'!$K$5:$K$518,0))),""))</f>
        <v/>
      </c>
      <c r="BJ23" s="23">
        <f>IF(OR(3&gt;MAX(3,MIN(15,N($D$18))),IFERROR(LARGE('Calc (scoring engine)'!$K$5:$K$518,3),-999999)&lt;=-900000),"",IFERROR(IF(INDEX(Database!$BM$5:$BM$518,MATCH(LARGE('Calc (scoring engine)'!$K$5:$K$518,3),'Calc (scoring engine)'!$K$5:$K$518,0))="","—",INDEX(Database!$BM$5:$BM$518,MATCH(LARGE('Calc (scoring engine)'!$K$5:$K$518,3),'Calc (scoring engine)'!$K$5:$K$518,0))),""))</f>
        <v/>
      </c>
      <c r="BK23" s="40">
        <f>IF(OR(3&gt;MAX(3,MIN(15,N($D$18))),IFERROR(LARGE('Calc (scoring engine)'!$K$5:$K$518,3),-999999)&lt;=-900000),"",IFERROR(IF(INDEX(Database!$BN$5:$BN$518,MATCH(LARGE('Calc (scoring engine)'!$K$5:$K$518,3),'Calc (scoring engine)'!$K$5:$K$518,0))="","—",INDEX(Database!$BN$5:$BN$518,MATCH(LARGE('Calc (scoring engine)'!$K$5:$K$518,3),'Calc (scoring engine)'!$K$5:$K$518,0))),""))</f>
        <v/>
      </c>
      <c r="BL23" s="43">
        <f>IF(OR(3&gt;MAX(3,MIN(15,N($D$18))),IFERROR(LARGE('Calc (scoring engine)'!$K$5:$K$518,3),-999999)&lt;=-900000),"",IFERROR(IF(INDEX(Database!$BO$5:$BO$518,MATCH(LARGE('Calc (scoring engine)'!$K$5:$K$518,3),'Calc (scoring engine)'!$K$5:$K$518,0))="","—",INDEX(Database!$BO$5:$BO$518,MATCH(LARGE('Calc (scoring engine)'!$K$5:$K$518,3),'Calc (scoring engine)'!$K$5:$K$518,0))),""))</f>
        <v/>
      </c>
      <c r="BM23" s="18">
        <f>IF(OR(3&gt;MAX(3,MIN(15,N($D$18))),IFERROR(LARGE('Calc (scoring engine)'!$K$5:$K$518,3),-999999)&lt;=-900000),"",IFERROR(IF(INDEX(Database!$BP$5:$BP$518,MATCH(LARGE('Calc (scoring engine)'!$K$5:$K$518,3),'Calc (scoring engine)'!$K$5:$K$518,0))="","—",INDEX(Database!$BP$5:$BP$518,MATCH(LARGE('Calc (scoring engine)'!$K$5:$K$518,3),'Calc (scoring engine)'!$K$5:$K$518,0))),""))</f>
        <v/>
      </c>
      <c r="BN23" s="24">
        <f>IF(OR(3&gt;MAX(3,MIN(15,N($D$18))),IFERROR(LARGE('Calc (scoring engine)'!$K$5:$K$518,3),-999999)&lt;=-900000),"",IFERROR(IF(INDEX(Database!$BQ$5:$BQ$518,MATCH(LARGE('Calc (scoring engine)'!$K$5:$K$518,3),'Calc (scoring engine)'!$K$5:$K$518,0))="","—",INDEX(Database!$BQ$5:$BQ$518,MATCH(LARGE('Calc (scoring engine)'!$K$5:$K$518,3),'Calc (scoring engine)'!$K$5:$K$518,0))),""))</f>
        <v/>
      </c>
      <c r="BO23" s="24">
        <f>IF(OR(3&gt;MAX(3,MIN(15,N($D$18))),IFERROR(LARGE('Calc (scoring engine)'!$K$5:$K$518,3),-999999)&lt;=-900000),"",IFERROR(IF(INDEX(Database!$BR$5:$BR$518,MATCH(LARGE('Calc (scoring engine)'!$K$5:$K$518,3),'Calc (scoring engine)'!$K$5:$K$518,0))="","—",INDEX(Database!$BR$5:$BR$518,MATCH(LARGE('Calc (scoring engine)'!$K$5:$K$518,3),'Calc (scoring engine)'!$K$5:$K$518,0))),""))</f>
        <v/>
      </c>
      <c r="BP23" s="10">
        <f>IF(OR(3&gt;MAX(3,MIN(15,N($D$18))),IFERROR(LARGE('Calc (scoring engine)'!$K$5:$K$518,3),-999999)&lt;=-900000),"",IFERROR(IF(INDEX(Database!$BS$5:$BS$518,MATCH(LARGE('Calc (scoring engine)'!$K$5:$K$518,3),'Calc (scoring engine)'!$K$5:$K$518,0))="","—",INDEX(Database!$BS$5:$BS$518,MATCH(LARGE('Calc (scoring engine)'!$K$5:$K$518,3),'Calc (scoring engine)'!$K$5:$K$518,0))),""))</f>
        <v/>
      </c>
      <c r="BQ23" s="10">
        <f>IF(OR(3&gt;MAX(3,MIN(15,N($D$18))),IFERROR(LARGE('Calc (scoring engine)'!$K$5:$K$518,3),-999999)&lt;=-900000),"",IFERROR(IF(INDEX(Database!$BU$5:$BU$518,MATCH(LARGE('Calc (scoring engine)'!$K$5:$K$518,3),'Calc (scoring engine)'!$K$5:$K$518,0))="","—",INDEX(Database!$BU$5:$BU$518,MATCH(LARGE('Calc (scoring engine)'!$K$5:$K$518,3),'Calc (scoring engine)'!$K$5:$K$518,0))),""))</f>
        <v/>
      </c>
      <c r="BR23" s="44">
        <f>IF(OR(3&gt;MAX(3,MIN(15,N($D$18))),IFERROR(LARGE('Calc (scoring engine)'!$K$5:$K$518,3),-999999)&lt;=-900000),"",IFERROR(IF(INDEX('Calc (scoring engine)'!$H$5:$H$518,MATCH(LARGE('Calc (scoring engine)'!$K$5:$K$518,3),'Calc (scoring engine)'!$K$5:$K$518,0))&gt;0,INDEX('Calc (scoring engine)'!$H$5:$H$518,MATCH(LARGE('Calc (scoring engine)'!$K$5:$K$518,3),'Calc (scoring engine)'!$K$5:$K$518,0)),""),""))</f>
        <v/>
      </c>
      <c r="BS23" s="10">
        <f>IF(OR(3&gt;MAX(3,MIN(15,N($D$18))),IFERROR(LARGE('Calc (scoring engine)'!$K$5:$K$518,3),-999999)&lt;=-900000),"",IF(IFERROR(INDEX('Calc (scoring engine)'!$B$5:$B$518,MATCH(LARGE('Calc (scoring engine)'!$K$5:$K$518,3),'Calc (scoring engine)'!$K$5:$K$518,0)),0)=1,"same subsector","sector only"))</f>
        <v/>
      </c>
      <c r="BT23" s="44">
        <f>IF(OR(3&gt;MAX(3,MIN(15,N($D$18))),IFERROR(LARGE('Calc (scoring engine)'!$K$5:$K$518,3),-999999)&lt;=-900000),"",ROUND(IFERROR(LARGE('Calc (scoring engine)'!$K$5:$K$518,3),0),0))</f>
        <v/>
      </c>
      <c r="BU23" s="10">
        <f>IF(OR(3&gt;MAX(3,MIN(15,N($D$18))),IFERROR(LARGE('Calc (scoring engine)'!$K$5:$K$518,3),-999999)&lt;=-900000),"",IFERROR("sub "&amp;INDEX('Calc (scoring engine)'!$B$5:$B$518,MATCH(LARGE('Calc (scoring engine)'!$K$5:$K$518,3),'Calc (scoring engine)'!$K$5:$K$518,0))*W_SUB&amp;" + size "&amp;ROUND(INDEX('Calc (scoring engine)'!$D$5:$D$518,MATCH(LARGE('Calc (scoring engine)'!$K$5:$K$518,3),'Calc (scoring engine)'!$K$5:$K$518,0))*W_SIZE,0)&amp;" + prof "&amp;INDEX('Calc (scoring engine)'!$E$5:$E$518,MATCH(LARGE('Calc (scoring engine)'!$K$5:$K$518,3),'Calc (scoring engine)'!$K$5:$K$518,0))*W_PROF&amp;" + recency "&amp;ROUND(INDEX('Calc (scoring engine)'!$G$5:$G$518,MATCH(LARGE('Calc (scoring engine)'!$K$5:$K$518,3),'Calc (scoring engine)'!$K$5:$K$518,0))*W_REC,0)&amp;IF(INDEX('Calc (scoring engine)'!$H$5:$H$518,MATCH(LARGE('Calc (scoring engine)'!$K$5:$K$518,3),'Calc (scoring engine)'!$K$5:$K$518,0))&gt;0," + shared CS x"&amp;INDEX('Calc (scoring engine)'!$H$5:$H$518,MATCH(LARGE('Calc (scoring engine)'!$K$5:$K$518,3),'Calc (scoring engine)'!$K$5:$K$518,0)),""),""))</f>
        <v/>
      </c>
    </row>
    <row r="24">
      <c r="A24" s="38">
        <f>IF(OR(4&gt;MAX(3,MIN(15,N($D$18))),IFERROR(LARGE('Calc (scoring engine)'!$K$5:$K$518,4),-999999)&lt;=-900000),"",4)</f>
        <v/>
      </c>
      <c r="B24" s="10">
        <f>IF(OR(4&gt;MAX(3,MIN(15,N($D$18))),IFERROR(LARGE('Calc (scoring engine)'!$K$5:$K$518,4),-999999)&lt;=-900000),"",IFERROR(IF(INDEX(Database!$B$5:$B$518,MATCH(LARGE('Calc (scoring engine)'!$K$5:$K$518,4),'Calc (scoring engine)'!$K$5:$K$518,0))="","—",INDEX(Database!$B$5:$B$518,MATCH(LARGE('Calc (scoring engine)'!$K$5:$K$518,4),'Calc (scoring engine)'!$K$5:$K$518,0))),""))</f>
        <v/>
      </c>
      <c r="C24" s="39">
        <f>IF(OR(4&gt;MAX(3,MIN(15,N($D$18))),IFERROR(LARGE('Calc (scoring engine)'!$K$5:$K$518,4),-999999)&lt;=-900000),"",IFERROR(IF(INDEX(Database!$A$5:$A$518,MATCH(LARGE('Calc (scoring engine)'!$K$5:$K$518,4),'Calc (scoring engine)'!$K$5:$K$518,0))="","—",INDEX(Database!$A$5:$A$518,MATCH(LARGE('Calc (scoring engine)'!$K$5:$K$518,4),'Calc (scoring engine)'!$K$5:$K$518,0))),""))</f>
        <v/>
      </c>
      <c r="D24" s="10">
        <f>IF(OR(4&gt;MAX(3,MIN(15,N($D$18))),IFERROR(LARGE('Calc (scoring engine)'!$K$5:$K$518,4),-999999)&lt;=-900000),"",IFERROR(IF(INDEX(Database!$D$5:$D$518,MATCH(LARGE('Calc (scoring engine)'!$K$5:$K$518,4),'Calc (scoring engine)'!$K$5:$K$518,0))="","—",INDEX(Database!$D$5:$D$518,MATCH(LARGE('Calc (scoring engine)'!$K$5:$K$518,4),'Calc (scoring engine)'!$K$5:$K$518,0))),""))</f>
        <v/>
      </c>
      <c r="E24" s="10">
        <f>IF(OR(4&gt;MAX(3,MIN(15,N($D$18))),IFERROR(LARGE('Calc (scoring engine)'!$K$5:$K$518,4),-999999)&lt;=-900000),"",IFERROR(IF(INDEX(Database!$E$5:$E$518,MATCH(LARGE('Calc (scoring engine)'!$K$5:$K$518,4),'Calc (scoring engine)'!$K$5:$K$518,0))="","—",INDEX(Database!$E$5:$E$518,MATCH(LARGE('Calc (scoring engine)'!$K$5:$K$518,4),'Calc (scoring engine)'!$K$5:$K$518,0))),""))</f>
        <v/>
      </c>
      <c r="F24" s="10">
        <f>IF(OR(4&gt;MAX(3,MIN(15,N($D$18))),IFERROR(LARGE('Calc (scoring engine)'!$K$5:$K$518,4),-999999)&lt;=-900000),"",IFERROR(IF(INDEX(Database!$F$5:$F$518,MATCH(LARGE('Calc (scoring engine)'!$K$5:$K$518,4),'Calc (scoring engine)'!$K$5:$K$518,0))="","—",INDEX(Database!$F$5:$F$518,MATCH(LARGE('Calc (scoring engine)'!$K$5:$K$518,4),'Calc (scoring engine)'!$K$5:$K$518,0))),""))</f>
        <v/>
      </c>
      <c r="G24" s="10">
        <f>IF(OR(4&gt;MAX(3,MIN(15,N($D$18))),IFERROR(LARGE('Calc (scoring engine)'!$K$5:$K$518,4),-999999)&lt;=-900000),"",IFERROR(IF(INDEX(Database!$G$5:$G$518,MATCH(LARGE('Calc (scoring engine)'!$K$5:$K$518,4),'Calc (scoring engine)'!$K$5:$K$518,0))="","—",INDEX(Database!$G$5:$G$518,MATCH(LARGE('Calc (scoring engine)'!$K$5:$K$518,4),'Calc (scoring engine)'!$K$5:$K$518,0))),""))</f>
        <v/>
      </c>
      <c r="H24" s="21">
        <f>IF(OR(4&gt;MAX(3,MIN(15,N($D$18))),IFERROR(LARGE('Calc (scoring engine)'!$K$5:$K$518,4),-999999)&lt;=-900000),"",IFERROR(IF(INDEX(Database!$H$5:$H$518,MATCH(LARGE('Calc (scoring engine)'!$K$5:$K$518,4),'Calc (scoring engine)'!$K$5:$K$518,0))="","—",INDEX(Database!$H$5:$H$518,MATCH(LARGE('Calc (scoring engine)'!$K$5:$K$518,4),'Calc (scoring engine)'!$K$5:$K$518,0))),""))</f>
        <v/>
      </c>
      <c r="I24" s="18">
        <f>IF(OR(4&gt;MAX(3,MIN(15,N($D$18))),IFERROR(LARGE('Calc (scoring engine)'!$K$5:$K$518,4),-999999)&lt;=-900000),"",IFERROR(IF(INDEX(Database!$I$5:$I$518,MATCH(LARGE('Calc (scoring engine)'!$K$5:$K$518,4),'Calc (scoring engine)'!$K$5:$K$518,0))="","—",INDEX(Database!$I$5:$I$518,MATCH(LARGE('Calc (scoring engine)'!$K$5:$K$518,4),'Calc (scoring engine)'!$K$5:$K$518,0))),""))</f>
        <v/>
      </c>
      <c r="J24" s="40">
        <f>IF(OR(4&gt;MAX(3,MIN(15,N($D$18))),IFERROR(LARGE('Calc (scoring engine)'!$K$5:$K$518,4),-999999)&lt;=-900000),"",IFERROR(IF(INDEX(Database!$K$5:$K$518,MATCH(LARGE('Calc (scoring engine)'!$K$5:$K$518,4),'Calc (scoring engine)'!$K$5:$K$518,0))="","—",INDEX(Database!$K$5:$K$518,MATCH(LARGE('Calc (scoring engine)'!$K$5:$K$518,4),'Calc (scoring engine)'!$K$5:$K$518,0))),""))</f>
        <v/>
      </c>
      <c r="K24" s="40">
        <f>IF(OR(4&gt;MAX(3,MIN(15,N($D$18))),IFERROR(LARGE('Calc (scoring engine)'!$K$5:$K$518,4),-999999)&lt;=-900000),"",IFERROR(IF(INDEX(Database!$L$5:$L$518,MATCH(LARGE('Calc (scoring engine)'!$K$5:$K$518,4),'Calc (scoring engine)'!$K$5:$K$518,0))="","—",INDEX(Database!$L$5:$L$518,MATCH(LARGE('Calc (scoring engine)'!$K$5:$K$518,4),'Calc (scoring engine)'!$K$5:$K$518,0))),""))</f>
        <v/>
      </c>
      <c r="L24" s="40">
        <f>IF(OR(4&gt;MAX(3,MIN(15,N($D$18))),IFERROR(LARGE('Calc (scoring engine)'!$K$5:$K$518,4),-999999)&lt;=-900000),"",IFERROR(IF(INDEX(Database!$M$5:$M$518,MATCH(LARGE('Calc (scoring engine)'!$K$5:$K$518,4),'Calc (scoring engine)'!$K$5:$K$518,0))="","—",INDEX(Database!$M$5:$M$518,MATCH(LARGE('Calc (scoring engine)'!$K$5:$K$518,4),'Calc (scoring engine)'!$K$5:$K$518,0))),""))</f>
        <v/>
      </c>
      <c r="M24" s="10">
        <f>IF(OR(4&gt;MAX(3,MIN(15,N($D$18))),IFERROR(LARGE('Calc (scoring engine)'!$K$5:$K$518,4),-999999)&lt;=-900000),"",IFERROR(IF(INDEX(Database!$N$5:$N$518,MATCH(LARGE('Calc (scoring engine)'!$K$5:$K$518,4),'Calc (scoring engine)'!$K$5:$K$518,0))="","—",INDEX(Database!$N$5:$N$518,MATCH(LARGE('Calc (scoring engine)'!$K$5:$K$518,4),'Calc (scoring engine)'!$K$5:$K$518,0))),""))</f>
        <v/>
      </c>
      <c r="N24" s="28">
        <f>IF(OR(4&gt;MAX(3,MIN(15,N($D$18))),IFERROR(LARGE('Calc (scoring engine)'!$K$5:$K$518,4),-999999)&lt;=-900000),"",IFERROR(IF(INDEX(Database!$O$5:$O$518,MATCH(LARGE('Calc (scoring engine)'!$K$5:$K$518,4),'Calc (scoring engine)'!$K$5:$K$518,0))="","—",INDEX(Database!$O$5:$O$518,MATCH(LARGE('Calc (scoring engine)'!$K$5:$K$518,4),'Calc (scoring engine)'!$K$5:$K$518,0))),""))</f>
        <v/>
      </c>
      <c r="O24" s="28">
        <f>IF(OR(4&gt;MAX(3,MIN(15,N($D$18))),IFERROR(LARGE('Calc (scoring engine)'!$K$5:$K$518,4),-999999)&lt;=-900000),"",IFERROR(IF(INDEX(Database!$P$5:$P$518,MATCH(LARGE('Calc (scoring engine)'!$K$5:$K$518,4),'Calc (scoring engine)'!$K$5:$K$518,0))="","—",INDEX(Database!$P$5:$P$518,MATCH(LARGE('Calc (scoring engine)'!$K$5:$K$518,4),'Calc (scoring engine)'!$K$5:$K$518,0))),""))</f>
        <v/>
      </c>
      <c r="P24" s="18">
        <f>IF(OR(4&gt;MAX(3,MIN(15,N($D$18))),IFERROR(LARGE('Calc (scoring engine)'!$K$5:$K$518,4),-999999)&lt;=-900000),"",IFERROR(IF(INDEX(Database!$Q$5:$Q$518,MATCH(LARGE('Calc (scoring engine)'!$K$5:$K$518,4),'Calc (scoring engine)'!$K$5:$K$518,0))="","—",INDEX(Database!$Q$5:$Q$518,MATCH(LARGE('Calc (scoring engine)'!$K$5:$K$518,4),'Calc (scoring engine)'!$K$5:$K$518,0))),""))</f>
        <v/>
      </c>
      <c r="Q24" s="26">
        <f>IF(OR(4&gt;MAX(3,MIN(15,N($D$18))),IFERROR(LARGE('Calc (scoring engine)'!$K$5:$K$518,4),-999999)&lt;=-900000),"",IFERROR(IF(INDEX(Database!$S$5:$S$518,MATCH(LARGE('Calc (scoring engine)'!$K$5:$K$518,4),'Calc (scoring engine)'!$K$5:$K$518,0))="","—",INDEX(Database!$S$5:$S$518,MATCH(LARGE('Calc (scoring engine)'!$K$5:$K$518,4),'Calc (scoring engine)'!$K$5:$K$518,0))),""))</f>
        <v/>
      </c>
      <c r="R24" s="41">
        <f>IF(OR(4&gt;MAX(3,MIN(15,N($D$18))),IFERROR(LARGE('Calc (scoring engine)'!$K$5:$K$518,4),-999999)&lt;=-900000),"",IFERROR(IF(INDEX(Database!$T$5:$T$518,MATCH(LARGE('Calc (scoring engine)'!$K$5:$K$518,4),'Calc (scoring engine)'!$K$5:$K$518,0))="","—",INDEX(Database!$T$5:$T$518,MATCH(LARGE('Calc (scoring engine)'!$K$5:$K$518,4),'Calc (scoring engine)'!$K$5:$K$518,0))),""))</f>
        <v/>
      </c>
      <c r="S24" s="42">
        <f>IF(OR(4&gt;MAX(3,MIN(15,N($D$18))),IFERROR(LARGE('Calc (scoring engine)'!$K$5:$K$518,4),-999999)&lt;=-900000),"",IFERROR(IF(INDEX(Database!$U$5:$U$518,MATCH(LARGE('Calc (scoring engine)'!$K$5:$K$518,4),'Calc (scoring engine)'!$K$5:$K$518,0))="","—",INDEX(Database!$U$5:$U$518,MATCH(LARGE('Calc (scoring engine)'!$K$5:$K$518,4),'Calc (scoring engine)'!$K$5:$K$518,0))),""))</f>
        <v/>
      </c>
      <c r="T24" s="18">
        <f>IF(OR(4&gt;MAX(3,MIN(15,N($D$18))),IFERROR(LARGE('Calc (scoring engine)'!$K$5:$K$518,4),-999999)&lt;=-900000),"",IFERROR(IF(INDEX(Database!$V$5:$V$518,MATCH(LARGE('Calc (scoring engine)'!$K$5:$K$518,4),'Calc (scoring engine)'!$K$5:$K$518,0))="","—",INDEX(Database!$V$5:$V$518,MATCH(LARGE('Calc (scoring engine)'!$K$5:$K$518,4),'Calc (scoring engine)'!$K$5:$K$518,0))),""))</f>
        <v/>
      </c>
      <c r="U24" s="18">
        <f>IF(OR(4&gt;MAX(3,MIN(15,N($D$18))),IFERROR(LARGE('Calc (scoring engine)'!$K$5:$K$518,4),-999999)&lt;=-900000),"",IFERROR(IF(INDEX(Database!$W$5:$W$518,MATCH(LARGE('Calc (scoring engine)'!$K$5:$K$518,4),'Calc (scoring engine)'!$K$5:$K$518,0))="","—",INDEX(Database!$W$5:$W$518,MATCH(LARGE('Calc (scoring engine)'!$K$5:$K$518,4),'Calc (scoring engine)'!$K$5:$K$518,0))),""))</f>
        <v/>
      </c>
      <c r="V24" s="28">
        <f>IF(OR(4&gt;MAX(3,MIN(15,N($D$18))),IFERROR(LARGE('Calc (scoring engine)'!$K$5:$K$518,4),-999999)&lt;=-900000),"",IFERROR(IF(INDEX(Database!$X$5:$X$518,MATCH(LARGE('Calc (scoring engine)'!$K$5:$K$518,4),'Calc (scoring engine)'!$K$5:$K$518,0))="","—",INDEX(Database!$X$5:$X$518,MATCH(LARGE('Calc (scoring engine)'!$K$5:$K$518,4),'Calc (scoring engine)'!$K$5:$K$518,0))),""))</f>
        <v/>
      </c>
      <c r="W24" s="10">
        <f>IF(OR(4&gt;MAX(3,MIN(15,N($D$18))),IFERROR(LARGE('Calc (scoring engine)'!$K$5:$K$518,4),-999999)&lt;=-900000),"",IFERROR(IF(INDEX(Database!$Y$5:$Y$518,MATCH(LARGE('Calc (scoring engine)'!$K$5:$K$518,4),'Calc (scoring engine)'!$K$5:$K$518,0))="","—",INDEX(Database!$Y$5:$Y$518,MATCH(LARGE('Calc (scoring engine)'!$K$5:$K$518,4),'Calc (scoring engine)'!$K$5:$K$518,0))),""))</f>
        <v/>
      </c>
      <c r="X24" s="28">
        <f>IF(OR(4&gt;MAX(3,MIN(15,N($D$18))),IFERROR(LARGE('Calc (scoring engine)'!$K$5:$K$518,4),-999999)&lt;=-900000),"",IFERROR(IF(INDEX(Database!$AA$5:$AA$518,MATCH(LARGE('Calc (scoring engine)'!$K$5:$K$518,4),'Calc (scoring engine)'!$K$5:$K$518,0))="","—",INDEX(Database!$AA$5:$AA$518,MATCH(LARGE('Calc (scoring engine)'!$K$5:$K$518,4),'Calc (scoring engine)'!$K$5:$K$518,0))),""))</f>
        <v/>
      </c>
      <c r="Y24" s="23">
        <f>IF(OR(4&gt;MAX(3,MIN(15,N($D$18))),IFERROR(LARGE('Calc (scoring engine)'!$K$5:$K$518,4),-999999)&lt;=-900000),"",IFERROR(IF(INDEX(Database!$AB$5:$AB$518,MATCH(LARGE('Calc (scoring engine)'!$K$5:$K$518,4),'Calc (scoring engine)'!$K$5:$K$518,0))="","—",INDEX(Database!$AB$5:$AB$518,MATCH(LARGE('Calc (scoring engine)'!$K$5:$K$518,4),'Calc (scoring engine)'!$K$5:$K$518,0))),""))</f>
        <v/>
      </c>
      <c r="Z24" s="40">
        <f>IF(OR(4&gt;MAX(3,MIN(15,N($D$18))),IFERROR(LARGE('Calc (scoring engine)'!$K$5:$K$518,4),-999999)&lt;=-900000),"",IFERROR(IF(INDEX(Database!$AC$5:$AC$518,MATCH(LARGE('Calc (scoring engine)'!$K$5:$K$518,4),'Calc (scoring engine)'!$K$5:$K$518,0))="","—",INDEX(Database!$AC$5:$AC$518,MATCH(LARGE('Calc (scoring engine)'!$K$5:$K$518,4),'Calc (scoring engine)'!$K$5:$K$518,0))),""))</f>
        <v/>
      </c>
      <c r="AA24" s="23">
        <f>IF(OR(4&gt;MAX(3,MIN(15,N($D$18))),IFERROR(LARGE('Calc (scoring engine)'!$K$5:$K$518,4),-999999)&lt;=-900000),"",IFERROR(IF(INDEX(Database!$AD$5:$AD$518,MATCH(LARGE('Calc (scoring engine)'!$K$5:$K$518,4),'Calc (scoring engine)'!$K$5:$K$518,0))="","—",INDEX(Database!$AD$5:$AD$518,MATCH(LARGE('Calc (scoring engine)'!$K$5:$K$518,4),'Calc (scoring engine)'!$K$5:$K$518,0))),""))</f>
        <v/>
      </c>
      <c r="AB24" s="10">
        <f>IF(OR(4&gt;MAX(3,MIN(15,N($D$18))),IFERROR(LARGE('Calc (scoring engine)'!$K$5:$K$518,4),-999999)&lt;=-900000),"",IFERROR(IF(INDEX(Database!$AE$5:$AE$518,MATCH(LARGE('Calc (scoring engine)'!$K$5:$K$518,4),'Calc (scoring engine)'!$K$5:$K$518,0))="","—",INDEX(Database!$AE$5:$AE$518,MATCH(LARGE('Calc (scoring engine)'!$K$5:$K$518,4),'Calc (scoring engine)'!$K$5:$K$518,0))),""))</f>
        <v/>
      </c>
      <c r="AC24" s="10">
        <f>IF(OR(4&gt;MAX(3,MIN(15,N($D$18))),IFERROR(LARGE('Calc (scoring engine)'!$K$5:$K$518,4),-999999)&lt;=-900000),"",IFERROR(IF(INDEX(Database!$AF$5:$AF$518,MATCH(LARGE('Calc (scoring engine)'!$K$5:$K$518,4),'Calc (scoring engine)'!$K$5:$K$518,0))="","—",INDEX(Database!$AF$5:$AF$518,MATCH(LARGE('Calc (scoring engine)'!$K$5:$K$518,4),'Calc (scoring engine)'!$K$5:$K$518,0))),""))</f>
        <v/>
      </c>
      <c r="AD24" s="10">
        <f>IF(OR(4&gt;MAX(3,MIN(15,N($D$18))),IFERROR(LARGE('Calc (scoring engine)'!$K$5:$K$518,4),-999999)&lt;=-900000),"",IFERROR(IF(INDEX(Database!$AG$5:$AG$518,MATCH(LARGE('Calc (scoring engine)'!$K$5:$K$518,4),'Calc (scoring engine)'!$K$5:$K$518,0))="","—",INDEX(Database!$AG$5:$AG$518,MATCH(LARGE('Calc (scoring engine)'!$K$5:$K$518,4),'Calc (scoring engine)'!$K$5:$K$518,0))),""))</f>
        <v/>
      </c>
      <c r="AE24" s="10">
        <f>IF(OR(4&gt;MAX(3,MIN(15,N($D$18))),IFERROR(LARGE('Calc (scoring engine)'!$K$5:$K$518,4),-999999)&lt;=-900000),"",IFERROR(IF(INDEX(Database!$AH$5:$AH$518,MATCH(LARGE('Calc (scoring engine)'!$K$5:$K$518,4),'Calc (scoring engine)'!$K$5:$K$518,0))="","—",INDEX(Database!$AH$5:$AH$518,MATCH(LARGE('Calc (scoring engine)'!$K$5:$K$518,4),'Calc (scoring engine)'!$K$5:$K$518,0))),""))</f>
        <v/>
      </c>
      <c r="AF24" s="10">
        <f>IF(OR(4&gt;MAX(3,MIN(15,N($D$18))),IFERROR(LARGE('Calc (scoring engine)'!$K$5:$K$518,4),-999999)&lt;=-900000),"",IFERROR(IF(INDEX(Database!$AI$5:$AI$518,MATCH(LARGE('Calc (scoring engine)'!$K$5:$K$518,4),'Calc (scoring engine)'!$K$5:$K$518,0))="","—",INDEX(Database!$AI$5:$AI$518,MATCH(LARGE('Calc (scoring engine)'!$K$5:$K$518,4),'Calc (scoring engine)'!$K$5:$K$518,0))),""))</f>
        <v/>
      </c>
      <c r="AG24" s="10">
        <f>IF(OR(4&gt;MAX(3,MIN(15,N($D$18))),IFERROR(LARGE('Calc (scoring engine)'!$K$5:$K$518,4),-999999)&lt;=-900000),"",IFERROR(IF(INDEX(Database!$AJ$5:$AJ$518,MATCH(LARGE('Calc (scoring engine)'!$K$5:$K$518,4),'Calc (scoring engine)'!$K$5:$K$518,0))="","—",INDEX(Database!$AJ$5:$AJ$518,MATCH(LARGE('Calc (scoring engine)'!$K$5:$K$518,4),'Calc (scoring engine)'!$K$5:$K$518,0))),""))</f>
        <v/>
      </c>
      <c r="AH24" s="23">
        <f>IF(OR(4&gt;MAX(3,MIN(15,N($D$18))),IFERROR(LARGE('Calc (scoring engine)'!$K$5:$K$518,4),-999999)&lt;=-900000),"",IFERROR(IF(INDEX(Database!$AK$5:$AK$518,MATCH(LARGE('Calc (scoring engine)'!$K$5:$K$518,4),'Calc (scoring engine)'!$K$5:$K$518,0))="","—",INDEX(Database!$AK$5:$AK$518,MATCH(LARGE('Calc (scoring engine)'!$K$5:$K$518,4),'Calc (scoring engine)'!$K$5:$K$518,0))),""))</f>
        <v/>
      </c>
      <c r="AI24" s="23">
        <f>IF(OR(4&gt;MAX(3,MIN(15,N($D$18))),IFERROR(LARGE('Calc (scoring engine)'!$K$5:$K$518,4),-999999)&lt;=-900000),"",IFERROR(IF(INDEX(Database!$AL$5:$AL$518,MATCH(LARGE('Calc (scoring engine)'!$K$5:$K$518,4),'Calc (scoring engine)'!$K$5:$K$518,0))="","—",INDEX(Database!$AL$5:$AL$518,MATCH(LARGE('Calc (scoring engine)'!$K$5:$K$518,4),'Calc (scoring engine)'!$K$5:$K$518,0))),""))</f>
        <v/>
      </c>
      <c r="AJ24" s="23">
        <f>IF(OR(4&gt;MAX(3,MIN(15,N($D$18))),IFERROR(LARGE('Calc (scoring engine)'!$K$5:$K$518,4),-999999)&lt;=-900000),"",IFERROR(IF(INDEX(Database!$AM$5:$AM$518,MATCH(LARGE('Calc (scoring engine)'!$K$5:$K$518,4),'Calc (scoring engine)'!$K$5:$K$518,0))="","—",INDEX(Database!$AM$5:$AM$518,MATCH(LARGE('Calc (scoring engine)'!$K$5:$K$518,4),'Calc (scoring engine)'!$K$5:$K$518,0))),""))</f>
        <v/>
      </c>
      <c r="AK24" s="23">
        <f>IF(OR(4&gt;MAX(3,MIN(15,N($D$18))),IFERROR(LARGE('Calc (scoring engine)'!$K$5:$K$518,4),-999999)&lt;=-900000),"",IFERROR(IF(INDEX(Database!$AN$5:$AN$518,MATCH(LARGE('Calc (scoring engine)'!$K$5:$K$518,4),'Calc (scoring engine)'!$K$5:$K$518,0))="","—",INDEX(Database!$AN$5:$AN$518,MATCH(LARGE('Calc (scoring engine)'!$K$5:$K$518,4),'Calc (scoring engine)'!$K$5:$K$518,0))),""))</f>
        <v/>
      </c>
      <c r="AL24" s="23">
        <f>IF(OR(4&gt;MAX(3,MIN(15,N($D$18))),IFERROR(LARGE('Calc (scoring engine)'!$K$5:$K$518,4),-999999)&lt;=-900000),"",IFERROR(IF(INDEX(Database!$AO$5:$AO$518,MATCH(LARGE('Calc (scoring engine)'!$K$5:$K$518,4),'Calc (scoring engine)'!$K$5:$K$518,0))="","—",INDEX(Database!$AO$5:$AO$518,MATCH(LARGE('Calc (scoring engine)'!$K$5:$K$518,4),'Calc (scoring engine)'!$K$5:$K$518,0))),""))</f>
        <v/>
      </c>
      <c r="AM24" s="23">
        <f>IF(OR(4&gt;MAX(3,MIN(15,N($D$18))),IFERROR(LARGE('Calc (scoring engine)'!$K$5:$K$518,4),-999999)&lt;=-900000),"",IFERROR(IF(INDEX(Database!$AP$5:$AP$518,MATCH(LARGE('Calc (scoring engine)'!$K$5:$K$518,4),'Calc (scoring engine)'!$K$5:$K$518,0))="","—",INDEX(Database!$AP$5:$AP$518,MATCH(LARGE('Calc (scoring engine)'!$K$5:$K$518,4),'Calc (scoring engine)'!$K$5:$K$518,0))),""))</f>
        <v/>
      </c>
      <c r="AN24" s="23">
        <f>IF(OR(4&gt;MAX(3,MIN(15,N($D$18))),IFERROR(LARGE('Calc (scoring engine)'!$K$5:$K$518,4),-999999)&lt;=-900000),"",IFERROR(IF(INDEX(Database!$AQ$5:$AQ$518,MATCH(LARGE('Calc (scoring engine)'!$K$5:$K$518,4),'Calc (scoring engine)'!$K$5:$K$518,0))="","—",INDEX(Database!$AQ$5:$AQ$518,MATCH(LARGE('Calc (scoring engine)'!$K$5:$K$518,4),'Calc (scoring engine)'!$K$5:$K$518,0))),""))</f>
        <v/>
      </c>
      <c r="AO24" s="23">
        <f>IF(OR(4&gt;MAX(3,MIN(15,N($D$18))),IFERROR(LARGE('Calc (scoring engine)'!$K$5:$K$518,4),-999999)&lt;=-900000),"",IFERROR(IF(INDEX(Database!$AR$5:$AR$518,MATCH(LARGE('Calc (scoring engine)'!$K$5:$K$518,4),'Calc (scoring engine)'!$K$5:$K$518,0))="","—",INDEX(Database!$AR$5:$AR$518,MATCH(LARGE('Calc (scoring engine)'!$K$5:$K$518,4),'Calc (scoring engine)'!$K$5:$K$518,0))),""))</f>
        <v/>
      </c>
      <c r="AP24" s="23">
        <f>IF(OR(4&gt;MAX(3,MIN(15,N($D$18))),IFERROR(LARGE('Calc (scoring engine)'!$K$5:$K$518,4),-999999)&lt;=-900000),"",IFERROR(IF(INDEX(Database!$AS$5:$AS$518,MATCH(LARGE('Calc (scoring engine)'!$K$5:$K$518,4),'Calc (scoring engine)'!$K$5:$K$518,0))="","—",INDEX(Database!$AS$5:$AS$518,MATCH(LARGE('Calc (scoring engine)'!$K$5:$K$518,4),'Calc (scoring engine)'!$K$5:$K$518,0))),""))</f>
        <v/>
      </c>
      <c r="AQ24" s="23">
        <f>IF(OR(4&gt;MAX(3,MIN(15,N($D$18))),IFERROR(LARGE('Calc (scoring engine)'!$K$5:$K$518,4),-999999)&lt;=-900000),"",IFERROR(IF(INDEX(Database!$AT$5:$AT$518,MATCH(LARGE('Calc (scoring engine)'!$K$5:$K$518,4),'Calc (scoring engine)'!$K$5:$K$518,0))="","—",INDEX(Database!$AT$5:$AT$518,MATCH(LARGE('Calc (scoring engine)'!$K$5:$K$518,4),'Calc (scoring engine)'!$K$5:$K$518,0))),""))</f>
        <v/>
      </c>
      <c r="AR24" s="23">
        <f>IF(OR(4&gt;MAX(3,MIN(15,N($D$18))),IFERROR(LARGE('Calc (scoring engine)'!$K$5:$K$518,4),-999999)&lt;=-900000),"",IFERROR(IF(INDEX(Database!$AU$5:$AU$518,MATCH(LARGE('Calc (scoring engine)'!$K$5:$K$518,4),'Calc (scoring engine)'!$K$5:$K$518,0))="","—",INDEX(Database!$AU$5:$AU$518,MATCH(LARGE('Calc (scoring engine)'!$K$5:$K$518,4),'Calc (scoring engine)'!$K$5:$K$518,0))),""))</f>
        <v/>
      </c>
      <c r="AS24" s="23">
        <f>IF(OR(4&gt;MAX(3,MIN(15,N($D$18))),IFERROR(LARGE('Calc (scoring engine)'!$K$5:$K$518,4),-999999)&lt;=-900000),"",IFERROR(IF(INDEX(Database!$AV$5:$AV$518,MATCH(LARGE('Calc (scoring engine)'!$K$5:$K$518,4),'Calc (scoring engine)'!$K$5:$K$518,0))="","—",INDEX(Database!$AV$5:$AV$518,MATCH(LARGE('Calc (scoring engine)'!$K$5:$K$518,4),'Calc (scoring engine)'!$K$5:$K$518,0))),""))</f>
        <v/>
      </c>
      <c r="AT24" s="23">
        <f>IF(OR(4&gt;MAX(3,MIN(15,N($D$18))),IFERROR(LARGE('Calc (scoring engine)'!$K$5:$K$518,4),-999999)&lt;=-900000),"",IFERROR(IF(INDEX(Database!$AW$5:$AW$518,MATCH(LARGE('Calc (scoring engine)'!$K$5:$K$518,4),'Calc (scoring engine)'!$K$5:$K$518,0))="","—",INDEX(Database!$AW$5:$AW$518,MATCH(LARGE('Calc (scoring engine)'!$K$5:$K$518,4),'Calc (scoring engine)'!$K$5:$K$518,0))),""))</f>
        <v/>
      </c>
      <c r="AU24" s="23">
        <f>IF(OR(4&gt;MAX(3,MIN(15,N($D$18))),IFERROR(LARGE('Calc (scoring engine)'!$K$5:$K$518,4),-999999)&lt;=-900000),"",IFERROR(IF(INDEX(Database!$AX$5:$AX$518,MATCH(LARGE('Calc (scoring engine)'!$K$5:$K$518,4),'Calc (scoring engine)'!$K$5:$K$518,0))="","—",INDEX(Database!$AX$5:$AX$518,MATCH(LARGE('Calc (scoring engine)'!$K$5:$K$518,4),'Calc (scoring engine)'!$K$5:$K$518,0))),""))</f>
        <v/>
      </c>
      <c r="AV24" s="23">
        <f>IF(OR(4&gt;MAX(3,MIN(15,N($D$18))),IFERROR(LARGE('Calc (scoring engine)'!$K$5:$K$518,4),-999999)&lt;=-900000),"",IFERROR(IF(INDEX(Database!$AY$5:$AY$518,MATCH(LARGE('Calc (scoring engine)'!$K$5:$K$518,4),'Calc (scoring engine)'!$K$5:$K$518,0))="","—",INDEX(Database!$AY$5:$AY$518,MATCH(LARGE('Calc (scoring engine)'!$K$5:$K$518,4),'Calc (scoring engine)'!$K$5:$K$518,0))),""))</f>
        <v/>
      </c>
      <c r="AW24" s="23">
        <f>IF(OR(4&gt;MAX(3,MIN(15,N($D$18))),IFERROR(LARGE('Calc (scoring engine)'!$K$5:$K$518,4),-999999)&lt;=-900000),"",IFERROR(IF(INDEX(Database!$BA$5:$BA$518,MATCH(LARGE('Calc (scoring engine)'!$K$5:$K$518,4),'Calc (scoring engine)'!$K$5:$K$518,0))="","—",INDEX(Database!$BA$5:$BA$518,MATCH(LARGE('Calc (scoring engine)'!$K$5:$K$518,4),'Calc (scoring engine)'!$K$5:$K$518,0))),""))</f>
        <v/>
      </c>
      <c r="AX24" s="18">
        <f>IF(OR(4&gt;MAX(3,MIN(15,N($D$18))),IFERROR(LARGE('Calc (scoring engine)'!$K$5:$K$518,4),-999999)&lt;=-900000),"",IFERROR(IF(INDEX(Database!$BC$5:$BC$518,MATCH(LARGE('Calc (scoring engine)'!$K$5:$K$518,4),'Calc (scoring engine)'!$K$5:$K$518,0))="","—",INDEX(Database!$BC$5:$BC$518,MATCH(LARGE('Calc (scoring engine)'!$K$5:$K$518,4),'Calc (scoring engine)'!$K$5:$K$518,0))),""))</f>
        <v/>
      </c>
      <c r="AY24" s="18">
        <f>IF(OR(4&gt;MAX(3,MIN(15,N($D$18))),IFERROR(LARGE('Calc (scoring engine)'!$K$5:$K$518,4),-999999)&lt;=-900000),"",IFERROR(IF(INDEX(Database!$BD$5:$BD$518,MATCH(LARGE('Calc (scoring engine)'!$K$5:$K$518,4),'Calc (scoring engine)'!$K$5:$K$518,0))="","—",INDEX(Database!$BD$5:$BD$518,MATCH(LARGE('Calc (scoring engine)'!$K$5:$K$518,4),'Calc (scoring engine)'!$K$5:$K$518,0))),""))</f>
        <v/>
      </c>
      <c r="AZ24" s="10">
        <f>IF(OR(4&gt;MAX(3,MIN(15,N($D$18))),IFERROR(LARGE('Calc (scoring engine)'!$K$5:$K$518,4),-999999)&lt;=-900000),"",IFERROR(IF(INDEX(Database!$BE$5:$BE$518,MATCH(LARGE('Calc (scoring engine)'!$K$5:$K$518,4),'Calc (scoring engine)'!$K$5:$K$518,0))="","—",INDEX(Database!$BE$5:$BE$518,MATCH(LARGE('Calc (scoring engine)'!$K$5:$K$518,4),'Calc (scoring engine)'!$K$5:$K$518,0))),""))</f>
        <v/>
      </c>
      <c r="BA24" s="24">
        <f>IF(OR(4&gt;MAX(3,MIN(15,N($D$18))),IFERROR(LARGE('Calc (scoring engine)'!$K$5:$K$518,4),-999999)&lt;=-900000),"",IFERROR(IF(N(INDEX(Database!$BF$5:$BF$518,MATCH(LARGE('Calc (scoring engine)'!$K$5:$K$518,4),'Calc (scoring engine)'!$K$5:$K$518,0)))&lt;=0,IF(INDEX(Database!$BE$5:$BE$518,MATCH(LARGE('Calc (scoring engine)'!$K$5:$K$518,4),'Calc (scoring engine)'!$K$5:$K$518,0))="N","n/m","—"),INDEX(Database!$BF$5:$BF$518,MATCH(LARGE('Calc (scoring engine)'!$K$5:$K$518,4),'Calc (scoring engine)'!$K$5:$K$518,0))),""))</f>
        <v/>
      </c>
      <c r="BB24" s="24">
        <f>IF(OR(4&gt;MAX(3,MIN(15,N($D$18))),IFERROR(LARGE('Calc (scoring engine)'!$K$5:$K$518,4),-999999)&lt;=-900000),"",IFERROR(IF(INDEX(Database!$BG$5:$BG$518,MATCH(LARGE('Calc (scoring engine)'!$K$5:$K$518,4),'Calc (scoring engine)'!$K$5:$K$518,0))="","—",INDEX(Database!$BG$5:$BG$518,MATCH(LARGE('Calc (scoring engine)'!$K$5:$K$518,4),'Calc (scoring engine)'!$K$5:$K$518,0))),""))</f>
        <v/>
      </c>
      <c r="BC24" s="24">
        <f>IF(OR(4&gt;MAX(3,MIN(15,N($D$18))),IFERROR(LARGE('Calc (scoring engine)'!$K$5:$K$518,4),-999999)&lt;=-900000),"",IFERROR(IF(INDEX(Database!$BH$5:$BH$518,MATCH(LARGE('Calc (scoring engine)'!$K$5:$K$518,4),'Calc (scoring engine)'!$K$5:$K$518,0))="","—",INDEX(Database!$BH$5:$BH$518,MATCH(LARGE('Calc (scoring engine)'!$K$5:$K$518,4),'Calc (scoring engine)'!$K$5:$K$518,0))),""))</f>
        <v/>
      </c>
      <c r="BD24" s="24">
        <f>IF(OR(4&gt;MAX(3,MIN(15,N($D$18))),IFERROR(LARGE('Calc (scoring engine)'!$K$5:$K$518,4),-999999)&lt;=-900000),"",IFERROR(IF(INDEX(Database!$BI$5:$BI$518,MATCH(LARGE('Calc (scoring engine)'!$K$5:$K$518,4),'Calc (scoring engine)'!$K$5:$K$518,0))="","—",INDEX(Database!$BI$5:$BI$518,MATCH(LARGE('Calc (scoring engine)'!$K$5:$K$518,4),'Calc (scoring engine)'!$K$5:$K$518,0))),""))</f>
        <v/>
      </c>
      <c r="BE24" s="24">
        <f>IF(OR(4&gt;MAX(3,MIN(15,N($D$18))),IFERROR(LARGE('Calc (scoring engine)'!$K$5:$K$518,4),-999999)&lt;=-900000),"",IFERROR(IF(INDEX(Database!$BJ$5:$BJ$518,MATCH(LARGE('Calc (scoring engine)'!$K$5:$K$518,4),'Calc (scoring engine)'!$K$5:$K$518,0))="","—",INDEX(Database!$BJ$5:$BJ$518,MATCH(LARGE('Calc (scoring engine)'!$K$5:$K$518,4),'Calc (scoring engine)'!$K$5:$K$518,0))),""))</f>
        <v/>
      </c>
      <c r="BF24" s="24">
        <f>IF(OR(4&gt;MAX(3,MIN(15,N($D$18))),IFERROR(LARGE('Calc (scoring engine)'!$K$5:$K$518,4),-999999)&lt;=-900000),"",IFERROR(IFERROR(BDP(TEXT(INDEX(Database!$A$5:$A$518,MATCH(LARGE('Calc (scoring engine)'!$K$5:$K$518,4),'Calc (scoring engine)'!$K$5:$K$518,0)),"0")&amp;" HK Equity","PE_RATIO"),IF(INDEX(Database!$BH$5:$BH$518,MATCH(LARGE('Calc (scoring engine)'!$K$5:$K$518,4),'Calc (scoring engine)'!$K$5:$K$518,0))="","—",INDEX(Database!$BH$5:$BH$518,MATCH(LARGE('Calc (scoring engine)'!$K$5:$K$518,4),'Calc (scoring engine)'!$K$5:$K$518,0)))),""))</f>
        <v/>
      </c>
      <c r="BG24" s="24">
        <f>IF(OR(4&gt;MAX(3,MIN(15,N($D$18))),IFERROR(LARGE('Calc (scoring engine)'!$K$5:$K$518,4),-999999)&lt;=-900000),"",IFERROR(IFERROR(BDP(TEXT(INDEX(Database!$A$5:$A$518,MATCH(LARGE('Calc (scoring engine)'!$K$5:$K$518,4),'Calc (scoring engine)'!$K$5:$K$518,0)),"0")&amp;" HK Equity","PX_TO_SALES_RATIO"),IF(INDEX(Database!$BI$5:$BI$518,MATCH(LARGE('Calc (scoring engine)'!$K$5:$K$518,4),'Calc (scoring engine)'!$K$5:$K$518,0))="","—",INDEX(Database!$BI$5:$BI$518,MATCH(LARGE('Calc (scoring engine)'!$K$5:$K$518,4),'Calc (scoring engine)'!$K$5:$K$518,0)))),""))</f>
        <v/>
      </c>
      <c r="BH24" s="10">
        <f>IF(OR(4&gt;MAX(3,MIN(15,N($D$18))),IFERROR(LARGE('Calc (scoring engine)'!$K$5:$K$518,4),-999999)&lt;=-900000),"",IFERROR(IF(INDEX(Database!$BK$5:$BK$518,MATCH(LARGE('Calc (scoring engine)'!$K$5:$K$518,4),'Calc (scoring engine)'!$K$5:$K$518,0))="","—",INDEX(Database!$BK$5:$BK$518,MATCH(LARGE('Calc (scoring engine)'!$K$5:$K$518,4),'Calc (scoring engine)'!$K$5:$K$518,0))),""))</f>
        <v/>
      </c>
      <c r="BI24" s="10">
        <f>IF(OR(4&gt;MAX(3,MIN(15,N($D$18))),IFERROR(LARGE('Calc (scoring engine)'!$K$5:$K$518,4),-999999)&lt;=-900000),"",IFERROR(IF(INDEX(Database!$BL$5:$BL$518,MATCH(LARGE('Calc (scoring engine)'!$K$5:$K$518,4),'Calc (scoring engine)'!$K$5:$K$518,0))="","—",INDEX(Database!$BL$5:$BL$518,MATCH(LARGE('Calc (scoring engine)'!$K$5:$K$518,4),'Calc (scoring engine)'!$K$5:$K$518,0))),""))</f>
        <v/>
      </c>
      <c r="BJ24" s="23">
        <f>IF(OR(4&gt;MAX(3,MIN(15,N($D$18))),IFERROR(LARGE('Calc (scoring engine)'!$K$5:$K$518,4),-999999)&lt;=-900000),"",IFERROR(IF(INDEX(Database!$BM$5:$BM$518,MATCH(LARGE('Calc (scoring engine)'!$K$5:$K$518,4),'Calc (scoring engine)'!$K$5:$K$518,0))="","—",INDEX(Database!$BM$5:$BM$518,MATCH(LARGE('Calc (scoring engine)'!$K$5:$K$518,4),'Calc (scoring engine)'!$K$5:$K$518,0))),""))</f>
        <v/>
      </c>
      <c r="BK24" s="40">
        <f>IF(OR(4&gt;MAX(3,MIN(15,N($D$18))),IFERROR(LARGE('Calc (scoring engine)'!$K$5:$K$518,4),-999999)&lt;=-900000),"",IFERROR(IF(INDEX(Database!$BN$5:$BN$518,MATCH(LARGE('Calc (scoring engine)'!$K$5:$K$518,4),'Calc (scoring engine)'!$K$5:$K$518,0))="","—",INDEX(Database!$BN$5:$BN$518,MATCH(LARGE('Calc (scoring engine)'!$K$5:$K$518,4),'Calc (scoring engine)'!$K$5:$K$518,0))),""))</f>
        <v/>
      </c>
      <c r="BL24" s="43">
        <f>IF(OR(4&gt;MAX(3,MIN(15,N($D$18))),IFERROR(LARGE('Calc (scoring engine)'!$K$5:$K$518,4),-999999)&lt;=-900000),"",IFERROR(IF(INDEX(Database!$BO$5:$BO$518,MATCH(LARGE('Calc (scoring engine)'!$K$5:$K$518,4),'Calc (scoring engine)'!$K$5:$K$518,0))="","—",INDEX(Database!$BO$5:$BO$518,MATCH(LARGE('Calc (scoring engine)'!$K$5:$K$518,4),'Calc (scoring engine)'!$K$5:$K$518,0))),""))</f>
        <v/>
      </c>
      <c r="BM24" s="18">
        <f>IF(OR(4&gt;MAX(3,MIN(15,N($D$18))),IFERROR(LARGE('Calc (scoring engine)'!$K$5:$K$518,4),-999999)&lt;=-900000),"",IFERROR(IF(INDEX(Database!$BP$5:$BP$518,MATCH(LARGE('Calc (scoring engine)'!$K$5:$K$518,4),'Calc (scoring engine)'!$K$5:$K$518,0))="","—",INDEX(Database!$BP$5:$BP$518,MATCH(LARGE('Calc (scoring engine)'!$K$5:$K$518,4),'Calc (scoring engine)'!$K$5:$K$518,0))),""))</f>
        <v/>
      </c>
      <c r="BN24" s="24">
        <f>IF(OR(4&gt;MAX(3,MIN(15,N($D$18))),IFERROR(LARGE('Calc (scoring engine)'!$K$5:$K$518,4),-999999)&lt;=-900000),"",IFERROR(IF(INDEX(Database!$BQ$5:$BQ$518,MATCH(LARGE('Calc (scoring engine)'!$K$5:$K$518,4),'Calc (scoring engine)'!$K$5:$K$518,0))="","—",INDEX(Database!$BQ$5:$BQ$518,MATCH(LARGE('Calc (scoring engine)'!$K$5:$K$518,4),'Calc (scoring engine)'!$K$5:$K$518,0))),""))</f>
        <v/>
      </c>
      <c r="BO24" s="24">
        <f>IF(OR(4&gt;MAX(3,MIN(15,N($D$18))),IFERROR(LARGE('Calc (scoring engine)'!$K$5:$K$518,4),-999999)&lt;=-900000),"",IFERROR(IF(INDEX(Database!$BR$5:$BR$518,MATCH(LARGE('Calc (scoring engine)'!$K$5:$K$518,4),'Calc (scoring engine)'!$K$5:$K$518,0))="","—",INDEX(Database!$BR$5:$BR$518,MATCH(LARGE('Calc (scoring engine)'!$K$5:$K$518,4),'Calc (scoring engine)'!$K$5:$K$518,0))),""))</f>
        <v/>
      </c>
      <c r="BP24" s="10">
        <f>IF(OR(4&gt;MAX(3,MIN(15,N($D$18))),IFERROR(LARGE('Calc (scoring engine)'!$K$5:$K$518,4),-999999)&lt;=-900000),"",IFERROR(IF(INDEX(Database!$BS$5:$BS$518,MATCH(LARGE('Calc (scoring engine)'!$K$5:$K$518,4),'Calc (scoring engine)'!$K$5:$K$518,0))="","—",INDEX(Database!$BS$5:$BS$518,MATCH(LARGE('Calc (scoring engine)'!$K$5:$K$518,4),'Calc (scoring engine)'!$K$5:$K$518,0))),""))</f>
        <v/>
      </c>
      <c r="BQ24" s="10">
        <f>IF(OR(4&gt;MAX(3,MIN(15,N($D$18))),IFERROR(LARGE('Calc (scoring engine)'!$K$5:$K$518,4),-999999)&lt;=-900000),"",IFERROR(IF(INDEX(Database!$BU$5:$BU$518,MATCH(LARGE('Calc (scoring engine)'!$K$5:$K$518,4),'Calc (scoring engine)'!$K$5:$K$518,0))="","—",INDEX(Database!$BU$5:$BU$518,MATCH(LARGE('Calc (scoring engine)'!$K$5:$K$518,4),'Calc (scoring engine)'!$K$5:$K$518,0))),""))</f>
        <v/>
      </c>
      <c r="BR24" s="44">
        <f>IF(OR(4&gt;MAX(3,MIN(15,N($D$18))),IFERROR(LARGE('Calc (scoring engine)'!$K$5:$K$518,4),-999999)&lt;=-900000),"",IFERROR(IF(INDEX('Calc (scoring engine)'!$H$5:$H$518,MATCH(LARGE('Calc (scoring engine)'!$K$5:$K$518,4),'Calc (scoring engine)'!$K$5:$K$518,0))&gt;0,INDEX('Calc (scoring engine)'!$H$5:$H$518,MATCH(LARGE('Calc (scoring engine)'!$K$5:$K$518,4),'Calc (scoring engine)'!$K$5:$K$518,0)),""),""))</f>
        <v/>
      </c>
      <c r="BS24" s="10">
        <f>IF(OR(4&gt;MAX(3,MIN(15,N($D$18))),IFERROR(LARGE('Calc (scoring engine)'!$K$5:$K$518,4),-999999)&lt;=-900000),"",IF(IFERROR(INDEX('Calc (scoring engine)'!$B$5:$B$518,MATCH(LARGE('Calc (scoring engine)'!$K$5:$K$518,4),'Calc (scoring engine)'!$K$5:$K$518,0)),0)=1,"same subsector","sector only"))</f>
        <v/>
      </c>
      <c r="BT24" s="44">
        <f>IF(OR(4&gt;MAX(3,MIN(15,N($D$18))),IFERROR(LARGE('Calc (scoring engine)'!$K$5:$K$518,4),-999999)&lt;=-900000),"",ROUND(IFERROR(LARGE('Calc (scoring engine)'!$K$5:$K$518,4),0),0))</f>
        <v/>
      </c>
      <c r="BU24" s="10">
        <f>IF(OR(4&gt;MAX(3,MIN(15,N($D$18))),IFERROR(LARGE('Calc (scoring engine)'!$K$5:$K$518,4),-999999)&lt;=-900000),"",IFERROR("sub "&amp;INDEX('Calc (scoring engine)'!$B$5:$B$518,MATCH(LARGE('Calc (scoring engine)'!$K$5:$K$518,4),'Calc (scoring engine)'!$K$5:$K$518,0))*W_SUB&amp;" + size "&amp;ROUND(INDEX('Calc (scoring engine)'!$D$5:$D$518,MATCH(LARGE('Calc (scoring engine)'!$K$5:$K$518,4),'Calc (scoring engine)'!$K$5:$K$518,0))*W_SIZE,0)&amp;" + prof "&amp;INDEX('Calc (scoring engine)'!$E$5:$E$518,MATCH(LARGE('Calc (scoring engine)'!$K$5:$K$518,4),'Calc (scoring engine)'!$K$5:$K$518,0))*W_PROF&amp;" + recency "&amp;ROUND(INDEX('Calc (scoring engine)'!$G$5:$G$518,MATCH(LARGE('Calc (scoring engine)'!$K$5:$K$518,4),'Calc (scoring engine)'!$K$5:$K$518,0))*W_REC,0)&amp;IF(INDEX('Calc (scoring engine)'!$H$5:$H$518,MATCH(LARGE('Calc (scoring engine)'!$K$5:$K$518,4),'Calc (scoring engine)'!$K$5:$K$518,0))&gt;0," + shared CS x"&amp;INDEX('Calc (scoring engine)'!$H$5:$H$518,MATCH(LARGE('Calc (scoring engine)'!$K$5:$K$518,4),'Calc (scoring engine)'!$K$5:$K$518,0)),""),""))</f>
        <v/>
      </c>
    </row>
    <row r="25">
      <c r="A25" s="38">
        <f>IF(OR(5&gt;MAX(3,MIN(15,N($D$18))),IFERROR(LARGE('Calc (scoring engine)'!$K$5:$K$518,5),-999999)&lt;=-900000),"",5)</f>
        <v/>
      </c>
      <c r="B25" s="10">
        <f>IF(OR(5&gt;MAX(3,MIN(15,N($D$18))),IFERROR(LARGE('Calc (scoring engine)'!$K$5:$K$518,5),-999999)&lt;=-900000),"",IFERROR(IF(INDEX(Database!$B$5:$B$518,MATCH(LARGE('Calc (scoring engine)'!$K$5:$K$518,5),'Calc (scoring engine)'!$K$5:$K$518,0))="","—",INDEX(Database!$B$5:$B$518,MATCH(LARGE('Calc (scoring engine)'!$K$5:$K$518,5),'Calc (scoring engine)'!$K$5:$K$518,0))),""))</f>
        <v/>
      </c>
      <c r="C25" s="39">
        <f>IF(OR(5&gt;MAX(3,MIN(15,N($D$18))),IFERROR(LARGE('Calc (scoring engine)'!$K$5:$K$518,5),-999999)&lt;=-900000),"",IFERROR(IF(INDEX(Database!$A$5:$A$518,MATCH(LARGE('Calc (scoring engine)'!$K$5:$K$518,5),'Calc (scoring engine)'!$K$5:$K$518,0))="","—",INDEX(Database!$A$5:$A$518,MATCH(LARGE('Calc (scoring engine)'!$K$5:$K$518,5),'Calc (scoring engine)'!$K$5:$K$518,0))),""))</f>
        <v/>
      </c>
      <c r="D25" s="10">
        <f>IF(OR(5&gt;MAX(3,MIN(15,N($D$18))),IFERROR(LARGE('Calc (scoring engine)'!$K$5:$K$518,5),-999999)&lt;=-900000),"",IFERROR(IF(INDEX(Database!$D$5:$D$518,MATCH(LARGE('Calc (scoring engine)'!$K$5:$K$518,5),'Calc (scoring engine)'!$K$5:$K$518,0))="","—",INDEX(Database!$D$5:$D$518,MATCH(LARGE('Calc (scoring engine)'!$K$5:$K$518,5),'Calc (scoring engine)'!$K$5:$K$518,0))),""))</f>
        <v/>
      </c>
      <c r="E25" s="10">
        <f>IF(OR(5&gt;MAX(3,MIN(15,N($D$18))),IFERROR(LARGE('Calc (scoring engine)'!$K$5:$K$518,5),-999999)&lt;=-900000),"",IFERROR(IF(INDEX(Database!$E$5:$E$518,MATCH(LARGE('Calc (scoring engine)'!$K$5:$K$518,5),'Calc (scoring engine)'!$K$5:$K$518,0))="","—",INDEX(Database!$E$5:$E$518,MATCH(LARGE('Calc (scoring engine)'!$K$5:$K$518,5),'Calc (scoring engine)'!$K$5:$K$518,0))),""))</f>
        <v/>
      </c>
      <c r="F25" s="10">
        <f>IF(OR(5&gt;MAX(3,MIN(15,N($D$18))),IFERROR(LARGE('Calc (scoring engine)'!$K$5:$K$518,5),-999999)&lt;=-900000),"",IFERROR(IF(INDEX(Database!$F$5:$F$518,MATCH(LARGE('Calc (scoring engine)'!$K$5:$K$518,5),'Calc (scoring engine)'!$K$5:$K$518,0))="","—",INDEX(Database!$F$5:$F$518,MATCH(LARGE('Calc (scoring engine)'!$K$5:$K$518,5),'Calc (scoring engine)'!$K$5:$K$518,0))),""))</f>
        <v/>
      </c>
      <c r="G25" s="10">
        <f>IF(OR(5&gt;MAX(3,MIN(15,N($D$18))),IFERROR(LARGE('Calc (scoring engine)'!$K$5:$K$518,5),-999999)&lt;=-900000),"",IFERROR(IF(INDEX(Database!$G$5:$G$518,MATCH(LARGE('Calc (scoring engine)'!$K$5:$K$518,5),'Calc (scoring engine)'!$K$5:$K$518,0))="","—",INDEX(Database!$G$5:$G$518,MATCH(LARGE('Calc (scoring engine)'!$K$5:$K$518,5),'Calc (scoring engine)'!$K$5:$K$518,0))),""))</f>
        <v/>
      </c>
      <c r="H25" s="21">
        <f>IF(OR(5&gt;MAX(3,MIN(15,N($D$18))),IFERROR(LARGE('Calc (scoring engine)'!$K$5:$K$518,5),-999999)&lt;=-900000),"",IFERROR(IF(INDEX(Database!$H$5:$H$518,MATCH(LARGE('Calc (scoring engine)'!$K$5:$K$518,5),'Calc (scoring engine)'!$K$5:$K$518,0))="","—",INDEX(Database!$H$5:$H$518,MATCH(LARGE('Calc (scoring engine)'!$K$5:$K$518,5),'Calc (scoring engine)'!$K$5:$K$518,0))),""))</f>
        <v/>
      </c>
      <c r="I25" s="18">
        <f>IF(OR(5&gt;MAX(3,MIN(15,N($D$18))),IFERROR(LARGE('Calc (scoring engine)'!$K$5:$K$518,5),-999999)&lt;=-900000),"",IFERROR(IF(INDEX(Database!$I$5:$I$518,MATCH(LARGE('Calc (scoring engine)'!$K$5:$K$518,5),'Calc (scoring engine)'!$K$5:$K$518,0))="","—",INDEX(Database!$I$5:$I$518,MATCH(LARGE('Calc (scoring engine)'!$K$5:$K$518,5),'Calc (scoring engine)'!$K$5:$K$518,0))),""))</f>
        <v/>
      </c>
      <c r="J25" s="40">
        <f>IF(OR(5&gt;MAX(3,MIN(15,N($D$18))),IFERROR(LARGE('Calc (scoring engine)'!$K$5:$K$518,5),-999999)&lt;=-900000),"",IFERROR(IF(INDEX(Database!$K$5:$K$518,MATCH(LARGE('Calc (scoring engine)'!$K$5:$K$518,5),'Calc (scoring engine)'!$K$5:$K$518,0))="","—",INDEX(Database!$K$5:$K$518,MATCH(LARGE('Calc (scoring engine)'!$K$5:$K$518,5),'Calc (scoring engine)'!$K$5:$K$518,0))),""))</f>
        <v/>
      </c>
      <c r="K25" s="40">
        <f>IF(OR(5&gt;MAX(3,MIN(15,N($D$18))),IFERROR(LARGE('Calc (scoring engine)'!$K$5:$K$518,5),-999999)&lt;=-900000),"",IFERROR(IF(INDEX(Database!$L$5:$L$518,MATCH(LARGE('Calc (scoring engine)'!$K$5:$K$518,5),'Calc (scoring engine)'!$K$5:$K$518,0))="","—",INDEX(Database!$L$5:$L$518,MATCH(LARGE('Calc (scoring engine)'!$K$5:$K$518,5),'Calc (scoring engine)'!$K$5:$K$518,0))),""))</f>
        <v/>
      </c>
      <c r="L25" s="40">
        <f>IF(OR(5&gt;MAX(3,MIN(15,N($D$18))),IFERROR(LARGE('Calc (scoring engine)'!$K$5:$K$518,5),-999999)&lt;=-900000),"",IFERROR(IF(INDEX(Database!$M$5:$M$518,MATCH(LARGE('Calc (scoring engine)'!$K$5:$K$518,5),'Calc (scoring engine)'!$K$5:$K$518,0))="","—",INDEX(Database!$M$5:$M$518,MATCH(LARGE('Calc (scoring engine)'!$K$5:$K$518,5),'Calc (scoring engine)'!$K$5:$K$518,0))),""))</f>
        <v/>
      </c>
      <c r="M25" s="10">
        <f>IF(OR(5&gt;MAX(3,MIN(15,N($D$18))),IFERROR(LARGE('Calc (scoring engine)'!$K$5:$K$518,5),-999999)&lt;=-900000),"",IFERROR(IF(INDEX(Database!$N$5:$N$518,MATCH(LARGE('Calc (scoring engine)'!$K$5:$K$518,5),'Calc (scoring engine)'!$K$5:$K$518,0))="","—",INDEX(Database!$N$5:$N$518,MATCH(LARGE('Calc (scoring engine)'!$K$5:$K$518,5),'Calc (scoring engine)'!$K$5:$K$518,0))),""))</f>
        <v/>
      </c>
      <c r="N25" s="28">
        <f>IF(OR(5&gt;MAX(3,MIN(15,N($D$18))),IFERROR(LARGE('Calc (scoring engine)'!$K$5:$K$518,5),-999999)&lt;=-900000),"",IFERROR(IF(INDEX(Database!$O$5:$O$518,MATCH(LARGE('Calc (scoring engine)'!$K$5:$K$518,5),'Calc (scoring engine)'!$K$5:$K$518,0))="","—",INDEX(Database!$O$5:$O$518,MATCH(LARGE('Calc (scoring engine)'!$K$5:$K$518,5),'Calc (scoring engine)'!$K$5:$K$518,0))),""))</f>
        <v/>
      </c>
      <c r="O25" s="28">
        <f>IF(OR(5&gt;MAX(3,MIN(15,N($D$18))),IFERROR(LARGE('Calc (scoring engine)'!$K$5:$K$518,5),-999999)&lt;=-900000),"",IFERROR(IF(INDEX(Database!$P$5:$P$518,MATCH(LARGE('Calc (scoring engine)'!$K$5:$K$518,5),'Calc (scoring engine)'!$K$5:$K$518,0))="","—",INDEX(Database!$P$5:$P$518,MATCH(LARGE('Calc (scoring engine)'!$K$5:$K$518,5),'Calc (scoring engine)'!$K$5:$K$518,0))),""))</f>
        <v/>
      </c>
      <c r="P25" s="18">
        <f>IF(OR(5&gt;MAX(3,MIN(15,N($D$18))),IFERROR(LARGE('Calc (scoring engine)'!$K$5:$K$518,5),-999999)&lt;=-900000),"",IFERROR(IF(INDEX(Database!$Q$5:$Q$518,MATCH(LARGE('Calc (scoring engine)'!$K$5:$K$518,5),'Calc (scoring engine)'!$K$5:$K$518,0))="","—",INDEX(Database!$Q$5:$Q$518,MATCH(LARGE('Calc (scoring engine)'!$K$5:$K$518,5),'Calc (scoring engine)'!$K$5:$K$518,0))),""))</f>
        <v/>
      </c>
      <c r="Q25" s="26">
        <f>IF(OR(5&gt;MAX(3,MIN(15,N($D$18))),IFERROR(LARGE('Calc (scoring engine)'!$K$5:$K$518,5),-999999)&lt;=-900000),"",IFERROR(IF(INDEX(Database!$S$5:$S$518,MATCH(LARGE('Calc (scoring engine)'!$K$5:$K$518,5),'Calc (scoring engine)'!$K$5:$K$518,0))="","—",INDEX(Database!$S$5:$S$518,MATCH(LARGE('Calc (scoring engine)'!$K$5:$K$518,5),'Calc (scoring engine)'!$K$5:$K$518,0))),""))</f>
        <v/>
      </c>
      <c r="R25" s="41">
        <f>IF(OR(5&gt;MAX(3,MIN(15,N($D$18))),IFERROR(LARGE('Calc (scoring engine)'!$K$5:$K$518,5),-999999)&lt;=-900000),"",IFERROR(IF(INDEX(Database!$T$5:$T$518,MATCH(LARGE('Calc (scoring engine)'!$K$5:$K$518,5),'Calc (scoring engine)'!$K$5:$K$518,0))="","—",INDEX(Database!$T$5:$T$518,MATCH(LARGE('Calc (scoring engine)'!$K$5:$K$518,5),'Calc (scoring engine)'!$K$5:$K$518,0))),""))</f>
        <v/>
      </c>
      <c r="S25" s="42">
        <f>IF(OR(5&gt;MAX(3,MIN(15,N($D$18))),IFERROR(LARGE('Calc (scoring engine)'!$K$5:$K$518,5),-999999)&lt;=-900000),"",IFERROR(IF(INDEX(Database!$U$5:$U$518,MATCH(LARGE('Calc (scoring engine)'!$K$5:$K$518,5),'Calc (scoring engine)'!$K$5:$K$518,0))="","—",INDEX(Database!$U$5:$U$518,MATCH(LARGE('Calc (scoring engine)'!$K$5:$K$518,5),'Calc (scoring engine)'!$K$5:$K$518,0))),""))</f>
        <v/>
      </c>
      <c r="T25" s="18">
        <f>IF(OR(5&gt;MAX(3,MIN(15,N($D$18))),IFERROR(LARGE('Calc (scoring engine)'!$K$5:$K$518,5),-999999)&lt;=-900000),"",IFERROR(IF(INDEX(Database!$V$5:$V$518,MATCH(LARGE('Calc (scoring engine)'!$K$5:$K$518,5),'Calc (scoring engine)'!$K$5:$K$518,0))="","—",INDEX(Database!$V$5:$V$518,MATCH(LARGE('Calc (scoring engine)'!$K$5:$K$518,5),'Calc (scoring engine)'!$K$5:$K$518,0))),""))</f>
        <v/>
      </c>
      <c r="U25" s="18">
        <f>IF(OR(5&gt;MAX(3,MIN(15,N($D$18))),IFERROR(LARGE('Calc (scoring engine)'!$K$5:$K$518,5),-999999)&lt;=-900000),"",IFERROR(IF(INDEX(Database!$W$5:$W$518,MATCH(LARGE('Calc (scoring engine)'!$K$5:$K$518,5),'Calc (scoring engine)'!$K$5:$K$518,0))="","—",INDEX(Database!$W$5:$W$518,MATCH(LARGE('Calc (scoring engine)'!$K$5:$K$518,5),'Calc (scoring engine)'!$K$5:$K$518,0))),""))</f>
        <v/>
      </c>
      <c r="V25" s="28">
        <f>IF(OR(5&gt;MAX(3,MIN(15,N($D$18))),IFERROR(LARGE('Calc (scoring engine)'!$K$5:$K$518,5),-999999)&lt;=-900000),"",IFERROR(IF(INDEX(Database!$X$5:$X$518,MATCH(LARGE('Calc (scoring engine)'!$K$5:$K$518,5),'Calc (scoring engine)'!$K$5:$K$518,0))="","—",INDEX(Database!$X$5:$X$518,MATCH(LARGE('Calc (scoring engine)'!$K$5:$K$518,5),'Calc (scoring engine)'!$K$5:$K$518,0))),""))</f>
        <v/>
      </c>
      <c r="W25" s="10">
        <f>IF(OR(5&gt;MAX(3,MIN(15,N($D$18))),IFERROR(LARGE('Calc (scoring engine)'!$K$5:$K$518,5),-999999)&lt;=-900000),"",IFERROR(IF(INDEX(Database!$Y$5:$Y$518,MATCH(LARGE('Calc (scoring engine)'!$K$5:$K$518,5),'Calc (scoring engine)'!$K$5:$K$518,0))="","—",INDEX(Database!$Y$5:$Y$518,MATCH(LARGE('Calc (scoring engine)'!$K$5:$K$518,5),'Calc (scoring engine)'!$K$5:$K$518,0))),""))</f>
        <v/>
      </c>
      <c r="X25" s="28">
        <f>IF(OR(5&gt;MAX(3,MIN(15,N($D$18))),IFERROR(LARGE('Calc (scoring engine)'!$K$5:$K$518,5),-999999)&lt;=-900000),"",IFERROR(IF(INDEX(Database!$AA$5:$AA$518,MATCH(LARGE('Calc (scoring engine)'!$K$5:$K$518,5),'Calc (scoring engine)'!$K$5:$K$518,0))="","—",INDEX(Database!$AA$5:$AA$518,MATCH(LARGE('Calc (scoring engine)'!$K$5:$K$518,5),'Calc (scoring engine)'!$K$5:$K$518,0))),""))</f>
        <v/>
      </c>
      <c r="Y25" s="23">
        <f>IF(OR(5&gt;MAX(3,MIN(15,N($D$18))),IFERROR(LARGE('Calc (scoring engine)'!$K$5:$K$518,5),-999999)&lt;=-900000),"",IFERROR(IF(INDEX(Database!$AB$5:$AB$518,MATCH(LARGE('Calc (scoring engine)'!$K$5:$K$518,5),'Calc (scoring engine)'!$K$5:$K$518,0))="","—",INDEX(Database!$AB$5:$AB$518,MATCH(LARGE('Calc (scoring engine)'!$K$5:$K$518,5),'Calc (scoring engine)'!$K$5:$K$518,0))),""))</f>
        <v/>
      </c>
      <c r="Z25" s="40">
        <f>IF(OR(5&gt;MAX(3,MIN(15,N($D$18))),IFERROR(LARGE('Calc (scoring engine)'!$K$5:$K$518,5),-999999)&lt;=-900000),"",IFERROR(IF(INDEX(Database!$AC$5:$AC$518,MATCH(LARGE('Calc (scoring engine)'!$K$5:$K$518,5),'Calc (scoring engine)'!$K$5:$K$518,0))="","—",INDEX(Database!$AC$5:$AC$518,MATCH(LARGE('Calc (scoring engine)'!$K$5:$K$518,5),'Calc (scoring engine)'!$K$5:$K$518,0))),""))</f>
        <v/>
      </c>
      <c r="AA25" s="23">
        <f>IF(OR(5&gt;MAX(3,MIN(15,N($D$18))),IFERROR(LARGE('Calc (scoring engine)'!$K$5:$K$518,5),-999999)&lt;=-900000),"",IFERROR(IF(INDEX(Database!$AD$5:$AD$518,MATCH(LARGE('Calc (scoring engine)'!$K$5:$K$518,5),'Calc (scoring engine)'!$K$5:$K$518,0))="","—",INDEX(Database!$AD$5:$AD$518,MATCH(LARGE('Calc (scoring engine)'!$K$5:$K$518,5),'Calc (scoring engine)'!$K$5:$K$518,0))),""))</f>
        <v/>
      </c>
      <c r="AB25" s="10">
        <f>IF(OR(5&gt;MAX(3,MIN(15,N($D$18))),IFERROR(LARGE('Calc (scoring engine)'!$K$5:$K$518,5),-999999)&lt;=-900000),"",IFERROR(IF(INDEX(Database!$AE$5:$AE$518,MATCH(LARGE('Calc (scoring engine)'!$K$5:$K$518,5),'Calc (scoring engine)'!$K$5:$K$518,0))="","—",INDEX(Database!$AE$5:$AE$518,MATCH(LARGE('Calc (scoring engine)'!$K$5:$K$518,5),'Calc (scoring engine)'!$K$5:$K$518,0))),""))</f>
        <v/>
      </c>
      <c r="AC25" s="10">
        <f>IF(OR(5&gt;MAX(3,MIN(15,N($D$18))),IFERROR(LARGE('Calc (scoring engine)'!$K$5:$K$518,5),-999999)&lt;=-900000),"",IFERROR(IF(INDEX(Database!$AF$5:$AF$518,MATCH(LARGE('Calc (scoring engine)'!$K$5:$K$518,5),'Calc (scoring engine)'!$K$5:$K$518,0))="","—",INDEX(Database!$AF$5:$AF$518,MATCH(LARGE('Calc (scoring engine)'!$K$5:$K$518,5),'Calc (scoring engine)'!$K$5:$K$518,0))),""))</f>
        <v/>
      </c>
      <c r="AD25" s="10">
        <f>IF(OR(5&gt;MAX(3,MIN(15,N($D$18))),IFERROR(LARGE('Calc (scoring engine)'!$K$5:$K$518,5),-999999)&lt;=-900000),"",IFERROR(IF(INDEX(Database!$AG$5:$AG$518,MATCH(LARGE('Calc (scoring engine)'!$K$5:$K$518,5),'Calc (scoring engine)'!$K$5:$K$518,0))="","—",INDEX(Database!$AG$5:$AG$518,MATCH(LARGE('Calc (scoring engine)'!$K$5:$K$518,5),'Calc (scoring engine)'!$K$5:$K$518,0))),""))</f>
        <v/>
      </c>
      <c r="AE25" s="10">
        <f>IF(OR(5&gt;MAX(3,MIN(15,N($D$18))),IFERROR(LARGE('Calc (scoring engine)'!$K$5:$K$518,5),-999999)&lt;=-900000),"",IFERROR(IF(INDEX(Database!$AH$5:$AH$518,MATCH(LARGE('Calc (scoring engine)'!$K$5:$K$518,5),'Calc (scoring engine)'!$K$5:$K$518,0))="","—",INDEX(Database!$AH$5:$AH$518,MATCH(LARGE('Calc (scoring engine)'!$K$5:$K$518,5),'Calc (scoring engine)'!$K$5:$K$518,0))),""))</f>
        <v/>
      </c>
      <c r="AF25" s="10">
        <f>IF(OR(5&gt;MAX(3,MIN(15,N($D$18))),IFERROR(LARGE('Calc (scoring engine)'!$K$5:$K$518,5),-999999)&lt;=-900000),"",IFERROR(IF(INDEX(Database!$AI$5:$AI$518,MATCH(LARGE('Calc (scoring engine)'!$K$5:$K$518,5),'Calc (scoring engine)'!$K$5:$K$518,0))="","—",INDEX(Database!$AI$5:$AI$518,MATCH(LARGE('Calc (scoring engine)'!$K$5:$K$518,5),'Calc (scoring engine)'!$K$5:$K$518,0))),""))</f>
        <v/>
      </c>
      <c r="AG25" s="10">
        <f>IF(OR(5&gt;MAX(3,MIN(15,N($D$18))),IFERROR(LARGE('Calc (scoring engine)'!$K$5:$K$518,5),-999999)&lt;=-900000),"",IFERROR(IF(INDEX(Database!$AJ$5:$AJ$518,MATCH(LARGE('Calc (scoring engine)'!$K$5:$K$518,5),'Calc (scoring engine)'!$K$5:$K$518,0))="","—",INDEX(Database!$AJ$5:$AJ$518,MATCH(LARGE('Calc (scoring engine)'!$K$5:$K$518,5),'Calc (scoring engine)'!$K$5:$K$518,0))),""))</f>
        <v/>
      </c>
      <c r="AH25" s="23">
        <f>IF(OR(5&gt;MAX(3,MIN(15,N($D$18))),IFERROR(LARGE('Calc (scoring engine)'!$K$5:$K$518,5),-999999)&lt;=-900000),"",IFERROR(IF(INDEX(Database!$AK$5:$AK$518,MATCH(LARGE('Calc (scoring engine)'!$K$5:$K$518,5),'Calc (scoring engine)'!$K$5:$K$518,0))="","—",INDEX(Database!$AK$5:$AK$518,MATCH(LARGE('Calc (scoring engine)'!$K$5:$K$518,5),'Calc (scoring engine)'!$K$5:$K$518,0))),""))</f>
        <v/>
      </c>
      <c r="AI25" s="23">
        <f>IF(OR(5&gt;MAX(3,MIN(15,N($D$18))),IFERROR(LARGE('Calc (scoring engine)'!$K$5:$K$518,5),-999999)&lt;=-900000),"",IFERROR(IF(INDEX(Database!$AL$5:$AL$518,MATCH(LARGE('Calc (scoring engine)'!$K$5:$K$518,5),'Calc (scoring engine)'!$K$5:$K$518,0))="","—",INDEX(Database!$AL$5:$AL$518,MATCH(LARGE('Calc (scoring engine)'!$K$5:$K$518,5),'Calc (scoring engine)'!$K$5:$K$518,0))),""))</f>
        <v/>
      </c>
      <c r="AJ25" s="23">
        <f>IF(OR(5&gt;MAX(3,MIN(15,N($D$18))),IFERROR(LARGE('Calc (scoring engine)'!$K$5:$K$518,5),-999999)&lt;=-900000),"",IFERROR(IF(INDEX(Database!$AM$5:$AM$518,MATCH(LARGE('Calc (scoring engine)'!$K$5:$K$518,5),'Calc (scoring engine)'!$K$5:$K$518,0))="","—",INDEX(Database!$AM$5:$AM$518,MATCH(LARGE('Calc (scoring engine)'!$K$5:$K$518,5),'Calc (scoring engine)'!$K$5:$K$518,0))),""))</f>
        <v/>
      </c>
      <c r="AK25" s="23">
        <f>IF(OR(5&gt;MAX(3,MIN(15,N($D$18))),IFERROR(LARGE('Calc (scoring engine)'!$K$5:$K$518,5),-999999)&lt;=-900000),"",IFERROR(IF(INDEX(Database!$AN$5:$AN$518,MATCH(LARGE('Calc (scoring engine)'!$K$5:$K$518,5),'Calc (scoring engine)'!$K$5:$K$518,0))="","—",INDEX(Database!$AN$5:$AN$518,MATCH(LARGE('Calc (scoring engine)'!$K$5:$K$518,5),'Calc (scoring engine)'!$K$5:$K$518,0))),""))</f>
        <v/>
      </c>
      <c r="AL25" s="23">
        <f>IF(OR(5&gt;MAX(3,MIN(15,N($D$18))),IFERROR(LARGE('Calc (scoring engine)'!$K$5:$K$518,5),-999999)&lt;=-900000),"",IFERROR(IF(INDEX(Database!$AO$5:$AO$518,MATCH(LARGE('Calc (scoring engine)'!$K$5:$K$518,5),'Calc (scoring engine)'!$K$5:$K$518,0))="","—",INDEX(Database!$AO$5:$AO$518,MATCH(LARGE('Calc (scoring engine)'!$K$5:$K$518,5),'Calc (scoring engine)'!$K$5:$K$518,0))),""))</f>
        <v/>
      </c>
      <c r="AM25" s="23">
        <f>IF(OR(5&gt;MAX(3,MIN(15,N($D$18))),IFERROR(LARGE('Calc (scoring engine)'!$K$5:$K$518,5),-999999)&lt;=-900000),"",IFERROR(IF(INDEX(Database!$AP$5:$AP$518,MATCH(LARGE('Calc (scoring engine)'!$K$5:$K$518,5),'Calc (scoring engine)'!$K$5:$K$518,0))="","—",INDEX(Database!$AP$5:$AP$518,MATCH(LARGE('Calc (scoring engine)'!$K$5:$K$518,5),'Calc (scoring engine)'!$K$5:$K$518,0))),""))</f>
        <v/>
      </c>
      <c r="AN25" s="23">
        <f>IF(OR(5&gt;MAX(3,MIN(15,N($D$18))),IFERROR(LARGE('Calc (scoring engine)'!$K$5:$K$518,5),-999999)&lt;=-900000),"",IFERROR(IF(INDEX(Database!$AQ$5:$AQ$518,MATCH(LARGE('Calc (scoring engine)'!$K$5:$K$518,5),'Calc (scoring engine)'!$K$5:$K$518,0))="","—",INDEX(Database!$AQ$5:$AQ$518,MATCH(LARGE('Calc (scoring engine)'!$K$5:$K$518,5),'Calc (scoring engine)'!$K$5:$K$518,0))),""))</f>
        <v/>
      </c>
      <c r="AO25" s="23">
        <f>IF(OR(5&gt;MAX(3,MIN(15,N($D$18))),IFERROR(LARGE('Calc (scoring engine)'!$K$5:$K$518,5),-999999)&lt;=-900000),"",IFERROR(IF(INDEX(Database!$AR$5:$AR$518,MATCH(LARGE('Calc (scoring engine)'!$K$5:$K$518,5),'Calc (scoring engine)'!$K$5:$K$518,0))="","—",INDEX(Database!$AR$5:$AR$518,MATCH(LARGE('Calc (scoring engine)'!$K$5:$K$518,5),'Calc (scoring engine)'!$K$5:$K$518,0))),""))</f>
        <v/>
      </c>
      <c r="AP25" s="23">
        <f>IF(OR(5&gt;MAX(3,MIN(15,N($D$18))),IFERROR(LARGE('Calc (scoring engine)'!$K$5:$K$518,5),-999999)&lt;=-900000),"",IFERROR(IF(INDEX(Database!$AS$5:$AS$518,MATCH(LARGE('Calc (scoring engine)'!$K$5:$K$518,5),'Calc (scoring engine)'!$K$5:$K$518,0))="","—",INDEX(Database!$AS$5:$AS$518,MATCH(LARGE('Calc (scoring engine)'!$K$5:$K$518,5),'Calc (scoring engine)'!$K$5:$K$518,0))),""))</f>
        <v/>
      </c>
      <c r="AQ25" s="23">
        <f>IF(OR(5&gt;MAX(3,MIN(15,N($D$18))),IFERROR(LARGE('Calc (scoring engine)'!$K$5:$K$518,5),-999999)&lt;=-900000),"",IFERROR(IF(INDEX(Database!$AT$5:$AT$518,MATCH(LARGE('Calc (scoring engine)'!$K$5:$K$518,5),'Calc (scoring engine)'!$K$5:$K$518,0))="","—",INDEX(Database!$AT$5:$AT$518,MATCH(LARGE('Calc (scoring engine)'!$K$5:$K$518,5),'Calc (scoring engine)'!$K$5:$K$518,0))),""))</f>
        <v/>
      </c>
      <c r="AR25" s="23">
        <f>IF(OR(5&gt;MAX(3,MIN(15,N($D$18))),IFERROR(LARGE('Calc (scoring engine)'!$K$5:$K$518,5),-999999)&lt;=-900000),"",IFERROR(IF(INDEX(Database!$AU$5:$AU$518,MATCH(LARGE('Calc (scoring engine)'!$K$5:$K$518,5),'Calc (scoring engine)'!$K$5:$K$518,0))="","—",INDEX(Database!$AU$5:$AU$518,MATCH(LARGE('Calc (scoring engine)'!$K$5:$K$518,5),'Calc (scoring engine)'!$K$5:$K$518,0))),""))</f>
        <v/>
      </c>
      <c r="AS25" s="23">
        <f>IF(OR(5&gt;MAX(3,MIN(15,N($D$18))),IFERROR(LARGE('Calc (scoring engine)'!$K$5:$K$518,5),-999999)&lt;=-900000),"",IFERROR(IF(INDEX(Database!$AV$5:$AV$518,MATCH(LARGE('Calc (scoring engine)'!$K$5:$K$518,5),'Calc (scoring engine)'!$K$5:$K$518,0))="","—",INDEX(Database!$AV$5:$AV$518,MATCH(LARGE('Calc (scoring engine)'!$K$5:$K$518,5),'Calc (scoring engine)'!$K$5:$K$518,0))),""))</f>
        <v/>
      </c>
      <c r="AT25" s="23">
        <f>IF(OR(5&gt;MAX(3,MIN(15,N($D$18))),IFERROR(LARGE('Calc (scoring engine)'!$K$5:$K$518,5),-999999)&lt;=-900000),"",IFERROR(IF(INDEX(Database!$AW$5:$AW$518,MATCH(LARGE('Calc (scoring engine)'!$K$5:$K$518,5),'Calc (scoring engine)'!$K$5:$K$518,0))="","—",INDEX(Database!$AW$5:$AW$518,MATCH(LARGE('Calc (scoring engine)'!$K$5:$K$518,5),'Calc (scoring engine)'!$K$5:$K$518,0))),""))</f>
        <v/>
      </c>
      <c r="AU25" s="23">
        <f>IF(OR(5&gt;MAX(3,MIN(15,N($D$18))),IFERROR(LARGE('Calc (scoring engine)'!$K$5:$K$518,5),-999999)&lt;=-900000),"",IFERROR(IF(INDEX(Database!$AX$5:$AX$518,MATCH(LARGE('Calc (scoring engine)'!$K$5:$K$518,5),'Calc (scoring engine)'!$K$5:$K$518,0))="","—",INDEX(Database!$AX$5:$AX$518,MATCH(LARGE('Calc (scoring engine)'!$K$5:$K$518,5),'Calc (scoring engine)'!$K$5:$K$518,0))),""))</f>
        <v/>
      </c>
      <c r="AV25" s="23">
        <f>IF(OR(5&gt;MAX(3,MIN(15,N($D$18))),IFERROR(LARGE('Calc (scoring engine)'!$K$5:$K$518,5),-999999)&lt;=-900000),"",IFERROR(IF(INDEX(Database!$AY$5:$AY$518,MATCH(LARGE('Calc (scoring engine)'!$K$5:$K$518,5),'Calc (scoring engine)'!$K$5:$K$518,0))="","—",INDEX(Database!$AY$5:$AY$518,MATCH(LARGE('Calc (scoring engine)'!$K$5:$K$518,5),'Calc (scoring engine)'!$K$5:$K$518,0))),""))</f>
        <v/>
      </c>
      <c r="AW25" s="23">
        <f>IF(OR(5&gt;MAX(3,MIN(15,N($D$18))),IFERROR(LARGE('Calc (scoring engine)'!$K$5:$K$518,5),-999999)&lt;=-900000),"",IFERROR(IF(INDEX(Database!$BA$5:$BA$518,MATCH(LARGE('Calc (scoring engine)'!$K$5:$K$518,5),'Calc (scoring engine)'!$K$5:$K$518,0))="","—",INDEX(Database!$BA$5:$BA$518,MATCH(LARGE('Calc (scoring engine)'!$K$5:$K$518,5),'Calc (scoring engine)'!$K$5:$K$518,0))),""))</f>
        <v/>
      </c>
      <c r="AX25" s="18">
        <f>IF(OR(5&gt;MAX(3,MIN(15,N($D$18))),IFERROR(LARGE('Calc (scoring engine)'!$K$5:$K$518,5),-999999)&lt;=-900000),"",IFERROR(IF(INDEX(Database!$BC$5:$BC$518,MATCH(LARGE('Calc (scoring engine)'!$K$5:$K$518,5),'Calc (scoring engine)'!$K$5:$K$518,0))="","—",INDEX(Database!$BC$5:$BC$518,MATCH(LARGE('Calc (scoring engine)'!$K$5:$K$518,5),'Calc (scoring engine)'!$K$5:$K$518,0))),""))</f>
        <v/>
      </c>
      <c r="AY25" s="18">
        <f>IF(OR(5&gt;MAX(3,MIN(15,N($D$18))),IFERROR(LARGE('Calc (scoring engine)'!$K$5:$K$518,5),-999999)&lt;=-900000),"",IFERROR(IF(INDEX(Database!$BD$5:$BD$518,MATCH(LARGE('Calc (scoring engine)'!$K$5:$K$518,5),'Calc (scoring engine)'!$K$5:$K$518,0))="","—",INDEX(Database!$BD$5:$BD$518,MATCH(LARGE('Calc (scoring engine)'!$K$5:$K$518,5),'Calc (scoring engine)'!$K$5:$K$518,0))),""))</f>
        <v/>
      </c>
      <c r="AZ25" s="10">
        <f>IF(OR(5&gt;MAX(3,MIN(15,N($D$18))),IFERROR(LARGE('Calc (scoring engine)'!$K$5:$K$518,5),-999999)&lt;=-900000),"",IFERROR(IF(INDEX(Database!$BE$5:$BE$518,MATCH(LARGE('Calc (scoring engine)'!$K$5:$K$518,5),'Calc (scoring engine)'!$K$5:$K$518,0))="","—",INDEX(Database!$BE$5:$BE$518,MATCH(LARGE('Calc (scoring engine)'!$K$5:$K$518,5),'Calc (scoring engine)'!$K$5:$K$518,0))),""))</f>
        <v/>
      </c>
      <c r="BA25" s="24">
        <f>IF(OR(5&gt;MAX(3,MIN(15,N($D$18))),IFERROR(LARGE('Calc (scoring engine)'!$K$5:$K$518,5),-999999)&lt;=-900000),"",IFERROR(IF(N(INDEX(Database!$BF$5:$BF$518,MATCH(LARGE('Calc (scoring engine)'!$K$5:$K$518,5),'Calc (scoring engine)'!$K$5:$K$518,0)))&lt;=0,IF(INDEX(Database!$BE$5:$BE$518,MATCH(LARGE('Calc (scoring engine)'!$K$5:$K$518,5),'Calc (scoring engine)'!$K$5:$K$518,0))="N","n/m","—"),INDEX(Database!$BF$5:$BF$518,MATCH(LARGE('Calc (scoring engine)'!$K$5:$K$518,5),'Calc (scoring engine)'!$K$5:$K$518,0))),""))</f>
        <v/>
      </c>
      <c r="BB25" s="24">
        <f>IF(OR(5&gt;MAX(3,MIN(15,N($D$18))),IFERROR(LARGE('Calc (scoring engine)'!$K$5:$K$518,5),-999999)&lt;=-900000),"",IFERROR(IF(INDEX(Database!$BG$5:$BG$518,MATCH(LARGE('Calc (scoring engine)'!$K$5:$K$518,5),'Calc (scoring engine)'!$K$5:$K$518,0))="","—",INDEX(Database!$BG$5:$BG$518,MATCH(LARGE('Calc (scoring engine)'!$K$5:$K$518,5),'Calc (scoring engine)'!$K$5:$K$518,0))),""))</f>
        <v/>
      </c>
      <c r="BC25" s="24">
        <f>IF(OR(5&gt;MAX(3,MIN(15,N($D$18))),IFERROR(LARGE('Calc (scoring engine)'!$K$5:$K$518,5),-999999)&lt;=-900000),"",IFERROR(IF(INDEX(Database!$BH$5:$BH$518,MATCH(LARGE('Calc (scoring engine)'!$K$5:$K$518,5),'Calc (scoring engine)'!$K$5:$K$518,0))="","—",INDEX(Database!$BH$5:$BH$518,MATCH(LARGE('Calc (scoring engine)'!$K$5:$K$518,5),'Calc (scoring engine)'!$K$5:$K$518,0))),""))</f>
        <v/>
      </c>
      <c r="BD25" s="24">
        <f>IF(OR(5&gt;MAX(3,MIN(15,N($D$18))),IFERROR(LARGE('Calc (scoring engine)'!$K$5:$K$518,5),-999999)&lt;=-900000),"",IFERROR(IF(INDEX(Database!$BI$5:$BI$518,MATCH(LARGE('Calc (scoring engine)'!$K$5:$K$518,5),'Calc (scoring engine)'!$K$5:$K$518,0))="","—",INDEX(Database!$BI$5:$BI$518,MATCH(LARGE('Calc (scoring engine)'!$K$5:$K$518,5),'Calc (scoring engine)'!$K$5:$K$518,0))),""))</f>
        <v/>
      </c>
      <c r="BE25" s="24">
        <f>IF(OR(5&gt;MAX(3,MIN(15,N($D$18))),IFERROR(LARGE('Calc (scoring engine)'!$K$5:$K$518,5),-999999)&lt;=-900000),"",IFERROR(IF(INDEX(Database!$BJ$5:$BJ$518,MATCH(LARGE('Calc (scoring engine)'!$K$5:$K$518,5),'Calc (scoring engine)'!$K$5:$K$518,0))="","—",INDEX(Database!$BJ$5:$BJ$518,MATCH(LARGE('Calc (scoring engine)'!$K$5:$K$518,5),'Calc (scoring engine)'!$K$5:$K$518,0))),""))</f>
        <v/>
      </c>
      <c r="BF25" s="24">
        <f>IF(OR(5&gt;MAX(3,MIN(15,N($D$18))),IFERROR(LARGE('Calc (scoring engine)'!$K$5:$K$518,5),-999999)&lt;=-900000),"",IFERROR(IFERROR(BDP(TEXT(INDEX(Database!$A$5:$A$518,MATCH(LARGE('Calc (scoring engine)'!$K$5:$K$518,5),'Calc (scoring engine)'!$K$5:$K$518,0)),"0")&amp;" HK Equity","PE_RATIO"),IF(INDEX(Database!$BH$5:$BH$518,MATCH(LARGE('Calc (scoring engine)'!$K$5:$K$518,5),'Calc (scoring engine)'!$K$5:$K$518,0))="","—",INDEX(Database!$BH$5:$BH$518,MATCH(LARGE('Calc (scoring engine)'!$K$5:$K$518,5),'Calc (scoring engine)'!$K$5:$K$518,0)))),""))</f>
        <v/>
      </c>
      <c r="BG25" s="24">
        <f>IF(OR(5&gt;MAX(3,MIN(15,N($D$18))),IFERROR(LARGE('Calc (scoring engine)'!$K$5:$K$518,5),-999999)&lt;=-900000),"",IFERROR(IFERROR(BDP(TEXT(INDEX(Database!$A$5:$A$518,MATCH(LARGE('Calc (scoring engine)'!$K$5:$K$518,5),'Calc (scoring engine)'!$K$5:$K$518,0)),"0")&amp;" HK Equity","PX_TO_SALES_RATIO"),IF(INDEX(Database!$BI$5:$BI$518,MATCH(LARGE('Calc (scoring engine)'!$K$5:$K$518,5),'Calc (scoring engine)'!$K$5:$K$518,0))="","—",INDEX(Database!$BI$5:$BI$518,MATCH(LARGE('Calc (scoring engine)'!$K$5:$K$518,5),'Calc (scoring engine)'!$K$5:$K$518,0)))),""))</f>
        <v/>
      </c>
      <c r="BH25" s="10">
        <f>IF(OR(5&gt;MAX(3,MIN(15,N($D$18))),IFERROR(LARGE('Calc (scoring engine)'!$K$5:$K$518,5),-999999)&lt;=-900000),"",IFERROR(IF(INDEX(Database!$BK$5:$BK$518,MATCH(LARGE('Calc (scoring engine)'!$K$5:$K$518,5),'Calc (scoring engine)'!$K$5:$K$518,0))="","—",INDEX(Database!$BK$5:$BK$518,MATCH(LARGE('Calc (scoring engine)'!$K$5:$K$518,5),'Calc (scoring engine)'!$K$5:$K$518,0))),""))</f>
        <v/>
      </c>
      <c r="BI25" s="10">
        <f>IF(OR(5&gt;MAX(3,MIN(15,N($D$18))),IFERROR(LARGE('Calc (scoring engine)'!$K$5:$K$518,5),-999999)&lt;=-900000),"",IFERROR(IF(INDEX(Database!$BL$5:$BL$518,MATCH(LARGE('Calc (scoring engine)'!$K$5:$K$518,5),'Calc (scoring engine)'!$K$5:$K$518,0))="","—",INDEX(Database!$BL$5:$BL$518,MATCH(LARGE('Calc (scoring engine)'!$K$5:$K$518,5),'Calc (scoring engine)'!$K$5:$K$518,0))),""))</f>
        <v/>
      </c>
      <c r="BJ25" s="23">
        <f>IF(OR(5&gt;MAX(3,MIN(15,N($D$18))),IFERROR(LARGE('Calc (scoring engine)'!$K$5:$K$518,5),-999999)&lt;=-900000),"",IFERROR(IF(INDEX(Database!$BM$5:$BM$518,MATCH(LARGE('Calc (scoring engine)'!$K$5:$K$518,5),'Calc (scoring engine)'!$K$5:$K$518,0))="","—",INDEX(Database!$BM$5:$BM$518,MATCH(LARGE('Calc (scoring engine)'!$K$5:$K$518,5),'Calc (scoring engine)'!$K$5:$K$518,0))),""))</f>
        <v/>
      </c>
      <c r="BK25" s="40">
        <f>IF(OR(5&gt;MAX(3,MIN(15,N($D$18))),IFERROR(LARGE('Calc (scoring engine)'!$K$5:$K$518,5),-999999)&lt;=-900000),"",IFERROR(IF(INDEX(Database!$BN$5:$BN$518,MATCH(LARGE('Calc (scoring engine)'!$K$5:$K$518,5),'Calc (scoring engine)'!$K$5:$K$518,0))="","—",INDEX(Database!$BN$5:$BN$518,MATCH(LARGE('Calc (scoring engine)'!$K$5:$K$518,5),'Calc (scoring engine)'!$K$5:$K$518,0))),""))</f>
        <v/>
      </c>
      <c r="BL25" s="43">
        <f>IF(OR(5&gt;MAX(3,MIN(15,N($D$18))),IFERROR(LARGE('Calc (scoring engine)'!$K$5:$K$518,5),-999999)&lt;=-900000),"",IFERROR(IF(INDEX(Database!$BO$5:$BO$518,MATCH(LARGE('Calc (scoring engine)'!$K$5:$K$518,5),'Calc (scoring engine)'!$K$5:$K$518,0))="","—",INDEX(Database!$BO$5:$BO$518,MATCH(LARGE('Calc (scoring engine)'!$K$5:$K$518,5),'Calc (scoring engine)'!$K$5:$K$518,0))),""))</f>
        <v/>
      </c>
      <c r="BM25" s="18">
        <f>IF(OR(5&gt;MAX(3,MIN(15,N($D$18))),IFERROR(LARGE('Calc (scoring engine)'!$K$5:$K$518,5),-999999)&lt;=-900000),"",IFERROR(IF(INDEX(Database!$BP$5:$BP$518,MATCH(LARGE('Calc (scoring engine)'!$K$5:$K$518,5),'Calc (scoring engine)'!$K$5:$K$518,0))="","—",INDEX(Database!$BP$5:$BP$518,MATCH(LARGE('Calc (scoring engine)'!$K$5:$K$518,5),'Calc (scoring engine)'!$K$5:$K$518,0))),""))</f>
        <v/>
      </c>
      <c r="BN25" s="24">
        <f>IF(OR(5&gt;MAX(3,MIN(15,N($D$18))),IFERROR(LARGE('Calc (scoring engine)'!$K$5:$K$518,5),-999999)&lt;=-900000),"",IFERROR(IF(INDEX(Database!$BQ$5:$BQ$518,MATCH(LARGE('Calc (scoring engine)'!$K$5:$K$518,5),'Calc (scoring engine)'!$K$5:$K$518,0))="","—",INDEX(Database!$BQ$5:$BQ$518,MATCH(LARGE('Calc (scoring engine)'!$K$5:$K$518,5),'Calc (scoring engine)'!$K$5:$K$518,0))),""))</f>
        <v/>
      </c>
      <c r="BO25" s="24">
        <f>IF(OR(5&gt;MAX(3,MIN(15,N($D$18))),IFERROR(LARGE('Calc (scoring engine)'!$K$5:$K$518,5),-999999)&lt;=-900000),"",IFERROR(IF(INDEX(Database!$BR$5:$BR$518,MATCH(LARGE('Calc (scoring engine)'!$K$5:$K$518,5),'Calc (scoring engine)'!$K$5:$K$518,0))="","—",INDEX(Database!$BR$5:$BR$518,MATCH(LARGE('Calc (scoring engine)'!$K$5:$K$518,5),'Calc (scoring engine)'!$K$5:$K$518,0))),""))</f>
        <v/>
      </c>
      <c r="BP25" s="10">
        <f>IF(OR(5&gt;MAX(3,MIN(15,N($D$18))),IFERROR(LARGE('Calc (scoring engine)'!$K$5:$K$518,5),-999999)&lt;=-900000),"",IFERROR(IF(INDEX(Database!$BS$5:$BS$518,MATCH(LARGE('Calc (scoring engine)'!$K$5:$K$518,5),'Calc (scoring engine)'!$K$5:$K$518,0))="","—",INDEX(Database!$BS$5:$BS$518,MATCH(LARGE('Calc (scoring engine)'!$K$5:$K$518,5),'Calc (scoring engine)'!$K$5:$K$518,0))),""))</f>
        <v/>
      </c>
      <c r="BQ25" s="10">
        <f>IF(OR(5&gt;MAX(3,MIN(15,N($D$18))),IFERROR(LARGE('Calc (scoring engine)'!$K$5:$K$518,5),-999999)&lt;=-900000),"",IFERROR(IF(INDEX(Database!$BU$5:$BU$518,MATCH(LARGE('Calc (scoring engine)'!$K$5:$K$518,5),'Calc (scoring engine)'!$K$5:$K$518,0))="","—",INDEX(Database!$BU$5:$BU$518,MATCH(LARGE('Calc (scoring engine)'!$K$5:$K$518,5),'Calc (scoring engine)'!$K$5:$K$518,0))),""))</f>
        <v/>
      </c>
      <c r="BR25" s="44">
        <f>IF(OR(5&gt;MAX(3,MIN(15,N($D$18))),IFERROR(LARGE('Calc (scoring engine)'!$K$5:$K$518,5),-999999)&lt;=-900000),"",IFERROR(IF(INDEX('Calc (scoring engine)'!$H$5:$H$518,MATCH(LARGE('Calc (scoring engine)'!$K$5:$K$518,5),'Calc (scoring engine)'!$K$5:$K$518,0))&gt;0,INDEX('Calc (scoring engine)'!$H$5:$H$518,MATCH(LARGE('Calc (scoring engine)'!$K$5:$K$518,5),'Calc (scoring engine)'!$K$5:$K$518,0)),""),""))</f>
        <v/>
      </c>
      <c r="BS25" s="10">
        <f>IF(OR(5&gt;MAX(3,MIN(15,N($D$18))),IFERROR(LARGE('Calc (scoring engine)'!$K$5:$K$518,5),-999999)&lt;=-900000),"",IF(IFERROR(INDEX('Calc (scoring engine)'!$B$5:$B$518,MATCH(LARGE('Calc (scoring engine)'!$K$5:$K$518,5),'Calc (scoring engine)'!$K$5:$K$518,0)),0)=1,"same subsector","sector only"))</f>
        <v/>
      </c>
      <c r="BT25" s="44">
        <f>IF(OR(5&gt;MAX(3,MIN(15,N($D$18))),IFERROR(LARGE('Calc (scoring engine)'!$K$5:$K$518,5),-999999)&lt;=-900000),"",ROUND(IFERROR(LARGE('Calc (scoring engine)'!$K$5:$K$518,5),0),0))</f>
        <v/>
      </c>
      <c r="BU25" s="10">
        <f>IF(OR(5&gt;MAX(3,MIN(15,N($D$18))),IFERROR(LARGE('Calc (scoring engine)'!$K$5:$K$518,5),-999999)&lt;=-900000),"",IFERROR("sub "&amp;INDEX('Calc (scoring engine)'!$B$5:$B$518,MATCH(LARGE('Calc (scoring engine)'!$K$5:$K$518,5),'Calc (scoring engine)'!$K$5:$K$518,0))*W_SUB&amp;" + size "&amp;ROUND(INDEX('Calc (scoring engine)'!$D$5:$D$518,MATCH(LARGE('Calc (scoring engine)'!$K$5:$K$518,5),'Calc (scoring engine)'!$K$5:$K$518,0))*W_SIZE,0)&amp;" + prof "&amp;INDEX('Calc (scoring engine)'!$E$5:$E$518,MATCH(LARGE('Calc (scoring engine)'!$K$5:$K$518,5),'Calc (scoring engine)'!$K$5:$K$518,0))*W_PROF&amp;" + recency "&amp;ROUND(INDEX('Calc (scoring engine)'!$G$5:$G$518,MATCH(LARGE('Calc (scoring engine)'!$K$5:$K$518,5),'Calc (scoring engine)'!$K$5:$K$518,0))*W_REC,0)&amp;IF(INDEX('Calc (scoring engine)'!$H$5:$H$518,MATCH(LARGE('Calc (scoring engine)'!$K$5:$K$518,5),'Calc (scoring engine)'!$K$5:$K$518,0))&gt;0," + shared CS x"&amp;INDEX('Calc (scoring engine)'!$H$5:$H$518,MATCH(LARGE('Calc (scoring engine)'!$K$5:$K$518,5),'Calc (scoring engine)'!$K$5:$K$518,0)),""),""))</f>
        <v/>
      </c>
    </row>
    <row r="26">
      <c r="A26" s="38">
        <f>IF(OR(6&gt;MAX(3,MIN(15,N($D$18))),IFERROR(LARGE('Calc (scoring engine)'!$K$5:$K$518,6),-999999)&lt;=-900000),"",6)</f>
        <v/>
      </c>
      <c r="B26" s="10">
        <f>IF(OR(6&gt;MAX(3,MIN(15,N($D$18))),IFERROR(LARGE('Calc (scoring engine)'!$K$5:$K$518,6),-999999)&lt;=-900000),"",IFERROR(IF(INDEX(Database!$B$5:$B$518,MATCH(LARGE('Calc (scoring engine)'!$K$5:$K$518,6),'Calc (scoring engine)'!$K$5:$K$518,0))="","—",INDEX(Database!$B$5:$B$518,MATCH(LARGE('Calc (scoring engine)'!$K$5:$K$518,6),'Calc (scoring engine)'!$K$5:$K$518,0))),""))</f>
        <v/>
      </c>
      <c r="C26" s="39">
        <f>IF(OR(6&gt;MAX(3,MIN(15,N($D$18))),IFERROR(LARGE('Calc (scoring engine)'!$K$5:$K$518,6),-999999)&lt;=-900000),"",IFERROR(IF(INDEX(Database!$A$5:$A$518,MATCH(LARGE('Calc (scoring engine)'!$K$5:$K$518,6),'Calc (scoring engine)'!$K$5:$K$518,0))="","—",INDEX(Database!$A$5:$A$518,MATCH(LARGE('Calc (scoring engine)'!$K$5:$K$518,6),'Calc (scoring engine)'!$K$5:$K$518,0))),""))</f>
        <v/>
      </c>
      <c r="D26" s="10">
        <f>IF(OR(6&gt;MAX(3,MIN(15,N($D$18))),IFERROR(LARGE('Calc (scoring engine)'!$K$5:$K$518,6),-999999)&lt;=-900000),"",IFERROR(IF(INDEX(Database!$D$5:$D$518,MATCH(LARGE('Calc (scoring engine)'!$K$5:$K$518,6),'Calc (scoring engine)'!$K$5:$K$518,0))="","—",INDEX(Database!$D$5:$D$518,MATCH(LARGE('Calc (scoring engine)'!$K$5:$K$518,6),'Calc (scoring engine)'!$K$5:$K$518,0))),""))</f>
        <v/>
      </c>
      <c r="E26" s="10">
        <f>IF(OR(6&gt;MAX(3,MIN(15,N($D$18))),IFERROR(LARGE('Calc (scoring engine)'!$K$5:$K$518,6),-999999)&lt;=-900000),"",IFERROR(IF(INDEX(Database!$E$5:$E$518,MATCH(LARGE('Calc (scoring engine)'!$K$5:$K$518,6),'Calc (scoring engine)'!$K$5:$K$518,0))="","—",INDEX(Database!$E$5:$E$518,MATCH(LARGE('Calc (scoring engine)'!$K$5:$K$518,6),'Calc (scoring engine)'!$K$5:$K$518,0))),""))</f>
        <v/>
      </c>
      <c r="F26" s="10">
        <f>IF(OR(6&gt;MAX(3,MIN(15,N($D$18))),IFERROR(LARGE('Calc (scoring engine)'!$K$5:$K$518,6),-999999)&lt;=-900000),"",IFERROR(IF(INDEX(Database!$F$5:$F$518,MATCH(LARGE('Calc (scoring engine)'!$K$5:$K$518,6),'Calc (scoring engine)'!$K$5:$K$518,0))="","—",INDEX(Database!$F$5:$F$518,MATCH(LARGE('Calc (scoring engine)'!$K$5:$K$518,6),'Calc (scoring engine)'!$K$5:$K$518,0))),""))</f>
        <v/>
      </c>
      <c r="G26" s="10">
        <f>IF(OR(6&gt;MAX(3,MIN(15,N($D$18))),IFERROR(LARGE('Calc (scoring engine)'!$K$5:$K$518,6),-999999)&lt;=-900000),"",IFERROR(IF(INDEX(Database!$G$5:$G$518,MATCH(LARGE('Calc (scoring engine)'!$K$5:$K$518,6),'Calc (scoring engine)'!$K$5:$K$518,0))="","—",INDEX(Database!$G$5:$G$518,MATCH(LARGE('Calc (scoring engine)'!$K$5:$K$518,6),'Calc (scoring engine)'!$K$5:$K$518,0))),""))</f>
        <v/>
      </c>
      <c r="H26" s="21">
        <f>IF(OR(6&gt;MAX(3,MIN(15,N($D$18))),IFERROR(LARGE('Calc (scoring engine)'!$K$5:$K$518,6),-999999)&lt;=-900000),"",IFERROR(IF(INDEX(Database!$H$5:$H$518,MATCH(LARGE('Calc (scoring engine)'!$K$5:$K$518,6),'Calc (scoring engine)'!$K$5:$K$518,0))="","—",INDEX(Database!$H$5:$H$518,MATCH(LARGE('Calc (scoring engine)'!$K$5:$K$518,6),'Calc (scoring engine)'!$K$5:$K$518,0))),""))</f>
        <v/>
      </c>
      <c r="I26" s="18">
        <f>IF(OR(6&gt;MAX(3,MIN(15,N($D$18))),IFERROR(LARGE('Calc (scoring engine)'!$K$5:$K$518,6),-999999)&lt;=-900000),"",IFERROR(IF(INDEX(Database!$I$5:$I$518,MATCH(LARGE('Calc (scoring engine)'!$K$5:$K$518,6),'Calc (scoring engine)'!$K$5:$K$518,0))="","—",INDEX(Database!$I$5:$I$518,MATCH(LARGE('Calc (scoring engine)'!$K$5:$K$518,6),'Calc (scoring engine)'!$K$5:$K$518,0))),""))</f>
        <v/>
      </c>
      <c r="J26" s="40">
        <f>IF(OR(6&gt;MAX(3,MIN(15,N($D$18))),IFERROR(LARGE('Calc (scoring engine)'!$K$5:$K$518,6),-999999)&lt;=-900000),"",IFERROR(IF(INDEX(Database!$K$5:$K$518,MATCH(LARGE('Calc (scoring engine)'!$K$5:$K$518,6),'Calc (scoring engine)'!$K$5:$K$518,0))="","—",INDEX(Database!$K$5:$K$518,MATCH(LARGE('Calc (scoring engine)'!$K$5:$K$518,6),'Calc (scoring engine)'!$K$5:$K$518,0))),""))</f>
        <v/>
      </c>
      <c r="K26" s="40">
        <f>IF(OR(6&gt;MAX(3,MIN(15,N($D$18))),IFERROR(LARGE('Calc (scoring engine)'!$K$5:$K$518,6),-999999)&lt;=-900000),"",IFERROR(IF(INDEX(Database!$L$5:$L$518,MATCH(LARGE('Calc (scoring engine)'!$K$5:$K$518,6),'Calc (scoring engine)'!$K$5:$K$518,0))="","—",INDEX(Database!$L$5:$L$518,MATCH(LARGE('Calc (scoring engine)'!$K$5:$K$518,6),'Calc (scoring engine)'!$K$5:$K$518,0))),""))</f>
        <v/>
      </c>
      <c r="L26" s="40">
        <f>IF(OR(6&gt;MAX(3,MIN(15,N($D$18))),IFERROR(LARGE('Calc (scoring engine)'!$K$5:$K$518,6),-999999)&lt;=-900000),"",IFERROR(IF(INDEX(Database!$M$5:$M$518,MATCH(LARGE('Calc (scoring engine)'!$K$5:$K$518,6),'Calc (scoring engine)'!$K$5:$K$518,0))="","—",INDEX(Database!$M$5:$M$518,MATCH(LARGE('Calc (scoring engine)'!$K$5:$K$518,6),'Calc (scoring engine)'!$K$5:$K$518,0))),""))</f>
        <v/>
      </c>
      <c r="M26" s="10">
        <f>IF(OR(6&gt;MAX(3,MIN(15,N($D$18))),IFERROR(LARGE('Calc (scoring engine)'!$K$5:$K$518,6),-999999)&lt;=-900000),"",IFERROR(IF(INDEX(Database!$N$5:$N$518,MATCH(LARGE('Calc (scoring engine)'!$K$5:$K$518,6),'Calc (scoring engine)'!$K$5:$K$518,0))="","—",INDEX(Database!$N$5:$N$518,MATCH(LARGE('Calc (scoring engine)'!$K$5:$K$518,6),'Calc (scoring engine)'!$K$5:$K$518,0))),""))</f>
        <v/>
      </c>
      <c r="N26" s="28">
        <f>IF(OR(6&gt;MAX(3,MIN(15,N($D$18))),IFERROR(LARGE('Calc (scoring engine)'!$K$5:$K$518,6),-999999)&lt;=-900000),"",IFERROR(IF(INDEX(Database!$O$5:$O$518,MATCH(LARGE('Calc (scoring engine)'!$K$5:$K$518,6),'Calc (scoring engine)'!$K$5:$K$518,0))="","—",INDEX(Database!$O$5:$O$518,MATCH(LARGE('Calc (scoring engine)'!$K$5:$K$518,6),'Calc (scoring engine)'!$K$5:$K$518,0))),""))</f>
        <v/>
      </c>
      <c r="O26" s="28">
        <f>IF(OR(6&gt;MAX(3,MIN(15,N($D$18))),IFERROR(LARGE('Calc (scoring engine)'!$K$5:$K$518,6),-999999)&lt;=-900000),"",IFERROR(IF(INDEX(Database!$P$5:$P$518,MATCH(LARGE('Calc (scoring engine)'!$K$5:$K$518,6),'Calc (scoring engine)'!$K$5:$K$518,0))="","—",INDEX(Database!$P$5:$P$518,MATCH(LARGE('Calc (scoring engine)'!$K$5:$K$518,6),'Calc (scoring engine)'!$K$5:$K$518,0))),""))</f>
        <v/>
      </c>
      <c r="P26" s="18">
        <f>IF(OR(6&gt;MAX(3,MIN(15,N($D$18))),IFERROR(LARGE('Calc (scoring engine)'!$K$5:$K$518,6),-999999)&lt;=-900000),"",IFERROR(IF(INDEX(Database!$Q$5:$Q$518,MATCH(LARGE('Calc (scoring engine)'!$K$5:$K$518,6),'Calc (scoring engine)'!$K$5:$K$518,0))="","—",INDEX(Database!$Q$5:$Q$518,MATCH(LARGE('Calc (scoring engine)'!$K$5:$K$518,6),'Calc (scoring engine)'!$K$5:$K$518,0))),""))</f>
        <v/>
      </c>
      <c r="Q26" s="26">
        <f>IF(OR(6&gt;MAX(3,MIN(15,N($D$18))),IFERROR(LARGE('Calc (scoring engine)'!$K$5:$K$518,6),-999999)&lt;=-900000),"",IFERROR(IF(INDEX(Database!$S$5:$S$518,MATCH(LARGE('Calc (scoring engine)'!$K$5:$K$518,6),'Calc (scoring engine)'!$K$5:$K$518,0))="","—",INDEX(Database!$S$5:$S$518,MATCH(LARGE('Calc (scoring engine)'!$K$5:$K$518,6),'Calc (scoring engine)'!$K$5:$K$518,0))),""))</f>
        <v/>
      </c>
      <c r="R26" s="41">
        <f>IF(OR(6&gt;MAX(3,MIN(15,N($D$18))),IFERROR(LARGE('Calc (scoring engine)'!$K$5:$K$518,6),-999999)&lt;=-900000),"",IFERROR(IF(INDEX(Database!$T$5:$T$518,MATCH(LARGE('Calc (scoring engine)'!$K$5:$K$518,6),'Calc (scoring engine)'!$K$5:$K$518,0))="","—",INDEX(Database!$T$5:$T$518,MATCH(LARGE('Calc (scoring engine)'!$K$5:$K$518,6),'Calc (scoring engine)'!$K$5:$K$518,0))),""))</f>
        <v/>
      </c>
      <c r="S26" s="42">
        <f>IF(OR(6&gt;MAX(3,MIN(15,N($D$18))),IFERROR(LARGE('Calc (scoring engine)'!$K$5:$K$518,6),-999999)&lt;=-900000),"",IFERROR(IF(INDEX(Database!$U$5:$U$518,MATCH(LARGE('Calc (scoring engine)'!$K$5:$K$518,6),'Calc (scoring engine)'!$K$5:$K$518,0))="","—",INDEX(Database!$U$5:$U$518,MATCH(LARGE('Calc (scoring engine)'!$K$5:$K$518,6),'Calc (scoring engine)'!$K$5:$K$518,0))),""))</f>
        <v/>
      </c>
      <c r="T26" s="18">
        <f>IF(OR(6&gt;MAX(3,MIN(15,N($D$18))),IFERROR(LARGE('Calc (scoring engine)'!$K$5:$K$518,6),-999999)&lt;=-900000),"",IFERROR(IF(INDEX(Database!$V$5:$V$518,MATCH(LARGE('Calc (scoring engine)'!$K$5:$K$518,6),'Calc (scoring engine)'!$K$5:$K$518,0))="","—",INDEX(Database!$V$5:$V$518,MATCH(LARGE('Calc (scoring engine)'!$K$5:$K$518,6),'Calc (scoring engine)'!$K$5:$K$518,0))),""))</f>
        <v/>
      </c>
      <c r="U26" s="18">
        <f>IF(OR(6&gt;MAX(3,MIN(15,N($D$18))),IFERROR(LARGE('Calc (scoring engine)'!$K$5:$K$518,6),-999999)&lt;=-900000),"",IFERROR(IF(INDEX(Database!$W$5:$W$518,MATCH(LARGE('Calc (scoring engine)'!$K$5:$K$518,6),'Calc (scoring engine)'!$K$5:$K$518,0))="","—",INDEX(Database!$W$5:$W$518,MATCH(LARGE('Calc (scoring engine)'!$K$5:$K$518,6),'Calc (scoring engine)'!$K$5:$K$518,0))),""))</f>
        <v/>
      </c>
      <c r="V26" s="28">
        <f>IF(OR(6&gt;MAX(3,MIN(15,N($D$18))),IFERROR(LARGE('Calc (scoring engine)'!$K$5:$K$518,6),-999999)&lt;=-900000),"",IFERROR(IF(INDEX(Database!$X$5:$X$518,MATCH(LARGE('Calc (scoring engine)'!$K$5:$K$518,6),'Calc (scoring engine)'!$K$5:$K$518,0))="","—",INDEX(Database!$X$5:$X$518,MATCH(LARGE('Calc (scoring engine)'!$K$5:$K$518,6),'Calc (scoring engine)'!$K$5:$K$518,0))),""))</f>
        <v/>
      </c>
      <c r="W26" s="10">
        <f>IF(OR(6&gt;MAX(3,MIN(15,N($D$18))),IFERROR(LARGE('Calc (scoring engine)'!$K$5:$K$518,6),-999999)&lt;=-900000),"",IFERROR(IF(INDEX(Database!$Y$5:$Y$518,MATCH(LARGE('Calc (scoring engine)'!$K$5:$K$518,6),'Calc (scoring engine)'!$K$5:$K$518,0))="","—",INDEX(Database!$Y$5:$Y$518,MATCH(LARGE('Calc (scoring engine)'!$K$5:$K$518,6),'Calc (scoring engine)'!$K$5:$K$518,0))),""))</f>
        <v/>
      </c>
      <c r="X26" s="28">
        <f>IF(OR(6&gt;MAX(3,MIN(15,N($D$18))),IFERROR(LARGE('Calc (scoring engine)'!$K$5:$K$518,6),-999999)&lt;=-900000),"",IFERROR(IF(INDEX(Database!$AA$5:$AA$518,MATCH(LARGE('Calc (scoring engine)'!$K$5:$K$518,6),'Calc (scoring engine)'!$K$5:$K$518,0))="","—",INDEX(Database!$AA$5:$AA$518,MATCH(LARGE('Calc (scoring engine)'!$K$5:$K$518,6),'Calc (scoring engine)'!$K$5:$K$518,0))),""))</f>
        <v/>
      </c>
      <c r="Y26" s="23">
        <f>IF(OR(6&gt;MAX(3,MIN(15,N($D$18))),IFERROR(LARGE('Calc (scoring engine)'!$K$5:$K$518,6),-999999)&lt;=-900000),"",IFERROR(IF(INDEX(Database!$AB$5:$AB$518,MATCH(LARGE('Calc (scoring engine)'!$K$5:$K$518,6),'Calc (scoring engine)'!$K$5:$K$518,0))="","—",INDEX(Database!$AB$5:$AB$518,MATCH(LARGE('Calc (scoring engine)'!$K$5:$K$518,6),'Calc (scoring engine)'!$K$5:$K$518,0))),""))</f>
        <v/>
      </c>
      <c r="Z26" s="40">
        <f>IF(OR(6&gt;MAX(3,MIN(15,N($D$18))),IFERROR(LARGE('Calc (scoring engine)'!$K$5:$K$518,6),-999999)&lt;=-900000),"",IFERROR(IF(INDEX(Database!$AC$5:$AC$518,MATCH(LARGE('Calc (scoring engine)'!$K$5:$K$518,6),'Calc (scoring engine)'!$K$5:$K$518,0))="","—",INDEX(Database!$AC$5:$AC$518,MATCH(LARGE('Calc (scoring engine)'!$K$5:$K$518,6),'Calc (scoring engine)'!$K$5:$K$518,0))),""))</f>
        <v/>
      </c>
      <c r="AA26" s="23">
        <f>IF(OR(6&gt;MAX(3,MIN(15,N($D$18))),IFERROR(LARGE('Calc (scoring engine)'!$K$5:$K$518,6),-999999)&lt;=-900000),"",IFERROR(IF(INDEX(Database!$AD$5:$AD$518,MATCH(LARGE('Calc (scoring engine)'!$K$5:$K$518,6),'Calc (scoring engine)'!$K$5:$K$518,0))="","—",INDEX(Database!$AD$5:$AD$518,MATCH(LARGE('Calc (scoring engine)'!$K$5:$K$518,6),'Calc (scoring engine)'!$K$5:$K$518,0))),""))</f>
        <v/>
      </c>
      <c r="AB26" s="10">
        <f>IF(OR(6&gt;MAX(3,MIN(15,N($D$18))),IFERROR(LARGE('Calc (scoring engine)'!$K$5:$K$518,6),-999999)&lt;=-900000),"",IFERROR(IF(INDEX(Database!$AE$5:$AE$518,MATCH(LARGE('Calc (scoring engine)'!$K$5:$K$518,6),'Calc (scoring engine)'!$K$5:$K$518,0))="","—",INDEX(Database!$AE$5:$AE$518,MATCH(LARGE('Calc (scoring engine)'!$K$5:$K$518,6),'Calc (scoring engine)'!$K$5:$K$518,0))),""))</f>
        <v/>
      </c>
      <c r="AC26" s="10">
        <f>IF(OR(6&gt;MAX(3,MIN(15,N($D$18))),IFERROR(LARGE('Calc (scoring engine)'!$K$5:$K$518,6),-999999)&lt;=-900000),"",IFERROR(IF(INDEX(Database!$AF$5:$AF$518,MATCH(LARGE('Calc (scoring engine)'!$K$5:$K$518,6),'Calc (scoring engine)'!$K$5:$K$518,0))="","—",INDEX(Database!$AF$5:$AF$518,MATCH(LARGE('Calc (scoring engine)'!$K$5:$K$518,6),'Calc (scoring engine)'!$K$5:$K$518,0))),""))</f>
        <v/>
      </c>
      <c r="AD26" s="10">
        <f>IF(OR(6&gt;MAX(3,MIN(15,N($D$18))),IFERROR(LARGE('Calc (scoring engine)'!$K$5:$K$518,6),-999999)&lt;=-900000),"",IFERROR(IF(INDEX(Database!$AG$5:$AG$518,MATCH(LARGE('Calc (scoring engine)'!$K$5:$K$518,6),'Calc (scoring engine)'!$K$5:$K$518,0))="","—",INDEX(Database!$AG$5:$AG$518,MATCH(LARGE('Calc (scoring engine)'!$K$5:$K$518,6),'Calc (scoring engine)'!$K$5:$K$518,0))),""))</f>
        <v/>
      </c>
      <c r="AE26" s="10">
        <f>IF(OR(6&gt;MAX(3,MIN(15,N($D$18))),IFERROR(LARGE('Calc (scoring engine)'!$K$5:$K$518,6),-999999)&lt;=-900000),"",IFERROR(IF(INDEX(Database!$AH$5:$AH$518,MATCH(LARGE('Calc (scoring engine)'!$K$5:$K$518,6),'Calc (scoring engine)'!$K$5:$K$518,0))="","—",INDEX(Database!$AH$5:$AH$518,MATCH(LARGE('Calc (scoring engine)'!$K$5:$K$518,6),'Calc (scoring engine)'!$K$5:$K$518,0))),""))</f>
        <v/>
      </c>
      <c r="AF26" s="10">
        <f>IF(OR(6&gt;MAX(3,MIN(15,N($D$18))),IFERROR(LARGE('Calc (scoring engine)'!$K$5:$K$518,6),-999999)&lt;=-900000),"",IFERROR(IF(INDEX(Database!$AI$5:$AI$518,MATCH(LARGE('Calc (scoring engine)'!$K$5:$K$518,6),'Calc (scoring engine)'!$K$5:$K$518,0))="","—",INDEX(Database!$AI$5:$AI$518,MATCH(LARGE('Calc (scoring engine)'!$K$5:$K$518,6),'Calc (scoring engine)'!$K$5:$K$518,0))),""))</f>
        <v/>
      </c>
      <c r="AG26" s="10">
        <f>IF(OR(6&gt;MAX(3,MIN(15,N($D$18))),IFERROR(LARGE('Calc (scoring engine)'!$K$5:$K$518,6),-999999)&lt;=-900000),"",IFERROR(IF(INDEX(Database!$AJ$5:$AJ$518,MATCH(LARGE('Calc (scoring engine)'!$K$5:$K$518,6),'Calc (scoring engine)'!$K$5:$K$518,0))="","—",INDEX(Database!$AJ$5:$AJ$518,MATCH(LARGE('Calc (scoring engine)'!$K$5:$K$518,6),'Calc (scoring engine)'!$K$5:$K$518,0))),""))</f>
        <v/>
      </c>
      <c r="AH26" s="23">
        <f>IF(OR(6&gt;MAX(3,MIN(15,N($D$18))),IFERROR(LARGE('Calc (scoring engine)'!$K$5:$K$518,6),-999999)&lt;=-900000),"",IFERROR(IF(INDEX(Database!$AK$5:$AK$518,MATCH(LARGE('Calc (scoring engine)'!$K$5:$K$518,6),'Calc (scoring engine)'!$K$5:$K$518,0))="","—",INDEX(Database!$AK$5:$AK$518,MATCH(LARGE('Calc (scoring engine)'!$K$5:$K$518,6),'Calc (scoring engine)'!$K$5:$K$518,0))),""))</f>
        <v/>
      </c>
      <c r="AI26" s="23">
        <f>IF(OR(6&gt;MAX(3,MIN(15,N($D$18))),IFERROR(LARGE('Calc (scoring engine)'!$K$5:$K$518,6),-999999)&lt;=-900000),"",IFERROR(IF(INDEX(Database!$AL$5:$AL$518,MATCH(LARGE('Calc (scoring engine)'!$K$5:$K$518,6),'Calc (scoring engine)'!$K$5:$K$518,0))="","—",INDEX(Database!$AL$5:$AL$518,MATCH(LARGE('Calc (scoring engine)'!$K$5:$K$518,6),'Calc (scoring engine)'!$K$5:$K$518,0))),""))</f>
        <v/>
      </c>
      <c r="AJ26" s="23">
        <f>IF(OR(6&gt;MAX(3,MIN(15,N($D$18))),IFERROR(LARGE('Calc (scoring engine)'!$K$5:$K$518,6),-999999)&lt;=-900000),"",IFERROR(IF(INDEX(Database!$AM$5:$AM$518,MATCH(LARGE('Calc (scoring engine)'!$K$5:$K$518,6),'Calc (scoring engine)'!$K$5:$K$518,0))="","—",INDEX(Database!$AM$5:$AM$518,MATCH(LARGE('Calc (scoring engine)'!$K$5:$K$518,6),'Calc (scoring engine)'!$K$5:$K$518,0))),""))</f>
        <v/>
      </c>
      <c r="AK26" s="23">
        <f>IF(OR(6&gt;MAX(3,MIN(15,N($D$18))),IFERROR(LARGE('Calc (scoring engine)'!$K$5:$K$518,6),-999999)&lt;=-900000),"",IFERROR(IF(INDEX(Database!$AN$5:$AN$518,MATCH(LARGE('Calc (scoring engine)'!$K$5:$K$518,6),'Calc (scoring engine)'!$K$5:$K$518,0))="","—",INDEX(Database!$AN$5:$AN$518,MATCH(LARGE('Calc (scoring engine)'!$K$5:$K$518,6),'Calc (scoring engine)'!$K$5:$K$518,0))),""))</f>
        <v/>
      </c>
      <c r="AL26" s="23">
        <f>IF(OR(6&gt;MAX(3,MIN(15,N($D$18))),IFERROR(LARGE('Calc (scoring engine)'!$K$5:$K$518,6),-999999)&lt;=-900000),"",IFERROR(IF(INDEX(Database!$AO$5:$AO$518,MATCH(LARGE('Calc (scoring engine)'!$K$5:$K$518,6),'Calc (scoring engine)'!$K$5:$K$518,0))="","—",INDEX(Database!$AO$5:$AO$518,MATCH(LARGE('Calc (scoring engine)'!$K$5:$K$518,6),'Calc (scoring engine)'!$K$5:$K$518,0))),""))</f>
        <v/>
      </c>
      <c r="AM26" s="23">
        <f>IF(OR(6&gt;MAX(3,MIN(15,N($D$18))),IFERROR(LARGE('Calc (scoring engine)'!$K$5:$K$518,6),-999999)&lt;=-900000),"",IFERROR(IF(INDEX(Database!$AP$5:$AP$518,MATCH(LARGE('Calc (scoring engine)'!$K$5:$K$518,6),'Calc (scoring engine)'!$K$5:$K$518,0))="","—",INDEX(Database!$AP$5:$AP$518,MATCH(LARGE('Calc (scoring engine)'!$K$5:$K$518,6),'Calc (scoring engine)'!$K$5:$K$518,0))),""))</f>
        <v/>
      </c>
      <c r="AN26" s="23">
        <f>IF(OR(6&gt;MAX(3,MIN(15,N($D$18))),IFERROR(LARGE('Calc (scoring engine)'!$K$5:$K$518,6),-999999)&lt;=-900000),"",IFERROR(IF(INDEX(Database!$AQ$5:$AQ$518,MATCH(LARGE('Calc (scoring engine)'!$K$5:$K$518,6),'Calc (scoring engine)'!$K$5:$K$518,0))="","—",INDEX(Database!$AQ$5:$AQ$518,MATCH(LARGE('Calc (scoring engine)'!$K$5:$K$518,6),'Calc (scoring engine)'!$K$5:$K$518,0))),""))</f>
        <v/>
      </c>
      <c r="AO26" s="23">
        <f>IF(OR(6&gt;MAX(3,MIN(15,N($D$18))),IFERROR(LARGE('Calc (scoring engine)'!$K$5:$K$518,6),-999999)&lt;=-900000),"",IFERROR(IF(INDEX(Database!$AR$5:$AR$518,MATCH(LARGE('Calc (scoring engine)'!$K$5:$K$518,6),'Calc (scoring engine)'!$K$5:$K$518,0))="","—",INDEX(Database!$AR$5:$AR$518,MATCH(LARGE('Calc (scoring engine)'!$K$5:$K$518,6),'Calc (scoring engine)'!$K$5:$K$518,0))),""))</f>
        <v/>
      </c>
      <c r="AP26" s="23">
        <f>IF(OR(6&gt;MAX(3,MIN(15,N($D$18))),IFERROR(LARGE('Calc (scoring engine)'!$K$5:$K$518,6),-999999)&lt;=-900000),"",IFERROR(IF(INDEX(Database!$AS$5:$AS$518,MATCH(LARGE('Calc (scoring engine)'!$K$5:$K$518,6),'Calc (scoring engine)'!$K$5:$K$518,0))="","—",INDEX(Database!$AS$5:$AS$518,MATCH(LARGE('Calc (scoring engine)'!$K$5:$K$518,6),'Calc (scoring engine)'!$K$5:$K$518,0))),""))</f>
        <v/>
      </c>
      <c r="AQ26" s="23">
        <f>IF(OR(6&gt;MAX(3,MIN(15,N($D$18))),IFERROR(LARGE('Calc (scoring engine)'!$K$5:$K$518,6),-999999)&lt;=-900000),"",IFERROR(IF(INDEX(Database!$AT$5:$AT$518,MATCH(LARGE('Calc (scoring engine)'!$K$5:$K$518,6),'Calc (scoring engine)'!$K$5:$K$518,0))="","—",INDEX(Database!$AT$5:$AT$518,MATCH(LARGE('Calc (scoring engine)'!$K$5:$K$518,6),'Calc (scoring engine)'!$K$5:$K$518,0))),""))</f>
        <v/>
      </c>
      <c r="AR26" s="23">
        <f>IF(OR(6&gt;MAX(3,MIN(15,N($D$18))),IFERROR(LARGE('Calc (scoring engine)'!$K$5:$K$518,6),-999999)&lt;=-900000),"",IFERROR(IF(INDEX(Database!$AU$5:$AU$518,MATCH(LARGE('Calc (scoring engine)'!$K$5:$K$518,6),'Calc (scoring engine)'!$K$5:$K$518,0))="","—",INDEX(Database!$AU$5:$AU$518,MATCH(LARGE('Calc (scoring engine)'!$K$5:$K$518,6),'Calc (scoring engine)'!$K$5:$K$518,0))),""))</f>
        <v/>
      </c>
      <c r="AS26" s="23">
        <f>IF(OR(6&gt;MAX(3,MIN(15,N($D$18))),IFERROR(LARGE('Calc (scoring engine)'!$K$5:$K$518,6),-999999)&lt;=-900000),"",IFERROR(IF(INDEX(Database!$AV$5:$AV$518,MATCH(LARGE('Calc (scoring engine)'!$K$5:$K$518,6),'Calc (scoring engine)'!$K$5:$K$518,0))="","—",INDEX(Database!$AV$5:$AV$518,MATCH(LARGE('Calc (scoring engine)'!$K$5:$K$518,6),'Calc (scoring engine)'!$K$5:$K$518,0))),""))</f>
        <v/>
      </c>
      <c r="AT26" s="23">
        <f>IF(OR(6&gt;MAX(3,MIN(15,N($D$18))),IFERROR(LARGE('Calc (scoring engine)'!$K$5:$K$518,6),-999999)&lt;=-900000),"",IFERROR(IF(INDEX(Database!$AW$5:$AW$518,MATCH(LARGE('Calc (scoring engine)'!$K$5:$K$518,6),'Calc (scoring engine)'!$K$5:$K$518,0))="","—",INDEX(Database!$AW$5:$AW$518,MATCH(LARGE('Calc (scoring engine)'!$K$5:$K$518,6),'Calc (scoring engine)'!$K$5:$K$518,0))),""))</f>
        <v/>
      </c>
      <c r="AU26" s="23">
        <f>IF(OR(6&gt;MAX(3,MIN(15,N($D$18))),IFERROR(LARGE('Calc (scoring engine)'!$K$5:$K$518,6),-999999)&lt;=-900000),"",IFERROR(IF(INDEX(Database!$AX$5:$AX$518,MATCH(LARGE('Calc (scoring engine)'!$K$5:$K$518,6),'Calc (scoring engine)'!$K$5:$K$518,0))="","—",INDEX(Database!$AX$5:$AX$518,MATCH(LARGE('Calc (scoring engine)'!$K$5:$K$518,6),'Calc (scoring engine)'!$K$5:$K$518,0))),""))</f>
        <v/>
      </c>
      <c r="AV26" s="23">
        <f>IF(OR(6&gt;MAX(3,MIN(15,N($D$18))),IFERROR(LARGE('Calc (scoring engine)'!$K$5:$K$518,6),-999999)&lt;=-900000),"",IFERROR(IF(INDEX(Database!$AY$5:$AY$518,MATCH(LARGE('Calc (scoring engine)'!$K$5:$K$518,6),'Calc (scoring engine)'!$K$5:$K$518,0))="","—",INDEX(Database!$AY$5:$AY$518,MATCH(LARGE('Calc (scoring engine)'!$K$5:$K$518,6),'Calc (scoring engine)'!$K$5:$K$518,0))),""))</f>
        <v/>
      </c>
      <c r="AW26" s="23">
        <f>IF(OR(6&gt;MAX(3,MIN(15,N($D$18))),IFERROR(LARGE('Calc (scoring engine)'!$K$5:$K$518,6),-999999)&lt;=-900000),"",IFERROR(IF(INDEX(Database!$BA$5:$BA$518,MATCH(LARGE('Calc (scoring engine)'!$K$5:$K$518,6),'Calc (scoring engine)'!$K$5:$K$518,0))="","—",INDEX(Database!$BA$5:$BA$518,MATCH(LARGE('Calc (scoring engine)'!$K$5:$K$518,6),'Calc (scoring engine)'!$K$5:$K$518,0))),""))</f>
        <v/>
      </c>
      <c r="AX26" s="18">
        <f>IF(OR(6&gt;MAX(3,MIN(15,N($D$18))),IFERROR(LARGE('Calc (scoring engine)'!$K$5:$K$518,6),-999999)&lt;=-900000),"",IFERROR(IF(INDEX(Database!$BC$5:$BC$518,MATCH(LARGE('Calc (scoring engine)'!$K$5:$K$518,6),'Calc (scoring engine)'!$K$5:$K$518,0))="","—",INDEX(Database!$BC$5:$BC$518,MATCH(LARGE('Calc (scoring engine)'!$K$5:$K$518,6),'Calc (scoring engine)'!$K$5:$K$518,0))),""))</f>
        <v/>
      </c>
      <c r="AY26" s="18">
        <f>IF(OR(6&gt;MAX(3,MIN(15,N($D$18))),IFERROR(LARGE('Calc (scoring engine)'!$K$5:$K$518,6),-999999)&lt;=-900000),"",IFERROR(IF(INDEX(Database!$BD$5:$BD$518,MATCH(LARGE('Calc (scoring engine)'!$K$5:$K$518,6),'Calc (scoring engine)'!$K$5:$K$518,0))="","—",INDEX(Database!$BD$5:$BD$518,MATCH(LARGE('Calc (scoring engine)'!$K$5:$K$518,6),'Calc (scoring engine)'!$K$5:$K$518,0))),""))</f>
        <v/>
      </c>
      <c r="AZ26" s="10">
        <f>IF(OR(6&gt;MAX(3,MIN(15,N($D$18))),IFERROR(LARGE('Calc (scoring engine)'!$K$5:$K$518,6),-999999)&lt;=-900000),"",IFERROR(IF(INDEX(Database!$BE$5:$BE$518,MATCH(LARGE('Calc (scoring engine)'!$K$5:$K$518,6),'Calc (scoring engine)'!$K$5:$K$518,0))="","—",INDEX(Database!$BE$5:$BE$518,MATCH(LARGE('Calc (scoring engine)'!$K$5:$K$518,6),'Calc (scoring engine)'!$K$5:$K$518,0))),""))</f>
        <v/>
      </c>
      <c r="BA26" s="24">
        <f>IF(OR(6&gt;MAX(3,MIN(15,N($D$18))),IFERROR(LARGE('Calc (scoring engine)'!$K$5:$K$518,6),-999999)&lt;=-900000),"",IFERROR(IF(N(INDEX(Database!$BF$5:$BF$518,MATCH(LARGE('Calc (scoring engine)'!$K$5:$K$518,6),'Calc (scoring engine)'!$K$5:$K$518,0)))&lt;=0,IF(INDEX(Database!$BE$5:$BE$518,MATCH(LARGE('Calc (scoring engine)'!$K$5:$K$518,6),'Calc (scoring engine)'!$K$5:$K$518,0))="N","n/m","—"),INDEX(Database!$BF$5:$BF$518,MATCH(LARGE('Calc (scoring engine)'!$K$5:$K$518,6),'Calc (scoring engine)'!$K$5:$K$518,0))),""))</f>
        <v/>
      </c>
      <c r="BB26" s="24">
        <f>IF(OR(6&gt;MAX(3,MIN(15,N($D$18))),IFERROR(LARGE('Calc (scoring engine)'!$K$5:$K$518,6),-999999)&lt;=-900000),"",IFERROR(IF(INDEX(Database!$BG$5:$BG$518,MATCH(LARGE('Calc (scoring engine)'!$K$5:$K$518,6),'Calc (scoring engine)'!$K$5:$K$518,0))="","—",INDEX(Database!$BG$5:$BG$518,MATCH(LARGE('Calc (scoring engine)'!$K$5:$K$518,6),'Calc (scoring engine)'!$K$5:$K$518,0))),""))</f>
        <v/>
      </c>
      <c r="BC26" s="24">
        <f>IF(OR(6&gt;MAX(3,MIN(15,N($D$18))),IFERROR(LARGE('Calc (scoring engine)'!$K$5:$K$518,6),-999999)&lt;=-900000),"",IFERROR(IF(INDEX(Database!$BH$5:$BH$518,MATCH(LARGE('Calc (scoring engine)'!$K$5:$K$518,6),'Calc (scoring engine)'!$K$5:$K$518,0))="","—",INDEX(Database!$BH$5:$BH$518,MATCH(LARGE('Calc (scoring engine)'!$K$5:$K$518,6),'Calc (scoring engine)'!$K$5:$K$518,0))),""))</f>
        <v/>
      </c>
      <c r="BD26" s="24">
        <f>IF(OR(6&gt;MAX(3,MIN(15,N($D$18))),IFERROR(LARGE('Calc (scoring engine)'!$K$5:$K$518,6),-999999)&lt;=-900000),"",IFERROR(IF(INDEX(Database!$BI$5:$BI$518,MATCH(LARGE('Calc (scoring engine)'!$K$5:$K$518,6),'Calc (scoring engine)'!$K$5:$K$518,0))="","—",INDEX(Database!$BI$5:$BI$518,MATCH(LARGE('Calc (scoring engine)'!$K$5:$K$518,6),'Calc (scoring engine)'!$K$5:$K$518,0))),""))</f>
        <v/>
      </c>
      <c r="BE26" s="24">
        <f>IF(OR(6&gt;MAX(3,MIN(15,N($D$18))),IFERROR(LARGE('Calc (scoring engine)'!$K$5:$K$518,6),-999999)&lt;=-900000),"",IFERROR(IF(INDEX(Database!$BJ$5:$BJ$518,MATCH(LARGE('Calc (scoring engine)'!$K$5:$K$518,6),'Calc (scoring engine)'!$K$5:$K$518,0))="","—",INDEX(Database!$BJ$5:$BJ$518,MATCH(LARGE('Calc (scoring engine)'!$K$5:$K$518,6),'Calc (scoring engine)'!$K$5:$K$518,0))),""))</f>
        <v/>
      </c>
      <c r="BF26" s="24">
        <f>IF(OR(6&gt;MAX(3,MIN(15,N($D$18))),IFERROR(LARGE('Calc (scoring engine)'!$K$5:$K$518,6),-999999)&lt;=-900000),"",IFERROR(IFERROR(BDP(TEXT(INDEX(Database!$A$5:$A$518,MATCH(LARGE('Calc (scoring engine)'!$K$5:$K$518,6),'Calc (scoring engine)'!$K$5:$K$518,0)),"0")&amp;" HK Equity","PE_RATIO"),IF(INDEX(Database!$BH$5:$BH$518,MATCH(LARGE('Calc (scoring engine)'!$K$5:$K$518,6),'Calc (scoring engine)'!$K$5:$K$518,0))="","—",INDEX(Database!$BH$5:$BH$518,MATCH(LARGE('Calc (scoring engine)'!$K$5:$K$518,6),'Calc (scoring engine)'!$K$5:$K$518,0)))),""))</f>
        <v/>
      </c>
      <c r="BG26" s="24">
        <f>IF(OR(6&gt;MAX(3,MIN(15,N($D$18))),IFERROR(LARGE('Calc (scoring engine)'!$K$5:$K$518,6),-999999)&lt;=-900000),"",IFERROR(IFERROR(BDP(TEXT(INDEX(Database!$A$5:$A$518,MATCH(LARGE('Calc (scoring engine)'!$K$5:$K$518,6),'Calc (scoring engine)'!$K$5:$K$518,0)),"0")&amp;" HK Equity","PX_TO_SALES_RATIO"),IF(INDEX(Database!$BI$5:$BI$518,MATCH(LARGE('Calc (scoring engine)'!$K$5:$K$518,6),'Calc (scoring engine)'!$K$5:$K$518,0))="","—",INDEX(Database!$BI$5:$BI$518,MATCH(LARGE('Calc (scoring engine)'!$K$5:$K$518,6),'Calc (scoring engine)'!$K$5:$K$518,0)))),""))</f>
        <v/>
      </c>
      <c r="BH26" s="10">
        <f>IF(OR(6&gt;MAX(3,MIN(15,N($D$18))),IFERROR(LARGE('Calc (scoring engine)'!$K$5:$K$518,6),-999999)&lt;=-900000),"",IFERROR(IF(INDEX(Database!$BK$5:$BK$518,MATCH(LARGE('Calc (scoring engine)'!$K$5:$K$518,6),'Calc (scoring engine)'!$K$5:$K$518,0))="","—",INDEX(Database!$BK$5:$BK$518,MATCH(LARGE('Calc (scoring engine)'!$K$5:$K$518,6),'Calc (scoring engine)'!$K$5:$K$518,0))),""))</f>
        <v/>
      </c>
      <c r="BI26" s="10">
        <f>IF(OR(6&gt;MAX(3,MIN(15,N($D$18))),IFERROR(LARGE('Calc (scoring engine)'!$K$5:$K$518,6),-999999)&lt;=-900000),"",IFERROR(IF(INDEX(Database!$BL$5:$BL$518,MATCH(LARGE('Calc (scoring engine)'!$K$5:$K$518,6),'Calc (scoring engine)'!$K$5:$K$518,0))="","—",INDEX(Database!$BL$5:$BL$518,MATCH(LARGE('Calc (scoring engine)'!$K$5:$K$518,6),'Calc (scoring engine)'!$K$5:$K$518,0))),""))</f>
        <v/>
      </c>
      <c r="BJ26" s="23">
        <f>IF(OR(6&gt;MAX(3,MIN(15,N($D$18))),IFERROR(LARGE('Calc (scoring engine)'!$K$5:$K$518,6),-999999)&lt;=-900000),"",IFERROR(IF(INDEX(Database!$BM$5:$BM$518,MATCH(LARGE('Calc (scoring engine)'!$K$5:$K$518,6),'Calc (scoring engine)'!$K$5:$K$518,0))="","—",INDEX(Database!$BM$5:$BM$518,MATCH(LARGE('Calc (scoring engine)'!$K$5:$K$518,6),'Calc (scoring engine)'!$K$5:$K$518,0))),""))</f>
        <v/>
      </c>
      <c r="BK26" s="40">
        <f>IF(OR(6&gt;MAX(3,MIN(15,N($D$18))),IFERROR(LARGE('Calc (scoring engine)'!$K$5:$K$518,6),-999999)&lt;=-900000),"",IFERROR(IF(INDEX(Database!$BN$5:$BN$518,MATCH(LARGE('Calc (scoring engine)'!$K$5:$K$518,6),'Calc (scoring engine)'!$K$5:$K$518,0))="","—",INDEX(Database!$BN$5:$BN$518,MATCH(LARGE('Calc (scoring engine)'!$K$5:$K$518,6),'Calc (scoring engine)'!$K$5:$K$518,0))),""))</f>
        <v/>
      </c>
      <c r="BL26" s="43">
        <f>IF(OR(6&gt;MAX(3,MIN(15,N($D$18))),IFERROR(LARGE('Calc (scoring engine)'!$K$5:$K$518,6),-999999)&lt;=-900000),"",IFERROR(IF(INDEX(Database!$BO$5:$BO$518,MATCH(LARGE('Calc (scoring engine)'!$K$5:$K$518,6),'Calc (scoring engine)'!$K$5:$K$518,0))="","—",INDEX(Database!$BO$5:$BO$518,MATCH(LARGE('Calc (scoring engine)'!$K$5:$K$518,6),'Calc (scoring engine)'!$K$5:$K$518,0))),""))</f>
        <v/>
      </c>
      <c r="BM26" s="18">
        <f>IF(OR(6&gt;MAX(3,MIN(15,N($D$18))),IFERROR(LARGE('Calc (scoring engine)'!$K$5:$K$518,6),-999999)&lt;=-900000),"",IFERROR(IF(INDEX(Database!$BP$5:$BP$518,MATCH(LARGE('Calc (scoring engine)'!$K$5:$K$518,6),'Calc (scoring engine)'!$K$5:$K$518,0))="","—",INDEX(Database!$BP$5:$BP$518,MATCH(LARGE('Calc (scoring engine)'!$K$5:$K$518,6),'Calc (scoring engine)'!$K$5:$K$518,0))),""))</f>
        <v/>
      </c>
      <c r="BN26" s="24">
        <f>IF(OR(6&gt;MAX(3,MIN(15,N($D$18))),IFERROR(LARGE('Calc (scoring engine)'!$K$5:$K$518,6),-999999)&lt;=-900000),"",IFERROR(IF(INDEX(Database!$BQ$5:$BQ$518,MATCH(LARGE('Calc (scoring engine)'!$K$5:$K$518,6),'Calc (scoring engine)'!$K$5:$K$518,0))="","—",INDEX(Database!$BQ$5:$BQ$518,MATCH(LARGE('Calc (scoring engine)'!$K$5:$K$518,6),'Calc (scoring engine)'!$K$5:$K$518,0))),""))</f>
        <v/>
      </c>
      <c r="BO26" s="24">
        <f>IF(OR(6&gt;MAX(3,MIN(15,N($D$18))),IFERROR(LARGE('Calc (scoring engine)'!$K$5:$K$518,6),-999999)&lt;=-900000),"",IFERROR(IF(INDEX(Database!$BR$5:$BR$518,MATCH(LARGE('Calc (scoring engine)'!$K$5:$K$518,6),'Calc (scoring engine)'!$K$5:$K$518,0))="","—",INDEX(Database!$BR$5:$BR$518,MATCH(LARGE('Calc (scoring engine)'!$K$5:$K$518,6),'Calc (scoring engine)'!$K$5:$K$518,0))),""))</f>
        <v/>
      </c>
      <c r="BP26" s="10">
        <f>IF(OR(6&gt;MAX(3,MIN(15,N($D$18))),IFERROR(LARGE('Calc (scoring engine)'!$K$5:$K$518,6),-999999)&lt;=-900000),"",IFERROR(IF(INDEX(Database!$BS$5:$BS$518,MATCH(LARGE('Calc (scoring engine)'!$K$5:$K$518,6),'Calc (scoring engine)'!$K$5:$K$518,0))="","—",INDEX(Database!$BS$5:$BS$518,MATCH(LARGE('Calc (scoring engine)'!$K$5:$K$518,6),'Calc (scoring engine)'!$K$5:$K$518,0))),""))</f>
        <v/>
      </c>
      <c r="BQ26" s="10">
        <f>IF(OR(6&gt;MAX(3,MIN(15,N($D$18))),IFERROR(LARGE('Calc (scoring engine)'!$K$5:$K$518,6),-999999)&lt;=-900000),"",IFERROR(IF(INDEX(Database!$BU$5:$BU$518,MATCH(LARGE('Calc (scoring engine)'!$K$5:$K$518,6),'Calc (scoring engine)'!$K$5:$K$518,0))="","—",INDEX(Database!$BU$5:$BU$518,MATCH(LARGE('Calc (scoring engine)'!$K$5:$K$518,6),'Calc (scoring engine)'!$K$5:$K$518,0))),""))</f>
        <v/>
      </c>
      <c r="BR26" s="44">
        <f>IF(OR(6&gt;MAX(3,MIN(15,N($D$18))),IFERROR(LARGE('Calc (scoring engine)'!$K$5:$K$518,6),-999999)&lt;=-900000),"",IFERROR(IF(INDEX('Calc (scoring engine)'!$H$5:$H$518,MATCH(LARGE('Calc (scoring engine)'!$K$5:$K$518,6),'Calc (scoring engine)'!$K$5:$K$518,0))&gt;0,INDEX('Calc (scoring engine)'!$H$5:$H$518,MATCH(LARGE('Calc (scoring engine)'!$K$5:$K$518,6),'Calc (scoring engine)'!$K$5:$K$518,0)),""),""))</f>
        <v/>
      </c>
      <c r="BS26" s="10">
        <f>IF(OR(6&gt;MAX(3,MIN(15,N($D$18))),IFERROR(LARGE('Calc (scoring engine)'!$K$5:$K$518,6),-999999)&lt;=-900000),"",IF(IFERROR(INDEX('Calc (scoring engine)'!$B$5:$B$518,MATCH(LARGE('Calc (scoring engine)'!$K$5:$K$518,6),'Calc (scoring engine)'!$K$5:$K$518,0)),0)=1,"same subsector","sector only"))</f>
        <v/>
      </c>
      <c r="BT26" s="44">
        <f>IF(OR(6&gt;MAX(3,MIN(15,N($D$18))),IFERROR(LARGE('Calc (scoring engine)'!$K$5:$K$518,6),-999999)&lt;=-900000),"",ROUND(IFERROR(LARGE('Calc (scoring engine)'!$K$5:$K$518,6),0),0))</f>
        <v/>
      </c>
      <c r="BU26" s="10">
        <f>IF(OR(6&gt;MAX(3,MIN(15,N($D$18))),IFERROR(LARGE('Calc (scoring engine)'!$K$5:$K$518,6),-999999)&lt;=-900000),"",IFERROR("sub "&amp;INDEX('Calc (scoring engine)'!$B$5:$B$518,MATCH(LARGE('Calc (scoring engine)'!$K$5:$K$518,6),'Calc (scoring engine)'!$K$5:$K$518,0))*W_SUB&amp;" + size "&amp;ROUND(INDEX('Calc (scoring engine)'!$D$5:$D$518,MATCH(LARGE('Calc (scoring engine)'!$K$5:$K$518,6),'Calc (scoring engine)'!$K$5:$K$518,0))*W_SIZE,0)&amp;" + prof "&amp;INDEX('Calc (scoring engine)'!$E$5:$E$518,MATCH(LARGE('Calc (scoring engine)'!$K$5:$K$518,6),'Calc (scoring engine)'!$K$5:$K$518,0))*W_PROF&amp;" + recency "&amp;ROUND(INDEX('Calc (scoring engine)'!$G$5:$G$518,MATCH(LARGE('Calc (scoring engine)'!$K$5:$K$518,6),'Calc (scoring engine)'!$K$5:$K$518,0))*W_REC,0)&amp;IF(INDEX('Calc (scoring engine)'!$H$5:$H$518,MATCH(LARGE('Calc (scoring engine)'!$K$5:$K$518,6),'Calc (scoring engine)'!$K$5:$K$518,0))&gt;0," + shared CS x"&amp;INDEX('Calc (scoring engine)'!$H$5:$H$518,MATCH(LARGE('Calc (scoring engine)'!$K$5:$K$518,6),'Calc (scoring engine)'!$K$5:$K$518,0)),""),""))</f>
        <v/>
      </c>
    </row>
    <row r="27">
      <c r="A27" s="38">
        <f>IF(OR(7&gt;MAX(3,MIN(15,N($D$18))),IFERROR(LARGE('Calc (scoring engine)'!$K$5:$K$518,7),-999999)&lt;=-900000),"",7)</f>
        <v/>
      </c>
      <c r="B27" s="10">
        <f>IF(OR(7&gt;MAX(3,MIN(15,N($D$18))),IFERROR(LARGE('Calc (scoring engine)'!$K$5:$K$518,7),-999999)&lt;=-900000),"",IFERROR(IF(INDEX(Database!$B$5:$B$518,MATCH(LARGE('Calc (scoring engine)'!$K$5:$K$518,7),'Calc (scoring engine)'!$K$5:$K$518,0))="","—",INDEX(Database!$B$5:$B$518,MATCH(LARGE('Calc (scoring engine)'!$K$5:$K$518,7),'Calc (scoring engine)'!$K$5:$K$518,0))),""))</f>
        <v/>
      </c>
      <c r="C27" s="39">
        <f>IF(OR(7&gt;MAX(3,MIN(15,N($D$18))),IFERROR(LARGE('Calc (scoring engine)'!$K$5:$K$518,7),-999999)&lt;=-900000),"",IFERROR(IF(INDEX(Database!$A$5:$A$518,MATCH(LARGE('Calc (scoring engine)'!$K$5:$K$518,7),'Calc (scoring engine)'!$K$5:$K$518,0))="","—",INDEX(Database!$A$5:$A$518,MATCH(LARGE('Calc (scoring engine)'!$K$5:$K$518,7),'Calc (scoring engine)'!$K$5:$K$518,0))),""))</f>
        <v/>
      </c>
      <c r="D27" s="10">
        <f>IF(OR(7&gt;MAX(3,MIN(15,N($D$18))),IFERROR(LARGE('Calc (scoring engine)'!$K$5:$K$518,7),-999999)&lt;=-900000),"",IFERROR(IF(INDEX(Database!$D$5:$D$518,MATCH(LARGE('Calc (scoring engine)'!$K$5:$K$518,7),'Calc (scoring engine)'!$K$5:$K$518,0))="","—",INDEX(Database!$D$5:$D$518,MATCH(LARGE('Calc (scoring engine)'!$K$5:$K$518,7),'Calc (scoring engine)'!$K$5:$K$518,0))),""))</f>
        <v/>
      </c>
      <c r="E27" s="10">
        <f>IF(OR(7&gt;MAX(3,MIN(15,N($D$18))),IFERROR(LARGE('Calc (scoring engine)'!$K$5:$K$518,7),-999999)&lt;=-900000),"",IFERROR(IF(INDEX(Database!$E$5:$E$518,MATCH(LARGE('Calc (scoring engine)'!$K$5:$K$518,7),'Calc (scoring engine)'!$K$5:$K$518,0))="","—",INDEX(Database!$E$5:$E$518,MATCH(LARGE('Calc (scoring engine)'!$K$5:$K$518,7),'Calc (scoring engine)'!$K$5:$K$518,0))),""))</f>
        <v/>
      </c>
      <c r="F27" s="10">
        <f>IF(OR(7&gt;MAX(3,MIN(15,N($D$18))),IFERROR(LARGE('Calc (scoring engine)'!$K$5:$K$518,7),-999999)&lt;=-900000),"",IFERROR(IF(INDEX(Database!$F$5:$F$518,MATCH(LARGE('Calc (scoring engine)'!$K$5:$K$518,7),'Calc (scoring engine)'!$K$5:$K$518,0))="","—",INDEX(Database!$F$5:$F$518,MATCH(LARGE('Calc (scoring engine)'!$K$5:$K$518,7),'Calc (scoring engine)'!$K$5:$K$518,0))),""))</f>
        <v/>
      </c>
      <c r="G27" s="10">
        <f>IF(OR(7&gt;MAX(3,MIN(15,N($D$18))),IFERROR(LARGE('Calc (scoring engine)'!$K$5:$K$518,7),-999999)&lt;=-900000),"",IFERROR(IF(INDEX(Database!$G$5:$G$518,MATCH(LARGE('Calc (scoring engine)'!$K$5:$K$518,7),'Calc (scoring engine)'!$K$5:$K$518,0))="","—",INDEX(Database!$G$5:$G$518,MATCH(LARGE('Calc (scoring engine)'!$K$5:$K$518,7),'Calc (scoring engine)'!$K$5:$K$518,0))),""))</f>
        <v/>
      </c>
      <c r="H27" s="21">
        <f>IF(OR(7&gt;MAX(3,MIN(15,N($D$18))),IFERROR(LARGE('Calc (scoring engine)'!$K$5:$K$518,7),-999999)&lt;=-900000),"",IFERROR(IF(INDEX(Database!$H$5:$H$518,MATCH(LARGE('Calc (scoring engine)'!$K$5:$K$518,7),'Calc (scoring engine)'!$K$5:$K$518,0))="","—",INDEX(Database!$H$5:$H$518,MATCH(LARGE('Calc (scoring engine)'!$K$5:$K$518,7),'Calc (scoring engine)'!$K$5:$K$518,0))),""))</f>
        <v/>
      </c>
      <c r="I27" s="18">
        <f>IF(OR(7&gt;MAX(3,MIN(15,N($D$18))),IFERROR(LARGE('Calc (scoring engine)'!$K$5:$K$518,7),-999999)&lt;=-900000),"",IFERROR(IF(INDEX(Database!$I$5:$I$518,MATCH(LARGE('Calc (scoring engine)'!$K$5:$K$518,7),'Calc (scoring engine)'!$K$5:$K$518,0))="","—",INDEX(Database!$I$5:$I$518,MATCH(LARGE('Calc (scoring engine)'!$K$5:$K$518,7),'Calc (scoring engine)'!$K$5:$K$518,0))),""))</f>
        <v/>
      </c>
      <c r="J27" s="40">
        <f>IF(OR(7&gt;MAX(3,MIN(15,N($D$18))),IFERROR(LARGE('Calc (scoring engine)'!$K$5:$K$518,7),-999999)&lt;=-900000),"",IFERROR(IF(INDEX(Database!$K$5:$K$518,MATCH(LARGE('Calc (scoring engine)'!$K$5:$K$518,7),'Calc (scoring engine)'!$K$5:$K$518,0))="","—",INDEX(Database!$K$5:$K$518,MATCH(LARGE('Calc (scoring engine)'!$K$5:$K$518,7),'Calc (scoring engine)'!$K$5:$K$518,0))),""))</f>
        <v/>
      </c>
      <c r="K27" s="40">
        <f>IF(OR(7&gt;MAX(3,MIN(15,N($D$18))),IFERROR(LARGE('Calc (scoring engine)'!$K$5:$K$518,7),-999999)&lt;=-900000),"",IFERROR(IF(INDEX(Database!$L$5:$L$518,MATCH(LARGE('Calc (scoring engine)'!$K$5:$K$518,7),'Calc (scoring engine)'!$K$5:$K$518,0))="","—",INDEX(Database!$L$5:$L$518,MATCH(LARGE('Calc (scoring engine)'!$K$5:$K$518,7),'Calc (scoring engine)'!$K$5:$K$518,0))),""))</f>
        <v/>
      </c>
      <c r="L27" s="40">
        <f>IF(OR(7&gt;MAX(3,MIN(15,N($D$18))),IFERROR(LARGE('Calc (scoring engine)'!$K$5:$K$518,7),-999999)&lt;=-900000),"",IFERROR(IF(INDEX(Database!$M$5:$M$518,MATCH(LARGE('Calc (scoring engine)'!$K$5:$K$518,7),'Calc (scoring engine)'!$K$5:$K$518,0))="","—",INDEX(Database!$M$5:$M$518,MATCH(LARGE('Calc (scoring engine)'!$K$5:$K$518,7),'Calc (scoring engine)'!$K$5:$K$518,0))),""))</f>
        <v/>
      </c>
      <c r="M27" s="10">
        <f>IF(OR(7&gt;MAX(3,MIN(15,N($D$18))),IFERROR(LARGE('Calc (scoring engine)'!$K$5:$K$518,7),-999999)&lt;=-900000),"",IFERROR(IF(INDEX(Database!$N$5:$N$518,MATCH(LARGE('Calc (scoring engine)'!$K$5:$K$518,7),'Calc (scoring engine)'!$K$5:$K$518,0))="","—",INDEX(Database!$N$5:$N$518,MATCH(LARGE('Calc (scoring engine)'!$K$5:$K$518,7),'Calc (scoring engine)'!$K$5:$K$518,0))),""))</f>
        <v/>
      </c>
      <c r="N27" s="28">
        <f>IF(OR(7&gt;MAX(3,MIN(15,N($D$18))),IFERROR(LARGE('Calc (scoring engine)'!$K$5:$K$518,7),-999999)&lt;=-900000),"",IFERROR(IF(INDEX(Database!$O$5:$O$518,MATCH(LARGE('Calc (scoring engine)'!$K$5:$K$518,7),'Calc (scoring engine)'!$K$5:$K$518,0))="","—",INDEX(Database!$O$5:$O$518,MATCH(LARGE('Calc (scoring engine)'!$K$5:$K$518,7),'Calc (scoring engine)'!$K$5:$K$518,0))),""))</f>
        <v/>
      </c>
      <c r="O27" s="28">
        <f>IF(OR(7&gt;MAX(3,MIN(15,N($D$18))),IFERROR(LARGE('Calc (scoring engine)'!$K$5:$K$518,7),-999999)&lt;=-900000),"",IFERROR(IF(INDEX(Database!$P$5:$P$518,MATCH(LARGE('Calc (scoring engine)'!$K$5:$K$518,7),'Calc (scoring engine)'!$K$5:$K$518,0))="","—",INDEX(Database!$P$5:$P$518,MATCH(LARGE('Calc (scoring engine)'!$K$5:$K$518,7),'Calc (scoring engine)'!$K$5:$K$518,0))),""))</f>
        <v/>
      </c>
      <c r="P27" s="18">
        <f>IF(OR(7&gt;MAX(3,MIN(15,N($D$18))),IFERROR(LARGE('Calc (scoring engine)'!$K$5:$K$518,7),-999999)&lt;=-900000),"",IFERROR(IF(INDEX(Database!$Q$5:$Q$518,MATCH(LARGE('Calc (scoring engine)'!$K$5:$K$518,7),'Calc (scoring engine)'!$K$5:$K$518,0))="","—",INDEX(Database!$Q$5:$Q$518,MATCH(LARGE('Calc (scoring engine)'!$K$5:$K$518,7),'Calc (scoring engine)'!$K$5:$K$518,0))),""))</f>
        <v/>
      </c>
      <c r="Q27" s="26">
        <f>IF(OR(7&gt;MAX(3,MIN(15,N($D$18))),IFERROR(LARGE('Calc (scoring engine)'!$K$5:$K$518,7),-999999)&lt;=-900000),"",IFERROR(IF(INDEX(Database!$S$5:$S$518,MATCH(LARGE('Calc (scoring engine)'!$K$5:$K$518,7),'Calc (scoring engine)'!$K$5:$K$518,0))="","—",INDEX(Database!$S$5:$S$518,MATCH(LARGE('Calc (scoring engine)'!$K$5:$K$518,7),'Calc (scoring engine)'!$K$5:$K$518,0))),""))</f>
        <v/>
      </c>
      <c r="R27" s="41">
        <f>IF(OR(7&gt;MAX(3,MIN(15,N($D$18))),IFERROR(LARGE('Calc (scoring engine)'!$K$5:$K$518,7),-999999)&lt;=-900000),"",IFERROR(IF(INDEX(Database!$T$5:$T$518,MATCH(LARGE('Calc (scoring engine)'!$K$5:$K$518,7),'Calc (scoring engine)'!$K$5:$K$518,0))="","—",INDEX(Database!$T$5:$T$518,MATCH(LARGE('Calc (scoring engine)'!$K$5:$K$518,7),'Calc (scoring engine)'!$K$5:$K$518,0))),""))</f>
        <v/>
      </c>
      <c r="S27" s="42">
        <f>IF(OR(7&gt;MAX(3,MIN(15,N($D$18))),IFERROR(LARGE('Calc (scoring engine)'!$K$5:$K$518,7),-999999)&lt;=-900000),"",IFERROR(IF(INDEX(Database!$U$5:$U$518,MATCH(LARGE('Calc (scoring engine)'!$K$5:$K$518,7),'Calc (scoring engine)'!$K$5:$K$518,0))="","—",INDEX(Database!$U$5:$U$518,MATCH(LARGE('Calc (scoring engine)'!$K$5:$K$518,7),'Calc (scoring engine)'!$K$5:$K$518,0))),""))</f>
        <v/>
      </c>
      <c r="T27" s="18">
        <f>IF(OR(7&gt;MAX(3,MIN(15,N($D$18))),IFERROR(LARGE('Calc (scoring engine)'!$K$5:$K$518,7),-999999)&lt;=-900000),"",IFERROR(IF(INDEX(Database!$V$5:$V$518,MATCH(LARGE('Calc (scoring engine)'!$K$5:$K$518,7),'Calc (scoring engine)'!$K$5:$K$518,0))="","—",INDEX(Database!$V$5:$V$518,MATCH(LARGE('Calc (scoring engine)'!$K$5:$K$518,7),'Calc (scoring engine)'!$K$5:$K$518,0))),""))</f>
        <v/>
      </c>
      <c r="U27" s="18">
        <f>IF(OR(7&gt;MAX(3,MIN(15,N($D$18))),IFERROR(LARGE('Calc (scoring engine)'!$K$5:$K$518,7),-999999)&lt;=-900000),"",IFERROR(IF(INDEX(Database!$W$5:$W$518,MATCH(LARGE('Calc (scoring engine)'!$K$5:$K$518,7),'Calc (scoring engine)'!$K$5:$K$518,0))="","—",INDEX(Database!$W$5:$W$518,MATCH(LARGE('Calc (scoring engine)'!$K$5:$K$518,7),'Calc (scoring engine)'!$K$5:$K$518,0))),""))</f>
        <v/>
      </c>
      <c r="V27" s="28">
        <f>IF(OR(7&gt;MAX(3,MIN(15,N($D$18))),IFERROR(LARGE('Calc (scoring engine)'!$K$5:$K$518,7),-999999)&lt;=-900000),"",IFERROR(IF(INDEX(Database!$X$5:$X$518,MATCH(LARGE('Calc (scoring engine)'!$K$5:$K$518,7),'Calc (scoring engine)'!$K$5:$K$518,0))="","—",INDEX(Database!$X$5:$X$518,MATCH(LARGE('Calc (scoring engine)'!$K$5:$K$518,7),'Calc (scoring engine)'!$K$5:$K$518,0))),""))</f>
        <v/>
      </c>
      <c r="W27" s="10">
        <f>IF(OR(7&gt;MAX(3,MIN(15,N($D$18))),IFERROR(LARGE('Calc (scoring engine)'!$K$5:$K$518,7),-999999)&lt;=-900000),"",IFERROR(IF(INDEX(Database!$Y$5:$Y$518,MATCH(LARGE('Calc (scoring engine)'!$K$5:$K$518,7),'Calc (scoring engine)'!$K$5:$K$518,0))="","—",INDEX(Database!$Y$5:$Y$518,MATCH(LARGE('Calc (scoring engine)'!$K$5:$K$518,7),'Calc (scoring engine)'!$K$5:$K$518,0))),""))</f>
        <v/>
      </c>
      <c r="X27" s="28">
        <f>IF(OR(7&gt;MAX(3,MIN(15,N($D$18))),IFERROR(LARGE('Calc (scoring engine)'!$K$5:$K$518,7),-999999)&lt;=-900000),"",IFERROR(IF(INDEX(Database!$AA$5:$AA$518,MATCH(LARGE('Calc (scoring engine)'!$K$5:$K$518,7),'Calc (scoring engine)'!$K$5:$K$518,0))="","—",INDEX(Database!$AA$5:$AA$518,MATCH(LARGE('Calc (scoring engine)'!$K$5:$K$518,7),'Calc (scoring engine)'!$K$5:$K$518,0))),""))</f>
        <v/>
      </c>
      <c r="Y27" s="23">
        <f>IF(OR(7&gt;MAX(3,MIN(15,N($D$18))),IFERROR(LARGE('Calc (scoring engine)'!$K$5:$K$518,7),-999999)&lt;=-900000),"",IFERROR(IF(INDEX(Database!$AB$5:$AB$518,MATCH(LARGE('Calc (scoring engine)'!$K$5:$K$518,7),'Calc (scoring engine)'!$K$5:$K$518,0))="","—",INDEX(Database!$AB$5:$AB$518,MATCH(LARGE('Calc (scoring engine)'!$K$5:$K$518,7),'Calc (scoring engine)'!$K$5:$K$518,0))),""))</f>
        <v/>
      </c>
      <c r="Z27" s="40">
        <f>IF(OR(7&gt;MAX(3,MIN(15,N($D$18))),IFERROR(LARGE('Calc (scoring engine)'!$K$5:$K$518,7),-999999)&lt;=-900000),"",IFERROR(IF(INDEX(Database!$AC$5:$AC$518,MATCH(LARGE('Calc (scoring engine)'!$K$5:$K$518,7),'Calc (scoring engine)'!$K$5:$K$518,0))="","—",INDEX(Database!$AC$5:$AC$518,MATCH(LARGE('Calc (scoring engine)'!$K$5:$K$518,7),'Calc (scoring engine)'!$K$5:$K$518,0))),""))</f>
        <v/>
      </c>
      <c r="AA27" s="23">
        <f>IF(OR(7&gt;MAX(3,MIN(15,N($D$18))),IFERROR(LARGE('Calc (scoring engine)'!$K$5:$K$518,7),-999999)&lt;=-900000),"",IFERROR(IF(INDEX(Database!$AD$5:$AD$518,MATCH(LARGE('Calc (scoring engine)'!$K$5:$K$518,7),'Calc (scoring engine)'!$K$5:$K$518,0))="","—",INDEX(Database!$AD$5:$AD$518,MATCH(LARGE('Calc (scoring engine)'!$K$5:$K$518,7),'Calc (scoring engine)'!$K$5:$K$518,0))),""))</f>
        <v/>
      </c>
      <c r="AB27" s="10">
        <f>IF(OR(7&gt;MAX(3,MIN(15,N($D$18))),IFERROR(LARGE('Calc (scoring engine)'!$K$5:$K$518,7),-999999)&lt;=-900000),"",IFERROR(IF(INDEX(Database!$AE$5:$AE$518,MATCH(LARGE('Calc (scoring engine)'!$K$5:$K$518,7),'Calc (scoring engine)'!$K$5:$K$518,0))="","—",INDEX(Database!$AE$5:$AE$518,MATCH(LARGE('Calc (scoring engine)'!$K$5:$K$518,7),'Calc (scoring engine)'!$K$5:$K$518,0))),""))</f>
        <v/>
      </c>
      <c r="AC27" s="10">
        <f>IF(OR(7&gt;MAX(3,MIN(15,N($D$18))),IFERROR(LARGE('Calc (scoring engine)'!$K$5:$K$518,7),-999999)&lt;=-900000),"",IFERROR(IF(INDEX(Database!$AF$5:$AF$518,MATCH(LARGE('Calc (scoring engine)'!$K$5:$K$518,7),'Calc (scoring engine)'!$K$5:$K$518,0))="","—",INDEX(Database!$AF$5:$AF$518,MATCH(LARGE('Calc (scoring engine)'!$K$5:$K$518,7),'Calc (scoring engine)'!$K$5:$K$518,0))),""))</f>
        <v/>
      </c>
      <c r="AD27" s="10">
        <f>IF(OR(7&gt;MAX(3,MIN(15,N($D$18))),IFERROR(LARGE('Calc (scoring engine)'!$K$5:$K$518,7),-999999)&lt;=-900000),"",IFERROR(IF(INDEX(Database!$AG$5:$AG$518,MATCH(LARGE('Calc (scoring engine)'!$K$5:$K$518,7),'Calc (scoring engine)'!$K$5:$K$518,0))="","—",INDEX(Database!$AG$5:$AG$518,MATCH(LARGE('Calc (scoring engine)'!$K$5:$K$518,7),'Calc (scoring engine)'!$K$5:$K$518,0))),""))</f>
        <v/>
      </c>
      <c r="AE27" s="10">
        <f>IF(OR(7&gt;MAX(3,MIN(15,N($D$18))),IFERROR(LARGE('Calc (scoring engine)'!$K$5:$K$518,7),-999999)&lt;=-900000),"",IFERROR(IF(INDEX(Database!$AH$5:$AH$518,MATCH(LARGE('Calc (scoring engine)'!$K$5:$K$518,7),'Calc (scoring engine)'!$K$5:$K$518,0))="","—",INDEX(Database!$AH$5:$AH$518,MATCH(LARGE('Calc (scoring engine)'!$K$5:$K$518,7),'Calc (scoring engine)'!$K$5:$K$518,0))),""))</f>
        <v/>
      </c>
      <c r="AF27" s="10">
        <f>IF(OR(7&gt;MAX(3,MIN(15,N($D$18))),IFERROR(LARGE('Calc (scoring engine)'!$K$5:$K$518,7),-999999)&lt;=-900000),"",IFERROR(IF(INDEX(Database!$AI$5:$AI$518,MATCH(LARGE('Calc (scoring engine)'!$K$5:$K$518,7),'Calc (scoring engine)'!$K$5:$K$518,0))="","—",INDEX(Database!$AI$5:$AI$518,MATCH(LARGE('Calc (scoring engine)'!$K$5:$K$518,7),'Calc (scoring engine)'!$K$5:$K$518,0))),""))</f>
        <v/>
      </c>
      <c r="AG27" s="10">
        <f>IF(OR(7&gt;MAX(3,MIN(15,N($D$18))),IFERROR(LARGE('Calc (scoring engine)'!$K$5:$K$518,7),-999999)&lt;=-900000),"",IFERROR(IF(INDEX(Database!$AJ$5:$AJ$518,MATCH(LARGE('Calc (scoring engine)'!$K$5:$K$518,7),'Calc (scoring engine)'!$K$5:$K$518,0))="","—",INDEX(Database!$AJ$5:$AJ$518,MATCH(LARGE('Calc (scoring engine)'!$K$5:$K$518,7),'Calc (scoring engine)'!$K$5:$K$518,0))),""))</f>
        <v/>
      </c>
      <c r="AH27" s="23">
        <f>IF(OR(7&gt;MAX(3,MIN(15,N($D$18))),IFERROR(LARGE('Calc (scoring engine)'!$K$5:$K$518,7),-999999)&lt;=-900000),"",IFERROR(IF(INDEX(Database!$AK$5:$AK$518,MATCH(LARGE('Calc (scoring engine)'!$K$5:$K$518,7),'Calc (scoring engine)'!$K$5:$K$518,0))="","—",INDEX(Database!$AK$5:$AK$518,MATCH(LARGE('Calc (scoring engine)'!$K$5:$K$518,7),'Calc (scoring engine)'!$K$5:$K$518,0))),""))</f>
        <v/>
      </c>
      <c r="AI27" s="23">
        <f>IF(OR(7&gt;MAX(3,MIN(15,N($D$18))),IFERROR(LARGE('Calc (scoring engine)'!$K$5:$K$518,7),-999999)&lt;=-900000),"",IFERROR(IF(INDEX(Database!$AL$5:$AL$518,MATCH(LARGE('Calc (scoring engine)'!$K$5:$K$518,7),'Calc (scoring engine)'!$K$5:$K$518,0))="","—",INDEX(Database!$AL$5:$AL$518,MATCH(LARGE('Calc (scoring engine)'!$K$5:$K$518,7),'Calc (scoring engine)'!$K$5:$K$518,0))),""))</f>
        <v/>
      </c>
      <c r="AJ27" s="23">
        <f>IF(OR(7&gt;MAX(3,MIN(15,N($D$18))),IFERROR(LARGE('Calc (scoring engine)'!$K$5:$K$518,7),-999999)&lt;=-900000),"",IFERROR(IF(INDEX(Database!$AM$5:$AM$518,MATCH(LARGE('Calc (scoring engine)'!$K$5:$K$518,7),'Calc (scoring engine)'!$K$5:$K$518,0))="","—",INDEX(Database!$AM$5:$AM$518,MATCH(LARGE('Calc (scoring engine)'!$K$5:$K$518,7),'Calc (scoring engine)'!$K$5:$K$518,0))),""))</f>
        <v/>
      </c>
      <c r="AK27" s="23">
        <f>IF(OR(7&gt;MAX(3,MIN(15,N($D$18))),IFERROR(LARGE('Calc (scoring engine)'!$K$5:$K$518,7),-999999)&lt;=-900000),"",IFERROR(IF(INDEX(Database!$AN$5:$AN$518,MATCH(LARGE('Calc (scoring engine)'!$K$5:$K$518,7),'Calc (scoring engine)'!$K$5:$K$518,0))="","—",INDEX(Database!$AN$5:$AN$518,MATCH(LARGE('Calc (scoring engine)'!$K$5:$K$518,7),'Calc (scoring engine)'!$K$5:$K$518,0))),""))</f>
        <v/>
      </c>
      <c r="AL27" s="23">
        <f>IF(OR(7&gt;MAX(3,MIN(15,N($D$18))),IFERROR(LARGE('Calc (scoring engine)'!$K$5:$K$518,7),-999999)&lt;=-900000),"",IFERROR(IF(INDEX(Database!$AO$5:$AO$518,MATCH(LARGE('Calc (scoring engine)'!$K$5:$K$518,7),'Calc (scoring engine)'!$K$5:$K$518,0))="","—",INDEX(Database!$AO$5:$AO$518,MATCH(LARGE('Calc (scoring engine)'!$K$5:$K$518,7),'Calc (scoring engine)'!$K$5:$K$518,0))),""))</f>
        <v/>
      </c>
      <c r="AM27" s="23">
        <f>IF(OR(7&gt;MAX(3,MIN(15,N($D$18))),IFERROR(LARGE('Calc (scoring engine)'!$K$5:$K$518,7),-999999)&lt;=-900000),"",IFERROR(IF(INDEX(Database!$AP$5:$AP$518,MATCH(LARGE('Calc (scoring engine)'!$K$5:$K$518,7),'Calc (scoring engine)'!$K$5:$K$518,0))="","—",INDEX(Database!$AP$5:$AP$518,MATCH(LARGE('Calc (scoring engine)'!$K$5:$K$518,7),'Calc (scoring engine)'!$K$5:$K$518,0))),""))</f>
        <v/>
      </c>
      <c r="AN27" s="23">
        <f>IF(OR(7&gt;MAX(3,MIN(15,N($D$18))),IFERROR(LARGE('Calc (scoring engine)'!$K$5:$K$518,7),-999999)&lt;=-900000),"",IFERROR(IF(INDEX(Database!$AQ$5:$AQ$518,MATCH(LARGE('Calc (scoring engine)'!$K$5:$K$518,7),'Calc (scoring engine)'!$K$5:$K$518,0))="","—",INDEX(Database!$AQ$5:$AQ$518,MATCH(LARGE('Calc (scoring engine)'!$K$5:$K$518,7),'Calc (scoring engine)'!$K$5:$K$518,0))),""))</f>
        <v/>
      </c>
      <c r="AO27" s="23">
        <f>IF(OR(7&gt;MAX(3,MIN(15,N($D$18))),IFERROR(LARGE('Calc (scoring engine)'!$K$5:$K$518,7),-999999)&lt;=-900000),"",IFERROR(IF(INDEX(Database!$AR$5:$AR$518,MATCH(LARGE('Calc (scoring engine)'!$K$5:$K$518,7),'Calc (scoring engine)'!$K$5:$K$518,0))="","—",INDEX(Database!$AR$5:$AR$518,MATCH(LARGE('Calc (scoring engine)'!$K$5:$K$518,7),'Calc (scoring engine)'!$K$5:$K$518,0))),""))</f>
        <v/>
      </c>
      <c r="AP27" s="23">
        <f>IF(OR(7&gt;MAX(3,MIN(15,N($D$18))),IFERROR(LARGE('Calc (scoring engine)'!$K$5:$K$518,7),-999999)&lt;=-900000),"",IFERROR(IF(INDEX(Database!$AS$5:$AS$518,MATCH(LARGE('Calc (scoring engine)'!$K$5:$K$518,7),'Calc (scoring engine)'!$K$5:$K$518,0))="","—",INDEX(Database!$AS$5:$AS$518,MATCH(LARGE('Calc (scoring engine)'!$K$5:$K$518,7),'Calc (scoring engine)'!$K$5:$K$518,0))),""))</f>
        <v/>
      </c>
      <c r="AQ27" s="23">
        <f>IF(OR(7&gt;MAX(3,MIN(15,N($D$18))),IFERROR(LARGE('Calc (scoring engine)'!$K$5:$K$518,7),-999999)&lt;=-900000),"",IFERROR(IF(INDEX(Database!$AT$5:$AT$518,MATCH(LARGE('Calc (scoring engine)'!$K$5:$K$518,7),'Calc (scoring engine)'!$K$5:$K$518,0))="","—",INDEX(Database!$AT$5:$AT$518,MATCH(LARGE('Calc (scoring engine)'!$K$5:$K$518,7),'Calc (scoring engine)'!$K$5:$K$518,0))),""))</f>
        <v/>
      </c>
      <c r="AR27" s="23">
        <f>IF(OR(7&gt;MAX(3,MIN(15,N($D$18))),IFERROR(LARGE('Calc (scoring engine)'!$K$5:$K$518,7),-999999)&lt;=-900000),"",IFERROR(IF(INDEX(Database!$AU$5:$AU$518,MATCH(LARGE('Calc (scoring engine)'!$K$5:$K$518,7),'Calc (scoring engine)'!$K$5:$K$518,0))="","—",INDEX(Database!$AU$5:$AU$518,MATCH(LARGE('Calc (scoring engine)'!$K$5:$K$518,7),'Calc (scoring engine)'!$K$5:$K$518,0))),""))</f>
        <v/>
      </c>
      <c r="AS27" s="23">
        <f>IF(OR(7&gt;MAX(3,MIN(15,N($D$18))),IFERROR(LARGE('Calc (scoring engine)'!$K$5:$K$518,7),-999999)&lt;=-900000),"",IFERROR(IF(INDEX(Database!$AV$5:$AV$518,MATCH(LARGE('Calc (scoring engine)'!$K$5:$K$518,7),'Calc (scoring engine)'!$K$5:$K$518,0))="","—",INDEX(Database!$AV$5:$AV$518,MATCH(LARGE('Calc (scoring engine)'!$K$5:$K$518,7),'Calc (scoring engine)'!$K$5:$K$518,0))),""))</f>
        <v/>
      </c>
      <c r="AT27" s="23">
        <f>IF(OR(7&gt;MAX(3,MIN(15,N($D$18))),IFERROR(LARGE('Calc (scoring engine)'!$K$5:$K$518,7),-999999)&lt;=-900000),"",IFERROR(IF(INDEX(Database!$AW$5:$AW$518,MATCH(LARGE('Calc (scoring engine)'!$K$5:$K$518,7),'Calc (scoring engine)'!$K$5:$K$518,0))="","—",INDEX(Database!$AW$5:$AW$518,MATCH(LARGE('Calc (scoring engine)'!$K$5:$K$518,7),'Calc (scoring engine)'!$K$5:$K$518,0))),""))</f>
        <v/>
      </c>
      <c r="AU27" s="23">
        <f>IF(OR(7&gt;MAX(3,MIN(15,N($D$18))),IFERROR(LARGE('Calc (scoring engine)'!$K$5:$K$518,7),-999999)&lt;=-900000),"",IFERROR(IF(INDEX(Database!$AX$5:$AX$518,MATCH(LARGE('Calc (scoring engine)'!$K$5:$K$518,7),'Calc (scoring engine)'!$K$5:$K$518,0))="","—",INDEX(Database!$AX$5:$AX$518,MATCH(LARGE('Calc (scoring engine)'!$K$5:$K$518,7),'Calc (scoring engine)'!$K$5:$K$518,0))),""))</f>
        <v/>
      </c>
      <c r="AV27" s="23">
        <f>IF(OR(7&gt;MAX(3,MIN(15,N($D$18))),IFERROR(LARGE('Calc (scoring engine)'!$K$5:$K$518,7),-999999)&lt;=-900000),"",IFERROR(IF(INDEX(Database!$AY$5:$AY$518,MATCH(LARGE('Calc (scoring engine)'!$K$5:$K$518,7),'Calc (scoring engine)'!$K$5:$K$518,0))="","—",INDEX(Database!$AY$5:$AY$518,MATCH(LARGE('Calc (scoring engine)'!$K$5:$K$518,7),'Calc (scoring engine)'!$K$5:$K$518,0))),""))</f>
        <v/>
      </c>
      <c r="AW27" s="23">
        <f>IF(OR(7&gt;MAX(3,MIN(15,N($D$18))),IFERROR(LARGE('Calc (scoring engine)'!$K$5:$K$518,7),-999999)&lt;=-900000),"",IFERROR(IF(INDEX(Database!$BA$5:$BA$518,MATCH(LARGE('Calc (scoring engine)'!$K$5:$K$518,7),'Calc (scoring engine)'!$K$5:$K$518,0))="","—",INDEX(Database!$BA$5:$BA$518,MATCH(LARGE('Calc (scoring engine)'!$K$5:$K$518,7),'Calc (scoring engine)'!$K$5:$K$518,0))),""))</f>
        <v/>
      </c>
      <c r="AX27" s="18">
        <f>IF(OR(7&gt;MAX(3,MIN(15,N($D$18))),IFERROR(LARGE('Calc (scoring engine)'!$K$5:$K$518,7),-999999)&lt;=-900000),"",IFERROR(IF(INDEX(Database!$BC$5:$BC$518,MATCH(LARGE('Calc (scoring engine)'!$K$5:$K$518,7),'Calc (scoring engine)'!$K$5:$K$518,0))="","—",INDEX(Database!$BC$5:$BC$518,MATCH(LARGE('Calc (scoring engine)'!$K$5:$K$518,7),'Calc (scoring engine)'!$K$5:$K$518,0))),""))</f>
        <v/>
      </c>
      <c r="AY27" s="18">
        <f>IF(OR(7&gt;MAX(3,MIN(15,N($D$18))),IFERROR(LARGE('Calc (scoring engine)'!$K$5:$K$518,7),-999999)&lt;=-900000),"",IFERROR(IF(INDEX(Database!$BD$5:$BD$518,MATCH(LARGE('Calc (scoring engine)'!$K$5:$K$518,7),'Calc (scoring engine)'!$K$5:$K$518,0))="","—",INDEX(Database!$BD$5:$BD$518,MATCH(LARGE('Calc (scoring engine)'!$K$5:$K$518,7),'Calc (scoring engine)'!$K$5:$K$518,0))),""))</f>
        <v/>
      </c>
      <c r="AZ27" s="10">
        <f>IF(OR(7&gt;MAX(3,MIN(15,N($D$18))),IFERROR(LARGE('Calc (scoring engine)'!$K$5:$K$518,7),-999999)&lt;=-900000),"",IFERROR(IF(INDEX(Database!$BE$5:$BE$518,MATCH(LARGE('Calc (scoring engine)'!$K$5:$K$518,7),'Calc (scoring engine)'!$K$5:$K$518,0))="","—",INDEX(Database!$BE$5:$BE$518,MATCH(LARGE('Calc (scoring engine)'!$K$5:$K$518,7),'Calc (scoring engine)'!$K$5:$K$518,0))),""))</f>
        <v/>
      </c>
      <c r="BA27" s="24">
        <f>IF(OR(7&gt;MAX(3,MIN(15,N($D$18))),IFERROR(LARGE('Calc (scoring engine)'!$K$5:$K$518,7),-999999)&lt;=-900000),"",IFERROR(IF(N(INDEX(Database!$BF$5:$BF$518,MATCH(LARGE('Calc (scoring engine)'!$K$5:$K$518,7),'Calc (scoring engine)'!$K$5:$K$518,0)))&lt;=0,IF(INDEX(Database!$BE$5:$BE$518,MATCH(LARGE('Calc (scoring engine)'!$K$5:$K$518,7),'Calc (scoring engine)'!$K$5:$K$518,0))="N","n/m","—"),INDEX(Database!$BF$5:$BF$518,MATCH(LARGE('Calc (scoring engine)'!$K$5:$K$518,7),'Calc (scoring engine)'!$K$5:$K$518,0))),""))</f>
        <v/>
      </c>
      <c r="BB27" s="24">
        <f>IF(OR(7&gt;MAX(3,MIN(15,N($D$18))),IFERROR(LARGE('Calc (scoring engine)'!$K$5:$K$518,7),-999999)&lt;=-900000),"",IFERROR(IF(INDEX(Database!$BG$5:$BG$518,MATCH(LARGE('Calc (scoring engine)'!$K$5:$K$518,7),'Calc (scoring engine)'!$K$5:$K$518,0))="","—",INDEX(Database!$BG$5:$BG$518,MATCH(LARGE('Calc (scoring engine)'!$K$5:$K$518,7),'Calc (scoring engine)'!$K$5:$K$518,0))),""))</f>
        <v/>
      </c>
      <c r="BC27" s="24">
        <f>IF(OR(7&gt;MAX(3,MIN(15,N($D$18))),IFERROR(LARGE('Calc (scoring engine)'!$K$5:$K$518,7),-999999)&lt;=-900000),"",IFERROR(IF(INDEX(Database!$BH$5:$BH$518,MATCH(LARGE('Calc (scoring engine)'!$K$5:$K$518,7),'Calc (scoring engine)'!$K$5:$K$518,0))="","—",INDEX(Database!$BH$5:$BH$518,MATCH(LARGE('Calc (scoring engine)'!$K$5:$K$518,7),'Calc (scoring engine)'!$K$5:$K$518,0))),""))</f>
        <v/>
      </c>
      <c r="BD27" s="24">
        <f>IF(OR(7&gt;MAX(3,MIN(15,N($D$18))),IFERROR(LARGE('Calc (scoring engine)'!$K$5:$K$518,7),-999999)&lt;=-900000),"",IFERROR(IF(INDEX(Database!$BI$5:$BI$518,MATCH(LARGE('Calc (scoring engine)'!$K$5:$K$518,7),'Calc (scoring engine)'!$K$5:$K$518,0))="","—",INDEX(Database!$BI$5:$BI$518,MATCH(LARGE('Calc (scoring engine)'!$K$5:$K$518,7),'Calc (scoring engine)'!$K$5:$K$518,0))),""))</f>
        <v/>
      </c>
      <c r="BE27" s="24">
        <f>IF(OR(7&gt;MAX(3,MIN(15,N($D$18))),IFERROR(LARGE('Calc (scoring engine)'!$K$5:$K$518,7),-999999)&lt;=-900000),"",IFERROR(IF(INDEX(Database!$BJ$5:$BJ$518,MATCH(LARGE('Calc (scoring engine)'!$K$5:$K$518,7),'Calc (scoring engine)'!$K$5:$K$518,0))="","—",INDEX(Database!$BJ$5:$BJ$518,MATCH(LARGE('Calc (scoring engine)'!$K$5:$K$518,7),'Calc (scoring engine)'!$K$5:$K$518,0))),""))</f>
        <v/>
      </c>
      <c r="BF27" s="24">
        <f>IF(OR(7&gt;MAX(3,MIN(15,N($D$18))),IFERROR(LARGE('Calc (scoring engine)'!$K$5:$K$518,7),-999999)&lt;=-900000),"",IFERROR(IFERROR(BDP(TEXT(INDEX(Database!$A$5:$A$518,MATCH(LARGE('Calc (scoring engine)'!$K$5:$K$518,7),'Calc (scoring engine)'!$K$5:$K$518,0)),"0")&amp;" HK Equity","PE_RATIO"),IF(INDEX(Database!$BH$5:$BH$518,MATCH(LARGE('Calc (scoring engine)'!$K$5:$K$518,7),'Calc (scoring engine)'!$K$5:$K$518,0))="","—",INDEX(Database!$BH$5:$BH$518,MATCH(LARGE('Calc (scoring engine)'!$K$5:$K$518,7),'Calc (scoring engine)'!$K$5:$K$518,0)))),""))</f>
        <v/>
      </c>
      <c r="BG27" s="24">
        <f>IF(OR(7&gt;MAX(3,MIN(15,N($D$18))),IFERROR(LARGE('Calc (scoring engine)'!$K$5:$K$518,7),-999999)&lt;=-900000),"",IFERROR(IFERROR(BDP(TEXT(INDEX(Database!$A$5:$A$518,MATCH(LARGE('Calc (scoring engine)'!$K$5:$K$518,7),'Calc (scoring engine)'!$K$5:$K$518,0)),"0")&amp;" HK Equity","PX_TO_SALES_RATIO"),IF(INDEX(Database!$BI$5:$BI$518,MATCH(LARGE('Calc (scoring engine)'!$K$5:$K$518,7),'Calc (scoring engine)'!$K$5:$K$518,0))="","—",INDEX(Database!$BI$5:$BI$518,MATCH(LARGE('Calc (scoring engine)'!$K$5:$K$518,7),'Calc (scoring engine)'!$K$5:$K$518,0)))),""))</f>
        <v/>
      </c>
      <c r="BH27" s="10">
        <f>IF(OR(7&gt;MAX(3,MIN(15,N($D$18))),IFERROR(LARGE('Calc (scoring engine)'!$K$5:$K$518,7),-999999)&lt;=-900000),"",IFERROR(IF(INDEX(Database!$BK$5:$BK$518,MATCH(LARGE('Calc (scoring engine)'!$K$5:$K$518,7),'Calc (scoring engine)'!$K$5:$K$518,0))="","—",INDEX(Database!$BK$5:$BK$518,MATCH(LARGE('Calc (scoring engine)'!$K$5:$K$518,7),'Calc (scoring engine)'!$K$5:$K$518,0))),""))</f>
        <v/>
      </c>
      <c r="BI27" s="10">
        <f>IF(OR(7&gt;MAX(3,MIN(15,N($D$18))),IFERROR(LARGE('Calc (scoring engine)'!$K$5:$K$518,7),-999999)&lt;=-900000),"",IFERROR(IF(INDEX(Database!$BL$5:$BL$518,MATCH(LARGE('Calc (scoring engine)'!$K$5:$K$518,7),'Calc (scoring engine)'!$K$5:$K$518,0))="","—",INDEX(Database!$BL$5:$BL$518,MATCH(LARGE('Calc (scoring engine)'!$K$5:$K$518,7),'Calc (scoring engine)'!$K$5:$K$518,0))),""))</f>
        <v/>
      </c>
      <c r="BJ27" s="23">
        <f>IF(OR(7&gt;MAX(3,MIN(15,N($D$18))),IFERROR(LARGE('Calc (scoring engine)'!$K$5:$K$518,7),-999999)&lt;=-900000),"",IFERROR(IF(INDEX(Database!$BM$5:$BM$518,MATCH(LARGE('Calc (scoring engine)'!$K$5:$K$518,7),'Calc (scoring engine)'!$K$5:$K$518,0))="","—",INDEX(Database!$BM$5:$BM$518,MATCH(LARGE('Calc (scoring engine)'!$K$5:$K$518,7),'Calc (scoring engine)'!$K$5:$K$518,0))),""))</f>
        <v/>
      </c>
      <c r="BK27" s="40">
        <f>IF(OR(7&gt;MAX(3,MIN(15,N($D$18))),IFERROR(LARGE('Calc (scoring engine)'!$K$5:$K$518,7),-999999)&lt;=-900000),"",IFERROR(IF(INDEX(Database!$BN$5:$BN$518,MATCH(LARGE('Calc (scoring engine)'!$K$5:$K$518,7),'Calc (scoring engine)'!$K$5:$K$518,0))="","—",INDEX(Database!$BN$5:$BN$518,MATCH(LARGE('Calc (scoring engine)'!$K$5:$K$518,7),'Calc (scoring engine)'!$K$5:$K$518,0))),""))</f>
        <v/>
      </c>
      <c r="BL27" s="43">
        <f>IF(OR(7&gt;MAX(3,MIN(15,N($D$18))),IFERROR(LARGE('Calc (scoring engine)'!$K$5:$K$518,7),-999999)&lt;=-900000),"",IFERROR(IF(INDEX(Database!$BO$5:$BO$518,MATCH(LARGE('Calc (scoring engine)'!$K$5:$K$518,7),'Calc (scoring engine)'!$K$5:$K$518,0))="","—",INDEX(Database!$BO$5:$BO$518,MATCH(LARGE('Calc (scoring engine)'!$K$5:$K$518,7),'Calc (scoring engine)'!$K$5:$K$518,0))),""))</f>
        <v/>
      </c>
      <c r="BM27" s="18">
        <f>IF(OR(7&gt;MAX(3,MIN(15,N($D$18))),IFERROR(LARGE('Calc (scoring engine)'!$K$5:$K$518,7),-999999)&lt;=-900000),"",IFERROR(IF(INDEX(Database!$BP$5:$BP$518,MATCH(LARGE('Calc (scoring engine)'!$K$5:$K$518,7),'Calc (scoring engine)'!$K$5:$K$518,0))="","—",INDEX(Database!$BP$5:$BP$518,MATCH(LARGE('Calc (scoring engine)'!$K$5:$K$518,7),'Calc (scoring engine)'!$K$5:$K$518,0))),""))</f>
        <v/>
      </c>
      <c r="BN27" s="24">
        <f>IF(OR(7&gt;MAX(3,MIN(15,N($D$18))),IFERROR(LARGE('Calc (scoring engine)'!$K$5:$K$518,7),-999999)&lt;=-900000),"",IFERROR(IF(INDEX(Database!$BQ$5:$BQ$518,MATCH(LARGE('Calc (scoring engine)'!$K$5:$K$518,7),'Calc (scoring engine)'!$K$5:$K$518,0))="","—",INDEX(Database!$BQ$5:$BQ$518,MATCH(LARGE('Calc (scoring engine)'!$K$5:$K$518,7),'Calc (scoring engine)'!$K$5:$K$518,0))),""))</f>
        <v/>
      </c>
      <c r="BO27" s="24">
        <f>IF(OR(7&gt;MAX(3,MIN(15,N($D$18))),IFERROR(LARGE('Calc (scoring engine)'!$K$5:$K$518,7),-999999)&lt;=-900000),"",IFERROR(IF(INDEX(Database!$BR$5:$BR$518,MATCH(LARGE('Calc (scoring engine)'!$K$5:$K$518,7),'Calc (scoring engine)'!$K$5:$K$518,0))="","—",INDEX(Database!$BR$5:$BR$518,MATCH(LARGE('Calc (scoring engine)'!$K$5:$K$518,7),'Calc (scoring engine)'!$K$5:$K$518,0))),""))</f>
        <v/>
      </c>
      <c r="BP27" s="10">
        <f>IF(OR(7&gt;MAX(3,MIN(15,N($D$18))),IFERROR(LARGE('Calc (scoring engine)'!$K$5:$K$518,7),-999999)&lt;=-900000),"",IFERROR(IF(INDEX(Database!$BS$5:$BS$518,MATCH(LARGE('Calc (scoring engine)'!$K$5:$K$518,7),'Calc (scoring engine)'!$K$5:$K$518,0))="","—",INDEX(Database!$BS$5:$BS$518,MATCH(LARGE('Calc (scoring engine)'!$K$5:$K$518,7),'Calc (scoring engine)'!$K$5:$K$518,0))),""))</f>
        <v/>
      </c>
      <c r="BQ27" s="10">
        <f>IF(OR(7&gt;MAX(3,MIN(15,N($D$18))),IFERROR(LARGE('Calc (scoring engine)'!$K$5:$K$518,7),-999999)&lt;=-900000),"",IFERROR(IF(INDEX(Database!$BU$5:$BU$518,MATCH(LARGE('Calc (scoring engine)'!$K$5:$K$518,7),'Calc (scoring engine)'!$K$5:$K$518,0))="","—",INDEX(Database!$BU$5:$BU$518,MATCH(LARGE('Calc (scoring engine)'!$K$5:$K$518,7),'Calc (scoring engine)'!$K$5:$K$518,0))),""))</f>
        <v/>
      </c>
      <c r="BR27" s="44">
        <f>IF(OR(7&gt;MAX(3,MIN(15,N($D$18))),IFERROR(LARGE('Calc (scoring engine)'!$K$5:$K$518,7),-999999)&lt;=-900000),"",IFERROR(IF(INDEX('Calc (scoring engine)'!$H$5:$H$518,MATCH(LARGE('Calc (scoring engine)'!$K$5:$K$518,7),'Calc (scoring engine)'!$K$5:$K$518,0))&gt;0,INDEX('Calc (scoring engine)'!$H$5:$H$518,MATCH(LARGE('Calc (scoring engine)'!$K$5:$K$518,7),'Calc (scoring engine)'!$K$5:$K$518,0)),""),""))</f>
        <v/>
      </c>
      <c r="BS27" s="10">
        <f>IF(OR(7&gt;MAX(3,MIN(15,N($D$18))),IFERROR(LARGE('Calc (scoring engine)'!$K$5:$K$518,7),-999999)&lt;=-900000),"",IF(IFERROR(INDEX('Calc (scoring engine)'!$B$5:$B$518,MATCH(LARGE('Calc (scoring engine)'!$K$5:$K$518,7),'Calc (scoring engine)'!$K$5:$K$518,0)),0)=1,"same subsector","sector only"))</f>
        <v/>
      </c>
      <c r="BT27" s="44">
        <f>IF(OR(7&gt;MAX(3,MIN(15,N($D$18))),IFERROR(LARGE('Calc (scoring engine)'!$K$5:$K$518,7),-999999)&lt;=-900000),"",ROUND(IFERROR(LARGE('Calc (scoring engine)'!$K$5:$K$518,7),0),0))</f>
        <v/>
      </c>
      <c r="BU27" s="10">
        <f>IF(OR(7&gt;MAX(3,MIN(15,N($D$18))),IFERROR(LARGE('Calc (scoring engine)'!$K$5:$K$518,7),-999999)&lt;=-900000),"",IFERROR("sub "&amp;INDEX('Calc (scoring engine)'!$B$5:$B$518,MATCH(LARGE('Calc (scoring engine)'!$K$5:$K$518,7),'Calc (scoring engine)'!$K$5:$K$518,0))*W_SUB&amp;" + size "&amp;ROUND(INDEX('Calc (scoring engine)'!$D$5:$D$518,MATCH(LARGE('Calc (scoring engine)'!$K$5:$K$518,7),'Calc (scoring engine)'!$K$5:$K$518,0))*W_SIZE,0)&amp;" + prof "&amp;INDEX('Calc (scoring engine)'!$E$5:$E$518,MATCH(LARGE('Calc (scoring engine)'!$K$5:$K$518,7),'Calc (scoring engine)'!$K$5:$K$518,0))*W_PROF&amp;" + recency "&amp;ROUND(INDEX('Calc (scoring engine)'!$G$5:$G$518,MATCH(LARGE('Calc (scoring engine)'!$K$5:$K$518,7),'Calc (scoring engine)'!$K$5:$K$518,0))*W_REC,0)&amp;IF(INDEX('Calc (scoring engine)'!$H$5:$H$518,MATCH(LARGE('Calc (scoring engine)'!$K$5:$K$518,7),'Calc (scoring engine)'!$K$5:$K$518,0))&gt;0," + shared CS x"&amp;INDEX('Calc (scoring engine)'!$H$5:$H$518,MATCH(LARGE('Calc (scoring engine)'!$K$5:$K$518,7),'Calc (scoring engine)'!$K$5:$K$518,0)),""),""))</f>
        <v/>
      </c>
    </row>
    <row r="28">
      <c r="A28" s="38">
        <f>IF(OR(8&gt;MAX(3,MIN(15,N($D$18))),IFERROR(LARGE('Calc (scoring engine)'!$K$5:$K$518,8),-999999)&lt;=-900000),"",8)</f>
        <v/>
      </c>
      <c r="B28" s="10">
        <f>IF(OR(8&gt;MAX(3,MIN(15,N($D$18))),IFERROR(LARGE('Calc (scoring engine)'!$K$5:$K$518,8),-999999)&lt;=-900000),"",IFERROR(IF(INDEX(Database!$B$5:$B$518,MATCH(LARGE('Calc (scoring engine)'!$K$5:$K$518,8),'Calc (scoring engine)'!$K$5:$K$518,0))="","—",INDEX(Database!$B$5:$B$518,MATCH(LARGE('Calc (scoring engine)'!$K$5:$K$518,8),'Calc (scoring engine)'!$K$5:$K$518,0))),""))</f>
        <v/>
      </c>
      <c r="C28" s="39">
        <f>IF(OR(8&gt;MAX(3,MIN(15,N($D$18))),IFERROR(LARGE('Calc (scoring engine)'!$K$5:$K$518,8),-999999)&lt;=-900000),"",IFERROR(IF(INDEX(Database!$A$5:$A$518,MATCH(LARGE('Calc (scoring engine)'!$K$5:$K$518,8),'Calc (scoring engine)'!$K$5:$K$518,0))="","—",INDEX(Database!$A$5:$A$518,MATCH(LARGE('Calc (scoring engine)'!$K$5:$K$518,8),'Calc (scoring engine)'!$K$5:$K$518,0))),""))</f>
        <v/>
      </c>
      <c r="D28" s="10">
        <f>IF(OR(8&gt;MAX(3,MIN(15,N($D$18))),IFERROR(LARGE('Calc (scoring engine)'!$K$5:$K$518,8),-999999)&lt;=-900000),"",IFERROR(IF(INDEX(Database!$D$5:$D$518,MATCH(LARGE('Calc (scoring engine)'!$K$5:$K$518,8),'Calc (scoring engine)'!$K$5:$K$518,0))="","—",INDEX(Database!$D$5:$D$518,MATCH(LARGE('Calc (scoring engine)'!$K$5:$K$518,8),'Calc (scoring engine)'!$K$5:$K$518,0))),""))</f>
        <v/>
      </c>
      <c r="E28" s="10">
        <f>IF(OR(8&gt;MAX(3,MIN(15,N($D$18))),IFERROR(LARGE('Calc (scoring engine)'!$K$5:$K$518,8),-999999)&lt;=-900000),"",IFERROR(IF(INDEX(Database!$E$5:$E$518,MATCH(LARGE('Calc (scoring engine)'!$K$5:$K$518,8),'Calc (scoring engine)'!$K$5:$K$518,0))="","—",INDEX(Database!$E$5:$E$518,MATCH(LARGE('Calc (scoring engine)'!$K$5:$K$518,8),'Calc (scoring engine)'!$K$5:$K$518,0))),""))</f>
        <v/>
      </c>
      <c r="F28" s="10">
        <f>IF(OR(8&gt;MAX(3,MIN(15,N($D$18))),IFERROR(LARGE('Calc (scoring engine)'!$K$5:$K$518,8),-999999)&lt;=-900000),"",IFERROR(IF(INDEX(Database!$F$5:$F$518,MATCH(LARGE('Calc (scoring engine)'!$K$5:$K$518,8),'Calc (scoring engine)'!$K$5:$K$518,0))="","—",INDEX(Database!$F$5:$F$518,MATCH(LARGE('Calc (scoring engine)'!$K$5:$K$518,8),'Calc (scoring engine)'!$K$5:$K$518,0))),""))</f>
        <v/>
      </c>
      <c r="G28" s="10">
        <f>IF(OR(8&gt;MAX(3,MIN(15,N($D$18))),IFERROR(LARGE('Calc (scoring engine)'!$K$5:$K$518,8),-999999)&lt;=-900000),"",IFERROR(IF(INDEX(Database!$G$5:$G$518,MATCH(LARGE('Calc (scoring engine)'!$K$5:$K$518,8),'Calc (scoring engine)'!$K$5:$K$518,0))="","—",INDEX(Database!$G$5:$G$518,MATCH(LARGE('Calc (scoring engine)'!$K$5:$K$518,8),'Calc (scoring engine)'!$K$5:$K$518,0))),""))</f>
        <v/>
      </c>
      <c r="H28" s="21">
        <f>IF(OR(8&gt;MAX(3,MIN(15,N($D$18))),IFERROR(LARGE('Calc (scoring engine)'!$K$5:$K$518,8),-999999)&lt;=-900000),"",IFERROR(IF(INDEX(Database!$H$5:$H$518,MATCH(LARGE('Calc (scoring engine)'!$K$5:$K$518,8),'Calc (scoring engine)'!$K$5:$K$518,0))="","—",INDEX(Database!$H$5:$H$518,MATCH(LARGE('Calc (scoring engine)'!$K$5:$K$518,8),'Calc (scoring engine)'!$K$5:$K$518,0))),""))</f>
        <v/>
      </c>
      <c r="I28" s="18">
        <f>IF(OR(8&gt;MAX(3,MIN(15,N($D$18))),IFERROR(LARGE('Calc (scoring engine)'!$K$5:$K$518,8),-999999)&lt;=-900000),"",IFERROR(IF(INDEX(Database!$I$5:$I$518,MATCH(LARGE('Calc (scoring engine)'!$K$5:$K$518,8),'Calc (scoring engine)'!$K$5:$K$518,0))="","—",INDEX(Database!$I$5:$I$518,MATCH(LARGE('Calc (scoring engine)'!$K$5:$K$518,8),'Calc (scoring engine)'!$K$5:$K$518,0))),""))</f>
        <v/>
      </c>
      <c r="J28" s="40">
        <f>IF(OR(8&gt;MAX(3,MIN(15,N($D$18))),IFERROR(LARGE('Calc (scoring engine)'!$K$5:$K$518,8),-999999)&lt;=-900000),"",IFERROR(IF(INDEX(Database!$K$5:$K$518,MATCH(LARGE('Calc (scoring engine)'!$K$5:$K$518,8),'Calc (scoring engine)'!$K$5:$K$518,0))="","—",INDEX(Database!$K$5:$K$518,MATCH(LARGE('Calc (scoring engine)'!$K$5:$K$518,8),'Calc (scoring engine)'!$K$5:$K$518,0))),""))</f>
        <v/>
      </c>
      <c r="K28" s="40">
        <f>IF(OR(8&gt;MAX(3,MIN(15,N($D$18))),IFERROR(LARGE('Calc (scoring engine)'!$K$5:$K$518,8),-999999)&lt;=-900000),"",IFERROR(IF(INDEX(Database!$L$5:$L$518,MATCH(LARGE('Calc (scoring engine)'!$K$5:$K$518,8),'Calc (scoring engine)'!$K$5:$K$518,0))="","—",INDEX(Database!$L$5:$L$518,MATCH(LARGE('Calc (scoring engine)'!$K$5:$K$518,8),'Calc (scoring engine)'!$K$5:$K$518,0))),""))</f>
        <v/>
      </c>
      <c r="L28" s="40">
        <f>IF(OR(8&gt;MAX(3,MIN(15,N($D$18))),IFERROR(LARGE('Calc (scoring engine)'!$K$5:$K$518,8),-999999)&lt;=-900000),"",IFERROR(IF(INDEX(Database!$M$5:$M$518,MATCH(LARGE('Calc (scoring engine)'!$K$5:$K$518,8),'Calc (scoring engine)'!$K$5:$K$518,0))="","—",INDEX(Database!$M$5:$M$518,MATCH(LARGE('Calc (scoring engine)'!$K$5:$K$518,8),'Calc (scoring engine)'!$K$5:$K$518,0))),""))</f>
        <v/>
      </c>
      <c r="M28" s="10">
        <f>IF(OR(8&gt;MAX(3,MIN(15,N($D$18))),IFERROR(LARGE('Calc (scoring engine)'!$K$5:$K$518,8),-999999)&lt;=-900000),"",IFERROR(IF(INDEX(Database!$N$5:$N$518,MATCH(LARGE('Calc (scoring engine)'!$K$5:$K$518,8),'Calc (scoring engine)'!$K$5:$K$518,0))="","—",INDEX(Database!$N$5:$N$518,MATCH(LARGE('Calc (scoring engine)'!$K$5:$K$518,8),'Calc (scoring engine)'!$K$5:$K$518,0))),""))</f>
        <v/>
      </c>
      <c r="N28" s="28">
        <f>IF(OR(8&gt;MAX(3,MIN(15,N($D$18))),IFERROR(LARGE('Calc (scoring engine)'!$K$5:$K$518,8),-999999)&lt;=-900000),"",IFERROR(IF(INDEX(Database!$O$5:$O$518,MATCH(LARGE('Calc (scoring engine)'!$K$5:$K$518,8),'Calc (scoring engine)'!$K$5:$K$518,0))="","—",INDEX(Database!$O$5:$O$518,MATCH(LARGE('Calc (scoring engine)'!$K$5:$K$518,8),'Calc (scoring engine)'!$K$5:$K$518,0))),""))</f>
        <v/>
      </c>
      <c r="O28" s="28">
        <f>IF(OR(8&gt;MAX(3,MIN(15,N($D$18))),IFERROR(LARGE('Calc (scoring engine)'!$K$5:$K$518,8),-999999)&lt;=-900000),"",IFERROR(IF(INDEX(Database!$P$5:$P$518,MATCH(LARGE('Calc (scoring engine)'!$K$5:$K$518,8),'Calc (scoring engine)'!$K$5:$K$518,0))="","—",INDEX(Database!$P$5:$P$518,MATCH(LARGE('Calc (scoring engine)'!$K$5:$K$518,8),'Calc (scoring engine)'!$K$5:$K$518,0))),""))</f>
        <v/>
      </c>
      <c r="P28" s="18">
        <f>IF(OR(8&gt;MAX(3,MIN(15,N($D$18))),IFERROR(LARGE('Calc (scoring engine)'!$K$5:$K$518,8),-999999)&lt;=-900000),"",IFERROR(IF(INDEX(Database!$Q$5:$Q$518,MATCH(LARGE('Calc (scoring engine)'!$K$5:$K$518,8),'Calc (scoring engine)'!$K$5:$K$518,0))="","—",INDEX(Database!$Q$5:$Q$518,MATCH(LARGE('Calc (scoring engine)'!$K$5:$K$518,8),'Calc (scoring engine)'!$K$5:$K$518,0))),""))</f>
        <v/>
      </c>
      <c r="Q28" s="26">
        <f>IF(OR(8&gt;MAX(3,MIN(15,N($D$18))),IFERROR(LARGE('Calc (scoring engine)'!$K$5:$K$518,8),-999999)&lt;=-900000),"",IFERROR(IF(INDEX(Database!$S$5:$S$518,MATCH(LARGE('Calc (scoring engine)'!$K$5:$K$518,8),'Calc (scoring engine)'!$K$5:$K$518,0))="","—",INDEX(Database!$S$5:$S$518,MATCH(LARGE('Calc (scoring engine)'!$K$5:$K$518,8),'Calc (scoring engine)'!$K$5:$K$518,0))),""))</f>
        <v/>
      </c>
      <c r="R28" s="41">
        <f>IF(OR(8&gt;MAX(3,MIN(15,N($D$18))),IFERROR(LARGE('Calc (scoring engine)'!$K$5:$K$518,8),-999999)&lt;=-900000),"",IFERROR(IF(INDEX(Database!$T$5:$T$518,MATCH(LARGE('Calc (scoring engine)'!$K$5:$K$518,8),'Calc (scoring engine)'!$K$5:$K$518,0))="","—",INDEX(Database!$T$5:$T$518,MATCH(LARGE('Calc (scoring engine)'!$K$5:$K$518,8),'Calc (scoring engine)'!$K$5:$K$518,0))),""))</f>
        <v/>
      </c>
      <c r="S28" s="42">
        <f>IF(OR(8&gt;MAX(3,MIN(15,N($D$18))),IFERROR(LARGE('Calc (scoring engine)'!$K$5:$K$518,8),-999999)&lt;=-900000),"",IFERROR(IF(INDEX(Database!$U$5:$U$518,MATCH(LARGE('Calc (scoring engine)'!$K$5:$K$518,8),'Calc (scoring engine)'!$K$5:$K$518,0))="","—",INDEX(Database!$U$5:$U$518,MATCH(LARGE('Calc (scoring engine)'!$K$5:$K$518,8),'Calc (scoring engine)'!$K$5:$K$518,0))),""))</f>
        <v/>
      </c>
      <c r="T28" s="18">
        <f>IF(OR(8&gt;MAX(3,MIN(15,N($D$18))),IFERROR(LARGE('Calc (scoring engine)'!$K$5:$K$518,8),-999999)&lt;=-900000),"",IFERROR(IF(INDEX(Database!$V$5:$V$518,MATCH(LARGE('Calc (scoring engine)'!$K$5:$K$518,8),'Calc (scoring engine)'!$K$5:$K$518,0))="","—",INDEX(Database!$V$5:$V$518,MATCH(LARGE('Calc (scoring engine)'!$K$5:$K$518,8),'Calc (scoring engine)'!$K$5:$K$518,0))),""))</f>
        <v/>
      </c>
      <c r="U28" s="18">
        <f>IF(OR(8&gt;MAX(3,MIN(15,N($D$18))),IFERROR(LARGE('Calc (scoring engine)'!$K$5:$K$518,8),-999999)&lt;=-900000),"",IFERROR(IF(INDEX(Database!$W$5:$W$518,MATCH(LARGE('Calc (scoring engine)'!$K$5:$K$518,8),'Calc (scoring engine)'!$K$5:$K$518,0))="","—",INDEX(Database!$W$5:$W$518,MATCH(LARGE('Calc (scoring engine)'!$K$5:$K$518,8),'Calc (scoring engine)'!$K$5:$K$518,0))),""))</f>
        <v/>
      </c>
      <c r="V28" s="28">
        <f>IF(OR(8&gt;MAX(3,MIN(15,N($D$18))),IFERROR(LARGE('Calc (scoring engine)'!$K$5:$K$518,8),-999999)&lt;=-900000),"",IFERROR(IF(INDEX(Database!$X$5:$X$518,MATCH(LARGE('Calc (scoring engine)'!$K$5:$K$518,8),'Calc (scoring engine)'!$K$5:$K$518,0))="","—",INDEX(Database!$X$5:$X$518,MATCH(LARGE('Calc (scoring engine)'!$K$5:$K$518,8),'Calc (scoring engine)'!$K$5:$K$518,0))),""))</f>
        <v/>
      </c>
      <c r="W28" s="10">
        <f>IF(OR(8&gt;MAX(3,MIN(15,N($D$18))),IFERROR(LARGE('Calc (scoring engine)'!$K$5:$K$518,8),-999999)&lt;=-900000),"",IFERROR(IF(INDEX(Database!$Y$5:$Y$518,MATCH(LARGE('Calc (scoring engine)'!$K$5:$K$518,8),'Calc (scoring engine)'!$K$5:$K$518,0))="","—",INDEX(Database!$Y$5:$Y$518,MATCH(LARGE('Calc (scoring engine)'!$K$5:$K$518,8),'Calc (scoring engine)'!$K$5:$K$518,0))),""))</f>
        <v/>
      </c>
      <c r="X28" s="28">
        <f>IF(OR(8&gt;MAX(3,MIN(15,N($D$18))),IFERROR(LARGE('Calc (scoring engine)'!$K$5:$K$518,8),-999999)&lt;=-900000),"",IFERROR(IF(INDEX(Database!$AA$5:$AA$518,MATCH(LARGE('Calc (scoring engine)'!$K$5:$K$518,8),'Calc (scoring engine)'!$K$5:$K$518,0))="","—",INDEX(Database!$AA$5:$AA$518,MATCH(LARGE('Calc (scoring engine)'!$K$5:$K$518,8),'Calc (scoring engine)'!$K$5:$K$518,0))),""))</f>
        <v/>
      </c>
      <c r="Y28" s="23">
        <f>IF(OR(8&gt;MAX(3,MIN(15,N($D$18))),IFERROR(LARGE('Calc (scoring engine)'!$K$5:$K$518,8),-999999)&lt;=-900000),"",IFERROR(IF(INDEX(Database!$AB$5:$AB$518,MATCH(LARGE('Calc (scoring engine)'!$K$5:$K$518,8),'Calc (scoring engine)'!$K$5:$K$518,0))="","—",INDEX(Database!$AB$5:$AB$518,MATCH(LARGE('Calc (scoring engine)'!$K$5:$K$518,8),'Calc (scoring engine)'!$K$5:$K$518,0))),""))</f>
        <v/>
      </c>
      <c r="Z28" s="40">
        <f>IF(OR(8&gt;MAX(3,MIN(15,N($D$18))),IFERROR(LARGE('Calc (scoring engine)'!$K$5:$K$518,8),-999999)&lt;=-900000),"",IFERROR(IF(INDEX(Database!$AC$5:$AC$518,MATCH(LARGE('Calc (scoring engine)'!$K$5:$K$518,8),'Calc (scoring engine)'!$K$5:$K$518,0))="","—",INDEX(Database!$AC$5:$AC$518,MATCH(LARGE('Calc (scoring engine)'!$K$5:$K$518,8),'Calc (scoring engine)'!$K$5:$K$518,0))),""))</f>
        <v/>
      </c>
      <c r="AA28" s="23">
        <f>IF(OR(8&gt;MAX(3,MIN(15,N($D$18))),IFERROR(LARGE('Calc (scoring engine)'!$K$5:$K$518,8),-999999)&lt;=-900000),"",IFERROR(IF(INDEX(Database!$AD$5:$AD$518,MATCH(LARGE('Calc (scoring engine)'!$K$5:$K$518,8),'Calc (scoring engine)'!$K$5:$K$518,0))="","—",INDEX(Database!$AD$5:$AD$518,MATCH(LARGE('Calc (scoring engine)'!$K$5:$K$518,8),'Calc (scoring engine)'!$K$5:$K$518,0))),""))</f>
        <v/>
      </c>
      <c r="AB28" s="10">
        <f>IF(OR(8&gt;MAX(3,MIN(15,N($D$18))),IFERROR(LARGE('Calc (scoring engine)'!$K$5:$K$518,8),-999999)&lt;=-900000),"",IFERROR(IF(INDEX(Database!$AE$5:$AE$518,MATCH(LARGE('Calc (scoring engine)'!$K$5:$K$518,8),'Calc (scoring engine)'!$K$5:$K$518,0))="","—",INDEX(Database!$AE$5:$AE$518,MATCH(LARGE('Calc (scoring engine)'!$K$5:$K$518,8),'Calc (scoring engine)'!$K$5:$K$518,0))),""))</f>
        <v/>
      </c>
      <c r="AC28" s="10">
        <f>IF(OR(8&gt;MAX(3,MIN(15,N($D$18))),IFERROR(LARGE('Calc (scoring engine)'!$K$5:$K$518,8),-999999)&lt;=-900000),"",IFERROR(IF(INDEX(Database!$AF$5:$AF$518,MATCH(LARGE('Calc (scoring engine)'!$K$5:$K$518,8),'Calc (scoring engine)'!$K$5:$K$518,0))="","—",INDEX(Database!$AF$5:$AF$518,MATCH(LARGE('Calc (scoring engine)'!$K$5:$K$518,8),'Calc (scoring engine)'!$K$5:$K$518,0))),""))</f>
        <v/>
      </c>
      <c r="AD28" s="10">
        <f>IF(OR(8&gt;MAX(3,MIN(15,N($D$18))),IFERROR(LARGE('Calc (scoring engine)'!$K$5:$K$518,8),-999999)&lt;=-900000),"",IFERROR(IF(INDEX(Database!$AG$5:$AG$518,MATCH(LARGE('Calc (scoring engine)'!$K$5:$K$518,8),'Calc (scoring engine)'!$K$5:$K$518,0))="","—",INDEX(Database!$AG$5:$AG$518,MATCH(LARGE('Calc (scoring engine)'!$K$5:$K$518,8),'Calc (scoring engine)'!$K$5:$K$518,0))),""))</f>
        <v/>
      </c>
      <c r="AE28" s="10">
        <f>IF(OR(8&gt;MAX(3,MIN(15,N($D$18))),IFERROR(LARGE('Calc (scoring engine)'!$K$5:$K$518,8),-999999)&lt;=-900000),"",IFERROR(IF(INDEX(Database!$AH$5:$AH$518,MATCH(LARGE('Calc (scoring engine)'!$K$5:$K$518,8),'Calc (scoring engine)'!$K$5:$K$518,0))="","—",INDEX(Database!$AH$5:$AH$518,MATCH(LARGE('Calc (scoring engine)'!$K$5:$K$518,8),'Calc (scoring engine)'!$K$5:$K$518,0))),""))</f>
        <v/>
      </c>
      <c r="AF28" s="10">
        <f>IF(OR(8&gt;MAX(3,MIN(15,N($D$18))),IFERROR(LARGE('Calc (scoring engine)'!$K$5:$K$518,8),-999999)&lt;=-900000),"",IFERROR(IF(INDEX(Database!$AI$5:$AI$518,MATCH(LARGE('Calc (scoring engine)'!$K$5:$K$518,8),'Calc (scoring engine)'!$K$5:$K$518,0))="","—",INDEX(Database!$AI$5:$AI$518,MATCH(LARGE('Calc (scoring engine)'!$K$5:$K$518,8),'Calc (scoring engine)'!$K$5:$K$518,0))),""))</f>
        <v/>
      </c>
      <c r="AG28" s="10">
        <f>IF(OR(8&gt;MAX(3,MIN(15,N($D$18))),IFERROR(LARGE('Calc (scoring engine)'!$K$5:$K$518,8),-999999)&lt;=-900000),"",IFERROR(IF(INDEX(Database!$AJ$5:$AJ$518,MATCH(LARGE('Calc (scoring engine)'!$K$5:$K$518,8),'Calc (scoring engine)'!$K$5:$K$518,0))="","—",INDEX(Database!$AJ$5:$AJ$518,MATCH(LARGE('Calc (scoring engine)'!$K$5:$K$518,8),'Calc (scoring engine)'!$K$5:$K$518,0))),""))</f>
        <v/>
      </c>
      <c r="AH28" s="23">
        <f>IF(OR(8&gt;MAX(3,MIN(15,N($D$18))),IFERROR(LARGE('Calc (scoring engine)'!$K$5:$K$518,8),-999999)&lt;=-900000),"",IFERROR(IF(INDEX(Database!$AK$5:$AK$518,MATCH(LARGE('Calc (scoring engine)'!$K$5:$K$518,8),'Calc (scoring engine)'!$K$5:$K$518,0))="","—",INDEX(Database!$AK$5:$AK$518,MATCH(LARGE('Calc (scoring engine)'!$K$5:$K$518,8),'Calc (scoring engine)'!$K$5:$K$518,0))),""))</f>
        <v/>
      </c>
      <c r="AI28" s="23">
        <f>IF(OR(8&gt;MAX(3,MIN(15,N($D$18))),IFERROR(LARGE('Calc (scoring engine)'!$K$5:$K$518,8),-999999)&lt;=-900000),"",IFERROR(IF(INDEX(Database!$AL$5:$AL$518,MATCH(LARGE('Calc (scoring engine)'!$K$5:$K$518,8),'Calc (scoring engine)'!$K$5:$K$518,0))="","—",INDEX(Database!$AL$5:$AL$518,MATCH(LARGE('Calc (scoring engine)'!$K$5:$K$518,8),'Calc (scoring engine)'!$K$5:$K$518,0))),""))</f>
        <v/>
      </c>
      <c r="AJ28" s="23">
        <f>IF(OR(8&gt;MAX(3,MIN(15,N($D$18))),IFERROR(LARGE('Calc (scoring engine)'!$K$5:$K$518,8),-999999)&lt;=-900000),"",IFERROR(IF(INDEX(Database!$AM$5:$AM$518,MATCH(LARGE('Calc (scoring engine)'!$K$5:$K$518,8),'Calc (scoring engine)'!$K$5:$K$518,0))="","—",INDEX(Database!$AM$5:$AM$518,MATCH(LARGE('Calc (scoring engine)'!$K$5:$K$518,8),'Calc (scoring engine)'!$K$5:$K$518,0))),""))</f>
        <v/>
      </c>
      <c r="AK28" s="23">
        <f>IF(OR(8&gt;MAX(3,MIN(15,N($D$18))),IFERROR(LARGE('Calc (scoring engine)'!$K$5:$K$518,8),-999999)&lt;=-900000),"",IFERROR(IF(INDEX(Database!$AN$5:$AN$518,MATCH(LARGE('Calc (scoring engine)'!$K$5:$K$518,8),'Calc (scoring engine)'!$K$5:$K$518,0))="","—",INDEX(Database!$AN$5:$AN$518,MATCH(LARGE('Calc (scoring engine)'!$K$5:$K$518,8),'Calc (scoring engine)'!$K$5:$K$518,0))),""))</f>
        <v/>
      </c>
      <c r="AL28" s="23">
        <f>IF(OR(8&gt;MAX(3,MIN(15,N($D$18))),IFERROR(LARGE('Calc (scoring engine)'!$K$5:$K$518,8),-999999)&lt;=-900000),"",IFERROR(IF(INDEX(Database!$AO$5:$AO$518,MATCH(LARGE('Calc (scoring engine)'!$K$5:$K$518,8),'Calc (scoring engine)'!$K$5:$K$518,0))="","—",INDEX(Database!$AO$5:$AO$518,MATCH(LARGE('Calc (scoring engine)'!$K$5:$K$518,8),'Calc (scoring engine)'!$K$5:$K$518,0))),""))</f>
        <v/>
      </c>
      <c r="AM28" s="23">
        <f>IF(OR(8&gt;MAX(3,MIN(15,N($D$18))),IFERROR(LARGE('Calc (scoring engine)'!$K$5:$K$518,8),-999999)&lt;=-900000),"",IFERROR(IF(INDEX(Database!$AP$5:$AP$518,MATCH(LARGE('Calc (scoring engine)'!$K$5:$K$518,8),'Calc (scoring engine)'!$K$5:$K$518,0))="","—",INDEX(Database!$AP$5:$AP$518,MATCH(LARGE('Calc (scoring engine)'!$K$5:$K$518,8),'Calc (scoring engine)'!$K$5:$K$518,0))),""))</f>
        <v/>
      </c>
      <c r="AN28" s="23">
        <f>IF(OR(8&gt;MAX(3,MIN(15,N($D$18))),IFERROR(LARGE('Calc (scoring engine)'!$K$5:$K$518,8),-999999)&lt;=-900000),"",IFERROR(IF(INDEX(Database!$AQ$5:$AQ$518,MATCH(LARGE('Calc (scoring engine)'!$K$5:$K$518,8),'Calc (scoring engine)'!$K$5:$K$518,0))="","—",INDEX(Database!$AQ$5:$AQ$518,MATCH(LARGE('Calc (scoring engine)'!$K$5:$K$518,8),'Calc (scoring engine)'!$K$5:$K$518,0))),""))</f>
        <v/>
      </c>
      <c r="AO28" s="23">
        <f>IF(OR(8&gt;MAX(3,MIN(15,N($D$18))),IFERROR(LARGE('Calc (scoring engine)'!$K$5:$K$518,8),-999999)&lt;=-900000),"",IFERROR(IF(INDEX(Database!$AR$5:$AR$518,MATCH(LARGE('Calc (scoring engine)'!$K$5:$K$518,8),'Calc (scoring engine)'!$K$5:$K$518,0))="","—",INDEX(Database!$AR$5:$AR$518,MATCH(LARGE('Calc (scoring engine)'!$K$5:$K$518,8),'Calc (scoring engine)'!$K$5:$K$518,0))),""))</f>
        <v/>
      </c>
      <c r="AP28" s="23">
        <f>IF(OR(8&gt;MAX(3,MIN(15,N($D$18))),IFERROR(LARGE('Calc (scoring engine)'!$K$5:$K$518,8),-999999)&lt;=-900000),"",IFERROR(IF(INDEX(Database!$AS$5:$AS$518,MATCH(LARGE('Calc (scoring engine)'!$K$5:$K$518,8),'Calc (scoring engine)'!$K$5:$K$518,0))="","—",INDEX(Database!$AS$5:$AS$518,MATCH(LARGE('Calc (scoring engine)'!$K$5:$K$518,8),'Calc (scoring engine)'!$K$5:$K$518,0))),""))</f>
        <v/>
      </c>
      <c r="AQ28" s="23">
        <f>IF(OR(8&gt;MAX(3,MIN(15,N($D$18))),IFERROR(LARGE('Calc (scoring engine)'!$K$5:$K$518,8),-999999)&lt;=-900000),"",IFERROR(IF(INDEX(Database!$AT$5:$AT$518,MATCH(LARGE('Calc (scoring engine)'!$K$5:$K$518,8),'Calc (scoring engine)'!$K$5:$K$518,0))="","—",INDEX(Database!$AT$5:$AT$518,MATCH(LARGE('Calc (scoring engine)'!$K$5:$K$518,8),'Calc (scoring engine)'!$K$5:$K$518,0))),""))</f>
        <v/>
      </c>
      <c r="AR28" s="23">
        <f>IF(OR(8&gt;MAX(3,MIN(15,N($D$18))),IFERROR(LARGE('Calc (scoring engine)'!$K$5:$K$518,8),-999999)&lt;=-900000),"",IFERROR(IF(INDEX(Database!$AU$5:$AU$518,MATCH(LARGE('Calc (scoring engine)'!$K$5:$K$518,8),'Calc (scoring engine)'!$K$5:$K$518,0))="","—",INDEX(Database!$AU$5:$AU$518,MATCH(LARGE('Calc (scoring engine)'!$K$5:$K$518,8),'Calc (scoring engine)'!$K$5:$K$518,0))),""))</f>
        <v/>
      </c>
      <c r="AS28" s="23">
        <f>IF(OR(8&gt;MAX(3,MIN(15,N($D$18))),IFERROR(LARGE('Calc (scoring engine)'!$K$5:$K$518,8),-999999)&lt;=-900000),"",IFERROR(IF(INDEX(Database!$AV$5:$AV$518,MATCH(LARGE('Calc (scoring engine)'!$K$5:$K$518,8),'Calc (scoring engine)'!$K$5:$K$518,0))="","—",INDEX(Database!$AV$5:$AV$518,MATCH(LARGE('Calc (scoring engine)'!$K$5:$K$518,8),'Calc (scoring engine)'!$K$5:$K$518,0))),""))</f>
        <v/>
      </c>
      <c r="AT28" s="23">
        <f>IF(OR(8&gt;MAX(3,MIN(15,N($D$18))),IFERROR(LARGE('Calc (scoring engine)'!$K$5:$K$518,8),-999999)&lt;=-900000),"",IFERROR(IF(INDEX(Database!$AW$5:$AW$518,MATCH(LARGE('Calc (scoring engine)'!$K$5:$K$518,8),'Calc (scoring engine)'!$K$5:$K$518,0))="","—",INDEX(Database!$AW$5:$AW$518,MATCH(LARGE('Calc (scoring engine)'!$K$5:$K$518,8),'Calc (scoring engine)'!$K$5:$K$518,0))),""))</f>
        <v/>
      </c>
      <c r="AU28" s="23">
        <f>IF(OR(8&gt;MAX(3,MIN(15,N($D$18))),IFERROR(LARGE('Calc (scoring engine)'!$K$5:$K$518,8),-999999)&lt;=-900000),"",IFERROR(IF(INDEX(Database!$AX$5:$AX$518,MATCH(LARGE('Calc (scoring engine)'!$K$5:$K$518,8),'Calc (scoring engine)'!$K$5:$K$518,0))="","—",INDEX(Database!$AX$5:$AX$518,MATCH(LARGE('Calc (scoring engine)'!$K$5:$K$518,8),'Calc (scoring engine)'!$K$5:$K$518,0))),""))</f>
        <v/>
      </c>
      <c r="AV28" s="23">
        <f>IF(OR(8&gt;MAX(3,MIN(15,N($D$18))),IFERROR(LARGE('Calc (scoring engine)'!$K$5:$K$518,8),-999999)&lt;=-900000),"",IFERROR(IF(INDEX(Database!$AY$5:$AY$518,MATCH(LARGE('Calc (scoring engine)'!$K$5:$K$518,8),'Calc (scoring engine)'!$K$5:$K$518,0))="","—",INDEX(Database!$AY$5:$AY$518,MATCH(LARGE('Calc (scoring engine)'!$K$5:$K$518,8),'Calc (scoring engine)'!$K$5:$K$518,0))),""))</f>
        <v/>
      </c>
      <c r="AW28" s="23">
        <f>IF(OR(8&gt;MAX(3,MIN(15,N($D$18))),IFERROR(LARGE('Calc (scoring engine)'!$K$5:$K$518,8),-999999)&lt;=-900000),"",IFERROR(IF(INDEX(Database!$BA$5:$BA$518,MATCH(LARGE('Calc (scoring engine)'!$K$5:$K$518,8),'Calc (scoring engine)'!$K$5:$K$518,0))="","—",INDEX(Database!$BA$5:$BA$518,MATCH(LARGE('Calc (scoring engine)'!$K$5:$K$518,8),'Calc (scoring engine)'!$K$5:$K$518,0))),""))</f>
        <v/>
      </c>
      <c r="AX28" s="18">
        <f>IF(OR(8&gt;MAX(3,MIN(15,N($D$18))),IFERROR(LARGE('Calc (scoring engine)'!$K$5:$K$518,8),-999999)&lt;=-900000),"",IFERROR(IF(INDEX(Database!$BC$5:$BC$518,MATCH(LARGE('Calc (scoring engine)'!$K$5:$K$518,8),'Calc (scoring engine)'!$K$5:$K$518,0))="","—",INDEX(Database!$BC$5:$BC$518,MATCH(LARGE('Calc (scoring engine)'!$K$5:$K$518,8),'Calc (scoring engine)'!$K$5:$K$518,0))),""))</f>
        <v/>
      </c>
      <c r="AY28" s="18">
        <f>IF(OR(8&gt;MAX(3,MIN(15,N($D$18))),IFERROR(LARGE('Calc (scoring engine)'!$K$5:$K$518,8),-999999)&lt;=-900000),"",IFERROR(IF(INDEX(Database!$BD$5:$BD$518,MATCH(LARGE('Calc (scoring engine)'!$K$5:$K$518,8),'Calc (scoring engine)'!$K$5:$K$518,0))="","—",INDEX(Database!$BD$5:$BD$518,MATCH(LARGE('Calc (scoring engine)'!$K$5:$K$518,8),'Calc (scoring engine)'!$K$5:$K$518,0))),""))</f>
        <v/>
      </c>
      <c r="AZ28" s="10">
        <f>IF(OR(8&gt;MAX(3,MIN(15,N($D$18))),IFERROR(LARGE('Calc (scoring engine)'!$K$5:$K$518,8),-999999)&lt;=-900000),"",IFERROR(IF(INDEX(Database!$BE$5:$BE$518,MATCH(LARGE('Calc (scoring engine)'!$K$5:$K$518,8),'Calc (scoring engine)'!$K$5:$K$518,0))="","—",INDEX(Database!$BE$5:$BE$518,MATCH(LARGE('Calc (scoring engine)'!$K$5:$K$518,8),'Calc (scoring engine)'!$K$5:$K$518,0))),""))</f>
        <v/>
      </c>
      <c r="BA28" s="24">
        <f>IF(OR(8&gt;MAX(3,MIN(15,N($D$18))),IFERROR(LARGE('Calc (scoring engine)'!$K$5:$K$518,8),-999999)&lt;=-900000),"",IFERROR(IF(N(INDEX(Database!$BF$5:$BF$518,MATCH(LARGE('Calc (scoring engine)'!$K$5:$K$518,8),'Calc (scoring engine)'!$K$5:$K$518,0)))&lt;=0,IF(INDEX(Database!$BE$5:$BE$518,MATCH(LARGE('Calc (scoring engine)'!$K$5:$K$518,8),'Calc (scoring engine)'!$K$5:$K$518,0))="N","n/m","—"),INDEX(Database!$BF$5:$BF$518,MATCH(LARGE('Calc (scoring engine)'!$K$5:$K$518,8),'Calc (scoring engine)'!$K$5:$K$518,0))),""))</f>
        <v/>
      </c>
      <c r="BB28" s="24">
        <f>IF(OR(8&gt;MAX(3,MIN(15,N($D$18))),IFERROR(LARGE('Calc (scoring engine)'!$K$5:$K$518,8),-999999)&lt;=-900000),"",IFERROR(IF(INDEX(Database!$BG$5:$BG$518,MATCH(LARGE('Calc (scoring engine)'!$K$5:$K$518,8),'Calc (scoring engine)'!$K$5:$K$518,0))="","—",INDEX(Database!$BG$5:$BG$518,MATCH(LARGE('Calc (scoring engine)'!$K$5:$K$518,8),'Calc (scoring engine)'!$K$5:$K$518,0))),""))</f>
        <v/>
      </c>
      <c r="BC28" s="24">
        <f>IF(OR(8&gt;MAX(3,MIN(15,N($D$18))),IFERROR(LARGE('Calc (scoring engine)'!$K$5:$K$518,8),-999999)&lt;=-900000),"",IFERROR(IF(INDEX(Database!$BH$5:$BH$518,MATCH(LARGE('Calc (scoring engine)'!$K$5:$K$518,8),'Calc (scoring engine)'!$K$5:$K$518,0))="","—",INDEX(Database!$BH$5:$BH$518,MATCH(LARGE('Calc (scoring engine)'!$K$5:$K$518,8),'Calc (scoring engine)'!$K$5:$K$518,0))),""))</f>
        <v/>
      </c>
      <c r="BD28" s="24">
        <f>IF(OR(8&gt;MAX(3,MIN(15,N($D$18))),IFERROR(LARGE('Calc (scoring engine)'!$K$5:$K$518,8),-999999)&lt;=-900000),"",IFERROR(IF(INDEX(Database!$BI$5:$BI$518,MATCH(LARGE('Calc (scoring engine)'!$K$5:$K$518,8),'Calc (scoring engine)'!$K$5:$K$518,0))="","—",INDEX(Database!$BI$5:$BI$518,MATCH(LARGE('Calc (scoring engine)'!$K$5:$K$518,8),'Calc (scoring engine)'!$K$5:$K$518,0))),""))</f>
        <v/>
      </c>
      <c r="BE28" s="24">
        <f>IF(OR(8&gt;MAX(3,MIN(15,N($D$18))),IFERROR(LARGE('Calc (scoring engine)'!$K$5:$K$518,8),-999999)&lt;=-900000),"",IFERROR(IF(INDEX(Database!$BJ$5:$BJ$518,MATCH(LARGE('Calc (scoring engine)'!$K$5:$K$518,8),'Calc (scoring engine)'!$K$5:$K$518,0))="","—",INDEX(Database!$BJ$5:$BJ$518,MATCH(LARGE('Calc (scoring engine)'!$K$5:$K$518,8),'Calc (scoring engine)'!$K$5:$K$518,0))),""))</f>
        <v/>
      </c>
      <c r="BF28" s="24">
        <f>IF(OR(8&gt;MAX(3,MIN(15,N($D$18))),IFERROR(LARGE('Calc (scoring engine)'!$K$5:$K$518,8),-999999)&lt;=-900000),"",IFERROR(IFERROR(BDP(TEXT(INDEX(Database!$A$5:$A$518,MATCH(LARGE('Calc (scoring engine)'!$K$5:$K$518,8),'Calc (scoring engine)'!$K$5:$K$518,0)),"0")&amp;" HK Equity","PE_RATIO"),IF(INDEX(Database!$BH$5:$BH$518,MATCH(LARGE('Calc (scoring engine)'!$K$5:$K$518,8),'Calc (scoring engine)'!$K$5:$K$518,0))="","—",INDEX(Database!$BH$5:$BH$518,MATCH(LARGE('Calc (scoring engine)'!$K$5:$K$518,8),'Calc (scoring engine)'!$K$5:$K$518,0)))),""))</f>
        <v/>
      </c>
      <c r="BG28" s="24">
        <f>IF(OR(8&gt;MAX(3,MIN(15,N($D$18))),IFERROR(LARGE('Calc (scoring engine)'!$K$5:$K$518,8),-999999)&lt;=-900000),"",IFERROR(IFERROR(BDP(TEXT(INDEX(Database!$A$5:$A$518,MATCH(LARGE('Calc (scoring engine)'!$K$5:$K$518,8),'Calc (scoring engine)'!$K$5:$K$518,0)),"0")&amp;" HK Equity","PX_TO_SALES_RATIO"),IF(INDEX(Database!$BI$5:$BI$518,MATCH(LARGE('Calc (scoring engine)'!$K$5:$K$518,8),'Calc (scoring engine)'!$K$5:$K$518,0))="","—",INDEX(Database!$BI$5:$BI$518,MATCH(LARGE('Calc (scoring engine)'!$K$5:$K$518,8),'Calc (scoring engine)'!$K$5:$K$518,0)))),""))</f>
        <v/>
      </c>
      <c r="BH28" s="10">
        <f>IF(OR(8&gt;MAX(3,MIN(15,N($D$18))),IFERROR(LARGE('Calc (scoring engine)'!$K$5:$K$518,8),-999999)&lt;=-900000),"",IFERROR(IF(INDEX(Database!$BK$5:$BK$518,MATCH(LARGE('Calc (scoring engine)'!$K$5:$K$518,8),'Calc (scoring engine)'!$K$5:$K$518,0))="","—",INDEX(Database!$BK$5:$BK$518,MATCH(LARGE('Calc (scoring engine)'!$K$5:$K$518,8),'Calc (scoring engine)'!$K$5:$K$518,0))),""))</f>
        <v/>
      </c>
      <c r="BI28" s="10">
        <f>IF(OR(8&gt;MAX(3,MIN(15,N($D$18))),IFERROR(LARGE('Calc (scoring engine)'!$K$5:$K$518,8),-999999)&lt;=-900000),"",IFERROR(IF(INDEX(Database!$BL$5:$BL$518,MATCH(LARGE('Calc (scoring engine)'!$K$5:$K$518,8),'Calc (scoring engine)'!$K$5:$K$518,0))="","—",INDEX(Database!$BL$5:$BL$518,MATCH(LARGE('Calc (scoring engine)'!$K$5:$K$518,8),'Calc (scoring engine)'!$K$5:$K$518,0))),""))</f>
        <v/>
      </c>
      <c r="BJ28" s="23">
        <f>IF(OR(8&gt;MAX(3,MIN(15,N($D$18))),IFERROR(LARGE('Calc (scoring engine)'!$K$5:$K$518,8),-999999)&lt;=-900000),"",IFERROR(IF(INDEX(Database!$BM$5:$BM$518,MATCH(LARGE('Calc (scoring engine)'!$K$5:$K$518,8),'Calc (scoring engine)'!$K$5:$K$518,0))="","—",INDEX(Database!$BM$5:$BM$518,MATCH(LARGE('Calc (scoring engine)'!$K$5:$K$518,8),'Calc (scoring engine)'!$K$5:$K$518,0))),""))</f>
        <v/>
      </c>
      <c r="BK28" s="40">
        <f>IF(OR(8&gt;MAX(3,MIN(15,N($D$18))),IFERROR(LARGE('Calc (scoring engine)'!$K$5:$K$518,8),-999999)&lt;=-900000),"",IFERROR(IF(INDEX(Database!$BN$5:$BN$518,MATCH(LARGE('Calc (scoring engine)'!$K$5:$K$518,8),'Calc (scoring engine)'!$K$5:$K$518,0))="","—",INDEX(Database!$BN$5:$BN$518,MATCH(LARGE('Calc (scoring engine)'!$K$5:$K$518,8),'Calc (scoring engine)'!$K$5:$K$518,0))),""))</f>
        <v/>
      </c>
      <c r="BL28" s="43">
        <f>IF(OR(8&gt;MAX(3,MIN(15,N($D$18))),IFERROR(LARGE('Calc (scoring engine)'!$K$5:$K$518,8),-999999)&lt;=-900000),"",IFERROR(IF(INDEX(Database!$BO$5:$BO$518,MATCH(LARGE('Calc (scoring engine)'!$K$5:$K$518,8),'Calc (scoring engine)'!$K$5:$K$518,0))="","—",INDEX(Database!$BO$5:$BO$518,MATCH(LARGE('Calc (scoring engine)'!$K$5:$K$518,8),'Calc (scoring engine)'!$K$5:$K$518,0))),""))</f>
        <v/>
      </c>
      <c r="BM28" s="18">
        <f>IF(OR(8&gt;MAX(3,MIN(15,N($D$18))),IFERROR(LARGE('Calc (scoring engine)'!$K$5:$K$518,8),-999999)&lt;=-900000),"",IFERROR(IF(INDEX(Database!$BP$5:$BP$518,MATCH(LARGE('Calc (scoring engine)'!$K$5:$K$518,8),'Calc (scoring engine)'!$K$5:$K$518,0))="","—",INDEX(Database!$BP$5:$BP$518,MATCH(LARGE('Calc (scoring engine)'!$K$5:$K$518,8),'Calc (scoring engine)'!$K$5:$K$518,0))),""))</f>
        <v/>
      </c>
      <c r="BN28" s="24">
        <f>IF(OR(8&gt;MAX(3,MIN(15,N($D$18))),IFERROR(LARGE('Calc (scoring engine)'!$K$5:$K$518,8),-999999)&lt;=-900000),"",IFERROR(IF(INDEX(Database!$BQ$5:$BQ$518,MATCH(LARGE('Calc (scoring engine)'!$K$5:$K$518,8),'Calc (scoring engine)'!$K$5:$K$518,0))="","—",INDEX(Database!$BQ$5:$BQ$518,MATCH(LARGE('Calc (scoring engine)'!$K$5:$K$518,8),'Calc (scoring engine)'!$K$5:$K$518,0))),""))</f>
        <v/>
      </c>
      <c r="BO28" s="24">
        <f>IF(OR(8&gt;MAX(3,MIN(15,N($D$18))),IFERROR(LARGE('Calc (scoring engine)'!$K$5:$K$518,8),-999999)&lt;=-900000),"",IFERROR(IF(INDEX(Database!$BR$5:$BR$518,MATCH(LARGE('Calc (scoring engine)'!$K$5:$K$518,8),'Calc (scoring engine)'!$K$5:$K$518,0))="","—",INDEX(Database!$BR$5:$BR$518,MATCH(LARGE('Calc (scoring engine)'!$K$5:$K$518,8),'Calc (scoring engine)'!$K$5:$K$518,0))),""))</f>
        <v/>
      </c>
      <c r="BP28" s="10">
        <f>IF(OR(8&gt;MAX(3,MIN(15,N($D$18))),IFERROR(LARGE('Calc (scoring engine)'!$K$5:$K$518,8),-999999)&lt;=-900000),"",IFERROR(IF(INDEX(Database!$BS$5:$BS$518,MATCH(LARGE('Calc (scoring engine)'!$K$5:$K$518,8),'Calc (scoring engine)'!$K$5:$K$518,0))="","—",INDEX(Database!$BS$5:$BS$518,MATCH(LARGE('Calc (scoring engine)'!$K$5:$K$518,8),'Calc (scoring engine)'!$K$5:$K$518,0))),""))</f>
        <v/>
      </c>
      <c r="BQ28" s="10">
        <f>IF(OR(8&gt;MAX(3,MIN(15,N($D$18))),IFERROR(LARGE('Calc (scoring engine)'!$K$5:$K$518,8),-999999)&lt;=-900000),"",IFERROR(IF(INDEX(Database!$BU$5:$BU$518,MATCH(LARGE('Calc (scoring engine)'!$K$5:$K$518,8),'Calc (scoring engine)'!$K$5:$K$518,0))="","—",INDEX(Database!$BU$5:$BU$518,MATCH(LARGE('Calc (scoring engine)'!$K$5:$K$518,8),'Calc (scoring engine)'!$K$5:$K$518,0))),""))</f>
        <v/>
      </c>
      <c r="BR28" s="44">
        <f>IF(OR(8&gt;MAX(3,MIN(15,N($D$18))),IFERROR(LARGE('Calc (scoring engine)'!$K$5:$K$518,8),-999999)&lt;=-900000),"",IFERROR(IF(INDEX('Calc (scoring engine)'!$H$5:$H$518,MATCH(LARGE('Calc (scoring engine)'!$K$5:$K$518,8),'Calc (scoring engine)'!$K$5:$K$518,0))&gt;0,INDEX('Calc (scoring engine)'!$H$5:$H$518,MATCH(LARGE('Calc (scoring engine)'!$K$5:$K$518,8),'Calc (scoring engine)'!$K$5:$K$518,0)),""),""))</f>
        <v/>
      </c>
      <c r="BS28" s="10">
        <f>IF(OR(8&gt;MAX(3,MIN(15,N($D$18))),IFERROR(LARGE('Calc (scoring engine)'!$K$5:$K$518,8),-999999)&lt;=-900000),"",IF(IFERROR(INDEX('Calc (scoring engine)'!$B$5:$B$518,MATCH(LARGE('Calc (scoring engine)'!$K$5:$K$518,8),'Calc (scoring engine)'!$K$5:$K$518,0)),0)=1,"same subsector","sector only"))</f>
        <v/>
      </c>
      <c r="BT28" s="44">
        <f>IF(OR(8&gt;MAX(3,MIN(15,N($D$18))),IFERROR(LARGE('Calc (scoring engine)'!$K$5:$K$518,8),-999999)&lt;=-900000),"",ROUND(IFERROR(LARGE('Calc (scoring engine)'!$K$5:$K$518,8),0),0))</f>
        <v/>
      </c>
      <c r="BU28" s="10">
        <f>IF(OR(8&gt;MAX(3,MIN(15,N($D$18))),IFERROR(LARGE('Calc (scoring engine)'!$K$5:$K$518,8),-999999)&lt;=-900000),"",IFERROR("sub "&amp;INDEX('Calc (scoring engine)'!$B$5:$B$518,MATCH(LARGE('Calc (scoring engine)'!$K$5:$K$518,8),'Calc (scoring engine)'!$K$5:$K$518,0))*W_SUB&amp;" + size "&amp;ROUND(INDEX('Calc (scoring engine)'!$D$5:$D$518,MATCH(LARGE('Calc (scoring engine)'!$K$5:$K$518,8),'Calc (scoring engine)'!$K$5:$K$518,0))*W_SIZE,0)&amp;" + prof "&amp;INDEX('Calc (scoring engine)'!$E$5:$E$518,MATCH(LARGE('Calc (scoring engine)'!$K$5:$K$518,8),'Calc (scoring engine)'!$K$5:$K$518,0))*W_PROF&amp;" + recency "&amp;ROUND(INDEX('Calc (scoring engine)'!$G$5:$G$518,MATCH(LARGE('Calc (scoring engine)'!$K$5:$K$518,8),'Calc (scoring engine)'!$K$5:$K$518,0))*W_REC,0)&amp;IF(INDEX('Calc (scoring engine)'!$H$5:$H$518,MATCH(LARGE('Calc (scoring engine)'!$K$5:$K$518,8),'Calc (scoring engine)'!$K$5:$K$518,0))&gt;0," + shared CS x"&amp;INDEX('Calc (scoring engine)'!$H$5:$H$518,MATCH(LARGE('Calc (scoring engine)'!$K$5:$K$518,8),'Calc (scoring engine)'!$K$5:$K$518,0)),""),""))</f>
        <v/>
      </c>
    </row>
    <row r="29">
      <c r="A29" s="38">
        <f>IF(OR(9&gt;MAX(3,MIN(15,N($D$18))),IFERROR(LARGE('Calc (scoring engine)'!$K$5:$K$518,9),-999999)&lt;=-900000),"",9)</f>
        <v/>
      </c>
      <c r="B29" s="10">
        <f>IF(OR(9&gt;MAX(3,MIN(15,N($D$18))),IFERROR(LARGE('Calc (scoring engine)'!$K$5:$K$518,9),-999999)&lt;=-900000),"",IFERROR(IF(INDEX(Database!$B$5:$B$518,MATCH(LARGE('Calc (scoring engine)'!$K$5:$K$518,9),'Calc (scoring engine)'!$K$5:$K$518,0))="","—",INDEX(Database!$B$5:$B$518,MATCH(LARGE('Calc (scoring engine)'!$K$5:$K$518,9),'Calc (scoring engine)'!$K$5:$K$518,0))),""))</f>
        <v/>
      </c>
      <c r="C29" s="39">
        <f>IF(OR(9&gt;MAX(3,MIN(15,N($D$18))),IFERROR(LARGE('Calc (scoring engine)'!$K$5:$K$518,9),-999999)&lt;=-900000),"",IFERROR(IF(INDEX(Database!$A$5:$A$518,MATCH(LARGE('Calc (scoring engine)'!$K$5:$K$518,9),'Calc (scoring engine)'!$K$5:$K$518,0))="","—",INDEX(Database!$A$5:$A$518,MATCH(LARGE('Calc (scoring engine)'!$K$5:$K$518,9),'Calc (scoring engine)'!$K$5:$K$518,0))),""))</f>
        <v/>
      </c>
      <c r="D29" s="10">
        <f>IF(OR(9&gt;MAX(3,MIN(15,N($D$18))),IFERROR(LARGE('Calc (scoring engine)'!$K$5:$K$518,9),-999999)&lt;=-900000),"",IFERROR(IF(INDEX(Database!$D$5:$D$518,MATCH(LARGE('Calc (scoring engine)'!$K$5:$K$518,9),'Calc (scoring engine)'!$K$5:$K$518,0))="","—",INDEX(Database!$D$5:$D$518,MATCH(LARGE('Calc (scoring engine)'!$K$5:$K$518,9),'Calc (scoring engine)'!$K$5:$K$518,0))),""))</f>
        <v/>
      </c>
      <c r="E29" s="10">
        <f>IF(OR(9&gt;MAX(3,MIN(15,N($D$18))),IFERROR(LARGE('Calc (scoring engine)'!$K$5:$K$518,9),-999999)&lt;=-900000),"",IFERROR(IF(INDEX(Database!$E$5:$E$518,MATCH(LARGE('Calc (scoring engine)'!$K$5:$K$518,9),'Calc (scoring engine)'!$K$5:$K$518,0))="","—",INDEX(Database!$E$5:$E$518,MATCH(LARGE('Calc (scoring engine)'!$K$5:$K$518,9),'Calc (scoring engine)'!$K$5:$K$518,0))),""))</f>
        <v/>
      </c>
      <c r="F29" s="10">
        <f>IF(OR(9&gt;MAX(3,MIN(15,N($D$18))),IFERROR(LARGE('Calc (scoring engine)'!$K$5:$K$518,9),-999999)&lt;=-900000),"",IFERROR(IF(INDEX(Database!$F$5:$F$518,MATCH(LARGE('Calc (scoring engine)'!$K$5:$K$518,9),'Calc (scoring engine)'!$K$5:$K$518,0))="","—",INDEX(Database!$F$5:$F$518,MATCH(LARGE('Calc (scoring engine)'!$K$5:$K$518,9),'Calc (scoring engine)'!$K$5:$K$518,0))),""))</f>
        <v/>
      </c>
      <c r="G29" s="10">
        <f>IF(OR(9&gt;MAX(3,MIN(15,N($D$18))),IFERROR(LARGE('Calc (scoring engine)'!$K$5:$K$518,9),-999999)&lt;=-900000),"",IFERROR(IF(INDEX(Database!$G$5:$G$518,MATCH(LARGE('Calc (scoring engine)'!$K$5:$K$518,9),'Calc (scoring engine)'!$K$5:$K$518,0))="","—",INDEX(Database!$G$5:$G$518,MATCH(LARGE('Calc (scoring engine)'!$K$5:$K$518,9),'Calc (scoring engine)'!$K$5:$K$518,0))),""))</f>
        <v/>
      </c>
      <c r="H29" s="21">
        <f>IF(OR(9&gt;MAX(3,MIN(15,N($D$18))),IFERROR(LARGE('Calc (scoring engine)'!$K$5:$K$518,9),-999999)&lt;=-900000),"",IFERROR(IF(INDEX(Database!$H$5:$H$518,MATCH(LARGE('Calc (scoring engine)'!$K$5:$K$518,9),'Calc (scoring engine)'!$K$5:$K$518,0))="","—",INDEX(Database!$H$5:$H$518,MATCH(LARGE('Calc (scoring engine)'!$K$5:$K$518,9),'Calc (scoring engine)'!$K$5:$K$518,0))),""))</f>
        <v/>
      </c>
      <c r="I29" s="18">
        <f>IF(OR(9&gt;MAX(3,MIN(15,N($D$18))),IFERROR(LARGE('Calc (scoring engine)'!$K$5:$K$518,9),-999999)&lt;=-900000),"",IFERROR(IF(INDEX(Database!$I$5:$I$518,MATCH(LARGE('Calc (scoring engine)'!$K$5:$K$518,9),'Calc (scoring engine)'!$K$5:$K$518,0))="","—",INDEX(Database!$I$5:$I$518,MATCH(LARGE('Calc (scoring engine)'!$K$5:$K$518,9),'Calc (scoring engine)'!$K$5:$K$518,0))),""))</f>
        <v/>
      </c>
      <c r="J29" s="40">
        <f>IF(OR(9&gt;MAX(3,MIN(15,N($D$18))),IFERROR(LARGE('Calc (scoring engine)'!$K$5:$K$518,9),-999999)&lt;=-900000),"",IFERROR(IF(INDEX(Database!$K$5:$K$518,MATCH(LARGE('Calc (scoring engine)'!$K$5:$K$518,9),'Calc (scoring engine)'!$K$5:$K$518,0))="","—",INDEX(Database!$K$5:$K$518,MATCH(LARGE('Calc (scoring engine)'!$K$5:$K$518,9),'Calc (scoring engine)'!$K$5:$K$518,0))),""))</f>
        <v/>
      </c>
      <c r="K29" s="40">
        <f>IF(OR(9&gt;MAX(3,MIN(15,N($D$18))),IFERROR(LARGE('Calc (scoring engine)'!$K$5:$K$518,9),-999999)&lt;=-900000),"",IFERROR(IF(INDEX(Database!$L$5:$L$518,MATCH(LARGE('Calc (scoring engine)'!$K$5:$K$518,9),'Calc (scoring engine)'!$K$5:$K$518,0))="","—",INDEX(Database!$L$5:$L$518,MATCH(LARGE('Calc (scoring engine)'!$K$5:$K$518,9),'Calc (scoring engine)'!$K$5:$K$518,0))),""))</f>
        <v/>
      </c>
      <c r="L29" s="40">
        <f>IF(OR(9&gt;MAX(3,MIN(15,N($D$18))),IFERROR(LARGE('Calc (scoring engine)'!$K$5:$K$518,9),-999999)&lt;=-900000),"",IFERROR(IF(INDEX(Database!$M$5:$M$518,MATCH(LARGE('Calc (scoring engine)'!$K$5:$K$518,9),'Calc (scoring engine)'!$K$5:$K$518,0))="","—",INDEX(Database!$M$5:$M$518,MATCH(LARGE('Calc (scoring engine)'!$K$5:$K$518,9),'Calc (scoring engine)'!$K$5:$K$518,0))),""))</f>
        <v/>
      </c>
      <c r="M29" s="10">
        <f>IF(OR(9&gt;MAX(3,MIN(15,N($D$18))),IFERROR(LARGE('Calc (scoring engine)'!$K$5:$K$518,9),-999999)&lt;=-900000),"",IFERROR(IF(INDEX(Database!$N$5:$N$518,MATCH(LARGE('Calc (scoring engine)'!$K$5:$K$518,9),'Calc (scoring engine)'!$K$5:$K$518,0))="","—",INDEX(Database!$N$5:$N$518,MATCH(LARGE('Calc (scoring engine)'!$K$5:$K$518,9),'Calc (scoring engine)'!$K$5:$K$518,0))),""))</f>
        <v/>
      </c>
      <c r="N29" s="28">
        <f>IF(OR(9&gt;MAX(3,MIN(15,N($D$18))),IFERROR(LARGE('Calc (scoring engine)'!$K$5:$K$518,9),-999999)&lt;=-900000),"",IFERROR(IF(INDEX(Database!$O$5:$O$518,MATCH(LARGE('Calc (scoring engine)'!$K$5:$K$518,9),'Calc (scoring engine)'!$K$5:$K$518,0))="","—",INDEX(Database!$O$5:$O$518,MATCH(LARGE('Calc (scoring engine)'!$K$5:$K$518,9),'Calc (scoring engine)'!$K$5:$K$518,0))),""))</f>
        <v/>
      </c>
      <c r="O29" s="28">
        <f>IF(OR(9&gt;MAX(3,MIN(15,N($D$18))),IFERROR(LARGE('Calc (scoring engine)'!$K$5:$K$518,9),-999999)&lt;=-900000),"",IFERROR(IF(INDEX(Database!$P$5:$P$518,MATCH(LARGE('Calc (scoring engine)'!$K$5:$K$518,9),'Calc (scoring engine)'!$K$5:$K$518,0))="","—",INDEX(Database!$P$5:$P$518,MATCH(LARGE('Calc (scoring engine)'!$K$5:$K$518,9),'Calc (scoring engine)'!$K$5:$K$518,0))),""))</f>
        <v/>
      </c>
      <c r="P29" s="18">
        <f>IF(OR(9&gt;MAX(3,MIN(15,N($D$18))),IFERROR(LARGE('Calc (scoring engine)'!$K$5:$K$518,9),-999999)&lt;=-900000),"",IFERROR(IF(INDEX(Database!$Q$5:$Q$518,MATCH(LARGE('Calc (scoring engine)'!$K$5:$K$518,9),'Calc (scoring engine)'!$K$5:$K$518,0))="","—",INDEX(Database!$Q$5:$Q$518,MATCH(LARGE('Calc (scoring engine)'!$K$5:$K$518,9),'Calc (scoring engine)'!$K$5:$K$518,0))),""))</f>
        <v/>
      </c>
      <c r="Q29" s="26">
        <f>IF(OR(9&gt;MAX(3,MIN(15,N($D$18))),IFERROR(LARGE('Calc (scoring engine)'!$K$5:$K$518,9),-999999)&lt;=-900000),"",IFERROR(IF(INDEX(Database!$S$5:$S$518,MATCH(LARGE('Calc (scoring engine)'!$K$5:$K$518,9),'Calc (scoring engine)'!$K$5:$K$518,0))="","—",INDEX(Database!$S$5:$S$518,MATCH(LARGE('Calc (scoring engine)'!$K$5:$K$518,9),'Calc (scoring engine)'!$K$5:$K$518,0))),""))</f>
        <v/>
      </c>
      <c r="R29" s="41">
        <f>IF(OR(9&gt;MAX(3,MIN(15,N($D$18))),IFERROR(LARGE('Calc (scoring engine)'!$K$5:$K$518,9),-999999)&lt;=-900000),"",IFERROR(IF(INDEX(Database!$T$5:$T$518,MATCH(LARGE('Calc (scoring engine)'!$K$5:$K$518,9),'Calc (scoring engine)'!$K$5:$K$518,0))="","—",INDEX(Database!$T$5:$T$518,MATCH(LARGE('Calc (scoring engine)'!$K$5:$K$518,9),'Calc (scoring engine)'!$K$5:$K$518,0))),""))</f>
        <v/>
      </c>
      <c r="S29" s="42">
        <f>IF(OR(9&gt;MAX(3,MIN(15,N($D$18))),IFERROR(LARGE('Calc (scoring engine)'!$K$5:$K$518,9),-999999)&lt;=-900000),"",IFERROR(IF(INDEX(Database!$U$5:$U$518,MATCH(LARGE('Calc (scoring engine)'!$K$5:$K$518,9),'Calc (scoring engine)'!$K$5:$K$518,0))="","—",INDEX(Database!$U$5:$U$518,MATCH(LARGE('Calc (scoring engine)'!$K$5:$K$518,9),'Calc (scoring engine)'!$K$5:$K$518,0))),""))</f>
        <v/>
      </c>
      <c r="T29" s="18">
        <f>IF(OR(9&gt;MAX(3,MIN(15,N($D$18))),IFERROR(LARGE('Calc (scoring engine)'!$K$5:$K$518,9),-999999)&lt;=-900000),"",IFERROR(IF(INDEX(Database!$V$5:$V$518,MATCH(LARGE('Calc (scoring engine)'!$K$5:$K$518,9),'Calc (scoring engine)'!$K$5:$K$518,0))="","—",INDEX(Database!$V$5:$V$518,MATCH(LARGE('Calc (scoring engine)'!$K$5:$K$518,9),'Calc (scoring engine)'!$K$5:$K$518,0))),""))</f>
        <v/>
      </c>
      <c r="U29" s="18">
        <f>IF(OR(9&gt;MAX(3,MIN(15,N($D$18))),IFERROR(LARGE('Calc (scoring engine)'!$K$5:$K$518,9),-999999)&lt;=-900000),"",IFERROR(IF(INDEX(Database!$W$5:$W$518,MATCH(LARGE('Calc (scoring engine)'!$K$5:$K$518,9),'Calc (scoring engine)'!$K$5:$K$518,0))="","—",INDEX(Database!$W$5:$W$518,MATCH(LARGE('Calc (scoring engine)'!$K$5:$K$518,9),'Calc (scoring engine)'!$K$5:$K$518,0))),""))</f>
        <v/>
      </c>
      <c r="V29" s="28">
        <f>IF(OR(9&gt;MAX(3,MIN(15,N($D$18))),IFERROR(LARGE('Calc (scoring engine)'!$K$5:$K$518,9),-999999)&lt;=-900000),"",IFERROR(IF(INDEX(Database!$X$5:$X$518,MATCH(LARGE('Calc (scoring engine)'!$K$5:$K$518,9),'Calc (scoring engine)'!$K$5:$K$518,0))="","—",INDEX(Database!$X$5:$X$518,MATCH(LARGE('Calc (scoring engine)'!$K$5:$K$518,9),'Calc (scoring engine)'!$K$5:$K$518,0))),""))</f>
        <v/>
      </c>
      <c r="W29" s="10">
        <f>IF(OR(9&gt;MAX(3,MIN(15,N($D$18))),IFERROR(LARGE('Calc (scoring engine)'!$K$5:$K$518,9),-999999)&lt;=-900000),"",IFERROR(IF(INDEX(Database!$Y$5:$Y$518,MATCH(LARGE('Calc (scoring engine)'!$K$5:$K$518,9),'Calc (scoring engine)'!$K$5:$K$518,0))="","—",INDEX(Database!$Y$5:$Y$518,MATCH(LARGE('Calc (scoring engine)'!$K$5:$K$518,9),'Calc (scoring engine)'!$K$5:$K$518,0))),""))</f>
        <v/>
      </c>
      <c r="X29" s="28">
        <f>IF(OR(9&gt;MAX(3,MIN(15,N($D$18))),IFERROR(LARGE('Calc (scoring engine)'!$K$5:$K$518,9),-999999)&lt;=-900000),"",IFERROR(IF(INDEX(Database!$AA$5:$AA$518,MATCH(LARGE('Calc (scoring engine)'!$K$5:$K$518,9),'Calc (scoring engine)'!$K$5:$K$518,0))="","—",INDEX(Database!$AA$5:$AA$518,MATCH(LARGE('Calc (scoring engine)'!$K$5:$K$518,9),'Calc (scoring engine)'!$K$5:$K$518,0))),""))</f>
        <v/>
      </c>
      <c r="Y29" s="23">
        <f>IF(OR(9&gt;MAX(3,MIN(15,N($D$18))),IFERROR(LARGE('Calc (scoring engine)'!$K$5:$K$518,9),-999999)&lt;=-900000),"",IFERROR(IF(INDEX(Database!$AB$5:$AB$518,MATCH(LARGE('Calc (scoring engine)'!$K$5:$K$518,9),'Calc (scoring engine)'!$K$5:$K$518,0))="","—",INDEX(Database!$AB$5:$AB$518,MATCH(LARGE('Calc (scoring engine)'!$K$5:$K$518,9),'Calc (scoring engine)'!$K$5:$K$518,0))),""))</f>
        <v/>
      </c>
      <c r="Z29" s="40">
        <f>IF(OR(9&gt;MAX(3,MIN(15,N($D$18))),IFERROR(LARGE('Calc (scoring engine)'!$K$5:$K$518,9),-999999)&lt;=-900000),"",IFERROR(IF(INDEX(Database!$AC$5:$AC$518,MATCH(LARGE('Calc (scoring engine)'!$K$5:$K$518,9),'Calc (scoring engine)'!$K$5:$K$518,0))="","—",INDEX(Database!$AC$5:$AC$518,MATCH(LARGE('Calc (scoring engine)'!$K$5:$K$518,9),'Calc (scoring engine)'!$K$5:$K$518,0))),""))</f>
        <v/>
      </c>
      <c r="AA29" s="23">
        <f>IF(OR(9&gt;MAX(3,MIN(15,N($D$18))),IFERROR(LARGE('Calc (scoring engine)'!$K$5:$K$518,9),-999999)&lt;=-900000),"",IFERROR(IF(INDEX(Database!$AD$5:$AD$518,MATCH(LARGE('Calc (scoring engine)'!$K$5:$K$518,9),'Calc (scoring engine)'!$K$5:$K$518,0))="","—",INDEX(Database!$AD$5:$AD$518,MATCH(LARGE('Calc (scoring engine)'!$K$5:$K$518,9),'Calc (scoring engine)'!$K$5:$K$518,0))),""))</f>
        <v/>
      </c>
      <c r="AB29" s="10">
        <f>IF(OR(9&gt;MAX(3,MIN(15,N($D$18))),IFERROR(LARGE('Calc (scoring engine)'!$K$5:$K$518,9),-999999)&lt;=-900000),"",IFERROR(IF(INDEX(Database!$AE$5:$AE$518,MATCH(LARGE('Calc (scoring engine)'!$K$5:$K$518,9),'Calc (scoring engine)'!$K$5:$K$518,0))="","—",INDEX(Database!$AE$5:$AE$518,MATCH(LARGE('Calc (scoring engine)'!$K$5:$K$518,9),'Calc (scoring engine)'!$K$5:$K$518,0))),""))</f>
        <v/>
      </c>
      <c r="AC29" s="10">
        <f>IF(OR(9&gt;MAX(3,MIN(15,N($D$18))),IFERROR(LARGE('Calc (scoring engine)'!$K$5:$K$518,9),-999999)&lt;=-900000),"",IFERROR(IF(INDEX(Database!$AF$5:$AF$518,MATCH(LARGE('Calc (scoring engine)'!$K$5:$K$518,9),'Calc (scoring engine)'!$K$5:$K$518,0))="","—",INDEX(Database!$AF$5:$AF$518,MATCH(LARGE('Calc (scoring engine)'!$K$5:$K$518,9),'Calc (scoring engine)'!$K$5:$K$518,0))),""))</f>
        <v/>
      </c>
      <c r="AD29" s="10">
        <f>IF(OR(9&gt;MAX(3,MIN(15,N($D$18))),IFERROR(LARGE('Calc (scoring engine)'!$K$5:$K$518,9),-999999)&lt;=-900000),"",IFERROR(IF(INDEX(Database!$AG$5:$AG$518,MATCH(LARGE('Calc (scoring engine)'!$K$5:$K$518,9),'Calc (scoring engine)'!$K$5:$K$518,0))="","—",INDEX(Database!$AG$5:$AG$518,MATCH(LARGE('Calc (scoring engine)'!$K$5:$K$518,9),'Calc (scoring engine)'!$K$5:$K$518,0))),""))</f>
        <v/>
      </c>
      <c r="AE29" s="10">
        <f>IF(OR(9&gt;MAX(3,MIN(15,N($D$18))),IFERROR(LARGE('Calc (scoring engine)'!$K$5:$K$518,9),-999999)&lt;=-900000),"",IFERROR(IF(INDEX(Database!$AH$5:$AH$518,MATCH(LARGE('Calc (scoring engine)'!$K$5:$K$518,9),'Calc (scoring engine)'!$K$5:$K$518,0))="","—",INDEX(Database!$AH$5:$AH$518,MATCH(LARGE('Calc (scoring engine)'!$K$5:$K$518,9),'Calc (scoring engine)'!$K$5:$K$518,0))),""))</f>
        <v/>
      </c>
      <c r="AF29" s="10">
        <f>IF(OR(9&gt;MAX(3,MIN(15,N($D$18))),IFERROR(LARGE('Calc (scoring engine)'!$K$5:$K$518,9),-999999)&lt;=-900000),"",IFERROR(IF(INDEX(Database!$AI$5:$AI$518,MATCH(LARGE('Calc (scoring engine)'!$K$5:$K$518,9),'Calc (scoring engine)'!$K$5:$K$518,0))="","—",INDEX(Database!$AI$5:$AI$518,MATCH(LARGE('Calc (scoring engine)'!$K$5:$K$518,9),'Calc (scoring engine)'!$K$5:$K$518,0))),""))</f>
        <v/>
      </c>
      <c r="AG29" s="10">
        <f>IF(OR(9&gt;MAX(3,MIN(15,N($D$18))),IFERROR(LARGE('Calc (scoring engine)'!$K$5:$K$518,9),-999999)&lt;=-900000),"",IFERROR(IF(INDEX(Database!$AJ$5:$AJ$518,MATCH(LARGE('Calc (scoring engine)'!$K$5:$K$518,9),'Calc (scoring engine)'!$K$5:$K$518,0))="","—",INDEX(Database!$AJ$5:$AJ$518,MATCH(LARGE('Calc (scoring engine)'!$K$5:$K$518,9),'Calc (scoring engine)'!$K$5:$K$518,0))),""))</f>
        <v/>
      </c>
      <c r="AH29" s="23">
        <f>IF(OR(9&gt;MAX(3,MIN(15,N($D$18))),IFERROR(LARGE('Calc (scoring engine)'!$K$5:$K$518,9),-999999)&lt;=-900000),"",IFERROR(IF(INDEX(Database!$AK$5:$AK$518,MATCH(LARGE('Calc (scoring engine)'!$K$5:$K$518,9),'Calc (scoring engine)'!$K$5:$K$518,0))="","—",INDEX(Database!$AK$5:$AK$518,MATCH(LARGE('Calc (scoring engine)'!$K$5:$K$518,9),'Calc (scoring engine)'!$K$5:$K$518,0))),""))</f>
        <v/>
      </c>
      <c r="AI29" s="23">
        <f>IF(OR(9&gt;MAX(3,MIN(15,N($D$18))),IFERROR(LARGE('Calc (scoring engine)'!$K$5:$K$518,9),-999999)&lt;=-900000),"",IFERROR(IF(INDEX(Database!$AL$5:$AL$518,MATCH(LARGE('Calc (scoring engine)'!$K$5:$K$518,9),'Calc (scoring engine)'!$K$5:$K$518,0))="","—",INDEX(Database!$AL$5:$AL$518,MATCH(LARGE('Calc (scoring engine)'!$K$5:$K$518,9),'Calc (scoring engine)'!$K$5:$K$518,0))),""))</f>
        <v/>
      </c>
      <c r="AJ29" s="23">
        <f>IF(OR(9&gt;MAX(3,MIN(15,N($D$18))),IFERROR(LARGE('Calc (scoring engine)'!$K$5:$K$518,9),-999999)&lt;=-900000),"",IFERROR(IF(INDEX(Database!$AM$5:$AM$518,MATCH(LARGE('Calc (scoring engine)'!$K$5:$K$518,9),'Calc (scoring engine)'!$K$5:$K$518,0))="","—",INDEX(Database!$AM$5:$AM$518,MATCH(LARGE('Calc (scoring engine)'!$K$5:$K$518,9),'Calc (scoring engine)'!$K$5:$K$518,0))),""))</f>
        <v/>
      </c>
      <c r="AK29" s="23">
        <f>IF(OR(9&gt;MAX(3,MIN(15,N($D$18))),IFERROR(LARGE('Calc (scoring engine)'!$K$5:$K$518,9),-999999)&lt;=-900000),"",IFERROR(IF(INDEX(Database!$AN$5:$AN$518,MATCH(LARGE('Calc (scoring engine)'!$K$5:$K$518,9),'Calc (scoring engine)'!$K$5:$K$518,0))="","—",INDEX(Database!$AN$5:$AN$518,MATCH(LARGE('Calc (scoring engine)'!$K$5:$K$518,9),'Calc (scoring engine)'!$K$5:$K$518,0))),""))</f>
        <v/>
      </c>
      <c r="AL29" s="23">
        <f>IF(OR(9&gt;MAX(3,MIN(15,N($D$18))),IFERROR(LARGE('Calc (scoring engine)'!$K$5:$K$518,9),-999999)&lt;=-900000),"",IFERROR(IF(INDEX(Database!$AO$5:$AO$518,MATCH(LARGE('Calc (scoring engine)'!$K$5:$K$518,9),'Calc (scoring engine)'!$K$5:$K$518,0))="","—",INDEX(Database!$AO$5:$AO$518,MATCH(LARGE('Calc (scoring engine)'!$K$5:$K$518,9),'Calc (scoring engine)'!$K$5:$K$518,0))),""))</f>
        <v/>
      </c>
      <c r="AM29" s="23">
        <f>IF(OR(9&gt;MAX(3,MIN(15,N($D$18))),IFERROR(LARGE('Calc (scoring engine)'!$K$5:$K$518,9),-999999)&lt;=-900000),"",IFERROR(IF(INDEX(Database!$AP$5:$AP$518,MATCH(LARGE('Calc (scoring engine)'!$K$5:$K$518,9),'Calc (scoring engine)'!$K$5:$K$518,0))="","—",INDEX(Database!$AP$5:$AP$518,MATCH(LARGE('Calc (scoring engine)'!$K$5:$K$518,9),'Calc (scoring engine)'!$K$5:$K$518,0))),""))</f>
        <v/>
      </c>
      <c r="AN29" s="23">
        <f>IF(OR(9&gt;MAX(3,MIN(15,N($D$18))),IFERROR(LARGE('Calc (scoring engine)'!$K$5:$K$518,9),-999999)&lt;=-900000),"",IFERROR(IF(INDEX(Database!$AQ$5:$AQ$518,MATCH(LARGE('Calc (scoring engine)'!$K$5:$K$518,9),'Calc (scoring engine)'!$K$5:$K$518,0))="","—",INDEX(Database!$AQ$5:$AQ$518,MATCH(LARGE('Calc (scoring engine)'!$K$5:$K$518,9),'Calc (scoring engine)'!$K$5:$K$518,0))),""))</f>
        <v/>
      </c>
      <c r="AO29" s="23">
        <f>IF(OR(9&gt;MAX(3,MIN(15,N($D$18))),IFERROR(LARGE('Calc (scoring engine)'!$K$5:$K$518,9),-999999)&lt;=-900000),"",IFERROR(IF(INDEX(Database!$AR$5:$AR$518,MATCH(LARGE('Calc (scoring engine)'!$K$5:$K$518,9),'Calc (scoring engine)'!$K$5:$K$518,0))="","—",INDEX(Database!$AR$5:$AR$518,MATCH(LARGE('Calc (scoring engine)'!$K$5:$K$518,9),'Calc (scoring engine)'!$K$5:$K$518,0))),""))</f>
        <v/>
      </c>
      <c r="AP29" s="23">
        <f>IF(OR(9&gt;MAX(3,MIN(15,N($D$18))),IFERROR(LARGE('Calc (scoring engine)'!$K$5:$K$518,9),-999999)&lt;=-900000),"",IFERROR(IF(INDEX(Database!$AS$5:$AS$518,MATCH(LARGE('Calc (scoring engine)'!$K$5:$K$518,9),'Calc (scoring engine)'!$K$5:$K$518,0))="","—",INDEX(Database!$AS$5:$AS$518,MATCH(LARGE('Calc (scoring engine)'!$K$5:$K$518,9),'Calc (scoring engine)'!$K$5:$K$518,0))),""))</f>
        <v/>
      </c>
      <c r="AQ29" s="23">
        <f>IF(OR(9&gt;MAX(3,MIN(15,N($D$18))),IFERROR(LARGE('Calc (scoring engine)'!$K$5:$K$518,9),-999999)&lt;=-900000),"",IFERROR(IF(INDEX(Database!$AT$5:$AT$518,MATCH(LARGE('Calc (scoring engine)'!$K$5:$K$518,9),'Calc (scoring engine)'!$K$5:$K$518,0))="","—",INDEX(Database!$AT$5:$AT$518,MATCH(LARGE('Calc (scoring engine)'!$K$5:$K$518,9),'Calc (scoring engine)'!$K$5:$K$518,0))),""))</f>
        <v/>
      </c>
      <c r="AR29" s="23">
        <f>IF(OR(9&gt;MAX(3,MIN(15,N($D$18))),IFERROR(LARGE('Calc (scoring engine)'!$K$5:$K$518,9),-999999)&lt;=-900000),"",IFERROR(IF(INDEX(Database!$AU$5:$AU$518,MATCH(LARGE('Calc (scoring engine)'!$K$5:$K$518,9),'Calc (scoring engine)'!$K$5:$K$518,0))="","—",INDEX(Database!$AU$5:$AU$518,MATCH(LARGE('Calc (scoring engine)'!$K$5:$K$518,9),'Calc (scoring engine)'!$K$5:$K$518,0))),""))</f>
        <v/>
      </c>
      <c r="AS29" s="23">
        <f>IF(OR(9&gt;MAX(3,MIN(15,N($D$18))),IFERROR(LARGE('Calc (scoring engine)'!$K$5:$K$518,9),-999999)&lt;=-900000),"",IFERROR(IF(INDEX(Database!$AV$5:$AV$518,MATCH(LARGE('Calc (scoring engine)'!$K$5:$K$518,9),'Calc (scoring engine)'!$K$5:$K$518,0))="","—",INDEX(Database!$AV$5:$AV$518,MATCH(LARGE('Calc (scoring engine)'!$K$5:$K$518,9),'Calc (scoring engine)'!$K$5:$K$518,0))),""))</f>
        <v/>
      </c>
      <c r="AT29" s="23">
        <f>IF(OR(9&gt;MAX(3,MIN(15,N($D$18))),IFERROR(LARGE('Calc (scoring engine)'!$K$5:$K$518,9),-999999)&lt;=-900000),"",IFERROR(IF(INDEX(Database!$AW$5:$AW$518,MATCH(LARGE('Calc (scoring engine)'!$K$5:$K$518,9),'Calc (scoring engine)'!$K$5:$K$518,0))="","—",INDEX(Database!$AW$5:$AW$518,MATCH(LARGE('Calc (scoring engine)'!$K$5:$K$518,9),'Calc (scoring engine)'!$K$5:$K$518,0))),""))</f>
        <v/>
      </c>
      <c r="AU29" s="23">
        <f>IF(OR(9&gt;MAX(3,MIN(15,N($D$18))),IFERROR(LARGE('Calc (scoring engine)'!$K$5:$K$518,9),-999999)&lt;=-900000),"",IFERROR(IF(INDEX(Database!$AX$5:$AX$518,MATCH(LARGE('Calc (scoring engine)'!$K$5:$K$518,9),'Calc (scoring engine)'!$K$5:$K$518,0))="","—",INDEX(Database!$AX$5:$AX$518,MATCH(LARGE('Calc (scoring engine)'!$K$5:$K$518,9),'Calc (scoring engine)'!$K$5:$K$518,0))),""))</f>
        <v/>
      </c>
      <c r="AV29" s="23">
        <f>IF(OR(9&gt;MAX(3,MIN(15,N($D$18))),IFERROR(LARGE('Calc (scoring engine)'!$K$5:$K$518,9),-999999)&lt;=-900000),"",IFERROR(IF(INDEX(Database!$AY$5:$AY$518,MATCH(LARGE('Calc (scoring engine)'!$K$5:$K$518,9),'Calc (scoring engine)'!$K$5:$K$518,0))="","—",INDEX(Database!$AY$5:$AY$518,MATCH(LARGE('Calc (scoring engine)'!$K$5:$K$518,9),'Calc (scoring engine)'!$K$5:$K$518,0))),""))</f>
        <v/>
      </c>
      <c r="AW29" s="23">
        <f>IF(OR(9&gt;MAX(3,MIN(15,N($D$18))),IFERROR(LARGE('Calc (scoring engine)'!$K$5:$K$518,9),-999999)&lt;=-900000),"",IFERROR(IF(INDEX(Database!$BA$5:$BA$518,MATCH(LARGE('Calc (scoring engine)'!$K$5:$K$518,9),'Calc (scoring engine)'!$K$5:$K$518,0))="","—",INDEX(Database!$BA$5:$BA$518,MATCH(LARGE('Calc (scoring engine)'!$K$5:$K$518,9),'Calc (scoring engine)'!$K$5:$K$518,0))),""))</f>
        <v/>
      </c>
      <c r="AX29" s="18">
        <f>IF(OR(9&gt;MAX(3,MIN(15,N($D$18))),IFERROR(LARGE('Calc (scoring engine)'!$K$5:$K$518,9),-999999)&lt;=-900000),"",IFERROR(IF(INDEX(Database!$BC$5:$BC$518,MATCH(LARGE('Calc (scoring engine)'!$K$5:$K$518,9),'Calc (scoring engine)'!$K$5:$K$518,0))="","—",INDEX(Database!$BC$5:$BC$518,MATCH(LARGE('Calc (scoring engine)'!$K$5:$K$518,9),'Calc (scoring engine)'!$K$5:$K$518,0))),""))</f>
        <v/>
      </c>
      <c r="AY29" s="18">
        <f>IF(OR(9&gt;MAX(3,MIN(15,N($D$18))),IFERROR(LARGE('Calc (scoring engine)'!$K$5:$K$518,9),-999999)&lt;=-900000),"",IFERROR(IF(INDEX(Database!$BD$5:$BD$518,MATCH(LARGE('Calc (scoring engine)'!$K$5:$K$518,9),'Calc (scoring engine)'!$K$5:$K$518,0))="","—",INDEX(Database!$BD$5:$BD$518,MATCH(LARGE('Calc (scoring engine)'!$K$5:$K$518,9),'Calc (scoring engine)'!$K$5:$K$518,0))),""))</f>
        <v/>
      </c>
      <c r="AZ29" s="10">
        <f>IF(OR(9&gt;MAX(3,MIN(15,N($D$18))),IFERROR(LARGE('Calc (scoring engine)'!$K$5:$K$518,9),-999999)&lt;=-900000),"",IFERROR(IF(INDEX(Database!$BE$5:$BE$518,MATCH(LARGE('Calc (scoring engine)'!$K$5:$K$518,9),'Calc (scoring engine)'!$K$5:$K$518,0))="","—",INDEX(Database!$BE$5:$BE$518,MATCH(LARGE('Calc (scoring engine)'!$K$5:$K$518,9),'Calc (scoring engine)'!$K$5:$K$518,0))),""))</f>
        <v/>
      </c>
      <c r="BA29" s="24">
        <f>IF(OR(9&gt;MAX(3,MIN(15,N($D$18))),IFERROR(LARGE('Calc (scoring engine)'!$K$5:$K$518,9),-999999)&lt;=-900000),"",IFERROR(IF(N(INDEX(Database!$BF$5:$BF$518,MATCH(LARGE('Calc (scoring engine)'!$K$5:$K$518,9),'Calc (scoring engine)'!$K$5:$K$518,0)))&lt;=0,IF(INDEX(Database!$BE$5:$BE$518,MATCH(LARGE('Calc (scoring engine)'!$K$5:$K$518,9),'Calc (scoring engine)'!$K$5:$K$518,0))="N","n/m","—"),INDEX(Database!$BF$5:$BF$518,MATCH(LARGE('Calc (scoring engine)'!$K$5:$K$518,9),'Calc (scoring engine)'!$K$5:$K$518,0))),""))</f>
        <v/>
      </c>
      <c r="BB29" s="24">
        <f>IF(OR(9&gt;MAX(3,MIN(15,N($D$18))),IFERROR(LARGE('Calc (scoring engine)'!$K$5:$K$518,9),-999999)&lt;=-900000),"",IFERROR(IF(INDEX(Database!$BG$5:$BG$518,MATCH(LARGE('Calc (scoring engine)'!$K$5:$K$518,9),'Calc (scoring engine)'!$K$5:$K$518,0))="","—",INDEX(Database!$BG$5:$BG$518,MATCH(LARGE('Calc (scoring engine)'!$K$5:$K$518,9),'Calc (scoring engine)'!$K$5:$K$518,0))),""))</f>
        <v/>
      </c>
      <c r="BC29" s="24">
        <f>IF(OR(9&gt;MAX(3,MIN(15,N($D$18))),IFERROR(LARGE('Calc (scoring engine)'!$K$5:$K$518,9),-999999)&lt;=-900000),"",IFERROR(IF(INDEX(Database!$BH$5:$BH$518,MATCH(LARGE('Calc (scoring engine)'!$K$5:$K$518,9),'Calc (scoring engine)'!$K$5:$K$518,0))="","—",INDEX(Database!$BH$5:$BH$518,MATCH(LARGE('Calc (scoring engine)'!$K$5:$K$518,9),'Calc (scoring engine)'!$K$5:$K$518,0))),""))</f>
        <v/>
      </c>
      <c r="BD29" s="24">
        <f>IF(OR(9&gt;MAX(3,MIN(15,N($D$18))),IFERROR(LARGE('Calc (scoring engine)'!$K$5:$K$518,9),-999999)&lt;=-900000),"",IFERROR(IF(INDEX(Database!$BI$5:$BI$518,MATCH(LARGE('Calc (scoring engine)'!$K$5:$K$518,9),'Calc (scoring engine)'!$K$5:$K$518,0))="","—",INDEX(Database!$BI$5:$BI$518,MATCH(LARGE('Calc (scoring engine)'!$K$5:$K$518,9),'Calc (scoring engine)'!$K$5:$K$518,0))),""))</f>
        <v/>
      </c>
      <c r="BE29" s="24">
        <f>IF(OR(9&gt;MAX(3,MIN(15,N($D$18))),IFERROR(LARGE('Calc (scoring engine)'!$K$5:$K$518,9),-999999)&lt;=-900000),"",IFERROR(IF(INDEX(Database!$BJ$5:$BJ$518,MATCH(LARGE('Calc (scoring engine)'!$K$5:$K$518,9),'Calc (scoring engine)'!$K$5:$K$518,0))="","—",INDEX(Database!$BJ$5:$BJ$518,MATCH(LARGE('Calc (scoring engine)'!$K$5:$K$518,9),'Calc (scoring engine)'!$K$5:$K$518,0))),""))</f>
        <v/>
      </c>
      <c r="BF29" s="24">
        <f>IF(OR(9&gt;MAX(3,MIN(15,N($D$18))),IFERROR(LARGE('Calc (scoring engine)'!$K$5:$K$518,9),-999999)&lt;=-900000),"",IFERROR(IFERROR(BDP(TEXT(INDEX(Database!$A$5:$A$518,MATCH(LARGE('Calc (scoring engine)'!$K$5:$K$518,9),'Calc (scoring engine)'!$K$5:$K$518,0)),"0")&amp;" HK Equity","PE_RATIO"),IF(INDEX(Database!$BH$5:$BH$518,MATCH(LARGE('Calc (scoring engine)'!$K$5:$K$518,9),'Calc (scoring engine)'!$K$5:$K$518,0))="","—",INDEX(Database!$BH$5:$BH$518,MATCH(LARGE('Calc (scoring engine)'!$K$5:$K$518,9),'Calc (scoring engine)'!$K$5:$K$518,0)))),""))</f>
        <v/>
      </c>
      <c r="BG29" s="24">
        <f>IF(OR(9&gt;MAX(3,MIN(15,N($D$18))),IFERROR(LARGE('Calc (scoring engine)'!$K$5:$K$518,9),-999999)&lt;=-900000),"",IFERROR(IFERROR(BDP(TEXT(INDEX(Database!$A$5:$A$518,MATCH(LARGE('Calc (scoring engine)'!$K$5:$K$518,9),'Calc (scoring engine)'!$K$5:$K$518,0)),"0")&amp;" HK Equity","PX_TO_SALES_RATIO"),IF(INDEX(Database!$BI$5:$BI$518,MATCH(LARGE('Calc (scoring engine)'!$K$5:$K$518,9),'Calc (scoring engine)'!$K$5:$K$518,0))="","—",INDEX(Database!$BI$5:$BI$518,MATCH(LARGE('Calc (scoring engine)'!$K$5:$K$518,9),'Calc (scoring engine)'!$K$5:$K$518,0)))),""))</f>
        <v/>
      </c>
      <c r="BH29" s="10">
        <f>IF(OR(9&gt;MAX(3,MIN(15,N($D$18))),IFERROR(LARGE('Calc (scoring engine)'!$K$5:$K$518,9),-999999)&lt;=-900000),"",IFERROR(IF(INDEX(Database!$BK$5:$BK$518,MATCH(LARGE('Calc (scoring engine)'!$K$5:$K$518,9),'Calc (scoring engine)'!$K$5:$K$518,0))="","—",INDEX(Database!$BK$5:$BK$518,MATCH(LARGE('Calc (scoring engine)'!$K$5:$K$518,9),'Calc (scoring engine)'!$K$5:$K$518,0))),""))</f>
        <v/>
      </c>
      <c r="BI29" s="10">
        <f>IF(OR(9&gt;MAX(3,MIN(15,N($D$18))),IFERROR(LARGE('Calc (scoring engine)'!$K$5:$K$518,9),-999999)&lt;=-900000),"",IFERROR(IF(INDEX(Database!$BL$5:$BL$518,MATCH(LARGE('Calc (scoring engine)'!$K$5:$K$518,9),'Calc (scoring engine)'!$K$5:$K$518,0))="","—",INDEX(Database!$BL$5:$BL$518,MATCH(LARGE('Calc (scoring engine)'!$K$5:$K$518,9),'Calc (scoring engine)'!$K$5:$K$518,0))),""))</f>
        <v/>
      </c>
      <c r="BJ29" s="23">
        <f>IF(OR(9&gt;MAX(3,MIN(15,N($D$18))),IFERROR(LARGE('Calc (scoring engine)'!$K$5:$K$518,9),-999999)&lt;=-900000),"",IFERROR(IF(INDEX(Database!$BM$5:$BM$518,MATCH(LARGE('Calc (scoring engine)'!$K$5:$K$518,9),'Calc (scoring engine)'!$K$5:$K$518,0))="","—",INDEX(Database!$BM$5:$BM$518,MATCH(LARGE('Calc (scoring engine)'!$K$5:$K$518,9),'Calc (scoring engine)'!$K$5:$K$518,0))),""))</f>
        <v/>
      </c>
      <c r="BK29" s="40">
        <f>IF(OR(9&gt;MAX(3,MIN(15,N($D$18))),IFERROR(LARGE('Calc (scoring engine)'!$K$5:$K$518,9),-999999)&lt;=-900000),"",IFERROR(IF(INDEX(Database!$BN$5:$BN$518,MATCH(LARGE('Calc (scoring engine)'!$K$5:$K$518,9),'Calc (scoring engine)'!$K$5:$K$518,0))="","—",INDEX(Database!$BN$5:$BN$518,MATCH(LARGE('Calc (scoring engine)'!$K$5:$K$518,9),'Calc (scoring engine)'!$K$5:$K$518,0))),""))</f>
        <v/>
      </c>
      <c r="BL29" s="43">
        <f>IF(OR(9&gt;MAX(3,MIN(15,N($D$18))),IFERROR(LARGE('Calc (scoring engine)'!$K$5:$K$518,9),-999999)&lt;=-900000),"",IFERROR(IF(INDEX(Database!$BO$5:$BO$518,MATCH(LARGE('Calc (scoring engine)'!$K$5:$K$518,9),'Calc (scoring engine)'!$K$5:$K$518,0))="","—",INDEX(Database!$BO$5:$BO$518,MATCH(LARGE('Calc (scoring engine)'!$K$5:$K$518,9),'Calc (scoring engine)'!$K$5:$K$518,0))),""))</f>
        <v/>
      </c>
      <c r="BM29" s="18">
        <f>IF(OR(9&gt;MAX(3,MIN(15,N($D$18))),IFERROR(LARGE('Calc (scoring engine)'!$K$5:$K$518,9),-999999)&lt;=-900000),"",IFERROR(IF(INDEX(Database!$BP$5:$BP$518,MATCH(LARGE('Calc (scoring engine)'!$K$5:$K$518,9),'Calc (scoring engine)'!$K$5:$K$518,0))="","—",INDEX(Database!$BP$5:$BP$518,MATCH(LARGE('Calc (scoring engine)'!$K$5:$K$518,9),'Calc (scoring engine)'!$K$5:$K$518,0))),""))</f>
        <v/>
      </c>
      <c r="BN29" s="24">
        <f>IF(OR(9&gt;MAX(3,MIN(15,N($D$18))),IFERROR(LARGE('Calc (scoring engine)'!$K$5:$K$518,9),-999999)&lt;=-900000),"",IFERROR(IF(INDEX(Database!$BQ$5:$BQ$518,MATCH(LARGE('Calc (scoring engine)'!$K$5:$K$518,9),'Calc (scoring engine)'!$K$5:$K$518,0))="","—",INDEX(Database!$BQ$5:$BQ$518,MATCH(LARGE('Calc (scoring engine)'!$K$5:$K$518,9),'Calc (scoring engine)'!$K$5:$K$518,0))),""))</f>
        <v/>
      </c>
      <c r="BO29" s="24">
        <f>IF(OR(9&gt;MAX(3,MIN(15,N($D$18))),IFERROR(LARGE('Calc (scoring engine)'!$K$5:$K$518,9),-999999)&lt;=-900000),"",IFERROR(IF(INDEX(Database!$BR$5:$BR$518,MATCH(LARGE('Calc (scoring engine)'!$K$5:$K$518,9),'Calc (scoring engine)'!$K$5:$K$518,0))="","—",INDEX(Database!$BR$5:$BR$518,MATCH(LARGE('Calc (scoring engine)'!$K$5:$K$518,9),'Calc (scoring engine)'!$K$5:$K$518,0))),""))</f>
        <v/>
      </c>
      <c r="BP29" s="10">
        <f>IF(OR(9&gt;MAX(3,MIN(15,N($D$18))),IFERROR(LARGE('Calc (scoring engine)'!$K$5:$K$518,9),-999999)&lt;=-900000),"",IFERROR(IF(INDEX(Database!$BS$5:$BS$518,MATCH(LARGE('Calc (scoring engine)'!$K$5:$K$518,9),'Calc (scoring engine)'!$K$5:$K$518,0))="","—",INDEX(Database!$BS$5:$BS$518,MATCH(LARGE('Calc (scoring engine)'!$K$5:$K$518,9),'Calc (scoring engine)'!$K$5:$K$518,0))),""))</f>
        <v/>
      </c>
      <c r="BQ29" s="10">
        <f>IF(OR(9&gt;MAX(3,MIN(15,N($D$18))),IFERROR(LARGE('Calc (scoring engine)'!$K$5:$K$518,9),-999999)&lt;=-900000),"",IFERROR(IF(INDEX(Database!$BU$5:$BU$518,MATCH(LARGE('Calc (scoring engine)'!$K$5:$K$518,9),'Calc (scoring engine)'!$K$5:$K$518,0))="","—",INDEX(Database!$BU$5:$BU$518,MATCH(LARGE('Calc (scoring engine)'!$K$5:$K$518,9),'Calc (scoring engine)'!$K$5:$K$518,0))),""))</f>
        <v/>
      </c>
      <c r="BR29" s="44">
        <f>IF(OR(9&gt;MAX(3,MIN(15,N($D$18))),IFERROR(LARGE('Calc (scoring engine)'!$K$5:$K$518,9),-999999)&lt;=-900000),"",IFERROR(IF(INDEX('Calc (scoring engine)'!$H$5:$H$518,MATCH(LARGE('Calc (scoring engine)'!$K$5:$K$518,9),'Calc (scoring engine)'!$K$5:$K$518,0))&gt;0,INDEX('Calc (scoring engine)'!$H$5:$H$518,MATCH(LARGE('Calc (scoring engine)'!$K$5:$K$518,9),'Calc (scoring engine)'!$K$5:$K$518,0)),""),""))</f>
        <v/>
      </c>
      <c r="BS29" s="10">
        <f>IF(OR(9&gt;MAX(3,MIN(15,N($D$18))),IFERROR(LARGE('Calc (scoring engine)'!$K$5:$K$518,9),-999999)&lt;=-900000),"",IF(IFERROR(INDEX('Calc (scoring engine)'!$B$5:$B$518,MATCH(LARGE('Calc (scoring engine)'!$K$5:$K$518,9),'Calc (scoring engine)'!$K$5:$K$518,0)),0)=1,"same subsector","sector only"))</f>
        <v/>
      </c>
      <c r="BT29" s="44">
        <f>IF(OR(9&gt;MAX(3,MIN(15,N($D$18))),IFERROR(LARGE('Calc (scoring engine)'!$K$5:$K$518,9),-999999)&lt;=-900000),"",ROUND(IFERROR(LARGE('Calc (scoring engine)'!$K$5:$K$518,9),0),0))</f>
        <v/>
      </c>
      <c r="BU29" s="10">
        <f>IF(OR(9&gt;MAX(3,MIN(15,N($D$18))),IFERROR(LARGE('Calc (scoring engine)'!$K$5:$K$518,9),-999999)&lt;=-900000),"",IFERROR("sub "&amp;INDEX('Calc (scoring engine)'!$B$5:$B$518,MATCH(LARGE('Calc (scoring engine)'!$K$5:$K$518,9),'Calc (scoring engine)'!$K$5:$K$518,0))*W_SUB&amp;" + size "&amp;ROUND(INDEX('Calc (scoring engine)'!$D$5:$D$518,MATCH(LARGE('Calc (scoring engine)'!$K$5:$K$518,9),'Calc (scoring engine)'!$K$5:$K$518,0))*W_SIZE,0)&amp;" + prof "&amp;INDEX('Calc (scoring engine)'!$E$5:$E$518,MATCH(LARGE('Calc (scoring engine)'!$K$5:$K$518,9),'Calc (scoring engine)'!$K$5:$K$518,0))*W_PROF&amp;" + recency "&amp;ROUND(INDEX('Calc (scoring engine)'!$G$5:$G$518,MATCH(LARGE('Calc (scoring engine)'!$K$5:$K$518,9),'Calc (scoring engine)'!$K$5:$K$518,0))*W_REC,0)&amp;IF(INDEX('Calc (scoring engine)'!$H$5:$H$518,MATCH(LARGE('Calc (scoring engine)'!$K$5:$K$518,9),'Calc (scoring engine)'!$K$5:$K$518,0))&gt;0," + shared CS x"&amp;INDEX('Calc (scoring engine)'!$H$5:$H$518,MATCH(LARGE('Calc (scoring engine)'!$K$5:$K$518,9),'Calc (scoring engine)'!$K$5:$K$518,0)),""),""))</f>
        <v/>
      </c>
    </row>
    <row r="30">
      <c r="A30" s="38">
        <f>IF(OR(10&gt;MAX(3,MIN(15,N($D$18))),IFERROR(LARGE('Calc (scoring engine)'!$K$5:$K$518,10),-999999)&lt;=-900000),"",10)</f>
        <v/>
      </c>
      <c r="B30" s="10">
        <f>IF(OR(10&gt;MAX(3,MIN(15,N($D$18))),IFERROR(LARGE('Calc (scoring engine)'!$K$5:$K$518,10),-999999)&lt;=-900000),"",IFERROR(IF(INDEX(Database!$B$5:$B$518,MATCH(LARGE('Calc (scoring engine)'!$K$5:$K$518,10),'Calc (scoring engine)'!$K$5:$K$518,0))="","—",INDEX(Database!$B$5:$B$518,MATCH(LARGE('Calc (scoring engine)'!$K$5:$K$518,10),'Calc (scoring engine)'!$K$5:$K$518,0))),""))</f>
        <v/>
      </c>
      <c r="C30" s="39">
        <f>IF(OR(10&gt;MAX(3,MIN(15,N($D$18))),IFERROR(LARGE('Calc (scoring engine)'!$K$5:$K$518,10),-999999)&lt;=-900000),"",IFERROR(IF(INDEX(Database!$A$5:$A$518,MATCH(LARGE('Calc (scoring engine)'!$K$5:$K$518,10),'Calc (scoring engine)'!$K$5:$K$518,0))="","—",INDEX(Database!$A$5:$A$518,MATCH(LARGE('Calc (scoring engine)'!$K$5:$K$518,10),'Calc (scoring engine)'!$K$5:$K$518,0))),""))</f>
        <v/>
      </c>
      <c r="D30" s="10">
        <f>IF(OR(10&gt;MAX(3,MIN(15,N($D$18))),IFERROR(LARGE('Calc (scoring engine)'!$K$5:$K$518,10),-999999)&lt;=-900000),"",IFERROR(IF(INDEX(Database!$D$5:$D$518,MATCH(LARGE('Calc (scoring engine)'!$K$5:$K$518,10),'Calc (scoring engine)'!$K$5:$K$518,0))="","—",INDEX(Database!$D$5:$D$518,MATCH(LARGE('Calc (scoring engine)'!$K$5:$K$518,10),'Calc (scoring engine)'!$K$5:$K$518,0))),""))</f>
        <v/>
      </c>
      <c r="E30" s="10">
        <f>IF(OR(10&gt;MAX(3,MIN(15,N($D$18))),IFERROR(LARGE('Calc (scoring engine)'!$K$5:$K$518,10),-999999)&lt;=-900000),"",IFERROR(IF(INDEX(Database!$E$5:$E$518,MATCH(LARGE('Calc (scoring engine)'!$K$5:$K$518,10),'Calc (scoring engine)'!$K$5:$K$518,0))="","—",INDEX(Database!$E$5:$E$518,MATCH(LARGE('Calc (scoring engine)'!$K$5:$K$518,10),'Calc (scoring engine)'!$K$5:$K$518,0))),""))</f>
        <v/>
      </c>
      <c r="F30" s="10">
        <f>IF(OR(10&gt;MAX(3,MIN(15,N($D$18))),IFERROR(LARGE('Calc (scoring engine)'!$K$5:$K$518,10),-999999)&lt;=-900000),"",IFERROR(IF(INDEX(Database!$F$5:$F$518,MATCH(LARGE('Calc (scoring engine)'!$K$5:$K$518,10),'Calc (scoring engine)'!$K$5:$K$518,0))="","—",INDEX(Database!$F$5:$F$518,MATCH(LARGE('Calc (scoring engine)'!$K$5:$K$518,10),'Calc (scoring engine)'!$K$5:$K$518,0))),""))</f>
        <v/>
      </c>
      <c r="G30" s="10">
        <f>IF(OR(10&gt;MAX(3,MIN(15,N($D$18))),IFERROR(LARGE('Calc (scoring engine)'!$K$5:$K$518,10),-999999)&lt;=-900000),"",IFERROR(IF(INDEX(Database!$G$5:$G$518,MATCH(LARGE('Calc (scoring engine)'!$K$5:$K$518,10),'Calc (scoring engine)'!$K$5:$K$518,0))="","—",INDEX(Database!$G$5:$G$518,MATCH(LARGE('Calc (scoring engine)'!$K$5:$K$518,10),'Calc (scoring engine)'!$K$5:$K$518,0))),""))</f>
        <v/>
      </c>
      <c r="H30" s="21">
        <f>IF(OR(10&gt;MAX(3,MIN(15,N($D$18))),IFERROR(LARGE('Calc (scoring engine)'!$K$5:$K$518,10),-999999)&lt;=-900000),"",IFERROR(IF(INDEX(Database!$H$5:$H$518,MATCH(LARGE('Calc (scoring engine)'!$K$5:$K$518,10),'Calc (scoring engine)'!$K$5:$K$518,0))="","—",INDEX(Database!$H$5:$H$518,MATCH(LARGE('Calc (scoring engine)'!$K$5:$K$518,10),'Calc (scoring engine)'!$K$5:$K$518,0))),""))</f>
        <v/>
      </c>
      <c r="I30" s="18">
        <f>IF(OR(10&gt;MAX(3,MIN(15,N($D$18))),IFERROR(LARGE('Calc (scoring engine)'!$K$5:$K$518,10),-999999)&lt;=-900000),"",IFERROR(IF(INDEX(Database!$I$5:$I$518,MATCH(LARGE('Calc (scoring engine)'!$K$5:$K$518,10),'Calc (scoring engine)'!$K$5:$K$518,0))="","—",INDEX(Database!$I$5:$I$518,MATCH(LARGE('Calc (scoring engine)'!$K$5:$K$518,10),'Calc (scoring engine)'!$K$5:$K$518,0))),""))</f>
        <v/>
      </c>
      <c r="J30" s="40">
        <f>IF(OR(10&gt;MAX(3,MIN(15,N($D$18))),IFERROR(LARGE('Calc (scoring engine)'!$K$5:$K$518,10),-999999)&lt;=-900000),"",IFERROR(IF(INDEX(Database!$K$5:$K$518,MATCH(LARGE('Calc (scoring engine)'!$K$5:$K$518,10),'Calc (scoring engine)'!$K$5:$K$518,0))="","—",INDEX(Database!$K$5:$K$518,MATCH(LARGE('Calc (scoring engine)'!$K$5:$K$518,10),'Calc (scoring engine)'!$K$5:$K$518,0))),""))</f>
        <v/>
      </c>
      <c r="K30" s="40">
        <f>IF(OR(10&gt;MAX(3,MIN(15,N($D$18))),IFERROR(LARGE('Calc (scoring engine)'!$K$5:$K$518,10),-999999)&lt;=-900000),"",IFERROR(IF(INDEX(Database!$L$5:$L$518,MATCH(LARGE('Calc (scoring engine)'!$K$5:$K$518,10),'Calc (scoring engine)'!$K$5:$K$518,0))="","—",INDEX(Database!$L$5:$L$518,MATCH(LARGE('Calc (scoring engine)'!$K$5:$K$518,10),'Calc (scoring engine)'!$K$5:$K$518,0))),""))</f>
        <v/>
      </c>
      <c r="L30" s="40">
        <f>IF(OR(10&gt;MAX(3,MIN(15,N($D$18))),IFERROR(LARGE('Calc (scoring engine)'!$K$5:$K$518,10),-999999)&lt;=-900000),"",IFERROR(IF(INDEX(Database!$M$5:$M$518,MATCH(LARGE('Calc (scoring engine)'!$K$5:$K$518,10),'Calc (scoring engine)'!$K$5:$K$518,0))="","—",INDEX(Database!$M$5:$M$518,MATCH(LARGE('Calc (scoring engine)'!$K$5:$K$518,10),'Calc (scoring engine)'!$K$5:$K$518,0))),""))</f>
        <v/>
      </c>
      <c r="M30" s="10">
        <f>IF(OR(10&gt;MAX(3,MIN(15,N($D$18))),IFERROR(LARGE('Calc (scoring engine)'!$K$5:$K$518,10),-999999)&lt;=-900000),"",IFERROR(IF(INDEX(Database!$N$5:$N$518,MATCH(LARGE('Calc (scoring engine)'!$K$5:$K$518,10),'Calc (scoring engine)'!$K$5:$K$518,0))="","—",INDEX(Database!$N$5:$N$518,MATCH(LARGE('Calc (scoring engine)'!$K$5:$K$518,10),'Calc (scoring engine)'!$K$5:$K$518,0))),""))</f>
        <v/>
      </c>
      <c r="N30" s="28">
        <f>IF(OR(10&gt;MAX(3,MIN(15,N($D$18))),IFERROR(LARGE('Calc (scoring engine)'!$K$5:$K$518,10),-999999)&lt;=-900000),"",IFERROR(IF(INDEX(Database!$O$5:$O$518,MATCH(LARGE('Calc (scoring engine)'!$K$5:$K$518,10),'Calc (scoring engine)'!$K$5:$K$518,0))="","—",INDEX(Database!$O$5:$O$518,MATCH(LARGE('Calc (scoring engine)'!$K$5:$K$518,10),'Calc (scoring engine)'!$K$5:$K$518,0))),""))</f>
        <v/>
      </c>
      <c r="O30" s="28">
        <f>IF(OR(10&gt;MAX(3,MIN(15,N($D$18))),IFERROR(LARGE('Calc (scoring engine)'!$K$5:$K$518,10),-999999)&lt;=-900000),"",IFERROR(IF(INDEX(Database!$P$5:$P$518,MATCH(LARGE('Calc (scoring engine)'!$K$5:$K$518,10),'Calc (scoring engine)'!$K$5:$K$518,0))="","—",INDEX(Database!$P$5:$P$518,MATCH(LARGE('Calc (scoring engine)'!$K$5:$K$518,10),'Calc (scoring engine)'!$K$5:$K$518,0))),""))</f>
        <v/>
      </c>
      <c r="P30" s="18">
        <f>IF(OR(10&gt;MAX(3,MIN(15,N($D$18))),IFERROR(LARGE('Calc (scoring engine)'!$K$5:$K$518,10),-999999)&lt;=-900000),"",IFERROR(IF(INDEX(Database!$Q$5:$Q$518,MATCH(LARGE('Calc (scoring engine)'!$K$5:$K$518,10),'Calc (scoring engine)'!$K$5:$K$518,0))="","—",INDEX(Database!$Q$5:$Q$518,MATCH(LARGE('Calc (scoring engine)'!$K$5:$K$518,10),'Calc (scoring engine)'!$K$5:$K$518,0))),""))</f>
        <v/>
      </c>
      <c r="Q30" s="26">
        <f>IF(OR(10&gt;MAX(3,MIN(15,N($D$18))),IFERROR(LARGE('Calc (scoring engine)'!$K$5:$K$518,10),-999999)&lt;=-900000),"",IFERROR(IF(INDEX(Database!$S$5:$S$518,MATCH(LARGE('Calc (scoring engine)'!$K$5:$K$518,10),'Calc (scoring engine)'!$K$5:$K$518,0))="","—",INDEX(Database!$S$5:$S$518,MATCH(LARGE('Calc (scoring engine)'!$K$5:$K$518,10),'Calc (scoring engine)'!$K$5:$K$518,0))),""))</f>
        <v/>
      </c>
      <c r="R30" s="41">
        <f>IF(OR(10&gt;MAX(3,MIN(15,N($D$18))),IFERROR(LARGE('Calc (scoring engine)'!$K$5:$K$518,10),-999999)&lt;=-900000),"",IFERROR(IF(INDEX(Database!$T$5:$T$518,MATCH(LARGE('Calc (scoring engine)'!$K$5:$K$518,10),'Calc (scoring engine)'!$K$5:$K$518,0))="","—",INDEX(Database!$T$5:$T$518,MATCH(LARGE('Calc (scoring engine)'!$K$5:$K$518,10),'Calc (scoring engine)'!$K$5:$K$518,0))),""))</f>
        <v/>
      </c>
      <c r="S30" s="42">
        <f>IF(OR(10&gt;MAX(3,MIN(15,N($D$18))),IFERROR(LARGE('Calc (scoring engine)'!$K$5:$K$518,10),-999999)&lt;=-900000),"",IFERROR(IF(INDEX(Database!$U$5:$U$518,MATCH(LARGE('Calc (scoring engine)'!$K$5:$K$518,10),'Calc (scoring engine)'!$K$5:$K$518,0))="","—",INDEX(Database!$U$5:$U$518,MATCH(LARGE('Calc (scoring engine)'!$K$5:$K$518,10),'Calc (scoring engine)'!$K$5:$K$518,0))),""))</f>
        <v/>
      </c>
      <c r="T30" s="18">
        <f>IF(OR(10&gt;MAX(3,MIN(15,N($D$18))),IFERROR(LARGE('Calc (scoring engine)'!$K$5:$K$518,10),-999999)&lt;=-900000),"",IFERROR(IF(INDEX(Database!$V$5:$V$518,MATCH(LARGE('Calc (scoring engine)'!$K$5:$K$518,10),'Calc (scoring engine)'!$K$5:$K$518,0))="","—",INDEX(Database!$V$5:$V$518,MATCH(LARGE('Calc (scoring engine)'!$K$5:$K$518,10),'Calc (scoring engine)'!$K$5:$K$518,0))),""))</f>
        <v/>
      </c>
      <c r="U30" s="18">
        <f>IF(OR(10&gt;MAX(3,MIN(15,N($D$18))),IFERROR(LARGE('Calc (scoring engine)'!$K$5:$K$518,10),-999999)&lt;=-900000),"",IFERROR(IF(INDEX(Database!$W$5:$W$518,MATCH(LARGE('Calc (scoring engine)'!$K$5:$K$518,10),'Calc (scoring engine)'!$K$5:$K$518,0))="","—",INDEX(Database!$W$5:$W$518,MATCH(LARGE('Calc (scoring engine)'!$K$5:$K$518,10),'Calc (scoring engine)'!$K$5:$K$518,0))),""))</f>
        <v/>
      </c>
      <c r="V30" s="28">
        <f>IF(OR(10&gt;MAX(3,MIN(15,N($D$18))),IFERROR(LARGE('Calc (scoring engine)'!$K$5:$K$518,10),-999999)&lt;=-900000),"",IFERROR(IF(INDEX(Database!$X$5:$X$518,MATCH(LARGE('Calc (scoring engine)'!$K$5:$K$518,10),'Calc (scoring engine)'!$K$5:$K$518,0))="","—",INDEX(Database!$X$5:$X$518,MATCH(LARGE('Calc (scoring engine)'!$K$5:$K$518,10),'Calc (scoring engine)'!$K$5:$K$518,0))),""))</f>
        <v/>
      </c>
      <c r="W30" s="10">
        <f>IF(OR(10&gt;MAX(3,MIN(15,N($D$18))),IFERROR(LARGE('Calc (scoring engine)'!$K$5:$K$518,10),-999999)&lt;=-900000),"",IFERROR(IF(INDEX(Database!$Y$5:$Y$518,MATCH(LARGE('Calc (scoring engine)'!$K$5:$K$518,10),'Calc (scoring engine)'!$K$5:$K$518,0))="","—",INDEX(Database!$Y$5:$Y$518,MATCH(LARGE('Calc (scoring engine)'!$K$5:$K$518,10),'Calc (scoring engine)'!$K$5:$K$518,0))),""))</f>
        <v/>
      </c>
      <c r="X30" s="28">
        <f>IF(OR(10&gt;MAX(3,MIN(15,N($D$18))),IFERROR(LARGE('Calc (scoring engine)'!$K$5:$K$518,10),-999999)&lt;=-900000),"",IFERROR(IF(INDEX(Database!$AA$5:$AA$518,MATCH(LARGE('Calc (scoring engine)'!$K$5:$K$518,10),'Calc (scoring engine)'!$K$5:$K$518,0))="","—",INDEX(Database!$AA$5:$AA$518,MATCH(LARGE('Calc (scoring engine)'!$K$5:$K$518,10),'Calc (scoring engine)'!$K$5:$K$518,0))),""))</f>
        <v/>
      </c>
      <c r="Y30" s="23">
        <f>IF(OR(10&gt;MAX(3,MIN(15,N($D$18))),IFERROR(LARGE('Calc (scoring engine)'!$K$5:$K$518,10),-999999)&lt;=-900000),"",IFERROR(IF(INDEX(Database!$AB$5:$AB$518,MATCH(LARGE('Calc (scoring engine)'!$K$5:$K$518,10),'Calc (scoring engine)'!$K$5:$K$518,0))="","—",INDEX(Database!$AB$5:$AB$518,MATCH(LARGE('Calc (scoring engine)'!$K$5:$K$518,10),'Calc (scoring engine)'!$K$5:$K$518,0))),""))</f>
        <v/>
      </c>
      <c r="Z30" s="40">
        <f>IF(OR(10&gt;MAX(3,MIN(15,N($D$18))),IFERROR(LARGE('Calc (scoring engine)'!$K$5:$K$518,10),-999999)&lt;=-900000),"",IFERROR(IF(INDEX(Database!$AC$5:$AC$518,MATCH(LARGE('Calc (scoring engine)'!$K$5:$K$518,10),'Calc (scoring engine)'!$K$5:$K$518,0))="","—",INDEX(Database!$AC$5:$AC$518,MATCH(LARGE('Calc (scoring engine)'!$K$5:$K$518,10),'Calc (scoring engine)'!$K$5:$K$518,0))),""))</f>
        <v/>
      </c>
      <c r="AA30" s="23">
        <f>IF(OR(10&gt;MAX(3,MIN(15,N($D$18))),IFERROR(LARGE('Calc (scoring engine)'!$K$5:$K$518,10),-999999)&lt;=-900000),"",IFERROR(IF(INDEX(Database!$AD$5:$AD$518,MATCH(LARGE('Calc (scoring engine)'!$K$5:$K$518,10),'Calc (scoring engine)'!$K$5:$K$518,0))="","—",INDEX(Database!$AD$5:$AD$518,MATCH(LARGE('Calc (scoring engine)'!$K$5:$K$518,10),'Calc (scoring engine)'!$K$5:$K$518,0))),""))</f>
        <v/>
      </c>
      <c r="AB30" s="10">
        <f>IF(OR(10&gt;MAX(3,MIN(15,N($D$18))),IFERROR(LARGE('Calc (scoring engine)'!$K$5:$K$518,10),-999999)&lt;=-900000),"",IFERROR(IF(INDEX(Database!$AE$5:$AE$518,MATCH(LARGE('Calc (scoring engine)'!$K$5:$K$518,10),'Calc (scoring engine)'!$K$5:$K$518,0))="","—",INDEX(Database!$AE$5:$AE$518,MATCH(LARGE('Calc (scoring engine)'!$K$5:$K$518,10),'Calc (scoring engine)'!$K$5:$K$518,0))),""))</f>
        <v/>
      </c>
      <c r="AC30" s="10">
        <f>IF(OR(10&gt;MAX(3,MIN(15,N($D$18))),IFERROR(LARGE('Calc (scoring engine)'!$K$5:$K$518,10),-999999)&lt;=-900000),"",IFERROR(IF(INDEX(Database!$AF$5:$AF$518,MATCH(LARGE('Calc (scoring engine)'!$K$5:$K$518,10),'Calc (scoring engine)'!$K$5:$K$518,0))="","—",INDEX(Database!$AF$5:$AF$518,MATCH(LARGE('Calc (scoring engine)'!$K$5:$K$518,10),'Calc (scoring engine)'!$K$5:$K$518,0))),""))</f>
        <v/>
      </c>
      <c r="AD30" s="10">
        <f>IF(OR(10&gt;MAX(3,MIN(15,N($D$18))),IFERROR(LARGE('Calc (scoring engine)'!$K$5:$K$518,10),-999999)&lt;=-900000),"",IFERROR(IF(INDEX(Database!$AG$5:$AG$518,MATCH(LARGE('Calc (scoring engine)'!$K$5:$K$518,10),'Calc (scoring engine)'!$K$5:$K$518,0))="","—",INDEX(Database!$AG$5:$AG$518,MATCH(LARGE('Calc (scoring engine)'!$K$5:$K$518,10),'Calc (scoring engine)'!$K$5:$K$518,0))),""))</f>
        <v/>
      </c>
      <c r="AE30" s="10">
        <f>IF(OR(10&gt;MAX(3,MIN(15,N($D$18))),IFERROR(LARGE('Calc (scoring engine)'!$K$5:$K$518,10),-999999)&lt;=-900000),"",IFERROR(IF(INDEX(Database!$AH$5:$AH$518,MATCH(LARGE('Calc (scoring engine)'!$K$5:$K$518,10),'Calc (scoring engine)'!$K$5:$K$518,0))="","—",INDEX(Database!$AH$5:$AH$518,MATCH(LARGE('Calc (scoring engine)'!$K$5:$K$518,10),'Calc (scoring engine)'!$K$5:$K$518,0))),""))</f>
        <v/>
      </c>
      <c r="AF30" s="10">
        <f>IF(OR(10&gt;MAX(3,MIN(15,N($D$18))),IFERROR(LARGE('Calc (scoring engine)'!$K$5:$K$518,10),-999999)&lt;=-900000),"",IFERROR(IF(INDEX(Database!$AI$5:$AI$518,MATCH(LARGE('Calc (scoring engine)'!$K$5:$K$518,10),'Calc (scoring engine)'!$K$5:$K$518,0))="","—",INDEX(Database!$AI$5:$AI$518,MATCH(LARGE('Calc (scoring engine)'!$K$5:$K$518,10),'Calc (scoring engine)'!$K$5:$K$518,0))),""))</f>
        <v/>
      </c>
      <c r="AG30" s="10">
        <f>IF(OR(10&gt;MAX(3,MIN(15,N($D$18))),IFERROR(LARGE('Calc (scoring engine)'!$K$5:$K$518,10),-999999)&lt;=-900000),"",IFERROR(IF(INDEX(Database!$AJ$5:$AJ$518,MATCH(LARGE('Calc (scoring engine)'!$K$5:$K$518,10),'Calc (scoring engine)'!$K$5:$K$518,0))="","—",INDEX(Database!$AJ$5:$AJ$518,MATCH(LARGE('Calc (scoring engine)'!$K$5:$K$518,10),'Calc (scoring engine)'!$K$5:$K$518,0))),""))</f>
        <v/>
      </c>
      <c r="AH30" s="23">
        <f>IF(OR(10&gt;MAX(3,MIN(15,N($D$18))),IFERROR(LARGE('Calc (scoring engine)'!$K$5:$K$518,10),-999999)&lt;=-900000),"",IFERROR(IF(INDEX(Database!$AK$5:$AK$518,MATCH(LARGE('Calc (scoring engine)'!$K$5:$K$518,10),'Calc (scoring engine)'!$K$5:$K$518,0))="","—",INDEX(Database!$AK$5:$AK$518,MATCH(LARGE('Calc (scoring engine)'!$K$5:$K$518,10),'Calc (scoring engine)'!$K$5:$K$518,0))),""))</f>
        <v/>
      </c>
      <c r="AI30" s="23">
        <f>IF(OR(10&gt;MAX(3,MIN(15,N($D$18))),IFERROR(LARGE('Calc (scoring engine)'!$K$5:$K$518,10),-999999)&lt;=-900000),"",IFERROR(IF(INDEX(Database!$AL$5:$AL$518,MATCH(LARGE('Calc (scoring engine)'!$K$5:$K$518,10),'Calc (scoring engine)'!$K$5:$K$518,0))="","—",INDEX(Database!$AL$5:$AL$518,MATCH(LARGE('Calc (scoring engine)'!$K$5:$K$518,10),'Calc (scoring engine)'!$K$5:$K$518,0))),""))</f>
        <v/>
      </c>
      <c r="AJ30" s="23">
        <f>IF(OR(10&gt;MAX(3,MIN(15,N($D$18))),IFERROR(LARGE('Calc (scoring engine)'!$K$5:$K$518,10),-999999)&lt;=-900000),"",IFERROR(IF(INDEX(Database!$AM$5:$AM$518,MATCH(LARGE('Calc (scoring engine)'!$K$5:$K$518,10),'Calc (scoring engine)'!$K$5:$K$518,0))="","—",INDEX(Database!$AM$5:$AM$518,MATCH(LARGE('Calc (scoring engine)'!$K$5:$K$518,10),'Calc (scoring engine)'!$K$5:$K$518,0))),""))</f>
        <v/>
      </c>
      <c r="AK30" s="23">
        <f>IF(OR(10&gt;MAX(3,MIN(15,N($D$18))),IFERROR(LARGE('Calc (scoring engine)'!$K$5:$K$518,10),-999999)&lt;=-900000),"",IFERROR(IF(INDEX(Database!$AN$5:$AN$518,MATCH(LARGE('Calc (scoring engine)'!$K$5:$K$518,10),'Calc (scoring engine)'!$K$5:$K$518,0))="","—",INDEX(Database!$AN$5:$AN$518,MATCH(LARGE('Calc (scoring engine)'!$K$5:$K$518,10),'Calc (scoring engine)'!$K$5:$K$518,0))),""))</f>
        <v/>
      </c>
      <c r="AL30" s="23">
        <f>IF(OR(10&gt;MAX(3,MIN(15,N($D$18))),IFERROR(LARGE('Calc (scoring engine)'!$K$5:$K$518,10),-999999)&lt;=-900000),"",IFERROR(IF(INDEX(Database!$AO$5:$AO$518,MATCH(LARGE('Calc (scoring engine)'!$K$5:$K$518,10),'Calc (scoring engine)'!$K$5:$K$518,0))="","—",INDEX(Database!$AO$5:$AO$518,MATCH(LARGE('Calc (scoring engine)'!$K$5:$K$518,10),'Calc (scoring engine)'!$K$5:$K$518,0))),""))</f>
        <v/>
      </c>
      <c r="AM30" s="23">
        <f>IF(OR(10&gt;MAX(3,MIN(15,N($D$18))),IFERROR(LARGE('Calc (scoring engine)'!$K$5:$K$518,10),-999999)&lt;=-900000),"",IFERROR(IF(INDEX(Database!$AP$5:$AP$518,MATCH(LARGE('Calc (scoring engine)'!$K$5:$K$518,10),'Calc (scoring engine)'!$K$5:$K$518,0))="","—",INDEX(Database!$AP$5:$AP$518,MATCH(LARGE('Calc (scoring engine)'!$K$5:$K$518,10),'Calc (scoring engine)'!$K$5:$K$518,0))),""))</f>
        <v/>
      </c>
      <c r="AN30" s="23">
        <f>IF(OR(10&gt;MAX(3,MIN(15,N($D$18))),IFERROR(LARGE('Calc (scoring engine)'!$K$5:$K$518,10),-999999)&lt;=-900000),"",IFERROR(IF(INDEX(Database!$AQ$5:$AQ$518,MATCH(LARGE('Calc (scoring engine)'!$K$5:$K$518,10),'Calc (scoring engine)'!$K$5:$K$518,0))="","—",INDEX(Database!$AQ$5:$AQ$518,MATCH(LARGE('Calc (scoring engine)'!$K$5:$K$518,10),'Calc (scoring engine)'!$K$5:$K$518,0))),""))</f>
        <v/>
      </c>
      <c r="AO30" s="23">
        <f>IF(OR(10&gt;MAX(3,MIN(15,N($D$18))),IFERROR(LARGE('Calc (scoring engine)'!$K$5:$K$518,10),-999999)&lt;=-900000),"",IFERROR(IF(INDEX(Database!$AR$5:$AR$518,MATCH(LARGE('Calc (scoring engine)'!$K$5:$K$518,10),'Calc (scoring engine)'!$K$5:$K$518,0))="","—",INDEX(Database!$AR$5:$AR$518,MATCH(LARGE('Calc (scoring engine)'!$K$5:$K$518,10),'Calc (scoring engine)'!$K$5:$K$518,0))),""))</f>
        <v/>
      </c>
      <c r="AP30" s="23">
        <f>IF(OR(10&gt;MAX(3,MIN(15,N($D$18))),IFERROR(LARGE('Calc (scoring engine)'!$K$5:$K$518,10),-999999)&lt;=-900000),"",IFERROR(IF(INDEX(Database!$AS$5:$AS$518,MATCH(LARGE('Calc (scoring engine)'!$K$5:$K$518,10),'Calc (scoring engine)'!$K$5:$K$518,0))="","—",INDEX(Database!$AS$5:$AS$518,MATCH(LARGE('Calc (scoring engine)'!$K$5:$K$518,10),'Calc (scoring engine)'!$K$5:$K$518,0))),""))</f>
        <v/>
      </c>
      <c r="AQ30" s="23">
        <f>IF(OR(10&gt;MAX(3,MIN(15,N($D$18))),IFERROR(LARGE('Calc (scoring engine)'!$K$5:$K$518,10),-999999)&lt;=-900000),"",IFERROR(IF(INDEX(Database!$AT$5:$AT$518,MATCH(LARGE('Calc (scoring engine)'!$K$5:$K$518,10),'Calc (scoring engine)'!$K$5:$K$518,0))="","—",INDEX(Database!$AT$5:$AT$518,MATCH(LARGE('Calc (scoring engine)'!$K$5:$K$518,10),'Calc (scoring engine)'!$K$5:$K$518,0))),""))</f>
        <v/>
      </c>
      <c r="AR30" s="23">
        <f>IF(OR(10&gt;MAX(3,MIN(15,N($D$18))),IFERROR(LARGE('Calc (scoring engine)'!$K$5:$K$518,10),-999999)&lt;=-900000),"",IFERROR(IF(INDEX(Database!$AU$5:$AU$518,MATCH(LARGE('Calc (scoring engine)'!$K$5:$K$518,10),'Calc (scoring engine)'!$K$5:$K$518,0))="","—",INDEX(Database!$AU$5:$AU$518,MATCH(LARGE('Calc (scoring engine)'!$K$5:$K$518,10),'Calc (scoring engine)'!$K$5:$K$518,0))),""))</f>
        <v/>
      </c>
      <c r="AS30" s="23">
        <f>IF(OR(10&gt;MAX(3,MIN(15,N($D$18))),IFERROR(LARGE('Calc (scoring engine)'!$K$5:$K$518,10),-999999)&lt;=-900000),"",IFERROR(IF(INDEX(Database!$AV$5:$AV$518,MATCH(LARGE('Calc (scoring engine)'!$K$5:$K$518,10),'Calc (scoring engine)'!$K$5:$K$518,0))="","—",INDEX(Database!$AV$5:$AV$518,MATCH(LARGE('Calc (scoring engine)'!$K$5:$K$518,10),'Calc (scoring engine)'!$K$5:$K$518,0))),""))</f>
        <v/>
      </c>
      <c r="AT30" s="23">
        <f>IF(OR(10&gt;MAX(3,MIN(15,N($D$18))),IFERROR(LARGE('Calc (scoring engine)'!$K$5:$K$518,10),-999999)&lt;=-900000),"",IFERROR(IF(INDEX(Database!$AW$5:$AW$518,MATCH(LARGE('Calc (scoring engine)'!$K$5:$K$518,10),'Calc (scoring engine)'!$K$5:$K$518,0))="","—",INDEX(Database!$AW$5:$AW$518,MATCH(LARGE('Calc (scoring engine)'!$K$5:$K$518,10),'Calc (scoring engine)'!$K$5:$K$518,0))),""))</f>
        <v/>
      </c>
      <c r="AU30" s="23">
        <f>IF(OR(10&gt;MAX(3,MIN(15,N($D$18))),IFERROR(LARGE('Calc (scoring engine)'!$K$5:$K$518,10),-999999)&lt;=-900000),"",IFERROR(IF(INDEX(Database!$AX$5:$AX$518,MATCH(LARGE('Calc (scoring engine)'!$K$5:$K$518,10),'Calc (scoring engine)'!$K$5:$K$518,0))="","—",INDEX(Database!$AX$5:$AX$518,MATCH(LARGE('Calc (scoring engine)'!$K$5:$K$518,10),'Calc (scoring engine)'!$K$5:$K$518,0))),""))</f>
        <v/>
      </c>
      <c r="AV30" s="23">
        <f>IF(OR(10&gt;MAX(3,MIN(15,N($D$18))),IFERROR(LARGE('Calc (scoring engine)'!$K$5:$K$518,10),-999999)&lt;=-900000),"",IFERROR(IF(INDEX(Database!$AY$5:$AY$518,MATCH(LARGE('Calc (scoring engine)'!$K$5:$K$518,10),'Calc (scoring engine)'!$K$5:$K$518,0))="","—",INDEX(Database!$AY$5:$AY$518,MATCH(LARGE('Calc (scoring engine)'!$K$5:$K$518,10),'Calc (scoring engine)'!$K$5:$K$518,0))),""))</f>
        <v/>
      </c>
      <c r="AW30" s="23">
        <f>IF(OR(10&gt;MAX(3,MIN(15,N($D$18))),IFERROR(LARGE('Calc (scoring engine)'!$K$5:$K$518,10),-999999)&lt;=-900000),"",IFERROR(IF(INDEX(Database!$BA$5:$BA$518,MATCH(LARGE('Calc (scoring engine)'!$K$5:$K$518,10),'Calc (scoring engine)'!$K$5:$K$518,0))="","—",INDEX(Database!$BA$5:$BA$518,MATCH(LARGE('Calc (scoring engine)'!$K$5:$K$518,10),'Calc (scoring engine)'!$K$5:$K$518,0))),""))</f>
        <v/>
      </c>
      <c r="AX30" s="18">
        <f>IF(OR(10&gt;MAX(3,MIN(15,N($D$18))),IFERROR(LARGE('Calc (scoring engine)'!$K$5:$K$518,10),-999999)&lt;=-900000),"",IFERROR(IF(INDEX(Database!$BC$5:$BC$518,MATCH(LARGE('Calc (scoring engine)'!$K$5:$K$518,10),'Calc (scoring engine)'!$K$5:$K$518,0))="","—",INDEX(Database!$BC$5:$BC$518,MATCH(LARGE('Calc (scoring engine)'!$K$5:$K$518,10),'Calc (scoring engine)'!$K$5:$K$518,0))),""))</f>
        <v/>
      </c>
      <c r="AY30" s="18">
        <f>IF(OR(10&gt;MAX(3,MIN(15,N($D$18))),IFERROR(LARGE('Calc (scoring engine)'!$K$5:$K$518,10),-999999)&lt;=-900000),"",IFERROR(IF(INDEX(Database!$BD$5:$BD$518,MATCH(LARGE('Calc (scoring engine)'!$K$5:$K$518,10),'Calc (scoring engine)'!$K$5:$K$518,0))="","—",INDEX(Database!$BD$5:$BD$518,MATCH(LARGE('Calc (scoring engine)'!$K$5:$K$518,10),'Calc (scoring engine)'!$K$5:$K$518,0))),""))</f>
        <v/>
      </c>
      <c r="AZ30" s="10">
        <f>IF(OR(10&gt;MAX(3,MIN(15,N($D$18))),IFERROR(LARGE('Calc (scoring engine)'!$K$5:$K$518,10),-999999)&lt;=-900000),"",IFERROR(IF(INDEX(Database!$BE$5:$BE$518,MATCH(LARGE('Calc (scoring engine)'!$K$5:$K$518,10),'Calc (scoring engine)'!$K$5:$K$518,0))="","—",INDEX(Database!$BE$5:$BE$518,MATCH(LARGE('Calc (scoring engine)'!$K$5:$K$518,10),'Calc (scoring engine)'!$K$5:$K$518,0))),""))</f>
        <v/>
      </c>
      <c r="BA30" s="24">
        <f>IF(OR(10&gt;MAX(3,MIN(15,N($D$18))),IFERROR(LARGE('Calc (scoring engine)'!$K$5:$K$518,10),-999999)&lt;=-900000),"",IFERROR(IF(N(INDEX(Database!$BF$5:$BF$518,MATCH(LARGE('Calc (scoring engine)'!$K$5:$K$518,10),'Calc (scoring engine)'!$K$5:$K$518,0)))&lt;=0,IF(INDEX(Database!$BE$5:$BE$518,MATCH(LARGE('Calc (scoring engine)'!$K$5:$K$518,10),'Calc (scoring engine)'!$K$5:$K$518,0))="N","n/m","—"),INDEX(Database!$BF$5:$BF$518,MATCH(LARGE('Calc (scoring engine)'!$K$5:$K$518,10),'Calc (scoring engine)'!$K$5:$K$518,0))),""))</f>
        <v/>
      </c>
      <c r="BB30" s="24">
        <f>IF(OR(10&gt;MAX(3,MIN(15,N($D$18))),IFERROR(LARGE('Calc (scoring engine)'!$K$5:$K$518,10),-999999)&lt;=-900000),"",IFERROR(IF(INDEX(Database!$BG$5:$BG$518,MATCH(LARGE('Calc (scoring engine)'!$K$5:$K$518,10),'Calc (scoring engine)'!$K$5:$K$518,0))="","—",INDEX(Database!$BG$5:$BG$518,MATCH(LARGE('Calc (scoring engine)'!$K$5:$K$518,10),'Calc (scoring engine)'!$K$5:$K$518,0))),""))</f>
        <v/>
      </c>
      <c r="BC30" s="24">
        <f>IF(OR(10&gt;MAX(3,MIN(15,N($D$18))),IFERROR(LARGE('Calc (scoring engine)'!$K$5:$K$518,10),-999999)&lt;=-900000),"",IFERROR(IF(INDEX(Database!$BH$5:$BH$518,MATCH(LARGE('Calc (scoring engine)'!$K$5:$K$518,10),'Calc (scoring engine)'!$K$5:$K$518,0))="","—",INDEX(Database!$BH$5:$BH$518,MATCH(LARGE('Calc (scoring engine)'!$K$5:$K$518,10),'Calc (scoring engine)'!$K$5:$K$518,0))),""))</f>
        <v/>
      </c>
      <c r="BD30" s="24">
        <f>IF(OR(10&gt;MAX(3,MIN(15,N($D$18))),IFERROR(LARGE('Calc (scoring engine)'!$K$5:$K$518,10),-999999)&lt;=-900000),"",IFERROR(IF(INDEX(Database!$BI$5:$BI$518,MATCH(LARGE('Calc (scoring engine)'!$K$5:$K$518,10),'Calc (scoring engine)'!$K$5:$K$518,0))="","—",INDEX(Database!$BI$5:$BI$518,MATCH(LARGE('Calc (scoring engine)'!$K$5:$K$518,10),'Calc (scoring engine)'!$K$5:$K$518,0))),""))</f>
        <v/>
      </c>
      <c r="BE30" s="24">
        <f>IF(OR(10&gt;MAX(3,MIN(15,N($D$18))),IFERROR(LARGE('Calc (scoring engine)'!$K$5:$K$518,10),-999999)&lt;=-900000),"",IFERROR(IF(INDEX(Database!$BJ$5:$BJ$518,MATCH(LARGE('Calc (scoring engine)'!$K$5:$K$518,10),'Calc (scoring engine)'!$K$5:$K$518,0))="","—",INDEX(Database!$BJ$5:$BJ$518,MATCH(LARGE('Calc (scoring engine)'!$K$5:$K$518,10),'Calc (scoring engine)'!$K$5:$K$518,0))),""))</f>
        <v/>
      </c>
      <c r="BF30" s="24">
        <f>IF(OR(10&gt;MAX(3,MIN(15,N($D$18))),IFERROR(LARGE('Calc (scoring engine)'!$K$5:$K$518,10),-999999)&lt;=-900000),"",IFERROR(IFERROR(BDP(TEXT(INDEX(Database!$A$5:$A$518,MATCH(LARGE('Calc (scoring engine)'!$K$5:$K$518,10),'Calc (scoring engine)'!$K$5:$K$518,0)),"0")&amp;" HK Equity","PE_RATIO"),IF(INDEX(Database!$BH$5:$BH$518,MATCH(LARGE('Calc (scoring engine)'!$K$5:$K$518,10),'Calc (scoring engine)'!$K$5:$K$518,0))="","—",INDEX(Database!$BH$5:$BH$518,MATCH(LARGE('Calc (scoring engine)'!$K$5:$K$518,10),'Calc (scoring engine)'!$K$5:$K$518,0)))),""))</f>
        <v/>
      </c>
      <c r="BG30" s="24">
        <f>IF(OR(10&gt;MAX(3,MIN(15,N($D$18))),IFERROR(LARGE('Calc (scoring engine)'!$K$5:$K$518,10),-999999)&lt;=-900000),"",IFERROR(IFERROR(BDP(TEXT(INDEX(Database!$A$5:$A$518,MATCH(LARGE('Calc (scoring engine)'!$K$5:$K$518,10),'Calc (scoring engine)'!$K$5:$K$518,0)),"0")&amp;" HK Equity","PX_TO_SALES_RATIO"),IF(INDEX(Database!$BI$5:$BI$518,MATCH(LARGE('Calc (scoring engine)'!$K$5:$K$518,10),'Calc (scoring engine)'!$K$5:$K$518,0))="","—",INDEX(Database!$BI$5:$BI$518,MATCH(LARGE('Calc (scoring engine)'!$K$5:$K$518,10),'Calc (scoring engine)'!$K$5:$K$518,0)))),""))</f>
        <v/>
      </c>
      <c r="BH30" s="10">
        <f>IF(OR(10&gt;MAX(3,MIN(15,N($D$18))),IFERROR(LARGE('Calc (scoring engine)'!$K$5:$K$518,10),-999999)&lt;=-900000),"",IFERROR(IF(INDEX(Database!$BK$5:$BK$518,MATCH(LARGE('Calc (scoring engine)'!$K$5:$K$518,10),'Calc (scoring engine)'!$K$5:$K$518,0))="","—",INDEX(Database!$BK$5:$BK$518,MATCH(LARGE('Calc (scoring engine)'!$K$5:$K$518,10),'Calc (scoring engine)'!$K$5:$K$518,0))),""))</f>
        <v/>
      </c>
      <c r="BI30" s="10">
        <f>IF(OR(10&gt;MAX(3,MIN(15,N($D$18))),IFERROR(LARGE('Calc (scoring engine)'!$K$5:$K$518,10),-999999)&lt;=-900000),"",IFERROR(IF(INDEX(Database!$BL$5:$BL$518,MATCH(LARGE('Calc (scoring engine)'!$K$5:$K$518,10),'Calc (scoring engine)'!$K$5:$K$518,0))="","—",INDEX(Database!$BL$5:$BL$518,MATCH(LARGE('Calc (scoring engine)'!$K$5:$K$518,10),'Calc (scoring engine)'!$K$5:$K$518,0))),""))</f>
        <v/>
      </c>
      <c r="BJ30" s="23">
        <f>IF(OR(10&gt;MAX(3,MIN(15,N($D$18))),IFERROR(LARGE('Calc (scoring engine)'!$K$5:$K$518,10),-999999)&lt;=-900000),"",IFERROR(IF(INDEX(Database!$BM$5:$BM$518,MATCH(LARGE('Calc (scoring engine)'!$K$5:$K$518,10),'Calc (scoring engine)'!$K$5:$K$518,0))="","—",INDEX(Database!$BM$5:$BM$518,MATCH(LARGE('Calc (scoring engine)'!$K$5:$K$518,10),'Calc (scoring engine)'!$K$5:$K$518,0))),""))</f>
        <v/>
      </c>
      <c r="BK30" s="40">
        <f>IF(OR(10&gt;MAX(3,MIN(15,N($D$18))),IFERROR(LARGE('Calc (scoring engine)'!$K$5:$K$518,10),-999999)&lt;=-900000),"",IFERROR(IF(INDEX(Database!$BN$5:$BN$518,MATCH(LARGE('Calc (scoring engine)'!$K$5:$K$518,10),'Calc (scoring engine)'!$K$5:$K$518,0))="","—",INDEX(Database!$BN$5:$BN$518,MATCH(LARGE('Calc (scoring engine)'!$K$5:$K$518,10),'Calc (scoring engine)'!$K$5:$K$518,0))),""))</f>
        <v/>
      </c>
      <c r="BL30" s="43">
        <f>IF(OR(10&gt;MAX(3,MIN(15,N($D$18))),IFERROR(LARGE('Calc (scoring engine)'!$K$5:$K$518,10),-999999)&lt;=-900000),"",IFERROR(IF(INDEX(Database!$BO$5:$BO$518,MATCH(LARGE('Calc (scoring engine)'!$K$5:$K$518,10),'Calc (scoring engine)'!$K$5:$K$518,0))="","—",INDEX(Database!$BO$5:$BO$518,MATCH(LARGE('Calc (scoring engine)'!$K$5:$K$518,10),'Calc (scoring engine)'!$K$5:$K$518,0))),""))</f>
        <v/>
      </c>
      <c r="BM30" s="18">
        <f>IF(OR(10&gt;MAX(3,MIN(15,N($D$18))),IFERROR(LARGE('Calc (scoring engine)'!$K$5:$K$518,10),-999999)&lt;=-900000),"",IFERROR(IF(INDEX(Database!$BP$5:$BP$518,MATCH(LARGE('Calc (scoring engine)'!$K$5:$K$518,10),'Calc (scoring engine)'!$K$5:$K$518,0))="","—",INDEX(Database!$BP$5:$BP$518,MATCH(LARGE('Calc (scoring engine)'!$K$5:$K$518,10),'Calc (scoring engine)'!$K$5:$K$518,0))),""))</f>
        <v/>
      </c>
      <c r="BN30" s="24">
        <f>IF(OR(10&gt;MAX(3,MIN(15,N($D$18))),IFERROR(LARGE('Calc (scoring engine)'!$K$5:$K$518,10),-999999)&lt;=-900000),"",IFERROR(IF(INDEX(Database!$BQ$5:$BQ$518,MATCH(LARGE('Calc (scoring engine)'!$K$5:$K$518,10),'Calc (scoring engine)'!$K$5:$K$518,0))="","—",INDEX(Database!$BQ$5:$BQ$518,MATCH(LARGE('Calc (scoring engine)'!$K$5:$K$518,10),'Calc (scoring engine)'!$K$5:$K$518,0))),""))</f>
        <v/>
      </c>
      <c r="BO30" s="24">
        <f>IF(OR(10&gt;MAX(3,MIN(15,N($D$18))),IFERROR(LARGE('Calc (scoring engine)'!$K$5:$K$518,10),-999999)&lt;=-900000),"",IFERROR(IF(INDEX(Database!$BR$5:$BR$518,MATCH(LARGE('Calc (scoring engine)'!$K$5:$K$518,10),'Calc (scoring engine)'!$K$5:$K$518,0))="","—",INDEX(Database!$BR$5:$BR$518,MATCH(LARGE('Calc (scoring engine)'!$K$5:$K$518,10),'Calc (scoring engine)'!$K$5:$K$518,0))),""))</f>
        <v/>
      </c>
      <c r="BP30" s="10">
        <f>IF(OR(10&gt;MAX(3,MIN(15,N($D$18))),IFERROR(LARGE('Calc (scoring engine)'!$K$5:$K$518,10),-999999)&lt;=-900000),"",IFERROR(IF(INDEX(Database!$BS$5:$BS$518,MATCH(LARGE('Calc (scoring engine)'!$K$5:$K$518,10),'Calc (scoring engine)'!$K$5:$K$518,0))="","—",INDEX(Database!$BS$5:$BS$518,MATCH(LARGE('Calc (scoring engine)'!$K$5:$K$518,10),'Calc (scoring engine)'!$K$5:$K$518,0))),""))</f>
        <v/>
      </c>
      <c r="BQ30" s="10">
        <f>IF(OR(10&gt;MAX(3,MIN(15,N($D$18))),IFERROR(LARGE('Calc (scoring engine)'!$K$5:$K$518,10),-999999)&lt;=-900000),"",IFERROR(IF(INDEX(Database!$BU$5:$BU$518,MATCH(LARGE('Calc (scoring engine)'!$K$5:$K$518,10),'Calc (scoring engine)'!$K$5:$K$518,0))="","—",INDEX(Database!$BU$5:$BU$518,MATCH(LARGE('Calc (scoring engine)'!$K$5:$K$518,10),'Calc (scoring engine)'!$K$5:$K$518,0))),""))</f>
        <v/>
      </c>
      <c r="BR30" s="44">
        <f>IF(OR(10&gt;MAX(3,MIN(15,N($D$18))),IFERROR(LARGE('Calc (scoring engine)'!$K$5:$K$518,10),-999999)&lt;=-900000),"",IFERROR(IF(INDEX('Calc (scoring engine)'!$H$5:$H$518,MATCH(LARGE('Calc (scoring engine)'!$K$5:$K$518,10),'Calc (scoring engine)'!$K$5:$K$518,0))&gt;0,INDEX('Calc (scoring engine)'!$H$5:$H$518,MATCH(LARGE('Calc (scoring engine)'!$K$5:$K$518,10),'Calc (scoring engine)'!$K$5:$K$518,0)),""),""))</f>
        <v/>
      </c>
      <c r="BS30" s="10">
        <f>IF(OR(10&gt;MAX(3,MIN(15,N($D$18))),IFERROR(LARGE('Calc (scoring engine)'!$K$5:$K$518,10),-999999)&lt;=-900000),"",IF(IFERROR(INDEX('Calc (scoring engine)'!$B$5:$B$518,MATCH(LARGE('Calc (scoring engine)'!$K$5:$K$518,10),'Calc (scoring engine)'!$K$5:$K$518,0)),0)=1,"same subsector","sector only"))</f>
        <v/>
      </c>
      <c r="BT30" s="44">
        <f>IF(OR(10&gt;MAX(3,MIN(15,N($D$18))),IFERROR(LARGE('Calc (scoring engine)'!$K$5:$K$518,10),-999999)&lt;=-900000),"",ROUND(IFERROR(LARGE('Calc (scoring engine)'!$K$5:$K$518,10),0),0))</f>
        <v/>
      </c>
      <c r="BU30" s="10">
        <f>IF(OR(10&gt;MAX(3,MIN(15,N($D$18))),IFERROR(LARGE('Calc (scoring engine)'!$K$5:$K$518,10),-999999)&lt;=-900000),"",IFERROR("sub "&amp;INDEX('Calc (scoring engine)'!$B$5:$B$518,MATCH(LARGE('Calc (scoring engine)'!$K$5:$K$518,10),'Calc (scoring engine)'!$K$5:$K$518,0))*W_SUB&amp;" + size "&amp;ROUND(INDEX('Calc (scoring engine)'!$D$5:$D$518,MATCH(LARGE('Calc (scoring engine)'!$K$5:$K$518,10),'Calc (scoring engine)'!$K$5:$K$518,0))*W_SIZE,0)&amp;" + prof "&amp;INDEX('Calc (scoring engine)'!$E$5:$E$518,MATCH(LARGE('Calc (scoring engine)'!$K$5:$K$518,10),'Calc (scoring engine)'!$K$5:$K$518,0))*W_PROF&amp;" + recency "&amp;ROUND(INDEX('Calc (scoring engine)'!$G$5:$G$518,MATCH(LARGE('Calc (scoring engine)'!$K$5:$K$518,10),'Calc (scoring engine)'!$K$5:$K$518,0))*W_REC,0)&amp;IF(INDEX('Calc (scoring engine)'!$H$5:$H$518,MATCH(LARGE('Calc (scoring engine)'!$K$5:$K$518,10),'Calc (scoring engine)'!$K$5:$K$518,0))&gt;0," + shared CS x"&amp;INDEX('Calc (scoring engine)'!$H$5:$H$518,MATCH(LARGE('Calc (scoring engine)'!$K$5:$K$518,10),'Calc (scoring engine)'!$K$5:$K$518,0)),""),""))</f>
        <v/>
      </c>
    </row>
    <row r="31">
      <c r="A31" s="38">
        <f>IF(OR(11&gt;MAX(3,MIN(15,N($D$18))),IFERROR(LARGE('Calc (scoring engine)'!$K$5:$K$518,11),-999999)&lt;=-900000),"",11)</f>
        <v/>
      </c>
      <c r="B31" s="10">
        <f>IF(OR(11&gt;MAX(3,MIN(15,N($D$18))),IFERROR(LARGE('Calc (scoring engine)'!$K$5:$K$518,11),-999999)&lt;=-900000),"",IFERROR(IF(INDEX(Database!$B$5:$B$518,MATCH(LARGE('Calc (scoring engine)'!$K$5:$K$518,11),'Calc (scoring engine)'!$K$5:$K$518,0))="","—",INDEX(Database!$B$5:$B$518,MATCH(LARGE('Calc (scoring engine)'!$K$5:$K$518,11),'Calc (scoring engine)'!$K$5:$K$518,0))),""))</f>
        <v/>
      </c>
      <c r="C31" s="39">
        <f>IF(OR(11&gt;MAX(3,MIN(15,N($D$18))),IFERROR(LARGE('Calc (scoring engine)'!$K$5:$K$518,11),-999999)&lt;=-900000),"",IFERROR(IF(INDEX(Database!$A$5:$A$518,MATCH(LARGE('Calc (scoring engine)'!$K$5:$K$518,11),'Calc (scoring engine)'!$K$5:$K$518,0))="","—",INDEX(Database!$A$5:$A$518,MATCH(LARGE('Calc (scoring engine)'!$K$5:$K$518,11),'Calc (scoring engine)'!$K$5:$K$518,0))),""))</f>
        <v/>
      </c>
      <c r="D31" s="10">
        <f>IF(OR(11&gt;MAX(3,MIN(15,N($D$18))),IFERROR(LARGE('Calc (scoring engine)'!$K$5:$K$518,11),-999999)&lt;=-900000),"",IFERROR(IF(INDEX(Database!$D$5:$D$518,MATCH(LARGE('Calc (scoring engine)'!$K$5:$K$518,11),'Calc (scoring engine)'!$K$5:$K$518,0))="","—",INDEX(Database!$D$5:$D$518,MATCH(LARGE('Calc (scoring engine)'!$K$5:$K$518,11),'Calc (scoring engine)'!$K$5:$K$518,0))),""))</f>
        <v/>
      </c>
      <c r="E31" s="10">
        <f>IF(OR(11&gt;MAX(3,MIN(15,N($D$18))),IFERROR(LARGE('Calc (scoring engine)'!$K$5:$K$518,11),-999999)&lt;=-900000),"",IFERROR(IF(INDEX(Database!$E$5:$E$518,MATCH(LARGE('Calc (scoring engine)'!$K$5:$K$518,11),'Calc (scoring engine)'!$K$5:$K$518,0))="","—",INDEX(Database!$E$5:$E$518,MATCH(LARGE('Calc (scoring engine)'!$K$5:$K$518,11),'Calc (scoring engine)'!$K$5:$K$518,0))),""))</f>
        <v/>
      </c>
      <c r="F31" s="10">
        <f>IF(OR(11&gt;MAX(3,MIN(15,N($D$18))),IFERROR(LARGE('Calc (scoring engine)'!$K$5:$K$518,11),-999999)&lt;=-900000),"",IFERROR(IF(INDEX(Database!$F$5:$F$518,MATCH(LARGE('Calc (scoring engine)'!$K$5:$K$518,11),'Calc (scoring engine)'!$K$5:$K$518,0))="","—",INDEX(Database!$F$5:$F$518,MATCH(LARGE('Calc (scoring engine)'!$K$5:$K$518,11),'Calc (scoring engine)'!$K$5:$K$518,0))),""))</f>
        <v/>
      </c>
      <c r="G31" s="10">
        <f>IF(OR(11&gt;MAX(3,MIN(15,N($D$18))),IFERROR(LARGE('Calc (scoring engine)'!$K$5:$K$518,11),-999999)&lt;=-900000),"",IFERROR(IF(INDEX(Database!$G$5:$G$518,MATCH(LARGE('Calc (scoring engine)'!$K$5:$K$518,11),'Calc (scoring engine)'!$K$5:$K$518,0))="","—",INDEX(Database!$G$5:$G$518,MATCH(LARGE('Calc (scoring engine)'!$K$5:$K$518,11),'Calc (scoring engine)'!$K$5:$K$518,0))),""))</f>
        <v/>
      </c>
      <c r="H31" s="21">
        <f>IF(OR(11&gt;MAX(3,MIN(15,N($D$18))),IFERROR(LARGE('Calc (scoring engine)'!$K$5:$K$518,11),-999999)&lt;=-900000),"",IFERROR(IF(INDEX(Database!$H$5:$H$518,MATCH(LARGE('Calc (scoring engine)'!$K$5:$K$518,11),'Calc (scoring engine)'!$K$5:$K$518,0))="","—",INDEX(Database!$H$5:$H$518,MATCH(LARGE('Calc (scoring engine)'!$K$5:$K$518,11),'Calc (scoring engine)'!$K$5:$K$518,0))),""))</f>
        <v/>
      </c>
      <c r="I31" s="18">
        <f>IF(OR(11&gt;MAX(3,MIN(15,N($D$18))),IFERROR(LARGE('Calc (scoring engine)'!$K$5:$K$518,11),-999999)&lt;=-900000),"",IFERROR(IF(INDEX(Database!$I$5:$I$518,MATCH(LARGE('Calc (scoring engine)'!$K$5:$K$518,11),'Calc (scoring engine)'!$K$5:$K$518,0))="","—",INDEX(Database!$I$5:$I$518,MATCH(LARGE('Calc (scoring engine)'!$K$5:$K$518,11),'Calc (scoring engine)'!$K$5:$K$518,0))),""))</f>
        <v/>
      </c>
      <c r="J31" s="40">
        <f>IF(OR(11&gt;MAX(3,MIN(15,N($D$18))),IFERROR(LARGE('Calc (scoring engine)'!$K$5:$K$518,11),-999999)&lt;=-900000),"",IFERROR(IF(INDEX(Database!$K$5:$K$518,MATCH(LARGE('Calc (scoring engine)'!$K$5:$K$518,11),'Calc (scoring engine)'!$K$5:$K$518,0))="","—",INDEX(Database!$K$5:$K$518,MATCH(LARGE('Calc (scoring engine)'!$K$5:$K$518,11),'Calc (scoring engine)'!$K$5:$K$518,0))),""))</f>
        <v/>
      </c>
      <c r="K31" s="40">
        <f>IF(OR(11&gt;MAX(3,MIN(15,N($D$18))),IFERROR(LARGE('Calc (scoring engine)'!$K$5:$K$518,11),-999999)&lt;=-900000),"",IFERROR(IF(INDEX(Database!$L$5:$L$518,MATCH(LARGE('Calc (scoring engine)'!$K$5:$K$518,11),'Calc (scoring engine)'!$K$5:$K$518,0))="","—",INDEX(Database!$L$5:$L$518,MATCH(LARGE('Calc (scoring engine)'!$K$5:$K$518,11),'Calc (scoring engine)'!$K$5:$K$518,0))),""))</f>
        <v/>
      </c>
      <c r="L31" s="40">
        <f>IF(OR(11&gt;MAX(3,MIN(15,N($D$18))),IFERROR(LARGE('Calc (scoring engine)'!$K$5:$K$518,11),-999999)&lt;=-900000),"",IFERROR(IF(INDEX(Database!$M$5:$M$518,MATCH(LARGE('Calc (scoring engine)'!$K$5:$K$518,11),'Calc (scoring engine)'!$K$5:$K$518,0))="","—",INDEX(Database!$M$5:$M$518,MATCH(LARGE('Calc (scoring engine)'!$K$5:$K$518,11),'Calc (scoring engine)'!$K$5:$K$518,0))),""))</f>
        <v/>
      </c>
      <c r="M31" s="10">
        <f>IF(OR(11&gt;MAX(3,MIN(15,N($D$18))),IFERROR(LARGE('Calc (scoring engine)'!$K$5:$K$518,11),-999999)&lt;=-900000),"",IFERROR(IF(INDEX(Database!$N$5:$N$518,MATCH(LARGE('Calc (scoring engine)'!$K$5:$K$518,11),'Calc (scoring engine)'!$K$5:$K$518,0))="","—",INDEX(Database!$N$5:$N$518,MATCH(LARGE('Calc (scoring engine)'!$K$5:$K$518,11),'Calc (scoring engine)'!$K$5:$K$518,0))),""))</f>
        <v/>
      </c>
      <c r="N31" s="28">
        <f>IF(OR(11&gt;MAX(3,MIN(15,N($D$18))),IFERROR(LARGE('Calc (scoring engine)'!$K$5:$K$518,11),-999999)&lt;=-900000),"",IFERROR(IF(INDEX(Database!$O$5:$O$518,MATCH(LARGE('Calc (scoring engine)'!$K$5:$K$518,11),'Calc (scoring engine)'!$K$5:$K$518,0))="","—",INDEX(Database!$O$5:$O$518,MATCH(LARGE('Calc (scoring engine)'!$K$5:$K$518,11),'Calc (scoring engine)'!$K$5:$K$518,0))),""))</f>
        <v/>
      </c>
      <c r="O31" s="28">
        <f>IF(OR(11&gt;MAX(3,MIN(15,N($D$18))),IFERROR(LARGE('Calc (scoring engine)'!$K$5:$K$518,11),-999999)&lt;=-900000),"",IFERROR(IF(INDEX(Database!$P$5:$P$518,MATCH(LARGE('Calc (scoring engine)'!$K$5:$K$518,11),'Calc (scoring engine)'!$K$5:$K$518,0))="","—",INDEX(Database!$P$5:$P$518,MATCH(LARGE('Calc (scoring engine)'!$K$5:$K$518,11),'Calc (scoring engine)'!$K$5:$K$518,0))),""))</f>
        <v/>
      </c>
      <c r="P31" s="18">
        <f>IF(OR(11&gt;MAX(3,MIN(15,N($D$18))),IFERROR(LARGE('Calc (scoring engine)'!$K$5:$K$518,11),-999999)&lt;=-900000),"",IFERROR(IF(INDEX(Database!$Q$5:$Q$518,MATCH(LARGE('Calc (scoring engine)'!$K$5:$K$518,11),'Calc (scoring engine)'!$K$5:$K$518,0))="","—",INDEX(Database!$Q$5:$Q$518,MATCH(LARGE('Calc (scoring engine)'!$K$5:$K$518,11),'Calc (scoring engine)'!$K$5:$K$518,0))),""))</f>
        <v/>
      </c>
      <c r="Q31" s="26">
        <f>IF(OR(11&gt;MAX(3,MIN(15,N($D$18))),IFERROR(LARGE('Calc (scoring engine)'!$K$5:$K$518,11),-999999)&lt;=-900000),"",IFERROR(IF(INDEX(Database!$S$5:$S$518,MATCH(LARGE('Calc (scoring engine)'!$K$5:$K$518,11),'Calc (scoring engine)'!$K$5:$K$518,0))="","—",INDEX(Database!$S$5:$S$518,MATCH(LARGE('Calc (scoring engine)'!$K$5:$K$518,11),'Calc (scoring engine)'!$K$5:$K$518,0))),""))</f>
        <v/>
      </c>
      <c r="R31" s="41">
        <f>IF(OR(11&gt;MAX(3,MIN(15,N($D$18))),IFERROR(LARGE('Calc (scoring engine)'!$K$5:$K$518,11),-999999)&lt;=-900000),"",IFERROR(IF(INDEX(Database!$T$5:$T$518,MATCH(LARGE('Calc (scoring engine)'!$K$5:$K$518,11),'Calc (scoring engine)'!$K$5:$K$518,0))="","—",INDEX(Database!$T$5:$T$518,MATCH(LARGE('Calc (scoring engine)'!$K$5:$K$518,11),'Calc (scoring engine)'!$K$5:$K$518,0))),""))</f>
        <v/>
      </c>
      <c r="S31" s="42">
        <f>IF(OR(11&gt;MAX(3,MIN(15,N($D$18))),IFERROR(LARGE('Calc (scoring engine)'!$K$5:$K$518,11),-999999)&lt;=-900000),"",IFERROR(IF(INDEX(Database!$U$5:$U$518,MATCH(LARGE('Calc (scoring engine)'!$K$5:$K$518,11),'Calc (scoring engine)'!$K$5:$K$518,0))="","—",INDEX(Database!$U$5:$U$518,MATCH(LARGE('Calc (scoring engine)'!$K$5:$K$518,11),'Calc (scoring engine)'!$K$5:$K$518,0))),""))</f>
        <v/>
      </c>
      <c r="T31" s="18">
        <f>IF(OR(11&gt;MAX(3,MIN(15,N($D$18))),IFERROR(LARGE('Calc (scoring engine)'!$K$5:$K$518,11),-999999)&lt;=-900000),"",IFERROR(IF(INDEX(Database!$V$5:$V$518,MATCH(LARGE('Calc (scoring engine)'!$K$5:$K$518,11),'Calc (scoring engine)'!$K$5:$K$518,0))="","—",INDEX(Database!$V$5:$V$518,MATCH(LARGE('Calc (scoring engine)'!$K$5:$K$518,11),'Calc (scoring engine)'!$K$5:$K$518,0))),""))</f>
        <v/>
      </c>
      <c r="U31" s="18">
        <f>IF(OR(11&gt;MAX(3,MIN(15,N($D$18))),IFERROR(LARGE('Calc (scoring engine)'!$K$5:$K$518,11),-999999)&lt;=-900000),"",IFERROR(IF(INDEX(Database!$W$5:$W$518,MATCH(LARGE('Calc (scoring engine)'!$K$5:$K$518,11),'Calc (scoring engine)'!$K$5:$K$518,0))="","—",INDEX(Database!$W$5:$W$518,MATCH(LARGE('Calc (scoring engine)'!$K$5:$K$518,11),'Calc (scoring engine)'!$K$5:$K$518,0))),""))</f>
        <v/>
      </c>
      <c r="V31" s="28">
        <f>IF(OR(11&gt;MAX(3,MIN(15,N($D$18))),IFERROR(LARGE('Calc (scoring engine)'!$K$5:$K$518,11),-999999)&lt;=-900000),"",IFERROR(IF(INDEX(Database!$X$5:$X$518,MATCH(LARGE('Calc (scoring engine)'!$K$5:$K$518,11),'Calc (scoring engine)'!$K$5:$K$518,0))="","—",INDEX(Database!$X$5:$X$518,MATCH(LARGE('Calc (scoring engine)'!$K$5:$K$518,11),'Calc (scoring engine)'!$K$5:$K$518,0))),""))</f>
        <v/>
      </c>
      <c r="W31" s="10">
        <f>IF(OR(11&gt;MAX(3,MIN(15,N($D$18))),IFERROR(LARGE('Calc (scoring engine)'!$K$5:$K$518,11),-999999)&lt;=-900000),"",IFERROR(IF(INDEX(Database!$Y$5:$Y$518,MATCH(LARGE('Calc (scoring engine)'!$K$5:$K$518,11),'Calc (scoring engine)'!$K$5:$K$518,0))="","—",INDEX(Database!$Y$5:$Y$518,MATCH(LARGE('Calc (scoring engine)'!$K$5:$K$518,11),'Calc (scoring engine)'!$K$5:$K$518,0))),""))</f>
        <v/>
      </c>
      <c r="X31" s="28">
        <f>IF(OR(11&gt;MAX(3,MIN(15,N($D$18))),IFERROR(LARGE('Calc (scoring engine)'!$K$5:$K$518,11),-999999)&lt;=-900000),"",IFERROR(IF(INDEX(Database!$AA$5:$AA$518,MATCH(LARGE('Calc (scoring engine)'!$K$5:$K$518,11),'Calc (scoring engine)'!$K$5:$K$518,0))="","—",INDEX(Database!$AA$5:$AA$518,MATCH(LARGE('Calc (scoring engine)'!$K$5:$K$518,11),'Calc (scoring engine)'!$K$5:$K$518,0))),""))</f>
        <v/>
      </c>
      <c r="Y31" s="23">
        <f>IF(OR(11&gt;MAX(3,MIN(15,N($D$18))),IFERROR(LARGE('Calc (scoring engine)'!$K$5:$K$518,11),-999999)&lt;=-900000),"",IFERROR(IF(INDEX(Database!$AB$5:$AB$518,MATCH(LARGE('Calc (scoring engine)'!$K$5:$K$518,11),'Calc (scoring engine)'!$K$5:$K$518,0))="","—",INDEX(Database!$AB$5:$AB$518,MATCH(LARGE('Calc (scoring engine)'!$K$5:$K$518,11),'Calc (scoring engine)'!$K$5:$K$518,0))),""))</f>
        <v/>
      </c>
      <c r="Z31" s="40">
        <f>IF(OR(11&gt;MAX(3,MIN(15,N($D$18))),IFERROR(LARGE('Calc (scoring engine)'!$K$5:$K$518,11),-999999)&lt;=-900000),"",IFERROR(IF(INDEX(Database!$AC$5:$AC$518,MATCH(LARGE('Calc (scoring engine)'!$K$5:$K$518,11),'Calc (scoring engine)'!$K$5:$K$518,0))="","—",INDEX(Database!$AC$5:$AC$518,MATCH(LARGE('Calc (scoring engine)'!$K$5:$K$518,11),'Calc (scoring engine)'!$K$5:$K$518,0))),""))</f>
        <v/>
      </c>
      <c r="AA31" s="23">
        <f>IF(OR(11&gt;MAX(3,MIN(15,N($D$18))),IFERROR(LARGE('Calc (scoring engine)'!$K$5:$K$518,11),-999999)&lt;=-900000),"",IFERROR(IF(INDEX(Database!$AD$5:$AD$518,MATCH(LARGE('Calc (scoring engine)'!$K$5:$K$518,11),'Calc (scoring engine)'!$K$5:$K$518,0))="","—",INDEX(Database!$AD$5:$AD$518,MATCH(LARGE('Calc (scoring engine)'!$K$5:$K$518,11),'Calc (scoring engine)'!$K$5:$K$518,0))),""))</f>
        <v/>
      </c>
      <c r="AB31" s="10">
        <f>IF(OR(11&gt;MAX(3,MIN(15,N($D$18))),IFERROR(LARGE('Calc (scoring engine)'!$K$5:$K$518,11),-999999)&lt;=-900000),"",IFERROR(IF(INDEX(Database!$AE$5:$AE$518,MATCH(LARGE('Calc (scoring engine)'!$K$5:$K$518,11),'Calc (scoring engine)'!$K$5:$K$518,0))="","—",INDEX(Database!$AE$5:$AE$518,MATCH(LARGE('Calc (scoring engine)'!$K$5:$K$518,11),'Calc (scoring engine)'!$K$5:$K$518,0))),""))</f>
        <v/>
      </c>
      <c r="AC31" s="10">
        <f>IF(OR(11&gt;MAX(3,MIN(15,N($D$18))),IFERROR(LARGE('Calc (scoring engine)'!$K$5:$K$518,11),-999999)&lt;=-900000),"",IFERROR(IF(INDEX(Database!$AF$5:$AF$518,MATCH(LARGE('Calc (scoring engine)'!$K$5:$K$518,11),'Calc (scoring engine)'!$K$5:$K$518,0))="","—",INDEX(Database!$AF$5:$AF$518,MATCH(LARGE('Calc (scoring engine)'!$K$5:$K$518,11),'Calc (scoring engine)'!$K$5:$K$518,0))),""))</f>
        <v/>
      </c>
      <c r="AD31" s="10">
        <f>IF(OR(11&gt;MAX(3,MIN(15,N($D$18))),IFERROR(LARGE('Calc (scoring engine)'!$K$5:$K$518,11),-999999)&lt;=-900000),"",IFERROR(IF(INDEX(Database!$AG$5:$AG$518,MATCH(LARGE('Calc (scoring engine)'!$K$5:$K$518,11),'Calc (scoring engine)'!$K$5:$K$518,0))="","—",INDEX(Database!$AG$5:$AG$518,MATCH(LARGE('Calc (scoring engine)'!$K$5:$K$518,11),'Calc (scoring engine)'!$K$5:$K$518,0))),""))</f>
        <v/>
      </c>
      <c r="AE31" s="10">
        <f>IF(OR(11&gt;MAX(3,MIN(15,N($D$18))),IFERROR(LARGE('Calc (scoring engine)'!$K$5:$K$518,11),-999999)&lt;=-900000),"",IFERROR(IF(INDEX(Database!$AH$5:$AH$518,MATCH(LARGE('Calc (scoring engine)'!$K$5:$K$518,11),'Calc (scoring engine)'!$K$5:$K$518,0))="","—",INDEX(Database!$AH$5:$AH$518,MATCH(LARGE('Calc (scoring engine)'!$K$5:$K$518,11),'Calc (scoring engine)'!$K$5:$K$518,0))),""))</f>
        <v/>
      </c>
      <c r="AF31" s="10">
        <f>IF(OR(11&gt;MAX(3,MIN(15,N($D$18))),IFERROR(LARGE('Calc (scoring engine)'!$K$5:$K$518,11),-999999)&lt;=-900000),"",IFERROR(IF(INDEX(Database!$AI$5:$AI$518,MATCH(LARGE('Calc (scoring engine)'!$K$5:$K$518,11),'Calc (scoring engine)'!$K$5:$K$518,0))="","—",INDEX(Database!$AI$5:$AI$518,MATCH(LARGE('Calc (scoring engine)'!$K$5:$K$518,11),'Calc (scoring engine)'!$K$5:$K$518,0))),""))</f>
        <v/>
      </c>
      <c r="AG31" s="10">
        <f>IF(OR(11&gt;MAX(3,MIN(15,N($D$18))),IFERROR(LARGE('Calc (scoring engine)'!$K$5:$K$518,11),-999999)&lt;=-900000),"",IFERROR(IF(INDEX(Database!$AJ$5:$AJ$518,MATCH(LARGE('Calc (scoring engine)'!$K$5:$K$518,11),'Calc (scoring engine)'!$K$5:$K$518,0))="","—",INDEX(Database!$AJ$5:$AJ$518,MATCH(LARGE('Calc (scoring engine)'!$K$5:$K$518,11),'Calc (scoring engine)'!$K$5:$K$518,0))),""))</f>
        <v/>
      </c>
      <c r="AH31" s="23">
        <f>IF(OR(11&gt;MAX(3,MIN(15,N($D$18))),IFERROR(LARGE('Calc (scoring engine)'!$K$5:$K$518,11),-999999)&lt;=-900000),"",IFERROR(IF(INDEX(Database!$AK$5:$AK$518,MATCH(LARGE('Calc (scoring engine)'!$K$5:$K$518,11),'Calc (scoring engine)'!$K$5:$K$518,0))="","—",INDEX(Database!$AK$5:$AK$518,MATCH(LARGE('Calc (scoring engine)'!$K$5:$K$518,11),'Calc (scoring engine)'!$K$5:$K$518,0))),""))</f>
        <v/>
      </c>
      <c r="AI31" s="23">
        <f>IF(OR(11&gt;MAX(3,MIN(15,N($D$18))),IFERROR(LARGE('Calc (scoring engine)'!$K$5:$K$518,11),-999999)&lt;=-900000),"",IFERROR(IF(INDEX(Database!$AL$5:$AL$518,MATCH(LARGE('Calc (scoring engine)'!$K$5:$K$518,11),'Calc (scoring engine)'!$K$5:$K$518,0))="","—",INDEX(Database!$AL$5:$AL$518,MATCH(LARGE('Calc (scoring engine)'!$K$5:$K$518,11),'Calc (scoring engine)'!$K$5:$K$518,0))),""))</f>
        <v/>
      </c>
      <c r="AJ31" s="23">
        <f>IF(OR(11&gt;MAX(3,MIN(15,N($D$18))),IFERROR(LARGE('Calc (scoring engine)'!$K$5:$K$518,11),-999999)&lt;=-900000),"",IFERROR(IF(INDEX(Database!$AM$5:$AM$518,MATCH(LARGE('Calc (scoring engine)'!$K$5:$K$518,11),'Calc (scoring engine)'!$K$5:$K$518,0))="","—",INDEX(Database!$AM$5:$AM$518,MATCH(LARGE('Calc (scoring engine)'!$K$5:$K$518,11),'Calc (scoring engine)'!$K$5:$K$518,0))),""))</f>
        <v/>
      </c>
      <c r="AK31" s="23">
        <f>IF(OR(11&gt;MAX(3,MIN(15,N($D$18))),IFERROR(LARGE('Calc (scoring engine)'!$K$5:$K$518,11),-999999)&lt;=-900000),"",IFERROR(IF(INDEX(Database!$AN$5:$AN$518,MATCH(LARGE('Calc (scoring engine)'!$K$5:$K$518,11),'Calc (scoring engine)'!$K$5:$K$518,0))="","—",INDEX(Database!$AN$5:$AN$518,MATCH(LARGE('Calc (scoring engine)'!$K$5:$K$518,11),'Calc (scoring engine)'!$K$5:$K$518,0))),""))</f>
        <v/>
      </c>
      <c r="AL31" s="23">
        <f>IF(OR(11&gt;MAX(3,MIN(15,N($D$18))),IFERROR(LARGE('Calc (scoring engine)'!$K$5:$K$518,11),-999999)&lt;=-900000),"",IFERROR(IF(INDEX(Database!$AO$5:$AO$518,MATCH(LARGE('Calc (scoring engine)'!$K$5:$K$518,11),'Calc (scoring engine)'!$K$5:$K$518,0))="","—",INDEX(Database!$AO$5:$AO$518,MATCH(LARGE('Calc (scoring engine)'!$K$5:$K$518,11),'Calc (scoring engine)'!$K$5:$K$518,0))),""))</f>
        <v/>
      </c>
      <c r="AM31" s="23">
        <f>IF(OR(11&gt;MAX(3,MIN(15,N($D$18))),IFERROR(LARGE('Calc (scoring engine)'!$K$5:$K$518,11),-999999)&lt;=-900000),"",IFERROR(IF(INDEX(Database!$AP$5:$AP$518,MATCH(LARGE('Calc (scoring engine)'!$K$5:$K$518,11),'Calc (scoring engine)'!$K$5:$K$518,0))="","—",INDEX(Database!$AP$5:$AP$518,MATCH(LARGE('Calc (scoring engine)'!$K$5:$K$518,11),'Calc (scoring engine)'!$K$5:$K$518,0))),""))</f>
        <v/>
      </c>
      <c r="AN31" s="23">
        <f>IF(OR(11&gt;MAX(3,MIN(15,N($D$18))),IFERROR(LARGE('Calc (scoring engine)'!$K$5:$K$518,11),-999999)&lt;=-900000),"",IFERROR(IF(INDEX(Database!$AQ$5:$AQ$518,MATCH(LARGE('Calc (scoring engine)'!$K$5:$K$518,11),'Calc (scoring engine)'!$K$5:$K$518,0))="","—",INDEX(Database!$AQ$5:$AQ$518,MATCH(LARGE('Calc (scoring engine)'!$K$5:$K$518,11),'Calc (scoring engine)'!$K$5:$K$518,0))),""))</f>
        <v/>
      </c>
      <c r="AO31" s="23">
        <f>IF(OR(11&gt;MAX(3,MIN(15,N($D$18))),IFERROR(LARGE('Calc (scoring engine)'!$K$5:$K$518,11),-999999)&lt;=-900000),"",IFERROR(IF(INDEX(Database!$AR$5:$AR$518,MATCH(LARGE('Calc (scoring engine)'!$K$5:$K$518,11),'Calc (scoring engine)'!$K$5:$K$518,0))="","—",INDEX(Database!$AR$5:$AR$518,MATCH(LARGE('Calc (scoring engine)'!$K$5:$K$518,11),'Calc (scoring engine)'!$K$5:$K$518,0))),""))</f>
        <v/>
      </c>
      <c r="AP31" s="23">
        <f>IF(OR(11&gt;MAX(3,MIN(15,N($D$18))),IFERROR(LARGE('Calc (scoring engine)'!$K$5:$K$518,11),-999999)&lt;=-900000),"",IFERROR(IF(INDEX(Database!$AS$5:$AS$518,MATCH(LARGE('Calc (scoring engine)'!$K$5:$K$518,11),'Calc (scoring engine)'!$K$5:$K$518,0))="","—",INDEX(Database!$AS$5:$AS$518,MATCH(LARGE('Calc (scoring engine)'!$K$5:$K$518,11),'Calc (scoring engine)'!$K$5:$K$518,0))),""))</f>
        <v/>
      </c>
      <c r="AQ31" s="23">
        <f>IF(OR(11&gt;MAX(3,MIN(15,N($D$18))),IFERROR(LARGE('Calc (scoring engine)'!$K$5:$K$518,11),-999999)&lt;=-900000),"",IFERROR(IF(INDEX(Database!$AT$5:$AT$518,MATCH(LARGE('Calc (scoring engine)'!$K$5:$K$518,11),'Calc (scoring engine)'!$K$5:$K$518,0))="","—",INDEX(Database!$AT$5:$AT$518,MATCH(LARGE('Calc (scoring engine)'!$K$5:$K$518,11),'Calc (scoring engine)'!$K$5:$K$518,0))),""))</f>
        <v/>
      </c>
      <c r="AR31" s="23">
        <f>IF(OR(11&gt;MAX(3,MIN(15,N($D$18))),IFERROR(LARGE('Calc (scoring engine)'!$K$5:$K$518,11),-999999)&lt;=-900000),"",IFERROR(IF(INDEX(Database!$AU$5:$AU$518,MATCH(LARGE('Calc (scoring engine)'!$K$5:$K$518,11),'Calc (scoring engine)'!$K$5:$K$518,0))="","—",INDEX(Database!$AU$5:$AU$518,MATCH(LARGE('Calc (scoring engine)'!$K$5:$K$518,11),'Calc (scoring engine)'!$K$5:$K$518,0))),""))</f>
        <v/>
      </c>
      <c r="AS31" s="23">
        <f>IF(OR(11&gt;MAX(3,MIN(15,N($D$18))),IFERROR(LARGE('Calc (scoring engine)'!$K$5:$K$518,11),-999999)&lt;=-900000),"",IFERROR(IF(INDEX(Database!$AV$5:$AV$518,MATCH(LARGE('Calc (scoring engine)'!$K$5:$K$518,11),'Calc (scoring engine)'!$K$5:$K$518,0))="","—",INDEX(Database!$AV$5:$AV$518,MATCH(LARGE('Calc (scoring engine)'!$K$5:$K$518,11),'Calc (scoring engine)'!$K$5:$K$518,0))),""))</f>
        <v/>
      </c>
      <c r="AT31" s="23">
        <f>IF(OR(11&gt;MAX(3,MIN(15,N($D$18))),IFERROR(LARGE('Calc (scoring engine)'!$K$5:$K$518,11),-999999)&lt;=-900000),"",IFERROR(IF(INDEX(Database!$AW$5:$AW$518,MATCH(LARGE('Calc (scoring engine)'!$K$5:$K$518,11),'Calc (scoring engine)'!$K$5:$K$518,0))="","—",INDEX(Database!$AW$5:$AW$518,MATCH(LARGE('Calc (scoring engine)'!$K$5:$K$518,11),'Calc (scoring engine)'!$K$5:$K$518,0))),""))</f>
        <v/>
      </c>
      <c r="AU31" s="23">
        <f>IF(OR(11&gt;MAX(3,MIN(15,N($D$18))),IFERROR(LARGE('Calc (scoring engine)'!$K$5:$K$518,11),-999999)&lt;=-900000),"",IFERROR(IF(INDEX(Database!$AX$5:$AX$518,MATCH(LARGE('Calc (scoring engine)'!$K$5:$K$518,11),'Calc (scoring engine)'!$K$5:$K$518,0))="","—",INDEX(Database!$AX$5:$AX$518,MATCH(LARGE('Calc (scoring engine)'!$K$5:$K$518,11),'Calc (scoring engine)'!$K$5:$K$518,0))),""))</f>
        <v/>
      </c>
      <c r="AV31" s="23">
        <f>IF(OR(11&gt;MAX(3,MIN(15,N($D$18))),IFERROR(LARGE('Calc (scoring engine)'!$K$5:$K$518,11),-999999)&lt;=-900000),"",IFERROR(IF(INDEX(Database!$AY$5:$AY$518,MATCH(LARGE('Calc (scoring engine)'!$K$5:$K$518,11),'Calc (scoring engine)'!$K$5:$K$518,0))="","—",INDEX(Database!$AY$5:$AY$518,MATCH(LARGE('Calc (scoring engine)'!$K$5:$K$518,11),'Calc (scoring engine)'!$K$5:$K$518,0))),""))</f>
        <v/>
      </c>
      <c r="AW31" s="23">
        <f>IF(OR(11&gt;MAX(3,MIN(15,N($D$18))),IFERROR(LARGE('Calc (scoring engine)'!$K$5:$K$518,11),-999999)&lt;=-900000),"",IFERROR(IF(INDEX(Database!$BA$5:$BA$518,MATCH(LARGE('Calc (scoring engine)'!$K$5:$K$518,11),'Calc (scoring engine)'!$K$5:$K$518,0))="","—",INDEX(Database!$BA$5:$BA$518,MATCH(LARGE('Calc (scoring engine)'!$K$5:$K$518,11),'Calc (scoring engine)'!$K$5:$K$518,0))),""))</f>
        <v/>
      </c>
      <c r="AX31" s="18">
        <f>IF(OR(11&gt;MAX(3,MIN(15,N($D$18))),IFERROR(LARGE('Calc (scoring engine)'!$K$5:$K$518,11),-999999)&lt;=-900000),"",IFERROR(IF(INDEX(Database!$BC$5:$BC$518,MATCH(LARGE('Calc (scoring engine)'!$K$5:$K$518,11),'Calc (scoring engine)'!$K$5:$K$518,0))="","—",INDEX(Database!$BC$5:$BC$518,MATCH(LARGE('Calc (scoring engine)'!$K$5:$K$518,11),'Calc (scoring engine)'!$K$5:$K$518,0))),""))</f>
        <v/>
      </c>
      <c r="AY31" s="18">
        <f>IF(OR(11&gt;MAX(3,MIN(15,N($D$18))),IFERROR(LARGE('Calc (scoring engine)'!$K$5:$K$518,11),-999999)&lt;=-900000),"",IFERROR(IF(INDEX(Database!$BD$5:$BD$518,MATCH(LARGE('Calc (scoring engine)'!$K$5:$K$518,11),'Calc (scoring engine)'!$K$5:$K$518,0))="","—",INDEX(Database!$BD$5:$BD$518,MATCH(LARGE('Calc (scoring engine)'!$K$5:$K$518,11),'Calc (scoring engine)'!$K$5:$K$518,0))),""))</f>
        <v/>
      </c>
      <c r="AZ31" s="10">
        <f>IF(OR(11&gt;MAX(3,MIN(15,N($D$18))),IFERROR(LARGE('Calc (scoring engine)'!$K$5:$K$518,11),-999999)&lt;=-900000),"",IFERROR(IF(INDEX(Database!$BE$5:$BE$518,MATCH(LARGE('Calc (scoring engine)'!$K$5:$K$518,11),'Calc (scoring engine)'!$K$5:$K$518,0))="","—",INDEX(Database!$BE$5:$BE$518,MATCH(LARGE('Calc (scoring engine)'!$K$5:$K$518,11),'Calc (scoring engine)'!$K$5:$K$518,0))),""))</f>
        <v/>
      </c>
      <c r="BA31" s="24">
        <f>IF(OR(11&gt;MAX(3,MIN(15,N($D$18))),IFERROR(LARGE('Calc (scoring engine)'!$K$5:$K$518,11),-999999)&lt;=-900000),"",IFERROR(IF(N(INDEX(Database!$BF$5:$BF$518,MATCH(LARGE('Calc (scoring engine)'!$K$5:$K$518,11),'Calc (scoring engine)'!$K$5:$K$518,0)))&lt;=0,IF(INDEX(Database!$BE$5:$BE$518,MATCH(LARGE('Calc (scoring engine)'!$K$5:$K$518,11),'Calc (scoring engine)'!$K$5:$K$518,0))="N","n/m","—"),INDEX(Database!$BF$5:$BF$518,MATCH(LARGE('Calc (scoring engine)'!$K$5:$K$518,11),'Calc (scoring engine)'!$K$5:$K$518,0))),""))</f>
        <v/>
      </c>
      <c r="BB31" s="24">
        <f>IF(OR(11&gt;MAX(3,MIN(15,N($D$18))),IFERROR(LARGE('Calc (scoring engine)'!$K$5:$K$518,11),-999999)&lt;=-900000),"",IFERROR(IF(INDEX(Database!$BG$5:$BG$518,MATCH(LARGE('Calc (scoring engine)'!$K$5:$K$518,11),'Calc (scoring engine)'!$K$5:$K$518,0))="","—",INDEX(Database!$BG$5:$BG$518,MATCH(LARGE('Calc (scoring engine)'!$K$5:$K$518,11),'Calc (scoring engine)'!$K$5:$K$518,0))),""))</f>
        <v/>
      </c>
      <c r="BC31" s="24">
        <f>IF(OR(11&gt;MAX(3,MIN(15,N($D$18))),IFERROR(LARGE('Calc (scoring engine)'!$K$5:$K$518,11),-999999)&lt;=-900000),"",IFERROR(IF(INDEX(Database!$BH$5:$BH$518,MATCH(LARGE('Calc (scoring engine)'!$K$5:$K$518,11),'Calc (scoring engine)'!$K$5:$K$518,0))="","—",INDEX(Database!$BH$5:$BH$518,MATCH(LARGE('Calc (scoring engine)'!$K$5:$K$518,11),'Calc (scoring engine)'!$K$5:$K$518,0))),""))</f>
        <v/>
      </c>
      <c r="BD31" s="24">
        <f>IF(OR(11&gt;MAX(3,MIN(15,N($D$18))),IFERROR(LARGE('Calc (scoring engine)'!$K$5:$K$518,11),-999999)&lt;=-900000),"",IFERROR(IF(INDEX(Database!$BI$5:$BI$518,MATCH(LARGE('Calc (scoring engine)'!$K$5:$K$518,11),'Calc (scoring engine)'!$K$5:$K$518,0))="","—",INDEX(Database!$BI$5:$BI$518,MATCH(LARGE('Calc (scoring engine)'!$K$5:$K$518,11),'Calc (scoring engine)'!$K$5:$K$518,0))),""))</f>
        <v/>
      </c>
      <c r="BE31" s="24">
        <f>IF(OR(11&gt;MAX(3,MIN(15,N($D$18))),IFERROR(LARGE('Calc (scoring engine)'!$K$5:$K$518,11),-999999)&lt;=-900000),"",IFERROR(IF(INDEX(Database!$BJ$5:$BJ$518,MATCH(LARGE('Calc (scoring engine)'!$K$5:$K$518,11),'Calc (scoring engine)'!$K$5:$K$518,0))="","—",INDEX(Database!$BJ$5:$BJ$518,MATCH(LARGE('Calc (scoring engine)'!$K$5:$K$518,11),'Calc (scoring engine)'!$K$5:$K$518,0))),""))</f>
        <v/>
      </c>
      <c r="BF31" s="24">
        <f>IF(OR(11&gt;MAX(3,MIN(15,N($D$18))),IFERROR(LARGE('Calc (scoring engine)'!$K$5:$K$518,11),-999999)&lt;=-900000),"",IFERROR(IFERROR(BDP(TEXT(INDEX(Database!$A$5:$A$518,MATCH(LARGE('Calc (scoring engine)'!$K$5:$K$518,11),'Calc (scoring engine)'!$K$5:$K$518,0)),"0")&amp;" HK Equity","PE_RATIO"),IF(INDEX(Database!$BH$5:$BH$518,MATCH(LARGE('Calc (scoring engine)'!$K$5:$K$518,11),'Calc (scoring engine)'!$K$5:$K$518,0))="","—",INDEX(Database!$BH$5:$BH$518,MATCH(LARGE('Calc (scoring engine)'!$K$5:$K$518,11),'Calc (scoring engine)'!$K$5:$K$518,0)))),""))</f>
        <v/>
      </c>
      <c r="BG31" s="24">
        <f>IF(OR(11&gt;MAX(3,MIN(15,N($D$18))),IFERROR(LARGE('Calc (scoring engine)'!$K$5:$K$518,11),-999999)&lt;=-900000),"",IFERROR(IFERROR(BDP(TEXT(INDEX(Database!$A$5:$A$518,MATCH(LARGE('Calc (scoring engine)'!$K$5:$K$518,11),'Calc (scoring engine)'!$K$5:$K$518,0)),"0")&amp;" HK Equity","PX_TO_SALES_RATIO"),IF(INDEX(Database!$BI$5:$BI$518,MATCH(LARGE('Calc (scoring engine)'!$K$5:$K$518,11),'Calc (scoring engine)'!$K$5:$K$518,0))="","—",INDEX(Database!$BI$5:$BI$518,MATCH(LARGE('Calc (scoring engine)'!$K$5:$K$518,11),'Calc (scoring engine)'!$K$5:$K$518,0)))),""))</f>
        <v/>
      </c>
      <c r="BH31" s="10">
        <f>IF(OR(11&gt;MAX(3,MIN(15,N($D$18))),IFERROR(LARGE('Calc (scoring engine)'!$K$5:$K$518,11),-999999)&lt;=-900000),"",IFERROR(IF(INDEX(Database!$BK$5:$BK$518,MATCH(LARGE('Calc (scoring engine)'!$K$5:$K$518,11),'Calc (scoring engine)'!$K$5:$K$518,0))="","—",INDEX(Database!$BK$5:$BK$518,MATCH(LARGE('Calc (scoring engine)'!$K$5:$K$518,11),'Calc (scoring engine)'!$K$5:$K$518,0))),""))</f>
        <v/>
      </c>
      <c r="BI31" s="10">
        <f>IF(OR(11&gt;MAX(3,MIN(15,N($D$18))),IFERROR(LARGE('Calc (scoring engine)'!$K$5:$K$518,11),-999999)&lt;=-900000),"",IFERROR(IF(INDEX(Database!$BL$5:$BL$518,MATCH(LARGE('Calc (scoring engine)'!$K$5:$K$518,11),'Calc (scoring engine)'!$K$5:$K$518,0))="","—",INDEX(Database!$BL$5:$BL$518,MATCH(LARGE('Calc (scoring engine)'!$K$5:$K$518,11),'Calc (scoring engine)'!$K$5:$K$518,0))),""))</f>
        <v/>
      </c>
      <c r="BJ31" s="23">
        <f>IF(OR(11&gt;MAX(3,MIN(15,N($D$18))),IFERROR(LARGE('Calc (scoring engine)'!$K$5:$K$518,11),-999999)&lt;=-900000),"",IFERROR(IF(INDEX(Database!$BM$5:$BM$518,MATCH(LARGE('Calc (scoring engine)'!$K$5:$K$518,11),'Calc (scoring engine)'!$K$5:$K$518,0))="","—",INDEX(Database!$BM$5:$BM$518,MATCH(LARGE('Calc (scoring engine)'!$K$5:$K$518,11),'Calc (scoring engine)'!$K$5:$K$518,0))),""))</f>
        <v/>
      </c>
      <c r="BK31" s="40">
        <f>IF(OR(11&gt;MAX(3,MIN(15,N($D$18))),IFERROR(LARGE('Calc (scoring engine)'!$K$5:$K$518,11),-999999)&lt;=-900000),"",IFERROR(IF(INDEX(Database!$BN$5:$BN$518,MATCH(LARGE('Calc (scoring engine)'!$K$5:$K$518,11),'Calc (scoring engine)'!$K$5:$K$518,0))="","—",INDEX(Database!$BN$5:$BN$518,MATCH(LARGE('Calc (scoring engine)'!$K$5:$K$518,11),'Calc (scoring engine)'!$K$5:$K$518,0))),""))</f>
        <v/>
      </c>
      <c r="BL31" s="43">
        <f>IF(OR(11&gt;MAX(3,MIN(15,N($D$18))),IFERROR(LARGE('Calc (scoring engine)'!$K$5:$K$518,11),-999999)&lt;=-900000),"",IFERROR(IF(INDEX(Database!$BO$5:$BO$518,MATCH(LARGE('Calc (scoring engine)'!$K$5:$K$518,11),'Calc (scoring engine)'!$K$5:$K$518,0))="","—",INDEX(Database!$BO$5:$BO$518,MATCH(LARGE('Calc (scoring engine)'!$K$5:$K$518,11),'Calc (scoring engine)'!$K$5:$K$518,0))),""))</f>
        <v/>
      </c>
      <c r="BM31" s="18">
        <f>IF(OR(11&gt;MAX(3,MIN(15,N($D$18))),IFERROR(LARGE('Calc (scoring engine)'!$K$5:$K$518,11),-999999)&lt;=-900000),"",IFERROR(IF(INDEX(Database!$BP$5:$BP$518,MATCH(LARGE('Calc (scoring engine)'!$K$5:$K$518,11),'Calc (scoring engine)'!$K$5:$K$518,0))="","—",INDEX(Database!$BP$5:$BP$518,MATCH(LARGE('Calc (scoring engine)'!$K$5:$K$518,11),'Calc (scoring engine)'!$K$5:$K$518,0))),""))</f>
        <v/>
      </c>
      <c r="BN31" s="24">
        <f>IF(OR(11&gt;MAX(3,MIN(15,N($D$18))),IFERROR(LARGE('Calc (scoring engine)'!$K$5:$K$518,11),-999999)&lt;=-900000),"",IFERROR(IF(INDEX(Database!$BQ$5:$BQ$518,MATCH(LARGE('Calc (scoring engine)'!$K$5:$K$518,11),'Calc (scoring engine)'!$K$5:$K$518,0))="","—",INDEX(Database!$BQ$5:$BQ$518,MATCH(LARGE('Calc (scoring engine)'!$K$5:$K$518,11),'Calc (scoring engine)'!$K$5:$K$518,0))),""))</f>
        <v/>
      </c>
      <c r="BO31" s="24">
        <f>IF(OR(11&gt;MAX(3,MIN(15,N($D$18))),IFERROR(LARGE('Calc (scoring engine)'!$K$5:$K$518,11),-999999)&lt;=-900000),"",IFERROR(IF(INDEX(Database!$BR$5:$BR$518,MATCH(LARGE('Calc (scoring engine)'!$K$5:$K$518,11),'Calc (scoring engine)'!$K$5:$K$518,0))="","—",INDEX(Database!$BR$5:$BR$518,MATCH(LARGE('Calc (scoring engine)'!$K$5:$K$518,11),'Calc (scoring engine)'!$K$5:$K$518,0))),""))</f>
        <v/>
      </c>
      <c r="BP31" s="10">
        <f>IF(OR(11&gt;MAX(3,MIN(15,N($D$18))),IFERROR(LARGE('Calc (scoring engine)'!$K$5:$K$518,11),-999999)&lt;=-900000),"",IFERROR(IF(INDEX(Database!$BS$5:$BS$518,MATCH(LARGE('Calc (scoring engine)'!$K$5:$K$518,11),'Calc (scoring engine)'!$K$5:$K$518,0))="","—",INDEX(Database!$BS$5:$BS$518,MATCH(LARGE('Calc (scoring engine)'!$K$5:$K$518,11),'Calc (scoring engine)'!$K$5:$K$518,0))),""))</f>
        <v/>
      </c>
      <c r="BQ31" s="10">
        <f>IF(OR(11&gt;MAX(3,MIN(15,N($D$18))),IFERROR(LARGE('Calc (scoring engine)'!$K$5:$K$518,11),-999999)&lt;=-900000),"",IFERROR(IF(INDEX(Database!$BU$5:$BU$518,MATCH(LARGE('Calc (scoring engine)'!$K$5:$K$518,11),'Calc (scoring engine)'!$K$5:$K$518,0))="","—",INDEX(Database!$BU$5:$BU$518,MATCH(LARGE('Calc (scoring engine)'!$K$5:$K$518,11),'Calc (scoring engine)'!$K$5:$K$518,0))),""))</f>
        <v/>
      </c>
      <c r="BR31" s="44">
        <f>IF(OR(11&gt;MAX(3,MIN(15,N($D$18))),IFERROR(LARGE('Calc (scoring engine)'!$K$5:$K$518,11),-999999)&lt;=-900000),"",IFERROR(IF(INDEX('Calc (scoring engine)'!$H$5:$H$518,MATCH(LARGE('Calc (scoring engine)'!$K$5:$K$518,11),'Calc (scoring engine)'!$K$5:$K$518,0))&gt;0,INDEX('Calc (scoring engine)'!$H$5:$H$518,MATCH(LARGE('Calc (scoring engine)'!$K$5:$K$518,11),'Calc (scoring engine)'!$K$5:$K$518,0)),""),""))</f>
        <v/>
      </c>
      <c r="BS31" s="10">
        <f>IF(OR(11&gt;MAX(3,MIN(15,N($D$18))),IFERROR(LARGE('Calc (scoring engine)'!$K$5:$K$518,11),-999999)&lt;=-900000),"",IF(IFERROR(INDEX('Calc (scoring engine)'!$B$5:$B$518,MATCH(LARGE('Calc (scoring engine)'!$K$5:$K$518,11),'Calc (scoring engine)'!$K$5:$K$518,0)),0)=1,"same subsector","sector only"))</f>
        <v/>
      </c>
      <c r="BT31" s="44">
        <f>IF(OR(11&gt;MAX(3,MIN(15,N($D$18))),IFERROR(LARGE('Calc (scoring engine)'!$K$5:$K$518,11),-999999)&lt;=-900000),"",ROUND(IFERROR(LARGE('Calc (scoring engine)'!$K$5:$K$518,11),0),0))</f>
        <v/>
      </c>
      <c r="BU31" s="10">
        <f>IF(OR(11&gt;MAX(3,MIN(15,N($D$18))),IFERROR(LARGE('Calc (scoring engine)'!$K$5:$K$518,11),-999999)&lt;=-900000),"",IFERROR("sub "&amp;INDEX('Calc (scoring engine)'!$B$5:$B$518,MATCH(LARGE('Calc (scoring engine)'!$K$5:$K$518,11),'Calc (scoring engine)'!$K$5:$K$518,0))*W_SUB&amp;" + size "&amp;ROUND(INDEX('Calc (scoring engine)'!$D$5:$D$518,MATCH(LARGE('Calc (scoring engine)'!$K$5:$K$518,11),'Calc (scoring engine)'!$K$5:$K$518,0))*W_SIZE,0)&amp;" + prof "&amp;INDEX('Calc (scoring engine)'!$E$5:$E$518,MATCH(LARGE('Calc (scoring engine)'!$K$5:$K$518,11),'Calc (scoring engine)'!$K$5:$K$518,0))*W_PROF&amp;" + recency "&amp;ROUND(INDEX('Calc (scoring engine)'!$G$5:$G$518,MATCH(LARGE('Calc (scoring engine)'!$K$5:$K$518,11),'Calc (scoring engine)'!$K$5:$K$518,0))*W_REC,0)&amp;IF(INDEX('Calc (scoring engine)'!$H$5:$H$518,MATCH(LARGE('Calc (scoring engine)'!$K$5:$K$518,11),'Calc (scoring engine)'!$K$5:$K$518,0))&gt;0," + shared CS x"&amp;INDEX('Calc (scoring engine)'!$H$5:$H$518,MATCH(LARGE('Calc (scoring engine)'!$K$5:$K$518,11),'Calc (scoring engine)'!$K$5:$K$518,0)),""),""))</f>
        <v/>
      </c>
    </row>
    <row r="32">
      <c r="A32" s="38">
        <f>IF(OR(12&gt;MAX(3,MIN(15,N($D$18))),IFERROR(LARGE('Calc (scoring engine)'!$K$5:$K$518,12),-999999)&lt;=-900000),"",12)</f>
        <v/>
      </c>
      <c r="B32" s="10">
        <f>IF(OR(12&gt;MAX(3,MIN(15,N($D$18))),IFERROR(LARGE('Calc (scoring engine)'!$K$5:$K$518,12),-999999)&lt;=-900000),"",IFERROR(IF(INDEX(Database!$B$5:$B$518,MATCH(LARGE('Calc (scoring engine)'!$K$5:$K$518,12),'Calc (scoring engine)'!$K$5:$K$518,0))="","—",INDEX(Database!$B$5:$B$518,MATCH(LARGE('Calc (scoring engine)'!$K$5:$K$518,12),'Calc (scoring engine)'!$K$5:$K$518,0))),""))</f>
        <v/>
      </c>
      <c r="C32" s="39">
        <f>IF(OR(12&gt;MAX(3,MIN(15,N($D$18))),IFERROR(LARGE('Calc (scoring engine)'!$K$5:$K$518,12),-999999)&lt;=-900000),"",IFERROR(IF(INDEX(Database!$A$5:$A$518,MATCH(LARGE('Calc (scoring engine)'!$K$5:$K$518,12),'Calc (scoring engine)'!$K$5:$K$518,0))="","—",INDEX(Database!$A$5:$A$518,MATCH(LARGE('Calc (scoring engine)'!$K$5:$K$518,12),'Calc (scoring engine)'!$K$5:$K$518,0))),""))</f>
        <v/>
      </c>
      <c r="D32" s="10">
        <f>IF(OR(12&gt;MAX(3,MIN(15,N($D$18))),IFERROR(LARGE('Calc (scoring engine)'!$K$5:$K$518,12),-999999)&lt;=-900000),"",IFERROR(IF(INDEX(Database!$D$5:$D$518,MATCH(LARGE('Calc (scoring engine)'!$K$5:$K$518,12),'Calc (scoring engine)'!$K$5:$K$518,0))="","—",INDEX(Database!$D$5:$D$518,MATCH(LARGE('Calc (scoring engine)'!$K$5:$K$518,12),'Calc (scoring engine)'!$K$5:$K$518,0))),""))</f>
        <v/>
      </c>
      <c r="E32" s="10">
        <f>IF(OR(12&gt;MAX(3,MIN(15,N($D$18))),IFERROR(LARGE('Calc (scoring engine)'!$K$5:$K$518,12),-999999)&lt;=-900000),"",IFERROR(IF(INDEX(Database!$E$5:$E$518,MATCH(LARGE('Calc (scoring engine)'!$K$5:$K$518,12),'Calc (scoring engine)'!$K$5:$K$518,0))="","—",INDEX(Database!$E$5:$E$518,MATCH(LARGE('Calc (scoring engine)'!$K$5:$K$518,12),'Calc (scoring engine)'!$K$5:$K$518,0))),""))</f>
        <v/>
      </c>
      <c r="F32" s="10">
        <f>IF(OR(12&gt;MAX(3,MIN(15,N($D$18))),IFERROR(LARGE('Calc (scoring engine)'!$K$5:$K$518,12),-999999)&lt;=-900000),"",IFERROR(IF(INDEX(Database!$F$5:$F$518,MATCH(LARGE('Calc (scoring engine)'!$K$5:$K$518,12),'Calc (scoring engine)'!$K$5:$K$518,0))="","—",INDEX(Database!$F$5:$F$518,MATCH(LARGE('Calc (scoring engine)'!$K$5:$K$518,12),'Calc (scoring engine)'!$K$5:$K$518,0))),""))</f>
        <v/>
      </c>
      <c r="G32" s="10">
        <f>IF(OR(12&gt;MAX(3,MIN(15,N($D$18))),IFERROR(LARGE('Calc (scoring engine)'!$K$5:$K$518,12),-999999)&lt;=-900000),"",IFERROR(IF(INDEX(Database!$G$5:$G$518,MATCH(LARGE('Calc (scoring engine)'!$K$5:$K$518,12),'Calc (scoring engine)'!$K$5:$K$518,0))="","—",INDEX(Database!$G$5:$G$518,MATCH(LARGE('Calc (scoring engine)'!$K$5:$K$518,12),'Calc (scoring engine)'!$K$5:$K$518,0))),""))</f>
        <v/>
      </c>
      <c r="H32" s="21">
        <f>IF(OR(12&gt;MAX(3,MIN(15,N($D$18))),IFERROR(LARGE('Calc (scoring engine)'!$K$5:$K$518,12),-999999)&lt;=-900000),"",IFERROR(IF(INDEX(Database!$H$5:$H$518,MATCH(LARGE('Calc (scoring engine)'!$K$5:$K$518,12),'Calc (scoring engine)'!$K$5:$K$518,0))="","—",INDEX(Database!$H$5:$H$518,MATCH(LARGE('Calc (scoring engine)'!$K$5:$K$518,12),'Calc (scoring engine)'!$K$5:$K$518,0))),""))</f>
        <v/>
      </c>
      <c r="I32" s="18">
        <f>IF(OR(12&gt;MAX(3,MIN(15,N($D$18))),IFERROR(LARGE('Calc (scoring engine)'!$K$5:$K$518,12),-999999)&lt;=-900000),"",IFERROR(IF(INDEX(Database!$I$5:$I$518,MATCH(LARGE('Calc (scoring engine)'!$K$5:$K$518,12),'Calc (scoring engine)'!$K$5:$K$518,0))="","—",INDEX(Database!$I$5:$I$518,MATCH(LARGE('Calc (scoring engine)'!$K$5:$K$518,12),'Calc (scoring engine)'!$K$5:$K$518,0))),""))</f>
        <v/>
      </c>
      <c r="J32" s="40">
        <f>IF(OR(12&gt;MAX(3,MIN(15,N($D$18))),IFERROR(LARGE('Calc (scoring engine)'!$K$5:$K$518,12),-999999)&lt;=-900000),"",IFERROR(IF(INDEX(Database!$K$5:$K$518,MATCH(LARGE('Calc (scoring engine)'!$K$5:$K$518,12),'Calc (scoring engine)'!$K$5:$K$518,0))="","—",INDEX(Database!$K$5:$K$518,MATCH(LARGE('Calc (scoring engine)'!$K$5:$K$518,12),'Calc (scoring engine)'!$K$5:$K$518,0))),""))</f>
        <v/>
      </c>
      <c r="K32" s="40">
        <f>IF(OR(12&gt;MAX(3,MIN(15,N($D$18))),IFERROR(LARGE('Calc (scoring engine)'!$K$5:$K$518,12),-999999)&lt;=-900000),"",IFERROR(IF(INDEX(Database!$L$5:$L$518,MATCH(LARGE('Calc (scoring engine)'!$K$5:$K$518,12),'Calc (scoring engine)'!$K$5:$K$518,0))="","—",INDEX(Database!$L$5:$L$518,MATCH(LARGE('Calc (scoring engine)'!$K$5:$K$518,12),'Calc (scoring engine)'!$K$5:$K$518,0))),""))</f>
        <v/>
      </c>
      <c r="L32" s="40">
        <f>IF(OR(12&gt;MAX(3,MIN(15,N($D$18))),IFERROR(LARGE('Calc (scoring engine)'!$K$5:$K$518,12),-999999)&lt;=-900000),"",IFERROR(IF(INDEX(Database!$M$5:$M$518,MATCH(LARGE('Calc (scoring engine)'!$K$5:$K$518,12),'Calc (scoring engine)'!$K$5:$K$518,0))="","—",INDEX(Database!$M$5:$M$518,MATCH(LARGE('Calc (scoring engine)'!$K$5:$K$518,12),'Calc (scoring engine)'!$K$5:$K$518,0))),""))</f>
        <v/>
      </c>
      <c r="M32" s="10">
        <f>IF(OR(12&gt;MAX(3,MIN(15,N($D$18))),IFERROR(LARGE('Calc (scoring engine)'!$K$5:$K$518,12),-999999)&lt;=-900000),"",IFERROR(IF(INDEX(Database!$N$5:$N$518,MATCH(LARGE('Calc (scoring engine)'!$K$5:$K$518,12),'Calc (scoring engine)'!$K$5:$K$518,0))="","—",INDEX(Database!$N$5:$N$518,MATCH(LARGE('Calc (scoring engine)'!$K$5:$K$518,12),'Calc (scoring engine)'!$K$5:$K$518,0))),""))</f>
        <v/>
      </c>
      <c r="N32" s="28">
        <f>IF(OR(12&gt;MAX(3,MIN(15,N($D$18))),IFERROR(LARGE('Calc (scoring engine)'!$K$5:$K$518,12),-999999)&lt;=-900000),"",IFERROR(IF(INDEX(Database!$O$5:$O$518,MATCH(LARGE('Calc (scoring engine)'!$K$5:$K$518,12),'Calc (scoring engine)'!$K$5:$K$518,0))="","—",INDEX(Database!$O$5:$O$518,MATCH(LARGE('Calc (scoring engine)'!$K$5:$K$518,12),'Calc (scoring engine)'!$K$5:$K$518,0))),""))</f>
        <v/>
      </c>
      <c r="O32" s="28">
        <f>IF(OR(12&gt;MAX(3,MIN(15,N($D$18))),IFERROR(LARGE('Calc (scoring engine)'!$K$5:$K$518,12),-999999)&lt;=-900000),"",IFERROR(IF(INDEX(Database!$P$5:$P$518,MATCH(LARGE('Calc (scoring engine)'!$K$5:$K$518,12),'Calc (scoring engine)'!$K$5:$K$518,0))="","—",INDEX(Database!$P$5:$P$518,MATCH(LARGE('Calc (scoring engine)'!$K$5:$K$518,12),'Calc (scoring engine)'!$K$5:$K$518,0))),""))</f>
        <v/>
      </c>
      <c r="P32" s="18">
        <f>IF(OR(12&gt;MAX(3,MIN(15,N($D$18))),IFERROR(LARGE('Calc (scoring engine)'!$K$5:$K$518,12),-999999)&lt;=-900000),"",IFERROR(IF(INDEX(Database!$Q$5:$Q$518,MATCH(LARGE('Calc (scoring engine)'!$K$5:$K$518,12),'Calc (scoring engine)'!$K$5:$K$518,0))="","—",INDEX(Database!$Q$5:$Q$518,MATCH(LARGE('Calc (scoring engine)'!$K$5:$K$518,12),'Calc (scoring engine)'!$K$5:$K$518,0))),""))</f>
        <v/>
      </c>
      <c r="Q32" s="26">
        <f>IF(OR(12&gt;MAX(3,MIN(15,N($D$18))),IFERROR(LARGE('Calc (scoring engine)'!$K$5:$K$518,12),-999999)&lt;=-900000),"",IFERROR(IF(INDEX(Database!$S$5:$S$518,MATCH(LARGE('Calc (scoring engine)'!$K$5:$K$518,12),'Calc (scoring engine)'!$K$5:$K$518,0))="","—",INDEX(Database!$S$5:$S$518,MATCH(LARGE('Calc (scoring engine)'!$K$5:$K$518,12),'Calc (scoring engine)'!$K$5:$K$518,0))),""))</f>
        <v/>
      </c>
      <c r="R32" s="41">
        <f>IF(OR(12&gt;MAX(3,MIN(15,N($D$18))),IFERROR(LARGE('Calc (scoring engine)'!$K$5:$K$518,12),-999999)&lt;=-900000),"",IFERROR(IF(INDEX(Database!$T$5:$T$518,MATCH(LARGE('Calc (scoring engine)'!$K$5:$K$518,12),'Calc (scoring engine)'!$K$5:$K$518,0))="","—",INDEX(Database!$T$5:$T$518,MATCH(LARGE('Calc (scoring engine)'!$K$5:$K$518,12),'Calc (scoring engine)'!$K$5:$K$518,0))),""))</f>
        <v/>
      </c>
      <c r="S32" s="42">
        <f>IF(OR(12&gt;MAX(3,MIN(15,N($D$18))),IFERROR(LARGE('Calc (scoring engine)'!$K$5:$K$518,12),-999999)&lt;=-900000),"",IFERROR(IF(INDEX(Database!$U$5:$U$518,MATCH(LARGE('Calc (scoring engine)'!$K$5:$K$518,12),'Calc (scoring engine)'!$K$5:$K$518,0))="","—",INDEX(Database!$U$5:$U$518,MATCH(LARGE('Calc (scoring engine)'!$K$5:$K$518,12),'Calc (scoring engine)'!$K$5:$K$518,0))),""))</f>
        <v/>
      </c>
      <c r="T32" s="18">
        <f>IF(OR(12&gt;MAX(3,MIN(15,N($D$18))),IFERROR(LARGE('Calc (scoring engine)'!$K$5:$K$518,12),-999999)&lt;=-900000),"",IFERROR(IF(INDEX(Database!$V$5:$V$518,MATCH(LARGE('Calc (scoring engine)'!$K$5:$K$518,12),'Calc (scoring engine)'!$K$5:$K$518,0))="","—",INDEX(Database!$V$5:$V$518,MATCH(LARGE('Calc (scoring engine)'!$K$5:$K$518,12),'Calc (scoring engine)'!$K$5:$K$518,0))),""))</f>
        <v/>
      </c>
      <c r="U32" s="18">
        <f>IF(OR(12&gt;MAX(3,MIN(15,N($D$18))),IFERROR(LARGE('Calc (scoring engine)'!$K$5:$K$518,12),-999999)&lt;=-900000),"",IFERROR(IF(INDEX(Database!$W$5:$W$518,MATCH(LARGE('Calc (scoring engine)'!$K$5:$K$518,12),'Calc (scoring engine)'!$K$5:$K$518,0))="","—",INDEX(Database!$W$5:$W$518,MATCH(LARGE('Calc (scoring engine)'!$K$5:$K$518,12),'Calc (scoring engine)'!$K$5:$K$518,0))),""))</f>
        <v/>
      </c>
      <c r="V32" s="28">
        <f>IF(OR(12&gt;MAX(3,MIN(15,N($D$18))),IFERROR(LARGE('Calc (scoring engine)'!$K$5:$K$518,12),-999999)&lt;=-900000),"",IFERROR(IF(INDEX(Database!$X$5:$X$518,MATCH(LARGE('Calc (scoring engine)'!$K$5:$K$518,12),'Calc (scoring engine)'!$K$5:$K$518,0))="","—",INDEX(Database!$X$5:$X$518,MATCH(LARGE('Calc (scoring engine)'!$K$5:$K$518,12),'Calc (scoring engine)'!$K$5:$K$518,0))),""))</f>
        <v/>
      </c>
      <c r="W32" s="10">
        <f>IF(OR(12&gt;MAX(3,MIN(15,N($D$18))),IFERROR(LARGE('Calc (scoring engine)'!$K$5:$K$518,12),-999999)&lt;=-900000),"",IFERROR(IF(INDEX(Database!$Y$5:$Y$518,MATCH(LARGE('Calc (scoring engine)'!$K$5:$K$518,12),'Calc (scoring engine)'!$K$5:$K$518,0))="","—",INDEX(Database!$Y$5:$Y$518,MATCH(LARGE('Calc (scoring engine)'!$K$5:$K$518,12),'Calc (scoring engine)'!$K$5:$K$518,0))),""))</f>
        <v/>
      </c>
      <c r="X32" s="28">
        <f>IF(OR(12&gt;MAX(3,MIN(15,N($D$18))),IFERROR(LARGE('Calc (scoring engine)'!$K$5:$K$518,12),-999999)&lt;=-900000),"",IFERROR(IF(INDEX(Database!$AA$5:$AA$518,MATCH(LARGE('Calc (scoring engine)'!$K$5:$K$518,12),'Calc (scoring engine)'!$K$5:$K$518,0))="","—",INDEX(Database!$AA$5:$AA$518,MATCH(LARGE('Calc (scoring engine)'!$K$5:$K$518,12),'Calc (scoring engine)'!$K$5:$K$518,0))),""))</f>
        <v/>
      </c>
      <c r="Y32" s="23">
        <f>IF(OR(12&gt;MAX(3,MIN(15,N($D$18))),IFERROR(LARGE('Calc (scoring engine)'!$K$5:$K$518,12),-999999)&lt;=-900000),"",IFERROR(IF(INDEX(Database!$AB$5:$AB$518,MATCH(LARGE('Calc (scoring engine)'!$K$5:$K$518,12),'Calc (scoring engine)'!$K$5:$K$518,0))="","—",INDEX(Database!$AB$5:$AB$518,MATCH(LARGE('Calc (scoring engine)'!$K$5:$K$518,12),'Calc (scoring engine)'!$K$5:$K$518,0))),""))</f>
        <v/>
      </c>
      <c r="Z32" s="40">
        <f>IF(OR(12&gt;MAX(3,MIN(15,N($D$18))),IFERROR(LARGE('Calc (scoring engine)'!$K$5:$K$518,12),-999999)&lt;=-900000),"",IFERROR(IF(INDEX(Database!$AC$5:$AC$518,MATCH(LARGE('Calc (scoring engine)'!$K$5:$K$518,12),'Calc (scoring engine)'!$K$5:$K$518,0))="","—",INDEX(Database!$AC$5:$AC$518,MATCH(LARGE('Calc (scoring engine)'!$K$5:$K$518,12),'Calc (scoring engine)'!$K$5:$K$518,0))),""))</f>
        <v/>
      </c>
      <c r="AA32" s="23">
        <f>IF(OR(12&gt;MAX(3,MIN(15,N($D$18))),IFERROR(LARGE('Calc (scoring engine)'!$K$5:$K$518,12),-999999)&lt;=-900000),"",IFERROR(IF(INDEX(Database!$AD$5:$AD$518,MATCH(LARGE('Calc (scoring engine)'!$K$5:$K$518,12),'Calc (scoring engine)'!$K$5:$K$518,0))="","—",INDEX(Database!$AD$5:$AD$518,MATCH(LARGE('Calc (scoring engine)'!$K$5:$K$518,12),'Calc (scoring engine)'!$K$5:$K$518,0))),""))</f>
        <v/>
      </c>
      <c r="AB32" s="10">
        <f>IF(OR(12&gt;MAX(3,MIN(15,N($D$18))),IFERROR(LARGE('Calc (scoring engine)'!$K$5:$K$518,12),-999999)&lt;=-900000),"",IFERROR(IF(INDEX(Database!$AE$5:$AE$518,MATCH(LARGE('Calc (scoring engine)'!$K$5:$K$518,12),'Calc (scoring engine)'!$K$5:$K$518,0))="","—",INDEX(Database!$AE$5:$AE$518,MATCH(LARGE('Calc (scoring engine)'!$K$5:$K$518,12),'Calc (scoring engine)'!$K$5:$K$518,0))),""))</f>
        <v/>
      </c>
      <c r="AC32" s="10">
        <f>IF(OR(12&gt;MAX(3,MIN(15,N($D$18))),IFERROR(LARGE('Calc (scoring engine)'!$K$5:$K$518,12),-999999)&lt;=-900000),"",IFERROR(IF(INDEX(Database!$AF$5:$AF$518,MATCH(LARGE('Calc (scoring engine)'!$K$5:$K$518,12),'Calc (scoring engine)'!$K$5:$K$518,0))="","—",INDEX(Database!$AF$5:$AF$518,MATCH(LARGE('Calc (scoring engine)'!$K$5:$K$518,12),'Calc (scoring engine)'!$K$5:$K$518,0))),""))</f>
        <v/>
      </c>
      <c r="AD32" s="10">
        <f>IF(OR(12&gt;MAX(3,MIN(15,N($D$18))),IFERROR(LARGE('Calc (scoring engine)'!$K$5:$K$518,12),-999999)&lt;=-900000),"",IFERROR(IF(INDEX(Database!$AG$5:$AG$518,MATCH(LARGE('Calc (scoring engine)'!$K$5:$K$518,12),'Calc (scoring engine)'!$K$5:$K$518,0))="","—",INDEX(Database!$AG$5:$AG$518,MATCH(LARGE('Calc (scoring engine)'!$K$5:$K$518,12),'Calc (scoring engine)'!$K$5:$K$518,0))),""))</f>
        <v/>
      </c>
      <c r="AE32" s="10">
        <f>IF(OR(12&gt;MAX(3,MIN(15,N($D$18))),IFERROR(LARGE('Calc (scoring engine)'!$K$5:$K$518,12),-999999)&lt;=-900000),"",IFERROR(IF(INDEX(Database!$AH$5:$AH$518,MATCH(LARGE('Calc (scoring engine)'!$K$5:$K$518,12),'Calc (scoring engine)'!$K$5:$K$518,0))="","—",INDEX(Database!$AH$5:$AH$518,MATCH(LARGE('Calc (scoring engine)'!$K$5:$K$518,12),'Calc (scoring engine)'!$K$5:$K$518,0))),""))</f>
        <v/>
      </c>
      <c r="AF32" s="10">
        <f>IF(OR(12&gt;MAX(3,MIN(15,N($D$18))),IFERROR(LARGE('Calc (scoring engine)'!$K$5:$K$518,12),-999999)&lt;=-900000),"",IFERROR(IF(INDEX(Database!$AI$5:$AI$518,MATCH(LARGE('Calc (scoring engine)'!$K$5:$K$518,12),'Calc (scoring engine)'!$K$5:$K$518,0))="","—",INDEX(Database!$AI$5:$AI$518,MATCH(LARGE('Calc (scoring engine)'!$K$5:$K$518,12),'Calc (scoring engine)'!$K$5:$K$518,0))),""))</f>
        <v/>
      </c>
      <c r="AG32" s="10">
        <f>IF(OR(12&gt;MAX(3,MIN(15,N($D$18))),IFERROR(LARGE('Calc (scoring engine)'!$K$5:$K$518,12),-999999)&lt;=-900000),"",IFERROR(IF(INDEX(Database!$AJ$5:$AJ$518,MATCH(LARGE('Calc (scoring engine)'!$K$5:$K$518,12),'Calc (scoring engine)'!$K$5:$K$518,0))="","—",INDEX(Database!$AJ$5:$AJ$518,MATCH(LARGE('Calc (scoring engine)'!$K$5:$K$518,12),'Calc (scoring engine)'!$K$5:$K$518,0))),""))</f>
        <v/>
      </c>
      <c r="AH32" s="23">
        <f>IF(OR(12&gt;MAX(3,MIN(15,N($D$18))),IFERROR(LARGE('Calc (scoring engine)'!$K$5:$K$518,12),-999999)&lt;=-900000),"",IFERROR(IF(INDEX(Database!$AK$5:$AK$518,MATCH(LARGE('Calc (scoring engine)'!$K$5:$K$518,12),'Calc (scoring engine)'!$K$5:$K$518,0))="","—",INDEX(Database!$AK$5:$AK$518,MATCH(LARGE('Calc (scoring engine)'!$K$5:$K$518,12),'Calc (scoring engine)'!$K$5:$K$518,0))),""))</f>
        <v/>
      </c>
      <c r="AI32" s="23">
        <f>IF(OR(12&gt;MAX(3,MIN(15,N($D$18))),IFERROR(LARGE('Calc (scoring engine)'!$K$5:$K$518,12),-999999)&lt;=-900000),"",IFERROR(IF(INDEX(Database!$AL$5:$AL$518,MATCH(LARGE('Calc (scoring engine)'!$K$5:$K$518,12),'Calc (scoring engine)'!$K$5:$K$518,0))="","—",INDEX(Database!$AL$5:$AL$518,MATCH(LARGE('Calc (scoring engine)'!$K$5:$K$518,12),'Calc (scoring engine)'!$K$5:$K$518,0))),""))</f>
        <v/>
      </c>
      <c r="AJ32" s="23">
        <f>IF(OR(12&gt;MAX(3,MIN(15,N($D$18))),IFERROR(LARGE('Calc (scoring engine)'!$K$5:$K$518,12),-999999)&lt;=-900000),"",IFERROR(IF(INDEX(Database!$AM$5:$AM$518,MATCH(LARGE('Calc (scoring engine)'!$K$5:$K$518,12),'Calc (scoring engine)'!$K$5:$K$518,0))="","—",INDEX(Database!$AM$5:$AM$518,MATCH(LARGE('Calc (scoring engine)'!$K$5:$K$518,12),'Calc (scoring engine)'!$K$5:$K$518,0))),""))</f>
        <v/>
      </c>
      <c r="AK32" s="23">
        <f>IF(OR(12&gt;MAX(3,MIN(15,N($D$18))),IFERROR(LARGE('Calc (scoring engine)'!$K$5:$K$518,12),-999999)&lt;=-900000),"",IFERROR(IF(INDEX(Database!$AN$5:$AN$518,MATCH(LARGE('Calc (scoring engine)'!$K$5:$K$518,12),'Calc (scoring engine)'!$K$5:$K$518,0))="","—",INDEX(Database!$AN$5:$AN$518,MATCH(LARGE('Calc (scoring engine)'!$K$5:$K$518,12),'Calc (scoring engine)'!$K$5:$K$518,0))),""))</f>
        <v/>
      </c>
      <c r="AL32" s="23">
        <f>IF(OR(12&gt;MAX(3,MIN(15,N($D$18))),IFERROR(LARGE('Calc (scoring engine)'!$K$5:$K$518,12),-999999)&lt;=-900000),"",IFERROR(IF(INDEX(Database!$AO$5:$AO$518,MATCH(LARGE('Calc (scoring engine)'!$K$5:$K$518,12),'Calc (scoring engine)'!$K$5:$K$518,0))="","—",INDEX(Database!$AO$5:$AO$518,MATCH(LARGE('Calc (scoring engine)'!$K$5:$K$518,12),'Calc (scoring engine)'!$K$5:$K$518,0))),""))</f>
        <v/>
      </c>
      <c r="AM32" s="23">
        <f>IF(OR(12&gt;MAX(3,MIN(15,N($D$18))),IFERROR(LARGE('Calc (scoring engine)'!$K$5:$K$518,12),-999999)&lt;=-900000),"",IFERROR(IF(INDEX(Database!$AP$5:$AP$518,MATCH(LARGE('Calc (scoring engine)'!$K$5:$K$518,12),'Calc (scoring engine)'!$K$5:$K$518,0))="","—",INDEX(Database!$AP$5:$AP$518,MATCH(LARGE('Calc (scoring engine)'!$K$5:$K$518,12),'Calc (scoring engine)'!$K$5:$K$518,0))),""))</f>
        <v/>
      </c>
      <c r="AN32" s="23">
        <f>IF(OR(12&gt;MAX(3,MIN(15,N($D$18))),IFERROR(LARGE('Calc (scoring engine)'!$K$5:$K$518,12),-999999)&lt;=-900000),"",IFERROR(IF(INDEX(Database!$AQ$5:$AQ$518,MATCH(LARGE('Calc (scoring engine)'!$K$5:$K$518,12),'Calc (scoring engine)'!$K$5:$K$518,0))="","—",INDEX(Database!$AQ$5:$AQ$518,MATCH(LARGE('Calc (scoring engine)'!$K$5:$K$518,12),'Calc (scoring engine)'!$K$5:$K$518,0))),""))</f>
        <v/>
      </c>
      <c r="AO32" s="23">
        <f>IF(OR(12&gt;MAX(3,MIN(15,N($D$18))),IFERROR(LARGE('Calc (scoring engine)'!$K$5:$K$518,12),-999999)&lt;=-900000),"",IFERROR(IF(INDEX(Database!$AR$5:$AR$518,MATCH(LARGE('Calc (scoring engine)'!$K$5:$K$518,12),'Calc (scoring engine)'!$K$5:$K$518,0))="","—",INDEX(Database!$AR$5:$AR$518,MATCH(LARGE('Calc (scoring engine)'!$K$5:$K$518,12),'Calc (scoring engine)'!$K$5:$K$518,0))),""))</f>
        <v/>
      </c>
      <c r="AP32" s="23">
        <f>IF(OR(12&gt;MAX(3,MIN(15,N($D$18))),IFERROR(LARGE('Calc (scoring engine)'!$K$5:$K$518,12),-999999)&lt;=-900000),"",IFERROR(IF(INDEX(Database!$AS$5:$AS$518,MATCH(LARGE('Calc (scoring engine)'!$K$5:$K$518,12),'Calc (scoring engine)'!$K$5:$K$518,0))="","—",INDEX(Database!$AS$5:$AS$518,MATCH(LARGE('Calc (scoring engine)'!$K$5:$K$518,12),'Calc (scoring engine)'!$K$5:$K$518,0))),""))</f>
        <v/>
      </c>
      <c r="AQ32" s="23">
        <f>IF(OR(12&gt;MAX(3,MIN(15,N($D$18))),IFERROR(LARGE('Calc (scoring engine)'!$K$5:$K$518,12),-999999)&lt;=-900000),"",IFERROR(IF(INDEX(Database!$AT$5:$AT$518,MATCH(LARGE('Calc (scoring engine)'!$K$5:$K$518,12),'Calc (scoring engine)'!$K$5:$K$518,0))="","—",INDEX(Database!$AT$5:$AT$518,MATCH(LARGE('Calc (scoring engine)'!$K$5:$K$518,12),'Calc (scoring engine)'!$K$5:$K$518,0))),""))</f>
        <v/>
      </c>
      <c r="AR32" s="23">
        <f>IF(OR(12&gt;MAX(3,MIN(15,N($D$18))),IFERROR(LARGE('Calc (scoring engine)'!$K$5:$K$518,12),-999999)&lt;=-900000),"",IFERROR(IF(INDEX(Database!$AU$5:$AU$518,MATCH(LARGE('Calc (scoring engine)'!$K$5:$K$518,12),'Calc (scoring engine)'!$K$5:$K$518,0))="","—",INDEX(Database!$AU$5:$AU$518,MATCH(LARGE('Calc (scoring engine)'!$K$5:$K$518,12),'Calc (scoring engine)'!$K$5:$K$518,0))),""))</f>
        <v/>
      </c>
      <c r="AS32" s="23">
        <f>IF(OR(12&gt;MAX(3,MIN(15,N($D$18))),IFERROR(LARGE('Calc (scoring engine)'!$K$5:$K$518,12),-999999)&lt;=-900000),"",IFERROR(IF(INDEX(Database!$AV$5:$AV$518,MATCH(LARGE('Calc (scoring engine)'!$K$5:$K$518,12),'Calc (scoring engine)'!$K$5:$K$518,0))="","—",INDEX(Database!$AV$5:$AV$518,MATCH(LARGE('Calc (scoring engine)'!$K$5:$K$518,12),'Calc (scoring engine)'!$K$5:$K$518,0))),""))</f>
        <v/>
      </c>
      <c r="AT32" s="23">
        <f>IF(OR(12&gt;MAX(3,MIN(15,N($D$18))),IFERROR(LARGE('Calc (scoring engine)'!$K$5:$K$518,12),-999999)&lt;=-900000),"",IFERROR(IF(INDEX(Database!$AW$5:$AW$518,MATCH(LARGE('Calc (scoring engine)'!$K$5:$K$518,12),'Calc (scoring engine)'!$K$5:$K$518,0))="","—",INDEX(Database!$AW$5:$AW$518,MATCH(LARGE('Calc (scoring engine)'!$K$5:$K$518,12),'Calc (scoring engine)'!$K$5:$K$518,0))),""))</f>
        <v/>
      </c>
      <c r="AU32" s="23">
        <f>IF(OR(12&gt;MAX(3,MIN(15,N($D$18))),IFERROR(LARGE('Calc (scoring engine)'!$K$5:$K$518,12),-999999)&lt;=-900000),"",IFERROR(IF(INDEX(Database!$AX$5:$AX$518,MATCH(LARGE('Calc (scoring engine)'!$K$5:$K$518,12),'Calc (scoring engine)'!$K$5:$K$518,0))="","—",INDEX(Database!$AX$5:$AX$518,MATCH(LARGE('Calc (scoring engine)'!$K$5:$K$518,12),'Calc (scoring engine)'!$K$5:$K$518,0))),""))</f>
        <v/>
      </c>
      <c r="AV32" s="23">
        <f>IF(OR(12&gt;MAX(3,MIN(15,N($D$18))),IFERROR(LARGE('Calc (scoring engine)'!$K$5:$K$518,12),-999999)&lt;=-900000),"",IFERROR(IF(INDEX(Database!$AY$5:$AY$518,MATCH(LARGE('Calc (scoring engine)'!$K$5:$K$518,12),'Calc (scoring engine)'!$K$5:$K$518,0))="","—",INDEX(Database!$AY$5:$AY$518,MATCH(LARGE('Calc (scoring engine)'!$K$5:$K$518,12),'Calc (scoring engine)'!$K$5:$K$518,0))),""))</f>
        <v/>
      </c>
      <c r="AW32" s="23">
        <f>IF(OR(12&gt;MAX(3,MIN(15,N($D$18))),IFERROR(LARGE('Calc (scoring engine)'!$K$5:$K$518,12),-999999)&lt;=-900000),"",IFERROR(IF(INDEX(Database!$BA$5:$BA$518,MATCH(LARGE('Calc (scoring engine)'!$K$5:$K$518,12),'Calc (scoring engine)'!$K$5:$K$518,0))="","—",INDEX(Database!$BA$5:$BA$518,MATCH(LARGE('Calc (scoring engine)'!$K$5:$K$518,12),'Calc (scoring engine)'!$K$5:$K$518,0))),""))</f>
        <v/>
      </c>
      <c r="AX32" s="18">
        <f>IF(OR(12&gt;MAX(3,MIN(15,N($D$18))),IFERROR(LARGE('Calc (scoring engine)'!$K$5:$K$518,12),-999999)&lt;=-900000),"",IFERROR(IF(INDEX(Database!$BC$5:$BC$518,MATCH(LARGE('Calc (scoring engine)'!$K$5:$K$518,12),'Calc (scoring engine)'!$K$5:$K$518,0))="","—",INDEX(Database!$BC$5:$BC$518,MATCH(LARGE('Calc (scoring engine)'!$K$5:$K$518,12),'Calc (scoring engine)'!$K$5:$K$518,0))),""))</f>
        <v/>
      </c>
      <c r="AY32" s="18">
        <f>IF(OR(12&gt;MAX(3,MIN(15,N($D$18))),IFERROR(LARGE('Calc (scoring engine)'!$K$5:$K$518,12),-999999)&lt;=-900000),"",IFERROR(IF(INDEX(Database!$BD$5:$BD$518,MATCH(LARGE('Calc (scoring engine)'!$K$5:$K$518,12),'Calc (scoring engine)'!$K$5:$K$518,0))="","—",INDEX(Database!$BD$5:$BD$518,MATCH(LARGE('Calc (scoring engine)'!$K$5:$K$518,12),'Calc (scoring engine)'!$K$5:$K$518,0))),""))</f>
        <v/>
      </c>
      <c r="AZ32" s="10">
        <f>IF(OR(12&gt;MAX(3,MIN(15,N($D$18))),IFERROR(LARGE('Calc (scoring engine)'!$K$5:$K$518,12),-999999)&lt;=-900000),"",IFERROR(IF(INDEX(Database!$BE$5:$BE$518,MATCH(LARGE('Calc (scoring engine)'!$K$5:$K$518,12),'Calc (scoring engine)'!$K$5:$K$518,0))="","—",INDEX(Database!$BE$5:$BE$518,MATCH(LARGE('Calc (scoring engine)'!$K$5:$K$518,12),'Calc (scoring engine)'!$K$5:$K$518,0))),""))</f>
        <v/>
      </c>
      <c r="BA32" s="24">
        <f>IF(OR(12&gt;MAX(3,MIN(15,N($D$18))),IFERROR(LARGE('Calc (scoring engine)'!$K$5:$K$518,12),-999999)&lt;=-900000),"",IFERROR(IF(N(INDEX(Database!$BF$5:$BF$518,MATCH(LARGE('Calc (scoring engine)'!$K$5:$K$518,12),'Calc (scoring engine)'!$K$5:$K$518,0)))&lt;=0,IF(INDEX(Database!$BE$5:$BE$518,MATCH(LARGE('Calc (scoring engine)'!$K$5:$K$518,12),'Calc (scoring engine)'!$K$5:$K$518,0))="N","n/m","—"),INDEX(Database!$BF$5:$BF$518,MATCH(LARGE('Calc (scoring engine)'!$K$5:$K$518,12),'Calc (scoring engine)'!$K$5:$K$518,0))),""))</f>
        <v/>
      </c>
      <c r="BB32" s="24">
        <f>IF(OR(12&gt;MAX(3,MIN(15,N($D$18))),IFERROR(LARGE('Calc (scoring engine)'!$K$5:$K$518,12),-999999)&lt;=-900000),"",IFERROR(IF(INDEX(Database!$BG$5:$BG$518,MATCH(LARGE('Calc (scoring engine)'!$K$5:$K$518,12),'Calc (scoring engine)'!$K$5:$K$518,0))="","—",INDEX(Database!$BG$5:$BG$518,MATCH(LARGE('Calc (scoring engine)'!$K$5:$K$518,12),'Calc (scoring engine)'!$K$5:$K$518,0))),""))</f>
        <v/>
      </c>
      <c r="BC32" s="24">
        <f>IF(OR(12&gt;MAX(3,MIN(15,N($D$18))),IFERROR(LARGE('Calc (scoring engine)'!$K$5:$K$518,12),-999999)&lt;=-900000),"",IFERROR(IF(INDEX(Database!$BH$5:$BH$518,MATCH(LARGE('Calc (scoring engine)'!$K$5:$K$518,12),'Calc (scoring engine)'!$K$5:$K$518,0))="","—",INDEX(Database!$BH$5:$BH$518,MATCH(LARGE('Calc (scoring engine)'!$K$5:$K$518,12),'Calc (scoring engine)'!$K$5:$K$518,0))),""))</f>
        <v/>
      </c>
      <c r="BD32" s="24">
        <f>IF(OR(12&gt;MAX(3,MIN(15,N($D$18))),IFERROR(LARGE('Calc (scoring engine)'!$K$5:$K$518,12),-999999)&lt;=-900000),"",IFERROR(IF(INDEX(Database!$BI$5:$BI$518,MATCH(LARGE('Calc (scoring engine)'!$K$5:$K$518,12),'Calc (scoring engine)'!$K$5:$K$518,0))="","—",INDEX(Database!$BI$5:$BI$518,MATCH(LARGE('Calc (scoring engine)'!$K$5:$K$518,12),'Calc (scoring engine)'!$K$5:$K$518,0))),""))</f>
        <v/>
      </c>
      <c r="BE32" s="24">
        <f>IF(OR(12&gt;MAX(3,MIN(15,N($D$18))),IFERROR(LARGE('Calc (scoring engine)'!$K$5:$K$518,12),-999999)&lt;=-900000),"",IFERROR(IF(INDEX(Database!$BJ$5:$BJ$518,MATCH(LARGE('Calc (scoring engine)'!$K$5:$K$518,12),'Calc (scoring engine)'!$K$5:$K$518,0))="","—",INDEX(Database!$BJ$5:$BJ$518,MATCH(LARGE('Calc (scoring engine)'!$K$5:$K$518,12),'Calc (scoring engine)'!$K$5:$K$518,0))),""))</f>
        <v/>
      </c>
      <c r="BF32" s="24">
        <f>IF(OR(12&gt;MAX(3,MIN(15,N($D$18))),IFERROR(LARGE('Calc (scoring engine)'!$K$5:$K$518,12),-999999)&lt;=-900000),"",IFERROR(IFERROR(BDP(TEXT(INDEX(Database!$A$5:$A$518,MATCH(LARGE('Calc (scoring engine)'!$K$5:$K$518,12),'Calc (scoring engine)'!$K$5:$K$518,0)),"0")&amp;" HK Equity","PE_RATIO"),IF(INDEX(Database!$BH$5:$BH$518,MATCH(LARGE('Calc (scoring engine)'!$K$5:$K$518,12),'Calc (scoring engine)'!$K$5:$K$518,0))="","—",INDEX(Database!$BH$5:$BH$518,MATCH(LARGE('Calc (scoring engine)'!$K$5:$K$518,12),'Calc (scoring engine)'!$K$5:$K$518,0)))),""))</f>
        <v/>
      </c>
      <c r="BG32" s="24">
        <f>IF(OR(12&gt;MAX(3,MIN(15,N($D$18))),IFERROR(LARGE('Calc (scoring engine)'!$K$5:$K$518,12),-999999)&lt;=-900000),"",IFERROR(IFERROR(BDP(TEXT(INDEX(Database!$A$5:$A$518,MATCH(LARGE('Calc (scoring engine)'!$K$5:$K$518,12),'Calc (scoring engine)'!$K$5:$K$518,0)),"0")&amp;" HK Equity","PX_TO_SALES_RATIO"),IF(INDEX(Database!$BI$5:$BI$518,MATCH(LARGE('Calc (scoring engine)'!$K$5:$K$518,12),'Calc (scoring engine)'!$K$5:$K$518,0))="","—",INDEX(Database!$BI$5:$BI$518,MATCH(LARGE('Calc (scoring engine)'!$K$5:$K$518,12),'Calc (scoring engine)'!$K$5:$K$518,0)))),""))</f>
        <v/>
      </c>
      <c r="BH32" s="10">
        <f>IF(OR(12&gt;MAX(3,MIN(15,N($D$18))),IFERROR(LARGE('Calc (scoring engine)'!$K$5:$K$518,12),-999999)&lt;=-900000),"",IFERROR(IF(INDEX(Database!$BK$5:$BK$518,MATCH(LARGE('Calc (scoring engine)'!$K$5:$K$518,12),'Calc (scoring engine)'!$K$5:$K$518,0))="","—",INDEX(Database!$BK$5:$BK$518,MATCH(LARGE('Calc (scoring engine)'!$K$5:$K$518,12),'Calc (scoring engine)'!$K$5:$K$518,0))),""))</f>
        <v/>
      </c>
      <c r="BI32" s="10">
        <f>IF(OR(12&gt;MAX(3,MIN(15,N($D$18))),IFERROR(LARGE('Calc (scoring engine)'!$K$5:$K$518,12),-999999)&lt;=-900000),"",IFERROR(IF(INDEX(Database!$BL$5:$BL$518,MATCH(LARGE('Calc (scoring engine)'!$K$5:$K$518,12),'Calc (scoring engine)'!$K$5:$K$518,0))="","—",INDEX(Database!$BL$5:$BL$518,MATCH(LARGE('Calc (scoring engine)'!$K$5:$K$518,12),'Calc (scoring engine)'!$K$5:$K$518,0))),""))</f>
        <v/>
      </c>
      <c r="BJ32" s="23">
        <f>IF(OR(12&gt;MAX(3,MIN(15,N($D$18))),IFERROR(LARGE('Calc (scoring engine)'!$K$5:$K$518,12),-999999)&lt;=-900000),"",IFERROR(IF(INDEX(Database!$BM$5:$BM$518,MATCH(LARGE('Calc (scoring engine)'!$K$5:$K$518,12),'Calc (scoring engine)'!$K$5:$K$518,0))="","—",INDEX(Database!$BM$5:$BM$518,MATCH(LARGE('Calc (scoring engine)'!$K$5:$K$518,12),'Calc (scoring engine)'!$K$5:$K$518,0))),""))</f>
        <v/>
      </c>
      <c r="BK32" s="40">
        <f>IF(OR(12&gt;MAX(3,MIN(15,N($D$18))),IFERROR(LARGE('Calc (scoring engine)'!$K$5:$K$518,12),-999999)&lt;=-900000),"",IFERROR(IF(INDEX(Database!$BN$5:$BN$518,MATCH(LARGE('Calc (scoring engine)'!$K$5:$K$518,12),'Calc (scoring engine)'!$K$5:$K$518,0))="","—",INDEX(Database!$BN$5:$BN$518,MATCH(LARGE('Calc (scoring engine)'!$K$5:$K$518,12),'Calc (scoring engine)'!$K$5:$K$518,0))),""))</f>
        <v/>
      </c>
      <c r="BL32" s="43">
        <f>IF(OR(12&gt;MAX(3,MIN(15,N($D$18))),IFERROR(LARGE('Calc (scoring engine)'!$K$5:$K$518,12),-999999)&lt;=-900000),"",IFERROR(IF(INDEX(Database!$BO$5:$BO$518,MATCH(LARGE('Calc (scoring engine)'!$K$5:$K$518,12),'Calc (scoring engine)'!$K$5:$K$518,0))="","—",INDEX(Database!$BO$5:$BO$518,MATCH(LARGE('Calc (scoring engine)'!$K$5:$K$518,12),'Calc (scoring engine)'!$K$5:$K$518,0))),""))</f>
        <v/>
      </c>
      <c r="BM32" s="18">
        <f>IF(OR(12&gt;MAX(3,MIN(15,N($D$18))),IFERROR(LARGE('Calc (scoring engine)'!$K$5:$K$518,12),-999999)&lt;=-900000),"",IFERROR(IF(INDEX(Database!$BP$5:$BP$518,MATCH(LARGE('Calc (scoring engine)'!$K$5:$K$518,12),'Calc (scoring engine)'!$K$5:$K$518,0))="","—",INDEX(Database!$BP$5:$BP$518,MATCH(LARGE('Calc (scoring engine)'!$K$5:$K$518,12),'Calc (scoring engine)'!$K$5:$K$518,0))),""))</f>
        <v/>
      </c>
      <c r="BN32" s="24">
        <f>IF(OR(12&gt;MAX(3,MIN(15,N($D$18))),IFERROR(LARGE('Calc (scoring engine)'!$K$5:$K$518,12),-999999)&lt;=-900000),"",IFERROR(IF(INDEX(Database!$BQ$5:$BQ$518,MATCH(LARGE('Calc (scoring engine)'!$K$5:$K$518,12),'Calc (scoring engine)'!$K$5:$K$518,0))="","—",INDEX(Database!$BQ$5:$BQ$518,MATCH(LARGE('Calc (scoring engine)'!$K$5:$K$518,12),'Calc (scoring engine)'!$K$5:$K$518,0))),""))</f>
        <v/>
      </c>
      <c r="BO32" s="24">
        <f>IF(OR(12&gt;MAX(3,MIN(15,N($D$18))),IFERROR(LARGE('Calc (scoring engine)'!$K$5:$K$518,12),-999999)&lt;=-900000),"",IFERROR(IF(INDEX(Database!$BR$5:$BR$518,MATCH(LARGE('Calc (scoring engine)'!$K$5:$K$518,12),'Calc (scoring engine)'!$K$5:$K$518,0))="","—",INDEX(Database!$BR$5:$BR$518,MATCH(LARGE('Calc (scoring engine)'!$K$5:$K$518,12),'Calc (scoring engine)'!$K$5:$K$518,0))),""))</f>
        <v/>
      </c>
      <c r="BP32" s="10">
        <f>IF(OR(12&gt;MAX(3,MIN(15,N($D$18))),IFERROR(LARGE('Calc (scoring engine)'!$K$5:$K$518,12),-999999)&lt;=-900000),"",IFERROR(IF(INDEX(Database!$BS$5:$BS$518,MATCH(LARGE('Calc (scoring engine)'!$K$5:$K$518,12),'Calc (scoring engine)'!$K$5:$K$518,0))="","—",INDEX(Database!$BS$5:$BS$518,MATCH(LARGE('Calc (scoring engine)'!$K$5:$K$518,12),'Calc (scoring engine)'!$K$5:$K$518,0))),""))</f>
        <v/>
      </c>
      <c r="BQ32" s="10">
        <f>IF(OR(12&gt;MAX(3,MIN(15,N($D$18))),IFERROR(LARGE('Calc (scoring engine)'!$K$5:$K$518,12),-999999)&lt;=-900000),"",IFERROR(IF(INDEX(Database!$BU$5:$BU$518,MATCH(LARGE('Calc (scoring engine)'!$K$5:$K$518,12),'Calc (scoring engine)'!$K$5:$K$518,0))="","—",INDEX(Database!$BU$5:$BU$518,MATCH(LARGE('Calc (scoring engine)'!$K$5:$K$518,12),'Calc (scoring engine)'!$K$5:$K$518,0))),""))</f>
        <v/>
      </c>
      <c r="BR32" s="44">
        <f>IF(OR(12&gt;MAX(3,MIN(15,N($D$18))),IFERROR(LARGE('Calc (scoring engine)'!$K$5:$K$518,12),-999999)&lt;=-900000),"",IFERROR(IF(INDEX('Calc (scoring engine)'!$H$5:$H$518,MATCH(LARGE('Calc (scoring engine)'!$K$5:$K$518,12),'Calc (scoring engine)'!$K$5:$K$518,0))&gt;0,INDEX('Calc (scoring engine)'!$H$5:$H$518,MATCH(LARGE('Calc (scoring engine)'!$K$5:$K$518,12),'Calc (scoring engine)'!$K$5:$K$518,0)),""),""))</f>
        <v/>
      </c>
      <c r="BS32" s="10">
        <f>IF(OR(12&gt;MAX(3,MIN(15,N($D$18))),IFERROR(LARGE('Calc (scoring engine)'!$K$5:$K$518,12),-999999)&lt;=-900000),"",IF(IFERROR(INDEX('Calc (scoring engine)'!$B$5:$B$518,MATCH(LARGE('Calc (scoring engine)'!$K$5:$K$518,12),'Calc (scoring engine)'!$K$5:$K$518,0)),0)=1,"same subsector","sector only"))</f>
        <v/>
      </c>
      <c r="BT32" s="44">
        <f>IF(OR(12&gt;MAX(3,MIN(15,N($D$18))),IFERROR(LARGE('Calc (scoring engine)'!$K$5:$K$518,12),-999999)&lt;=-900000),"",ROUND(IFERROR(LARGE('Calc (scoring engine)'!$K$5:$K$518,12),0),0))</f>
        <v/>
      </c>
      <c r="BU32" s="10">
        <f>IF(OR(12&gt;MAX(3,MIN(15,N($D$18))),IFERROR(LARGE('Calc (scoring engine)'!$K$5:$K$518,12),-999999)&lt;=-900000),"",IFERROR("sub "&amp;INDEX('Calc (scoring engine)'!$B$5:$B$518,MATCH(LARGE('Calc (scoring engine)'!$K$5:$K$518,12),'Calc (scoring engine)'!$K$5:$K$518,0))*W_SUB&amp;" + size "&amp;ROUND(INDEX('Calc (scoring engine)'!$D$5:$D$518,MATCH(LARGE('Calc (scoring engine)'!$K$5:$K$518,12),'Calc (scoring engine)'!$K$5:$K$518,0))*W_SIZE,0)&amp;" + prof "&amp;INDEX('Calc (scoring engine)'!$E$5:$E$518,MATCH(LARGE('Calc (scoring engine)'!$K$5:$K$518,12),'Calc (scoring engine)'!$K$5:$K$518,0))*W_PROF&amp;" + recency "&amp;ROUND(INDEX('Calc (scoring engine)'!$G$5:$G$518,MATCH(LARGE('Calc (scoring engine)'!$K$5:$K$518,12),'Calc (scoring engine)'!$K$5:$K$518,0))*W_REC,0)&amp;IF(INDEX('Calc (scoring engine)'!$H$5:$H$518,MATCH(LARGE('Calc (scoring engine)'!$K$5:$K$518,12),'Calc (scoring engine)'!$K$5:$K$518,0))&gt;0," + shared CS x"&amp;INDEX('Calc (scoring engine)'!$H$5:$H$518,MATCH(LARGE('Calc (scoring engine)'!$K$5:$K$518,12),'Calc (scoring engine)'!$K$5:$K$518,0)),""),""))</f>
        <v/>
      </c>
    </row>
    <row r="33">
      <c r="A33" s="38">
        <f>IF(OR(13&gt;MAX(3,MIN(15,N($D$18))),IFERROR(LARGE('Calc (scoring engine)'!$K$5:$K$518,13),-999999)&lt;=-900000),"",13)</f>
        <v/>
      </c>
      <c r="B33" s="10">
        <f>IF(OR(13&gt;MAX(3,MIN(15,N($D$18))),IFERROR(LARGE('Calc (scoring engine)'!$K$5:$K$518,13),-999999)&lt;=-900000),"",IFERROR(IF(INDEX(Database!$B$5:$B$518,MATCH(LARGE('Calc (scoring engine)'!$K$5:$K$518,13),'Calc (scoring engine)'!$K$5:$K$518,0))="","—",INDEX(Database!$B$5:$B$518,MATCH(LARGE('Calc (scoring engine)'!$K$5:$K$518,13),'Calc (scoring engine)'!$K$5:$K$518,0))),""))</f>
        <v/>
      </c>
      <c r="C33" s="39">
        <f>IF(OR(13&gt;MAX(3,MIN(15,N($D$18))),IFERROR(LARGE('Calc (scoring engine)'!$K$5:$K$518,13),-999999)&lt;=-900000),"",IFERROR(IF(INDEX(Database!$A$5:$A$518,MATCH(LARGE('Calc (scoring engine)'!$K$5:$K$518,13),'Calc (scoring engine)'!$K$5:$K$518,0))="","—",INDEX(Database!$A$5:$A$518,MATCH(LARGE('Calc (scoring engine)'!$K$5:$K$518,13),'Calc (scoring engine)'!$K$5:$K$518,0))),""))</f>
        <v/>
      </c>
      <c r="D33" s="10">
        <f>IF(OR(13&gt;MAX(3,MIN(15,N($D$18))),IFERROR(LARGE('Calc (scoring engine)'!$K$5:$K$518,13),-999999)&lt;=-900000),"",IFERROR(IF(INDEX(Database!$D$5:$D$518,MATCH(LARGE('Calc (scoring engine)'!$K$5:$K$518,13),'Calc (scoring engine)'!$K$5:$K$518,0))="","—",INDEX(Database!$D$5:$D$518,MATCH(LARGE('Calc (scoring engine)'!$K$5:$K$518,13),'Calc (scoring engine)'!$K$5:$K$518,0))),""))</f>
        <v/>
      </c>
      <c r="E33" s="10">
        <f>IF(OR(13&gt;MAX(3,MIN(15,N($D$18))),IFERROR(LARGE('Calc (scoring engine)'!$K$5:$K$518,13),-999999)&lt;=-900000),"",IFERROR(IF(INDEX(Database!$E$5:$E$518,MATCH(LARGE('Calc (scoring engine)'!$K$5:$K$518,13),'Calc (scoring engine)'!$K$5:$K$518,0))="","—",INDEX(Database!$E$5:$E$518,MATCH(LARGE('Calc (scoring engine)'!$K$5:$K$518,13),'Calc (scoring engine)'!$K$5:$K$518,0))),""))</f>
        <v/>
      </c>
      <c r="F33" s="10">
        <f>IF(OR(13&gt;MAX(3,MIN(15,N($D$18))),IFERROR(LARGE('Calc (scoring engine)'!$K$5:$K$518,13),-999999)&lt;=-900000),"",IFERROR(IF(INDEX(Database!$F$5:$F$518,MATCH(LARGE('Calc (scoring engine)'!$K$5:$K$518,13),'Calc (scoring engine)'!$K$5:$K$518,0))="","—",INDEX(Database!$F$5:$F$518,MATCH(LARGE('Calc (scoring engine)'!$K$5:$K$518,13),'Calc (scoring engine)'!$K$5:$K$518,0))),""))</f>
        <v/>
      </c>
      <c r="G33" s="10">
        <f>IF(OR(13&gt;MAX(3,MIN(15,N($D$18))),IFERROR(LARGE('Calc (scoring engine)'!$K$5:$K$518,13),-999999)&lt;=-900000),"",IFERROR(IF(INDEX(Database!$G$5:$G$518,MATCH(LARGE('Calc (scoring engine)'!$K$5:$K$518,13),'Calc (scoring engine)'!$K$5:$K$518,0))="","—",INDEX(Database!$G$5:$G$518,MATCH(LARGE('Calc (scoring engine)'!$K$5:$K$518,13),'Calc (scoring engine)'!$K$5:$K$518,0))),""))</f>
        <v/>
      </c>
      <c r="H33" s="21">
        <f>IF(OR(13&gt;MAX(3,MIN(15,N($D$18))),IFERROR(LARGE('Calc (scoring engine)'!$K$5:$K$518,13),-999999)&lt;=-900000),"",IFERROR(IF(INDEX(Database!$H$5:$H$518,MATCH(LARGE('Calc (scoring engine)'!$K$5:$K$518,13),'Calc (scoring engine)'!$K$5:$K$518,0))="","—",INDEX(Database!$H$5:$H$518,MATCH(LARGE('Calc (scoring engine)'!$K$5:$K$518,13),'Calc (scoring engine)'!$K$5:$K$518,0))),""))</f>
        <v/>
      </c>
      <c r="I33" s="18">
        <f>IF(OR(13&gt;MAX(3,MIN(15,N($D$18))),IFERROR(LARGE('Calc (scoring engine)'!$K$5:$K$518,13),-999999)&lt;=-900000),"",IFERROR(IF(INDEX(Database!$I$5:$I$518,MATCH(LARGE('Calc (scoring engine)'!$K$5:$K$518,13),'Calc (scoring engine)'!$K$5:$K$518,0))="","—",INDEX(Database!$I$5:$I$518,MATCH(LARGE('Calc (scoring engine)'!$K$5:$K$518,13),'Calc (scoring engine)'!$K$5:$K$518,0))),""))</f>
        <v/>
      </c>
      <c r="J33" s="40">
        <f>IF(OR(13&gt;MAX(3,MIN(15,N($D$18))),IFERROR(LARGE('Calc (scoring engine)'!$K$5:$K$518,13),-999999)&lt;=-900000),"",IFERROR(IF(INDEX(Database!$K$5:$K$518,MATCH(LARGE('Calc (scoring engine)'!$K$5:$K$518,13),'Calc (scoring engine)'!$K$5:$K$518,0))="","—",INDEX(Database!$K$5:$K$518,MATCH(LARGE('Calc (scoring engine)'!$K$5:$K$518,13),'Calc (scoring engine)'!$K$5:$K$518,0))),""))</f>
        <v/>
      </c>
      <c r="K33" s="40">
        <f>IF(OR(13&gt;MAX(3,MIN(15,N($D$18))),IFERROR(LARGE('Calc (scoring engine)'!$K$5:$K$518,13),-999999)&lt;=-900000),"",IFERROR(IF(INDEX(Database!$L$5:$L$518,MATCH(LARGE('Calc (scoring engine)'!$K$5:$K$518,13),'Calc (scoring engine)'!$K$5:$K$518,0))="","—",INDEX(Database!$L$5:$L$518,MATCH(LARGE('Calc (scoring engine)'!$K$5:$K$518,13),'Calc (scoring engine)'!$K$5:$K$518,0))),""))</f>
        <v/>
      </c>
      <c r="L33" s="40">
        <f>IF(OR(13&gt;MAX(3,MIN(15,N($D$18))),IFERROR(LARGE('Calc (scoring engine)'!$K$5:$K$518,13),-999999)&lt;=-900000),"",IFERROR(IF(INDEX(Database!$M$5:$M$518,MATCH(LARGE('Calc (scoring engine)'!$K$5:$K$518,13),'Calc (scoring engine)'!$K$5:$K$518,0))="","—",INDEX(Database!$M$5:$M$518,MATCH(LARGE('Calc (scoring engine)'!$K$5:$K$518,13),'Calc (scoring engine)'!$K$5:$K$518,0))),""))</f>
        <v/>
      </c>
      <c r="M33" s="10">
        <f>IF(OR(13&gt;MAX(3,MIN(15,N($D$18))),IFERROR(LARGE('Calc (scoring engine)'!$K$5:$K$518,13),-999999)&lt;=-900000),"",IFERROR(IF(INDEX(Database!$N$5:$N$518,MATCH(LARGE('Calc (scoring engine)'!$K$5:$K$518,13),'Calc (scoring engine)'!$K$5:$K$518,0))="","—",INDEX(Database!$N$5:$N$518,MATCH(LARGE('Calc (scoring engine)'!$K$5:$K$518,13),'Calc (scoring engine)'!$K$5:$K$518,0))),""))</f>
        <v/>
      </c>
      <c r="N33" s="28">
        <f>IF(OR(13&gt;MAX(3,MIN(15,N($D$18))),IFERROR(LARGE('Calc (scoring engine)'!$K$5:$K$518,13),-999999)&lt;=-900000),"",IFERROR(IF(INDEX(Database!$O$5:$O$518,MATCH(LARGE('Calc (scoring engine)'!$K$5:$K$518,13),'Calc (scoring engine)'!$K$5:$K$518,0))="","—",INDEX(Database!$O$5:$O$518,MATCH(LARGE('Calc (scoring engine)'!$K$5:$K$518,13),'Calc (scoring engine)'!$K$5:$K$518,0))),""))</f>
        <v/>
      </c>
      <c r="O33" s="28">
        <f>IF(OR(13&gt;MAX(3,MIN(15,N($D$18))),IFERROR(LARGE('Calc (scoring engine)'!$K$5:$K$518,13),-999999)&lt;=-900000),"",IFERROR(IF(INDEX(Database!$P$5:$P$518,MATCH(LARGE('Calc (scoring engine)'!$K$5:$K$518,13),'Calc (scoring engine)'!$K$5:$K$518,0))="","—",INDEX(Database!$P$5:$P$518,MATCH(LARGE('Calc (scoring engine)'!$K$5:$K$518,13),'Calc (scoring engine)'!$K$5:$K$518,0))),""))</f>
        <v/>
      </c>
      <c r="P33" s="18">
        <f>IF(OR(13&gt;MAX(3,MIN(15,N($D$18))),IFERROR(LARGE('Calc (scoring engine)'!$K$5:$K$518,13),-999999)&lt;=-900000),"",IFERROR(IF(INDEX(Database!$Q$5:$Q$518,MATCH(LARGE('Calc (scoring engine)'!$K$5:$K$518,13),'Calc (scoring engine)'!$K$5:$K$518,0))="","—",INDEX(Database!$Q$5:$Q$518,MATCH(LARGE('Calc (scoring engine)'!$K$5:$K$518,13),'Calc (scoring engine)'!$K$5:$K$518,0))),""))</f>
        <v/>
      </c>
      <c r="Q33" s="26">
        <f>IF(OR(13&gt;MAX(3,MIN(15,N($D$18))),IFERROR(LARGE('Calc (scoring engine)'!$K$5:$K$518,13),-999999)&lt;=-900000),"",IFERROR(IF(INDEX(Database!$S$5:$S$518,MATCH(LARGE('Calc (scoring engine)'!$K$5:$K$518,13),'Calc (scoring engine)'!$K$5:$K$518,0))="","—",INDEX(Database!$S$5:$S$518,MATCH(LARGE('Calc (scoring engine)'!$K$5:$K$518,13),'Calc (scoring engine)'!$K$5:$K$518,0))),""))</f>
        <v/>
      </c>
      <c r="R33" s="41">
        <f>IF(OR(13&gt;MAX(3,MIN(15,N($D$18))),IFERROR(LARGE('Calc (scoring engine)'!$K$5:$K$518,13),-999999)&lt;=-900000),"",IFERROR(IF(INDEX(Database!$T$5:$T$518,MATCH(LARGE('Calc (scoring engine)'!$K$5:$K$518,13),'Calc (scoring engine)'!$K$5:$K$518,0))="","—",INDEX(Database!$T$5:$T$518,MATCH(LARGE('Calc (scoring engine)'!$K$5:$K$518,13),'Calc (scoring engine)'!$K$5:$K$518,0))),""))</f>
        <v/>
      </c>
      <c r="S33" s="42">
        <f>IF(OR(13&gt;MAX(3,MIN(15,N($D$18))),IFERROR(LARGE('Calc (scoring engine)'!$K$5:$K$518,13),-999999)&lt;=-900000),"",IFERROR(IF(INDEX(Database!$U$5:$U$518,MATCH(LARGE('Calc (scoring engine)'!$K$5:$K$518,13),'Calc (scoring engine)'!$K$5:$K$518,0))="","—",INDEX(Database!$U$5:$U$518,MATCH(LARGE('Calc (scoring engine)'!$K$5:$K$518,13),'Calc (scoring engine)'!$K$5:$K$518,0))),""))</f>
        <v/>
      </c>
      <c r="T33" s="18">
        <f>IF(OR(13&gt;MAX(3,MIN(15,N($D$18))),IFERROR(LARGE('Calc (scoring engine)'!$K$5:$K$518,13),-999999)&lt;=-900000),"",IFERROR(IF(INDEX(Database!$V$5:$V$518,MATCH(LARGE('Calc (scoring engine)'!$K$5:$K$518,13),'Calc (scoring engine)'!$K$5:$K$518,0))="","—",INDEX(Database!$V$5:$V$518,MATCH(LARGE('Calc (scoring engine)'!$K$5:$K$518,13),'Calc (scoring engine)'!$K$5:$K$518,0))),""))</f>
        <v/>
      </c>
      <c r="U33" s="18">
        <f>IF(OR(13&gt;MAX(3,MIN(15,N($D$18))),IFERROR(LARGE('Calc (scoring engine)'!$K$5:$K$518,13),-999999)&lt;=-900000),"",IFERROR(IF(INDEX(Database!$W$5:$W$518,MATCH(LARGE('Calc (scoring engine)'!$K$5:$K$518,13),'Calc (scoring engine)'!$K$5:$K$518,0))="","—",INDEX(Database!$W$5:$W$518,MATCH(LARGE('Calc (scoring engine)'!$K$5:$K$518,13),'Calc (scoring engine)'!$K$5:$K$518,0))),""))</f>
        <v/>
      </c>
      <c r="V33" s="28">
        <f>IF(OR(13&gt;MAX(3,MIN(15,N($D$18))),IFERROR(LARGE('Calc (scoring engine)'!$K$5:$K$518,13),-999999)&lt;=-900000),"",IFERROR(IF(INDEX(Database!$X$5:$X$518,MATCH(LARGE('Calc (scoring engine)'!$K$5:$K$518,13),'Calc (scoring engine)'!$K$5:$K$518,0))="","—",INDEX(Database!$X$5:$X$518,MATCH(LARGE('Calc (scoring engine)'!$K$5:$K$518,13),'Calc (scoring engine)'!$K$5:$K$518,0))),""))</f>
        <v/>
      </c>
      <c r="W33" s="10">
        <f>IF(OR(13&gt;MAX(3,MIN(15,N($D$18))),IFERROR(LARGE('Calc (scoring engine)'!$K$5:$K$518,13),-999999)&lt;=-900000),"",IFERROR(IF(INDEX(Database!$Y$5:$Y$518,MATCH(LARGE('Calc (scoring engine)'!$K$5:$K$518,13),'Calc (scoring engine)'!$K$5:$K$518,0))="","—",INDEX(Database!$Y$5:$Y$518,MATCH(LARGE('Calc (scoring engine)'!$K$5:$K$518,13),'Calc (scoring engine)'!$K$5:$K$518,0))),""))</f>
        <v/>
      </c>
      <c r="X33" s="28">
        <f>IF(OR(13&gt;MAX(3,MIN(15,N($D$18))),IFERROR(LARGE('Calc (scoring engine)'!$K$5:$K$518,13),-999999)&lt;=-900000),"",IFERROR(IF(INDEX(Database!$AA$5:$AA$518,MATCH(LARGE('Calc (scoring engine)'!$K$5:$K$518,13),'Calc (scoring engine)'!$K$5:$K$518,0))="","—",INDEX(Database!$AA$5:$AA$518,MATCH(LARGE('Calc (scoring engine)'!$K$5:$K$518,13),'Calc (scoring engine)'!$K$5:$K$518,0))),""))</f>
        <v/>
      </c>
      <c r="Y33" s="23">
        <f>IF(OR(13&gt;MAX(3,MIN(15,N($D$18))),IFERROR(LARGE('Calc (scoring engine)'!$K$5:$K$518,13),-999999)&lt;=-900000),"",IFERROR(IF(INDEX(Database!$AB$5:$AB$518,MATCH(LARGE('Calc (scoring engine)'!$K$5:$K$518,13),'Calc (scoring engine)'!$K$5:$K$518,0))="","—",INDEX(Database!$AB$5:$AB$518,MATCH(LARGE('Calc (scoring engine)'!$K$5:$K$518,13),'Calc (scoring engine)'!$K$5:$K$518,0))),""))</f>
        <v/>
      </c>
      <c r="Z33" s="40">
        <f>IF(OR(13&gt;MAX(3,MIN(15,N($D$18))),IFERROR(LARGE('Calc (scoring engine)'!$K$5:$K$518,13),-999999)&lt;=-900000),"",IFERROR(IF(INDEX(Database!$AC$5:$AC$518,MATCH(LARGE('Calc (scoring engine)'!$K$5:$K$518,13),'Calc (scoring engine)'!$K$5:$K$518,0))="","—",INDEX(Database!$AC$5:$AC$518,MATCH(LARGE('Calc (scoring engine)'!$K$5:$K$518,13),'Calc (scoring engine)'!$K$5:$K$518,0))),""))</f>
        <v/>
      </c>
      <c r="AA33" s="23">
        <f>IF(OR(13&gt;MAX(3,MIN(15,N($D$18))),IFERROR(LARGE('Calc (scoring engine)'!$K$5:$K$518,13),-999999)&lt;=-900000),"",IFERROR(IF(INDEX(Database!$AD$5:$AD$518,MATCH(LARGE('Calc (scoring engine)'!$K$5:$K$518,13),'Calc (scoring engine)'!$K$5:$K$518,0))="","—",INDEX(Database!$AD$5:$AD$518,MATCH(LARGE('Calc (scoring engine)'!$K$5:$K$518,13),'Calc (scoring engine)'!$K$5:$K$518,0))),""))</f>
        <v/>
      </c>
      <c r="AB33" s="10">
        <f>IF(OR(13&gt;MAX(3,MIN(15,N($D$18))),IFERROR(LARGE('Calc (scoring engine)'!$K$5:$K$518,13),-999999)&lt;=-900000),"",IFERROR(IF(INDEX(Database!$AE$5:$AE$518,MATCH(LARGE('Calc (scoring engine)'!$K$5:$K$518,13),'Calc (scoring engine)'!$K$5:$K$518,0))="","—",INDEX(Database!$AE$5:$AE$518,MATCH(LARGE('Calc (scoring engine)'!$K$5:$K$518,13),'Calc (scoring engine)'!$K$5:$K$518,0))),""))</f>
        <v/>
      </c>
      <c r="AC33" s="10">
        <f>IF(OR(13&gt;MAX(3,MIN(15,N($D$18))),IFERROR(LARGE('Calc (scoring engine)'!$K$5:$K$518,13),-999999)&lt;=-900000),"",IFERROR(IF(INDEX(Database!$AF$5:$AF$518,MATCH(LARGE('Calc (scoring engine)'!$K$5:$K$518,13),'Calc (scoring engine)'!$K$5:$K$518,0))="","—",INDEX(Database!$AF$5:$AF$518,MATCH(LARGE('Calc (scoring engine)'!$K$5:$K$518,13),'Calc (scoring engine)'!$K$5:$K$518,0))),""))</f>
        <v/>
      </c>
      <c r="AD33" s="10">
        <f>IF(OR(13&gt;MAX(3,MIN(15,N($D$18))),IFERROR(LARGE('Calc (scoring engine)'!$K$5:$K$518,13),-999999)&lt;=-900000),"",IFERROR(IF(INDEX(Database!$AG$5:$AG$518,MATCH(LARGE('Calc (scoring engine)'!$K$5:$K$518,13),'Calc (scoring engine)'!$K$5:$K$518,0))="","—",INDEX(Database!$AG$5:$AG$518,MATCH(LARGE('Calc (scoring engine)'!$K$5:$K$518,13),'Calc (scoring engine)'!$K$5:$K$518,0))),""))</f>
        <v/>
      </c>
      <c r="AE33" s="10">
        <f>IF(OR(13&gt;MAX(3,MIN(15,N($D$18))),IFERROR(LARGE('Calc (scoring engine)'!$K$5:$K$518,13),-999999)&lt;=-900000),"",IFERROR(IF(INDEX(Database!$AH$5:$AH$518,MATCH(LARGE('Calc (scoring engine)'!$K$5:$K$518,13),'Calc (scoring engine)'!$K$5:$K$518,0))="","—",INDEX(Database!$AH$5:$AH$518,MATCH(LARGE('Calc (scoring engine)'!$K$5:$K$518,13),'Calc (scoring engine)'!$K$5:$K$518,0))),""))</f>
        <v/>
      </c>
      <c r="AF33" s="10">
        <f>IF(OR(13&gt;MAX(3,MIN(15,N($D$18))),IFERROR(LARGE('Calc (scoring engine)'!$K$5:$K$518,13),-999999)&lt;=-900000),"",IFERROR(IF(INDEX(Database!$AI$5:$AI$518,MATCH(LARGE('Calc (scoring engine)'!$K$5:$K$518,13),'Calc (scoring engine)'!$K$5:$K$518,0))="","—",INDEX(Database!$AI$5:$AI$518,MATCH(LARGE('Calc (scoring engine)'!$K$5:$K$518,13),'Calc (scoring engine)'!$K$5:$K$518,0))),""))</f>
        <v/>
      </c>
      <c r="AG33" s="10">
        <f>IF(OR(13&gt;MAX(3,MIN(15,N($D$18))),IFERROR(LARGE('Calc (scoring engine)'!$K$5:$K$518,13),-999999)&lt;=-900000),"",IFERROR(IF(INDEX(Database!$AJ$5:$AJ$518,MATCH(LARGE('Calc (scoring engine)'!$K$5:$K$518,13),'Calc (scoring engine)'!$K$5:$K$518,0))="","—",INDEX(Database!$AJ$5:$AJ$518,MATCH(LARGE('Calc (scoring engine)'!$K$5:$K$518,13),'Calc (scoring engine)'!$K$5:$K$518,0))),""))</f>
        <v/>
      </c>
      <c r="AH33" s="23">
        <f>IF(OR(13&gt;MAX(3,MIN(15,N($D$18))),IFERROR(LARGE('Calc (scoring engine)'!$K$5:$K$518,13),-999999)&lt;=-900000),"",IFERROR(IF(INDEX(Database!$AK$5:$AK$518,MATCH(LARGE('Calc (scoring engine)'!$K$5:$K$518,13),'Calc (scoring engine)'!$K$5:$K$518,0))="","—",INDEX(Database!$AK$5:$AK$518,MATCH(LARGE('Calc (scoring engine)'!$K$5:$K$518,13),'Calc (scoring engine)'!$K$5:$K$518,0))),""))</f>
        <v/>
      </c>
      <c r="AI33" s="23">
        <f>IF(OR(13&gt;MAX(3,MIN(15,N($D$18))),IFERROR(LARGE('Calc (scoring engine)'!$K$5:$K$518,13),-999999)&lt;=-900000),"",IFERROR(IF(INDEX(Database!$AL$5:$AL$518,MATCH(LARGE('Calc (scoring engine)'!$K$5:$K$518,13),'Calc (scoring engine)'!$K$5:$K$518,0))="","—",INDEX(Database!$AL$5:$AL$518,MATCH(LARGE('Calc (scoring engine)'!$K$5:$K$518,13),'Calc (scoring engine)'!$K$5:$K$518,0))),""))</f>
        <v/>
      </c>
      <c r="AJ33" s="23">
        <f>IF(OR(13&gt;MAX(3,MIN(15,N($D$18))),IFERROR(LARGE('Calc (scoring engine)'!$K$5:$K$518,13),-999999)&lt;=-900000),"",IFERROR(IF(INDEX(Database!$AM$5:$AM$518,MATCH(LARGE('Calc (scoring engine)'!$K$5:$K$518,13),'Calc (scoring engine)'!$K$5:$K$518,0))="","—",INDEX(Database!$AM$5:$AM$518,MATCH(LARGE('Calc (scoring engine)'!$K$5:$K$518,13),'Calc (scoring engine)'!$K$5:$K$518,0))),""))</f>
        <v/>
      </c>
      <c r="AK33" s="23">
        <f>IF(OR(13&gt;MAX(3,MIN(15,N($D$18))),IFERROR(LARGE('Calc (scoring engine)'!$K$5:$K$518,13),-999999)&lt;=-900000),"",IFERROR(IF(INDEX(Database!$AN$5:$AN$518,MATCH(LARGE('Calc (scoring engine)'!$K$5:$K$518,13),'Calc (scoring engine)'!$K$5:$K$518,0))="","—",INDEX(Database!$AN$5:$AN$518,MATCH(LARGE('Calc (scoring engine)'!$K$5:$K$518,13),'Calc (scoring engine)'!$K$5:$K$518,0))),""))</f>
        <v/>
      </c>
      <c r="AL33" s="23">
        <f>IF(OR(13&gt;MAX(3,MIN(15,N($D$18))),IFERROR(LARGE('Calc (scoring engine)'!$K$5:$K$518,13),-999999)&lt;=-900000),"",IFERROR(IF(INDEX(Database!$AO$5:$AO$518,MATCH(LARGE('Calc (scoring engine)'!$K$5:$K$518,13),'Calc (scoring engine)'!$K$5:$K$518,0))="","—",INDEX(Database!$AO$5:$AO$518,MATCH(LARGE('Calc (scoring engine)'!$K$5:$K$518,13),'Calc (scoring engine)'!$K$5:$K$518,0))),""))</f>
        <v/>
      </c>
      <c r="AM33" s="23">
        <f>IF(OR(13&gt;MAX(3,MIN(15,N($D$18))),IFERROR(LARGE('Calc (scoring engine)'!$K$5:$K$518,13),-999999)&lt;=-900000),"",IFERROR(IF(INDEX(Database!$AP$5:$AP$518,MATCH(LARGE('Calc (scoring engine)'!$K$5:$K$518,13),'Calc (scoring engine)'!$K$5:$K$518,0))="","—",INDEX(Database!$AP$5:$AP$518,MATCH(LARGE('Calc (scoring engine)'!$K$5:$K$518,13),'Calc (scoring engine)'!$K$5:$K$518,0))),""))</f>
        <v/>
      </c>
      <c r="AN33" s="23">
        <f>IF(OR(13&gt;MAX(3,MIN(15,N($D$18))),IFERROR(LARGE('Calc (scoring engine)'!$K$5:$K$518,13),-999999)&lt;=-900000),"",IFERROR(IF(INDEX(Database!$AQ$5:$AQ$518,MATCH(LARGE('Calc (scoring engine)'!$K$5:$K$518,13),'Calc (scoring engine)'!$K$5:$K$518,0))="","—",INDEX(Database!$AQ$5:$AQ$518,MATCH(LARGE('Calc (scoring engine)'!$K$5:$K$518,13),'Calc (scoring engine)'!$K$5:$K$518,0))),""))</f>
        <v/>
      </c>
      <c r="AO33" s="23">
        <f>IF(OR(13&gt;MAX(3,MIN(15,N($D$18))),IFERROR(LARGE('Calc (scoring engine)'!$K$5:$K$518,13),-999999)&lt;=-900000),"",IFERROR(IF(INDEX(Database!$AR$5:$AR$518,MATCH(LARGE('Calc (scoring engine)'!$K$5:$K$518,13),'Calc (scoring engine)'!$K$5:$K$518,0))="","—",INDEX(Database!$AR$5:$AR$518,MATCH(LARGE('Calc (scoring engine)'!$K$5:$K$518,13),'Calc (scoring engine)'!$K$5:$K$518,0))),""))</f>
        <v/>
      </c>
      <c r="AP33" s="23">
        <f>IF(OR(13&gt;MAX(3,MIN(15,N($D$18))),IFERROR(LARGE('Calc (scoring engine)'!$K$5:$K$518,13),-999999)&lt;=-900000),"",IFERROR(IF(INDEX(Database!$AS$5:$AS$518,MATCH(LARGE('Calc (scoring engine)'!$K$5:$K$518,13),'Calc (scoring engine)'!$K$5:$K$518,0))="","—",INDEX(Database!$AS$5:$AS$518,MATCH(LARGE('Calc (scoring engine)'!$K$5:$K$518,13),'Calc (scoring engine)'!$K$5:$K$518,0))),""))</f>
        <v/>
      </c>
      <c r="AQ33" s="23">
        <f>IF(OR(13&gt;MAX(3,MIN(15,N($D$18))),IFERROR(LARGE('Calc (scoring engine)'!$K$5:$K$518,13),-999999)&lt;=-900000),"",IFERROR(IF(INDEX(Database!$AT$5:$AT$518,MATCH(LARGE('Calc (scoring engine)'!$K$5:$K$518,13),'Calc (scoring engine)'!$K$5:$K$518,0))="","—",INDEX(Database!$AT$5:$AT$518,MATCH(LARGE('Calc (scoring engine)'!$K$5:$K$518,13),'Calc (scoring engine)'!$K$5:$K$518,0))),""))</f>
        <v/>
      </c>
      <c r="AR33" s="23">
        <f>IF(OR(13&gt;MAX(3,MIN(15,N($D$18))),IFERROR(LARGE('Calc (scoring engine)'!$K$5:$K$518,13),-999999)&lt;=-900000),"",IFERROR(IF(INDEX(Database!$AU$5:$AU$518,MATCH(LARGE('Calc (scoring engine)'!$K$5:$K$518,13),'Calc (scoring engine)'!$K$5:$K$518,0))="","—",INDEX(Database!$AU$5:$AU$518,MATCH(LARGE('Calc (scoring engine)'!$K$5:$K$518,13),'Calc (scoring engine)'!$K$5:$K$518,0))),""))</f>
        <v/>
      </c>
      <c r="AS33" s="23">
        <f>IF(OR(13&gt;MAX(3,MIN(15,N($D$18))),IFERROR(LARGE('Calc (scoring engine)'!$K$5:$K$518,13),-999999)&lt;=-900000),"",IFERROR(IF(INDEX(Database!$AV$5:$AV$518,MATCH(LARGE('Calc (scoring engine)'!$K$5:$K$518,13),'Calc (scoring engine)'!$K$5:$K$518,0))="","—",INDEX(Database!$AV$5:$AV$518,MATCH(LARGE('Calc (scoring engine)'!$K$5:$K$518,13),'Calc (scoring engine)'!$K$5:$K$518,0))),""))</f>
        <v/>
      </c>
      <c r="AT33" s="23">
        <f>IF(OR(13&gt;MAX(3,MIN(15,N($D$18))),IFERROR(LARGE('Calc (scoring engine)'!$K$5:$K$518,13),-999999)&lt;=-900000),"",IFERROR(IF(INDEX(Database!$AW$5:$AW$518,MATCH(LARGE('Calc (scoring engine)'!$K$5:$K$518,13),'Calc (scoring engine)'!$K$5:$K$518,0))="","—",INDEX(Database!$AW$5:$AW$518,MATCH(LARGE('Calc (scoring engine)'!$K$5:$K$518,13),'Calc (scoring engine)'!$K$5:$K$518,0))),""))</f>
        <v/>
      </c>
      <c r="AU33" s="23">
        <f>IF(OR(13&gt;MAX(3,MIN(15,N($D$18))),IFERROR(LARGE('Calc (scoring engine)'!$K$5:$K$518,13),-999999)&lt;=-900000),"",IFERROR(IF(INDEX(Database!$AX$5:$AX$518,MATCH(LARGE('Calc (scoring engine)'!$K$5:$K$518,13),'Calc (scoring engine)'!$K$5:$K$518,0))="","—",INDEX(Database!$AX$5:$AX$518,MATCH(LARGE('Calc (scoring engine)'!$K$5:$K$518,13),'Calc (scoring engine)'!$K$5:$K$518,0))),""))</f>
        <v/>
      </c>
      <c r="AV33" s="23">
        <f>IF(OR(13&gt;MAX(3,MIN(15,N($D$18))),IFERROR(LARGE('Calc (scoring engine)'!$K$5:$K$518,13),-999999)&lt;=-900000),"",IFERROR(IF(INDEX(Database!$AY$5:$AY$518,MATCH(LARGE('Calc (scoring engine)'!$K$5:$K$518,13),'Calc (scoring engine)'!$K$5:$K$518,0))="","—",INDEX(Database!$AY$5:$AY$518,MATCH(LARGE('Calc (scoring engine)'!$K$5:$K$518,13),'Calc (scoring engine)'!$K$5:$K$518,0))),""))</f>
        <v/>
      </c>
      <c r="AW33" s="23">
        <f>IF(OR(13&gt;MAX(3,MIN(15,N($D$18))),IFERROR(LARGE('Calc (scoring engine)'!$K$5:$K$518,13),-999999)&lt;=-900000),"",IFERROR(IF(INDEX(Database!$BA$5:$BA$518,MATCH(LARGE('Calc (scoring engine)'!$K$5:$K$518,13),'Calc (scoring engine)'!$K$5:$K$518,0))="","—",INDEX(Database!$BA$5:$BA$518,MATCH(LARGE('Calc (scoring engine)'!$K$5:$K$518,13),'Calc (scoring engine)'!$K$5:$K$518,0))),""))</f>
        <v/>
      </c>
      <c r="AX33" s="18">
        <f>IF(OR(13&gt;MAX(3,MIN(15,N($D$18))),IFERROR(LARGE('Calc (scoring engine)'!$K$5:$K$518,13),-999999)&lt;=-900000),"",IFERROR(IF(INDEX(Database!$BC$5:$BC$518,MATCH(LARGE('Calc (scoring engine)'!$K$5:$K$518,13),'Calc (scoring engine)'!$K$5:$K$518,0))="","—",INDEX(Database!$BC$5:$BC$518,MATCH(LARGE('Calc (scoring engine)'!$K$5:$K$518,13),'Calc (scoring engine)'!$K$5:$K$518,0))),""))</f>
        <v/>
      </c>
      <c r="AY33" s="18">
        <f>IF(OR(13&gt;MAX(3,MIN(15,N($D$18))),IFERROR(LARGE('Calc (scoring engine)'!$K$5:$K$518,13),-999999)&lt;=-900000),"",IFERROR(IF(INDEX(Database!$BD$5:$BD$518,MATCH(LARGE('Calc (scoring engine)'!$K$5:$K$518,13),'Calc (scoring engine)'!$K$5:$K$518,0))="","—",INDEX(Database!$BD$5:$BD$518,MATCH(LARGE('Calc (scoring engine)'!$K$5:$K$518,13),'Calc (scoring engine)'!$K$5:$K$518,0))),""))</f>
        <v/>
      </c>
      <c r="AZ33" s="10">
        <f>IF(OR(13&gt;MAX(3,MIN(15,N($D$18))),IFERROR(LARGE('Calc (scoring engine)'!$K$5:$K$518,13),-999999)&lt;=-900000),"",IFERROR(IF(INDEX(Database!$BE$5:$BE$518,MATCH(LARGE('Calc (scoring engine)'!$K$5:$K$518,13),'Calc (scoring engine)'!$K$5:$K$518,0))="","—",INDEX(Database!$BE$5:$BE$518,MATCH(LARGE('Calc (scoring engine)'!$K$5:$K$518,13),'Calc (scoring engine)'!$K$5:$K$518,0))),""))</f>
        <v/>
      </c>
      <c r="BA33" s="24">
        <f>IF(OR(13&gt;MAX(3,MIN(15,N($D$18))),IFERROR(LARGE('Calc (scoring engine)'!$K$5:$K$518,13),-999999)&lt;=-900000),"",IFERROR(IF(N(INDEX(Database!$BF$5:$BF$518,MATCH(LARGE('Calc (scoring engine)'!$K$5:$K$518,13),'Calc (scoring engine)'!$K$5:$K$518,0)))&lt;=0,IF(INDEX(Database!$BE$5:$BE$518,MATCH(LARGE('Calc (scoring engine)'!$K$5:$K$518,13),'Calc (scoring engine)'!$K$5:$K$518,0))="N","n/m","—"),INDEX(Database!$BF$5:$BF$518,MATCH(LARGE('Calc (scoring engine)'!$K$5:$K$518,13),'Calc (scoring engine)'!$K$5:$K$518,0))),""))</f>
        <v/>
      </c>
      <c r="BB33" s="24">
        <f>IF(OR(13&gt;MAX(3,MIN(15,N($D$18))),IFERROR(LARGE('Calc (scoring engine)'!$K$5:$K$518,13),-999999)&lt;=-900000),"",IFERROR(IF(INDEX(Database!$BG$5:$BG$518,MATCH(LARGE('Calc (scoring engine)'!$K$5:$K$518,13),'Calc (scoring engine)'!$K$5:$K$518,0))="","—",INDEX(Database!$BG$5:$BG$518,MATCH(LARGE('Calc (scoring engine)'!$K$5:$K$518,13),'Calc (scoring engine)'!$K$5:$K$518,0))),""))</f>
        <v/>
      </c>
      <c r="BC33" s="24">
        <f>IF(OR(13&gt;MAX(3,MIN(15,N($D$18))),IFERROR(LARGE('Calc (scoring engine)'!$K$5:$K$518,13),-999999)&lt;=-900000),"",IFERROR(IF(INDEX(Database!$BH$5:$BH$518,MATCH(LARGE('Calc (scoring engine)'!$K$5:$K$518,13),'Calc (scoring engine)'!$K$5:$K$518,0))="","—",INDEX(Database!$BH$5:$BH$518,MATCH(LARGE('Calc (scoring engine)'!$K$5:$K$518,13),'Calc (scoring engine)'!$K$5:$K$518,0))),""))</f>
        <v/>
      </c>
      <c r="BD33" s="24">
        <f>IF(OR(13&gt;MAX(3,MIN(15,N($D$18))),IFERROR(LARGE('Calc (scoring engine)'!$K$5:$K$518,13),-999999)&lt;=-900000),"",IFERROR(IF(INDEX(Database!$BI$5:$BI$518,MATCH(LARGE('Calc (scoring engine)'!$K$5:$K$518,13),'Calc (scoring engine)'!$K$5:$K$518,0))="","—",INDEX(Database!$BI$5:$BI$518,MATCH(LARGE('Calc (scoring engine)'!$K$5:$K$518,13),'Calc (scoring engine)'!$K$5:$K$518,0))),""))</f>
        <v/>
      </c>
      <c r="BE33" s="24">
        <f>IF(OR(13&gt;MAX(3,MIN(15,N($D$18))),IFERROR(LARGE('Calc (scoring engine)'!$K$5:$K$518,13),-999999)&lt;=-900000),"",IFERROR(IF(INDEX(Database!$BJ$5:$BJ$518,MATCH(LARGE('Calc (scoring engine)'!$K$5:$K$518,13),'Calc (scoring engine)'!$K$5:$K$518,0))="","—",INDEX(Database!$BJ$5:$BJ$518,MATCH(LARGE('Calc (scoring engine)'!$K$5:$K$518,13),'Calc (scoring engine)'!$K$5:$K$518,0))),""))</f>
        <v/>
      </c>
      <c r="BF33" s="24">
        <f>IF(OR(13&gt;MAX(3,MIN(15,N($D$18))),IFERROR(LARGE('Calc (scoring engine)'!$K$5:$K$518,13),-999999)&lt;=-900000),"",IFERROR(IFERROR(BDP(TEXT(INDEX(Database!$A$5:$A$518,MATCH(LARGE('Calc (scoring engine)'!$K$5:$K$518,13),'Calc (scoring engine)'!$K$5:$K$518,0)),"0")&amp;" HK Equity","PE_RATIO"),IF(INDEX(Database!$BH$5:$BH$518,MATCH(LARGE('Calc (scoring engine)'!$K$5:$K$518,13),'Calc (scoring engine)'!$K$5:$K$518,0))="","—",INDEX(Database!$BH$5:$BH$518,MATCH(LARGE('Calc (scoring engine)'!$K$5:$K$518,13),'Calc (scoring engine)'!$K$5:$K$518,0)))),""))</f>
        <v/>
      </c>
      <c r="BG33" s="24">
        <f>IF(OR(13&gt;MAX(3,MIN(15,N($D$18))),IFERROR(LARGE('Calc (scoring engine)'!$K$5:$K$518,13),-999999)&lt;=-900000),"",IFERROR(IFERROR(BDP(TEXT(INDEX(Database!$A$5:$A$518,MATCH(LARGE('Calc (scoring engine)'!$K$5:$K$518,13),'Calc (scoring engine)'!$K$5:$K$518,0)),"0")&amp;" HK Equity","PX_TO_SALES_RATIO"),IF(INDEX(Database!$BI$5:$BI$518,MATCH(LARGE('Calc (scoring engine)'!$K$5:$K$518,13),'Calc (scoring engine)'!$K$5:$K$518,0))="","—",INDEX(Database!$BI$5:$BI$518,MATCH(LARGE('Calc (scoring engine)'!$K$5:$K$518,13),'Calc (scoring engine)'!$K$5:$K$518,0)))),""))</f>
        <v/>
      </c>
      <c r="BH33" s="10">
        <f>IF(OR(13&gt;MAX(3,MIN(15,N($D$18))),IFERROR(LARGE('Calc (scoring engine)'!$K$5:$K$518,13),-999999)&lt;=-900000),"",IFERROR(IF(INDEX(Database!$BK$5:$BK$518,MATCH(LARGE('Calc (scoring engine)'!$K$5:$K$518,13),'Calc (scoring engine)'!$K$5:$K$518,0))="","—",INDEX(Database!$BK$5:$BK$518,MATCH(LARGE('Calc (scoring engine)'!$K$5:$K$518,13),'Calc (scoring engine)'!$K$5:$K$518,0))),""))</f>
        <v/>
      </c>
      <c r="BI33" s="10">
        <f>IF(OR(13&gt;MAX(3,MIN(15,N($D$18))),IFERROR(LARGE('Calc (scoring engine)'!$K$5:$K$518,13),-999999)&lt;=-900000),"",IFERROR(IF(INDEX(Database!$BL$5:$BL$518,MATCH(LARGE('Calc (scoring engine)'!$K$5:$K$518,13),'Calc (scoring engine)'!$K$5:$K$518,0))="","—",INDEX(Database!$BL$5:$BL$518,MATCH(LARGE('Calc (scoring engine)'!$K$5:$K$518,13),'Calc (scoring engine)'!$K$5:$K$518,0))),""))</f>
        <v/>
      </c>
      <c r="BJ33" s="23">
        <f>IF(OR(13&gt;MAX(3,MIN(15,N($D$18))),IFERROR(LARGE('Calc (scoring engine)'!$K$5:$K$518,13),-999999)&lt;=-900000),"",IFERROR(IF(INDEX(Database!$BM$5:$BM$518,MATCH(LARGE('Calc (scoring engine)'!$K$5:$K$518,13),'Calc (scoring engine)'!$K$5:$K$518,0))="","—",INDEX(Database!$BM$5:$BM$518,MATCH(LARGE('Calc (scoring engine)'!$K$5:$K$518,13),'Calc (scoring engine)'!$K$5:$K$518,0))),""))</f>
        <v/>
      </c>
      <c r="BK33" s="40">
        <f>IF(OR(13&gt;MAX(3,MIN(15,N($D$18))),IFERROR(LARGE('Calc (scoring engine)'!$K$5:$K$518,13),-999999)&lt;=-900000),"",IFERROR(IF(INDEX(Database!$BN$5:$BN$518,MATCH(LARGE('Calc (scoring engine)'!$K$5:$K$518,13),'Calc (scoring engine)'!$K$5:$K$518,0))="","—",INDEX(Database!$BN$5:$BN$518,MATCH(LARGE('Calc (scoring engine)'!$K$5:$K$518,13),'Calc (scoring engine)'!$K$5:$K$518,0))),""))</f>
        <v/>
      </c>
      <c r="BL33" s="43">
        <f>IF(OR(13&gt;MAX(3,MIN(15,N($D$18))),IFERROR(LARGE('Calc (scoring engine)'!$K$5:$K$518,13),-999999)&lt;=-900000),"",IFERROR(IF(INDEX(Database!$BO$5:$BO$518,MATCH(LARGE('Calc (scoring engine)'!$K$5:$K$518,13),'Calc (scoring engine)'!$K$5:$K$518,0))="","—",INDEX(Database!$BO$5:$BO$518,MATCH(LARGE('Calc (scoring engine)'!$K$5:$K$518,13),'Calc (scoring engine)'!$K$5:$K$518,0))),""))</f>
        <v/>
      </c>
      <c r="BM33" s="18">
        <f>IF(OR(13&gt;MAX(3,MIN(15,N($D$18))),IFERROR(LARGE('Calc (scoring engine)'!$K$5:$K$518,13),-999999)&lt;=-900000),"",IFERROR(IF(INDEX(Database!$BP$5:$BP$518,MATCH(LARGE('Calc (scoring engine)'!$K$5:$K$518,13),'Calc (scoring engine)'!$K$5:$K$518,0))="","—",INDEX(Database!$BP$5:$BP$518,MATCH(LARGE('Calc (scoring engine)'!$K$5:$K$518,13),'Calc (scoring engine)'!$K$5:$K$518,0))),""))</f>
        <v/>
      </c>
      <c r="BN33" s="24">
        <f>IF(OR(13&gt;MAX(3,MIN(15,N($D$18))),IFERROR(LARGE('Calc (scoring engine)'!$K$5:$K$518,13),-999999)&lt;=-900000),"",IFERROR(IF(INDEX(Database!$BQ$5:$BQ$518,MATCH(LARGE('Calc (scoring engine)'!$K$5:$K$518,13),'Calc (scoring engine)'!$K$5:$K$518,0))="","—",INDEX(Database!$BQ$5:$BQ$518,MATCH(LARGE('Calc (scoring engine)'!$K$5:$K$518,13),'Calc (scoring engine)'!$K$5:$K$518,0))),""))</f>
        <v/>
      </c>
      <c r="BO33" s="24">
        <f>IF(OR(13&gt;MAX(3,MIN(15,N($D$18))),IFERROR(LARGE('Calc (scoring engine)'!$K$5:$K$518,13),-999999)&lt;=-900000),"",IFERROR(IF(INDEX(Database!$BR$5:$BR$518,MATCH(LARGE('Calc (scoring engine)'!$K$5:$K$518,13),'Calc (scoring engine)'!$K$5:$K$518,0))="","—",INDEX(Database!$BR$5:$BR$518,MATCH(LARGE('Calc (scoring engine)'!$K$5:$K$518,13),'Calc (scoring engine)'!$K$5:$K$518,0))),""))</f>
        <v/>
      </c>
      <c r="BP33" s="10">
        <f>IF(OR(13&gt;MAX(3,MIN(15,N($D$18))),IFERROR(LARGE('Calc (scoring engine)'!$K$5:$K$518,13),-999999)&lt;=-900000),"",IFERROR(IF(INDEX(Database!$BS$5:$BS$518,MATCH(LARGE('Calc (scoring engine)'!$K$5:$K$518,13),'Calc (scoring engine)'!$K$5:$K$518,0))="","—",INDEX(Database!$BS$5:$BS$518,MATCH(LARGE('Calc (scoring engine)'!$K$5:$K$518,13),'Calc (scoring engine)'!$K$5:$K$518,0))),""))</f>
        <v/>
      </c>
      <c r="BQ33" s="10">
        <f>IF(OR(13&gt;MAX(3,MIN(15,N($D$18))),IFERROR(LARGE('Calc (scoring engine)'!$K$5:$K$518,13),-999999)&lt;=-900000),"",IFERROR(IF(INDEX(Database!$BU$5:$BU$518,MATCH(LARGE('Calc (scoring engine)'!$K$5:$K$518,13),'Calc (scoring engine)'!$K$5:$K$518,0))="","—",INDEX(Database!$BU$5:$BU$518,MATCH(LARGE('Calc (scoring engine)'!$K$5:$K$518,13),'Calc (scoring engine)'!$K$5:$K$518,0))),""))</f>
        <v/>
      </c>
      <c r="BR33" s="44">
        <f>IF(OR(13&gt;MAX(3,MIN(15,N($D$18))),IFERROR(LARGE('Calc (scoring engine)'!$K$5:$K$518,13),-999999)&lt;=-900000),"",IFERROR(IF(INDEX('Calc (scoring engine)'!$H$5:$H$518,MATCH(LARGE('Calc (scoring engine)'!$K$5:$K$518,13),'Calc (scoring engine)'!$K$5:$K$518,0))&gt;0,INDEX('Calc (scoring engine)'!$H$5:$H$518,MATCH(LARGE('Calc (scoring engine)'!$K$5:$K$518,13),'Calc (scoring engine)'!$K$5:$K$518,0)),""),""))</f>
        <v/>
      </c>
      <c r="BS33" s="10">
        <f>IF(OR(13&gt;MAX(3,MIN(15,N($D$18))),IFERROR(LARGE('Calc (scoring engine)'!$K$5:$K$518,13),-999999)&lt;=-900000),"",IF(IFERROR(INDEX('Calc (scoring engine)'!$B$5:$B$518,MATCH(LARGE('Calc (scoring engine)'!$K$5:$K$518,13),'Calc (scoring engine)'!$K$5:$K$518,0)),0)=1,"same subsector","sector only"))</f>
        <v/>
      </c>
      <c r="BT33" s="44">
        <f>IF(OR(13&gt;MAX(3,MIN(15,N($D$18))),IFERROR(LARGE('Calc (scoring engine)'!$K$5:$K$518,13),-999999)&lt;=-900000),"",ROUND(IFERROR(LARGE('Calc (scoring engine)'!$K$5:$K$518,13),0),0))</f>
        <v/>
      </c>
      <c r="BU33" s="10">
        <f>IF(OR(13&gt;MAX(3,MIN(15,N($D$18))),IFERROR(LARGE('Calc (scoring engine)'!$K$5:$K$518,13),-999999)&lt;=-900000),"",IFERROR("sub "&amp;INDEX('Calc (scoring engine)'!$B$5:$B$518,MATCH(LARGE('Calc (scoring engine)'!$K$5:$K$518,13),'Calc (scoring engine)'!$K$5:$K$518,0))*W_SUB&amp;" + size "&amp;ROUND(INDEX('Calc (scoring engine)'!$D$5:$D$518,MATCH(LARGE('Calc (scoring engine)'!$K$5:$K$518,13),'Calc (scoring engine)'!$K$5:$K$518,0))*W_SIZE,0)&amp;" + prof "&amp;INDEX('Calc (scoring engine)'!$E$5:$E$518,MATCH(LARGE('Calc (scoring engine)'!$K$5:$K$518,13),'Calc (scoring engine)'!$K$5:$K$518,0))*W_PROF&amp;" + recency "&amp;ROUND(INDEX('Calc (scoring engine)'!$G$5:$G$518,MATCH(LARGE('Calc (scoring engine)'!$K$5:$K$518,13),'Calc (scoring engine)'!$K$5:$K$518,0))*W_REC,0)&amp;IF(INDEX('Calc (scoring engine)'!$H$5:$H$518,MATCH(LARGE('Calc (scoring engine)'!$K$5:$K$518,13),'Calc (scoring engine)'!$K$5:$K$518,0))&gt;0," + shared CS x"&amp;INDEX('Calc (scoring engine)'!$H$5:$H$518,MATCH(LARGE('Calc (scoring engine)'!$K$5:$K$518,13),'Calc (scoring engine)'!$K$5:$K$518,0)),""),""))</f>
        <v/>
      </c>
    </row>
    <row r="34">
      <c r="A34" s="38">
        <f>IF(OR(14&gt;MAX(3,MIN(15,N($D$18))),IFERROR(LARGE('Calc (scoring engine)'!$K$5:$K$518,14),-999999)&lt;=-900000),"",14)</f>
        <v/>
      </c>
      <c r="B34" s="10">
        <f>IF(OR(14&gt;MAX(3,MIN(15,N($D$18))),IFERROR(LARGE('Calc (scoring engine)'!$K$5:$K$518,14),-999999)&lt;=-900000),"",IFERROR(IF(INDEX(Database!$B$5:$B$518,MATCH(LARGE('Calc (scoring engine)'!$K$5:$K$518,14),'Calc (scoring engine)'!$K$5:$K$518,0))="","—",INDEX(Database!$B$5:$B$518,MATCH(LARGE('Calc (scoring engine)'!$K$5:$K$518,14),'Calc (scoring engine)'!$K$5:$K$518,0))),""))</f>
        <v/>
      </c>
      <c r="C34" s="39">
        <f>IF(OR(14&gt;MAX(3,MIN(15,N($D$18))),IFERROR(LARGE('Calc (scoring engine)'!$K$5:$K$518,14),-999999)&lt;=-900000),"",IFERROR(IF(INDEX(Database!$A$5:$A$518,MATCH(LARGE('Calc (scoring engine)'!$K$5:$K$518,14),'Calc (scoring engine)'!$K$5:$K$518,0))="","—",INDEX(Database!$A$5:$A$518,MATCH(LARGE('Calc (scoring engine)'!$K$5:$K$518,14),'Calc (scoring engine)'!$K$5:$K$518,0))),""))</f>
        <v/>
      </c>
      <c r="D34" s="10">
        <f>IF(OR(14&gt;MAX(3,MIN(15,N($D$18))),IFERROR(LARGE('Calc (scoring engine)'!$K$5:$K$518,14),-999999)&lt;=-900000),"",IFERROR(IF(INDEX(Database!$D$5:$D$518,MATCH(LARGE('Calc (scoring engine)'!$K$5:$K$518,14),'Calc (scoring engine)'!$K$5:$K$518,0))="","—",INDEX(Database!$D$5:$D$518,MATCH(LARGE('Calc (scoring engine)'!$K$5:$K$518,14),'Calc (scoring engine)'!$K$5:$K$518,0))),""))</f>
        <v/>
      </c>
      <c r="E34" s="10">
        <f>IF(OR(14&gt;MAX(3,MIN(15,N($D$18))),IFERROR(LARGE('Calc (scoring engine)'!$K$5:$K$518,14),-999999)&lt;=-900000),"",IFERROR(IF(INDEX(Database!$E$5:$E$518,MATCH(LARGE('Calc (scoring engine)'!$K$5:$K$518,14),'Calc (scoring engine)'!$K$5:$K$518,0))="","—",INDEX(Database!$E$5:$E$518,MATCH(LARGE('Calc (scoring engine)'!$K$5:$K$518,14),'Calc (scoring engine)'!$K$5:$K$518,0))),""))</f>
        <v/>
      </c>
      <c r="F34" s="10">
        <f>IF(OR(14&gt;MAX(3,MIN(15,N($D$18))),IFERROR(LARGE('Calc (scoring engine)'!$K$5:$K$518,14),-999999)&lt;=-900000),"",IFERROR(IF(INDEX(Database!$F$5:$F$518,MATCH(LARGE('Calc (scoring engine)'!$K$5:$K$518,14),'Calc (scoring engine)'!$K$5:$K$518,0))="","—",INDEX(Database!$F$5:$F$518,MATCH(LARGE('Calc (scoring engine)'!$K$5:$K$518,14),'Calc (scoring engine)'!$K$5:$K$518,0))),""))</f>
        <v/>
      </c>
      <c r="G34" s="10">
        <f>IF(OR(14&gt;MAX(3,MIN(15,N($D$18))),IFERROR(LARGE('Calc (scoring engine)'!$K$5:$K$518,14),-999999)&lt;=-900000),"",IFERROR(IF(INDEX(Database!$G$5:$G$518,MATCH(LARGE('Calc (scoring engine)'!$K$5:$K$518,14),'Calc (scoring engine)'!$K$5:$K$518,0))="","—",INDEX(Database!$G$5:$G$518,MATCH(LARGE('Calc (scoring engine)'!$K$5:$K$518,14),'Calc (scoring engine)'!$K$5:$K$518,0))),""))</f>
        <v/>
      </c>
      <c r="H34" s="21">
        <f>IF(OR(14&gt;MAX(3,MIN(15,N($D$18))),IFERROR(LARGE('Calc (scoring engine)'!$K$5:$K$518,14),-999999)&lt;=-900000),"",IFERROR(IF(INDEX(Database!$H$5:$H$518,MATCH(LARGE('Calc (scoring engine)'!$K$5:$K$518,14),'Calc (scoring engine)'!$K$5:$K$518,0))="","—",INDEX(Database!$H$5:$H$518,MATCH(LARGE('Calc (scoring engine)'!$K$5:$K$518,14),'Calc (scoring engine)'!$K$5:$K$518,0))),""))</f>
        <v/>
      </c>
      <c r="I34" s="18">
        <f>IF(OR(14&gt;MAX(3,MIN(15,N($D$18))),IFERROR(LARGE('Calc (scoring engine)'!$K$5:$K$518,14),-999999)&lt;=-900000),"",IFERROR(IF(INDEX(Database!$I$5:$I$518,MATCH(LARGE('Calc (scoring engine)'!$K$5:$K$518,14),'Calc (scoring engine)'!$K$5:$K$518,0))="","—",INDEX(Database!$I$5:$I$518,MATCH(LARGE('Calc (scoring engine)'!$K$5:$K$518,14),'Calc (scoring engine)'!$K$5:$K$518,0))),""))</f>
        <v/>
      </c>
      <c r="J34" s="40">
        <f>IF(OR(14&gt;MAX(3,MIN(15,N($D$18))),IFERROR(LARGE('Calc (scoring engine)'!$K$5:$K$518,14),-999999)&lt;=-900000),"",IFERROR(IF(INDEX(Database!$K$5:$K$518,MATCH(LARGE('Calc (scoring engine)'!$K$5:$K$518,14),'Calc (scoring engine)'!$K$5:$K$518,0))="","—",INDEX(Database!$K$5:$K$518,MATCH(LARGE('Calc (scoring engine)'!$K$5:$K$518,14),'Calc (scoring engine)'!$K$5:$K$518,0))),""))</f>
        <v/>
      </c>
      <c r="K34" s="40">
        <f>IF(OR(14&gt;MAX(3,MIN(15,N($D$18))),IFERROR(LARGE('Calc (scoring engine)'!$K$5:$K$518,14),-999999)&lt;=-900000),"",IFERROR(IF(INDEX(Database!$L$5:$L$518,MATCH(LARGE('Calc (scoring engine)'!$K$5:$K$518,14),'Calc (scoring engine)'!$K$5:$K$518,0))="","—",INDEX(Database!$L$5:$L$518,MATCH(LARGE('Calc (scoring engine)'!$K$5:$K$518,14),'Calc (scoring engine)'!$K$5:$K$518,0))),""))</f>
        <v/>
      </c>
      <c r="L34" s="40">
        <f>IF(OR(14&gt;MAX(3,MIN(15,N($D$18))),IFERROR(LARGE('Calc (scoring engine)'!$K$5:$K$518,14),-999999)&lt;=-900000),"",IFERROR(IF(INDEX(Database!$M$5:$M$518,MATCH(LARGE('Calc (scoring engine)'!$K$5:$K$518,14),'Calc (scoring engine)'!$K$5:$K$518,0))="","—",INDEX(Database!$M$5:$M$518,MATCH(LARGE('Calc (scoring engine)'!$K$5:$K$518,14),'Calc (scoring engine)'!$K$5:$K$518,0))),""))</f>
        <v/>
      </c>
      <c r="M34" s="10">
        <f>IF(OR(14&gt;MAX(3,MIN(15,N($D$18))),IFERROR(LARGE('Calc (scoring engine)'!$K$5:$K$518,14),-999999)&lt;=-900000),"",IFERROR(IF(INDEX(Database!$N$5:$N$518,MATCH(LARGE('Calc (scoring engine)'!$K$5:$K$518,14),'Calc (scoring engine)'!$K$5:$K$518,0))="","—",INDEX(Database!$N$5:$N$518,MATCH(LARGE('Calc (scoring engine)'!$K$5:$K$518,14),'Calc (scoring engine)'!$K$5:$K$518,0))),""))</f>
        <v/>
      </c>
      <c r="N34" s="28">
        <f>IF(OR(14&gt;MAX(3,MIN(15,N($D$18))),IFERROR(LARGE('Calc (scoring engine)'!$K$5:$K$518,14),-999999)&lt;=-900000),"",IFERROR(IF(INDEX(Database!$O$5:$O$518,MATCH(LARGE('Calc (scoring engine)'!$K$5:$K$518,14),'Calc (scoring engine)'!$K$5:$K$518,0))="","—",INDEX(Database!$O$5:$O$518,MATCH(LARGE('Calc (scoring engine)'!$K$5:$K$518,14),'Calc (scoring engine)'!$K$5:$K$518,0))),""))</f>
        <v/>
      </c>
      <c r="O34" s="28">
        <f>IF(OR(14&gt;MAX(3,MIN(15,N($D$18))),IFERROR(LARGE('Calc (scoring engine)'!$K$5:$K$518,14),-999999)&lt;=-900000),"",IFERROR(IF(INDEX(Database!$P$5:$P$518,MATCH(LARGE('Calc (scoring engine)'!$K$5:$K$518,14),'Calc (scoring engine)'!$K$5:$K$518,0))="","—",INDEX(Database!$P$5:$P$518,MATCH(LARGE('Calc (scoring engine)'!$K$5:$K$518,14),'Calc (scoring engine)'!$K$5:$K$518,0))),""))</f>
        <v/>
      </c>
      <c r="P34" s="18">
        <f>IF(OR(14&gt;MAX(3,MIN(15,N($D$18))),IFERROR(LARGE('Calc (scoring engine)'!$K$5:$K$518,14),-999999)&lt;=-900000),"",IFERROR(IF(INDEX(Database!$Q$5:$Q$518,MATCH(LARGE('Calc (scoring engine)'!$K$5:$K$518,14),'Calc (scoring engine)'!$K$5:$K$518,0))="","—",INDEX(Database!$Q$5:$Q$518,MATCH(LARGE('Calc (scoring engine)'!$K$5:$K$518,14),'Calc (scoring engine)'!$K$5:$K$518,0))),""))</f>
        <v/>
      </c>
      <c r="Q34" s="26">
        <f>IF(OR(14&gt;MAX(3,MIN(15,N($D$18))),IFERROR(LARGE('Calc (scoring engine)'!$K$5:$K$518,14),-999999)&lt;=-900000),"",IFERROR(IF(INDEX(Database!$S$5:$S$518,MATCH(LARGE('Calc (scoring engine)'!$K$5:$K$518,14),'Calc (scoring engine)'!$K$5:$K$518,0))="","—",INDEX(Database!$S$5:$S$518,MATCH(LARGE('Calc (scoring engine)'!$K$5:$K$518,14),'Calc (scoring engine)'!$K$5:$K$518,0))),""))</f>
        <v/>
      </c>
      <c r="R34" s="41">
        <f>IF(OR(14&gt;MAX(3,MIN(15,N($D$18))),IFERROR(LARGE('Calc (scoring engine)'!$K$5:$K$518,14),-999999)&lt;=-900000),"",IFERROR(IF(INDEX(Database!$T$5:$T$518,MATCH(LARGE('Calc (scoring engine)'!$K$5:$K$518,14),'Calc (scoring engine)'!$K$5:$K$518,0))="","—",INDEX(Database!$T$5:$T$518,MATCH(LARGE('Calc (scoring engine)'!$K$5:$K$518,14),'Calc (scoring engine)'!$K$5:$K$518,0))),""))</f>
        <v/>
      </c>
      <c r="S34" s="42">
        <f>IF(OR(14&gt;MAX(3,MIN(15,N($D$18))),IFERROR(LARGE('Calc (scoring engine)'!$K$5:$K$518,14),-999999)&lt;=-900000),"",IFERROR(IF(INDEX(Database!$U$5:$U$518,MATCH(LARGE('Calc (scoring engine)'!$K$5:$K$518,14),'Calc (scoring engine)'!$K$5:$K$518,0))="","—",INDEX(Database!$U$5:$U$518,MATCH(LARGE('Calc (scoring engine)'!$K$5:$K$518,14),'Calc (scoring engine)'!$K$5:$K$518,0))),""))</f>
        <v/>
      </c>
      <c r="T34" s="18">
        <f>IF(OR(14&gt;MAX(3,MIN(15,N($D$18))),IFERROR(LARGE('Calc (scoring engine)'!$K$5:$K$518,14),-999999)&lt;=-900000),"",IFERROR(IF(INDEX(Database!$V$5:$V$518,MATCH(LARGE('Calc (scoring engine)'!$K$5:$K$518,14),'Calc (scoring engine)'!$K$5:$K$518,0))="","—",INDEX(Database!$V$5:$V$518,MATCH(LARGE('Calc (scoring engine)'!$K$5:$K$518,14),'Calc (scoring engine)'!$K$5:$K$518,0))),""))</f>
        <v/>
      </c>
      <c r="U34" s="18">
        <f>IF(OR(14&gt;MAX(3,MIN(15,N($D$18))),IFERROR(LARGE('Calc (scoring engine)'!$K$5:$K$518,14),-999999)&lt;=-900000),"",IFERROR(IF(INDEX(Database!$W$5:$W$518,MATCH(LARGE('Calc (scoring engine)'!$K$5:$K$518,14),'Calc (scoring engine)'!$K$5:$K$518,0))="","—",INDEX(Database!$W$5:$W$518,MATCH(LARGE('Calc (scoring engine)'!$K$5:$K$518,14),'Calc (scoring engine)'!$K$5:$K$518,0))),""))</f>
        <v/>
      </c>
      <c r="V34" s="28">
        <f>IF(OR(14&gt;MAX(3,MIN(15,N($D$18))),IFERROR(LARGE('Calc (scoring engine)'!$K$5:$K$518,14),-999999)&lt;=-900000),"",IFERROR(IF(INDEX(Database!$X$5:$X$518,MATCH(LARGE('Calc (scoring engine)'!$K$5:$K$518,14),'Calc (scoring engine)'!$K$5:$K$518,0))="","—",INDEX(Database!$X$5:$X$518,MATCH(LARGE('Calc (scoring engine)'!$K$5:$K$518,14),'Calc (scoring engine)'!$K$5:$K$518,0))),""))</f>
        <v/>
      </c>
      <c r="W34" s="10">
        <f>IF(OR(14&gt;MAX(3,MIN(15,N($D$18))),IFERROR(LARGE('Calc (scoring engine)'!$K$5:$K$518,14),-999999)&lt;=-900000),"",IFERROR(IF(INDEX(Database!$Y$5:$Y$518,MATCH(LARGE('Calc (scoring engine)'!$K$5:$K$518,14),'Calc (scoring engine)'!$K$5:$K$518,0))="","—",INDEX(Database!$Y$5:$Y$518,MATCH(LARGE('Calc (scoring engine)'!$K$5:$K$518,14),'Calc (scoring engine)'!$K$5:$K$518,0))),""))</f>
        <v/>
      </c>
      <c r="X34" s="28">
        <f>IF(OR(14&gt;MAX(3,MIN(15,N($D$18))),IFERROR(LARGE('Calc (scoring engine)'!$K$5:$K$518,14),-999999)&lt;=-900000),"",IFERROR(IF(INDEX(Database!$AA$5:$AA$518,MATCH(LARGE('Calc (scoring engine)'!$K$5:$K$518,14),'Calc (scoring engine)'!$K$5:$K$518,0))="","—",INDEX(Database!$AA$5:$AA$518,MATCH(LARGE('Calc (scoring engine)'!$K$5:$K$518,14),'Calc (scoring engine)'!$K$5:$K$518,0))),""))</f>
        <v/>
      </c>
      <c r="Y34" s="23">
        <f>IF(OR(14&gt;MAX(3,MIN(15,N($D$18))),IFERROR(LARGE('Calc (scoring engine)'!$K$5:$K$518,14),-999999)&lt;=-900000),"",IFERROR(IF(INDEX(Database!$AB$5:$AB$518,MATCH(LARGE('Calc (scoring engine)'!$K$5:$K$518,14),'Calc (scoring engine)'!$K$5:$K$518,0))="","—",INDEX(Database!$AB$5:$AB$518,MATCH(LARGE('Calc (scoring engine)'!$K$5:$K$518,14),'Calc (scoring engine)'!$K$5:$K$518,0))),""))</f>
        <v/>
      </c>
      <c r="Z34" s="40">
        <f>IF(OR(14&gt;MAX(3,MIN(15,N($D$18))),IFERROR(LARGE('Calc (scoring engine)'!$K$5:$K$518,14),-999999)&lt;=-900000),"",IFERROR(IF(INDEX(Database!$AC$5:$AC$518,MATCH(LARGE('Calc (scoring engine)'!$K$5:$K$518,14),'Calc (scoring engine)'!$K$5:$K$518,0))="","—",INDEX(Database!$AC$5:$AC$518,MATCH(LARGE('Calc (scoring engine)'!$K$5:$K$518,14),'Calc (scoring engine)'!$K$5:$K$518,0))),""))</f>
        <v/>
      </c>
      <c r="AA34" s="23">
        <f>IF(OR(14&gt;MAX(3,MIN(15,N($D$18))),IFERROR(LARGE('Calc (scoring engine)'!$K$5:$K$518,14),-999999)&lt;=-900000),"",IFERROR(IF(INDEX(Database!$AD$5:$AD$518,MATCH(LARGE('Calc (scoring engine)'!$K$5:$K$518,14),'Calc (scoring engine)'!$K$5:$K$518,0))="","—",INDEX(Database!$AD$5:$AD$518,MATCH(LARGE('Calc (scoring engine)'!$K$5:$K$518,14),'Calc (scoring engine)'!$K$5:$K$518,0))),""))</f>
        <v/>
      </c>
      <c r="AB34" s="10">
        <f>IF(OR(14&gt;MAX(3,MIN(15,N($D$18))),IFERROR(LARGE('Calc (scoring engine)'!$K$5:$K$518,14),-999999)&lt;=-900000),"",IFERROR(IF(INDEX(Database!$AE$5:$AE$518,MATCH(LARGE('Calc (scoring engine)'!$K$5:$K$518,14),'Calc (scoring engine)'!$K$5:$K$518,0))="","—",INDEX(Database!$AE$5:$AE$518,MATCH(LARGE('Calc (scoring engine)'!$K$5:$K$518,14),'Calc (scoring engine)'!$K$5:$K$518,0))),""))</f>
        <v/>
      </c>
      <c r="AC34" s="10">
        <f>IF(OR(14&gt;MAX(3,MIN(15,N($D$18))),IFERROR(LARGE('Calc (scoring engine)'!$K$5:$K$518,14),-999999)&lt;=-900000),"",IFERROR(IF(INDEX(Database!$AF$5:$AF$518,MATCH(LARGE('Calc (scoring engine)'!$K$5:$K$518,14),'Calc (scoring engine)'!$K$5:$K$518,0))="","—",INDEX(Database!$AF$5:$AF$518,MATCH(LARGE('Calc (scoring engine)'!$K$5:$K$518,14),'Calc (scoring engine)'!$K$5:$K$518,0))),""))</f>
        <v/>
      </c>
      <c r="AD34" s="10">
        <f>IF(OR(14&gt;MAX(3,MIN(15,N($D$18))),IFERROR(LARGE('Calc (scoring engine)'!$K$5:$K$518,14),-999999)&lt;=-900000),"",IFERROR(IF(INDEX(Database!$AG$5:$AG$518,MATCH(LARGE('Calc (scoring engine)'!$K$5:$K$518,14),'Calc (scoring engine)'!$K$5:$K$518,0))="","—",INDEX(Database!$AG$5:$AG$518,MATCH(LARGE('Calc (scoring engine)'!$K$5:$K$518,14),'Calc (scoring engine)'!$K$5:$K$518,0))),""))</f>
        <v/>
      </c>
      <c r="AE34" s="10">
        <f>IF(OR(14&gt;MAX(3,MIN(15,N($D$18))),IFERROR(LARGE('Calc (scoring engine)'!$K$5:$K$518,14),-999999)&lt;=-900000),"",IFERROR(IF(INDEX(Database!$AH$5:$AH$518,MATCH(LARGE('Calc (scoring engine)'!$K$5:$K$518,14),'Calc (scoring engine)'!$K$5:$K$518,0))="","—",INDEX(Database!$AH$5:$AH$518,MATCH(LARGE('Calc (scoring engine)'!$K$5:$K$518,14),'Calc (scoring engine)'!$K$5:$K$518,0))),""))</f>
        <v/>
      </c>
      <c r="AF34" s="10">
        <f>IF(OR(14&gt;MAX(3,MIN(15,N($D$18))),IFERROR(LARGE('Calc (scoring engine)'!$K$5:$K$518,14),-999999)&lt;=-900000),"",IFERROR(IF(INDEX(Database!$AI$5:$AI$518,MATCH(LARGE('Calc (scoring engine)'!$K$5:$K$518,14),'Calc (scoring engine)'!$K$5:$K$518,0))="","—",INDEX(Database!$AI$5:$AI$518,MATCH(LARGE('Calc (scoring engine)'!$K$5:$K$518,14),'Calc (scoring engine)'!$K$5:$K$518,0))),""))</f>
        <v/>
      </c>
      <c r="AG34" s="10">
        <f>IF(OR(14&gt;MAX(3,MIN(15,N($D$18))),IFERROR(LARGE('Calc (scoring engine)'!$K$5:$K$518,14),-999999)&lt;=-900000),"",IFERROR(IF(INDEX(Database!$AJ$5:$AJ$518,MATCH(LARGE('Calc (scoring engine)'!$K$5:$K$518,14),'Calc (scoring engine)'!$K$5:$K$518,0))="","—",INDEX(Database!$AJ$5:$AJ$518,MATCH(LARGE('Calc (scoring engine)'!$K$5:$K$518,14),'Calc (scoring engine)'!$K$5:$K$518,0))),""))</f>
        <v/>
      </c>
      <c r="AH34" s="23">
        <f>IF(OR(14&gt;MAX(3,MIN(15,N($D$18))),IFERROR(LARGE('Calc (scoring engine)'!$K$5:$K$518,14),-999999)&lt;=-900000),"",IFERROR(IF(INDEX(Database!$AK$5:$AK$518,MATCH(LARGE('Calc (scoring engine)'!$K$5:$K$518,14),'Calc (scoring engine)'!$K$5:$K$518,0))="","—",INDEX(Database!$AK$5:$AK$518,MATCH(LARGE('Calc (scoring engine)'!$K$5:$K$518,14),'Calc (scoring engine)'!$K$5:$K$518,0))),""))</f>
        <v/>
      </c>
      <c r="AI34" s="23">
        <f>IF(OR(14&gt;MAX(3,MIN(15,N($D$18))),IFERROR(LARGE('Calc (scoring engine)'!$K$5:$K$518,14),-999999)&lt;=-900000),"",IFERROR(IF(INDEX(Database!$AL$5:$AL$518,MATCH(LARGE('Calc (scoring engine)'!$K$5:$K$518,14),'Calc (scoring engine)'!$K$5:$K$518,0))="","—",INDEX(Database!$AL$5:$AL$518,MATCH(LARGE('Calc (scoring engine)'!$K$5:$K$518,14),'Calc (scoring engine)'!$K$5:$K$518,0))),""))</f>
        <v/>
      </c>
      <c r="AJ34" s="23">
        <f>IF(OR(14&gt;MAX(3,MIN(15,N($D$18))),IFERROR(LARGE('Calc (scoring engine)'!$K$5:$K$518,14),-999999)&lt;=-900000),"",IFERROR(IF(INDEX(Database!$AM$5:$AM$518,MATCH(LARGE('Calc (scoring engine)'!$K$5:$K$518,14),'Calc (scoring engine)'!$K$5:$K$518,0))="","—",INDEX(Database!$AM$5:$AM$518,MATCH(LARGE('Calc (scoring engine)'!$K$5:$K$518,14),'Calc (scoring engine)'!$K$5:$K$518,0))),""))</f>
        <v/>
      </c>
      <c r="AK34" s="23">
        <f>IF(OR(14&gt;MAX(3,MIN(15,N($D$18))),IFERROR(LARGE('Calc (scoring engine)'!$K$5:$K$518,14),-999999)&lt;=-900000),"",IFERROR(IF(INDEX(Database!$AN$5:$AN$518,MATCH(LARGE('Calc (scoring engine)'!$K$5:$K$518,14),'Calc (scoring engine)'!$K$5:$K$518,0))="","—",INDEX(Database!$AN$5:$AN$518,MATCH(LARGE('Calc (scoring engine)'!$K$5:$K$518,14),'Calc (scoring engine)'!$K$5:$K$518,0))),""))</f>
        <v/>
      </c>
      <c r="AL34" s="23">
        <f>IF(OR(14&gt;MAX(3,MIN(15,N($D$18))),IFERROR(LARGE('Calc (scoring engine)'!$K$5:$K$518,14),-999999)&lt;=-900000),"",IFERROR(IF(INDEX(Database!$AO$5:$AO$518,MATCH(LARGE('Calc (scoring engine)'!$K$5:$K$518,14),'Calc (scoring engine)'!$K$5:$K$518,0))="","—",INDEX(Database!$AO$5:$AO$518,MATCH(LARGE('Calc (scoring engine)'!$K$5:$K$518,14),'Calc (scoring engine)'!$K$5:$K$518,0))),""))</f>
        <v/>
      </c>
      <c r="AM34" s="23">
        <f>IF(OR(14&gt;MAX(3,MIN(15,N($D$18))),IFERROR(LARGE('Calc (scoring engine)'!$K$5:$K$518,14),-999999)&lt;=-900000),"",IFERROR(IF(INDEX(Database!$AP$5:$AP$518,MATCH(LARGE('Calc (scoring engine)'!$K$5:$K$518,14),'Calc (scoring engine)'!$K$5:$K$518,0))="","—",INDEX(Database!$AP$5:$AP$518,MATCH(LARGE('Calc (scoring engine)'!$K$5:$K$518,14),'Calc (scoring engine)'!$K$5:$K$518,0))),""))</f>
        <v/>
      </c>
      <c r="AN34" s="23">
        <f>IF(OR(14&gt;MAX(3,MIN(15,N($D$18))),IFERROR(LARGE('Calc (scoring engine)'!$K$5:$K$518,14),-999999)&lt;=-900000),"",IFERROR(IF(INDEX(Database!$AQ$5:$AQ$518,MATCH(LARGE('Calc (scoring engine)'!$K$5:$K$518,14),'Calc (scoring engine)'!$K$5:$K$518,0))="","—",INDEX(Database!$AQ$5:$AQ$518,MATCH(LARGE('Calc (scoring engine)'!$K$5:$K$518,14),'Calc (scoring engine)'!$K$5:$K$518,0))),""))</f>
        <v/>
      </c>
      <c r="AO34" s="23">
        <f>IF(OR(14&gt;MAX(3,MIN(15,N($D$18))),IFERROR(LARGE('Calc (scoring engine)'!$K$5:$K$518,14),-999999)&lt;=-900000),"",IFERROR(IF(INDEX(Database!$AR$5:$AR$518,MATCH(LARGE('Calc (scoring engine)'!$K$5:$K$518,14),'Calc (scoring engine)'!$K$5:$K$518,0))="","—",INDEX(Database!$AR$5:$AR$518,MATCH(LARGE('Calc (scoring engine)'!$K$5:$K$518,14),'Calc (scoring engine)'!$K$5:$K$518,0))),""))</f>
        <v/>
      </c>
      <c r="AP34" s="23">
        <f>IF(OR(14&gt;MAX(3,MIN(15,N($D$18))),IFERROR(LARGE('Calc (scoring engine)'!$K$5:$K$518,14),-999999)&lt;=-900000),"",IFERROR(IF(INDEX(Database!$AS$5:$AS$518,MATCH(LARGE('Calc (scoring engine)'!$K$5:$K$518,14),'Calc (scoring engine)'!$K$5:$K$518,0))="","—",INDEX(Database!$AS$5:$AS$518,MATCH(LARGE('Calc (scoring engine)'!$K$5:$K$518,14),'Calc (scoring engine)'!$K$5:$K$518,0))),""))</f>
        <v/>
      </c>
      <c r="AQ34" s="23">
        <f>IF(OR(14&gt;MAX(3,MIN(15,N($D$18))),IFERROR(LARGE('Calc (scoring engine)'!$K$5:$K$518,14),-999999)&lt;=-900000),"",IFERROR(IF(INDEX(Database!$AT$5:$AT$518,MATCH(LARGE('Calc (scoring engine)'!$K$5:$K$518,14),'Calc (scoring engine)'!$K$5:$K$518,0))="","—",INDEX(Database!$AT$5:$AT$518,MATCH(LARGE('Calc (scoring engine)'!$K$5:$K$518,14),'Calc (scoring engine)'!$K$5:$K$518,0))),""))</f>
        <v/>
      </c>
      <c r="AR34" s="23">
        <f>IF(OR(14&gt;MAX(3,MIN(15,N($D$18))),IFERROR(LARGE('Calc (scoring engine)'!$K$5:$K$518,14),-999999)&lt;=-900000),"",IFERROR(IF(INDEX(Database!$AU$5:$AU$518,MATCH(LARGE('Calc (scoring engine)'!$K$5:$K$518,14),'Calc (scoring engine)'!$K$5:$K$518,0))="","—",INDEX(Database!$AU$5:$AU$518,MATCH(LARGE('Calc (scoring engine)'!$K$5:$K$518,14),'Calc (scoring engine)'!$K$5:$K$518,0))),""))</f>
        <v/>
      </c>
      <c r="AS34" s="23">
        <f>IF(OR(14&gt;MAX(3,MIN(15,N($D$18))),IFERROR(LARGE('Calc (scoring engine)'!$K$5:$K$518,14),-999999)&lt;=-900000),"",IFERROR(IF(INDEX(Database!$AV$5:$AV$518,MATCH(LARGE('Calc (scoring engine)'!$K$5:$K$518,14),'Calc (scoring engine)'!$K$5:$K$518,0))="","—",INDEX(Database!$AV$5:$AV$518,MATCH(LARGE('Calc (scoring engine)'!$K$5:$K$518,14),'Calc (scoring engine)'!$K$5:$K$518,0))),""))</f>
        <v/>
      </c>
      <c r="AT34" s="23">
        <f>IF(OR(14&gt;MAX(3,MIN(15,N($D$18))),IFERROR(LARGE('Calc (scoring engine)'!$K$5:$K$518,14),-999999)&lt;=-900000),"",IFERROR(IF(INDEX(Database!$AW$5:$AW$518,MATCH(LARGE('Calc (scoring engine)'!$K$5:$K$518,14),'Calc (scoring engine)'!$K$5:$K$518,0))="","—",INDEX(Database!$AW$5:$AW$518,MATCH(LARGE('Calc (scoring engine)'!$K$5:$K$518,14),'Calc (scoring engine)'!$K$5:$K$518,0))),""))</f>
        <v/>
      </c>
      <c r="AU34" s="23">
        <f>IF(OR(14&gt;MAX(3,MIN(15,N($D$18))),IFERROR(LARGE('Calc (scoring engine)'!$K$5:$K$518,14),-999999)&lt;=-900000),"",IFERROR(IF(INDEX(Database!$AX$5:$AX$518,MATCH(LARGE('Calc (scoring engine)'!$K$5:$K$518,14),'Calc (scoring engine)'!$K$5:$K$518,0))="","—",INDEX(Database!$AX$5:$AX$518,MATCH(LARGE('Calc (scoring engine)'!$K$5:$K$518,14),'Calc (scoring engine)'!$K$5:$K$518,0))),""))</f>
        <v/>
      </c>
      <c r="AV34" s="23">
        <f>IF(OR(14&gt;MAX(3,MIN(15,N($D$18))),IFERROR(LARGE('Calc (scoring engine)'!$K$5:$K$518,14),-999999)&lt;=-900000),"",IFERROR(IF(INDEX(Database!$AY$5:$AY$518,MATCH(LARGE('Calc (scoring engine)'!$K$5:$K$518,14),'Calc (scoring engine)'!$K$5:$K$518,0))="","—",INDEX(Database!$AY$5:$AY$518,MATCH(LARGE('Calc (scoring engine)'!$K$5:$K$518,14),'Calc (scoring engine)'!$K$5:$K$518,0))),""))</f>
        <v/>
      </c>
      <c r="AW34" s="23">
        <f>IF(OR(14&gt;MAX(3,MIN(15,N($D$18))),IFERROR(LARGE('Calc (scoring engine)'!$K$5:$K$518,14),-999999)&lt;=-900000),"",IFERROR(IF(INDEX(Database!$BA$5:$BA$518,MATCH(LARGE('Calc (scoring engine)'!$K$5:$K$518,14),'Calc (scoring engine)'!$K$5:$K$518,0))="","—",INDEX(Database!$BA$5:$BA$518,MATCH(LARGE('Calc (scoring engine)'!$K$5:$K$518,14),'Calc (scoring engine)'!$K$5:$K$518,0))),""))</f>
        <v/>
      </c>
      <c r="AX34" s="18">
        <f>IF(OR(14&gt;MAX(3,MIN(15,N($D$18))),IFERROR(LARGE('Calc (scoring engine)'!$K$5:$K$518,14),-999999)&lt;=-900000),"",IFERROR(IF(INDEX(Database!$BC$5:$BC$518,MATCH(LARGE('Calc (scoring engine)'!$K$5:$K$518,14),'Calc (scoring engine)'!$K$5:$K$518,0))="","—",INDEX(Database!$BC$5:$BC$518,MATCH(LARGE('Calc (scoring engine)'!$K$5:$K$518,14),'Calc (scoring engine)'!$K$5:$K$518,0))),""))</f>
        <v/>
      </c>
      <c r="AY34" s="18">
        <f>IF(OR(14&gt;MAX(3,MIN(15,N($D$18))),IFERROR(LARGE('Calc (scoring engine)'!$K$5:$K$518,14),-999999)&lt;=-900000),"",IFERROR(IF(INDEX(Database!$BD$5:$BD$518,MATCH(LARGE('Calc (scoring engine)'!$K$5:$K$518,14),'Calc (scoring engine)'!$K$5:$K$518,0))="","—",INDEX(Database!$BD$5:$BD$518,MATCH(LARGE('Calc (scoring engine)'!$K$5:$K$518,14),'Calc (scoring engine)'!$K$5:$K$518,0))),""))</f>
        <v/>
      </c>
      <c r="AZ34" s="10">
        <f>IF(OR(14&gt;MAX(3,MIN(15,N($D$18))),IFERROR(LARGE('Calc (scoring engine)'!$K$5:$K$518,14),-999999)&lt;=-900000),"",IFERROR(IF(INDEX(Database!$BE$5:$BE$518,MATCH(LARGE('Calc (scoring engine)'!$K$5:$K$518,14),'Calc (scoring engine)'!$K$5:$K$518,0))="","—",INDEX(Database!$BE$5:$BE$518,MATCH(LARGE('Calc (scoring engine)'!$K$5:$K$518,14),'Calc (scoring engine)'!$K$5:$K$518,0))),""))</f>
        <v/>
      </c>
      <c r="BA34" s="24">
        <f>IF(OR(14&gt;MAX(3,MIN(15,N($D$18))),IFERROR(LARGE('Calc (scoring engine)'!$K$5:$K$518,14),-999999)&lt;=-900000),"",IFERROR(IF(N(INDEX(Database!$BF$5:$BF$518,MATCH(LARGE('Calc (scoring engine)'!$K$5:$K$518,14),'Calc (scoring engine)'!$K$5:$K$518,0)))&lt;=0,IF(INDEX(Database!$BE$5:$BE$518,MATCH(LARGE('Calc (scoring engine)'!$K$5:$K$518,14),'Calc (scoring engine)'!$K$5:$K$518,0))="N","n/m","—"),INDEX(Database!$BF$5:$BF$518,MATCH(LARGE('Calc (scoring engine)'!$K$5:$K$518,14),'Calc (scoring engine)'!$K$5:$K$518,0))),""))</f>
        <v/>
      </c>
      <c r="BB34" s="24">
        <f>IF(OR(14&gt;MAX(3,MIN(15,N($D$18))),IFERROR(LARGE('Calc (scoring engine)'!$K$5:$K$518,14),-999999)&lt;=-900000),"",IFERROR(IF(INDEX(Database!$BG$5:$BG$518,MATCH(LARGE('Calc (scoring engine)'!$K$5:$K$518,14),'Calc (scoring engine)'!$K$5:$K$518,0))="","—",INDEX(Database!$BG$5:$BG$518,MATCH(LARGE('Calc (scoring engine)'!$K$5:$K$518,14),'Calc (scoring engine)'!$K$5:$K$518,0))),""))</f>
        <v/>
      </c>
      <c r="BC34" s="24">
        <f>IF(OR(14&gt;MAX(3,MIN(15,N($D$18))),IFERROR(LARGE('Calc (scoring engine)'!$K$5:$K$518,14),-999999)&lt;=-900000),"",IFERROR(IF(INDEX(Database!$BH$5:$BH$518,MATCH(LARGE('Calc (scoring engine)'!$K$5:$K$518,14),'Calc (scoring engine)'!$K$5:$K$518,0))="","—",INDEX(Database!$BH$5:$BH$518,MATCH(LARGE('Calc (scoring engine)'!$K$5:$K$518,14),'Calc (scoring engine)'!$K$5:$K$518,0))),""))</f>
        <v/>
      </c>
      <c r="BD34" s="24">
        <f>IF(OR(14&gt;MAX(3,MIN(15,N($D$18))),IFERROR(LARGE('Calc (scoring engine)'!$K$5:$K$518,14),-999999)&lt;=-900000),"",IFERROR(IF(INDEX(Database!$BI$5:$BI$518,MATCH(LARGE('Calc (scoring engine)'!$K$5:$K$518,14),'Calc (scoring engine)'!$K$5:$K$518,0))="","—",INDEX(Database!$BI$5:$BI$518,MATCH(LARGE('Calc (scoring engine)'!$K$5:$K$518,14),'Calc (scoring engine)'!$K$5:$K$518,0))),""))</f>
        <v/>
      </c>
      <c r="BE34" s="24">
        <f>IF(OR(14&gt;MAX(3,MIN(15,N($D$18))),IFERROR(LARGE('Calc (scoring engine)'!$K$5:$K$518,14),-999999)&lt;=-900000),"",IFERROR(IF(INDEX(Database!$BJ$5:$BJ$518,MATCH(LARGE('Calc (scoring engine)'!$K$5:$K$518,14),'Calc (scoring engine)'!$K$5:$K$518,0))="","—",INDEX(Database!$BJ$5:$BJ$518,MATCH(LARGE('Calc (scoring engine)'!$K$5:$K$518,14),'Calc (scoring engine)'!$K$5:$K$518,0))),""))</f>
        <v/>
      </c>
      <c r="BF34" s="24">
        <f>IF(OR(14&gt;MAX(3,MIN(15,N($D$18))),IFERROR(LARGE('Calc (scoring engine)'!$K$5:$K$518,14),-999999)&lt;=-900000),"",IFERROR(IFERROR(BDP(TEXT(INDEX(Database!$A$5:$A$518,MATCH(LARGE('Calc (scoring engine)'!$K$5:$K$518,14),'Calc (scoring engine)'!$K$5:$K$518,0)),"0")&amp;" HK Equity","PE_RATIO"),IF(INDEX(Database!$BH$5:$BH$518,MATCH(LARGE('Calc (scoring engine)'!$K$5:$K$518,14),'Calc (scoring engine)'!$K$5:$K$518,0))="","—",INDEX(Database!$BH$5:$BH$518,MATCH(LARGE('Calc (scoring engine)'!$K$5:$K$518,14),'Calc (scoring engine)'!$K$5:$K$518,0)))),""))</f>
        <v/>
      </c>
      <c r="BG34" s="24">
        <f>IF(OR(14&gt;MAX(3,MIN(15,N($D$18))),IFERROR(LARGE('Calc (scoring engine)'!$K$5:$K$518,14),-999999)&lt;=-900000),"",IFERROR(IFERROR(BDP(TEXT(INDEX(Database!$A$5:$A$518,MATCH(LARGE('Calc (scoring engine)'!$K$5:$K$518,14),'Calc (scoring engine)'!$K$5:$K$518,0)),"0")&amp;" HK Equity","PX_TO_SALES_RATIO"),IF(INDEX(Database!$BI$5:$BI$518,MATCH(LARGE('Calc (scoring engine)'!$K$5:$K$518,14),'Calc (scoring engine)'!$K$5:$K$518,0))="","—",INDEX(Database!$BI$5:$BI$518,MATCH(LARGE('Calc (scoring engine)'!$K$5:$K$518,14),'Calc (scoring engine)'!$K$5:$K$518,0)))),""))</f>
        <v/>
      </c>
      <c r="BH34" s="10">
        <f>IF(OR(14&gt;MAX(3,MIN(15,N($D$18))),IFERROR(LARGE('Calc (scoring engine)'!$K$5:$K$518,14),-999999)&lt;=-900000),"",IFERROR(IF(INDEX(Database!$BK$5:$BK$518,MATCH(LARGE('Calc (scoring engine)'!$K$5:$K$518,14),'Calc (scoring engine)'!$K$5:$K$518,0))="","—",INDEX(Database!$BK$5:$BK$518,MATCH(LARGE('Calc (scoring engine)'!$K$5:$K$518,14),'Calc (scoring engine)'!$K$5:$K$518,0))),""))</f>
        <v/>
      </c>
      <c r="BI34" s="10">
        <f>IF(OR(14&gt;MAX(3,MIN(15,N($D$18))),IFERROR(LARGE('Calc (scoring engine)'!$K$5:$K$518,14),-999999)&lt;=-900000),"",IFERROR(IF(INDEX(Database!$BL$5:$BL$518,MATCH(LARGE('Calc (scoring engine)'!$K$5:$K$518,14),'Calc (scoring engine)'!$K$5:$K$518,0))="","—",INDEX(Database!$BL$5:$BL$518,MATCH(LARGE('Calc (scoring engine)'!$K$5:$K$518,14),'Calc (scoring engine)'!$K$5:$K$518,0))),""))</f>
        <v/>
      </c>
      <c r="BJ34" s="23">
        <f>IF(OR(14&gt;MAX(3,MIN(15,N($D$18))),IFERROR(LARGE('Calc (scoring engine)'!$K$5:$K$518,14),-999999)&lt;=-900000),"",IFERROR(IF(INDEX(Database!$BM$5:$BM$518,MATCH(LARGE('Calc (scoring engine)'!$K$5:$K$518,14),'Calc (scoring engine)'!$K$5:$K$518,0))="","—",INDEX(Database!$BM$5:$BM$518,MATCH(LARGE('Calc (scoring engine)'!$K$5:$K$518,14),'Calc (scoring engine)'!$K$5:$K$518,0))),""))</f>
        <v/>
      </c>
      <c r="BK34" s="40">
        <f>IF(OR(14&gt;MAX(3,MIN(15,N($D$18))),IFERROR(LARGE('Calc (scoring engine)'!$K$5:$K$518,14),-999999)&lt;=-900000),"",IFERROR(IF(INDEX(Database!$BN$5:$BN$518,MATCH(LARGE('Calc (scoring engine)'!$K$5:$K$518,14),'Calc (scoring engine)'!$K$5:$K$518,0))="","—",INDEX(Database!$BN$5:$BN$518,MATCH(LARGE('Calc (scoring engine)'!$K$5:$K$518,14),'Calc (scoring engine)'!$K$5:$K$518,0))),""))</f>
        <v/>
      </c>
      <c r="BL34" s="43">
        <f>IF(OR(14&gt;MAX(3,MIN(15,N($D$18))),IFERROR(LARGE('Calc (scoring engine)'!$K$5:$K$518,14),-999999)&lt;=-900000),"",IFERROR(IF(INDEX(Database!$BO$5:$BO$518,MATCH(LARGE('Calc (scoring engine)'!$K$5:$K$518,14),'Calc (scoring engine)'!$K$5:$K$518,0))="","—",INDEX(Database!$BO$5:$BO$518,MATCH(LARGE('Calc (scoring engine)'!$K$5:$K$518,14),'Calc (scoring engine)'!$K$5:$K$518,0))),""))</f>
        <v/>
      </c>
      <c r="BM34" s="18">
        <f>IF(OR(14&gt;MAX(3,MIN(15,N($D$18))),IFERROR(LARGE('Calc (scoring engine)'!$K$5:$K$518,14),-999999)&lt;=-900000),"",IFERROR(IF(INDEX(Database!$BP$5:$BP$518,MATCH(LARGE('Calc (scoring engine)'!$K$5:$K$518,14),'Calc (scoring engine)'!$K$5:$K$518,0))="","—",INDEX(Database!$BP$5:$BP$518,MATCH(LARGE('Calc (scoring engine)'!$K$5:$K$518,14),'Calc (scoring engine)'!$K$5:$K$518,0))),""))</f>
        <v/>
      </c>
      <c r="BN34" s="24">
        <f>IF(OR(14&gt;MAX(3,MIN(15,N($D$18))),IFERROR(LARGE('Calc (scoring engine)'!$K$5:$K$518,14),-999999)&lt;=-900000),"",IFERROR(IF(INDEX(Database!$BQ$5:$BQ$518,MATCH(LARGE('Calc (scoring engine)'!$K$5:$K$518,14),'Calc (scoring engine)'!$K$5:$K$518,0))="","—",INDEX(Database!$BQ$5:$BQ$518,MATCH(LARGE('Calc (scoring engine)'!$K$5:$K$518,14),'Calc (scoring engine)'!$K$5:$K$518,0))),""))</f>
        <v/>
      </c>
      <c r="BO34" s="24">
        <f>IF(OR(14&gt;MAX(3,MIN(15,N($D$18))),IFERROR(LARGE('Calc (scoring engine)'!$K$5:$K$518,14),-999999)&lt;=-900000),"",IFERROR(IF(INDEX(Database!$BR$5:$BR$518,MATCH(LARGE('Calc (scoring engine)'!$K$5:$K$518,14),'Calc (scoring engine)'!$K$5:$K$518,0))="","—",INDEX(Database!$BR$5:$BR$518,MATCH(LARGE('Calc (scoring engine)'!$K$5:$K$518,14),'Calc (scoring engine)'!$K$5:$K$518,0))),""))</f>
        <v/>
      </c>
      <c r="BP34" s="10">
        <f>IF(OR(14&gt;MAX(3,MIN(15,N($D$18))),IFERROR(LARGE('Calc (scoring engine)'!$K$5:$K$518,14),-999999)&lt;=-900000),"",IFERROR(IF(INDEX(Database!$BS$5:$BS$518,MATCH(LARGE('Calc (scoring engine)'!$K$5:$K$518,14),'Calc (scoring engine)'!$K$5:$K$518,0))="","—",INDEX(Database!$BS$5:$BS$518,MATCH(LARGE('Calc (scoring engine)'!$K$5:$K$518,14),'Calc (scoring engine)'!$K$5:$K$518,0))),""))</f>
        <v/>
      </c>
      <c r="BQ34" s="10">
        <f>IF(OR(14&gt;MAX(3,MIN(15,N($D$18))),IFERROR(LARGE('Calc (scoring engine)'!$K$5:$K$518,14),-999999)&lt;=-900000),"",IFERROR(IF(INDEX(Database!$BU$5:$BU$518,MATCH(LARGE('Calc (scoring engine)'!$K$5:$K$518,14),'Calc (scoring engine)'!$K$5:$K$518,0))="","—",INDEX(Database!$BU$5:$BU$518,MATCH(LARGE('Calc (scoring engine)'!$K$5:$K$518,14),'Calc (scoring engine)'!$K$5:$K$518,0))),""))</f>
        <v/>
      </c>
      <c r="BR34" s="44">
        <f>IF(OR(14&gt;MAX(3,MIN(15,N($D$18))),IFERROR(LARGE('Calc (scoring engine)'!$K$5:$K$518,14),-999999)&lt;=-900000),"",IFERROR(IF(INDEX('Calc (scoring engine)'!$H$5:$H$518,MATCH(LARGE('Calc (scoring engine)'!$K$5:$K$518,14),'Calc (scoring engine)'!$K$5:$K$518,0))&gt;0,INDEX('Calc (scoring engine)'!$H$5:$H$518,MATCH(LARGE('Calc (scoring engine)'!$K$5:$K$518,14),'Calc (scoring engine)'!$K$5:$K$518,0)),""),""))</f>
        <v/>
      </c>
      <c r="BS34" s="10">
        <f>IF(OR(14&gt;MAX(3,MIN(15,N($D$18))),IFERROR(LARGE('Calc (scoring engine)'!$K$5:$K$518,14),-999999)&lt;=-900000),"",IF(IFERROR(INDEX('Calc (scoring engine)'!$B$5:$B$518,MATCH(LARGE('Calc (scoring engine)'!$K$5:$K$518,14),'Calc (scoring engine)'!$K$5:$K$518,0)),0)=1,"same subsector","sector only"))</f>
        <v/>
      </c>
      <c r="BT34" s="44">
        <f>IF(OR(14&gt;MAX(3,MIN(15,N($D$18))),IFERROR(LARGE('Calc (scoring engine)'!$K$5:$K$518,14),-999999)&lt;=-900000),"",ROUND(IFERROR(LARGE('Calc (scoring engine)'!$K$5:$K$518,14),0),0))</f>
        <v/>
      </c>
      <c r="BU34" s="10">
        <f>IF(OR(14&gt;MAX(3,MIN(15,N($D$18))),IFERROR(LARGE('Calc (scoring engine)'!$K$5:$K$518,14),-999999)&lt;=-900000),"",IFERROR("sub "&amp;INDEX('Calc (scoring engine)'!$B$5:$B$518,MATCH(LARGE('Calc (scoring engine)'!$K$5:$K$518,14),'Calc (scoring engine)'!$K$5:$K$518,0))*W_SUB&amp;" + size "&amp;ROUND(INDEX('Calc (scoring engine)'!$D$5:$D$518,MATCH(LARGE('Calc (scoring engine)'!$K$5:$K$518,14),'Calc (scoring engine)'!$K$5:$K$518,0))*W_SIZE,0)&amp;" + prof "&amp;INDEX('Calc (scoring engine)'!$E$5:$E$518,MATCH(LARGE('Calc (scoring engine)'!$K$5:$K$518,14),'Calc (scoring engine)'!$K$5:$K$518,0))*W_PROF&amp;" + recency "&amp;ROUND(INDEX('Calc (scoring engine)'!$G$5:$G$518,MATCH(LARGE('Calc (scoring engine)'!$K$5:$K$518,14),'Calc (scoring engine)'!$K$5:$K$518,0))*W_REC,0)&amp;IF(INDEX('Calc (scoring engine)'!$H$5:$H$518,MATCH(LARGE('Calc (scoring engine)'!$K$5:$K$518,14),'Calc (scoring engine)'!$K$5:$K$518,0))&gt;0," + shared CS x"&amp;INDEX('Calc (scoring engine)'!$H$5:$H$518,MATCH(LARGE('Calc (scoring engine)'!$K$5:$K$518,14),'Calc (scoring engine)'!$K$5:$K$518,0)),""),""))</f>
        <v/>
      </c>
    </row>
    <row r="35">
      <c r="A35" s="38">
        <f>IF(OR(15&gt;MAX(3,MIN(15,N($D$18))),IFERROR(LARGE('Calc (scoring engine)'!$K$5:$K$518,15),-999999)&lt;=-900000),"",15)</f>
        <v/>
      </c>
      <c r="B35" s="10">
        <f>IF(OR(15&gt;MAX(3,MIN(15,N($D$18))),IFERROR(LARGE('Calc (scoring engine)'!$K$5:$K$518,15),-999999)&lt;=-900000),"",IFERROR(IF(INDEX(Database!$B$5:$B$518,MATCH(LARGE('Calc (scoring engine)'!$K$5:$K$518,15),'Calc (scoring engine)'!$K$5:$K$518,0))="","—",INDEX(Database!$B$5:$B$518,MATCH(LARGE('Calc (scoring engine)'!$K$5:$K$518,15),'Calc (scoring engine)'!$K$5:$K$518,0))),""))</f>
        <v/>
      </c>
      <c r="C35" s="39">
        <f>IF(OR(15&gt;MAX(3,MIN(15,N($D$18))),IFERROR(LARGE('Calc (scoring engine)'!$K$5:$K$518,15),-999999)&lt;=-900000),"",IFERROR(IF(INDEX(Database!$A$5:$A$518,MATCH(LARGE('Calc (scoring engine)'!$K$5:$K$518,15),'Calc (scoring engine)'!$K$5:$K$518,0))="","—",INDEX(Database!$A$5:$A$518,MATCH(LARGE('Calc (scoring engine)'!$K$5:$K$518,15),'Calc (scoring engine)'!$K$5:$K$518,0))),""))</f>
        <v/>
      </c>
      <c r="D35" s="10">
        <f>IF(OR(15&gt;MAX(3,MIN(15,N($D$18))),IFERROR(LARGE('Calc (scoring engine)'!$K$5:$K$518,15),-999999)&lt;=-900000),"",IFERROR(IF(INDEX(Database!$D$5:$D$518,MATCH(LARGE('Calc (scoring engine)'!$K$5:$K$518,15),'Calc (scoring engine)'!$K$5:$K$518,0))="","—",INDEX(Database!$D$5:$D$518,MATCH(LARGE('Calc (scoring engine)'!$K$5:$K$518,15),'Calc (scoring engine)'!$K$5:$K$518,0))),""))</f>
        <v/>
      </c>
      <c r="E35" s="10">
        <f>IF(OR(15&gt;MAX(3,MIN(15,N($D$18))),IFERROR(LARGE('Calc (scoring engine)'!$K$5:$K$518,15),-999999)&lt;=-900000),"",IFERROR(IF(INDEX(Database!$E$5:$E$518,MATCH(LARGE('Calc (scoring engine)'!$K$5:$K$518,15),'Calc (scoring engine)'!$K$5:$K$518,0))="","—",INDEX(Database!$E$5:$E$518,MATCH(LARGE('Calc (scoring engine)'!$K$5:$K$518,15),'Calc (scoring engine)'!$K$5:$K$518,0))),""))</f>
        <v/>
      </c>
      <c r="F35" s="10">
        <f>IF(OR(15&gt;MAX(3,MIN(15,N($D$18))),IFERROR(LARGE('Calc (scoring engine)'!$K$5:$K$518,15),-999999)&lt;=-900000),"",IFERROR(IF(INDEX(Database!$F$5:$F$518,MATCH(LARGE('Calc (scoring engine)'!$K$5:$K$518,15),'Calc (scoring engine)'!$K$5:$K$518,0))="","—",INDEX(Database!$F$5:$F$518,MATCH(LARGE('Calc (scoring engine)'!$K$5:$K$518,15),'Calc (scoring engine)'!$K$5:$K$518,0))),""))</f>
        <v/>
      </c>
      <c r="G35" s="10">
        <f>IF(OR(15&gt;MAX(3,MIN(15,N($D$18))),IFERROR(LARGE('Calc (scoring engine)'!$K$5:$K$518,15),-999999)&lt;=-900000),"",IFERROR(IF(INDEX(Database!$G$5:$G$518,MATCH(LARGE('Calc (scoring engine)'!$K$5:$K$518,15),'Calc (scoring engine)'!$K$5:$K$518,0))="","—",INDEX(Database!$G$5:$G$518,MATCH(LARGE('Calc (scoring engine)'!$K$5:$K$518,15),'Calc (scoring engine)'!$K$5:$K$518,0))),""))</f>
        <v/>
      </c>
      <c r="H35" s="21">
        <f>IF(OR(15&gt;MAX(3,MIN(15,N($D$18))),IFERROR(LARGE('Calc (scoring engine)'!$K$5:$K$518,15),-999999)&lt;=-900000),"",IFERROR(IF(INDEX(Database!$H$5:$H$518,MATCH(LARGE('Calc (scoring engine)'!$K$5:$K$518,15),'Calc (scoring engine)'!$K$5:$K$518,0))="","—",INDEX(Database!$H$5:$H$518,MATCH(LARGE('Calc (scoring engine)'!$K$5:$K$518,15),'Calc (scoring engine)'!$K$5:$K$518,0))),""))</f>
        <v/>
      </c>
      <c r="I35" s="18">
        <f>IF(OR(15&gt;MAX(3,MIN(15,N($D$18))),IFERROR(LARGE('Calc (scoring engine)'!$K$5:$K$518,15),-999999)&lt;=-900000),"",IFERROR(IF(INDEX(Database!$I$5:$I$518,MATCH(LARGE('Calc (scoring engine)'!$K$5:$K$518,15),'Calc (scoring engine)'!$K$5:$K$518,0))="","—",INDEX(Database!$I$5:$I$518,MATCH(LARGE('Calc (scoring engine)'!$K$5:$K$518,15),'Calc (scoring engine)'!$K$5:$K$518,0))),""))</f>
        <v/>
      </c>
      <c r="J35" s="40">
        <f>IF(OR(15&gt;MAX(3,MIN(15,N($D$18))),IFERROR(LARGE('Calc (scoring engine)'!$K$5:$K$518,15),-999999)&lt;=-900000),"",IFERROR(IF(INDEX(Database!$K$5:$K$518,MATCH(LARGE('Calc (scoring engine)'!$K$5:$K$518,15),'Calc (scoring engine)'!$K$5:$K$518,0))="","—",INDEX(Database!$K$5:$K$518,MATCH(LARGE('Calc (scoring engine)'!$K$5:$K$518,15),'Calc (scoring engine)'!$K$5:$K$518,0))),""))</f>
        <v/>
      </c>
      <c r="K35" s="40">
        <f>IF(OR(15&gt;MAX(3,MIN(15,N($D$18))),IFERROR(LARGE('Calc (scoring engine)'!$K$5:$K$518,15),-999999)&lt;=-900000),"",IFERROR(IF(INDEX(Database!$L$5:$L$518,MATCH(LARGE('Calc (scoring engine)'!$K$5:$K$518,15),'Calc (scoring engine)'!$K$5:$K$518,0))="","—",INDEX(Database!$L$5:$L$518,MATCH(LARGE('Calc (scoring engine)'!$K$5:$K$518,15),'Calc (scoring engine)'!$K$5:$K$518,0))),""))</f>
        <v/>
      </c>
      <c r="L35" s="40">
        <f>IF(OR(15&gt;MAX(3,MIN(15,N($D$18))),IFERROR(LARGE('Calc (scoring engine)'!$K$5:$K$518,15),-999999)&lt;=-900000),"",IFERROR(IF(INDEX(Database!$M$5:$M$518,MATCH(LARGE('Calc (scoring engine)'!$K$5:$K$518,15),'Calc (scoring engine)'!$K$5:$K$518,0))="","—",INDEX(Database!$M$5:$M$518,MATCH(LARGE('Calc (scoring engine)'!$K$5:$K$518,15),'Calc (scoring engine)'!$K$5:$K$518,0))),""))</f>
        <v/>
      </c>
      <c r="M35" s="10">
        <f>IF(OR(15&gt;MAX(3,MIN(15,N($D$18))),IFERROR(LARGE('Calc (scoring engine)'!$K$5:$K$518,15),-999999)&lt;=-900000),"",IFERROR(IF(INDEX(Database!$N$5:$N$518,MATCH(LARGE('Calc (scoring engine)'!$K$5:$K$518,15),'Calc (scoring engine)'!$K$5:$K$518,0))="","—",INDEX(Database!$N$5:$N$518,MATCH(LARGE('Calc (scoring engine)'!$K$5:$K$518,15),'Calc (scoring engine)'!$K$5:$K$518,0))),""))</f>
        <v/>
      </c>
      <c r="N35" s="28">
        <f>IF(OR(15&gt;MAX(3,MIN(15,N($D$18))),IFERROR(LARGE('Calc (scoring engine)'!$K$5:$K$518,15),-999999)&lt;=-900000),"",IFERROR(IF(INDEX(Database!$O$5:$O$518,MATCH(LARGE('Calc (scoring engine)'!$K$5:$K$518,15),'Calc (scoring engine)'!$K$5:$K$518,0))="","—",INDEX(Database!$O$5:$O$518,MATCH(LARGE('Calc (scoring engine)'!$K$5:$K$518,15),'Calc (scoring engine)'!$K$5:$K$518,0))),""))</f>
        <v/>
      </c>
      <c r="O35" s="28">
        <f>IF(OR(15&gt;MAX(3,MIN(15,N($D$18))),IFERROR(LARGE('Calc (scoring engine)'!$K$5:$K$518,15),-999999)&lt;=-900000),"",IFERROR(IF(INDEX(Database!$P$5:$P$518,MATCH(LARGE('Calc (scoring engine)'!$K$5:$K$518,15),'Calc (scoring engine)'!$K$5:$K$518,0))="","—",INDEX(Database!$P$5:$P$518,MATCH(LARGE('Calc (scoring engine)'!$K$5:$K$518,15),'Calc (scoring engine)'!$K$5:$K$518,0))),""))</f>
        <v/>
      </c>
      <c r="P35" s="18">
        <f>IF(OR(15&gt;MAX(3,MIN(15,N($D$18))),IFERROR(LARGE('Calc (scoring engine)'!$K$5:$K$518,15),-999999)&lt;=-900000),"",IFERROR(IF(INDEX(Database!$Q$5:$Q$518,MATCH(LARGE('Calc (scoring engine)'!$K$5:$K$518,15),'Calc (scoring engine)'!$K$5:$K$518,0))="","—",INDEX(Database!$Q$5:$Q$518,MATCH(LARGE('Calc (scoring engine)'!$K$5:$K$518,15),'Calc (scoring engine)'!$K$5:$K$518,0))),""))</f>
        <v/>
      </c>
      <c r="Q35" s="26">
        <f>IF(OR(15&gt;MAX(3,MIN(15,N($D$18))),IFERROR(LARGE('Calc (scoring engine)'!$K$5:$K$518,15),-999999)&lt;=-900000),"",IFERROR(IF(INDEX(Database!$S$5:$S$518,MATCH(LARGE('Calc (scoring engine)'!$K$5:$K$518,15),'Calc (scoring engine)'!$K$5:$K$518,0))="","—",INDEX(Database!$S$5:$S$518,MATCH(LARGE('Calc (scoring engine)'!$K$5:$K$518,15),'Calc (scoring engine)'!$K$5:$K$518,0))),""))</f>
        <v/>
      </c>
      <c r="R35" s="41">
        <f>IF(OR(15&gt;MAX(3,MIN(15,N($D$18))),IFERROR(LARGE('Calc (scoring engine)'!$K$5:$K$518,15),-999999)&lt;=-900000),"",IFERROR(IF(INDEX(Database!$T$5:$T$518,MATCH(LARGE('Calc (scoring engine)'!$K$5:$K$518,15),'Calc (scoring engine)'!$K$5:$K$518,0))="","—",INDEX(Database!$T$5:$T$518,MATCH(LARGE('Calc (scoring engine)'!$K$5:$K$518,15),'Calc (scoring engine)'!$K$5:$K$518,0))),""))</f>
        <v/>
      </c>
      <c r="S35" s="42">
        <f>IF(OR(15&gt;MAX(3,MIN(15,N($D$18))),IFERROR(LARGE('Calc (scoring engine)'!$K$5:$K$518,15),-999999)&lt;=-900000),"",IFERROR(IF(INDEX(Database!$U$5:$U$518,MATCH(LARGE('Calc (scoring engine)'!$K$5:$K$518,15),'Calc (scoring engine)'!$K$5:$K$518,0))="","—",INDEX(Database!$U$5:$U$518,MATCH(LARGE('Calc (scoring engine)'!$K$5:$K$518,15),'Calc (scoring engine)'!$K$5:$K$518,0))),""))</f>
        <v/>
      </c>
      <c r="T35" s="18">
        <f>IF(OR(15&gt;MAX(3,MIN(15,N($D$18))),IFERROR(LARGE('Calc (scoring engine)'!$K$5:$K$518,15),-999999)&lt;=-900000),"",IFERROR(IF(INDEX(Database!$V$5:$V$518,MATCH(LARGE('Calc (scoring engine)'!$K$5:$K$518,15),'Calc (scoring engine)'!$K$5:$K$518,0))="","—",INDEX(Database!$V$5:$V$518,MATCH(LARGE('Calc (scoring engine)'!$K$5:$K$518,15),'Calc (scoring engine)'!$K$5:$K$518,0))),""))</f>
        <v/>
      </c>
      <c r="U35" s="18">
        <f>IF(OR(15&gt;MAX(3,MIN(15,N($D$18))),IFERROR(LARGE('Calc (scoring engine)'!$K$5:$K$518,15),-999999)&lt;=-900000),"",IFERROR(IF(INDEX(Database!$W$5:$W$518,MATCH(LARGE('Calc (scoring engine)'!$K$5:$K$518,15),'Calc (scoring engine)'!$K$5:$K$518,0))="","—",INDEX(Database!$W$5:$W$518,MATCH(LARGE('Calc (scoring engine)'!$K$5:$K$518,15),'Calc (scoring engine)'!$K$5:$K$518,0))),""))</f>
        <v/>
      </c>
      <c r="V35" s="28">
        <f>IF(OR(15&gt;MAX(3,MIN(15,N($D$18))),IFERROR(LARGE('Calc (scoring engine)'!$K$5:$K$518,15),-999999)&lt;=-900000),"",IFERROR(IF(INDEX(Database!$X$5:$X$518,MATCH(LARGE('Calc (scoring engine)'!$K$5:$K$518,15),'Calc (scoring engine)'!$K$5:$K$518,0))="","—",INDEX(Database!$X$5:$X$518,MATCH(LARGE('Calc (scoring engine)'!$K$5:$K$518,15),'Calc (scoring engine)'!$K$5:$K$518,0))),""))</f>
        <v/>
      </c>
      <c r="W35" s="10">
        <f>IF(OR(15&gt;MAX(3,MIN(15,N($D$18))),IFERROR(LARGE('Calc (scoring engine)'!$K$5:$K$518,15),-999999)&lt;=-900000),"",IFERROR(IF(INDEX(Database!$Y$5:$Y$518,MATCH(LARGE('Calc (scoring engine)'!$K$5:$K$518,15),'Calc (scoring engine)'!$K$5:$K$518,0))="","—",INDEX(Database!$Y$5:$Y$518,MATCH(LARGE('Calc (scoring engine)'!$K$5:$K$518,15),'Calc (scoring engine)'!$K$5:$K$518,0))),""))</f>
        <v/>
      </c>
      <c r="X35" s="28">
        <f>IF(OR(15&gt;MAX(3,MIN(15,N($D$18))),IFERROR(LARGE('Calc (scoring engine)'!$K$5:$K$518,15),-999999)&lt;=-900000),"",IFERROR(IF(INDEX(Database!$AA$5:$AA$518,MATCH(LARGE('Calc (scoring engine)'!$K$5:$K$518,15),'Calc (scoring engine)'!$K$5:$K$518,0))="","—",INDEX(Database!$AA$5:$AA$518,MATCH(LARGE('Calc (scoring engine)'!$K$5:$K$518,15),'Calc (scoring engine)'!$K$5:$K$518,0))),""))</f>
        <v/>
      </c>
      <c r="Y35" s="23">
        <f>IF(OR(15&gt;MAX(3,MIN(15,N($D$18))),IFERROR(LARGE('Calc (scoring engine)'!$K$5:$K$518,15),-999999)&lt;=-900000),"",IFERROR(IF(INDEX(Database!$AB$5:$AB$518,MATCH(LARGE('Calc (scoring engine)'!$K$5:$K$518,15),'Calc (scoring engine)'!$K$5:$K$518,0))="","—",INDEX(Database!$AB$5:$AB$518,MATCH(LARGE('Calc (scoring engine)'!$K$5:$K$518,15),'Calc (scoring engine)'!$K$5:$K$518,0))),""))</f>
        <v/>
      </c>
      <c r="Z35" s="40">
        <f>IF(OR(15&gt;MAX(3,MIN(15,N($D$18))),IFERROR(LARGE('Calc (scoring engine)'!$K$5:$K$518,15),-999999)&lt;=-900000),"",IFERROR(IF(INDEX(Database!$AC$5:$AC$518,MATCH(LARGE('Calc (scoring engine)'!$K$5:$K$518,15),'Calc (scoring engine)'!$K$5:$K$518,0))="","—",INDEX(Database!$AC$5:$AC$518,MATCH(LARGE('Calc (scoring engine)'!$K$5:$K$518,15),'Calc (scoring engine)'!$K$5:$K$518,0))),""))</f>
        <v/>
      </c>
      <c r="AA35" s="23">
        <f>IF(OR(15&gt;MAX(3,MIN(15,N($D$18))),IFERROR(LARGE('Calc (scoring engine)'!$K$5:$K$518,15),-999999)&lt;=-900000),"",IFERROR(IF(INDEX(Database!$AD$5:$AD$518,MATCH(LARGE('Calc (scoring engine)'!$K$5:$K$518,15),'Calc (scoring engine)'!$K$5:$K$518,0))="","—",INDEX(Database!$AD$5:$AD$518,MATCH(LARGE('Calc (scoring engine)'!$K$5:$K$518,15),'Calc (scoring engine)'!$K$5:$K$518,0))),""))</f>
        <v/>
      </c>
      <c r="AB35" s="10">
        <f>IF(OR(15&gt;MAX(3,MIN(15,N($D$18))),IFERROR(LARGE('Calc (scoring engine)'!$K$5:$K$518,15),-999999)&lt;=-900000),"",IFERROR(IF(INDEX(Database!$AE$5:$AE$518,MATCH(LARGE('Calc (scoring engine)'!$K$5:$K$518,15),'Calc (scoring engine)'!$K$5:$K$518,0))="","—",INDEX(Database!$AE$5:$AE$518,MATCH(LARGE('Calc (scoring engine)'!$K$5:$K$518,15),'Calc (scoring engine)'!$K$5:$K$518,0))),""))</f>
        <v/>
      </c>
      <c r="AC35" s="10">
        <f>IF(OR(15&gt;MAX(3,MIN(15,N($D$18))),IFERROR(LARGE('Calc (scoring engine)'!$K$5:$K$518,15),-999999)&lt;=-900000),"",IFERROR(IF(INDEX(Database!$AF$5:$AF$518,MATCH(LARGE('Calc (scoring engine)'!$K$5:$K$518,15),'Calc (scoring engine)'!$K$5:$K$518,0))="","—",INDEX(Database!$AF$5:$AF$518,MATCH(LARGE('Calc (scoring engine)'!$K$5:$K$518,15),'Calc (scoring engine)'!$K$5:$K$518,0))),""))</f>
        <v/>
      </c>
      <c r="AD35" s="10">
        <f>IF(OR(15&gt;MAX(3,MIN(15,N($D$18))),IFERROR(LARGE('Calc (scoring engine)'!$K$5:$K$518,15),-999999)&lt;=-900000),"",IFERROR(IF(INDEX(Database!$AG$5:$AG$518,MATCH(LARGE('Calc (scoring engine)'!$K$5:$K$518,15),'Calc (scoring engine)'!$K$5:$K$518,0))="","—",INDEX(Database!$AG$5:$AG$518,MATCH(LARGE('Calc (scoring engine)'!$K$5:$K$518,15),'Calc (scoring engine)'!$K$5:$K$518,0))),""))</f>
        <v/>
      </c>
      <c r="AE35" s="10">
        <f>IF(OR(15&gt;MAX(3,MIN(15,N($D$18))),IFERROR(LARGE('Calc (scoring engine)'!$K$5:$K$518,15),-999999)&lt;=-900000),"",IFERROR(IF(INDEX(Database!$AH$5:$AH$518,MATCH(LARGE('Calc (scoring engine)'!$K$5:$K$518,15),'Calc (scoring engine)'!$K$5:$K$518,0))="","—",INDEX(Database!$AH$5:$AH$518,MATCH(LARGE('Calc (scoring engine)'!$K$5:$K$518,15),'Calc (scoring engine)'!$K$5:$K$518,0))),""))</f>
        <v/>
      </c>
      <c r="AF35" s="10">
        <f>IF(OR(15&gt;MAX(3,MIN(15,N($D$18))),IFERROR(LARGE('Calc (scoring engine)'!$K$5:$K$518,15),-999999)&lt;=-900000),"",IFERROR(IF(INDEX(Database!$AI$5:$AI$518,MATCH(LARGE('Calc (scoring engine)'!$K$5:$K$518,15),'Calc (scoring engine)'!$K$5:$K$518,0))="","—",INDEX(Database!$AI$5:$AI$518,MATCH(LARGE('Calc (scoring engine)'!$K$5:$K$518,15),'Calc (scoring engine)'!$K$5:$K$518,0))),""))</f>
        <v/>
      </c>
      <c r="AG35" s="10">
        <f>IF(OR(15&gt;MAX(3,MIN(15,N($D$18))),IFERROR(LARGE('Calc (scoring engine)'!$K$5:$K$518,15),-999999)&lt;=-900000),"",IFERROR(IF(INDEX(Database!$AJ$5:$AJ$518,MATCH(LARGE('Calc (scoring engine)'!$K$5:$K$518,15),'Calc (scoring engine)'!$K$5:$K$518,0))="","—",INDEX(Database!$AJ$5:$AJ$518,MATCH(LARGE('Calc (scoring engine)'!$K$5:$K$518,15),'Calc (scoring engine)'!$K$5:$K$518,0))),""))</f>
        <v/>
      </c>
      <c r="AH35" s="23">
        <f>IF(OR(15&gt;MAX(3,MIN(15,N($D$18))),IFERROR(LARGE('Calc (scoring engine)'!$K$5:$K$518,15),-999999)&lt;=-900000),"",IFERROR(IF(INDEX(Database!$AK$5:$AK$518,MATCH(LARGE('Calc (scoring engine)'!$K$5:$K$518,15),'Calc (scoring engine)'!$K$5:$K$518,0))="","—",INDEX(Database!$AK$5:$AK$518,MATCH(LARGE('Calc (scoring engine)'!$K$5:$K$518,15),'Calc (scoring engine)'!$K$5:$K$518,0))),""))</f>
        <v/>
      </c>
      <c r="AI35" s="23">
        <f>IF(OR(15&gt;MAX(3,MIN(15,N($D$18))),IFERROR(LARGE('Calc (scoring engine)'!$K$5:$K$518,15),-999999)&lt;=-900000),"",IFERROR(IF(INDEX(Database!$AL$5:$AL$518,MATCH(LARGE('Calc (scoring engine)'!$K$5:$K$518,15),'Calc (scoring engine)'!$K$5:$K$518,0))="","—",INDEX(Database!$AL$5:$AL$518,MATCH(LARGE('Calc (scoring engine)'!$K$5:$K$518,15),'Calc (scoring engine)'!$K$5:$K$518,0))),""))</f>
        <v/>
      </c>
      <c r="AJ35" s="23">
        <f>IF(OR(15&gt;MAX(3,MIN(15,N($D$18))),IFERROR(LARGE('Calc (scoring engine)'!$K$5:$K$518,15),-999999)&lt;=-900000),"",IFERROR(IF(INDEX(Database!$AM$5:$AM$518,MATCH(LARGE('Calc (scoring engine)'!$K$5:$K$518,15),'Calc (scoring engine)'!$K$5:$K$518,0))="","—",INDEX(Database!$AM$5:$AM$518,MATCH(LARGE('Calc (scoring engine)'!$K$5:$K$518,15),'Calc (scoring engine)'!$K$5:$K$518,0))),""))</f>
        <v/>
      </c>
      <c r="AK35" s="23">
        <f>IF(OR(15&gt;MAX(3,MIN(15,N($D$18))),IFERROR(LARGE('Calc (scoring engine)'!$K$5:$K$518,15),-999999)&lt;=-900000),"",IFERROR(IF(INDEX(Database!$AN$5:$AN$518,MATCH(LARGE('Calc (scoring engine)'!$K$5:$K$518,15),'Calc (scoring engine)'!$K$5:$K$518,0))="","—",INDEX(Database!$AN$5:$AN$518,MATCH(LARGE('Calc (scoring engine)'!$K$5:$K$518,15),'Calc (scoring engine)'!$K$5:$K$518,0))),""))</f>
        <v/>
      </c>
      <c r="AL35" s="23">
        <f>IF(OR(15&gt;MAX(3,MIN(15,N($D$18))),IFERROR(LARGE('Calc (scoring engine)'!$K$5:$K$518,15),-999999)&lt;=-900000),"",IFERROR(IF(INDEX(Database!$AO$5:$AO$518,MATCH(LARGE('Calc (scoring engine)'!$K$5:$K$518,15),'Calc (scoring engine)'!$K$5:$K$518,0))="","—",INDEX(Database!$AO$5:$AO$518,MATCH(LARGE('Calc (scoring engine)'!$K$5:$K$518,15),'Calc (scoring engine)'!$K$5:$K$518,0))),""))</f>
        <v/>
      </c>
      <c r="AM35" s="23">
        <f>IF(OR(15&gt;MAX(3,MIN(15,N($D$18))),IFERROR(LARGE('Calc (scoring engine)'!$K$5:$K$518,15),-999999)&lt;=-900000),"",IFERROR(IF(INDEX(Database!$AP$5:$AP$518,MATCH(LARGE('Calc (scoring engine)'!$K$5:$K$518,15),'Calc (scoring engine)'!$K$5:$K$518,0))="","—",INDEX(Database!$AP$5:$AP$518,MATCH(LARGE('Calc (scoring engine)'!$K$5:$K$518,15),'Calc (scoring engine)'!$K$5:$K$518,0))),""))</f>
        <v/>
      </c>
      <c r="AN35" s="23">
        <f>IF(OR(15&gt;MAX(3,MIN(15,N($D$18))),IFERROR(LARGE('Calc (scoring engine)'!$K$5:$K$518,15),-999999)&lt;=-900000),"",IFERROR(IF(INDEX(Database!$AQ$5:$AQ$518,MATCH(LARGE('Calc (scoring engine)'!$K$5:$K$518,15),'Calc (scoring engine)'!$K$5:$K$518,0))="","—",INDEX(Database!$AQ$5:$AQ$518,MATCH(LARGE('Calc (scoring engine)'!$K$5:$K$518,15),'Calc (scoring engine)'!$K$5:$K$518,0))),""))</f>
        <v/>
      </c>
      <c r="AO35" s="23">
        <f>IF(OR(15&gt;MAX(3,MIN(15,N($D$18))),IFERROR(LARGE('Calc (scoring engine)'!$K$5:$K$518,15),-999999)&lt;=-900000),"",IFERROR(IF(INDEX(Database!$AR$5:$AR$518,MATCH(LARGE('Calc (scoring engine)'!$K$5:$K$518,15),'Calc (scoring engine)'!$K$5:$K$518,0))="","—",INDEX(Database!$AR$5:$AR$518,MATCH(LARGE('Calc (scoring engine)'!$K$5:$K$518,15),'Calc (scoring engine)'!$K$5:$K$518,0))),""))</f>
        <v/>
      </c>
      <c r="AP35" s="23">
        <f>IF(OR(15&gt;MAX(3,MIN(15,N($D$18))),IFERROR(LARGE('Calc (scoring engine)'!$K$5:$K$518,15),-999999)&lt;=-900000),"",IFERROR(IF(INDEX(Database!$AS$5:$AS$518,MATCH(LARGE('Calc (scoring engine)'!$K$5:$K$518,15),'Calc (scoring engine)'!$K$5:$K$518,0))="","—",INDEX(Database!$AS$5:$AS$518,MATCH(LARGE('Calc (scoring engine)'!$K$5:$K$518,15),'Calc (scoring engine)'!$K$5:$K$518,0))),""))</f>
        <v/>
      </c>
      <c r="AQ35" s="23">
        <f>IF(OR(15&gt;MAX(3,MIN(15,N($D$18))),IFERROR(LARGE('Calc (scoring engine)'!$K$5:$K$518,15),-999999)&lt;=-900000),"",IFERROR(IF(INDEX(Database!$AT$5:$AT$518,MATCH(LARGE('Calc (scoring engine)'!$K$5:$K$518,15),'Calc (scoring engine)'!$K$5:$K$518,0))="","—",INDEX(Database!$AT$5:$AT$518,MATCH(LARGE('Calc (scoring engine)'!$K$5:$K$518,15),'Calc (scoring engine)'!$K$5:$K$518,0))),""))</f>
        <v/>
      </c>
      <c r="AR35" s="23">
        <f>IF(OR(15&gt;MAX(3,MIN(15,N($D$18))),IFERROR(LARGE('Calc (scoring engine)'!$K$5:$K$518,15),-999999)&lt;=-900000),"",IFERROR(IF(INDEX(Database!$AU$5:$AU$518,MATCH(LARGE('Calc (scoring engine)'!$K$5:$K$518,15),'Calc (scoring engine)'!$K$5:$K$518,0))="","—",INDEX(Database!$AU$5:$AU$518,MATCH(LARGE('Calc (scoring engine)'!$K$5:$K$518,15),'Calc (scoring engine)'!$K$5:$K$518,0))),""))</f>
        <v/>
      </c>
      <c r="AS35" s="23">
        <f>IF(OR(15&gt;MAX(3,MIN(15,N($D$18))),IFERROR(LARGE('Calc (scoring engine)'!$K$5:$K$518,15),-999999)&lt;=-900000),"",IFERROR(IF(INDEX(Database!$AV$5:$AV$518,MATCH(LARGE('Calc (scoring engine)'!$K$5:$K$518,15),'Calc (scoring engine)'!$K$5:$K$518,0))="","—",INDEX(Database!$AV$5:$AV$518,MATCH(LARGE('Calc (scoring engine)'!$K$5:$K$518,15),'Calc (scoring engine)'!$K$5:$K$518,0))),""))</f>
        <v/>
      </c>
      <c r="AT35" s="23">
        <f>IF(OR(15&gt;MAX(3,MIN(15,N($D$18))),IFERROR(LARGE('Calc (scoring engine)'!$K$5:$K$518,15),-999999)&lt;=-900000),"",IFERROR(IF(INDEX(Database!$AW$5:$AW$518,MATCH(LARGE('Calc (scoring engine)'!$K$5:$K$518,15),'Calc (scoring engine)'!$K$5:$K$518,0))="","—",INDEX(Database!$AW$5:$AW$518,MATCH(LARGE('Calc (scoring engine)'!$K$5:$K$518,15),'Calc (scoring engine)'!$K$5:$K$518,0))),""))</f>
        <v/>
      </c>
      <c r="AU35" s="23">
        <f>IF(OR(15&gt;MAX(3,MIN(15,N($D$18))),IFERROR(LARGE('Calc (scoring engine)'!$K$5:$K$518,15),-999999)&lt;=-900000),"",IFERROR(IF(INDEX(Database!$AX$5:$AX$518,MATCH(LARGE('Calc (scoring engine)'!$K$5:$K$518,15),'Calc (scoring engine)'!$K$5:$K$518,0))="","—",INDEX(Database!$AX$5:$AX$518,MATCH(LARGE('Calc (scoring engine)'!$K$5:$K$518,15),'Calc (scoring engine)'!$K$5:$K$518,0))),""))</f>
        <v/>
      </c>
      <c r="AV35" s="23">
        <f>IF(OR(15&gt;MAX(3,MIN(15,N($D$18))),IFERROR(LARGE('Calc (scoring engine)'!$K$5:$K$518,15),-999999)&lt;=-900000),"",IFERROR(IF(INDEX(Database!$AY$5:$AY$518,MATCH(LARGE('Calc (scoring engine)'!$K$5:$K$518,15),'Calc (scoring engine)'!$K$5:$K$518,0))="","—",INDEX(Database!$AY$5:$AY$518,MATCH(LARGE('Calc (scoring engine)'!$K$5:$K$518,15),'Calc (scoring engine)'!$K$5:$K$518,0))),""))</f>
        <v/>
      </c>
      <c r="AW35" s="23">
        <f>IF(OR(15&gt;MAX(3,MIN(15,N($D$18))),IFERROR(LARGE('Calc (scoring engine)'!$K$5:$K$518,15),-999999)&lt;=-900000),"",IFERROR(IF(INDEX(Database!$BA$5:$BA$518,MATCH(LARGE('Calc (scoring engine)'!$K$5:$K$518,15),'Calc (scoring engine)'!$K$5:$K$518,0))="","—",INDEX(Database!$BA$5:$BA$518,MATCH(LARGE('Calc (scoring engine)'!$K$5:$K$518,15),'Calc (scoring engine)'!$K$5:$K$518,0))),""))</f>
        <v/>
      </c>
      <c r="AX35" s="18">
        <f>IF(OR(15&gt;MAX(3,MIN(15,N($D$18))),IFERROR(LARGE('Calc (scoring engine)'!$K$5:$K$518,15),-999999)&lt;=-900000),"",IFERROR(IF(INDEX(Database!$BC$5:$BC$518,MATCH(LARGE('Calc (scoring engine)'!$K$5:$K$518,15),'Calc (scoring engine)'!$K$5:$K$518,0))="","—",INDEX(Database!$BC$5:$BC$518,MATCH(LARGE('Calc (scoring engine)'!$K$5:$K$518,15),'Calc (scoring engine)'!$K$5:$K$518,0))),""))</f>
        <v/>
      </c>
      <c r="AY35" s="18">
        <f>IF(OR(15&gt;MAX(3,MIN(15,N($D$18))),IFERROR(LARGE('Calc (scoring engine)'!$K$5:$K$518,15),-999999)&lt;=-900000),"",IFERROR(IF(INDEX(Database!$BD$5:$BD$518,MATCH(LARGE('Calc (scoring engine)'!$K$5:$K$518,15),'Calc (scoring engine)'!$K$5:$K$518,0))="","—",INDEX(Database!$BD$5:$BD$518,MATCH(LARGE('Calc (scoring engine)'!$K$5:$K$518,15),'Calc (scoring engine)'!$K$5:$K$518,0))),""))</f>
        <v/>
      </c>
      <c r="AZ35" s="10">
        <f>IF(OR(15&gt;MAX(3,MIN(15,N($D$18))),IFERROR(LARGE('Calc (scoring engine)'!$K$5:$K$518,15),-999999)&lt;=-900000),"",IFERROR(IF(INDEX(Database!$BE$5:$BE$518,MATCH(LARGE('Calc (scoring engine)'!$K$5:$K$518,15),'Calc (scoring engine)'!$K$5:$K$518,0))="","—",INDEX(Database!$BE$5:$BE$518,MATCH(LARGE('Calc (scoring engine)'!$K$5:$K$518,15),'Calc (scoring engine)'!$K$5:$K$518,0))),""))</f>
        <v/>
      </c>
      <c r="BA35" s="24">
        <f>IF(OR(15&gt;MAX(3,MIN(15,N($D$18))),IFERROR(LARGE('Calc (scoring engine)'!$K$5:$K$518,15),-999999)&lt;=-900000),"",IFERROR(IF(N(INDEX(Database!$BF$5:$BF$518,MATCH(LARGE('Calc (scoring engine)'!$K$5:$K$518,15),'Calc (scoring engine)'!$K$5:$K$518,0)))&lt;=0,IF(INDEX(Database!$BE$5:$BE$518,MATCH(LARGE('Calc (scoring engine)'!$K$5:$K$518,15),'Calc (scoring engine)'!$K$5:$K$518,0))="N","n/m","—"),INDEX(Database!$BF$5:$BF$518,MATCH(LARGE('Calc (scoring engine)'!$K$5:$K$518,15),'Calc (scoring engine)'!$K$5:$K$518,0))),""))</f>
        <v/>
      </c>
      <c r="BB35" s="24">
        <f>IF(OR(15&gt;MAX(3,MIN(15,N($D$18))),IFERROR(LARGE('Calc (scoring engine)'!$K$5:$K$518,15),-999999)&lt;=-900000),"",IFERROR(IF(INDEX(Database!$BG$5:$BG$518,MATCH(LARGE('Calc (scoring engine)'!$K$5:$K$518,15),'Calc (scoring engine)'!$K$5:$K$518,0))="","—",INDEX(Database!$BG$5:$BG$518,MATCH(LARGE('Calc (scoring engine)'!$K$5:$K$518,15),'Calc (scoring engine)'!$K$5:$K$518,0))),""))</f>
        <v/>
      </c>
      <c r="BC35" s="24">
        <f>IF(OR(15&gt;MAX(3,MIN(15,N($D$18))),IFERROR(LARGE('Calc (scoring engine)'!$K$5:$K$518,15),-999999)&lt;=-900000),"",IFERROR(IF(INDEX(Database!$BH$5:$BH$518,MATCH(LARGE('Calc (scoring engine)'!$K$5:$K$518,15),'Calc (scoring engine)'!$K$5:$K$518,0))="","—",INDEX(Database!$BH$5:$BH$518,MATCH(LARGE('Calc (scoring engine)'!$K$5:$K$518,15),'Calc (scoring engine)'!$K$5:$K$518,0))),""))</f>
        <v/>
      </c>
      <c r="BD35" s="24">
        <f>IF(OR(15&gt;MAX(3,MIN(15,N($D$18))),IFERROR(LARGE('Calc (scoring engine)'!$K$5:$K$518,15),-999999)&lt;=-900000),"",IFERROR(IF(INDEX(Database!$BI$5:$BI$518,MATCH(LARGE('Calc (scoring engine)'!$K$5:$K$518,15),'Calc (scoring engine)'!$K$5:$K$518,0))="","—",INDEX(Database!$BI$5:$BI$518,MATCH(LARGE('Calc (scoring engine)'!$K$5:$K$518,15),'Calc (scoring engine)'!$K$5:$K$518,0))),""))</f>
        <v/>
      </c>
      <c r="BE35" s="24">
        <f>IF(OR(15&gt;MAX(3,MIN(15,N($D$18))),IFERROR(LARGE('Calc (scoring engine)'!$K$5:$K$518,15),-999999)&lt;=-900000),"",IFERROR(IF(INDEX(Database!$BJ$5:$BJ$518,MATCH(LARGE('Calc (scoring engine)'!$K$5:$K$518,15),'Calc (scoring engine)'!$K$5:$K$518,0))="","—",INDEX(Database!$BJ$5:$BJ$518,MATCH(LARGE('Calc (scoring engine)'!$K$5:$K$518,15),'Calc (scoring engine)'!$K$5:$K$518,0))),""))</f>
        <v/>
      </c>
      <c r="BF35" s="24">
        <f>IF(OR(15&gt;MAX(3,MIN(15,N($D$18))),IFERROR(LARGE('Calc (scoring engine)'!$K$5:$K$518,15),-999999)&lt;=-900000),"",IFERROR(IFERROR(BDP(TEXT(INDEX(Database!$A$5:$A$518,MATCH(LARGE('Calc (scoring engine)'!$K$5:$K$518,15),'Calc (scoring engine)'!$K$5:$K$518,0)),"0")&amp;" HK Equity","PE_RATIO"),IF(INDEX(Database!$BH$5:$BH$518,MATCH(LARGE('Calc (scoring engine)'!$K$5:$K$518,15),'Calc (scoring engine)'!$K$5:$K$518,0))="","—",INDEX(Database!$BH$5:$BH$518,MATCH(LARGE('Calc (scoring engine)'!$K$5:$K$518,15),'Calc (scoring engine)'!$K$5:$K$518,0)))),""))</f>
        <v/>
      </c>
      <c r="BG35" s="24">
        <f>IF(OR(15&gt;MAX(3,MIN(15,N($D$18))),IFERROR(LARGE('Calc (scoring engine)'!$K$5:$K$518,15),-999999)&lt;=-900000),"",IFERROR(IFERROR(BDP(TEXT(INDEX(Database!$A$5:$A$518,MATCH(LARGE('Calc (scoring engine)'!$K$5:$K$518,15),'Calc (scoring engine)'!$K$5:$K$518,0)),"0")&amp;" HK Equity","PX_TO_SALES_RATIO"),IF(INDEX(Database!$BI$5:$BI$518,MATCH(LARGE('Calc (scoring engine)'!$K$5:$K$518,15),'Calc (scoring engine)'!$K$5:$K$518,0))="","—",INDEX(Database!$BI$5:$BI$518,MATCH(LARGE('Calc (scoring engine)'!$K$5:$K$518,15),'Calc (scoring engine)'!$K$5:$K$518,0)))),""))</f>
        <v/>
      </c>
      <c r="BH35" s="10">
        <f>IF(OR(15&gt;MAX(3,MIN(15,N($D$18))),IFERROR(LARGE('Calc (scoring engine)'!$K$5:$K$518,15),-999999)&lt;=-900000),"",IFERROR(IF(INDEX(Database!$BK$5:$BK$518,MATCH(LARGE('Calc (scoring engine)'!$K$5:$K$518,15),'Calc (scoring engine)'!$K$5:$K$518,0))="","—",INDEX(Database!$BK$5:$BK$518,MATCH(LARGE('Calc (scoring engine)'!$K$5:$K$518,15),'Calc (scoring engine)'!$K$5:$K$518,0))),""))</f>
        <v/>
      </c>
      <c r="BI35" s="10">
        <f>IF(OR(15&gt;MAX(3,MIN(15,N($D$18))),IFERROR(LARGE('Calc (scoring engine)'!$K$5:$K$518,15),-999999)&lt;=-900000),"",IFERROR(IF(INDEX(Database!$BL$5:$BL$518,MATCH(LARGE('Calc (scoring engine)'!$K$5:$K$518,15),'Calc (scoring engine)'!$K$5:$K$518,0))="","—",INDEX(Database!$BL$5:$BL$518,MATCH(LARGE('Calc (scoring engine)'!$K$5:$K$518,15),'Calc (scoring engine)'!$K$5:$K$518,0))),""))</f>
        <v/>
      </c>
      <c r="BJ35" s="23">
        <f>IF(OR(15&gt;MAX(3,MIN(15,N($D$18))),IFERROR(LARGE('Calc (scoring engine)'!$K$5:$K$518,15),-999999)&lt;=-900000),"",IFERROR(IF(INDEX(Database!$BM$5:$BM$518,MATCH(LARGE('Calc (scoring engine)'!$K$5:$K$518,15),'Calc (scoring engine)'!$K$5:$K$518,0))="","—",INDEX(Database!$BM$5:$BM$518,MATCH(LARGE('Calc (scoring engine)'!$K$5:$K$518,15),'Calc (scoring engine)'!$K$5:$K$518,0))),""))</f>
        <v/>
      </c>
      <c r="BK35" s="40">
        <f>IF(OR(15&gt;MAX(3,MIN(15,N($D$18))),IFERROR(LARGE('Calc (scoring engine)'!$K$5:$K$518,15),-999999)&lt;=-900000),"",IFERROR(IF(INDEX(Database!$BN$5:$BN$518,MATCH(LARGE('Calc (scoring engine)'!$K$5:$K$518,15),'Calc (scoring engine)'!$K$5:$K$518,0))="","—",INDEX(Database!$BN$5:$BN$518,MATCH(LARGE('Calc (scoring engine)'!$K$5:$K$518,15),'Calc (scoring engine)'!$K$5:$K$518,0))),""))</f>
        <v/>
      </c>
      <c r="BL35" s="43">
        <f>IF(OR(15&gt;MAX(3,MIN(15,N($D$18))),IFERROR(LARGE('Calc (scoring engine)'!$K$5:$K$518,15),-999999)&lt;=-900000),"",IFERROR(IF(INDEX(Database!$BO$5:$BO$518,MATCH(LARGE('Calc (scoring engine)'!$K$5:$K$518,15),'Calc (scoring engine)'!$K$5:$K$518,0))="","—",INDEX(Database!$BO$5:$BO$518,MATCH(LARGE('Calc (scoring engine)'!$K$5:$K$518,15),'Calc (scoring engine)'!$K$5:$K$518,0))),""))</f>
        <v/>
      </c>
      <c r="BM35" s="18">
        <f>IF(OR(15&gt;MAX(3,MIN(15,N($D$18))),IFERROR(LARGE('Calc (scoring engine)'!$K$5:$K$518,15),-999999)&lt;=-900000),"",IFERROR(IF(INDEX(Database!$BP$5:$BP$518,MATCH(LARGE('Calc (scoring engine)'!$K$5:$K$518,15),'Calc (scoring engine)'!$K$5:$K$518,0))="","—",INDEX(Database!$BP$5:$BP$518,MATCH(LARGE('Calc (scoring engine)'!$K$5:$K$518,15),'Calc (scoring engine)'!$K$5:$K$518,0))),""))</f>
        <v/>
      </c>
      <c r="BN35" s="24">
        <f>IF(OR(15&gt;MAX(3,MIN(15,N($D$18))),IFERROR(LARGE('Calc (scoring engine)'!$K$5:$K$518,15),-999999)&lt;=-900000),"",IFERROR(IF(INDEX(Database!$BQ$5:$BQ$518,MATCH(LARGE('Calc (scoring engine)'!$K$5:$K$518,15),'Calc (scoring engine)'!$K$5:$K$518,0))="","—",INDEX(Database!$BQ$5:$BQ$518,MATCH(LARGE('Calc (scoring engine)'!$K$5:$K$518,15),'Calc (scoring engine)'!$K$5:$K$518,0))),""))</f>
        <v/>
      </c>
      <c r="BO35" s="24">
        <f>IF(OR(15&gt;MAX(3,MIN(15,N($D$18))),IFERROR(LARGE('Calc (scoring engine)'!$K$5:$K$518,15),-999999)&lt;=-900000),"",IFERROR(IF(INDEX(Database!$BR$5:$BR$518,MATCH(LARGE('Calc (scoring engine)'!$K$5:$K$518,15),'Calc (scoring engine)'!$K$5:$K$518,0))="","—",INDEX(Database!$BR$5:$BR$518,MATCH(LARGE('Calc (scoring engine)'!$K$5:$K$518,15),'Calc (scoring engine)'!$K$5:$K$518,0))),""))</f>
        <v/>
      </c>
      <c r="BP35" s="10">
        <f>IF(OR(15&gt;MAX(3,MIN(15,N($D$18))),IFERROR(LARGE('Calc (scoring engine)'!$K$5:$K$518,15),-999999)&lt;=-900000),"",IFERROR(IF(INDEX(Database!$BS$5:$BS$518,MATCH(LARGE('Calc (scoring engine)'!$K$5:$K$518,15),'Calc (scoring engine)'!$K$5:$K$518,0))="","—",INDEX(Database!$BS$5:$BS$518,MATCH(LARGE('Calc (scoring engine)'!$K$5:$K$518,15),'Calc (scoring engine)'!$K$5:$K$518,0))),""))</f>
        <v/>
      </c>
      <c r="BQ35" s="10">
        <f>IF(OR(15&gt;MAX(3,MIN(15,N($D$18))),IFERROR(LARGE('Calc (scoring engine)'!$K$5:$K$518,15),-999999)&lt;=-900000),"",IFERROR(IF(INDEX(Database!$BU$5:$BU$518,MATCH(LARGE('Calc (scoring engine)'!$K$5:$K$518,15),'Calc (scoring engine)'!$K$5:$K$518,0))="","—",INDEX(Database!$BU$5:$BU$518,MATCH(LARGE('Calc (scoring engine)'!$K$5:$K$518,15),'Calc (scoring engine)'!$K$5:$K$518,0))),""))</f>
        <v/>
      </c>
      <c r="BR35" s="44">
        <f>IF(OR(15&gt;MAX(3,MIN(15,N($D$18))),IFERROR(LARGE('Calc (scoring engine)'!$K$5:$K$518,15),-999999)&lt;=-900000),"",IFERROR(IF(INDEX('Calc (scoring engine)'!$H$5:$H$518,MATCH(LARGE('Calc (scoring engine)'!$K$5:$K$518,15),'Calc (scoring engine)'!$K$5:$K$518,0))&gt;0,INDEX('Calc (scoring engine)'!$H$5:$H$518,MATCH(LARGE('Calc (scoring engine)'!$K$5:$K$518,15),'Calc (scoring engine)'!$K$5:$K$518,0)),""),""))</f>
        <v/>
      </c>
      <c r="BS35" s="10">
        <f>IF(OR(15&gt;MAX(3,MIN(15,N($D$18))),IFERROR(LARGE('Calc (scoring engine)'!$K$5:$K$518,15),-999999)&lt;=-900000),"",IF(IFERROR(INDEX('Calc (scoring engine)'!$B$5:$B$518,MATCH(LARGE('Calc (scoring engine)'!$K$5:$K$518,15),'Calc (scoring engine)'!$K$5:$K$518,0)),0)=1,"same subsector","sector only"))</f>
        <v/>
      </c>
      <c r="BT35" s="44">
        <f>IF(OR(15&gt;MAX(3,MIN(15,N($D$18))),IFERROR(LARGE('Calc (scoring engine)'!$K$5:$K$518,15),-999999)&lt;=-900000),"",ROUND(IFERROR(LARGE('Calc (scoring engine)'!$K$5:$K$518,15),0),0))</f>
        <v/>
      </c>
      <c r="BU35" s="10">
        <f>IF(OR(15&gt;MAX(3,MIN(15,N($D$18))),IFERROR(LARGE('Calc (scoring engine)'!$K$5:$K$518,15),-999999)&lt;=-900000),"",IFERROR("sub "&amp;INDEX('Calc (scoring engine)'!$B$5:$B$518,MATCH(LARGE('Calc (scoring engine)'!$K$5:$K$518,15),'Calc (scoring engine)'!$K$5:$K$518,0))*W_SUB&amp;" + size "&amp;ROUND(INDEX('Calc (scoring engine)'!$D$5:$D$518,MATCH(LARGE('Calc (scoring engine)'!$K$5:$K$518,15),'Calc (scoring engine)'!$K$5:$K$518,0))*W_SIZE,0)&amp;" + prof "&amp;INDEX('Calc (scoring engine)'!$E$5:$E$518,MATCH(LARGE('Calc (scoring engine)'!$K$5:$K$518,15),'Calc (scoring engine)'!$K$5:$K$518,0))*W_PROF&amp;" + recency "&amp;ROUND(INDEX('Calc (scoring engine)'!$G$5:$G$518,MATCH(LARGE('Calc (scoring engine)'!$K$5:$K$518,15),'Calc (scoring engine)'!$K$5:$K$518,0))*W_REC,0)&amp;IF(INDEX('Calc (scoring engine)'!$H$5:$H$518,MATCH(LARGE('Calc (scoring engine)'!$K$5:$K$518,15),'Calc (scoring engine)'!$K$5:$K$518,0))&gt;0," + shared CS x"&amp;INDEX('Calc (scoring engine)'!$H$5:$H$518,MATCH(LARGE('Calc (scoring engine)'!$K$5:$K$518,15),'Calc (scoring engine)'!$K$5:$K$518,0)),""),""))</f>
        <v/>
      </c>
    </row>
    <row r="36"/>
    <row r="37">
      <c r="A37" s="45" t="inlineStr">
        <is>
          <t>MEDIAN of shown comps</t>
        </is>
      </c>
      <c r="I37" s="18">
        <f>IFERROR(MEDIAN(I21:I35),"")</f>
        <v/>
      </c>
      <c r="J37" s="40">
        <f>IFERROR(MEDIAN(J21:J35),"")</f>
        <v/>
      </c>
      <c r="K37" s="40">
        <f>IFERROR(MEDIAN(K21:K35),"")</f>
        <v/>
      </c>
      <c r="L37" s="40">
        <f>IFERROR(MEDIAN(L21:L35),"")</f>
        <v/>
      </c>
      <c r="N37" s="28">
        <f>IFERROR(MEDIAN(N21:N35),"")</f>
        <v/>
      </c>
      <c r="O37" s="28">
        <f>IFERROR(MEDIAN(O21:O35),"")</f>
        <v/>
      </c>
      <c r="P37" s="18">
        <f>IFERROR(MEDIAN(P21:P35),"")</f>
        <v/>
      </c>
      <c r="Q37" s="26">
        <f>IFERROR(MEDIAN(Q21:Q35),"")</f>
        <v/>
      </c>
      <c r="R37" s="41">
        <f>IFERROR(MEDIAN(R21:R35),"")</f>
        <v/>
      </c>
      <c r="S37" s="42">
        <f>IFERROR(MEDIAN(S21:S35),"")</f>
        <v/>
      </c>
      <c r="T37" s="18">
        <f>IFERROR(MEDIAN(T21:T35),"")</f>
        <v/>
      </c>
      <c r="U37" s="18">
        <f>IFERROR(MEDIAN(U21:U35),"")</f>
        <v/>
      </c>
      <c r="V37" s="28">
        <f>IFERROR(MEDIAN(V21:V35),"")</f>
        <v/>
      </c>
      <c r="X37" s="28">
        <f>IFERROR(MEDIAN(X21:X35),"")</f>
        <v/>
      </c>
      <c r="Y37" s="23">
        <f>IFERROR(MEDIAN(Y21:Y35),"")</f>
        <v/>
      </c>
      <c r="Z37" s="40">
        <f>IFERROR(MEDIAN(Z21:Z35),"")</f>
        <v/>
      </c>
      <c r="AA37" s="23">
        <f>IFERROR(MEDIAN(AA21:AA35),"")</f>
        <v/>
      </c>
      <c r="AH37" s="23">
        <f>IFERROR(MEDIAN(AH21:AH35),"")</f>
        <v/>
      </c>
      <c r="AI37" s="23">
        <f>IFERROR(MEDIAN(AI21:AI35),"")</f>
        <v/>
      </c>
      <c r="AJ37" s="23">
        <f>IFERROR(MEDIAN(AJ21:AJ35),"")</f>
        <v/>
      </c>
      <c r="AK37" s="23">
        <f>IFERROR(MEDIAN(AK21:AK35),"")</f>
        <v/>
      </c>
      <c r="AL37" s="23">
        <f>IFERROR(MEDIAN(AL21:AL35),"")</f>
        <v/>
      </c>
      <c r="AM37" s="23">
        <f>IFERROR(MEDIAN(AM21:AM35),"")</f>
        <v/>
      </c>
      <c r="AN37" s="23">
        <f>IFERROR(MEDIAN(AN21:AN35),"")</f>
        <v/>
      </c>
      <c r="AO37" s="23">
        <f>IFERROR(MEDIAN(AO21:AO35),"")</f>
        <v/>
      </c>
      <c r="AP37" s="23">
        <f>IFERROR(MEDIAN(AP21:AP35),"")</f>
        <v/>
      </c>
      <c r="AQ37" s="23">
        <f>IFERROR(MEDIAN(AQ21:AQ35),"")</f>
        <v/>
      </c>
      <c r="AR37" s="23">
        <f>IFERROR(MEDIAN(AR21:AR35),"")</f>
        <v/>
      </c>
      <c r="AS37" s="23">
        <f>IFERROR(MEDIAN(AS21:AS35),"")</f>
        <v/>
      </c>
      <c r="AT37" s="23">
        <f>IFERROR(MEDIAN(AT21:AT35),"")</f>
        <v/>
      </c>
      <c r="AU37" s="23">
        <f>IFERROR(MEDIAN(AU21:AU35),"")</f>
        <v/>
      </c>
      <c r="AV37" s="23">
        <f>IFERROR(MEDIAN(AV21:AV35),"")</f>
        <v/>
      </c>
      <c r="AW37" s="23">
        <f>IFERROR(MEDIAN(AW21:AW35),"")</f>
        <v/>
      </c>
      <c r="AX37" s="18">
        <f>IFERROR(MEDIAN(AX21:AX35),"")</f>
        <v/>
      </c>
      <c r="AY37" s="18">
        <f>IFERROR(MEDIAN(AY21:AY35),"")</f>
        <v/>
      </c>
      <c r="BA37" s="24">
        <f>IFERROR(MEDIAN(BA21:BA35),"")</f>
        <v/>
      </c>
      <c r="BB37" s="24">
        <f>IFERROR(MEDIAN(BB21:BB35),"")</f>
        <v/>
      </c>
      <c r="BC37" s="24">
        <f>IFERROR(MEDIAN(BC21:BC35),"")</f>
        <v/>
      </c>
      <c r="BD37" s="24">
        <f>IFERROR(MEDIAN(BD21:BD35),"")</f>
        <v/>
      </c>
      <c r="BE37" s="24">
        <f>IFERROR(MEDIAN(BE21:BE35),"")</f>
        <v/>
      </c>
      <c r="BF37" s="24">
        <f>IFERROR(MEDIAN(BF21:BF35),"")</f>
        <v/>
      </c>
      <c r="BG37" s="24">
        <f>IFERROR(MEDIAN(BG21:BG35),"")</f>
        <v/>
      </c>
      <c r="BJ37" s="23">
        <f>IFERROR(MEDIAN(BJ21:BJ35),"")</f>
        <v/>
      </c>
      <c r="BK37" s="40">
        <f>IFERROR(MEDIAN(BK21:BK35),"")</f>
        <v/>
      </c>
      <c r="BL37" s="43">
        <f>IFERROR(MEDIAN(BL21:BL35),"")</f>
        <v/>
      </c>
      <c r="BM37" s="18">
        <f>IFERROR(MEDIAN(BM21:BM35),"")</f>
        <v/>
      </c>
      <c r="BN37" s="24">
        <f>IFERROR(MEDIAN(BN21:BN35),"")</f>
        <v/>
      </c>
      <c r="BO37" s="24">
        <f>IFERROR(MEDIAN(BO21:BO35),"")</f>
        <v/>
      </c>
    </row>
    <row r="38">
      <c r="A38" s="2" t="inlineStr">
        <is>
          <t>P/E shows n/m for loss-makers (use P/S). P/E now + P/S now = live BDP on the terminal, else the desk's pasted Bloomberg value. A-premium = A over H (+ = A trades above H). Ex-pop columns start at the day-1 close. A/H columns show N/A when the issuer has no A line; '—' = not on file. Shared CS = cornerstone investors in common with the target.</t>
        </is>
      </c>
    </row>
    <row r="39"/>
    <row r="40">
      <c r="A40" s="14" t="inlineStr">
        <is>
          <t>TARGET vs CLOSEST COMP</t>
        </is>
      </c>
    </row>
    <row r="41">
      <c r="B41" s="12" t="inlineStr">
        <is>
          <t>Target</t>
        </is>
      </c>
      <c r="C41" s="12" t="inlineStr">
        <is>
          <t>Comp #1</t>
        </is>
      </c>
      <c r="D41" s="12" t="inlineStr">
        <is>
          <t>Median of shown</t>
        </is>
      </c>
    </row>
    <row r="42">
      <c r="A42" s="16" t="inlineStr">
        <is>
          <t>Name</t>
        </is>
      </c>
      <c r="B42" s="10">
        <f>$B$5</f>
        <v/>
      </c>
      <c r="C42" s="10">
        <f>IFERROR($B$21,"")</f>
        <v/>
      </c>
    </row>
    <row r="43">
      <c r="A43" s="16" t="inlineStr">
        <is>
          <t>Subsector</t>
        </is>
      </c>
      <c r="B43" s="10">
        <f>$D$8</f>
        <v/>
      </c>
      <c r="C43" s="10">
        <f>IFERROR($E$21,"")</f>
        <v/>
      </c>
    </row>
    <row r="44">
      <c r="A44" s="16" t="inlineStr">
        <is>
          <t>Size HK$m</t>
        </is>
      </c>
      <c r="B44" s="10">
        <f>$D$9</f>
        <v/>
      </c>
      <c r="C44" s="10">
        <f>IFERROR($I$21,"")</f>
        <v/>
      </c>
      <c r="D44" s="10">
        <f>IFERROR($I$37,"")</f>
        <v/>
      </c>
    </row>
    <row r="45">
      <c r="A45" s="16" t="inlineStr">
        <is>
          <t>P/E (x)</t>
        </is>
      </c>
      <c r="B45" s="10">
        <f>"—"</f>
        <v/>
      </c>
      <c r="C45" s="10">
        <f>IFERROR($BA$21,"")</f>
        <v/>
      </c>
      <c r="D45" s="10">
        <f>IFERROR($BA$37,"")</f>
        <v/>
      </c>
    </row>
    <row r="46">
      <c r="A46" s="16" t="inlineStr">
        <is>
          <t>Public sub (x)</t>
        </is>
      </c>
      <c r="B46" s="10">
        <f>"—"</f>
        <v/>
      </c>
      <c r="C46" s="10">
        <f>IFERROR($Q$21,"")</f>
        <v/>
      </c>
      <c r="D46" s="10">
        <f>IFERROR($Q$37,"")</f>
        <v/>
      </c>
    </row>
    <row r="47">
      <c r="A47" s="16" t="inlineStr">
        <is>
          <t>Day-1</t>
        </is>
      </c>
      <c r="B47" s="10">
        <f>"—"</f>
        <v/>
      </c>
      <c r="C47" s="10">
        <f>IFERROR($AH$21,"")</f>
        <v/>
      </c>
      <c r="D47" s="10">
        <f>IFERROR($AH$37,"")</f>
        <v/>
      </c>
    </row>
    <row r="48">
      <c r="A48" s="16" t="inlineStr">
        <is>
          <t>1-month</t>
        </is>
      </c>
      <c r="B48" s="10">
        <f>"—"</f>
        <v/>
      </c>
      <c r="C48" s="10">
        <f>IFERROR($AL$21,"")</f>
        <v/>
      </c>
      <c r="D48" s="10">
        <f>IFERROR($AL$37,"")</f>
        <v/>
      </c>
    </row>
    <row r="49">
      <c r="A49" s="16" t="inlineStr">
        <is>
          <t>3-month</t>
        </is>
      </c>
      <c r="B49" s="10">
        <f>"—"</f>
        <v/>
      </c>
      <c r="C49" s="10">
        <f>IFERROR($AM$21,"")</f>
        <v/>
      </c>
      <c r="D49" s="10">
        <f>IFERROR($AM$37,"")</f>
        <v/>
      </c>
    </row>
    <row r="50"/>
    <row r="51"/>
    <row r="52">
      <c r="A52" s="14" t="inlineStr">
        <is>
          <t>A-SHARE LIVE PANEL — live BDP on the terminal, scraped quote off it</t>
        </is>
      </c>
      <c r="F52" s="14" t="inlineStr">
        <is>
          <t>A-SHARE, LAST MONTH — live Bloomberg (fills on the terminal)</t>
        </is>
      </c>
    </row>
    <row r="53">
      <c r="A53" s="16" t="inlineStr">
        <is>
          <t>A price now (CNY)</t>
        </is>
      </c>
      <c r="B53" s="41">
        <f>IF($F$54="","no A line",IFERROR(BDP($F$54,"PX_LAST"),IFERROR(INDEX(Pipeline!$T$6:$T$17,MATCH($B$5,Pipeline!$B$6:$B$17,0)),"run on terminal")))</f>
        <v/>
      </c>
      <c r="F53" s="10">
        <f>IFERROR(INDEX(Database!$BL$5:$BL$518,MATCH($B$5,Database!$B$5:$B$518,0)),IFERROR(INDEX(Pipeline!$S$6:$S$17,MATCH($B$5,Pipeline!$B$6:$B$17,0)),""))</f>
        <v/>
      </c>
      <c r="G53" s="2" t="inlineStr">
        <is>
          <t>← A-share code of the pick — Database first, then the Pipeline tab (so an offering-window deal resolves too)</t>
        </is>
      </c>
    </row>
    <row r="54">
      <c r="A54" s="16" t="inlineStr">
        <is>
          <t>CNY→HKD</t>
        </is>
      </c>
      <c r="B54" s="46">
        <f>IFERROR(BDP("CNYHKD Curncy","PX_LAST"),1.10)</f>
        <v/>
      </c>
      <c r="F54" s="10">
        <f>IFERROR(IF(F53="","",LEFT(F53,FIND(".",F53)-1)&amp;" CH Equity"),"")</f>
        <v/>
      </c>
    </row>
    <row r="55">
      <c r="A55" s="16" t="inlineStr">
        <is>
          <t>A price (HK$)</t>
        </is>
      </c>
      <c r="B55" s="41">
        <f>IF(OR(NOT(ISNUMBER(A_PX)),N(A_FX)&lt;=0),"n/a",A_PX*A_FX)</f>
        <v/>
      </c>
      <c r="F55" s="12" t="inlineStr">
        <is>
          <t>Date</t>
        </is>
      </c>
      <c r="G55" s="12" t="inlineStr">
        <is>
          <t>Close (CNY)</t>
        </is>
      </c>
    </row>
    <row r="56">
      <c r="A56" s="16" t="inlineStr">
        <is>
          <t>A P/E (TTM)</t>
        </is>
      </c>
      <c r="B56" s="24">
        <f>IF($F$54="","n/a",IFERROR(BDP($F$54,"PE_RATIO"),IFERROR(INDEX(Pipeline!$U$6:$U$17,MATCH($B$5,Pipeline!$B$6:$B$17,0)),"run on terminal")))</f>
        <v/>
      </c>
      <c r="F56" s="10">
        <f>IF($F$54="","no A-share for this pick",BDH($F$54,"PX_LAST",TEXT(TODAY()-31,"yyyymmdd"),TEXT(TODAY(),"yyyymmdd")))</f>
        <v/>
      </c>
    </row>
    <row r="57">
      <c r="A57" s="16" t="inlineStr">
        <is>
          <t>H offer / cap (HK$)</t>
        </is>
      </c>
      <c r="B57" s="41">
        <f>IFERROR(INDEX(Database!$M$5:$M$518,MATCH($B$5,Database!$B$5:$B$518,0)),IFERROR(INDEX(Pipeline!$K$6:$K$17,MATCH($B$5,Pipeline!$B$6:$B$17,0)),""))</f>
        <v/>
      </c>
    </row>
    <row r="58">
      <c r="A58" s="16" t="inlineStr">
        <is>
          <t>A premium vs H</t>
        </is>
      </c>
      <c r="B58" s="43">
        <f>IFERROR(IF(OR(N(A_HKD)&lt;=0,N(H_TRM)&lt;=0),"n/a",A_HKD/H_TRM-1),"n/a")</f>
        <v/>
      </c>
      <c r="C58" s="2" t="inlineStr">
        <is>
          <t>+ = A above the H terms</t>
        </is>
      </c>
    </row>
    <row r="59">
      <c r="A59" s="16" t="inlineStr">
        <is>
          <t>H P/E now (TTM)</t>
        </is>
      </c>
      <c r="B59" s="24">
        <f>IF(IFERROR(TEXT(N(IFERROR(INDEX(Database!$A$5:$A$518,MATCH($B$5,Database!$B$5:$B$518,0)),IFERROR(INDEX(Pipeline!$A$6:$A$17,MATCH($B$5,Pipeline!$B$6:$B$17,0)),""))),"0")&amp;" HK Equity","")="","n/a",IFERROR(BDP(IFERROR(TEXT(N(IFERROR(INDEX(Database!$A$5:$A$518,MATCH($B$5,Database!$B$5:$B$518,0)),IFERROR(INDEX(Pipeline!$A$6:$A$17,MATCH($B$5,Pipeline!$B$6:$B$17,0)),""))),"0")&amp;" HK Equity",""),"PE_RATIO"),IFERROR(INDEX(Database!$BH$5:$BH$518,MATCH($B$5,Database!$B$5:$B$518,0)),"run on terminal")))</f>
        <v/>
      </c>
      <c r="C59" s="2" t="inlineStr">
        <is>
          <t>live BDP; falls back to the desk paste</t>
        </is>
      </c>
    </row>
    <row r="60">
      <c r="A60" s="16" t="inlineStr">
        <is>
          <t>H P/S now</t>
        </is>
      </c>
      <c r="B60" s="24">
        <f>IF(IFERROR(TEXT(N(IFERROR(INDEX(Database!$A$5:$A$518,MATCH($B$5,Database!$B$5:$B$518,0)),IFERROR(INDEX(Pipeline!$A$6:$A$17,MATCH($B$5,Pipeline!$B$6:$B$17,0)),""))),"0")&amp;" HK Equity","")="","n/a",IFERROR(BDP(IFERROR(TEXT(N(IFERROR(INDEX(Database!$A$5:$A$518,MATCH($B$5,Database!$B$5:$B$518,0)),IFERROR(INDEX(Pipeline!$A$6:$A$17,MATCH($B$5,Pipeline!$B$6:$B$17,0)),""))),"0")&amp;" HK Equity",""),"PX_TO_SALES_RATIO"),IFERROR(INDEX(Database!$BI$5:$BI$518,MATCH($B$5,Database!$B$5:$B$518,0)),"run on terminal")))</f>
        <v/>
      </c>
      <c r="C60" s="2" t="inlineStr">
        <is>
          <t>live BDP; falls back to P/S at IPO</t>
        </is>
      </c>
    </row>
    <row r="61">
      <c r="A61" s="16" t="inlineStr">
        <is>
          <t>A-line company mkt cap (HK$m)</t>
        </is>
      </c>
      <c r="B61" s="18">
        <f>IF($F$54="","no A line",IFERROR(BDP($F$54,"CUR_MKT_CAP")*IF(N(A_FX)&gt;0,A_FX,1.10)/1000000,IFERROR(INDEX(Database!$BP$5:$BP$518,MATCH($B$5,Database!$B$5:$B$518,0)),"run on terminal")))</f>
        <v/>
      </c>
      <c r="C61" s="2" t="inlineStr">
        <is>
          <t>all share classes x the A price; scraped fallback</t>
        </is>
      </c>
    </row>
    <row r="62"/>
    <row r="63">
      <c r="A63" s="47" t="inlineStr">
        <is>
          <t>HOW CORNERSTONE MATCHING WORKS</t>
        </is>
      </c>
      <c r="B63" s="48" t="n"/>
      <c r="C63" s="48" t="n"/>
      <c r="D63" s="48" t="n"/>
      <c r="E63" s="49" t="n"/>
    </row>
    <row r="64">
      <c r="A64" s="50" t="inlineStr">
        <is>
          <t>Investor names are normalised to a key ('GIC Private Limited' → gic), a comp scores +1 per key it shares, and 'Shared CS' shows the count.</t>
        </is>
      </c>
      <c r="B64" s="51" t="n"/>
      <c r="C64" s="51" t="n"/>
      <c r="D64" s="51" t="n"/>
      <c r="E64" s="52" t="n"/>
    </row>
    <row r="65">
      <c r="A65" s="50" t="inlineStr">
        <is>
          <t>This pick's top-5 keys:</t>
        </is>
      </c>
      <c r="B65" s="51" t="n"/>
      <c r="C65" s="51" t="n"/>
      <c r="D65" s="10">
        <f>TRIM('Calc (scoring engine)'!$U$1&amp;" "&amp;'Calc (scoring engine)'!$V$1&amp;" "&amp;'Calc (scoring engine)'!$W$1&amp;" "&amp;'Calc (scoring engine)'!$X$1&amp;" "&amp;'Calc (scoring engine)'!$Y$1)</f>
        <v/>
      </c>
      <c r="E65" s="52" t="n"/>
    </row>
    <row r="66">
      <c r="A66" s="53" t="inlineStr">
        <is>
          <t>RANK MODES — standard: subsector first · cornerstone overlap first: shared investors dominate · demand-similar first: closest public-subscription level (the best debut predictor).</t>
        </is>
      </c>
      <c r="B66" s="54" t="n"/>
      <c r="C66" s="54" t="n"/>
      <c r="D66" s="54" t="n"/>
      <c r="E66" s="55" t="n"/>
    </row>
  </sheetData>
  <mergeCells count="9">
    <mergeCell ref="A4:E4"/>
    <mergeCell ref="BR19:BU19"/>
    <mergeCell ref="AH19:AW19"/>
    <mergeCell ref="I19:P19"/>
    <mergeCell ref="A19:H19"/>
    <mergeCell ref="BP19:BQ19"/>
    <mergeCell ref="Q19:AG19"/>
    <mergeCell ref="BH19:BO19"/>
    <mergeCell ref="AX19:BG19"/>
  </mergeCells>
  <conditionalFormatting sqref="A21:BU21">
    <cfRule type="expression" priority="24" dxfId="0">
      <formula>$BS21="same subsector"</formula>
    </cfRule>
    <cfRule type="expression" priority="25" dxfId="1">
      <formula>$BS21="sector only"</formula>
    </cfRule>
  </conditionalFormatting>
  <conditionalFormatting sqref="A22:BU22">
    <cfRule type="expression" priority="26" dxfId="0">
      <formula>$BS22="same subsector"</formula>
    </cfRule>
    <cfRule type="expression" priority="27" dxfId="1">
      <formula>$BS22="sector only"</formula>
    </cfRule>
  </conditionalFormatting>
  <conditionalFormatting sqref="A23:BU23">
    <cfRule type="expression" priority="28" dxfId="0">
      <formula>$BS23="same subsector"</formula>
    </cfRule>
    <cfRule type="expression" priority="29" dxfId="1">
      <formula>$BS23="sector only"</formula>
    </cfRule>
  </conditionalFormatting>
  <conditionalFormatting sqref="A24:BU24">
    <cfRule type="expression" priority="30" dxfId="0">
      <formula>$BS24="same subsector"</formula>
    </cfRule>
    <cfRule type="expression" priority="31" dxfId="1">
      <formula>$BS24="sector only"</formula>
    </cfRule>
  </conditionalFormatting>
  <conditionalFormatting sqref="A25:BU25">
    <cfRule type="expression" priority="32" dxfId="0">
      <formula>$BS25="same subsector"</formula>
    </cfRule>
    <cfRule type="expression" priority="33" dxfId="1">
      <formula>$BS25="sector only"</formula>
    </cfRule>
  </conditionalFormatting>
  <conditionalFormatting sqref="A26:BU26">
    <cfRule type="expression" priority="34" dxfId="0">
      <formula>$BS26="same subsector"</formula>
    </cfRule>
    <cfRule type="expression" priority="35" dxfId="1">
      <formula>$BS26="sector only"</formula>
    </cfRule>
  </conditionalFormatting>
  <conditionalFormatting sqref="A27:BU27">
    <cfRule type="expression" priority="36" dxfId="0">
      <formula>$BS27="same subsector"</formula>
    </cfRule>
    <cfRule type="expression" priority="37" dxfId="1">
      <formula>$BS27="sector only"</formula>
    </cfRule>
  </conditionalFormatting>
  <conditionalFormatting sqref="A28:BU28">
    <cfRule type="expression" priority="38" dxfId="0">
      <formula>$BS28="same subsector"</formula>
    </cfRule>
    <cfRule type="expression" priority="39" dxfId="1">
      <formula>$BS28="sector only"</formula>
    </cfRule>
  </conditionalFormatting>
  <conditionalFormatting sqref="A29:BU29">
    <cfRule type="expression" priority="40" dxfId="0">
      <formula>$BS29="same subsector"</formula>
    </cfRule>
    <cfRule type="expression" priority="41" dxfId="1">
      <formula>$BS29="sector only"</formula>
    </cfRule>
  </conditionalFormatting>
  <conditionalFormatting sqref="A30:BU30">
    <cfRule type="expression" priority="42" dxfId="0">
      <formula>$BS30="same subsector"</formula>
    </cfRule>
    <cfRule type="expression" priority="43" dxfId="1">
      <formula>$BS30="sector only"</formula>
    </cfRule>
  </conditionalFormatting>
  <conditionalFormatting sqref="A31:BU31">
    <cfRule type="expression" priority="44" dxfId="0">
      <formula>$BS31="same subsector"</formula>
    </cfRule>
    <cfRule type="expression" priority="45" dxfId="1">
      <formula>$BS31="sector only"</formula>
    </cfRule>
  </conditionalFormatting>
  <conditionalFormatting sqref="A32:BU32">
    <cfRule type="expression" priority="46" dxfId="0">
      <formula>$BS32="same subsector"</formula>
    </cfRule>
    <cfRule type="expression" priority="47" dxfId="1">
      <formula>$BS32="sector only"</formula>
    </cfRule>
  </conditionalFormatting>
  <conditionalFormatting sqref="A33:BU33">
    <cfRule type="expression" priority="48" dxfId="0">
      <formula>$BS33="same subsector"</formula>
    </cfRule>
    <cfRule type="expression" priority="49" dxfId="1">
      <formula>$BS33="sector only"</formula>
    </cfRule>
  </conditionalFormatting>
  <conditionalFormatting sqref="A34:BU34">
    <cfRule type="expression" priority="50" dxfId="0">
      <formula>$BS34="same subsector"</formula>
    </cfRule>
    <cfRule type="expression" priority="51" dxfId="1">
      <formula>$BS34="sector only"</formula>
    </cfRule>
  </conditionalFormatting>
  <conditionalFormatting sqref="A35:BU35">
    <cfRule type="expression" priority="52" dxfId="0">
      <formula>$BS35="same subsector"</formula>
    </cfRule>
    <cfRule type="expression" priority="53" dxfId="1">
      <formula>$BS35="sector only"</formula>
    </cfRule>
  </conditionalFormatting>
  <conditionalFormatting sqref="AH21:AH35">
    <cfRule type="colorScale" priority="1">
      <colorScale>
        <cfvo type="num" val="-60"/>
        <cfvo type="num" val="0"/>
        <cfvo type="num" val="60"/>
        <color rgb="00F8696B"/>
        <color rgb="00FFFFFF"/>
        <color rgb="0063BE7B"/>
      </colorScale>
    </cfRule>
  </conditionalFormatting>
  <conditionalFormatting sqref="BL21:BL35">
    <cfRule type="colorScale" priority="2">
      <colorScale>
        <cfvo type="num" val="-60"/>
        <cfvo type="num" val="0"/>
        <cfvo type="num" val="60"/>
        <color rgb="00F8696B"/>
        <color rgb="00FFFFFF"/>
        <color rgb="0063BE7B"/>
      </colorScale>
    </cfRule>
  </conditionalFormatting>
  <conditionalFormatting sqref="AV21:AV35">
    <cfRule type="colorScale" priority="3">
      <colorScale>
        <cfvo type="num" val="-60"/>
        <cfvo type="num" val="0"/>
        <cfvo type="num" val="60"/>
        <color rgb="00F8696B"/>
        <color rgb="00FFFFFF"/>
        <color rgb="0063BE7B"/>
      </colorScale>
    </cfRule>
  </conditionalFormatting>
  <conditionalFormatting sqref="AM21:AM35">
    <cfRule type="colorScale" priority="4">
      <colorScale>
        <cfvo type="num" val="-60"/>
        <cfvo type="num" val="0"/>
        <cfvo type="num" val="60"/>
        <color rgb="00F8696B"/>
        <color rgb="00FFFFFF"/>
        <color rgb="0063BE7B"/>
      </colorScale>
    </cfRule>
  </conditionalFormatting>
  <conditionalFormatting sqref="AO21:AO35">
    <cfRule type="colorScale" priority="5">
      <colorScale>
        <cfvo type="num" val="-60"/>
        <cfvo type="num" val="0"/>
        <cfvo type="num" val="60"/>
        <color rgb="00F8696B"/>
        <color rgb="00FFFFFF"/>
        <color rgb="0063BE7B"/>
      </colorScale>
    </cfRule>
  </conditionalFormatting>
  <conditionalFormatting sqref="AR21:AR35">
    <cfRule type="colorScale" priority="6">
      <colorScale>
        <cfvo type="num" val="-60"/>
        <cfvo type="num" val="0"/>
        <cfvo type="num" val="60"/>
        <color rgb="00F8696B"/>
        <color rgb="00FFFFFF"/>
        <color rgb="0063BE7B"/>
      </colorScale>
    </cfRule>
  </conditionalFormatting>
  <conditionalFormatting sqref="AN21:AN35">
    <cfRule type="colorScale" priority="7">
      <colorScale>
        <cfvo type="num" val="-60"/>
        <cfvo type="num" val="0"/>
        <cfvo type="num" val="60"/>
        <color rgb="00F8696B"/>
        <color rgb="00FFFFFF"/>
        <color rgb="0063BE7B"/>
      </colorScale>
    </cfRule>
  </conditionalFormatting>
  <conditionalFormatting sqref="AL21:AL35">
    <cfRule type="colorScale" priority="8">
      <colorScale>
        <cfvo type="num" val="-60"/>
        <cfvo type="num" val="0"/>
        <cfvo type="num" val="60"/>
        <color rgb="00F8696B"/>
        <color rgb="00FFFFFF"/>
        <color rgb="0063BE7B"/>
      </colorScale>
    </cfRule>
  </conditionalFormatting>
  <conditionalFormatting sqref="AJ21:AJ35">
    <cfRule type="colorScale" priority="9">
      <colorScale>
        <cfvo type="num" val="-60"/>
        <cfvo type="num" val="0"/>
        <cfvo type="num" val="60"/>
        <color rgb="00F8696B"/>
        <color rgb="00FFFFFF"/>
        <color rgb="0063BE7B"/>
      </colorScale>
    </cfRule>
  </conditionalFormatting>
  <conditionalFormatting sqref="AK21:AK35">
    <cfRule type="colorScale" priority="10">
      <colorScale>
        <cfvo type="num" val="-60"/>
        <cfvo type="num" val="0"/>
        <cfvo type="num" val="60"/>
        <color rgb="00F8696B"/>
        <color rgb="00FFFFFF"/>
        <color rgb="0063BE7B"/>
      </colorScale>
    </cfRule>
  </conditionalFormatting>
  <conditionalFormatting sqref="AI21:AI35">
    <cfRule type="colorScale" priority="11">
      <colorScale>
        <cfvo type="num" val="-60"/>
        <cfvo type="num" val="0"/>
        <cfvo type="num" val="60"/>
        <color rgb="00F8696B"/>
        <color rgb="00FFFFFF"/>
        <color rgb="0063BE7B"/>
      </colorScale>
    </cfRule>
  </conditionalFormatting>
  <conditionalFormatting sqref="AW21:AW35">
    <cfRule type="colorScale" priority="12">
      <colorScale>
        <cfvo type="num" val="-60"/>
        <cfvo type="num" val="0"/>
        <cfvo type="num" val="60"/>
        <color rgb="00F8696B"/>
        <color rgb="00FFFFFF"/>
        <color rgb="0063BE7B"/>
      </colorScale>
    </cfRule>
  </conditionalFormatting>
  <conditionalFormatting sqref="BJ21:BJ35">
    <cfRule type="colorScale" priority="13">
      <colorScale>
        <cfvo type="num" val="-60"/>
        <cfvo type="num" val="0"/>
        <cfvo type="num" val="60"/>
        <color rgb="00F8696B"/>
        <color rgb="00FFFFFF"/>
        <color rgb="0063BE7B"/>
      </colorScale>
    </cfRule>
  </conditionalFormatting>
  <conditionalFormatting sqref="Y21:Y35">
    <cfRule type="colorScale" priority="14">
      <colorScale>
        <cfvo type="num" val="-60"/>
        <cfvo type="num" val="0"/>
        <cfvo type="num" val="60"/>
        <color rgb="00F8696B"/>
        <color rgb="00FFFFFF"/>
        <color rgb="0063BE7B"/>
      </colorScale>
    </cfRule>
  </conditionalFormatting>
  <conditionalFormatting sqref="AS21:AS35">
    <cfRule type="colorScale" priority="15">
      <colorScale>
        <cfvo type="num" val="-60"/>
        <cfvo type="num" val="0"/>
        <cfvo type="num" val="60"/>
        <color rgb="00F8696B"/>
        <color rgb="00FFFFFF"/>
        <color rgb="0063BE7B"/>
      </colorScale>
    </cfRule>
  </conditionalFormatting>
  <conditionalFormatting sqref="AA21:AA35">
    <cfRule type="colorScale" priority="16">
      <colorScale>
        <cfvo type="num" val="-60"/>
        <cfvo type="num" val="0"/>
        <cfvo type="num" val="60"/>
        <color rgb="00F8696B"/>
        <color rgb="00FFFFFF"/>
        <color rgb="0063BE7B"/>
      </colorScale>
    </cfRule>
  </conditionalFormatting>
  <conditionalFormatting sqref="AQ21:AQ35">
    <cfRule type="colorScale" priority="17">
      <colorScale>
        <cfvo type="num" val="-60"/>
        <cfvo type="num" val="0"/>
        <cfvo type="num" val="60"/>
        <color rgb="00F8696B"/>
        <color rgb="00FFFFFF"/>
        <color rgb="0063BE7B"/>
      </colorScale>
    </cfRule>
  </conditionalFormatting>
  <conditionalFormatting sqref="AT21:AT35">
    <cfRule type="colorScale" priority="18">
      <colorScale>
        <cfvo type="num" val="-60"/>
        <cfvo type="num" val="0"/>
        <cfvo type="num" val="60"/>
        <color rgb="00F8696B"/>
        <color rgb="00FFFFFF"/>
        <color rgb="0063BE7B"/>
      </colorScale>
    </cfRule>
  </conditionalFormatting>
  <conditionalFormatting sqref="AP21:AP35">
    <cfRule type="colorScale" priority="19">
      <colorScale>
        <cfvo type="num" val="-60"/>
        <cfvo type="num" val="0"/>
        <cfvo type="num" val="60"/>
        <color rgb="00F8696B"/>
        <color rgb="00FFFFFF"/>
        <color rgb="0063BE7B"/>
      </colorScale>
    </cfRule>
  </conditionalFormatting>
  <conditionalFormatting sqref="AU21:AU35">
    <cfRule type="colorScale" priority="20">
      <colorScale>
        <cfvo type="num" val="-60"/>
        <cfvo type="num" val="0"/>
        <cfvo type="num" val="60"/>
        <color rgb="00F8696B"/>
        <color rgb="00FFFFFF"/>
        <color rgb="0063BE7B"/>
      </colorScale>
    </cfRule>
  </conditionalFormatting>
  <conditionalFormatting sqref="I21:I35">
    <cfRule type="dataBar" priority="21">
      <dataBar showValue="1">
        <cfvo type="min"/>
        <cfvo type="max"/>
        <color rgb="004472C4"/>
      </dataBar>
    </cfRule>
  </conditionalFormatting>
  <conditionalFormatting sqref="Q21:Q35">
    <cfRule type="dataBar" priority="22">
      <dataBar showValue="1">
        <cfvo type="min"/>
        <cfvo type="max"/>
        <color rgb="004472C4"/>
      </dataBar>
    </cfRule>
  </conditionalFormatting>
  <conditionalFormatting sqref="S21:S35">
    <cfRule type="dataBar" priority="23">
      <dataBar showValue="1">
        <cfvo type="min"/>
        <cfvo type="max"/>
        <color rgb="004472C4"/>
      </dataBar>
    </cfRule>
  </conditionalFormatting>
  <conditionalFormatting sqref="A21:BU35">
    <cfRule type="expression" priority="54" dxfId="2" stopIfTrue="0">
      <formula>MOD(ROW(),2)=0</formula>
    </cfRule>
  </conditionalFormatting>
  <dataValidations count="3">
    <dataValidation sqref="B5" showDropDown="0" showInputMessage="0" showErrorMessage="0" allowBlank="1" type="list">
      <formula1>=AllDeals</formula1>
    </dataValidation>
    <dataValidation sqref="B16" showDropDown="0" showInputMessage="0" showErrorMessage="0" allowBlank="0" type="list">
      <formula1>"standard,cornerstone overlap first,demand-similar first"</formula1>
    </dataValidation>
    <dataValidation sqref="B18" showDropDown="0" showInputMessage="0" showErrorMessage="0" allowBlank="0" type="list">
      <formula1>"All,With A-share,Without A-share"</formula1>
    </dataValidation>
  </dataValidation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tabColor rgb="001F3864"/>
    <outlinePr summaryBelow="1" summaryRight="1"/>
    <pageSetUpPr/>
  </sheetPr>
  <dimension ref="A1:CA518"/>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7" customWidth="1" min="1" max="1"/>
    <col width="22" customWidth="1" min="2" max="2"/>
    <col width="13" customWidth="1" min="3" max="3"/>
    <col width="12" customWidth="1" min="4" max="4"/>
    <col width="22" customWidth="1" min="5" max="5"/>
    <col width="20" customWidth="1" min="6" max="6"/>
    <col width="9" customWidth="1" min="7" max="7"/>
    <col width="11" customWidth="1" min="8" max="8"/>
    <col width="12" customWidth="1" min="9" max="9"/>
    <col width="15" customWidth="1" min="10" max="10"/>
    <col width="9" customWidth="1" min="11" max="11"/>
    <col width="9" customWidth="1" min="12" max="12"/>
    <col width="9" customWidth="1" min="13" max="13"/>
    <col width="8" customWidth="1" min="14" max="14"/>
    <col width="8" customWidth="1" min="15" max="15"/>
    <col width="11" customWidth="1" min="16" max="16"/>
    <col width="12" customWidth="1" min="17" max="17"/>
    <col width="26" customWidth="1" min="18" max="18"/>
    <col width="10" customWidth="1" min="19" max="19"/>
    <col width="9" customWidth="1" min="20" max="20"/>
    <col width="11" customWidth="1" min="21" max="21"/>
    <col width="13" customWidth="1" min="22" max="22"/>
    <col width="15" customWidth="1" min="23" max="23"/>
    <col width="11" customWidth="1" min="24" max="24"/>
    <col width="46" customWidth="1" min="25" max="25"/>
    <col width="16" customWidth="1" min="26" max="26"/>
    <col width="9" customWidth="1" min="27" max="27"/>
    <col width="14" customWidth="1" min="28" max="28"/>
    <col width="12" customWidth="1" min="29" max="29"/>
    <col width="12" customWidth="1" min="30" max="30"/>
    <col width="13" customWidth="1" min="31" max="31"/>
    <col width="12" customWidth="1" min="32" max="32"/>
    <col width="17" customWidth="1" min="33" max="33"/>
    <col width="13" customWidth="1" min="34" max="34"/>
    <col width="34" customWidth="1" min="35" max="35"/>
    <col width="14" customWidth="1" min="36" max="36"/>
    <col width="9" customWidth="1" min="37" max="37"/>
    <col width="10" customWidth="1" min="38" max="38"/>
    <col width="11" customWidth="1" min="39" max="39"/>
    <col width="9" customWidth="1" min="40" max="40"/>
    <col width="9" customWidth="1" min="41" max="41"/>
    <col width="9" customWidth="1" min="42" max="42"/>
    <col width="9" customWidth="1" min="43" max="43"/>
    <col width="9" customWidth="1" min="44" max="44"/>
    <col width="9" customWidth="1" min="45" max="45"/>
    <col width="10" customWidth="1" min="46" max="46"/>
    <col width="10" customWidth="1" min="47" max="47"/>
    <col width="10" customWidth="1" min="48" max="48"/>
    <col width="10" customWidth="1" min="49" max="49"/>
    <col width="11" customWidth="1" min="50" max="50"/>
    <col width="11" customWidth="1" min="51" max="51"/>
    <col width="22" customWidth="1" min="52" max="52"/>
    <col width="10" customWidth="1" min="53" max="53"/>
    <col width="11" customWidth="1" min="54" max="54"/>
    <col width="11" customWidth="1" min="55" max="55"/>
    <col width="11" customWidth="1" min="56" max="56"/>
    <col width="8" customWidth="1" min="57" max="57"/>
    <col width="8" customWidth="1" min="58" max="58"/>
    <col width="10" customWidth="1" min="59" max="59"/>
    <col width="10" customWidth="1" min="60" max="60"/>
    <col width="8" customWidth="1" min="61" max="61"/>
    <col width="11" customWidth="1" min="62" max="62"/>
    <col width="8" customWidth="1" min="63" max="63"/>
    <col width="11" customWidth="1" min="64" max="64"/>
    <col width="11" customWidth="1" min="65" max="65"/>
    <col width="10" customWidth="1" min="66" max="66"/>
    <col width="11" customWidth="1" min="67" max="67"/>
    <col width="14" customWidth="1" min="68" max="68"/>
    <col width="11" customWidth="1" min="69" max="69"/>
    <col width="11" customWidth="1" min="70" max="70"/>
    <col width="30" customWidth="1" min="71" max="71"/>
    <col width="30" customWidth="1" min="72" max="72"/>
    <col width="34" customWidth="1" min="73" max="73"/>
    <col width="34" customWidth="1" min="74" max="74"/>
    <col width="11" customWidth="1" min="75" max="75"/>
    <col width="13" customWidth="1" min="76" max="76"/>
    <col width="15" customWidth="1" min="77" max="77"/>
    <col width="40" customWidth="1" min="78" max="78"/>
    <col width="64" customWidth="1" min="79" max="79"/>
  </cols>
  <sheetData>
    <row r="1">
      <c r="A1" s="1" t="inlineStr">
        <is>
          <t>HK IPO DATABASE — Main Board IPOs 2021–2026</t>
        </is>
      </c>
    </row>
    <row r="2">
      <c r="A2" s="2" t="inlineStr">
        <is>
          <t>one row per deal · money HK$m · % in percent units · sign: Day-1 + = closed above offer  ·  fill legend: green=cross-checked  amber=judgment/estimated  orange=source conflict  grey=derived</t>
        </is>
      </c>
    </row>
    <row r="3">
      <c r="A3" s="56" t="inlineStr">
        <is>
          <t>IDENTITY</t>
        </is>
      </c>
      <c r="B3" s="34" t="n"/>
      <c r="C3" s="34" t="n"/>
      <c r="D3" s="34" t="n"/>
      <c r="E3" s="34" t="n"/>
      <c r="F3" s="34" t="n"/>
      <c r="G3" s="34" t="n"/>
      <c r="H3" s="35" t="n"/>
      <c r="I3" s="57" t="inlineStr">
        <is>
          <t>DEAL TERMS</t>
        </is>
      </c>
      <c r="J3" s="34" t="n"/>
      <c r="K3" s="34" t="n"/>
      <c r="L3" s="34" t="n"/>
      <c r="M3" s="34" t="n"/>
      <c r="N3" s="34" t="n"/>
      <c r="O3" s="34" t="n"/>
      <c r="P3" s="34" t="n"/>
      <c r="Q3" s="34" t="n"/>
      <c r="R3" s="35" t="n"/>
      <c r="S3" s="58" t="inlineStr">
        <is>
          <t>DEMAND</t>
        </is>
      </c>
      <c r="T3" s="34" t="n"/>
      <c r="U3" s="34" t="n"/>
      <c r="V3" s="34" t="n"/>
      <c r="W3" s="34" t="n"/>
      <c r="X3" s="34" t="n"/>
      <c r="Y3" s="34" t="n"/>
      <c r="Z3" s="34" t="n"/>
      <c r="AA3" s="34" t="n"/>
      <c r="AB3" s="34" t="n"/>
      <c r="AC3" s="34" t="n"/>
      <c r="AD3" s="34" t="n"/>
      <c r="AE3" s="34" t="n"/>
      <c r="AF3" s="34" t="n"/>
      <c r="AG3" s="34" t="n"/>
      <c r="AH3" s="34" t="n"/>
      <c r="AI3" s="34" t="n"/>
      <c r="AJ3" s="35" t="n"/>
      <c r="AK3" s="56" t="inlineStr">
        <is>
          <t>PERFORMANCE</t>
        </is>
      </c>
      <c r="AL3" s="34" t="n"/>
      <c r="AM3" s="34" t="n"/>
      <c r="AN3" s="34" t="n"/>
      <c r="AO3" s="34" t="n"/>
      <c r="AP3" s="34" t="n"/>
      <c r="AQ3" s="34" t="n"/>
      <c r="AR3" s="34" t="n"/>
      <c r="AS3" s="34" t="n"/>
      <c r="AT3" s="34" t="n"/>
      <c r="AU3" s="34" t="n"/>
      <c r="AV3" s="34" t="n"/>
      <c r="AW3" s="34" t="n"/>
      <c r="AX3" s="34" t="n"/>
      <c r="AY3" s="34" t="n"/>
      <c r="AZ3" s="34" t="n"/>
      <c r="BA3" s="34" t="n"/>
      <c r="BB3" s="35" t="n"/>
      <c r="BC3" s="59" t="inlineStr">
        <is>
          <t>FUNDAMENTALS</t>
        </is>
      </c>
      <c r="BD3" s="34" t="n"/>
      <c r="BE3" s="34" t="n"/>
      <c r="BF3" s="34" t="n"/>
      <c r="BG3" s="34" t="n"/>
      <c r="BH3" s="34" t="n"/>
      <c r="BI3" s="34" t="n"/>
      <c r="BJ3" s="35" t="n"/>
      <c r="BK3" s="60" t="inlineStr">
        <is>
          <t>A / H</t>
        </is>
      </c>
      <c r="BL3" s="34" t="n"/>
      <c r="BM3" s="34" t="n"/>
      <c r="BN3" s="34" t="n"/>
      <c r="BO3" s="34" t="n"/>
      <c r="BP3" s="34" t="n"/>
      <c r="BQ3" s="34" t="n"/>
      <c r="BR3" s="35" t="n"/>
      <c r="BS3" s="61" t="inlineStr">
        <is>
          <t>BANKS &amp; DOCS</t>
        </is>
      </c>
      <c r="BT3" s="34" t="n"/>
      <c r="BU3" s="34" t="n"/>
      <c r="BV3" s="34" t="n"/>
      <c r="BW3" s="34" t="n"/>
      <c r="BX3" s="34" t="n"/>
      <c r="BY3" s="35" t="n"/>
      <c r="BZ3" s="59" t="inlineStr">
        <is>
          <t>NOTES</t>
        </is>
      </c>
      <c r="CA3" s="35" t="n"/>
    </row>
    <row r="4" ht="30" customHeight="1">
      <c r="A4" s="36" t="inlineStr">
        <is>
          <t>Code</t>
        </is>
      </c>
      <c r="B4" s="36" t="inlineStr">
        <is>
          <t>Name</t>
        </is>
      </c>
      <c r="C4" s="36" t="inlineStr">
        <is>
          <t>Name (CN)</t>
        </is>
      </c>
      <c r="D4" s="36" t="inlineStr">
        <is>
          <t>Sector</t>
        </is>
      </c>
      <c r="E4" s="36" t="inlineStr">
        <is>
          <t>Subsector</t>
        </is>
      </c>
      <c r="F4" s="36" t="inlineStr">
        <is>
          <t>Industry (AAStocks)</t>
        </is>
      </c>
      <c r="G4" s="36" t="inlineStr">
        <is>
          <t>Regime</t>
        </is>
      </c>
      <c r="H4" s="36" t="inlineStr">
        <is>
          <t>IPO date</t>
        </is>
      </c>
      <c r="I4" s="36" t="inlineStr">
        <is>
          <t>Deal size (HK$m)</t>
        </is>
      </c>
      <c r="J4" s="36" t="inlineStr">
        <is>
          <t>Size basis</t>
        </is>
      </c>
      <c r="K4" s="36" t="inlineStr">
        <is>
          <t>Range low (HK$)</t>
        </is>
      </c>
      <c r="L4" s="36" t="inlineStr">
        <is>
          <t>Max/cap (HK$)</t>
        </is>
      </c>
      <c r="M4" s="36" t="inlineStr">
        <is>
          <t>Final px (HK$)</t>
        </is>
      </c>
      <c r="N4" s="36" t="inlineStr">
        <is>
          <t>Priced at cap</t>
        </is>
      </c>
      <c r="O4" s="36" t="inlineStr">
        <is>
          <t>% of cap</t>
        </is>
      </c>
      <c r="P4" s="36" t="inlineStr">
        <is>
          <t>Priced in range %</t>
        </is>
      </c>
      <c r="Q4" s="36" t="inlineStr">
        <is>
          <t>Mkt cap at IPO (HK$m)</t>
        </is>
      </c>
      <c r="R4" s="36" t="inlineStr">
        <is>
          <t>Mkt cap basis</t>
        </is>
      </c>
      <c r="S4" s="36" t="inlineStr">
        <is>
          <t>Public sub (x)</t>
        </is>
      </c>
      <c r="T4" s="36" t="inlineStr">
        <is>
          <t>Intl sub (x)</t>
        </is>
      </c>
      <c r="U4" s="36" t="inlineStr">
        <is>
          <t>Cornerstone (% of offer)</t>
        </is>
      </c>
      <c r="V4" s="36" t="inlineStr">
        <is>
          <t>Eff. free float (HK$m)</t>
        </is>
      </c>
      <c r="W4" s="36" t="inlineStr">
        <is>
          <t>Eff. free float (shares)</t>
        </is>
      </c>
      <c r="X4" s="36" t="inlineStr">
        <is>
          <t>Eff. free float (% of cap)</t>
        </is>
      </c>
      <c r="Y4" s="36" t="inlineStr">
        <is>
          <t>Cornerstone investors</t>
        </is>
      </c>
      <c r="Z4" s="36" t="inlineStr">
        <is>
          <t>CS keys</t>
        </is>
      </c>
      <c r="AA4" s="36" t="inlineStr">
        <is>
          <t>Greenshoe size (%)</t>
        </is>
      </c>
      <c r="AB4" s="36" t="inlineStr">
        <is>
          <t>Grey mkt % vs offer</t>
        </is>
      </c>
      <c r="AC4" s="36" t="inlineStr">
        <is>
          <t>Grey mkt close</t>
        </is>
      </c>
      <c r="AD4" s="36" t="inlineStr">
        <is>
          <t>Grey → day-1</t>
        </is>
      </c>
      <c r="AE4" s="36" t="inlineStr">
        <is>
          <t>Grey called day-1</t>
        </is>
      </c>
      <c r="AF4" s="36" t="inlineStr">
        <is>
          <t>Grey mkt date</t>
        </is>
      </c>
      <c r="AG4" s="36" t="inlineStr">
        <is>
          <t>Shoe outcome (final)</t>
        </is>
      </c>
      <c r="AH4" s="36" t="inlineStr">
        <is>
          <t>Shoe ends (filed)</t>
        </is>
      </c>
      <c r="AI4" s="36" t="inlineStr">
        <is>
          <t>Stabilising manager</t>
        </is>
      </c>
      <c r="AJ4" s="36" t="inlineStr">
        <is>
          <t>SM key</t>
        </is>
      </c>
      <c r="AK4" s="36" t="inlineStr">
        <is>
          <t>Day-1</t>
        </is>
      </c>
      <c r="AL4" s="36" t="inlineStr">
        <is>
          <t>Day-1 open pop</t>
        </is>
      </c>
      <c r="AM4" s="37" t="inlineStr">
        <is>
          <t>Day-1 open→close</t>
        </is>
      </c>
      <c r="AN4" s="36" t="inlineStr">
        <is>
          <t>1-week</t>
        </is>
      </c>
      <c r="AO4" s="36" t="inlineStr">
        <is>
          <t>1-month</t>
        </is>
      </c>
      <c r="AP4" s="36" t="inlineStr">
        <is>
          <t>3-month</t>
        </is>
      </c>
      <c r="AQ4" s="37" t="inlineStr">
        <is>
          <t>1w ex-pop</t>
        </is>
      </c>
      <c r="AR4" s="37" t="inlineStr">
        <is>
          <t>1m ex-pop</t>
        </is>
      </c>
      <c r="AS4" s="37" t="inlineStr">
        <is>
          <t>3m ex-pop</t>
        </is>
      </c>
      <c r="AT4" s="36" t="inlineStr">
        <is>
          <t>Alpha 1w vs index</t>
        </is>
      </c>
      <c r="AU4" s="36" t="inlineStr">
        <is>
          <t>Alpha 1m vs index</t>
        </is>
      </c>
      <c r="AV4" s="36" t="inlineStr">
        <is>
          <t>Alpha 3m vs index</t>
        </is>
      </c>
      <c r="AW4" s="37" t="inlineStr">
        <is>
          <t>Alpha 1m ex-pop</t>
        </is>
      </c>
      <c r="AX4" s="36" t="inlineStr">
        <is>
          <t>Index, IPO→1m</t>
        </is>
      </c>
      <c r="AY4" s="36" t="inlineStr">
        <is>
          <t>Index, d1→1m</t>
        </is>
      </c>
      <c r="AZ4" s="36" t="inlineStr">
        <is>
          <t>Benchmark</t>
        </is>
      </c>
      <c r="BA4" s="36" t="inlineStr">
        <is>
          <t>Since IPO</t>
        </is>
      </c>
      <c r="BB4" s="36" t="inlineStr">
        <is>
          <t>Prices as of</t>
        </is>
      </c>
      <c r="BC4" s="36" t="inlineStr">
        <is>
          <t>Latest FY rev (HK$m)</t>
        </is>
      </c>
      <c r="BD4" s="36" t="inlineStr">
        <is>
          <t>Latest FY NI (HK$m)</t>
        </is>
      </c>
      <c r="BE4" s="36" t="inlineStr">
        <is>
          <t>Profitable</t>
        </is>
      </c>
      <c r="BF4" s="36" t="inlineStr">
        <is>
          <t>P/E at IPO</t>
        </is>
      </c>
      <c r="BG4" s="36" t="inlineStr">
        <is>
          <t>P/E at IPO (BBG)</t>
        </is>
      </c>
      <c r="BH4" s="36" t="inlineStr">
        <is>
          <t>P/E today (BBG)</t>
        </is>
      </c>
      <c r="BI4" s="36" t="inlineStr">
        <is>
          <t>P/S at IPO</t>
        </is>
      </c>
      <c r="BJ4" s="36" t="inlineStr">
        <is>
          <t>P/S today (BBG)</t>
        </is>
      </c>
      <c r="BK4" s="36" t="inlineStr">
        <is>
          <t>A/H pair</t>
        </is>
      </c>
      <c r="BL4" s="36" t="inlineStr">
        <is>
          <t>A-share code</t>
        </is>
      </c>
      <c r="BM4" s="36" t="inlineStr">
        <is>
          <t>A prem vs H at IPO</t>
        </is>
      </c>
      <c r="BN4" s="36" t="inlineStr">
        <is>
          <t>A close used (HK$)</t>
        </is>
      </c>
      <c r="BO4" s="36" t="inlineStr">
        <is>
          <t>A premium (today)</t>
        </is>
      </c>
      <c r="BP4" s="36" t="inlineStr">
        <is>
          <t>A-line mkt cap now (HK$m)</t>
        </is>
      </c>
      <c r="BQ4" s="36" t="inlineStr">
        <is>
          <t>A P/E @H-IPO (BBG)</t>
        </is>
      </c>
      <c r="BR4" s="36" t="inlineStr">
        <is>
          <t>HSAHP @IPO (BBG)</t>
        </is>
      </c>
      <c r="BS4" s="36" t="inlineStr">
        <is>
          <t>Sponsors</t>
        </is>
      </c>
      <c r="BT4" s="36" t="inlineStr">
        <is>
          <t>Sponsors (AAStocks)</t>
        </is>
      </c>
      <c r="BU4" s="36" t="inlineStr">
        <is>
          <t>Bookrunners</t>
        </is>
      </c>
      <c r="BV4" s="36" t="inlineStr">
        <is>
          <t>Underwriters (AAStocks)</t>
        </is>
      </c>
      <c r="BW4" s="36" t="inlineStr">
        <is>
          <t>Prospectus</t>
        </is>
      </c>
      <c r="BX4" s="36" t="inlineStr">
        <is>
          <t>Allotment result</t>
        </is>
      </c>
      <c r="BY4" s="36" t="inlineStr">
        <is>
          <t>Stabilisation notice</t>
        </is>
      </c>
      <c r="BZ4" s="36" t="inlineStr">
        <is>
          <t>Valuation notes</t>
        </is>
      </c>
      <c r="CA4" s="36" t="inlineStr">
        <is>
          <t>Why anything is blank</t>
        </is>
      </c>
    </row>
    <row r="5" ht="15" customHeight="1">
      <c r="A5" s="62" t="inlineStr">
        <is>
          <t>9600</t>
        </is>
      </c>
      <c r="B5" s="63" t="inlineStr">
        <is>
          <t>NEWLINK TECH</t>
        </is>
      </c>
      <c r="C5" s="63" t="inlineStr">
        <is>
          <t>新紐科技</t>
        </is>
      </c>
      <c r="D5" s="63" t="inlineStr">
        <is>
          <t>Healthcare</t>
        </is>
      </c>
      <c r="E5" s="63" t="inlineStr">
        <is>
          <t>Digital health</t>
        </is>
      </c>
      <c r="F5" s="63" t="inlineStr">
        <is>
          <t>IT Consulting &amp; Other Services</t>
        </is>
      </c>
      <c r="G5" s="63" t="inlineStr">
        <is>
          <t>Standard</t>
        </is>
      </c>
      <c r="H5" s="64" t="n">
        <v>44202</v>
      </c>
      <c r="I5" s="65" t="n">
        <v>872</v>
      </c>
      <c r="J5" s="63" t="inlineStr">
        <is>
          <t>gross (price x shares)</t>
        </is>
      </c>
      <c r="K5" s="66" t="n">
        <v>3.06</v>
      </c>
      <c r="L5" s="66" t="n">
        <v>4.36</v>
      </c>
      <c r="M5" s="66" t="n">
        <v>4.36</v>
      </c>
      <c r="N5" s="63" t="inlineStr">
        <is>
          <t>Y</t>
        </is>
      </c>
      <c r="O5" s="67" t="n">
        <v>100</v>
      </c>
      <c r="P5" s="67" t="n">
        <v>100</v>
      </c>
      <c r="Q5" s="68" t="n">
        <v>3488</v>
      </c>
      <c r="R5" s="63" t="inlineStr">
        <is>
          <t>aastocks:上市市值 at the struck price</t>
        </is>
      </c>
      <c r="S5" s="69" t="n">
        <v>446.57</v>
      </c>
      <c r="T5" s="70" t="n">
        <v>2.4</v>
      </c>
      <c r="U5" s="71" t="n">
        <v>25.8</v>
      </c>
      <c r="V5" s="68" t="n">
        <v>647.02</v>
      </c>
      <c r="W5" s="68" t="n">
        <v>148400000</v>
      </c>
      <c r="X5" s="67" t="n">
        <v>18.55</v>
      </c>
      <c r="Y5" s="63" t="inlineStr">
        <is>
          <t>Caitong Fund Management Co., Ltd; Hony Goldstream Special Opportunity Fund I</t>
        </is>
      </c>
      <c r="Z5" s="63" t="inlineStr">
        <is>
          <t>caitong;hony</t>
        </is>
      </c>
      <c r="AA5" s="67" t="n">
        <v>10</v>
      </c>
      <c r="AB5" s="72" t="n"/>
      <c r="AC5" s="66" t="n"/>
      <c r="AD5" s="72" t="n"/>
      <c r="AE5" s="63" t="n"/>
      <c r="AF5" s="63" t="n"/>
      <c r="AG5" s="63" t="inlineStr">
        <is>
          <t>lapsed</t>
        </is>
      </c>
      <c r="AH5" s="63" t="n"/>
      <c r="AI5" s="63" t="inlineStr">
        <is>
          <t>Mont Avenir Capital Limited</t>
        </is>
      </c>
      <c r="AJ5" s="63" t="inlineStr">
        <is>
          <t>Mont Avenir</t>
        </is>
      </c>
      <c r="AK5" s="73" t="n">
        <v>-5.96</v>
      </c>
      <c r="AL5" s="72" t="n">
        <v>-5.5</v>
      </c>
      <c r="AM5" s="72" t="n">
        <v>-0.49</v>
      </c>
      <c r="AN5" s="72" t="n">
        <v>-11.24</v>
      </c>
      <c r="AO5" s="72" t="n">
        <v>-27.98</v>
      </c>
      <c r="AP5" s="72" t="n">
        <v>-50.23</v>
      </c>
      <c r="AQ5" s="72" t="n">
        <v>-5.61</v>
      </c>
      <c r="AR5" s="72" t="n">
        <v>-23.42</v>
      </c>
      <c r="AS5" s="72" t="n">
        <v>-47.08</v>
      </c>
      <c r="AT5" s="72" t="n">
        <v>-14.15</v>
      </c>
      <c r="AU5" s="72" t="n">
        <v>-41.54</v>
      </c>
      <c r="AV5" s="72" t="n">
        <v>-46.95</v>
      </c>
      <c r="AW5" s="72" t="n">
        <v>-37.11</v>
      </c>
      <c r="AX5" s="72" t="n">
        <v>13.56</v>
      </c>
      <c r="AY5" s="72" t="n">
        <v>13.69</v>
      </c>
      <c r="AZ5" s="63" t="inlineStr">
        <is>
          <t>China Biotech ETF (HS biotech proxy)</t>
        </is>
      </c>
      <c r="BA5" s="72" t="n">
        <v>-96.72</v>
      </c>
      <c r="BB5" s="64" t="inlineStr">
        <is>
          <t>2026-08-28</t>
        </is>
      </c>
      <c r="BC5" s="65" t="n">
        <v>163.9</v>
      </c>
      <c r="BD5" s="68" t="n">
        <v>36.4</v>
      </c>
      <c r="BE5" s="63" t="inlineStr">
        <is>
          <t>Y</t>
        </is>
      </c>
      <c r="BF5" s="74" t="n">
        <v>95.8</v>
      </c>
      <c r="BG5" s="74" t="n"/>
      <c r="BH5" s="74" t="n"/>
      <c r="BI5" s="74" t="n">
        <v>21.3</v>
      </c>
      <c r="BJ5" s="75">
        <f>IF('BBG Verify'!S5="","not filed — run on terminal",'BBG Verify'!S5)</f>
        <v/>
      </c>
      <c r="BK5" s="76" t="inlineStr">
        <is>
          <t>N</t>
        </is>
      </c>
      <c r="BL5" s="77">
        <f>IF('BBG Verify'!K5="","not filed — run on terminal",'BBG Verify'!K5)</f>
        <v/>
      </c>
      <c r="BM5" s="63" t="inlineStr">
        <is>
          <t>N/A</t>
        </is>
      </c>
      <c r="BN5" s="63" t="inlineStr">
        <is>
          <t>N/A</t>
        </is>
      </c>
      <c r="BO5" s="63" t="inlineStr">
        <is>
          <t>N/A</t>
        </is>
      </c>
      <c r="BP5" s="63" t="inlineStr">
        <is>
          <t>N/A</t>
        </is>
      </c>
      <c r="BQ5" s="63" t="inlineStr">
        <is>
          <t>N/A</t>
        </is>
      </c>
      <c r="BR5" s="63" t="inlineStr">
        <is>
          <t>N/A</t>
        </is>
      </c>
      <c r="BS5" s="76" t="inlineStr">
        <is>
          <t>Mont Avenir Capital Limited</t>
        </is>
      </c>
      <c r="BT5" s="63" t="inlineStr">
        <is>
          <t>Mont Avenir Capital Limited</t>
        </is>
      </c>
      <c r="BU5" s="63" t="inlineStr">
        <is>
          <t>Mont Avenir Capital Limited; SPDB International Capital Limited; Futu Securities International (Hong Kong) Limited; AMTD Global Markets Limited; China Merchants Securities (HK) Co., Limited</t>
        </is>
      </c>
      <c r="BV5" s="63" t="inlineStr">
        <is>
          <t>AMTD Global Markets Limited; China Merchants Securities (HK) Company Limited; Futu Securities International (Hong Kong) Limited; Mont Avenir Capital Limited; SPDB International Capital Limited</t>
        </is>
      </c>
      <c r="BW5" s="78">
        <f>HYPERLINK("https://www1.hkexnews.hk/listedco/listconews/sehk/2020/1221/2020122100005.pdf","prospectus")</f>
        <v/>
      </c>
      <c r="BX5" s="78">
        <f>HYPERLINK("https://www1.hkexnews.hk/listedco/listconews/sehk/2021/0105/2021010500020.htm","allotment")</f>
        <v/>
      </c>
      <c r="BY5" s="78">
        <f>HYPERLINK("https://www1.hkexnews.hk/listedco/listconews/sehk/2021/0124/2021012400011.pdf","stabilisation")</f>
        <v/>
      </c>
      <c r="BZ5" s="76" t="n"/>
      <c r="CA5" s="63" t="inlineStr">
        <is>
          <t>greenshoe: over-allotment outcome already published, and the allotment announcement does not state the stabilisation expiry in a parsable form — the expiry no longer matters once resolved · A/H: no A-share listing · market cap: estimate from deal size / offer % of enlarged capital disagreed with the published listing cap — published figure adopted · grey market: no grey-market headline on file for this deal — AAStocks publishes one per listing but keeps only recent items on the stock's news page, and no public archive of past evening sessions exists; captured from this run onward</t>
        </is>
      </c>
    </row>
    <row r="6" ht="15" customHeight="1">
      <c r="A6" s="62" t="inlineStr">
        <is>
          <t>1855</t>
        </is>
      </c>
      <c r="B6" s="63" t="inlineStr">
        <is>
          <t>ZONBONG ENVIRO</t>
        </is>
      </c>
      <c r="C6" s="63" t="inlineStr">
        <is>
          <t>中慶股份</t>
        </is>
      </c>
      <c r="D6" s="63" t="inlineStr">
        <is>
          <t>Industrials</t>
        </is>
      </c>
      <c r="E6" s="63" t="inlineStr">
        <is>
          <t>Construction / engineering</t>
        </is>
      </c>
      <c r="F6" s="63" t="inlineStr">
        <is>
          <t>Building Construction</t>
        </is>
      </c>
      <c r="G6" s="63" t="inlineStr">
        <is>
          <t>Standard</t>
        </is>
      </c>
      <c r="H6" s="64" t="n">
        <v>44202</v>
      </c>
      <c r="I6" s="65" t="n">
        <v>137.5</v>
      </c>
      <c r="J6" s="63" t="inlineStr">
        <is>
          <t>gross (price x shares)</t>
        </is>
      </c>
      <c r="K6" s="66" t="n"/>
      <c r="L6" s="66" t="n">
        <v>2</v>
      </c>
      <c r="M6" s="66" t="n">
        <v>2</v>
      </c>
      <c r="N6" s="63" t="inlineStr">
        <is>
          <t>Y</t>
        </is>
      </c>
      <c r="O6" s="67" t="n">
        <v>100</v>
      </c>
      <c r="P6" s="67" t="n"/>
      <c r="Q6" s="68" t="n">
        <v>594</v>
      </c>
      <c r="R6" s="63" t="inlineStr">
        <is>
          <t>aastocks:上市市值 at the struck price</t>
        </is>
      </c>
      <c r="S6" s="69" t="n">
        <v>36.25</v>
      </c>
      <c r="T6" s="70" t="n">
        <v>1.01</v>
      </c>
      <c r="U6" s="71" t="n"/>
      <c r="V6" s="68" t="n">
        <v>137.5</v>
      </c>
      <c r="W6" s="68" t="n">
        <v>68750000</v>
      </c>
      <c r="X6" s="67" t="n">
        <v>23.15</v>
      </c>
      <c r="Y6" s="63" t="n"/>
      <c r="Z6" s="63" t="n"/>
      <c r="AA6" s="67" t="n"/>
      <c r="AB6" s="72" t="n"/>
      <c r="AC6" s="66" t="n"/>
      <c r="AD6" s="72" t="n"/>
      <c r="AE6" s="63" t="n"/>
      <c r="AF6" s="63" t="n"/>
      <c r="AG6" s="63" t="inlineStr">
        <is>
          <t>lapsed</t>
        </is>
      </c>
      <c r="AH6" s="63" t="n"/>
      <c r="AI6" s="63" t="inlineStr">
        <is>
          <t>China Tonghai Securities Limited</t>
        </is>
      </c>
      <c r="AJ6" s="63" t="inlineStr">
        <is>
          <t>China Tonghai</t>
        </is>
      </c>
      <c r="AK6" s="73" t="n">
        <v>2.5</v>
      </c>
      <c r="AL6" s="72" t="n">
        <v>-0.5</v>
      </c>
      <c r="AM6" s="72" t="n">
        <v>3.02</v>
      </c>
      <c r="AN6" s="72" t="n">
        <v>-5</v>
      </c>
      <c r="AO6" s="72" t="n">
        <v>-5</v>
      </c>
      <c r="AP6" s="72" t="n">
        <v>3.5</v>
      </c>
      <c r="AQ6" s="72" t="n">
        <v>-7.32</v>
      </c>
      <c r="AR6" s="72" t="n">
        <v>-7.32</v>
      </c>
      <c r="AS6" s="72" t="n">
        <v>0.98</v>
      </c>
      <c r="AT6" s="72" t="n">
        <v>-5.71</v>
      </c>
      <c r="AU6" s="72" t="n">
        <v>-15.56</v>
      </c>
      <c r="AV6" s="72" t="n">
        <v>3.47</v>
      </c>
      <c r="AW6" s="72" t="n">
        <v>-16.88</v>
      </c>
      <c r="AX6" s="72" t="n">
        <v>10.56</v>
      </c>
      <c r="AY6" s="72" t="n">
        <v>9.56</v>
      </c>
      <c r="AZ6" s="63" t="inlineStr">
        <is>
          <t>Hang Seng Commerce &amp; Industry sub-index</t>
        </is>
      </c>
      <c r="BA6" s="72" t="n">
        <v>-72.09999999999999</v>
      </c>
      <c r="BB6" s="64" t="inlineStr">
        <is>
          <t>2026-08-31</t>
        </is>
      </c>
      <c r="BC6" s="65" t="n">
        <v>987.2</v>
      </c>
      <c r="BD6" s="68" t="n">
        <v>54.4</v>
      </c>
      <c r="BE6" s="63" t="inlineStr">
        <is>
          <t>Y</t>
        </is>
      </c>
      <c r="BF6" s="74" t="n">
        <v>10.9</v>
      </c>
      <c r="BG6" s="74" t="n"/>
      <c r="BH6" s="74" t="n">
        <v>5.7</v>
      </c>
      <c r="BI6" s="74" t="n">
        <v>0.6</v>
      </c>
      <c r="BJ6" s="75">
        <f>IF('BBG Verify'!S6="","not filed — run on terminal",'BBG Verify'!S6)</f>
        <v/>
      </c>
      <c r="BK6" s="76" t="inlineStr">
        <is>
          <t>N</t>
        </is>
      </c>
      <c r="BL6" s="77">
        <f>IF('BBG Verify'!K6="","not filed — run on terminal",'BBG Verify'!K6)</f>
        <v/>
      </c>
      <c r="BM6" s="63" t="inlineStr">
        <is>
          <t>N/A</t>
        </is>
      </c>
      <c r="BN6" s="63" t="inlineStr">
        <is>
          <t>N/A</t>
        </is>
      </c>
      <c r="BO6" s="63" t="inlineStr">
        <is>
          <t>N/A</t>
        </is>
      </c>
      <c r="BP6" s="63" t="inlineStr">
        <is>
          <t>N/A</t>
        </is>
      </c>
      <c r="BQ6" s="63" t="inlineStr">
        <is>
          <t>N/A</t>
        </is>
      </c>
      <c r="BR6" s="63" t="inlineStr">
        <is>
          <t>N/A</t>
        </is>
      </c>
      <c r="BS6" s="76" t="n"/>
      <c r="BT6" s="63" t="inlineStr">
        <is>
          <t>China Tonghai Capital Limited</t>
        </is>
      </c>
      <c r="BU6" s="63" t="inlineStr">
        <is>
          <t>Central China International Capital Limited; China Tonghai Securities Limited; CMBC Securities Company Limited; Elstone Securities Limited; Eddid Securities and Futures Limited; Realord Asia Pacific Securities Limited</t>
        </is>
      </c>
      <c r="BV6" s="63" t="inlineStr">
        <is>
          <t>Central China International Capital Limited; China Tonghai Securities Limited; CMBC Securities Company Limited; Elstone Securities Limited; Eddid Securities and Futures Limited; Realord Asia Pacific Securities Limited; Shenwan Hongyuan Capital (H.K.) Limited; SPDB International Capital Limited; Seazen Resources Securities Limited; Southwest Securities (HK) Brokerage Limited</t>
        </is>
      </c>
      <c r="BW6" s="78">
        <f>HYPERLINK("https://www1.hkexnews.hk/listedco/listconews/sehk/2020/1222/2020122200050.htm","prospectus")</f>
        <v/>
      </c>
      <c r="BX6" s="78">
        <f>HYPERLINK("https://www1.hkexnews.hk/listedco/listconews/sehk/2021/0105/2021010500038.htm","allotment")</f>
        <v/>
      </c>
      <c r="BY6" s="78">
        <f>HYPERLINK("https://www1.hkexnews.hk/listedco/listconews/sehk/2021/0203/2021020300669.pdf","stabilisation")</f>
        <v/>
      </c>
      <c r="BZ6" s="76" t="n"/>
      <c r="CA6" s="63" t="inlineStr">
        <is>
          <t>greenshoe: over-allotment outcome already published, and the allotment announcement does not state the stabilisation expiry in a parsable form — the expiry no longer matters once resolved · price range: fixed-price offering (no indicative range) · range low: cap-only pricing — the filing publishes a Maximum Offer Price and no indicative floor · A/H: no A-share listing · sponsor: English name not in the filing text; AAStocks 保薦人 shown · cornerstone list: cornerstone section not machine-extractable — see the prospectus link · cornerstone %: cornerstone aggregate not stated in the filing · greenshoe size: no over-allotment option in the offer structure · grey market: no grey-market headline on file for this deal — AAStocks publishes one per listing but keeps only recent items on the stock's news page, and no public archive of past evening sessions exists; captured from this run onward</t>
        </is>
      </c>
    </row>
    <row r="7" ht="15" customHeight="1">
      <c r="A7" s="62" t="inlineStr">
        <is>
          <t>1440</t>
        </is>
      </c>
      <c r="B7" s="63" t="inlineStr">
        <is>
          <t>DEYUN HOLDING</t>
        </is>
      </c>
      <c r="C7" s="63" t="inlineStr">
        <is>
          <t>應星控股</t>
        </is>
      </c>
      <c r="D7" s="63" t="inlineStr">
        <is>
          <t>Industrials</t>
        </is>
      </c>
      <c r="E7" s="63" t="inlineStr">
        <is>
          <t>Construction / engineering</t>
        </is>
      </c>
      <c r="F7" s="63" t="inlineStr">
        <is>
          <t>Textiles</t>
        </is>
      </c>
      <c r="G7" s="63" t="inlineStr">
        <is>
          <t>Standard</t>
        </is>
      </c>
      <c r="H7" s="64" t="n">
        <v>44209</v>
      </c>
      <c r="I7" s="65" t="n">
        <v>126</v>
      </c>
      <c r="J7" s="63" t="inlineStr">
        <is>
          <t>gross (price x shares)</t>
        </is>
      </c>
      <c r="K7" s="66" t="n">
        <v>0.4</v>
      </c>
      <c r="L7" s="66" t="n">
        <v>0.5</v>
      </c>
      <c r="M7" s="66" t="n">
        <v>0.4</v>
      </c>
      <c r="N7" s="63" t="inlineStr">
        <is>
          <t>N</t>
        </is>
      </c>
      <c r="O7" s="67" t="n">
        <v>80</v>
      </c>
      <c r="P7" s="67" t="n">
        <v>0</v>
      </c>
      <c r="Q7" s="68" t="n">
        <v>560</v>
      </c>
      <c r="R7" s="63" t="inlineStr">
        <is>
          <t>derived:deal size / offer % of enlarged capital</t>
        </is>
      </c>
      <c r="S7" s="69" t="n">
        <v>33.62</v>
      </c>
      <c r="T7" s="70" t="n">
        <v>0.96</v>
      </c>
      <c r="U7" s="71" t="n">
        <v>45.1</v>
      </c>
      <c r="V7" s="68" t="n">
        <v>69.17</v>
      </c>
      <c r="W7" s="68" t="n">
        <v>172935000</v>
      </c>
      <c r="X7" s="67" t="n">
        <v>12.35</v>
      </c>
      <c r="Y7" s="63" t="inlineStr">
        <is>
          <t>Cheng Hung Ping; Tam Yuk Ching Jenny; Tsai Chuen Sui Robert</t>
        </is>
      </c>
      <c r="Z7" s="63" t="inlineStr">
        <is>
          <t>cheng-hung;tam;tsai</t>
        </is>
      </c>
      <c r="AA7" s="67" t="n">
        <v>7.5</v>
      </c>
      <c r="AB7" s="72" t="n"/>
      <c r="AC7" s="66" t="n"/>
      <c r="AD7" s="72" t="n"/>
      <c r="AE7" s="63" t="n"/>
      <c r="AF7" s="63" t="n"/>
      <c r="AG7" s="63" t="n"/>
      <c r="AH7" s="63" t="inlineStr">
        <is>
          <t>2021-01-30</t>
        </is>
      </c>
      <c r="AI7" s="63" t="inlineStr">
        <is>
          <t>Dakin Securities Limited</t>
        </is>
      </c>
      <c r="AJ7" s="63" t="inlineStr">
        <is>
          <t>Dakin</t>
        </is>
      </c>
      <c r="AK7" s="73" t="n">
        <v>3.75</v>
      </c>
      <c r="AL7" s="72" t="n">
        <v>5</v>
      </c>
      <c r="AM7" s="72" t="n">
        <v>-1.19</v>
      </c>
      <c r="AN7" s="72" t="n">
        <v>25</v>
      </c>
      <c r="AO7" s="72" t="n">
        <v>60</v>
      </c>
      <c r="AP7" s="72" t="n">
        <v>22.5</v>
      </c>
      <c r="AQ7" s="72" t="n">
        <v>20.48</v>
      </c>
      <c r="AR7" s="72" t="n">
        <v>54.22</v>
      </c>
      <c r="AS7" s="72" t="n">
        <v>18.07</v>
      </c>
      <c r="AT7" s="72" t="n">
        <v>15.11</v>
      </c>
      <c r="AU7" s="72" t="n">
        <v>45.86</v>
      </c>
      <c r="AV7" s="72" t="n">
        <v>20.13</v>
      </c>
      <c r="AW7" s="72" t="n">
        <v>40.18</v>
      </c>
      <c r="AX7" s="72" t="n">
        <v>14.14</v>
      </c>
      <c r="AY7" s="72" t="n">
        <v>14.04</v>
      </c>
      <c r="AZ7" s="63" t="inlineStr">
        <is>
          <t>Hang Seng Commerce &amp; Industry sub-index</t>
        </is>
      </c>
      <c r="BA7" s="72" t="n">
        <v>3525</v>
      </c>
      <c r="BB7" s="64" t="inlineStr">
        <is>
          <t>2026-08-28</t>
        </is>
      </c>
      <c r="BC7" s="65" t="n">
        <v>223.8</v>
      </c>
      <c r="BD7" s="68" t="n">
        <v>46</v>
      </c>
      <c r="BE7" s="63" t="inlineStr">
        <is>
          <t>Y</t>
        </is>
      </c>
      <c r="BF7" s="74" t="n">
        <v>12.2</v>
      </c>
      <c r="BG7" s="74" t="n"/>
      <c r="BH7" s="74" t="n"/>
      <c r="BI7" s="74" t="n">
        <v>2.5</v>
      </c>
      <c r="BJ7" s="75">
        <f>IF('BBG Verify'!S7="","not filed — run on terminal",'BBG Verify'!S7)</f>
        <v/>
      </c>
      <c r="BK7" s="76" t="inlineStr">
        <is>
          <t>N</t>
        </is>
      </c>
      <c r="BL7" s="77">
        <f>IF('BBG Verify'!K7="","not filed — run on terminal",'BBG Verify'!K7)</f>
        <v/>
      </c>
      <c r="BM7" s="63" t="inlineStr">
        <is>
          <t>N/A</t>
        </is>
      </c>
      <c r="BN7" s="63" t="inlineStr">
        <is>
          <t>N/A</t>
        </is>
      </c>
      <c r="BO7" s="63" t="inlineStr">
        <is>
          <t>N/A</t>
        </is>
      </c>
      <c r="BP7" s="63" t="inlineStr">
        <is>
          <t>N/A</t>
        </is>
      </c>
      <c r="BQ7" s="63" t="inlineStr">
        <is>
          <t>N/A</t>
        </is>
      </c>
      <c r="BR7" s="63" t="inlineStr">
        <is>
          <t>N/A</t>
        </is>
      </c>
      <c r="BS7" s="76" t="inlineStr">
        <is>
          <t>Dakin Capital Limited</t>
        </is>
      </c>
      <c r="BT7" s="63" t="inlineStr">
        <is>
          <t>Dakin Capital Limited</t>
        </is>
      </c>
      <c r="BU7" s="63" t="inlineStr">
        <is>
          <t>Dakin Securities Limited; BOCOM International Securities Limited</t>
        </is>
      </c>
      <c r="BV7" s="63" t="inlineStr">
        <is>
          <t>Beta International Securities Limited; CCB International Capital Limited; Dakin Securities Limited; I Win Securities Limited; Red Eagle Securities Limited; Yuzhou Financial Holdings Limited</t>
        </is>
      </c>
      <c r="BW7" s="78">
        <f>HYPERLINK("https://www1.hkexnews.hk/listedco/listconews/sehk/2020/1228/2020122800063.pdf","prospectus")</f>
        <v/>
      </c>
      <c r="BX7" s="78">
        <f>HYPERLINK("https://www1.hkexnews.hk/listedco/listconews/sehk/2021/0112/2021011200008.htm","allotment")</f>
        <v/>
      </c>
      <c r="BY7" s="63" t="n"/>
      <c r="BZ7" s="76" t="n"/>
      <c r="CA7" s="63" t="inlineStr">
        <is>
          <t>greenshoe: end-of-stabilisation notice not located · A/H: no A-share listing · grey market: no grey-market headline on file for this deal — AAStocks publishes one per listing but keeps only recent items on the stock's news page, and no public archive of past evening sessions exists; captured from this run onward</t>
        </is>
      </c>
    </row>
    <row r="8" ht="15" customHeight="1">
      <c r="A8" s="62" t="inlineStr">
        <is>
          <t>2129</t>
        </is>
      </c>
      <c r="B8" s="63" t="inlineStr">
        <is>
          <t>LEGION CONSO</t>
        </is>
      </c>
      <c r="C8" s="63" t="inlineStr">
        <is>
          <t>LEGION CONSO</t>
        </is>
      </c>
      <c r="D8" s="63" t="inlineStr">
        <is>
          <t>Industrials</t>
        </is>
      </c>
      <c r="E8" s="63" t="inlineStr">
        <is>
          <t>Logistics</t>
        </is>
      </c>
      <c r="F8" s="63" t="inlineStr">
        <is>
          <t>Air Freight &amp; Logistics</t>
        </is>
      </c>
      <c r="G8" s="63" t="inlineStr">
        <is>
          <t>Standard</t>
        </is>
      </c>
      <c r="H8" s="64" t="n">
        <v>44209</v>
      </c>
      <c r="I8" s="65" t="n">
        <v>125</v>
      </c>
      <c r="J8" s="63" t="inlineStr">
        <is>
          <t>gross (price x shares)</t>
        </is>
      </c>
      <c r="K8" s="66" t="n">
        <v>0.4</v>
      </c>
      <c r="L8" s="66" t="n">
        <v>0.52</v>
      </c>
      <c r="M8" s="66" t="n">
        <v>0.4</v>
      </c>
      <c r="N8" s="63" t="inlineStr">
        <is>
          <t>N</t>
        </is>
      </c>
      <c r="O8" s="67" t="n">
        <v>76.90000000000001</v>
      </c>
      <c r="P8" s="67" t="n">
        <v>0</v>
      </c>
      <c r="Q8" s="68" t="n">
        <v>615.4</v>
      </c>
      <c r="R8" s="63" t="inlineStr">
        <is>
          <t>aastocks:上市市值 at the struck price</t>
        </is>
      </c>
      <c r="S8" s="69" t="n">
        <v>443.37</v>
      </c>
      <c r="T8" s="70" t="n">
        <v>1.5</v>
      </c>
      <c r="U8" s="71" t="n">
        <v>0</v>
      </c>
      <c r="V8" s="68" t="n">
        <v>125</v>
      </c>
      <c r="W8" s="68" t="n">
        <v>312500000</v>
      </c>
      <c r="X8" s="67" t="n">
        <v>20.31</v>
      </c>
      <c r="Y8" s="63" t="n"/>
      <c r="Z8" s="63" t="n"/>
      <c r="AA8" s="67" t="n"/>
      <c r="AB8" s="72" t="n"/>
      <c r="AC8" s="66" t="n"/>
      <c r="AD8" s="72" t="n"/>
      <c r="AE8" s="63" t="n"/>
      <c r="AF8" s="63" t="n"/>
      <c r="AG8" s="63" t="n"/>
      <c r="AH8" s="63" t="n"/>
      <c r="AI8" s="63" t="inlineStr">
        <is>
          <t>Alpha Financial Group Limited</t>
        </is>
      </c>
      <c r="AJ8" s="63" t="inlineStr">
        <is>
          <t>Alpha</t>
        </is>
      </c>
      <c r="AK8" s="73" t="n">
        <v>-12.5</v>
      </c>
      <c r="AL8" s="72" t="n">
        <v>15</v>
      </c>
      <c r="AM8" s="72" t="n">
        <v>-23.91</v>
      </c>
      <c r="AN8" s="72" t="n">
        <v>-31.25</v>
      </c>
      <c r="AO8" s="72" t="n">
        <v>-42</v>
      </c>
      <c r="AP8" s="72" t="n">
        <v>-55</v>
      </c>
      <c r="AQ8" s="72" t="n">
        <v>-21.43</v>
      </c>
      <c r="AR8" s="72" t="n">
        <v>-33.71</v>
      </c>
      <c r="AS8" s="72" t="n">
        <v>-48.57</v>
      </c>
      <c r="AT8" s="72" t="n">
        <v>-41.14</v>
      </c>
      <c r="AU8" s="72" t="n">
        <v>-56.14</v>
      </c>
      <c r="AV8" s="72" t="n">
        <v>-57.37</v>
      </c>
      <c r="AW8" s="72" t="n">
        <v>-47.75</v>
      </c>
      <c r="AX8" s="72" t="n">
        <v>14.14</v>
      </c>
      <c r="AY8" s="72" t="n">
        <v>14.04</v>
      </c>
      <c r="AZ8" s="63" t="inlineStr">
        <is>
          <t>Hang Seng Commerce &amp; Industry sub-index</t>
        </is>
      </c>
      <c r="BA8" s="72" t="n">
        <v>-47.25</v>
      </c>
      <c r="BB8" s="64" t="inlineStr">
        <is>
          <t>2026-08-28</t>
        </is>
      </c>
      <c r="BC8" s="65" t="n">
        <v>248.9</v>
      </c>
      <c r="BD8" s="68" t="n">
        <v>34.5</v>
      </c>
      <c r="BE8" s="63" t="inlineStr">
        <is>
          <t>Y</t>
        </is>
      </c>
      <c r="BF8" s="74" t="n">
        <v>17.8</v>
      </c>
      <c r="BG8" s="74" t="n"/>
      <c r="BH8" s="74" t="n"/>
      <c r="BI8" s="74" t="n">
        <v>2.5</v>
      </c>
      <c r="BJ8" s="75">
        <f>IF('BBG Verify'!S8="","not filed — run on terminal",'BBG Verify'!S8)</f>
        <v/>
      </c>
      <c r="BK8" s="76" t="inlineStr">
        <is>
          <t>N</t>
        </is>
      </c>
      <c r="BL8" s="77">
        <f>IF('BBG Verify'!K8="","not filed — run on terminal",'BBG Verify'!K8)</f>
        <v/>
      </c>
      <c r="BM8" s="63" t="inlineStr">
        <is>
          <t>N/A</t>
        </is>
      </c>
      <c r="BN8" s="63" t="inlineStr">
        <is>
          <t>N/A</t>
        </is>
      </c>
      <c r="BO8" s="63" t="inlineStr">
        <is>
          <t>N/A</t>
        </is>
      </c>
      <c r="BP8" s="63" t="inlineStr">
        <is>
          <t>N/A</t>
        </is>
      </c>
      <c r="BQ8" s="63" t="inlineStr">
        <is>
          <t>N/A</t>
        </is>
      </c>
      <c r="BR8" s="63" t="inlineStr">
        <is>
          <t>N/A</t>
        </is>
      </c>
      <c r="BS8" s="76" t="n"/>
      <c r="BT8" s="63" t="inlineStr">
        <is>
          <t>Ample Capital Limited</t>
        </is>
      </c>
      <c r="BU8" s="63" t="inlineStr">
        <is>
          <t>and Public Offer Underwriter Alpha Financial Group Limited; and Public Offer Underwriters Elstone Securities Limited; AFG Securities Limited; Ample Capital Limited; BOCOM International Securities Limited; CMBC Securities Company Limited; First Fidelity Capital (International) Limited; Get Nice Securities Limited; Head &amp; Shoulders Securities Limited; Plutus Securities Limited; Seazen Resources Securities Limited; Sinomax Securities Limited</t>
        </is>
      </c>
      <c r="BV8" s="63" t="inlineStr">
        <is>
          <t>Ample Capital Limited; Alpha Financial Group Limited; AFG Securities Limited; Beta International Securities Limited; CIS Securities Asset Management Limited; CMBC Securities Company Limited; Elstone Securities Limited; First Fidelity Capital (International) Limited; Get Nice Securities Limited; Head &amp; Shoulders Securities Limited; Plutus Securities Limited; Sinomax Securities Limited</t>
        </is>
      </c>
      <c r="BW8" s="78">
        <f>HYPERLINK("https://www1.hkexnews.hk/listedco/listconews/sehk/2020/1230/2020123000007.pdf","prospectus")</f>
        <v/>
      </c>
      <c r="BX8" s="78">
        <f>HYPERLINK("https://www1.hkexnews.hk/listedco/listconews/sehk/2021/0112/2021011200024.htm","allotment")</f>
        <v/>
      </c>
      <c r="BY8" s="63" t="n"/>
      <c r="BZ8" s="76" t="n"/>
      <c r="CA8" s="63" t="inlineStr">
        <is>
          <t>greenshoe: no over-allotment option in the offer structure · A/H: no A-share listing · sponsor: English name not in the filing text; AAStocks 保薦人 shown · cornerstone list: no cornerstone tranche in this deal · greenshoe size: no over-allotment option in the offer structure · grey market: no grey-market headline on file for this deal — AAStocks publishes one per listing but keeps only recent items on the stock's news page, and no public archive of past evening sessions exists; captured from this run onward</t>
        </is>
      </c>
    </row>
    <row r="9" ht="15" customHeight="1">
      <c r="A9" s="62" t="inlineStr">
        <is>
          <t>2153</t>
        </is>
      </c>
      <c r="B9" s="63" t="inlineStr">
        <is>
          <t>TAT HONG EQUIP</t>
        </is>
      </c>
      <c r="C9" s="63" t="inlineStr">
        <is>
          <t>達豐設備</t>
        </is>
      </c>
      <c r="D9" s="63" t="inlineStr">
        <is>
          <t>Industrials</t>
        </is>
      </c>
      <c r="E9" s="63" t="inlineStr">
        <is>
          <t>Capital goods / machinery</t>
        </is>
      </c>
      <c r="F9" s="63" t="inlineStr">
        <is>
          <t>Construction &amp; Engineering</t>
        </is>
      </c>
      <c r="G9" s="63" t="inlineStr">
        <is>
          <t>Standard</t>
        </is>
      </c>
      <c r="H9" s="64" t="n">
        <v>44209</v>
      </c>
      <c r="I9" s="65" t="n">
        <v>644.8</v>
      </c>
      <c r="J9" s="63" t="inlineStr">
        <is>
          <t>gross (price x shares)</t>
        </is>
      </c>
      <c r="K9" s="66" t="n">
        <v>1.5</v>
      </c>
      <c r="L9" s="66" t="n">
        <v>1.96</v>
      </c>
      <c r="M9" s="66" t="n">
        <v>1.73</v>
      </c>
      <c r="N9" s="63" t="inlineStr">
        <is>
          <t>N</t>
        </is>
      </c>
      <c r="O9" s="67" t="n">
        <v>88.3</v>
      </c>
      <c r="P9" s="67" t="n">
        <v>50</v>
      </c>
      <c r="Q9" s="68" t="n">
        <v>2018.7</v>
      </c>
      <c r="R9" s="63" t="inlineStr">
        <is>
          <t>prospectus:stated market capitalisation</t>
        </is>
      </c>
      <c r="S9" s="69" t="n">
        <v>10.3</v>
      </c>
      <c r="T9" s="70" t="n">
        <v>1.02</v>
      </c>
      <c r="U9" s="71" t="n">
        <v>37.5</v>
      </c>
      <c r="V9" s="68" t="n">
        <v>403</v>
      </c>
      <c r="W9" s="68" t="n">
        <v>232950000</v>
      </c>
      <c r="X9" s="67" t="n">
        <v>19.96</v>
      </c>
      <c r="Y9" s="63" t="inlineStr">
        <is>
          <t>Yanlord Investment Limited; Zoomlion International Trading (H.K.) Co., Limited</t>
        </is>
      </c>
      <c r="Z9" s="63" t="inlineStr">
        <is>
          <t>yanlord;zoomlion</t>
        </is>
      </c>
      <c r="AA9" s="67" t="n">
        <v>11.9</v>
      </c>
      <c r="AB9" s="72" t="n"/>
      <c r="AC9" s="66" t="n"/>
      <c r="AD9" s="72" t="n"/>
      <c r="AE9" s="63" t="n"/>
      <c r="AF9" s="63" t="n"/>
      <c r="AG9" s="63" t="inlineStr">
        <is>
          <t>lapsed</t>
        </is>
      </c>
      <c r="AH9" s="63" t="n"/>
      <c r="AI9" s="63" t="inlineStr">
        <is>
          <t>Fortune</t>
        </is>
      </c>
      <c r="AJ9" s="63" t="inlineStr">
        <is>
          <t>Fortune</t>
        </is>
      </c>
      <c r="AK9" s="73" t="n">
        <v>-8.67</v>
      </c>
      <c r="AL9" s="72" t="n">
        <v>-19.08</v>
      </c>
      <c r="AM9" s="72" t="n">
        <v>12.86</v>
      </c>
      <c r="AN9" s="72" t="n">
        <v>5.78</v>
      </c>
      <c r="AO9" s="72" t="n">
        <v>-13.87</v>
      </c>
      <c r="AP9" s="72" t="n">
        <v>-13.29</v>
      </c>
      <c r="AQ9" s="72" t="n">
        <v>15.82</v>
      </c>
      <c r="AR9" s="72" t="n">
        <v>-5.69</v>
      </c>
      <c r="AS9" s="72" t="n">
        <v>-5.06</v>
      </c>
      <c r="AT9" s="72" t="n">
        <v>-4.11</v>
      </c>
      <c r="AU9" s="72" t="n">
        <v>-28.01</v>
      </c>
      <c r="AV9" s="72" t="n">
        <v>-15.66</v>
      </c>
      <c r="AW9" s="72" t="n">
        <v>-19.73</v>
      </c>
      <c r="AX9" s="72" t="n">
        <v>14.14</v>
      </c>
      <c r="AY9" s="72" t="n">
        <v>14.04</v>
      </c>
      <c r="AZ9" s="63" t="inlineStr">
        <is>
          <t>Hang Seng Commerce &amp; Industry sub-index</t>
        </is>
      </c>
      <c r="BA9" s="72" t="n">
        <v>-53.47</v>
      </c>
      <c r="BB9" s="64" t="inlineStr">
        <is>
          <t>2026-08-28</t>
        </is>
      </c>
      <c r="BC9" s="65" t="n">
        <v>819.4</v>
      </c>
      <c r="BD9" s="68" t="n">
        <v>84.09999999999999</v>
      </c>
      <c r="BE9" s="63" t="inlineStr">
        <is>
          <t>Y</t>
        </is>
      </c>
      <c r="BF9" s="74" t="n">
        <v>24</v>
      </c>
      <c r="BG9" s="74" t="n"/>
      <c r="BH9" s="74" t="n"/>
      <c r="BI9" s="74" t="n">
        <v>2.5</v>
      </c>
      <c r="BJ9" s="75">
        <f>IF('BBG Verify'!S9="","not filed — run on terminal",'BBG Verify'!S9)</f>
        <v/>
      </c>
      <c r="BK9" s="76" t="inlineStr">
        <is>
          <t>N</t>
        </is>
      </c>
      <c r="BL9" s="77">
        <f>IF('BBG Verify'!K9="","not filed — run on terminal",'BBG Verify'!K9)</f>
        <v/>
      </c>
      <c r="BM9" s="63" t="inlineStr">
        <is>
          <t>N/A</t>
        </is>
      </c>
      <c r="BN9" s="63" t="inlineStr">
        <is>
          <t>N/A</t>
        </is>
      </c>
      <c r="BO9" s="63" t="inlineStr">
        <is>
          <t>N/A</t>
        </is>
      </c>
      <c r="BP9" s="63" t="inlineStr">
        <is>
          <t>N/A</t>
        </is>
      </c>
      <c r="BQ9" s="63" t="inlineStr">
        <is>
          <t>N/A</t>
        </is>
      </c>
      <c r="BR9" s="63" t="inlineStr">
        <is>
          <t>N/A</t>
        </is>
      </c>
      <c r="BS9" s="76" t="inlineStr">
        <is>
          <t>Fortune Financial Capital Limited</t>
        </is>
      </c>
      <c r="BT9" s="63" t="inlineStr">
        <is>
          <t>Fortune Financial Capital Limited</t>
        </is>
      </c>
      <c r="BU9" s="63" t="inlineStr">
        <is>
          <t>Fortune (HK) Securities Limited; CCB International Capital Limited; Zhongtai International Securities Limited; Valuable Capital Limited; China Everbright Securities (HK) Limited; Huabang Securities Limited; China Industrial Securities International Capital Limited; Crosby Securities Limited</t>
        </is>
      </c>
      <c r="BV9" s="63" t="inlineStr">
        <is>
          <t>Blackwell Global Securities Limited; CCB International Capital Limited; China Everbright Securities (HK) Limited; China Tonghai Securities Limited; China Industrial Securities International Capital Limited; Crosby Securities Limited; Fortune (HK) Securities Limited; Huabang Securities Limited; SPDB International Capital Limited; TUS Corporate Finance Limited</t>
        </is>
      </c>
      <c r="BW9" s="78">
        <f>HYPERLINK("https://www1.hkexnews.hk/listedco/listconews/sehk/2020/1230/2020123000017.pdf","prospectus")</f>
        <v/>
      </c>
      <c r="BX9" s="78">
        <f>HYPERLINK("https://www1.hkexnews.hk/listedco/listconews/sehk/2021/0112/2021011200086.htm","allotment")</f>
        <v/>
      </c>
      <c r="BY9" s="78">
        <f>HYPERLINK("https://www1.hkexnews.hk/listedco/listconews/sehk/2021/0204/2021020400633.pdf","stabilisation")</f>
        <v/>
      </c>
      <c r="BZ9" s="76" t="n"/>
      <c r="CA9" s="63" t="inlineStr">
        <is>
          <t>greenshoe: over-allotment outcome already published, and the allotment announcement does not state the stabilisation expiry in a parsable form — the expiry no longer matters once resolved · A/H: no A-share listing · grey market: no grey-market headline on file for this deal — AAStocks publishes one per listing but keeps only recent items on the stock's news page, and no public archive of past evening sessions exists; captured from this run onward</t>
        </is>
      </c>
    </row>
    <row r="10" ht="15" customHeight="1">
      <c r="A10" s="62" t="inlineStr">
        <is>
          <t>1643</t>
        </is>
      </c>
      <c r="B10" s="63" t="inlineStr">
        <is>
          <t>MODERN CHI MED</t>
        </is>
      </c>
      <c r="C10" s="63" t="inlineStr">
        <is>
          <t>現代中藥集團</t>
        </is>
      </c>
      <c r="D10" s="63" t="inlineStr">
        <is>
          <t>Healthcare</t>
        </is>
      </c>
      <c r="E10" s="63" t="inlineStr">
        <is>
          <t>TCM</t>
        </is>
      </c>
      <c r="F10" s="63" t="inlineStr">
        <is>
          <t>Pharmaceuticals</t>
        </is>
      </c>
      <c r="G10" s="63" t="inlineStr">
        <is>
          <t>Standard</t>
        </is>
      </c>
      <c r="H10" s="64" t="n">
        <v>44211</v>
      </c>
      <c r="I10" s="65" t="n">
        <v>177</v>
      </c>
      <c r="J10" s="63" t="inlineStr">
        <is>
          <t>gross (price x shares)</t>
        </is>
      </c>
      <c r="K10" s="66" t="n">
        <v>0.92</v>
      </c>
      <c r="L10" s="66" t="n">
        <v>1.47</v>
      </c>
      <c r="M10" s="66" t="n">
        <v>1.18</v>
      </c>
      <c r="N10" s="63" t="inlineStr">
        <is>
          <t>N</t>
        </is>
      </c>
      <c r="O10" s="67" t="n">
        <v>80.3</v>
      </c>
      <c r="P10" s="67" t="n">
        <v>47.3</v>
      </c>
      <c r="Q10" s="68" t="n">
        <v>816.9</v>
      </c>
      <c r="R10" s="63" t="inlineStr">
        <is>
          <t>aastocks:上市市值 at the struck price</t>
        </is>
      </c>
      <c r="S10" s="69" t="n">
        <v>30.66</v>
      </c>
      <c r="T10" s="70" t="n">
        <v>1.004</v>
      </c>
      <c r="U10" s="71" t="n">
        <v>0</v>
      </c>
      <c r="V10" s="68" t="n">
        <v>177</v>
      </c>
      <c r="W10" s="68" t="n">
        <v>150000000</v>
      </c>
      <c r="X10" s="67" t="n">
        <v>21.67</v>
      </c>
      <c r="Y10" s="63" t="n"/>
      <c r="Z10" s="63" t="n"/>
      <c r="AA10" s="67" t="n">
        <v>7</v>
      </c>
      <c r="AB10" s="72" t="n"/>
      <c r="AC10" s="66" t="n"/>
      <c r="AD10" s="72" t="n"/>
      <c r="AE10" s="63" t="n"/>
      <c r="AF10" s="63" t="n"/>
      <c r="AG10" s="63" t="n"/>
      <c r="AH10" s="63" t="inlineStr">
        <is>
          <t>2021-02-06</t>
        </is>
      </c>
      <c r="AI10" s="63" t="inlineStr">
        <is>
          <t>Wealth Link Securities Limited</t>
        </is>
      </c>
      <c r="AJ10" s="63" t="inlineStr">
        <is>
          <t>Wealth Link</t>
        </is>
      </c>
      <c r="AK10" s="73" t="n">
        <v>6.78</v>
      </c>
      <c r="AL10" s="72" t="n">
        <v>-0.85</v>
      </c>
      <c r="AM10" s="72" t="n">
        <v>7.7</v>
      </c>
      <c r="AN10" s="72" t="n">
        <v>-11.86</v>
      </c>
      <c r="AO10" s="72" t="n">
        <v>-21.19</v>
      </c>
      <c r="AP10" s="72" t="n">
        <v>-28.81</v>
      </c>
      <c r="AQ10" s="72" t="n">
        <v>-17.46</v>
      </c>
      <c r="AR10" s="72" t="n">
        <v>-26.19</v>
      </c>
      <c r="AS10" s="72" t="n">
        <v>-33.33</v>
      </c>
      <c r="AT10" s="72" t="n">
        <v>-22.93</v>
      </c>
      <c r="AU10" s="72" t="n">
        <v>-36.53</v>
      </c>
      <c r="AV10" s="72" t="n">
        <v>-26.19</v>
      </c>
      <c r="AW10" s="72" t="n">
        <v>-41.99</v>
      </c>
      <c r="AX10" s="72" t="n">
        <v>15.34</v>
      </c>
      <c r="AY10" s="72" t="n">
        <v>15.8</v>
      </c>
      <c r="AZ10" s="63" t="inlineStr">
        <is>
          <t>China Biotech ETF (HS biotech proxy)</t>
        </is>
      </c>
      <c r="BA10" s="72" t="n">
        <v>-30.08</v>
      </c>
      <c r="BB10" s="64" t="inlineStr">
        <is>
          <t>2026-08-28</t>
        </is>
      </c>
      <c r="BC10" s="65" t="n">
        <v>240.6</v>
      </c>
      <c r="BD10" s="68" t="n">
        <v>50.9</v>
      </c>
      <c r="BE10" s="63" t="inlineStr">
        <is>
          <t>Y</t>
        </is>
      </c>
      <c r="BF10" s="74" t="n">
        <v>16</v>
      </c>
      <c r="BG10" s="74" t="n"/>
      <c r="BH10" s="74" t="n"/>
      <c r="BI10" s="74" t="n">
        <v>3.4</v>
      </c>
      <c r="BJ10" s="75">
        <f>IF('BBG Verify'!S10="","not filed — run on terminal",'BBG Verify'!S10)</f>
        <v/>
      </c>
      <c r="BK10" s="76" t="inlineStr">
        <is>
          <t>N</t>
        </is>
      </c>
      <c r="BL10" s="77">
        <f>IF('BBG Verify'!K10="","not filed — run on terminal",'BBG Verify'!K10)</f>
        <v/>
      </c>
      <c r="BM10" s="63" t="inlineStr">
        <is>
          <t>N/A</t>
        </is>
      </c>
      <c r="BN10" s="63" t="inlineStr">
        <is>
          <t>N/A</t>
        </is>
      </c>
      <c r="BO10" s="63" t="inlineStr">
        <is>
          <t>N/A</t>
        </is>
      </c>
      <c r="BP10" s="63" t="inlineStr">
        <is>
          <t>N/A</t>
        </is>
      </c>
      <c r="BQ10" s="63" t="inlineStr">
        <is>
          <t>N/A</t>
        </is>
      </c>
      <c r="BR10" s="63" t="inlineStr">
        <is>
          <t>N/A</t>
        </is>
      </c>
      <c r="BS10" s="76" t="inlineStr">
        <is>
          <t>Soochow Securities International Capital Limited</t>
        </is>
      </c>
      <c r="BT10" s="63" t="inlineStr">
        <is>
          <t>Soochow Securities International Capital Limited</t>
        </is>
      </c>
      <c r="BU10" s="63" t="inlineStr">
        <is>
          <t>SPDB International Capital Limited; BOCOM International Securities Limited; Yue Xiu Securities Company Limited; Shanxi Securities International Limited; Elstone Securities Limited</t>
        </is>
      </c>
      <c r="BV10" s="63" t="inlineStr">
        <is>
          <t>Beta International Securities Limited; CNI Securities Group Limited; DL Securities (HK) Limited; Elstone Securities Limited; Forthright Securities Company Limited; Fuyuan Securities Limited; Shenwan Hongyuan Securities (H.K.) Limited; SPDB International Capital Limited; Soochow Securities International Brokerage Limited; Shanxi Securities International Limited; Wealth Link Securities Limited; Yue Xiu Securities Company Limited</t>
        </is>
      </c>
      <c r="BW10" s="78">
        <f>HYPERLINK("https://www1.hkexnews.hk/listedco/listconews/sehk/2020/1231/2020123100103.pdf","prospectus")</f>
        <v/>
      </c>
      <c r="BX10" s="78">
        <f>HYPERLINK("https://www1.hkexnews.hk/listedco/listconews/sehk/2021/0114/2021011400022.htm","allotment")</f>
        <v/>
      </c>
      <c r="BY10" s="63" t="n"/>
      <c r="BZ10" s="76" t="n"/>
      <c r="CA10" s="63" t="inlineStr">
        <is>
          <t>greenshoe: end-of-stabilisation notice not located · A/H: no A-share listing · market cap: estimate from deal size / offer % of enlarged capital disagreed with the published listing cap — published figure adopted · cornerstone list: no cornerstone tranche in this deal · grey market: no grey-market headline on file for this deal — AAStocks publishes one per listing but keeps only recent items on the stock's news page, and no public archive of past evening sessions exists; captured from this run onward</t>
        </is>
      </c>
    </row>
    <row r="11" ht="15" customHeight="1">
      <c r="A11" s="62" t="inlineStr">
        <is>
          <t>2146</t>
        </is>
      </c>
      <c r="B11" s="63" t="inlineStr">
        <is>
          <t>ROISERV</t>
        </is>
      </c>
      <c r="C11" s="63" t="inlineStr">
        <is>
          <t>榮萬家</t>
        </is>
      </c>
      <c r="D11" s="63" t="inlineStr">
        <is>
          <t>Real Estate</t>
        </is>
      </c>
      <c r="E11" s="63" t="inlineStr">
        <is>
          <t>Property management</t>
        </is>
      </c>
      <c r="F11" s="63" t="inlineStr">
        <is>
          <t>Property Service and Management</t>
        </is>
      </c>
      <c r="G11" s="63" t="inlineStr">
        <is>
          <t>Standard</t>
        </is>
      </c>
      <c r="H11" s="64" t="n">
        <v>44211</v>
      </c>
      <c r="I11" s="65" t="n">
        <v>1265.2</v>
      </c>
      <c r="J11" s="63" t="inlineStr">
        <is>
          <t>gross (price x shares)</t>
        </is>
      </c>
      <c r="K11" s="66" t="n">
        <v>13.46</v>
      </c>
      <c r="L11" s="66" t="n">
        <v>18.36</v>
      </c>
      <c r="M11" s="66" t="n">
        <v>13.46</v>
      </c>
      <c r="N11" s="63" t="inlineStr">
        <is>
          <t>N</t>
        </is>
      </c>
      <c r="O11" s="67" t="n">
        <v>73.3</v>
      </c>
      <c r="P11" s="67" t="n">
        <v>0</v>
      </c>
      <c r="Q11" s="68" t="n">
        <v>6411.7</v>
      </c>
      <c r="R11" s="63" t="inlineStr">
        <is>
          <t>aastocks:上市市值 at the struck price</t>
        </is>
      </c>
      <c r="S11" s="69" t="n">
        <v>6.62</v>
      </c>
      <c r="T11" s="70" t="n">
        <v>1.94</v>
      </c>
      <c r="U11" s="71" t="n">
        <v>0</v>
      </c>
      <c r="V11" s="68" t="n">
        <v>1265.2</v>
      </c>
      <c r="W11" s="68" t="n">
        <v>94000000</v>
      </c>
      <c r="X11" s="67" t="n">
        <v>19.73</v>
      </c>
      <c r="Y11" s="63" t="n"/>
      <c r="Z11" s="63" t="n"/>
      <c r="AA11" s="67" t="n">
        <v>6.05</v>
      </c>
      <c r="AB11" s="72" t="n"/>
      <c r="AC11" s="66" t="n"/>
      <c r="AD11" s="72" t="n"/>
      <c r="AE11" s="63" t="n"/>
      <c r="AF11" s="63" t="n"/>
      <c r="AG11" s="63" t="inlineStr">
        <is>
          <t>lapsed</t>
        </is>
      </c>
      <c r="AH11" s="63" t="inlineStr">
        <is>
          <t>2021-02-07</t>
        </is>
      </c>
      <c r="AI11" s="63" t="inlineStr">
        <is>
          <t>Huatai Financial Holdings</t>
        </is>
      </c>
      <c r="AJ11" s="63" t="inlineStr">
        <is>
          <t>Huatai</t>
        </is>
      </c>
      <c r="AK11" s="73" t="n">
        <v>-8.17</v>
      </c>
      <c r="AL11" s="72" t="n">
        <v>-4.9</v>
      </c>
      <c r="AM11" s="72" t="n">
        <v>-3.44</v>
      </c>
      <c r="AN11" s="72" t="n">
        <v>-11.59</v>
      </c>
      <c r="AO11" s="72" t="n">
        <v>-34.03</v>
      </c>
      <c r="AP11" s="72" t="n">
        <v>-36.85</v>
      </c>
      <c r="AQ11" s="72" t="n">
        <v>-3.72</v>
      </c>
      <c r="AR11" s="72" t="n">
        <v>-28.16</v>
      </c>
      <c r="AS11" s="72" t="n">
        <v>-31.23</v>
      </c>
      <c r="AT11" s="72" t="n">
        <v>-13.66</v>
      </c>
      <c r="AU11" s="72" t="n">
        <v>-36.68</v>
      </c>
      <c r="AV11" s="72" t="n">
        <v>-47.57</v>
      </c>
      <c r="AW11" s="72" t="n">
        <v>-30.78</v>
      </c>
      <c r="AX11" s="72" t="n">
        <v>2.65</v>
      </c>
      <c r="AY11" s="72" t="n">
        <v>2.62</v>
      </c>
      <c r="AZ11" s="63" t="inlineStr">
        <is>
          <t>Hang Seng Properties sub-index</t>
        </is>
      </c>
      <c r="BA11" s="72" t="n">
        <v>-85.09999999999999</v>
      </c>
      <c r="BB11" s="64" t="inlineStr">
        <is>
          <t>2026-08-28</t>
        </is>
      </c>
      <c r="BC11" s="65" t="n">
        <v>1410.2</v>
      </c>
      <c r="BD11" s="68" t="n">
        <v>124.5</v>
      </c>
      <c r="BE11" s="63" t="inlineStr">
        <is>
          <t>Y</t>
        </is>
      </c>
      <c r="BF11" s="74" t="n">
        <v>51.5</v>
      </c>
      <c r="BG11" s="74" t="n">
        <v>10.7</v>
      </c>
      <c r="BH11" s="74" t="n">
        <v>5.9</v>
      </c>
      <c r="BI11" s="74" t="n">
        <v>4.5</v>
      </c>
      <c r="BJ11" s="75">
        <f>IF('BBG Verify'!S11="","not filed — run on terminal",'BBG Verify'!S11)</f>
        <v/>
      </c>
      <c r="BK11" s="76" t="inlineStr">
        <is>
          <t>N</t>
        </is>
      </c>
      <c r="BL11" s="77">
        <f>IF('BBG Verify'!K11="","not filed — run on terminal",'BBG Verify'!K11)</f>
        <v/>
      </c>
      <c r="BM11" s="63" t="inlineStr">
        <is>
          <t>N/A</t>
        </is>
      </c>
      <c r="BN11" s="63" t="inlineStr">
        <is>
          <t>N/A</t>
        </is>
      </c>
      <c r="BO11" s="63" t="inlineStr">
        <is>
          <t>N/A</t>
        </is>
      </c>
      <c r="BP11" s="63" t="inlineStr">
        <is>
          <t>N/A</t>
        </is>
      </c>
      <c r="BQ11" s="63" t="inlineStr">
        <is>
          <t>N/A</t>
        </is>
      </c>
      <c r="BR11" s="63" t="inlineStr">
        <is>
          <t>N/A</t>
        </is>
      </c>
      <c r="BS11" s="76" t="inlineStr">
        <is>
          <t>Huatai Financial Holdings (Hong Kong) Limited</t>
        </is>
      </c>
      <c r="BT11" s="63" t="inlineStr">
        <is>
          <t>Huatai Financial Holdings (Hong Kong) Limited</t>
        </is>
      </c>
      <c r="BU11" s="63" t="inlineStr">
        <is>
          <t>Huatai Financial Holdings (Hong Kong) Limited; Haitong International Securities Company Limited; Soochow Securities International Brokerage Limited; UOB Kay Hian (Hong Kong) Limited; Fuyuan Securities Limited; BOCOM International Securities Limited; CCB International Capital Limited; China Securities (International) Corporate Finance Company Limited; CMB International Capital Limited; ICBC International Capital Limited; Realord Asia Pacific Securities Limited; Yue Xiu Securities Company Limited</t>
        </is>
      </c>
      <c r="BV11" s="63" t="inlineStr">
        <is>
          <t>Alpha International Securities (HK) Limited; Beta International Securities Limited; Blackwell Global Securities Limited; CCB International Capital Limited; CMB International Capital Corporation Limited; China Securities (International) Corporate Finance Company Limited; Fuyuan Securities Limited; Guotai Junan Securities (Hong Kong) Limited; Huatai Financial Holdings (Hong Kong) Limited; Haitong International Securities Company Limited; ICBC International Securities Limited; Maxa Capital Limited</t>
        </is>
      </c>
      <c r="BW11" s="78">
        <f>HYPERLINK("https://www1.hkexnews.hk/listedco/listconews/sehk/2020/1231/2020123100013.pdf","prospectus")</f>
        <v/>
      </c>
      <c r="BX11" s="78">
        <f>HYPERLINK("https://www1.hkexnews.hk/listedco/listconews/sehk/2021/0114/2021011400038.htm","allotment")</f>
        <v/>
      </c>
      <c r="BY11" s="78">
        <f>HYPERLINK("https://www1.hkexnews.hk/listedco/listconews/sehk/2021/0207/2021020700027.pdf","stabilisation")</f>
        <v/>
      </c>
      <c r="BZ11" s="76" t="n"/>
      <c r="CA11" s="63" t="inlineStr">
        <is>
          <t>A/H: no A-share listing · market cap: estimate from stated market capitalisation, rescaled to the offer price disagreed with the published listing cap — published figure adopted · cornerstone list: no cornerstone tranche in this deal · grey market: no grey-market headline on file for this deal — AAStocks publishes one per listing but keeps only recent items on the stock's news page, and no public archive of past evening sessions exists; captured from this run onward</t>
        </is>
      </c>
    </row>
    <row r="12" ht="15" customHeight="1">
      <c r="A12" s="62" t="inlineStr">
        <is>
          <t>2125</t>
        </is>
      </c>
      <c r="B12" s="63" t="inlineStr">
        <is>
          <t>STRAWBEAR ENT</t>
        </is>
      </c>
      <c r="C12" s="63" t="inlineStr">
        <is>
          <t>稻草熊娛樂</t>
        </is>
      </c>
      <c r="D12" s="63" t="inlineStr">
        <is>
          <t>TMT-other</t>
        </is>
      </c>
      <c r="E12" s="63" t="inlineStr">
        <is>
          <t>Media / advertising</t>
        </is>
      </c>
      <c r="F12" s="63" t="inlineStr">
        <is>
          <t>Movies &amp; Entertainment</t>
        </is>
      </c>
      <c r="G12" s="63" t="inlineStr">
        <is>
          <t>Standard</t>
        </is>
      </c>
      <c r="H12" s="64" t="n">
        <v>44211</v>
      </c>
      <c r="I12" s="65" t="n">
        <v>974.8</v>
      </c>
      <c r="J12" s="63" t="inlineStr">
        <is>
          <t>gross (price x shares)</t>
        </is>
      </c>
      <c r="K12" s="66" t="n">
        <v>5.1</v>
      </c>
      <c r="L12" s="66" t="n">
        <v>6.16</v>
      </c>
      <c r="M12" s="66" t="n">
        <v>5.88</v>
      </c>
      <c r="N12" s="63" t="inlineStr">
        <is>
          <t>N</t>
        </is>
      </c>
      <c r="O12" s="67" t="n">
        <v>95.5</v>
      </c>
      <c r="P12" s="67" t="n">
        <v>73.59999999999999</v>
      </c>
      <c r="Q12" s="68" t="n">
        <v>3381.8</v>
      </c>
      <c r="R12" s="63" t="inlineStr">
        <is>
          <t>prospectus:stated market capitalisation</t>
        </is>
      </c>
      <c r="S12" s="69" t="n">
        <v>403.54</v>
      </c>
      <c r="T12" s="70" t="n">
        <v>13.41</v>
      </c>
      <c r="U12" s="71" t="n">
        <v>40</v>
      </c>
      <c r="V12" s="68" t="n">
        <v>584.88</v>
      </c>
      <c r="W12" s="68" t="n">
        <v>99468000</v>
      </c>
      <c r="X12" s="67" t="n">
        <v>17.29</v>
      </c>
      <c r="Y12" s="63" t="inlineStr">
        <is>
          <t>Origin Flair Limited; Snow Lake Funds and Accounts; Vipshop International Holdings Limited</t>
        </is>
      </c>
      <c r="Z12" s="63" t="inlineStr">
        <is>
          <t>origin;snow;vipshop</t>
        </is>
      </c>
      <c r="AA12" s="67" t="n">
        <v>14.68</v>
      </c>
      <c r="AB12" s="72" t="n"/>
      <c r="AC12" s="66" t="n"/>
      <c r="AD12" s="72" t="n"/>
      <c r="AE12" s="63" t="n"/>
      <c r="AF12" s="63" t="n"/>
      <c r="AG12" s="63" t="inlineStr">
        <is>
          <t>full</t>
        </is>
      </c>
      <c r="AH12" s="63" t="inlineStr">
        <is>
          <t>2021-02-07</t>
        </is>
      </c>
      <c r="AI12" s="63" t="inlineStr">
        <is>
          <t>China Securities</t>
        </is>
      </c>
      <c r="AJ12" s="63" t="inlineStr">
        <is>
          <t>China Securities</t>
        </is>
      </c>
      <c r="AK12" s="73" t="n">
        <v>83.67</v>
      </c>
      <c r="AL12" s="72" t="n">
        <v>19.05</v>
      </c>
      <c r="AM12" s="72" t="n">
        <v>54.28</v>
      </c>
      <c r="AN12" s="72" t="n">
        <v>25.85</v>
      </c>
      <c r="AO12" s="72" t="n">
        <v>32.31</v>
      </c>
      <c r="AP12" s="72" t="n">
        <v>130.95</v>
      </c>
      <c r="AQ12" s="72" t="n">
        <v>-31.48</v>
      </c>
      <c r="AR12" s="72" t="n">
        <v>-27.96</v>
      </c>
      <c r="AS12" s="72" t="n">
        <v>25.74</v>
      </c>
      <c r="AT12" s="72" t="n">
        <v>22.51</v>
      </c>
      <c r="AU12" s="72" t="n">
        <v>23.23</v>
      </c>
      <c r="AV12" s="72" t="n">
        <v>130.51</v>
      </c>
      <c r="AW12" s="72" t="n">
        <v>-36.75</v>
      </c>
      <c r="AX12" s="72" t="n">
        <v>9.08</v>
      </c>
      <c r="AY12" s="72" t="n">
        <v>8.789999999999999</v>
      </c>
      <c r="AZ12" s="63" t="inlineStr">
        <is>
          <t>Hang Seng Index</t>
        </is>
      </c>
      <c r="BA12" s="72" t="n">
        <v>-95.23999999999999</v>
      </c>
      <c r="BB12" s="64" t="inlineStr">
        <is>
          <t>2026-08-28</t>
        </is>
      </c>
      <c r="BC12" s="65" t="n">
        <v>836.3</v>
      </c>
      <c r="BD12" s="68" t="n">
        <v>55.4</v>
      </c>
      <c r="BE12" s="63" t="inlineStr">
        <is>
          <t>Y</t>
        </is>
      </c>
      <c r="BF12" s="74" t="n">
        <v>61</v>
      </c>
      <c r="BG12" s="74" t="n"/>
      <c r="BH12" s="74" t="n"/>
      <c r="BI12" s="74" t="n">
        <v>4</v>
      </c>
      <c r="BJ12" s="75">
        <f>IF('BBG Verify'!S12="","not filed — run on terminal",'BBG Verify'!S12)</f>
        <v/>
      </c>
      <c r="BK12" s="76" t="inlineStr">
        <is>
          <t>N</t>
        </is>
      </c>
      <c r="BL12" s="77">
        <f>IF('BBG Verify'!K12="","not filed — run on terminal",'BBG Verify'!K12)</f>
        <v/>
      </c>
      <c r="BM12" s="63" t="inlineStr">
        <is>
          <t>N/A</t>
        </is>
      </c>
      <c r="BN12" s="63" t="inlineStr">
        <is>
          <t>N/A</t>
        </is>
      </c>
      <c r="BO12" s="63" t="inlineStr">
        <is>
          <t>N/A</t>
        </is>
      </c>
      <c r="BP12" s="63" t="inlineStr">
        <is>
          <t>N/A</t>
        </is>
      </c>
      <c r="BQ12" s="63" t="inlineStr">
        <is>
          <t>N/A</t>
        </is>
      </c>
      <c r="BR12" s="63" t="inlineStr">
        <is>
          <t>N/A</t>
        </is>
      </c>
      <c r="BS12" s="76" t="inlineStr">
        <is>
          <t>China Merchants Securities (HK) Co., Limited; China Securities (International) Corporate Finance Company Limited</t>
        </is>
      </c>
      <c r="BT12" s="63" t="inlineStr">
        <is>
          <t>China Securities (International) Corporate Finance Company Limited; China Merchants Securities (HK) Company Limited</t>
        </is>
      </c>
      <c r="BU12" s="63" t="inlineStr">
        <is>
          <t>China Merchants Securities (HK) Co., Limited; China Renaissance Securities (Hong Kong) Limited; China Securities (International) Corporate Finance Company Limited; ABCI Capital Limited; Haitong International Securities Company Limited; Huatai Financial Holdings (Hong Kong) Limited; CMB International Capital Limited; Futu Securities International (Hong Kong) Limited</t>
        </is>
      </c>
      <c r="BV12" s="63" t="inlineStr">
        <is>
          <t>ABCI Securities Company Limited; Beta International Securities Limited; China Galaxy International Securities (Hong Kong) Company Limited; CMB International Capital Limited; China Merchants Securities (HK) Company Limited; China Renaissance Securities (Hong Kong) Limited; China Securities (International) Corporate Finance Company Limited; Futu Securities International (Hong Kong) Limited; Huatai Financial Holdings (Hong Kong) Limited; Haitong International Securities Company Limited</t>
        </is>
      </c>
      <c r="BW12" s="78">
        <f>HYPERLINK("https://www1.hkexnews.hk/listedco/listconews/sehk/2020/1231/2020123100263.pdf","prospectus")</f>
        <v/>
      </c>
      <c r="BX12" s="78">
        <f>HYPERLINK("https://www1.hkexnews.hk/listedco/listconews/sehk/2021/0114/2021011400088.htm","allotment")</f>
        <v/>
      </c>
      <c r="BY12" s="78">
        <f>HYPERLINK("https://www1.hkexnews.hk/listedco/listconews/sehk/2021/0207/2021020700085.pdf","stabilisation")</f>
        <v/>
      </c>
      <c r="BZ12" s="76" t="n"/>
      <c r="CA12" s="63" t="inlineStr">
        <is>
          <t>A/H: no A-share listing · cornerstone: table parse read 80% but the institutional total implies 40% — parse rejected, the filed aggregate-amount sentence used (40.0%) · grey market: no grey-market headline on file for this deal — AAStocks publishes one per listing but keeps only recent items on the stock's news page, and no public archive of past evening sessions exists; captured from this run onward</t>
        </is>
      </c>
    </row>
    <row r="13" ht="15" customHeight="1">
      <c r="A13" s="62" t="inlineStr">
        <is>
          <t>2158</t>
        </is>
      </c>
      <c r="B13" s="63" t="inlineStr">
        <is>
          <t>YIDU TECH</t>
        </is>
      </c>
      <c r="C13" s="63" t="inlineStr">
        <is>
          <t>醫渡科技</t>
        </is>
      </c>
      <c r="D13" s="63" t="inlineStr">
        <is>
          <t>Healthcare</t>
        </is>
      </c>
      <c r="E13" s="63" t="inlineStr">
        <is>
          <t>Digital health</t>
        </is>
      </c>
      <c r="F13" s="63" t="inlineStr">
        <is>
          <t>Health Care Services</t>
        </is>
      </c>
      <c r="G13" s="63" t="inlineStr">
        <is>
          <t>Standard</t>
        </is>
      </c>
      <c r="H13" s="64" t="n">
        <v>44211</v>
      </c>
      <c r="I13" s="65" t="n">
        <v>4114.6</v>
      </c>
      <c r="J13" s="63" t="inlineStr">
        <is>
          <t>gross (price x shares)</t>
        </is>
      </c>
      <c r="K13" s="66" t="n">
        <v>23.5</v>
      </c>
      <c r="L13" s="66" t="n">
        <v>26.3</v>
      </c>
      <c r="M13" s="66" t="n">
        <v>26.3</v>
      </c>
      <c r="N13" s="63" t="inlineStr">
        <is>
          <t>Y</t>
        </is>
      </c>
      <c r="O13" s="67" t="n">
        <v>100</v>
      </c>
      <c r="P13" s="67" t="n">
        <v>100</v>
      </c>
      <c r="Q13" s="68" t="n">
        <v>21154.8</v>
      </c>
      <c r="R13" s="63" t="inlineStr">
        <is>
          <t>derived:deal size / offer % of enlarged capital</t>
        </is>
      </c>
      <c r="S13" s="69" t="n">
        <v>1633.84</v>
      </c>
      <c r="T13" s="70" t="n">
        <v>33.4</v>
      </c>
      <c r="U13" s="71" t="n">
        <v>15.1</v>
      </c>
      <c r="V13" s="68" t="n">
        <v>3493.3</v>
      </c>
      <c r="W13" s="68" t="n">
        <v>132826050</v>
      </c>
      <c r="X13" s="67" t="n">
        <v>16.51</v>
      </c>
      <c r="Y13" s="63" t="inlineStr">
        <is>
          <t>3W Fund Management Limited; China Orient Multi-Strategy Master Fund; CPP Investment Board PMI-2 Inc; Matthews Funds; OrbiMed Capital LLC; Tencent Mobility Limited; Velmar Company Limited</t>
        </is>
      </c>
      <c r="Z13" s="63" t="inlineStr">
        <is>
          <t>3w;orient;cpp;matthews;orbimed;tencent;velmar</t>
        </is>
      </c>
      <c r="AA13" s="67" t="n">
        <v>17.35</v>
      </c>
      <c r="AB13" s="72" t="n"/>
      <c r="AC13" s="66" t="n"/>
      <c r="AD13" s="72" t="n"/>
      <c r="AE13" s="63" t="n"/>
      <c r="AF13" s="63" t="n"/>
      <c r="AG13" s="63" t="inlineStr">
        <is>
          <t>full</t>
        </is>
      </c>
      <c r="AH13" s="63" t="inlineStr">
        <is>
          <t>2021-02-06</t>
        </is>
      </c>
      <c r="AI13" s="63" t="inlineStr">
        <is>
          <t>Goldman Sachs</t>
        </is>
      </c>
      <c r="AJ13" s="63" t="inlineStr">
        <is>
          <t>Goldman Sachs</t>
        </is>
      </c>
      <c r="AK13" s="73" t="n">
        <v>147.91</v>
      </c>
      <c r="AL13" s="72" t="n">
        <v>121.48</v>
      </c>
      <c r="AM13" s="72" t="n">
        <v>11.93</v>
      </c>
      <c r="AN13" s="72" t="n">
        <v>135.74</v>
      </c>
      <c r="AO13" s="72" t="n">
        <v>136.12</v>
      </c>
      <c r="AP13" s="72" t="n">
        <v>38.78</v>
      </c>
      <c r="AQ13" s="72" t="n">
        <v>-4.91</v>
      </c>
      <c r="AR13" s="72" t="n">
        <v>-4.76</v>
      </c>
      <c r="AS13" s="72" t="n">
        <v>-44.02</v>
      </c>
      <c r="AT13" s="72" t="n">
        <v>124.67</v>
      </c>
      <c r="AU13" s="72" t="n">
        <v>120.78</v>
      </c>
      <c r="AV13" s="72" t="n">
        <v>41.4</v>
      </c>
      <c r="AW13" s="72" t="n">
        <v>-20.56</v>
      </c>
      <c r="AX13" s="72" t="n">
        <v>15.34</v>
      </c>
      <c r="AY13" s="72" t="n">
        <v>15.8</v>
      </c>
      <c r="AZ13" s="63" t="inlineStr">
        <is>
          <t>China Biotech ETF (HS biotech proxy)</t>
        </is>
      </c>
      <c r="BA13" s="72" t="n">
        <v>-85.17</v>
      </c>
      <c r="BB13" s="64" t="inlineStr">
        <is>
          <t>2026-08-28</t>
        </is>
      </c>
      <c r="BC13" s="65" t="n">
        <v>613.9</v>
      </c>
      <c r="BD13" s="68" t="n"/>
      <c r="BE13" s="63" t="n"/>
      <c r="BF13" s="75">
        <f>IF('BBG Verify'!O13="","not filed — run on terminal",'BBG Verify'!O13)</f>
        <v/>
      </c>
      <c r="BG13" s="74" t="n"/>
      <c r="BH13" s="74" t="n">
        <v>51.4</v>
      </c>
      <c r="BI13" s="74" t="n">
        <v>34.5</v>
      </c>
      <c r="BJ13" s="75">
        <f>IF('BBG Verify'!S13="","not filed — run on terminal",'BBG Verify'!S13)</f>
        <v/>
      </c>
      <c r="BK13" s="76" t="inlineStr">
        <is>
          <t>N</t>
        </is>
      </c>
      <c r="BL13" s="77">
        <f>IF('BBG Verify'!K13="","not filed — run on terminal",'BBG Verify'!K13)</f>
        <v/>
      </c>
      <c r="BM13" s="63" t="inlineStr">
        <is>
          <t>N/A</t>
        </is>
      </c>
      <c r="BN13" s="63" t="inlineStr">
        <is>
          <t>N/A</t>
        </is>
      </c>
      <c r="BO13" s="63" t="inlineStr">
        <is>
          <t>N/A</t>
        </is>
      </c>
      <c r="BP13" s="63" t="inlineStr">
        <is>
          <t>N/A</t>
        </is>
      </c>
      <c r="BQ13" s="63" t="inlineStr">
        <is>
          <t>N/A</t>
        </is>
      </c>
      <c r="BR13" s="63" t="inlineStr">
        <is>
          <t>N/A</t>
        </is>
      </c>
      <c r="BS13" s="76" t="inlineStr">
        <is>
          <t>Goldman Sachs (Asia) L.L.C; China International Capital Corporation Hong Kong Securities Limited</t>
        </is>
      </c>
      <c r="BT13" s="63" t="inlineStr">
        <is>
          <t>China International Capital Corporation Hong Kong Securities Limited; Goldman Sachs (Asia) L.L.C.</t>
        </is>
      </c>
      <c r="BU13" s="63" t="inlineStr">
        <is>
          <t>Goldman Sachs (Asia) L.L.C; China International Capital Corporation Hong Kong Securities Limited; Citigroup Global Markets Asia Limited; Citigroup Global Markets Limited</t>
        </is>
      </c>
      <c r="BV13" s="63" t="inlineStr">
        <is>
          <t>Citigroup Global Markets Asia Limited; China International Capital Corporation Hong Kong Securities Limited; China Merchants Securities (HK) Company Limited; Goldman Sachs (Asia) L.L.C.</t>
        </is>
      </c>
      <c r="BW13" s="78">
        <f>HYPERLINK("https://www1.hkexnews.hk/listedco/listconews/sehk/2020/1231/2020123100119.pdf","prospectus")</f>
        <v/>
      </c>
      <c r="BX13" s="78">
        <f>HYPERLINK("https://www1.hkexnews.hk/listedco/listconews/sehk/2021/0114/2021011400064.htm","allotment")</f>
        <v/>
      </c>
      <c r="BY13" s="78">
        <f>HYPERLINK("https://www1.hkexnews.hk/listedco/listconews/sehk/2021/0207/2021020700079.pdf","stabilisation")</f>
        <v/>
      </c>
      <c r="BZ13" s="76" t="n"/>
      <c r="CA13" s="63" t="inlineStr">
        <is>
          <t>P/E: net income not stated in extractable form · A/H: no A-share listing · market cap: prospectus 'market capitalisation' line rejected — it is the listing-rule threshold, not the issuer's figure ("illion, which is over HK$500 million, and (ii) our expected market capitalization at the time of Listing, whic") · financials: financial tables not machine-extractable and the pre-IPO year is outside AAStocks' 5-year window · grey market: no grey-market headline on file for this deal — AAStocks publishes one per listing but keeps only recent items on the stock's news page, and no public archive of past evening sessions exists; captured from this run onward</t>
        </is>
      </c>
    </row>
    <row r="14" ht="15" customHeight="1">
      <c r="A14" s="62" t="inlineStr">
        <is>
          <t>1490</t>
        </is>
      </c>
      <c r="B14" s="63" t="inlineStr">
        <is>
          <t>CHESHI</t>
        </is>
      </c>
      <c r="C14" s="63" t="inlineStr">
        <is>
          <t>AI X TECH</t>
        </is>
      </c>
      <c r="D14" s="63" t="inlineStr">
        <is>
          <t>TMT-other</t>
        </is>
      </c>
      <c r="E14" s="63" t="inlineStr">
        <is>
          <t>Media / advertising</t>
        </is>
      </c>
      <c r="F14" s="63" t="inlineStr">
        <is>
          <t>Advertising</t>
        </is>
      </c>
      <c r="G14" s="63" t="inlineStr">
        <is>
          <t>Standard</t>
        </is>
      </c>
      <c r="H14" s="64" t="n">
        <v>44211</v>
      </c>
      <c r="I14" s="65" t="n">
        <v>250.9</v>
      </c>
      <c r="J14" s="63" t="inlineStr">
        <is>
          <t>gross (price x shares)</t>
        </is>
      </c>
      <c r="K14" s="66" t="n"/>
      <c r="L14" s="66" t="n">
        <v>1.23</v>
      </c>
      <c r="M14" s="66" t="n">
        <v>1.23</v>
      </c>
      <c r="N14" s="63" t="inlineStr">
        <is>
          <t>Y</t>
        </is>
      </c>
      <c r="O14" s="67" t="n">
        <v>100</v>
      </c>
      <c r="P14" s="67" t="n"/>
      <c r="Q14" s="68" t="n">
        <v>1456.8</v>
      </c>
      <c r="R14" s="63" t="inlineStr">
        <is>
          <t>aastocks:上市市值 at the struck price</t>
        </is>
      </c>
      <c r="S14" s="69" t="n">
        <v>1274.76</v>
      </c>
      <c r="T14" s="70" t="n">
        <v>21.7</v>
      </c>
      <c r="U14" s="71" t="n">
        <v>36.4</v>
      </c>
      <c r="V14" s="68" t="n">
        <v>159.57</v>
      </c>
      <c r="W14" s="68" t="n">
        <v>129744000</v>
      </c>
      <c r="X14" s="67" t="n">
        <v>10.95</v>
      </c>
      <c r="Y14" s="63" t="inlineStr">
        <is>
          <t>Coast Flagship Investment SPC; Goldstream Capital Management Limited; Huatai Financial Holdings (Hong Kong) Limited; Shimmering Skyline L.P</t>
        </is>
      </c>
      <c r="Z14" s="63" t="inlineStr">
        <is>
          <t>coast;goldstream;huatai;shimmering</t>
        </is>
      </c>
      <c r="AA14" s="67" t="n"/>
      <c r="AB14" s="72" t="n"/>
      <c r="AC14" s="66" t="n"/>
      <c r="AD14" s="72" t="n"/>
      <c r="AE14" s="63" t="n"/>
      <c r="AF14" s="63" t="n"/>
      <c r="AG14" s="63" t="inlineStr">
        <is>
          <t>full</t>
        </is>
      </c>
      <c r="AH14" s="63" t="inlineStr">
        <is>
          <t>2021-02-07</t>
        </is>
      </c>
      <c r="AI14" s="63" t="inlineStr">
        <is>
          <t>ABCI Securities Company Limited</t>
        </is>
      </c>
      <c r="AJ14" s="63" t="inlineStr">
        <is>
          <t>ABCI</t>
        </is>
      </c>
      <c r="AK14" s="73" t="n">
        <v>21.95</v>
      </c>
      <c r="AL14" s="72" t="n">
        <v>38.21</v>
      </c>
      <c r="AM14" s="72" t="n">
        <v>-11.76</v>
      </c>
      <c r="AN14" s="72" t="n">
        <v>10.57</v>
      </c>
      <c r="AO14" s="72" t="n">
        <v>8.130000000000001</v>
      </c>
      <c r="AP14" s="72" t="n">
        <v>21.14</v>
      </c>
      <c r="AQ14" s="72" t="n">
        <v>-9.33</v>
      </c>
      <c r="AR14" s="72" t="n">
        <v>-11.33</v>
      </c>
      <c r="AS14" s="72" t="n">
        <v>-0.66</v>
      </c>
      <c r="AT14" s="72" t="n">
        <v>7.23</v>
      </c>
      <c r="AU14" s="72" t="n">
        <v>-0.95</v>
      </c>
      <c r="AV14" s="72" t="n">
        <v>20.7</v>
      </c>
      <c r="AW14" s="72" t="n">
        <v>-20.12</v>
      </c>
      <c r="AX14" s="72" t="n">
        <v>9.08</v>
      </c>
      <c r="AY14" s="72" t="n">
        <v>8.789999999999999</v>
      </c>
      <c r="AZ14" s="63" t="inlineStr">
        <is>
          <t>Hang Seng Index</t>
        </is>
      </c>
      <c r="BA14" s="72" t="n">
        <v>-79.27</v>
      </c>
      <c r="BB14" s="64" t="inlineStr">
        <is>
          <t>2026-08-28</t>
        </is>
      </c>
      <c r="BC14" s="65" t="n"/>
      <c r="BD14" s="68" t="n">
        <v>52.4</v>
      </c>
      <c r="BE14" s="63" t="inlineStr">
        <is>
          <t>Y</t>
        </is>
      </c>
      <c r="BF14" s="74" t="n">
        <v>27.8</v>
      </c>
      <c r="BG14" s="74" t="n">
        <v>15.1</v>
      </c>
      <c r="BH14" s="74" t="n"/>
      <c r="BI14" s="74" t="n"/>
      <c r="BJ14" s="75">
        <f>IF('BBG Verify'!S14="","not filed — run on terminal",'BBG Verify'!S14)</f>
        <v/>
      </c>
      <c r="BK14" s="76" t="inlineStr">
        <is>
          <t>N</t>
        </is>
      </c>
      <c r="BL14" s="77">
        <f>IF('BBG Verify'!K14="","not filed — run on terminal",'BBG Verify'!K14)</f>
        <v/>
      </c>
      <c r="BM14" s="63" t="inlineStr">
        <is>
          <t>N/A</t>
        </is>
      </c>
      <c r="BN14" s="63" t="inlineStr">
        <is>
          <t>N/A</t>
        </is>
      </c>
      <c r="BO14" s="63" t="inlineStr">
        <is>
          <t>N/A</t>
        </is>
      </c>
      <c r="BP14" s="63" t="inlineStr">
        <is>
          <t>N/A</t>
        </is>
      </c>
      <c r="BQ14" s="63" t="inlineStr">
        <is>
          <t>N/A</t>
        </is>
      </c>
      <c r="BR14" s="63" t="inlineStr">
        <is>
          <t>N/A</t>
        </is>
      </c>
      <c r="BS14" s="76" t="n"/>
      <c r="BT14" s="63" t="inlineStr">
        <is>
          <t>ABCI Capital Limited</t>
        </is>
      </c>
      <c r="BU14" s="63" t="inlineStr">
        <is>
          <t>ABCI Securities Company Limited; Alpha International Securities (HK) Limited; Beta International Securities Limited; China Sky Securities Limited; Fosun Hani Securities Limited; Futu Securities International (Hong Kong) Limited</t>
        </is>
      </c>
      <c r="BV14" s="63" t="inlineStr">
        <is>
          <t>ABCI Securities Company Limited; Alpha International Securities (HK) Limited; Beta International Securities Limited; China Sky Securities Limited; Fosun Hani Securities Limited; Futu Securities International (Hong Kong) Limited; Haitong International Securities Company Limited; Harvest International Securities Company Limited; Livermore Holdings Limited; SBI China Capital Financial Services Limited; Soochow Securities International Brokerage Limited</t>
        </is>
      </c>
      <c r="BW14" s="78">
        <f>HYPERLINK("https://www1.hkexnews.hk/listedco/listconews/sehk/2020/1231/2020123100280.htm","prospectus")</f>
        <v/>
      </c>
      <c r="BX14" s="78">
        <f>HYPERLINK("https://www1.hkexnews.hk/listedco/listconews/sehk/2021/0114/2021011400106.htm","allotment")</f>
        <v/>
      </c>
      <c r="BY14" s="78">
        <f>HYPERLINK("https://www1.hkexnews.hk/listedco/listconews/sehk/2021/0207/2021020700025.pdf","stabilisation")</f>
        <v/>
      </c>
      <c r="BZ14" s="76" t="n"/>
      <c r="CA14" s="63" t="inlineStr">
        <is>
          <t>price range: fixed-price offering (no indicative range) · range low: cap-only pricing — the filing publishes a Maximum Offer Price and no indicative floor · A/H: no A-share listing · sponsor: English name not in the filing text; AAStocks 保薦人 shown · market cap: estimate from deal size / offer % of enlarged capital disagreed with the published listing cap — published figure adopted · cornerstone %: AAStocks institutional-order total / deal size — an upper bound; the table can include non-cornerstone orders · greenshoe size: no over-allotment option in the offer structure · P/S: revenue not extractable · financials: financial tables not machine-extractable and the pre-IPO year is outside AAStocks' 5-year window · grey market: no grey-market headline on file for this deal — AAStocks publishes one per listing but keeps only recent items on the stock's news page, and no public archive of past evening sessions exists; captured from this run onward</t>
        </is>
      </c>
    </row>
    <row r="15" ht="15" customHeight="1">
      <c r="A15" s="62" t="inlineStr">
        <is>
          <t>9608</t>
        </is>
      </c>
      <c r="B15" s="63" t="inlineStr">
        <is>
          <t>SUNDY SERVICE</t>
        </is>
      </c>
      <c r="C15" s="63" t="inlineStr">
        <is>
          <t>宋都服務</t>
        </is>
      </c>
      <c r="D15" s="63" t="inlineStr">
        <is>
          <t>Real Estate</t>
        </is>
      </c>
      <c r="E15" s="63" t="inlineStr">
        <is>
          <t>Property management</t>
        </is>
      </c>
      <c r="F15" s="63" t="inlineStr">
        <is>
          <t>Property Service and Management</t>
        </is>
      </c>
      <c r="G15" s="63" t="inlineStr">
        <is>
          <t>Standard</t>
        </is>
      </c>
      <c r="H15" s="64" t="n">
        <v>44214</v>
      </c>
      <c r="I15" s="65" t="n">
        <v>200</v>
      </c>
      <c r="J15" s="63" t="inlineStr">
        <is>
          <t>gross (price x shares)</t>
        </is>
      </c>
      <c r="K15" s="66" t="n">
        <v>0.21</v>
      </c>
      <c r="L15" s="66" t="n">
        <v>0.29</v>
      </c>
      <c r="M15" s="66" t="n">
        <v>0.25</v>
      </c>
      <c r="N15" s="63" t="inlineStr">
        <is>
          <t>N</t>
        </is>
      </c>
      <c r="O15" s="67" t="n">
        <v>86.2</v>
      </c>
      <c r="P15" s="67" t="n">
        <v>50</v>
      </c>
      <c r="Q15" s="68" t="n">
        <v>672</v>
      </c>
      <c r="R15" s="63" t="inlineStr">
        <is>
          <t>prospectus:stated market capitalisation</t>
        </is>
      </c>
      <c r="S15" s="69" t="n">
        <v>25.24</v>
      </c>
      <c r="T15" s="70" t="n">
        <v>1.31</v>
      </c>
      <c r="U15" s="71" t="n">
        <v>14.88</v>
      </c>
      <c r="V15" s="68" t="n">
        <v>170.24</v>
      </c>
      <c r="W15" s="68" t="n">
        <v>680960000</v>
      </c>
      <c r="X15" s="67" t="n">
        <v>25.33</v>
      </c>
      <c r="Y15" s="63" t="inlineStr">
        <is>
          <t>Jiu Rong Holdings Limited</t>
        </is>
      </c>
      <c r="Z15" s="63" t="inlineStr">
        <is>
          <t>jiu</t>
        </is>
      </c>
      <c r="AA15" s="67" t="n">
        <v>5</v>
      </c>
      <c r="AB15" s="72" t="n"/>
      <c r="AC15" s="66" t="n"/>
      <c r="AD15" s="72" t="n"/>
      <c r="AE15" s="63" t="n"/>
      <c r="AF15" s="63" t="n"/>
      <c r="AG15" s="63" t="inlineStr">
        <is>
          <t>lapsed (no over-allocation)</t>
        </is>
      </c>
      <c r="AH15" s="63" t="inlineStr">
        <is>
          <t>2021-02-06</t>
        </is>
      </c>
      <c r="AI15" s="63" t="inlineStr">
        <is>
          <t>Elstone Securities Limited</t>
        </is>
      </c>
      <c r="AJ15" s="63" t="inlineStr">
        <is>
          <t>Elstone</t>
        </is>
      </c>
      <c r="AK15" s="73" t="n">
        <v>-36</v>
      </c>
      <c r="AL15" s="72" t="n">
        <v>-10</v>
      </c>
      <c r="AM15" s="72" t="n">
        <v>-28.89</v>
      </c>
      <c r="AN15" s="72" t="n">
        <v>-48</v>
      </c>
      <c r="AO15" s="72" t="n">
        <v>-50.4</v>
      </c>
      <c r="AP15" s="72" t="n">
        <v>-52.4</v>
      </c>
      <c r="AQ15" s="72" t="n">
        <v>-18.75</v>
      </c>
      <c r="AR15" s="72" t="n">
        <v>-22.5</v>
      </c>
      <c r="AS15" s="72" t="n">
        <v>-25.63</v>
      </c>
      <c r="AT15" s="72" t="n">
        <v>-49.1</v>
      </c>
      <c r="AU15" s="72" t="n">
        <v>-52.84</v>
      </c>
      <c r="AV15" s="72" t="n">
        <v>-63.17</v>
      </c>
      <c r="AW15" s="72" t="n">
        <v>-24.39</v>
      </c>
      <c r="AX15" s="72" t="n">
        <v>2.44</v>
      </c>
      <c r="AY15" s="72" t="n">
        <v>1.89</v>
      </c>
      <c r="AZ15" s="63" t="inlineStr">
        <is>
          <t>Hang Seng Properties sub-index</t>
        </is>
      </c>
      <c r="BA15" s="72" t="n">
        <v>-79.59999999999999</v>
      </c>
      <c r="BB15" s="64" t="inlineStr">
        <is>
          <t>2026-08-28</t>
        </is>
      </c>
      <c r="BC15" s="65" t="n">
        <v>244.7</v>
      </c>
      <c r="BD15" s="68" t="n">
        <v>38.8</v>
      </c>
      <c r="BE15" s="63" t="inlineStr">
        <is>
          <t>Y</t>
        </is>
      </c>
      <c r="BF15" s="74" t="n">
        <v>17.3</v>
      </c>
      <c r="BG15" s="74" t="n"/>
      <c r="BH15" s="74" t="n">
        <v>9.300000000000001</v>
      </c>
      <c r="BI15" s="74" t="n">
        <v>2.7</v>
      </c>
      <c r="BJ15" s="75">
        <f>IF('BBG Verify'!S15="","not filed — run on terminal",'BBG Verify'!S15)</f>
        <v/>
      </c>
      <c r="BK15" s="76" t="inlineStr">
        <is>
          <t>N</t>
        </is>
      </c>
      <c r="BL15" s="77">
        <f>IF('BBG Verify'!K15="","not filed — run on terminal",'BBG Verify'!K15)</f>
        <v/>
      </c>
      <c r="BM15" s="63" t="inlineStr">
        <is>
          <t>N/A</t>
        </is>
      </c>
      <c r="BN15" s="63" t="inlineStr">
        <is>
          <t>N/A</t>
        </is>
      </c>
      <c r="BO15" s="63" t="inlineStr">
        <is>
          <t>N/A</t>
        </is>
      </c>
      <c r="BP15" s="63" t="inlineStr">
        <is>
          <t>N/A</t>
        </is>
      </c>
      <c r="BQ15" s="63" t="inlineStr">
        <is>
          <t>N/A</t>
        </is>
      </c>
      <c r="BR15" s="63" t="inlineStr">
        <is>
          <t>N/A</t>
        </is>
      </c>
      <c r="BS15" s="76" t="inlineStr">
        <is>
          <t>Cinda International Capital Limited</t>
        </is>
      </c>
      <c r="BT15" s="63" t="inlineStr">
        <is>
          <t>Cinda International Capital Limited</t>
        </is>
      </c>
      <c r="BU15" s="63" t="inlineStr">
        <is>
          <t>Cinda International Capital Limited; Elstone Securities Limited; CCB International Capital Limited; Crosby Securities Limited</t>
        </is>
      </c>
      <c r="BV15" s="63" t="inlineStr">
        <is>
          <t>CCB International Capital Limited; China Galaxy International Securities (Hong Kong) Company Limited; Cinda International Capital Limited; Conrad Investment Services Limited; Crosby Securities Limited; DL Securities (HK) Limited; Elstone Securities Limited; Livermore Holdings Limited; Space Securities Limited; TUS Corporate Finance Limited</t>
        </is>
      </c>
      <c r="BW15" s="78">
        <f>HYPERLINK("https://www1.hkexnews.hk/listedco/listconews/sehk/2020/1231/2020123100097.pdf","prospectus")</f>
        <v/>
      </c>
      <c r="BX15" s="78">
        <f>HYPERLINK("https://www1.hkexnews.hk/listedco/listconews/sehk/2021/0115/2021011500020.htm","allotment")</f>
        <v/>
      </c>
      <c r="BY15" s="78">
        <f>HYPERLINK("https://www1.hkexnews.hk/listedco/listconews/sehk/2021/0208/2021020800187.pdf","stabilisation")</f>
        <v/>
      </c>
      <c r="BZ15" s="76" t="n"/>
      <c r="CA15" s="63" t="inlineStr">
        <is>
          <t>A/H: no A-share listing · grey market: no grey-market headline on file for this deal — AAStocks publishes one per listing but keeps only recent items on the stock's news page, and no public archive of past evening sessions exists; captured from this run onward</t>
        </is>
      </c>
    </row>
    <row r="16" ht="15" customHeight="1">
      <c r="A16" s="62" t="inlineStr">
        <is>
          <t>2159</t>
        </is>
      </c>
      <c r="B16" s="63" t="inlineStr">
        <is>
          <t>MEDIWELCOME</t>
        </is>
      </c>
      <c r="C16" s="63" t="inlineStr">
        <is>
          <t>麥迪衛康</t>
        </is>
      </c>
      <c r="D16" s="63" t="inlineStr">
        <is>
          <t>Healthcare</t>
        </is>
      </c>
      <c r="E16" s="63" t="inlineStr">
        <is>
          <t>Digital health</t>
        </is>
      </c>
      <c r="F16" s="63" t="inlineStr">
        <is>
          <t>Health Care Services</t>
        </is>
      </c>
      <c r="G16" s="63" t="inlineStr">
        <is>
          <t>Standard</t>
        </is>
      </c>
      <c r="H16" s="64" t="n">
        <v>44215</v>
      </c>
      <c r="I16" s="65" t="n">
        <v>150</v>
      </c>
      <c r="J16" s="63" t="inlineStr">
        <is>
          <t>gross (price x shares)</t>
        </is>
      </c>
      <c r="K16" s="66" t="n">
        <v>3</v>
      </c>
      <c r="L16" s="66" t="n">
        <v>4</v>
      </c>
      <c r="M16" s="66" t="n">
        <v>3</v>
      </c>
      <c r="N16" s="63" t="inlineStr">
        <is>
          <t>N</t>
        </is>
      </c>
      <c r="O16" s="67" t="n">
        <v>75</v>
      </c>
      <c r="P16" s="67" t="n">
        <v>0</v>
      </c>
      <c r="Q16" s="68" t="n">
        <v>750</v>
      </c>
      <c r="R16" s="63" t="inlineStr">
        <is>
          <t>aastocks:上市市值 at the struck price</t>
        </is>
      </c>
      <c r="S16" s="69" t="n">
        <v>168.75</v>
      </c>
      <c r="T16" s="70" t="n">
        <v>1.13</v>
      </c>
      <c r="U16" s="71" t="n">
        <v>0</v>
      </c>
      <c r="V16" s="68" t="n">
        <v>150</v>
      </c>
      <c r="W16" s="68" t="n">
        <v>50000000</v>
      </c>
      <c r="X16" s="67" t="n">
        <v>20</v>
      </c>
      <c r="Y16" s="63" t="n"/>
      <c r="Z16" s="63" t="n"/>
      <c r="AA16" s="67" t="n">
        <v>15</v>
      </c>
      <c r="AB16" s="72" t="n"/>
      <c r="AC16" s="66" t="n"/>
      <c r="AD16" s="72" t="n"/>
      <c r="AE16" s="63" t="n"/>
      <c r="AF16" s="63" t="n"/>
      <c r="AG16" s="63" t="inlineStr">
        <is>
          <t>lapsed</t>
        </is>
      </c>
      <c r="AH16" s="63" t="n"/>
      <c r="AI16" s="63" t="n"/>
      <c r="AJ16" s="63" t="n"/>
      <c r="AK16" s="73" t="n">
        <v>26.33</v>
      </c>
      <c r="AL16" s="72" t="n">
        <v>33.33</v>
      </c>
      <c r="AM16" s="72" t="n">
        <v>-5.25</v>
      </c>
      <c r="AN16" s="72" t="n">
        <v>24.67</v>
      </c>
      <c r="AO16" s="72" t="n">
        <v>22.67</v>
      </c>
      <c r="AP16" s="72" t="n">
        <v>-8.33</v>
      </c>
      <c r="AQ16" s="72" t="n">
        <v>-1.31</v>
      </c>
      <c r="AR16" s="72" t="n">
        <v>-2.9</v>
      </c>
      <c r="AS16" s="72" t="n">
        <v>-27.44</v>
      </c>
      <c r="AT16" s="72" t="n">
        <v>17.7</v>
      </c>
      <c r="AU16" s="72" t="n">
        <v>14.24</v>
      </c>
      <c r="AV16" s="72" t="n">
        <v>-9.49</v>
      </c>
      <c r="AW16" s="72" t="n">
        <v>-10.16</v>
      </c>
      <c r="AX16" s="72" t="n">
        <v>8.43</v>
      </c>
      <c r="AY16" s="72" t="n">
        <v>7.26</v>
      </c>
      <c r="AZ16" s="63" t="inlineStr">
        <is>
          <t>China Biotech ETF (HS biotech proxy)</t>
        </is>
      </c>
      <c r="BA16" s="72" t="n">
        <v>-42.67</v>
      </c>
      <c r="BB16" s="64" t="inlineStr">
        <is>
          <t>2026-08-28</t>
        </is>
      </c>
      <c r="BC16" s="65" t="n">
        <v>469.9</v>
      </c>
      <c r="BD16" s="68" t="n">
        <v>28.6</v>
      </c>
      <c r="BE16" s="63" t="inlineStr">
        <is>
          <t>Y</t>
        </is>
      </c>
      <c r="BF16" s="74" t="n">
        <v>26.2</v>
      </c>
      <c r="BG16" s="74" t="n"/>
      <c r="BH16" s="74" t="n">
        <v>10.6</v>
      </c>
      <c r="BI16" s="74" t="n">
        <v>1.6</v>
      </c>
      <c r="BJ16" s="75">
        <f>IF('BBG Verify'!S16="","not filed — run on terminal",'BBG Verify'!S16)</f>
        <v/>
      </c>
      <c r="BK16" s="76" t="inlineStr">
        <is>
          <t>N</t>
        </is>
      </c>
      <c r="BL16" s="77">
        <f>IF('BBG Verify'!K16="","not filed — run on terminal",'BBG Verify'!K16)</f>
        <v/>
      </c>
      <c r="BM16" s="63" t="inlineStr">
        <is>
          <t>N/A</t>
        </is>
      </c>
      <c r="BN16" s="63" t="inlineStr">
        <is>
          <t>N/A</t>
        </is>
      </c>
      <c r="BO16" s="63" t="inlineStr">
        <is>
          <t>N/A</t>
        </is>
      </c>
      <c r="BP16" s="63" t="inlineStr">
        <is>
          <t>N/A</t>
        </is>
      </c>
      <c r="BQ16" s="63" t="inlineStr">
        <is>
          <t>N/A</t>
        </is>
      </c>
      <c r="BR16" s="63" t="inlineStr">
        <is>
          <t>N/A</t>
        </is>
      </c>
      <c r="BS16" s="76" t="inlineStr">
        <is>
          <t>CEB International Capital Corporation Limited</t>
        </is>
      </c>
      <c r="BT16" s="63" t="inlineStr">
        <is>
          <t>CEB International Capital Corporation Limited</t>
        </is>
      </c>
      <c r="BU16" s="63" t="inlineStr">
        <is>
          <t>CEB International Capital Corporation Limited; Aristo Securities Limited; BOCOM International Securities Limited; CMBC Securities Company Limited; SPDB International Capital Limited</t>
        </is>
      </c>
      <c r="BV16" s="63" t="inlineStr">
        <is>
          <t>Aristo Securities Limited; Beta International Securities Limited; CEB International Capital Corporation Limited; CMBC Securities Company Limited; Ruibang Securities Limited; SPDB International Capital Limited; Wonderland International Securities Limited</t>
        </is>
      </c>
      <c r="BW16" s="78">
        <f>HYPERLINK("https://www1.hkexnews.hk/listedco/listconews/sehk/2020/1231/2020123100137.pdf","prospectus")</f>
        <v/>
      </c>
      <c r="BX16" s="78">
        <f>HYPERLINK("https://www1.hkexnews.hk/listedco/listconews/sehk/2021/0118/2021011800013.htm","allotment")</f>
        <v/>
      </c>
      <c r="BY16" s="78">
        <f>HYPERLINK("https://www1.hkexnews.hk/listedco/listconews/sehk/2021/0209/2021020900406.pdf","stabilisation")</f>
        <v/>
      </c>
      <c r="BZ16" s="76" t="n"/>
      <c r="CA16" s="63" t="inlineStr">
        <is>
          <t>greenshoe: over-allotment outcome already published, and the allotment announcement does not state the stabilisation expiry in a parsable form — the expiry no longer matters once resolved · A/H: no A-share listing · market cap: estimate from deal size / offer % of enlarged capital disagreed with the published listing cap — published figure adopted · cornerstone list: no cornerstone tranche in this deal · stabilising manager: neither the allotment announcement's cover sentence nor the prospectus definitions glossary names one in a form the parser reads — not inferred from the sponsor · grey market: no grey-market headline on file for this deal — AAStocks publishes one per listing but keeps only recent items on the stock's news page, and no public archive of past evening sessions exists; captured from this run onward</t>
        </is>
      </c>
    </row>
    <row r="17" ht="15" customHeight="1">
      <c r="A17" s="62" t="inlineStr">
        <is>
          <t>6668</t>
        </is>
      </c>
      <c r="B17" s="63" t="inlineStr">
        <is>
          <t>E-STAR CM</t>
        </is>
      </c>
      <c r="C17" s="63" t="inlineStr">
        <is>
          <t>星盛商業</t>
        </is>
      </c>
      <c r="D17" s="63" t="inlineStr">
        <is>
          <t>Real Estate</t>
        </is>
      </c>
      <c r="E17" s="63" t="inlineStr">
        <is>
          <t>Property management</t>
        </is>
      </c>
      <c r="F17" s="63" t="inlineStr">
        <is>
          <t>Property Service and Management</t>
        </is>
      </c>
      <c r="G17" s="63" t="inlineStr">
        <is>
          <t>Standard</t>
        </is>
      </c>
      <c r="H17" s="64" t="n">
        <v>44222</v>
      </c>
      <c r="I17" s="65" t="n">
        <v>965</v>
      </c>
      <c r="J17" s="63" t="inlineStr">
        <is>
          <t>gross (price x shares)</t>
        </is>
      </c>
      <c r="K17" s="66" t="n">
        <v>3.2</v>
      </c>
      <c r="L17" s="66" t="n">
        <v>3.88</v>
      </c>
      <c r="M17" s="66" t="n">
        <v>3.86</v>
      </c>
      <c r="N17" s="63" t="inlineStr">
        <is>
          <t>N</t>
        </is>
      </c>
      <c r="O17" s="67" t="n">
        <v>99.5</v>
      </c>
      <c r="P17" s="67" t="n">
        <v>97.09999999999999</v>
      </c>
      <c r="Q17" s="68" t="n">
        <v>3482.5</v>
      </c>
      <c r="R17" s="63" t="inlineStr">
        <is>
          <t>derived:deal size / offer % of enlarged capital</t>
        </is>
      </c>
      <c r="S17" s="69" t="n">
        <v>756.85</v>
      </c>
      <c r="T17" s="70" t="n">
        <v>9</v>
      </c>
      <c r="U17" s="71" t="n">
        <v>32</v>
      </c>
      <c r="V17" s="68" t="n">
        <v>656.2</v>
      </c>
      <c r="W17" s="68" t="n">
        <v>170000000</v>
      </c>
      <c r="X17" s="67" t="n">
        <v>18.84</v>
      </c>
      <c r="Y17" s="63" t="inlineStr">
        <is>
          <t>Pilgrim Ever Project Company Limited; SCGC Capital Holding Company Limited; Shenzhen Qichang Investment Holding Limited; Virtues Origin SPC</t>
        </is>
      </c>
      <c r="Z17" s="63" t="inlineStr">
        <is>
          <t>pilgrim;scgc;shenzhen-qichang;virtues</t>
        </is>
      </c>
      <c r="AA17" s="67" t="n">
        <v>8</v>
      </c>
      <c r="AB17" s="72" t="n"/>
      <c r="AC17" s="66" t="n"/>
      <c r="AD17" s="72" t="n"/>
      <c r="AE17" s="63" t="n"/>
      <c r="AF17" s="63" t="n"/>
      <c r="AG17" s="63" t="inlineStr">
        <is>
          <t>partial</t>
        </is>
      </c>
      <c r="AH17" s="63" t="inlineStr">
        <is>
          <t>2021-02-18</t>
        </is>
      </c>
      <c r="AI17" s="63" t="inlineStr">
        <is>
          <t>CCB International Capital Limited</t>
        </is>
      </c>
      <c r="AJ17" s="63" t="inlineStr">
        <is>
          <t>CCB</t>
        </is>
      </c>
      <c r="AK17" s="73" t="n">
        <v>3.63</v>
      </c>
      <c r="AL17" s="72" t="n">
        <v>13.99</v>
      </c>
      <c r="AM17" s="72" t="n">
        <v>-9.09</v>
      </c>
      <c r="AN17" s="72" t="n">
        <v>3.11</v>
      </c>
      <c r="AO17" s="72" t="n">
        <v>-8.029999999999999</v>
      </c>
      <c r="AP17" s="72" t="n">
        <v>16.58</v>
      </c>
      <c r="AQ17" s="72" t="n">
        <v>-0.5</v>
      </c>
      <c r="AR17" s="72" t="n">
        <v>-11.25</v>
      </c>
      <c r="AS17" s="72" t="n">
        <v>12.5</v>
      </c>
      <c r="AT17" s="72" t="n">
        <v>5.99</v>
      </c>
      <c r="AU17" s="72" t="n">
        <v>-16.36</v>
      </c>
      <c r="AV17" s="72" t="n">
        <v>8.76</v>
      </c>
      <c r="AW17" s="72" t="n">
        <v>-19.34</v>
      </c>
      <c r="AX17" s="72" t="n">
        <v>8.33</v>
      </c>
      <c r="AY17" s="72" t="n">
        <v>8.09</v>
      </c>
      <c r="AZ17" s="63" t="inlineStr">
        <is>
          <t>Hang Seng Properties sub-index</t>
        </is>
      </c>
      <c r="BA17" s="72" t="n">
        <v>-64.38</v>
      </c>
      <c r="BB17" s="64" t="inlineStr">
        <is>
          <t>2026-08-28</t>
        </is>
      </c>
      <c r="BC17" s="65" t="n">
        <v>426</v>
      </c>
      <c r="BD17" s="68" t="n"/>
      <c r="BE17" s="63" t="n"/>
      <c r="BF17" s="75">
        <f>IF('BBG Verify'!O17="","not filed — run on terminal",'BBG Verify'!O17)</f>
        <v/>
      </c>
      <c r="BG17" s="74" t="n"/>
      <c r="BH17" s="74" t="n">
        <v>7.9</v>
      </c>
      <c r="BI17" s="74" t="n">
        <v>8.199999999999999</v>
      </c>
      <c r="BJ17" s="75">
        <f>IF('BBG Verify'!S17="","not filed — run on terminal",'BBG Verify'!S17)</f>
        <v/>
      </c>
      <c r="BK17" s="76" t="inlineStr">
        <is>
          <t>N</t>
        </is>
      </c>
      <c r="BL17" s="77">
        <f>IF('BBG Verify'!K17="","not filed — run on terminal",'BBG Verify'!K17)</f>
        <v/>
      </c>
      <c r="BM17" s="63" t="inlineStr">
        <is>
          <t>N/A</t>
        </is>
      </c>
      <c r="BN17" s="63" t="inlineStr">
        <is>
          <t>N/A</t>
        </is>
      </c>
      <c r="BO17" s="63" t="inlineStr">
        <is>
          <t>N/A</t>
        </is>
      </c>
      <c r="BP17" s="63" t="inlineStr">
        <is>
          <t>N/A</t>
        </is>
      </c>
      <c r="BQ17" s="63" t="inlineStr">
        <is>
          <t>N/A</t>
        </is>
      </c>
      <c r="BR17" s="63" t="inlineStr">
        <is>
          <t>N/A</t>
        </is>
      </c>
      <c r="BS17" s="76" t="inlineStr">
        <is>
          <t>CCB International Capital Limited; China Securities (International) Corporate Finance Company Limited</t>
        </is>
      </c>
      <c r="BT17" s="63" t="inlineStr">
        <is>
          <t>CCB International Capital Limited; China Securities (International) Corporate Finance Company Limited</t>
        </is>
      </c>
      <c r="BU17" s="63" t="inlineStr">
        <is>
          <t>CCB International Capital Limited; China Securities (International) Corporate Finance Company Limited; Shenwan Hongyuan Securities (H.K.) Limited; ABCI Capital Limited; China Industrial Securities International Capital Limited; UOB Kay Hian (Hong Kong) Limited; HeungKong Securities Limited; Futu Securities International (Hong Kong) Limited; AMTD Global Markets Limited</t>
        </is>
      </c>
      <c r="BV17" s="63" t="inlineStr">
        <is>
          <t>ABCI Securities Company Limited; AMTD Global Markets Limited; CCB International Capital Limited; China Industrial Securities International Capital Limited; China Securities (International) Corporate Finance Company Limited; Futu Securities International (Hong Kong) Limited; HeungKong Securities Limited; Shenwan Hongyuan Securities (H.K.) Limited; UOB Kay Hian (Hong Kong) Limited</t>
        </is>
      </c>
      <c r="BW17" s="78">
        <f>HYPERLINK("https://www1.hkexnews.hk/listedco/listconews/sehk/2021/0114/2021011400003.pdf","prospectus")</f>
        <v/>
      </c>
      <c r="BX17" s="78">
        <f>HYPERLINK("https://www1.hkexnews.hk/listedco/listconews/sehk/2021/0125/2021012500004.htm","allotment")</f>
        <v/>
      </c>
      <c r="BY17" s="78">
        <f>HYPERLINK("https://www1.hkexnews.hk/listedco/listconews/sehk/2021/0218/2021021800882.pdf","stabilisation")</f>
        <v/>
      </c>
      <c r="BZ17" s="76" t="n"/>
      <c r="CA17" s="63" t="inlineStr">
        <is>
          <t>P/E: net income not stated in extractable form · A/H: no A-share listing · financials: financial tables not machine-extractable and the pre-IPO year is outside AAStocks' 5-year window · grey market: no grey-market headline on file for this deal — AAStocks publishes one per listing but keeps only recent items on the stock's news page, and no public archive of past evening sessions exists; captured from this run onward</t>
        </is>
      </c>
    </row>
    <row r="18" ht="15" customHeight="1">
      <c r="A18" s="62" t="inlineStr">
        <is>
          <t>2160</t>
        </is>
      </c>
      <c r="B18" s="63" t="inlineStr">
        <is>
          <t>CARDIOFLOW-B</t>
        </is>
      </c>
      <c r="C18" s="63" t="inlineStr">
        <is>
          <t>微創心通－Ｂ</t>
        </is>
      </c>
      <c r="D18" s="63" t="inlineStr">
        <is>
          <t>Healthcare</t>
        </is>
      </c>
      <c r="E18" s="63" t="inlineStr">
        <is>
          <t>Medical devices</t>
        </is>
      </c>
      <c r="F18" s="63" t="inlineStr">
        <is>
          <t>Biotechnology</t>
        </is>
      </c>
      <c r="G18" s="63" t="inlineStr">
        <is>
          <t>18A</t>
        </is>
      </c>
      <c r="H18" s="64" t="n">
        <v>44231</v>
      </c>
      <c r="I18" s="65" t="n">
        <v>2508.6</v>
      </c>
      <c r="J18" s="63" t="inlineStr">
        <is>
          <t>gross (price x shares)</t>
        </is>
      </c>
      <c r="K18" s="66" t="n"/>
      <c r="L18" s="66" t="n">
        <v>12.2</v>
      </c>
      <c r="M18" s="66" t="n">
        <v>12.2</v>
      </c>
      <c r="N18" s="63" t="inlineStr">
        <is>
          <t>Y</t>
        </is>
      </c>
      <c r="O18" s="67" t="n">
        <v>100</v>
      </c>
      <c r="P18" s="67" t="n"/>
      <c r="Q18" s="68" t="n">
        <v>27925.2</v>
      </c>
      <c r="R18" s="63" t="inlineStr">
        <is>
          <t>aastocks:上市市值 at the struck price</t>
        </is>
      </c>
      <c r="S18" s="69" t="n">
        <v>769</v>
      </c>
      <c r="T18" s="70" t="n">
        <v>54</v>
      </c>
      <c r="U18" s="71" t="n">
        <v>38.9</v>
      </c>
      <c r="V18" s="68" t="n">
        <v>1532.75</v>
      </c>
      <c r="W18" s="68" t="n">
        <v>125633820</v>
      </c>
      <c r="X18" s="67" t="n">
        <v>5.49</v>
      </c>
      <c r="Y18" s="63" t="inlineStr">
        <is>
          <t>3W Fund Management Limited; CDG Group Fund L.P; China Asset Management Co., Ltd; CPE Greater China Enterprises Growth Fund; Gaoling Fund, L.P.; YHG Investment, L.P; GIC Private Limited; Indus Capital Partners, LLC; Kunlun Group Limited; Lake Bleu Prime Healthcare Master Fund Limited; Pinpoint Asset Management Limited; Snow Lake China Master Long Fund, Ltd; Taikang Life Insurance Co., Ltd; Tybourne Capital Management (HK) Limited; Woodline Master Fund LP; WT Asset Management Limited; Yi Fang Da Brocade Inv. Limited</t>
        </is>
      </c>
      <c r="Z18" s="63" t="inlineStr">
        <is>
          <t>3w;cdg;china-asset;cpe;gaoling;yhg;gic;indus;kunlun;lake;pinpoint;snow;taikang;tybourne;woodline;wt;yi</t>
        </is>
      </c>
      <c r="AA18" s="67" t="n"/>
      <c r="AB18" s="72" t="n"/>
      <c r="AC18" s="66" t="n"/>
      <c r="AD18" s="72" t="n"/>
      <c r="AE18" s="63" t="n"/>
      <c r="AF18" s="63" t="n"/>
      <c r="AG18" s="63" t="inlineStr">
        <is>
          <t>full</t>
        </is>
      </c>
      <c r="AH18" s="63" t="inlineStr">
        <is>
          <t>2021-02-28</t>
        </is>
      </c>
      <c r="AI18" s="63" t="n"/>
      <c r="AJ18" s="63" t="n"/>
      <c r="AK18" s="73" t="n">
        <v>54.26</v>
      </c>
      <c r="AL18" s="72" t="n">
        <v>76.23</v>
      </c>
      <c r="AM18" s="72" t="n">
        <v>-12.47</v>
      </c>
      <c r="AN18" s="72" t="n">
        <v>59.67</v>
      </c>
      <c r="AO18" s="72" t="n">
        <v>29.51</v>
      </c>
      <c r="AP18" s="72" t="n">
        <v>27.54</v>
      </c>
      <c r="AQ18" s="72" t="n">
        <v>3.51</v>
      </c>
      <c r="AR18" s="72" t="n">
        <v>-16.04</v>
      </c>
      <c r="AS18" s="72" t="n">
        <v>-17.32</v>
      </c>
      <c r="AT18" s="72" t="n">
        <v>53.43</v>
      </c>
      <c r="AU18" s="72" t="n">
        <v>48.39</v>
      </c>
      <c r="AV18" s="72" t="n">
        <v>36.5</v>
      </c>
      <c r="AW18" s="72" t="n">
        <v>2.69</v>
      </c>
      <c r="AX18" s="72" t="n">
        <v>-18.88</v>
      </c>
      <c r="AY18" s="72" t="n">
        <v>-18.73</v>
      </c>
      <c r="AZ18" s="63" t="inlineStr">
        <is>
          <t>China Biotech ETF (HS biotech proxy)</t>
        </is>
      </c>
      <c r="BA18" s="72" t="n">
        <v>-97.90000000000001</v>
      </c>
      <c r="BB18" s="64" t="inlineStr">
        <is>
          <t>2026-08-31</t>
        </is>
      </c>
      <c r="BC18" s="65" t="n">
        <v>53.3</v>
      </c>
      <c r="BD18" s="68" t="n">
        <v>-91.8</v>
      </c>
      <c r="BE18" s="63" t="inlineStr">
        <is>
          <t>N</t>
        </is>
      </c>
      <c r="BF18" s="63" t="inlineStr">
        <is>
          <t>n/m</t>
        </is>
      </c>
      <c r="BG18" s="74" t="n"/>
      <c r="BH18" s="74" t="n"/>
      <c r="BI18" s="74" t="n">
        <v>523.9</v>
      </c>
      <c r="BJ18" s="75">
        <f>IF('BBG Verify'!S18="","not filed — run on terminal",'BBG Verify'!S18)</f>
        <v/>
      </c>
      <c r="BK18" s="76" t="inlineStr">
        <is>
          <t>N</t>
        </is>
      </c>
      <c r="BL18" s="77">
        <f>IF('BBG Verify'!K18="","not filed — run on terminal",'BBG Verify'!K18)</f>
        <v/>
      </c>
      <c r="BM18" s="63" t="inlineStr">
        <is>
          <t>N/A</t>
        </is>
      </c>
      <c r="BN18" s="63" t="inlineStr">
        <is>
          <t>N/A</t>
        </is>
      </c>
      <c r="BO18" s="63" t="inlineStr">
        <is>
          <t>N/A</t>
        </is>
      </c>
      <c r="BP18" s="63" t="inlineStr">
        <is>
          <t>N/A</t>
        </is>
      </c>
      <c r="BQ18" s="63" t="inlineStr">
        <is>
          <t>N/A</t>
        </is>
      </c>
      <c r="BR18" s="63" t="inlineStr">
        <is>
          <t>N/A</t>
        </is>
      </c>
      <c r="BS18" s="76" t="n"/>
      <c r="BT18" s="63" t="inlineStr">
        <is>
          <t>China International Capital Corporation Hong Kong Securities Limited; J.P. Morgan Securities (Far East) Limited; Citigroup Global Markets Asia Limited</t>
        </is>
      </c>
      <c r="BU18" s="63" t="inlineStr">
        <is>
          <t>Citigroup Global Markets Asia Limited; China International Capital Corporation Hong Kong Securities Limited; J.P. Morgan Securities (Asia Pacific) Limited</t>
        </is>
      </c>
      <c r="BV18" s="63" t="inlineStr">
        <is>
          <t>Citigroup Global Markets Asia Limited; China International Capital Corporation Hong Kong Securities Limited; J.P. Morgan Securities (Asia Pacific) Limited</t>
        </is>
      </c>
      <c r="BW18" s="78">
        <f>HYPERLINK("https://www1.hkexnews.hk/listedco/listconews/sehk/2021/0126/2021012600169.htm","prospectus")</f>
        <v/>
      </c>
      <c r="BX18" s="78">
        <f>HYPERLINK("https://www1.hkexnews.hk/listedco/listconews/sehk/2021/0203/2021020300020.htm","allotment")</f>
        <v/>
      </c>
      <c r="BY18" s="78">
        <f>HYPERLINK("https://www1.hkexnews.hk/listedco/listconews/sehk/2021/0228/2021022800029.pdf","stabilisation")</f>
        <v/>
      </c>
      <c r="BZ18" s="76" t="n"/>
      <c r="CA18" s="63" t="inlineStr">
        <is>
          <t>P/E: n/m — loss-making at IPO (use P/S) · price range: fixed-price offering (no indicative range) · range low: cap-only pricing — the filing publishes a Maximum Offer Price and no indicative floor · A/H: no A-share listing · sponsor: English name not in the filing text; AAStocks 保薦人 shown · cornerstone %: AAStocks institutional-order total / deal size — an upper bound; the table can include non-cornerstone orders · greenshoe size: no over-allotment option in the offer structure · P/S: 524x on HK$53.3m revenue — effectively pre-revenue; the multiple is shown for completeness, not comparability · stabilising manager: neither the allotment announcement's cover sentence nor the prospectus definitions glossary names one in a form the parser reads — not inferred from the sponsor · grey market: no grey-market headline on file for this deal — AAStocks publishes one per listing but keeps only recent items on the stock's news page, and no public archive of past evening sessions exists; captured from this run onward</t>
        </is>
      </c>
    </row>
    <row r="19" ht="15" customHeight="1">
      <c r="A19" s="62" t="inlineStr">
        <is>
          <t>2161</t>
        </is>
      </c>
      <c r="B19" s="63" t="inlineStr">
        <is>
          <t>JBM HEALTHCARE</t>
        </is>
      </c>
      <c r="C19" s="63" t="inlineStr">
        <is>
          <t>健倍苗苗</t>
        </is>
      </c>
      <c r="D19" s="63" t="inlineStr">
        <is>
          <t>Healthcare</t>
        </is>
      </c>
      <c r="E19" s="63" t="inlineStr">
        <is>
          <t>Biopharma commercial</t>
        </is>
      </c>
      <c r="F19" s="63" t="inlineStr">
        <is>
          <t>Health Care Supplies</t>
        </is>
      </c>
      <c r="G19" s="63" t="inlineStr">
        <is>
          <t>Standard</t>
        </is>
      </c>
      <c r="H19" s="64" t="n">
        <v>44232</v>
      </c>
      <c r="I19" s="65" t="n">
        <v>10.6</v>
      </c>
      <c r="J19" s="63" t="inlineStr">
        <is>
          <t>net proceeds</t>
        </is>
      </c>
      <c r="K19" s="66" t="n"/>
      <c r="L19" s="66" t="n">
        <v>1.2</v>
      </c>
      <c r="M19" s="66" t="n">
        <v>1.2</v>
      </c>
      <c r="N19" s="63" t="inlineStr">
        <is>
          <t>Y</t>
        </is>
      </c>
      <c r="O19" s="67" t="n">
        <v>100</v>
      </c>
      <c r="P19" s="67" t="n"/>
      <c r="Q19" s="68" t="n">
        <v>1072.4</v>
      </c>
      <c r="R19" s="63" t="inlineStr">
        <is>
          <t>press:broker factsheet (cyberquote 2161.pdf): HK$1,072.4m at HK$1.20 | FINANCIALS (HKD x1.0): JBM Healthcare FY2020 (Mar-YE) prospectus: revenue HK$381.5m, profit HK$44.3m</t>
        </is>
      </c>
      <c r="S19" s="69" t="n">
        <v>22.47</v>
      </c>
      <c r="T19" s="79">
        <f>IF('BBG Verify'!E19="","not filed — run on terminal",'BBG Verify'!E19)</f>
        <v/>
      </c>
      <c r="U19" s="71" t="n"/>
      <c r="V19" s="68" t="n">
        <v>10.6</v>
      </c>
      <c r="W19" s="68" t="n"/>
      <c r="X19" s="67" t="n">
        <v>0.99</v>
      </c>
      <c r="Y19" s="63" t="n"/>
      <c r="Z19" s="63" t="n"/>
      <c r="AA19" s="67" t="n"/>
      <c r="AB19" s="72" t="n"/>
      <c r="AC19" s="66" t="n"/>
      <c r="AD19" s="72" t="n"/>
      <c r="AE19" s="63" t="n"/>
      <c r="AF19" s="63" t="n"/>
      <c r="AG19" s="63" t="n"/>
      <c r="AH19" s="63" t="n"/>
      <c r="AI19" s="63" t="n"/>
      <c r="AJ19" s="63" t="n"/>
      <c r="AK19" s="73" t="n">
        <v>80</v>
      </c>
      <c r="AL19" s="72" t="n">
        <v>23.33</v>
      </c>
      <c r="AM19" s="72" t="n">
        <v>45.95</v>
      </c>
      <c r="AN19" s="72" t="n">
        <v>100</v>
      </c>
      <c r="AO19" s="72" t="n">
        <v>21.67</v>
      </c>
      <c r="AP19" s="72" t="n">
        <v>50</v>
      </c>
      <c r="AQ19" s="72" t="n">
        <v>11.11</v>
      </c>
      <c r="AR19" s="72" t="n">
        <v>-32.41</v>
      </c>
      <c r="AS19" s="72" t="n">
        <v>-16.67</v>
      </c>
      <c r="AT19" s="72" t="n">
        <v>93.61</v>
      </c>
      <c r="AU19" s="72" t="n">
        <v>39.37</v>
      </c>
      <c r="AV19" s="72" t="n">
        <v>56.87</v>
      </c>
      <c r="AW19" s="72" t="n">
        <v>-13.88</v>
      </c>
      <c r="AX19" s="72" t="n">
        <v>-17.7</v>
      </c>
      <c r="AY19" s="72" t="n">
        <v>-18.53</v>
      </c>
      <c r="AZ19" s="63" t="inlineStr">
        <is>
          <t>China Biotech ETF (HS biotech proxy)</t>
        </is>
      </c>
      <c r="BA19" s="72" t="n">
        <v>53.33</v>
      </c>
      <c r="BB19" s="64" t="inlineStr">
        <is>
          <t>2026-08-28</t>
        </is>
      </c>
      <c r="BC19" s="65" t="n">
        <v>381.5</v>
      </c>
      <c r="BD19" s="68" t="n">
        <v>44.3</v>
      </c>
      <c r="BE19" s="63" t="inlineStr">
        <is>
          <t>Y</t>
        </is>
      </c>
      <c r="BF19" s="74" t="n">
        <v>24.2</v>
      </c>
      <c r="BG19" s="74" t="n"/>
      <c r="BH19" s="74" t="n">
        <v>7.4</v>
      </c>
      <c r="BI19" s="74" t="n">
        <v>2.8</v>
      </c>
      <c r="BJ19" s="75">
        <f>IF('BBG Verify'!S19="","not filed — run on terminal",'BBG Verify'!S19)</f>
        <v/>
      </c>
      <c r="BK19" s="76" t="inlineStr">
        <is>
          <t>N</t>
        </is>
      </c>
      <c r="BL19" s="77">
        <f>IF('BBG Verify'!K19="","not filed — run on terminal",'BBG Verify'!K19)</f>
        <v/>
      </c>
      <c r="BM19" s="63" t="inlineStr">
        <is>
          <t>N/A</t>
        </is>
      </c>
      <c r="BN19" s="63" t="inlineStr">
        <is>
          <t>N/A</t>
        </is>
      </c>
      <c r="BO19" s="63" t="inlineStr">
        <is>
          <t>N/A</t>
        </is>
      </c>
      <c r="BP19" s="63" t="inlineStr">
        <is>
          <t>N/A</t>
        </is>
      </c>
      <c r="BQ19" s="63" t="inlineStr">
        <is>
          <t>N/A</t>
        </is>
      </c>
      <c r="BR19" s="63" t="inlineStr">
        <is>
          <t>N/A</t>
        </is>
      </c>
      <c r="BS19" s="76" t="n"/>
      <c r="BT19" s="63" t="inlineStr">
        <is>
          <t>China Galaxy International Securities (Hong Kong) Company Limited</t>
        </is>
      </c>
      <c r="BU19" s="63" t="inlineStr">
        <is>
          <t>China Galaxy International Securities (Hong Kong) Company Limited; Cinda International Capital Limited; Eddid Securities and Futures Limited; Fosun Hani Securities Limited; HeungKong Securities Limited; Maxa Capital Limited</t>
        </is>
      </c>
      <c r="BV19" s="63" t="inlineStr">
        <is>
          <t>China Galaxy International Securities (Hong Kong) Company Limited; Cinda International Capital Limited; Eddid Securities and Futures Limited; Fosun Hani Securities Limited; HeungKong Securities Limited; Maxa Capital Limited; Southwest Securities (HK) Brokerage Limited; TUS Corporate Finance Limited</t>
        </is>
      </c>
      <c r="BW19" s="78">
        <f>HYPERLINK("https://www1.hkexnews.hk/listedco/listconews/sehk/2021/0126/2021012600248.pdf","prospectus")</f>
        <v/>
      </c>
      <c r="BX19" s="78">
        <f>HYPERLINK("https://www1.hkexnews.hk/listedco/listconews/sehk/2021/0204/2021020400012.htm","allotment")</f>
        <v/>
      </c>
      <c r="BY19" s="63" t="n"/>
      <c r="BZ19" s="76" t="n"/>
      <c r="CA19" s="63" t="inlineStr">
        <is>
          <t>intl sub: subscription level not stated in the filing · greenshoe: no over-allotment option in the offer structure · range low: cap-only pricing — the filing publishes a Maximum Offer Price and no indicative floor · A/H: no A-share listing · sponsor: English name not in the filing text; AAStocks 保薦人 shown · cornerstone list: cornerstone section not machine-extractable — see the prospectus link · cornerstone %: cornerstone aggregate not stated in the filing · greenshoe size: no over-allotment option in the offer structure · stabilising manager: no over-allotment option in the offer structure, so no stabilising manager is appointed · grey market: no grey-market headline on file for this deal — AAStocks publishes one per listing but keeps only recent items on the stock's news page, and no public archive of past evening sessions exists; captured from this run onward · eff float shares: share count unavailable or rejected as implausible — the money figure (eff_free_float_hkdm) is still exact</t>
        </is>
      </c>
    </row>
    <row r="20" ht="15" customHeight="1">
      <c r="A20" s="62" t="inlineStr">
        <is>
          <t>1024</t>
        </is>
      </c>
      <c r="B20" s="63" t="inlineStr">
        <is>
          <t>KUAISHOU-W</t>
        </is>
      </c>
      <c r="C20" s="63" t="inlineStr">
        <is>
          <t>快手－Ｗ</t>
        </is>
      </c>
      <c r="D20" s="63" t="inlineStr">
        <is>
          <t>Tech/AI</t>
        </is>
      </c>
      <c r="E20" s="63" t="inlineStr">
        <is>
          <t>Internet platform / e-commerce</t>
        </is>
      </c>
      <c r="F20" s="63" t="inlineStr">
        <is>
          <t>e-Commerce &amp; Internet Services</t>
        </is>
      </c>
      <c r="G20" s="63" t="inlineStr">
        <is>
          <t>WVR</t>
        </is>
      </c>
      <c r="H20" s="64" t="n">
        <v>44232</v>
      </c>
      <c r="I20" s="65" t="n">
        <v>42000.1</v>
      </c>
      <c r="J20" s="63" t="inlineStr">
        <is>
          <t>gross (price x shares)</t>
        </is>
      </c>
      <c r="K20" s="66" t="n"/>
      <c r="L20" s="66" t="n">
        <v>115</v>
      </c>
      <c r="M20" s="66" t="n">
        <v>115</v>
      </c>
      <c r="N20" s="63" t="inlineStr">
        <is>
          <t>Y</t>
        </is>
      </c>
      <c r="O20" s="67" t="n">
        <v>100</v>
      </c>
      <c r="P20" s="67" t="n"/>
      <c r="Q20" s="68" t="n">
        <v>457482.6</v>
      </c>
      <c r="R20" s="63" t="inlineStr">
        <is>
          <t>aastocks:上市市值 at the struck price</t>
        </is>
      </c>
      <c r="S20" s="69" t="n">
        <v>1204.16</v>
      </c>
      <c r="T20" s="70" t="n">
        <v>39</v>
      </c>
      <c r="U20" s="71" t="n">
        <v>45.23</v>
      </c>
      <c r="V20" s="68" t="n">
        <v>23003.45</v>
      </c>
      <c r="W20" s="68" t="n">
        <v>200030227</v>
      </c>
      <c r="X20" s="67" t="n">
        <v>5.03</v>
      </c>
      <c r="Y20" s="63" t="inlineStr">
        <is>
          <t>Aranda Investments Pte. Ltd; BlackRock, Inc; CPP Investment Board PMI-2 Inc; FIL Investment Management (Hong Kong) Limited; GIC Private Limited; Invesco Ltd; Sunny Festive Limited; The Capital Group Funds</t>
        </is>
      </c>
      <c r="Z20" s="63" t="inlineStr">
        <is>
          <t>aranda;blackrock;cpp;fil;gic;invesco;sunny;the-capital</t>
        </is>
      </c>
      <c r="AA20" s="67" t="n"/>
      <c r="AB20" s="72" t="n"/>
      <c r="AC20" s="66" t="n"/>
      <c r="AD20" s="72" t="n"/>
      <c r="AE20" s="63" t="n"/>
      <c r="AF20" s="63" t="n"/>
      <c r="AG20" s="63" t="inlineStr">
        <is>
          <t>full</t>
        </is>
      </c>
      <c r="AH20" s="63" t="inlineStr">
        <is>
          <t>2021-02-28</t>
        </is>
      </c>
      <c r="AI20" s="63" t="inlineStr">
        <is>
          <t>Morgan Stanley Asia Limited</t>
        </is>
      </c>
      <c r="AJ20" s="63" t="inlineStr">
        <is>
          <t>Morgan Stanley</t>
        </is>
      </c>
      <c r="AK20" s="73" t="n">
        <v>160.87</v>
      </c>
      <c r="AL20" s="72" t="n">
        <v>193.91</v>
      </c>
      <c r="AM20" s="72" t="n">
        <v>-11.24</v>
      </c>
      <c r="AN20" s="72" t="n">
        <v>250.43</v>
      </c>
      <c r="AO20" s="72" t="n">
        <v>141.91</v>
      </c>
      <c r="AP20" s="72" t="n">
        <v>105.39</v>
      </c>
      <c r="AQ20" s="72" t="n">
        <v>34.33</v>
      </c>
      <c r="AR20" s="72" t="n">
        <v>-7.27</v>
      </c>
      <c r="AS20" s="72" t="n">
        <v>-21.27</v>
      </c>
      <c r="AT20" s="72" t="n">
        <v>242.45</v>
      </c>
      <c r="AU20" s="72" t="n">
        <v>158.43</v>
      </c>
      <c r="AV20" s="72" t="n">
        <v>126.23</v>
      </c>
      <c r="AW20" s="72" t="n">
        <v>8.470000000000001</v>
      </c>
      <c r="AX20" s="72" t="n">
        <v>-16.52</v>
      </c>
      <c r="AY20" s="72" t="n">
        <v>-15.74</v>
      </c>
      <c r="AZ20" s="63" t="inlineStr">
        <is>
          <t>HSTECH (Hang Seng TECH ETF)</t>
        </is>
      </c>
      <c r="BA20" s="72" t="n">
        <v>-70.90000000000001</v>
      </c>
      <c r="BB20" s="64" t="inlineStr">
        <is>
          <t>2026-08-28</t>
        </is>
      </c>
      <c r="BC20" s="65" t="n"/>
      <c r="BD20" s="68" t="n"/>
      <c r="BE20" s="63" t="n"/>
      <c r="BF20" s="75">
        <f>IF('BBG Verify'!O20="","not filed — run on terminal",'BBG Verify'!O20)</f>
        <v/>
      </c>
      <c r="BG20" s="74" t="n"/>
      <c r="BH20" s="74" t="n">
        <v>8</v>
      </c>
      <c r="BI20" s="74" t="n"/>
      <c r="BJ20" s="75">
        <f>IF('BBG Verify'!S20="","not filed — run on terminal",'BBG Verify'!S20)</f>
        <v/>
      </c>
      <c r="BK20" s="76" t="inlineStr">
        <is>
          <t>N</t>
        </is>
      </c>
      <c r="BL20" s="77">
        <f>IF('BBG Verify'!K20="","not filed — run on terminal",'BBG Verify'!K20)</f>
        <v/>
      </c>
      <c r="BM20" s="63" t="inlineStr">
        <is>
          <t>N/A</t>
        </is>
      </c>
      <c r="BN20" s="63" t="inlineStr">
        <is>
          <t>N/A</t>
        </is>
      </c>
      <c r="BO20" s="63" t="inlineStr">
        <is>
          <t>N/A</t>
        </is>
      </c>
      <c r="BP20" s="63" t="inlineStr">
        <is>
          <t>N/A</t>
        </is>
      </c>
      <c r="BQ20" s="63" t="inlineStr">
        <is>
          <t>N/A</t>
        </is>
      </c>
      <c r="BR20" s="63" t="inlineStr">
        <is>
          <t>N/A</t>
        </is>
      </c>
      <c r="BS20" s="76" t="n"/>
      <c r="BT20" s="63" t="inlineStr">
        <is>
          <t>Morgan Stanley Asia Limited; Merrill Lynch Far East Limited; China Renaissance Securities (Hong Kong) Limited</t>
        </is>
      </c>
      <c r="BU20" s="63" t="inlineStr">
        <is>
          <t>BOCI Asia Limited; CMB International Capital Limited; China Renaissance Securities (Hong Kong) Limited; Futu Securities International (Hong Kong) Limited; Haitong International Securities Company Limited; The Hongkong and Shanghai Banking Corporation Limited</t>
        </is>
      </c>
      <c r="BV20" s="63" t="inlineStr">
        <is>
          <t>BOCI Asia Limited; CMB International Capital Limited; China Renaissance Securities (Hong Kong) Limited; Futu Securities International (Hong Kong) Limited; Haitong International Securities Company Limited; The Hongkong and Shanghai Banking Corporation Limited; ICBC International Securities Limited; Merrill Lynch (Asia Pacific) Limited; Morgan Stanley Asia Limited</t>
        </is>
      </c>
      <c r="BW20" s="78">
        <f>HYPERLINK("https://www1.hkexnews.hk/listedco/listconews/sehk/2021/0126/2021012600093.htm","prospectus")</f>
        <v/>
      </c>
      <c r="BX20" s="78">
        <f>HYPERLINK("https://www1.hkexnews.hk/listedco/listconews/sehk/2021/0204/2021020400034.htm","allotment")</f>
        <v/>
      </c>
      <c r="BY20" s="78">
        <f>HYPERLINK("https://www1.hkexnews.hk/listedco/listconews/sehk/2021/0301/2021030100029.pdf","stabilisation")</f>
        <v/>
      </c>
      <c r="BZ20" s="76" t="n"/>
      <c r="CA20" s="63" t="inlineStr">
        <is>
          <t>P/E: net income not stated in extractable form · price range: fixed-price offering (no indicative range) · range low: cap-only pricing — the filing publishes a Maximum Offer Price and no indicative floor · A/H: no A line; closest listed proxy {'code': '300413.SZ', 'name': 'Mango Excellent Media', 'rationale': 'A-shares have no short-video platform; Mango (Hunan TV streaming/content) is the standard A-share video-platform traffic-and-ads proxy.'} · sponsor: English name not in the filing text; AAStocks 保薦人 shown · greenshoe size: no over-allotment option in the offer structure · P/S: revenue not extractable · financials: financial tables not machine-extractable and the pre-IPO year is outside AAStocks' 5-year window · grey market: no grey-market headline on file for this deal — AAStocks publishes one per listing but keeps only recent items on the stock's news page, and no public archive of past evening sessions exists; captured from this run onward</t>
        </is>
      </c>
    </row>
    <row r="21" ht="15" customHeight="1">
      <c r="A21" s="62" t="inlineStr">
        <is>
          <t>2170</t>
        </is>
      </c>
      <c r="B21" s="63" t="inlineStr">
        <is>
          <t>BASECARE-B</t>
        </is>
      </c>
      <c r="C21" s="63" t="inlineStr">
        <is>
          <t>貝康醫療－Ｂ</t>
        </is>
      </c>
      <c r="D21" s="63" t="inlineStr">
        <is>
          <t>Healthcare</t>
        </is>
      </c>
      <c r="E21" s="63" t="inlineStr">
        <is>
          <t>Medical devices</t>
        </is>
      </c>
      <c r="F21" s="63" t="inlineStr">
        <is>
          <t>Biotechnology</t>
        </is>
      </c>
      <c r="G21" s="63" t="inlineStr">
        <is>
          <t>18A</t>
        </is>
      </c>
      <c r="H21" s="64" t="n">
        <v>44235</v>
      </c>
      <c r="I21" s="65" t="n">
        <v>1824</v>
      </c>
      <c r="J21" s="63" t="inlineStr">
        <is>
          <t>gross (price x shares)</t>
        </is>
      </c>
      <c r="K21" s="66" t="n"/>
      <c r="L21" s="66" t="n">
        <v>27.36</v>
      </c>
      <c r="M21" s="66" t="n">
        <v>27.36</v>
      </c>
      <c r="N21" s="63" t="inlineStr">
        <is>
          <t>Y</t>
        </is>
      </c>
      <c r="O21" s="67" t="n">
        <v>100</v>
      </c>
      <c r="P21" s="67" t="n"/>
      <c r="Q21" s="68" t="n">
        <v>7346.9</v>
      </c>
      <c r="R21" s="63" t="inlineStr">
        <is>
          <t>aastocks:上市市值 at the struck price</t>
        </is>
      </c>
      <c r="S21" s="69" t="n">
        <v>402.8</v>
      </c>
      <c r="T21" s="70" t="n">
        <v>21.8</v>
      </c>
      <c r="U21" s="71" t="n">
        <v>17</v>
      </c>
      <c r="V21" s="68" t="n">
        <v>1513.92</v>
      </c>
      <c r="W21" s="68" t="n">
        <v>55333610</v>
      </c>
      <c r="X21" s="67" t="n">
        <v>20.61</v>
      </c>
      <c r="Y21" s="63" t="inlineStr">
        <is>
          <t>Affin Hwang Asset Management Berhad; CRF Investment Holdings Company Limited; Foresight Funds; IvyRock Asset Management (HK) Limited; Lake Bleu Prime Healthcare Master Fund Limited; OrbiMed Funds; WinTwin Capital Limited</t>
        </is>
      </c>
      <c r="Z21" s="63" t="inlineStr">
        <is>
          <t>affin;crf;foresight;ivyrock;lake;orbimed;wintwin</t>
        </is>
      </c>
      <c r="AA21" s="67" t="n"/>
      <c r="AB21" s="72" t="n"/>
      <c r="AC21" s="66" t="n"/>
      <c r="AD21" s="72" t="n"/>
      <c r="AE21" s="63" t="n"/>
      <c r="AF21" s="63" t="n"/>
      <c r="AG21" s="63" t="inlineStr">
        <is>
          <t>partial</t>
        </is>
      </c>
      <c r="AH21" s="63" t="inlineStr">
        <is>
          <t>2021-03-03</t>
        </is>
      </c>
      <c r="AI21" s="63" t="inlineStr">
        <is>
          <t>CLSA Limited</t>
        </is>
      </c>
      <c r="AJ21" s="63" t="inlineStr">
        <is>
          <t>CLSA</t>
        </is>
      </c>
      <c r="AK21" s="73" t="n">
        <v>1.24</v>
      </c>
      <c r="AL21" s="72" t="n">
        <v>9.65</v>
      </c>
      <c r="AM21" s="72" t="n">
        <v>-7.67</v>
      </c>
      <c r="AN21" s="72" t="n">
        <v>16.96</v>
      </c>
      <c r="AO21" s="72" t="n">
        <v>-25.26</v>
      </c>
      <c r="AP21" s="72" t="n">
        <v>-1.32</v>
      </c>
      <c r="AQ21" s="72" t="n">
        <v>15.53</v>
      </c>
      <c r="AR21" s="72" t="n">
        <v>-26.18</v>
      </c>
      <c r="AS21" s="72" t="n">
        <v>-2.53</v>
      </c>
      <c r="AT21" s="72" t="n">
        <v>11.93</v>
      </c>
      <c r="AU21" s="72" t="n">
        <v>-9.67</v>
      </c>
      <c r="AV21" s="72" t="n">
        <v>6.3</v>
      </c>
      <c r="AW21" s="72" t="n">
        <v>-9.880000000000001</v>
      </c>
      <c r="AX21" s="72" t="n">
        <v>-15.59</v>
      </c>
      <c r="AY21" s="72" t="n">
        <v>-16.3</v>
      </c>
      <c r="AZ21" s="63" t="inlineStr">
        <is>
          <t>China Biotech ETF (HS biotech proxy)</t>
        </is>
      </c>
      <c r="BA21" s="72" t="n">
        <v>-95.06999999999999</v>
      </c>
      <c r="BB21" s="64" t="inlineStr">
        <is>
          <t>2026-08-28</t>
        </is>
      </c>
      <c r="BC21" s="65" t="n">
        <v>46</v>
      </c>
      <c r="BD21" s="68" t="n"/>
      <c r="BE21" s="63" t="n"/>
      <c r="BF21" s="75">
        <f>IF('BBG Verify'!O21="","not filed — run on terminal",'BBG Verify'!O21)</f>
        <v/>
      </c>
      <c r="BG21" s="74" t="n"/>
      <c r="BH21" s="74" t="n"/>
      <c r="BI21" s="74" t="n">
        <v>159.7</v>
      </c>
      <c r="BJ21" s="75">
        <f>IF('BBG Verify'!S21="","not filed — run on terminal",'BBG Verify'!S21)</f>
        <v/>
      </c>
      <c r="BK21" s="76" t="inlineStr">
        <is>
          <t>N</t>
        </is>
      </c>
      <c r="BL21" s="77">
        <f>IF('BBG Verify'!K21="","not filed — run on terminal",'BBG Verify'!K21)</f>
        <v/>
      </c>
      <c r="BM21" s="63" t="inlineStr">
        <is>
          <t>N/A</t>
        </is>
      </c>
      <c r="BN21" s="63" t="inlineStr">
        <is>
          <t>N/A</t>
        </is>
      </c>
      <c r="BO21" s="63" t="inlineStr">
        <is>
          <t>N/A</t>
        </is>
      </c>
      <c r="BP21" s="63" t="inlineStr">
        <is>
          <t>N/A</t>
        </is>
      </c>
      <c r="BQ21" s="63" t="inlineStr">
        <is>
          <t>N/A</t>
        </is>
      </c>
      <c r="BR21" s="63" t="inlineStr">
        <is>
          <t>N/A</t>
        </is>
      </c>
      <c r="BS21" s="76" t="n"/>
      <c r="BT21" s="63" t="inlineStr">
        <is>
          <t>CLSA Capital Markets Limited</t>
        </is>
      </c>
      <c r="BU21" s="63" t="inlineStr">
        <is>
          <t>Citigroup Global Markets Asia Limited; China International Capital Corporation Hong Kong Securities Limited; CLSA Limited; CMB International Capital Corporation Limited; Futu Securities International (Hong Kong) Limited; Haitong International Securities Company Limited</t>
        </is>
      </c>
      <c r="BV21" s="63" t="inlineStr">
        <is>
          <t>Citigroup Global Markets Asia Limited; China International Capital Corporation Hong Kong Securities Limited; CLSA Limited; CMB International Capital Corporation Limited; Futu Securities International (Hong Kong) Limited; Haitong International Securities Company Limited; ICBC International Securities Limited; SPDB International Capital Limited</t>
        </is>
      </c>
      <c r="BW21" s="78">
        <f>HYPERLINK("https://www1.hkexnews.hk/listedco/listconews/sehk/2021/0127/2021012700036.htm","prospectus")</f>
        <v/>
      </c>
      <c r="BX21" s="78">
        <f>HYPERLINK("https://www1.hkexnews.hk/listedco/listconews/sehk/2021/0205/2021020500040.htm","allotment")</f>
        <v/>
      </c>
      <c r="BY21" s="78">
        <f>HYPERLINK("https://www1.hkexnews.hk/listedco/listconews/sehk/2021/0304/2021030400005.pdf","stabilisation")</f>
        <v/>
      </c>
      <c r="BZ21" s="76" t="n"/>
      <c r="CA21" s="63" t="inlineStr">
        <is>
          <t>P/E: net income not stated in extractable form · price range: fixed-price offering (no indicative range) · range low: cap-only pricing — the filing publishes a Maximum Offer Price and no indicative floor · A/H: no A-share listing · sponsor: English name not in the filing text; AAStocks 保薦人 shown · cornerstone: AAStocks institutional table includes non-cornerstone orders (superset) — cornerstone % is from the prospectus · greenshoe size: no over-allotment option in the offer structure · financials: financial tables not machine-extractable and the pre-IPO year is outside AAStocks' 5-year window · grey market: no grey-market headline on file for this deal — AAStocks publishes one per listing but keeps only recent items on the stock's news page, and no public archive of past evening sessions exists; captured from this run onward</t>
        </is>
      </c>
    </row>
    <row r="22" ht="15" customHeight="1">
      <c r="A22" s="62" t="inlineStr">
        <is>
          <t>1473</t>
        </is>
      </c>
      <c r="B22" s="63" t="inlineStr">
        <is>
          <t>PANGAEA CONNECT</t>
        </is>
      </c>
      <c r="C22" s="63" t="inlineStr">
        <is>
          <t>環聯連訊</t>
        </is>
      </c>
      <c r="D22" s="63" t="inlineStr">
        <is>
          <t>Tech/AI</t>
        </is>
      </c>
      <c r="E22" s="63" t="inlineStr">
        <is>
          <t>SaaS / enterprise software</t>
        </is>
      </c>
      <c r="F22" s="63" t="inlineStr">
        <is>
          <t>Telecommunications &amp; Networking Equipment</t>
        </is>
      </c>
      <c r="G22" s="63" t="inlineStr">
        <is>
          <t>Standard</t>
        </is>
      </c>
      <c r="H22" s="64" t="n">
        <v>44246</v>
      </c>
      <c r="I22" s="65" t="n">
        <v>140</v>
      </c>
      <c r="J22" s="63" t="inlineStr">
        <is>
          <t>gross (price x shares)</t>
        </is>
      </c>
      <c r="K22" s="66" t="n">
        <v>0.52</v>
      </c>
      <c r="L22" s="66" t="n">
        <v>0.58</v>
      </c>
      <c r="M22" s="66" t="n">
        <v>0.5600000000000001</v>
      </c>
      <c r="N22" s="63" t="inlineStr">
        <is>
          <t>N</t>
        </is>
      </c>
      <c r="O22" s="67" t="n">
        <v>96.59999999999999</v>
      </c>
      <c r="P22" s="67" t="n">
        <v>66.7</v>
      </c>
      <c r="Q22" s="68" t="n">
        <v>502.1</v>
      </c>
      <c r="R22" s="63" t="inlineStr">
        <is>
          <t>prospectus:stated market capitalisation, rescaled to the offer price</t>
        </is>
      </c>
      <c r="S22" s="69" t="n">
        <v>64.15000000000001</v>
      </c>
      <c r="T22" s="70" t="n">
        <v>1.01</v>
      </c>
      <c r="U22" s="71" t="n">
        <v>0</v>
      </c>
      <c r="V22" s="68" t="n">
        <v>140</v>
      </c>
      <c r="W22" s="68" t="n">
        <v>250000000</v>
      </c>
      <c r="X22" s="67" t="n">
        <v>27.88</v>
      </c>
      <c r="Y22" s="63" t="n"/>
      <c r="Z22" s="63" t="n"/>
      <c r="AA22" s="67" t="n">
        <v>15</v>
      </c>
      <c r="AB22" s="72" t="n"/>
      <c r="AC22" s="66" t="n"/>
      <c r="AD22" s="72" t="n"/>
      <c r="AE22" s="63" t="n"/>
      <c r="AF22" s="63" t="n"/>
      <c r="AG22" s="63" t="n"/>
      <c r="AH22" s="63" t="n"/>
      <c r="AI22" s="63" t="inlineStr">
        <is>
          <t>Stabilisin g Manager</t>
        </is>
      </c>
      <c r="AJ22" s="63" t="inlineStr">
        <is>
          <t>Stabilisin g</t>
        </is>
      </c>
      <c r="AK22" s="73" t="n">
        <v>26.79</v>
      </c>
      <c r="AL22" s="72" t="n">
        <v>19.64</v>
      </c>
      <c r="AM22" s="72" t="n">
        <v>5.98</v>
      </c>
      <c r="AN22" s="72" t="n">
        <v>1.79</v>
      </c>
      <c r="AO22" s="72" t="n">
        <v>8.93</v>
      </c>
      <c r="AP22" s="72" t="n">
        <v>16.07</v>
      </c>
      <c r="AQ22" s="72" t="n">
        <v>-19.72</v>
      </c>
      <c r="AR22" s="72" t="n">
        <v>-14.09</v>
      </c>
      <c r="AS22" s="72" t="n">
        <v>-8.449999999999999</v>
      </c>
      <c r="AT22" s="72" t="n">
        <v>18.57</v>
      </c>
      <c r="AU22" s="72" t="n">
        <v>30.32</v>
      </c>
      <c r="AV22" s="72" t="n">
        <v>41.65</v>
      </c>
      <c r="AW22" s="72" t="n">
        <v>5.58</v>
      </c>
      <c r="AX22" s="72" t="n">
        <v>-21.39</v>
      </c>
      <c r="AY22" s="72" t="n">
        <v>-19.67</v>
      </c>
      <c r="AZ22" s="63" t="inlineStr">
        <is>
          <t>HSTECH (Hang Seng TECH ETF)</t>
        </is>
      </c>
      <c r="BA22" s="72" t="n">
        <v>119.64</v>
      </c>
      <c r="BB22" s="64" t="inlineStr">
        <is>
          <t>2026-08-28</t>
        </is>
      </c>
      <c r="BC22" s="65" t="n"/>
      <c r="BD22" s="68" t="n">
        <v>34.9</v>
      </c>
      <c r="BE22" s="63" t="inlineStr">
        <is>
          <t>Y</t>
        </is>
      </c>
      <c r="BF22" s="74" t="n">
        <v>14.4</v>
      </c>
      <c r="BG22" s="74" t="n"/>
      <c r="BH22" s="74" t="n">
        <v>37.1</v>
      </c>
      <c r="BI22" s="74" t="n"/>
      <c r="BJ22" s="75">
        <f>IF('BBG Verify'!S22="","not filed — run on terminal",'BBG Verify'!S22)</f>
        <v/>
      </c>
      <c r="BK22" s="76" t="inlineStr">
        <is>
          <t>N</t>
        </is>
      </c>
      <c r="BL22" s="77">
        <f>IF('BBG Verify'!K22="","not filed — run on terminal",'BBG Verify'!K22)</f>
        <v/>
      </c>
      <c r="BM22" s="63" t="inlineStr">
        <is>
          <t>N/A</t>
        </is>
      </c>
      <c r="BN22" s="63" t="inlineStr">
        <is>
          <t>N/A</t>
        </is>
      </c>
      <c r="BO22" s="63" t="inlineStr">
        <is>
          <t>N/A</t>
        </is>
      </c>
      <c r="BP22" s="63" t="inlineStr">
        <is>
          <t>N/A</t>
        </is>
      </c>
      <c r="BQ22" s="63" t="inlineStr">
        <is>
          <t>N/A</t>
        </is>
      </c>
      <c r="BR22" s="63" t="inlineStr">
        <is>
          <t>N/A</t>
        </is>
      </c>
      <c r="BS22" s="76" t="inlineStr">
        <is>
          <t>Honestum International Limited</t>
        </is>
      </c>
      <c r="BT22" s="63" t="inlineStr">
        <is>
          <t>Honestum International Limited</t>
        </is>
      </c>
      <c r="BU22" s="63" t="inlineStr">
        <is>
          <t>CMBC Securities Company Limited; Forwin Securities Group Limited; Lego Securities Limited; Crosby Securities Limited; GLAM Capital Limited</t>
        </is>
      </c>
      <c r="BV22" s="63" t="inlineStr">
        <is>
          <t>CMBC Securities Company Limited; Crosby Securities Limited; Enhanced Securities Limited; Forwin Securities Group Limited; GLAM Capital Limited; Lego Securities Limited; Victory Securities Company Limited</t>
        </is>
      </c>
      <c r="BW22" s="78">
        <f>HYPERLINK("https://www1.hkexnews.hk/listedco/listconews/sehk/2021/0129/2021012901777.pdf","prospectus")</f>
        <v/>
      </c>
      <c r="BX22" s="78">
        <f>HYPERLINK("https://www1.hkexnews.hk/listedco/listconews/sehk/2021/0218/2021021800016.htm","allotment")</f>
        <v/>
      </c>
      <c r="BY22" s="78">
        <f>HYPERLINK("https://www1.hkexnews.hk/listedco/listconews/sehk/2021/0308/2021030801177.pdf","stabilisation")</f>
        <v/>
      </c>
      <c r="BZ22" s="76" t="n"/>
      <c r="CA22" s="63" t="inlineStr">
        <is>
          <t>greenshoe: end-of-stabilisation notice not located · A/H: no A-share listing · market cap: prospectus states HK$520m at HK$0.58; rescaled to the struck HK$0.56 · cornerstone list: no cornerstone tranche in this deal · P/S: revenue not extractable · financials: financial tables not machine-extractable and the pre-IPO year is outside AAStocks' 5-year window · grey market: no grey-market headline on file for this deal — AAStocks publishes one per listing but keeps only recent items on the stock's news page, and no public archive of past evening sessions exists; captured from this run onward · stabilisation notice: notice located and linked; its outcome wording is not one of the recognised forms, so the over-allotment result is left blank rather than guessed</t>
        </is>
      </c>
    </row>
    <row r="23" ht="15" customHeight="1">
      <c r="A23" s="62" t="inlineStr">
        <is>
          <t>6127</t>
        </is>
      </c>
      <c r="B23" s="63" t="inlineStr">
        <is>
          <t>JOINN</t>
        </is>
      </c>
      <c r="C23" s="63" t="inlineStr">
        <is>
          <t>昭衍新藥</t>
        </is>
      </c>
      <c r="D23" s="63" t="inlineStr">
        <is>
          <t>Healthcare</t>
        </is>
      </c>
      <c r="E23" s="63" t="inlineStr">
        <is>
          <t>CXO / pharma services</t>
        </is>
      </c>
      <c r="F23" s="63" t="inlineStr">
        <is>
          <t>Health Care Services</t>
        </is>
      </c>
      <c r="G23" s="63" t="inlineStr">
        <is>
          <t>Standard</t>
        </is>
      </c>
      <c r="H23" s="64" t="n">
        <v>44253</v>
      </c>
      <c r="I23" s="65" t="n">
        <v>6542</v>
      </c>
      <c r="J23" s="63" t="inlineStr">
        <is>
          <t>gross (price x shares)</t>
        </is>
      </c>
      <c r="K23" s="66" t="n">
        <v>133</v>
      </c>
      <c r="L23" s="66" t="n">
        <v>151</v>
      </c>
      <c r="M23" s="66" t="n">
        <v>151</v>
      </c>
      <c r="N23" s="63" t="inlineStr">
        <is>
          <t>Y</t>
        </is>
      </c>
      <c r="O23" s="67" t="n">
        <v>100</v>
      </c>
      <c r="P23" s="67" t="n">
        <v>100</v>
      </c>
      <c r="Q23" s="68" t="n">
        <v>40893.9</v>
      </c>
      <c r="R23" s="63" t="inlineStr">
        <is>
          <t>aastocks:上市市值 at the struck price</t>
        </is>
      </c>
      <c r="S23" s="69" t="n">
        <v>310</v>
      </c>
      <c r="T23" s="70" t="n">
        <v>26</v>
      </c>
      <c r="U23" s="71" t="n">
        <v>31.8</v>
      </c>
      <c r="V23" s="68" t="n">
        <v>4461.64</v>
      </c>
      <c r="W23" s="68" t="n">
        <v>29547514</v>
      </c>
      <c r="X23" s="67" t="n">
        <v>10.91</v>
      </c>
      <c r="Y23" s="63" t="inlineStr">
        <is>
          <t>Carmignac Funds; China Structural Reform Fund Corporation Limited; CPE Greater China Enterprises Growth Fund; CRF Investment Holdings Company Limited; Janchor Partners Pan-Asian Master Fund; Lake Bleu Prime Healthcare Master Fund Limited; Octagon Capital Advisors LP; OrbiMed Funds; SCC Growth VI Holdco F, Ltd; Valliance Fund</t>
        </is>
      </c>
      <c r="Z23" s="63" t="inlineStr">
        <is>
          <t>carmignac;structural;cpe;crf;janchor;lake;octagon;orbimed;scc;valliance</t>
        </is>
      </c>
      <c r="AA23" s="67" t="n">
        <v>5.8</v>
      </c>
      <c r="AB23" s="72" t="n"/>
      <c r="AC23" s="66" t="n"/>
      <c r="AD23" s="72" t="n"/>
      <c r="AE23" s="63" t="n"/>
      <c r="AF23" s="63" t="n"/>
      <c r="AG23" s="63" t="inlineStr">
        <is>
          <t>partial</t>
        </is>
      </c>
      <c r="AH23" s="63" t="inlineStr">
        <is>
          <t>2021-03-21</t>
        </is>
      </c>
      <c r="AI23" s="63" t="n"/>
      <c r="AJ23" s="63" t="n"/>
      <c r="AK23" s="73" t="n">
        <v>-8.609999999999999</v>
      </c>
      <c r="AL23" s="72" t="n">
        <v>-1.99</v>
      </c>
      <c r="AM23" s="72" t="n">
        <v>-6.75</v>
      </c>
      <c r="AN23" s="72" t="n">
        <v>-12.58</v>
      </c>
      <c r="AO23" s="72" t="n">
        <v>-8.48</v>
      </c>
      <c r="AP23" s="72" t="n">
        <v>4.17</v>
      </c>
      <c r="AQ23" s="72" t="n">
        <v>-4.34</v>
      </c>
      <c r="AR23" s="72" t="n">
        <v>0.14</v>
      </c>
      <c r="AS23" s="72" t="n">
        <v>13.98</v>
      </c>
      <c r="AT23" s="72" t="n">
        <v>-5.7</v>
      </c>
      <c r="AU23" s="72" t="n">
        <v>-0.34</v>
      </c>
      <c r="AV23" s="72" t="n">
        <v>-5.9</v>
      </c>
      <c r="AW23" s="72" t="n">
        <v>6.29</v>
      </c>
      <c r="AX23" s="72" t="n">
        <v>-8.140000000000001</v>
      </c>
      <c r="AY23" s="72" t="n">
        <v>-6.15</v>
      </c>
      <c r="AZ23" s="63" t="inlineStr">
        <is>
          <t>China Biotech ETF (HS biotech proxy)</t>
        </is>
      </c>
      <c r="BA23" s="72" t="n">
        <v>-55.55</v>
      </c>
      <c r="BB23" s="64" t="inlineStr">
        <is>
          <t>2026-08-31</t>
        </is>
      </c>
      <c r="BC23" s="65" t="n"/>
      <c r="BD23" s="68" t="n"/>
      <c r="BE23" s="63" t="n"/>
      <c r="BF23" s="74" t="n">
        <v>87.5</v>
      </c>
      <c r="BG23" s="74" t="n">
        <v>87.5</v>
      </c>
      <c r="BH23" s="74" t="n">
        <v>34.6</v>
      </c>
      <c r="BI23" s="74" t="n"/>
      <c r="BJ23" s="75">
        <f>IF('BBG Verify'!S23="","not filed — run on terminal",'BBG Verify'!S23)</f>
        <v/>
      </c>
      <c r="BK23" s="76" t="inlineStr">
        <is>
          <t>Y</t>
        </is>
      </c>
      <c r="BL23" s="63" t="inlineStr">
        <is>
          <t>603127.SS</t>
        </is>
      </c>
      <c r="BM23" s="72" t="n">
        <v>12.28</v>
      </c>
      <c r="BN23" s="66" t="n">
        <v>169.5434</v>
      </c>
      <c r="BO23" s="80" t="n">
        <v>1.2143</v>
      </c>
      <c r="BP23" s="68" t="n">
        <v>40631.5</v>
      </c>
      <c r="BQ23" s="75">
        <f>IF('BBG Verify'!Q23="","run on terminal",'BBG Verify'!Q23)</f>
        <v/>
      </c>
      <c r="BR23" s="75">
        <f>IF('BBG Verify'!R23="","run on terminal",'BBG Verify'!R23)</f>
        <v/>
      </c>
      <c r="BS23" s="76" t="inlineStr">
        <is>
          <t>CLSA Capital Markets Limited</t>
        </is>
      </c>
      <c r="BT23" s="63" t="inlineStr">
        <is>
          <t>CLSA Capital Markets Limited</t>
        </is>
      </c>
      <c r="BU23" s="63" t="inlineStr">
        <is>
          <t>CLSA Limited; Merrill Lynch (Asia Pacific) Limited; China International Capital Corporation Hong Kong Securities Limited; Haitong International Securities Company Limited; BOCI Asia Limited; CMB International Capital Limited; BOCOM International Securities Limited; ICBC International Capital Limited</t>
        </is>
      </c>
      <c r="BV23" s="63" t="inlineStr">
        <is>
          <t>Beta International Securities Limited; BOCI Asia Limited; China International Capital Corporation Hong Kong Securities Limited; CLSA Limited; CMB International Capital Limited; China Merchants Securities (HK) Company Limited; Haitong International Securities Company Limited; ICBC International Securities Limited; Merrill Lynch (Asia Pacific) Limited</t>
        </is>
      </c>
      <c r="BW23" s="78">
        <f>HYPERLINK("https://www1.hkexnews.hk/listedco/listconews/sehk/2021/0216/2021021600009.pdf","prospectus")</f>
        <v/>
      </c>
      <c r="BX23" s="78">
        <f>HYPERLINK("https://www1.hkexnews.hk/listedco/listconews/sehk/2021/0225/2021022500020.htm","allotment")</f>
        <v/>
      </c>
      <c r="BY23" s="78">
        <f>HYPERLINK("https://www1.hkexnews.hk/listedco/listconews/sehk/2021/0321/2021032100045.pdf","stabilisation")</f>
        <v/>
      </c>
      <c r="BZ23" s="76" t="n"/>
      <c r="CA23" s="63" t="inlineStr">
        <is>
          <t>P/E: from Bloomberg (trailing-12m EPS at listing) — the prospectus-FY multiple was not derivable · A/H: H listed Feb 2021; CRO safety-evaluation leader · P/S: revenue not extractable · stabilising manager: neither the allotment announcement's cover sentence nor the prospectus definitions glossary names one in a form the parser reads — not inferred from the sponsor · financials: financial tables not machine-extractable and the pre-IPO year is outside AAStocks' 5-year window · grey market: no grey-market headline on file for this deal — AAStocks publishes one per listing but keeps only recent items on the stock's news page, and no public archive of past evening sessions exists; captured from this run onward</t>
        </is>
      </c>
    </row>
    <row r="24" ht="15" customHeight="1">
      <c r="A24" s="62" t="inlineStr">
        <is>
          <t>6601</t>
        </is>
      </c>
      <c r="B24" s="63" t="inlineStr">
        <is>
          <t>CHEERWIN GP</t>
        </is>
      </c>
      <c r="C24" s="63" t="inlineStr">
        <is>
          <t>朝雲集團</t>
        </is>
      </c>
      <c r="D24" s="63" t="inlineStr">
        <is>
          <t>Consumer</t>
        </is>
      </c>
      <c r="E24" s="63" t="inlineStr">
        <is>
          <t>Beauty / personal care</t>
        </is>
      </c>
      <c r="F24" s="63" t="inlineStr">
        <is>
          <t>Household Products</t>
        </is>
      </c>
      <c r="G24" s="63" t="inlineStr">
        <is>
          <t>Standard</t>
        </is>
      </c>
      <c r="H24" s="64" t="n">
        <v>44265</v>
      </c>
      <c r="I24" s="65" t="n">
        <v>3066.7</v>
      </c>
      <c r="J24" s="63" t="inlineStr">
        <is>
          <t>gross (price x shares)</t>
        </is>
      </c>
      <c r="K24" s="66" t="n">
        <v>7.8</v>
      </c>
      <c r="L24" s="66" t="n">
        <v>9.199999999999999</v>
      </c>
      <c r="M24" s="66" t="n">
        <v>9.199999999999999</v>
      </c>
      <c r="N24" s="63" t="inlineStr">
        <is>
          <t>Y</t>
        </is>
      </c>
      <c r="O24" s="67" t="n">
        <v>100</v>
      </c>
      <c r="P24" s="67" t="n">
        <v>100</v>
      </c>
      <c r="Q24" s="68" t="n">
        <v>12266.7</v>
      </c>
      <c r="R24" s="63" t="inlineStr">
        <is>
          <t>aastocks:上市市值 at the struck price</t>
        </is>
      </c>
      <c r="S24" s="69" t="n">
        <v>172.32</v>
      </c>
      <c r="T24" s="70" t="n">
        <v>13.8</v>
      </c>
      <c r="U24" s="71" t="n">
        <v>0</v>
      </c>
      <c r="V24" s="68" t="n">
        <v>3066.7</v>
      </c>
      <c r="W24" s="68" t="n">
        <v>333333500</v>
      </c>
      <c r="X24" s="67" t="n">
        <v>25</v>
      </c>
      <c r="Y24" s="63" t="n"/>
      <c r="Z24" s="63" t="n"/>
      <c r="AA24" s="67" t="n">
        <v>6</v>
      </c>
      <c r="AB24" s="72" t="n"/>
      <c r="AC24" s="66" t="n"/>
      <c r="AD24" s="72" t="n"/>
      <c r="AE24" s="63" t="n"/>
      <c r="AF24" s="63" t="n"/>
      <c r="AG24" s="63" t="inlineStr">
        <is>
          <t>lapsed</t>
        </is>
      </c>
      <c r="AH24" s="63" t="inlineStr">
        <is>
          <t>2021-04-02</t>
        </is>
      </c>
      <c r="AI24" s="63" t="inlineStr">
        <is>
          <t>Morgan Stanley Asia Limited DEFINITIONS –2 8</t>
        </is>
      </c>
      <c r="AJ24" s="63" t="inlineStr">
        <is>
          <t>Morgan Stanley</t>
        </is>
      </c>
      <c r="AK24" s="73" t="n">
        <v>-13.15</v>
      </c>
      <c r="AL24" s="72" t="n">
        <v>-14.24</v>
      </c>
      <c r="AM24" s="72" t="n">
        <v>1.27</v>
      </c>
      <c r="AN24" s="72" t="n">
        <v>-9.24</v>
      </c>
      <c r="AO24" s="72" t="n">
        <v>-9.779999999999999</v>
      </c>
      <c r="AP24" s="72" t="n">
        <v>-9.779999999999999</v>
      </c>
      <c r="AQ24" s="72" t="n">
        <v>4.5</v>
      </c>
      <c r="AR24" s="72" t="n">
        <v>3.88</v>
      </c>
      <c r="AS24" s="72" t="n">
        <v>3.88</v>
      </c>
      <c r="AT24" s="72" t="n">
        <v>-12.74</v>
      </c>
      <c r="AU24" s="72" t="n">
        <v>-9.15</v>
      </c>
      <c r="AV24" s="72" t="n">
        <v>-13.12</v>
      </c>
      <c r="AW24" s="72" t="n">
        <v>6.15</v>
      </c>
      <c r="AX24" s="72" t="n">
        <v>-0.63</v>
      </c>
      <c r="AY24" s="72" t="n">
        <v>-2.27</v>
      </c>
      <c r="AZ24" s="63" t="inlineStr">
        <is>
          <t>Hang Seng Commerce &amp; Industry sub-index</t>
        </is>
      </c>
      <c r="BA24" s="72" t="n">
        <v>-75</v>
      </c>
      <c r="BB24" s="64" t="inlineStr">
        <is>
          <t>2026-08-28</t>
        </is>
      </c>
      <c r="BC24" s="65" t="n">
        <v>1521.7</v>
      </c>
      <c r="BD24" s="68" t="n">
        <v>202.8</v>
      </c>
      <c r="BE24" s="63" t="inlineStr">
        <is>
          <t>Y</t>
        </is>
      </c>
      <c r="BF24" s="74" t="n">
        <v>60.5</v>
      </c>
      <c r="BG24" s="74" t="n"/>
      <c r="BH24" s="74" t="n">
        <v>11.5</v>
      </c>
      <c r="BI24" s="74" t="n">
        <v>8.1</v>
      </c>
      <c r="BJ24" s="75">
        <f>IF('BBG Verify'!S24="","not filed — run on terminal",'BBG Verify'!S24)</f>
        <v/>
      </c>
      <c r="BK24" s="76" t="inlineStr">
        <is>
          <t>N</t>
        </is>
      </c>
      <c r="BL24" s="77">
        <f>IF('BBG Verify'!K24="","not filed — run on terminal",'BBG Verify'!K24)</f>
        <v/>
      </c>
      <c r="BM24" s="63" t="inlineStr">
        <is>
          <t>N/A</t>
        </is>
      </c>
      <c r="BN24" s="63" t="inlineStr">
        <is>
          <t>N/A</t>
        </is>
      </c>
      <c r="BO24" s="63" t="inlineStr">
        <is>
          <t>N/A</t>
        </is>
      </c>
      <c r="BP24" s="63" t="inlineStr">
        <is>
          <t>N/A</t>
        </is>
      </c>
      <c r="BQ24" s="63" t="inlineStr">
        <is>
          <t>N/A</t>
        </is>
      </c>
      <c r="BR24" s="63" t="inlineStr">
        <is>
          <t>N/A</t>
        </is>
      </c>
      <c r="BS24" s="76" t="inlineStr">
        <is>
          <t>Morgan Stanley Asia Limited; China International Capital Corporation Hong Kong Securities Limited</t>
        </is>
      </c>
      <c r="BT24" s="63" t="inlineStr">
        <is>
          <t>Morgan Stanley Asia Limited; China International Capital Corporation (HK) Ltd</t>
        </is>
      </c>
      <c r="BU24" s="63" t="inlineStr">
        <is>
          <t>Morgan Stanley Asia Limited; China International Capital Corporation Hong Kong Securities Limited</t>
        </is>
      </c>
      <c r="BV24" s="63" t="inlineStr">
        <is>
          <t>China International Capital Corporation Hong Kong Securities Limited; Futu Securities International (Hong Kong) Limited; Morgan Stanley Asia Limited</t>
        </is>
      </c>
      <c r="BW24" s="78">
        <f>HYPERLINK("https://www1.hkexnews.hk/listedco/listconews/sehk/2021/0226/2021022600033.pdf","prospectus")</f>
        <v/>
      </c>
      <c r="BX24" s="78">
        <f>HYPERLINK("https://www1.hkexnews.hk/listedco/listconews/sehk/2021/0309/2021030900022.htm","allotment")</f>
        <v/>
      </c>
      <c r="BY24" s="78">
        <f>HYPERLINK("https://www1.hkexnews.hk/listedco/listconews/sehk/2021/0407/2021040700023.pdf","stabilisation")</f>
        <v/>
      </c>
      <c r="BZ24" s="76" t="n"/>
      <c r="CA24" s="63" t="inlineStr">
        <is>
          <t>A/H: no A-share listing · market cap: estimate from deal size / offer % of enlarged capital disagreed with the published listing cap — published figure adopted · cornerstone list: no cornerstone tranche in this deal · grey market: no grey-market headline on file for this deal — AAStocks publishes one per listing but keeps only recent items on the stock's news page, and no public archive of past evening sessions exists; captured from this run onward</t>
        </is>
      </c>
    </row>
    <row r="25" ht="15" customHeight="1">
      <c r="A25" s="62" t="inlineStr">
        <is>
          <t>1413</t>
        </is>
      </c>
      <c r="B25" s="63" t="inlineStr">
        <is>
          <t>KWONG LUEN ENG</t>
        </is>
      </c>
      <c r="C25" s="63" t="inlineStr">
        <is>
          <t>鑄帝控股</t>
        </is>
      </c>
      <c r="D25" s="63" t="inlineStr">
        <is>
          <t>Industrials</t>
        </is>
      </c>
      <c r="E25" s="63" t="inlineStr">
        <is>
          <t>Construction / engineering</t>
        </is>
      </c>
      <c r="F25" s="63" t="inlineStr">
        <is>
          <t>Construction &amp; Engineering</t>
        </is>
      </c>
      <c r="G25" s="63" t="inlineStr">
        <is>
          <t>Standard</t>
        </is>
      </c>
      <c r="H25" s="64" t="n">
        <v>44266</v>
      </c>
      <c r="I25" s="65" t="n">
        <v>135</v>
      </c>
      <c r="J25" s="63" t="inlineStr">
        <is>
          <t>gross (price x shares)</t>
        </is>
      </c>
      <c r="K25" s="66" t="n">
        <v>0.5</v>
      </c>
      <c r="L25" s="66" t="n">
        <v>0.54</v>
      </c>
      <c r="M25" s="66" t="n">
        <v>0.54</v>
      </c>
      <c r="N25" s="63" t="inlineStr">
        <is>
          <t>Y</t>
        </is>
      </c>
      <c r="O25" s="67" t="n">
        <v>100</v>
      </c>
      <c r="P25" s="67" t="n">
        <v>100</v>
      </c>
      <c r="Q25" s="68" t="n">
        <v>540</v>
      </c>
      <c r="R25" s="63" t="inlineStr">
        <is>
          <t>aastocks:上市市值 at the struck price</t>
        </is>
      </c>
      <c r="S25" s="69" t="n">
        <v>54.29</v>
      </c>
      <c r="T25" s="70" t="n">
        <v>1.05</v>
      </c>
      <c r="U25" s="71" t="n">
        <v>0</v>
      </c>
      <c r="V25" s="68" t="n">
        <v>135</v>
      </c>
      <c r="W25" s="68" t="n">
        <v>250000000</v>
      </c>
      <c r="X25" s="67" t="n">
        <v>25</v>
      </c>
      <c r="Y25" s="63" t="n"/>
      <c r="Z25" s="63" t="n"/>
      <c r="AA25" s="67" t="n">
        <v>15</v>
      </c>
      <c r="AB25" s="72" t="n"/>
      <c r="AC25" s="66" t="n"/>
      <c r="AD25" s="72" t="n"/>
      <c r="AE25" s="63" t="n"/>
      <c r="AF25" s="63" t="n"/>
      <c r="AG25" s="63" t="n"/>
      <c r="AH25" s="63" t="n"/>
      <c r="AI25" s="63" t="inlineStr">
        <is>
          <t>Space Securities Limited</t>
        </is>
      </c>
      <c r="AJ25" s="63" t="inlineStr">
        <is>
          <t>Space</t>
        </is>
      </c>
      <c r="AK25" s="73" t="n">
        <v>-22.22</v>
      </c>
      <c r="AL25" s="72" t="n">
        <v>-5.56</v>
      </c>
      <c r="AM25" s="72" t="n">
        <v>-17.64</v>
      </c>
      <c r="AN25" s="72" t="n">
        <v>-29.63</v>
      </c>
      <c r="AO25" s="72" t="n">
        <v>-37.96</v>
      </c>
      <c r="AP25" s="72" t="n">
        <v>-40.74</v>
      </c>
      <c r="AQ25" s="72" t="n">
        <v>-9.529999999999999</v>
      </c>
      <c r="AR25" s="72" t="n">
        <v>-20.24</v>
      </c>
      <c r="AS25" s="72" t="n">
        <v>-23.81</v>
      </c>
      <c r="AT25" s="72" t="n">
        <v>-33.31</v>
      </c>
      <c r="AU25" s="72" t="n">
        <v>-38</v>
      </c>
      <c r="AV25" s="72" t="n">
        <v>-42.08</v>
      </c>
      <c r="AW25" s="72" t="n">
        <v>-17.31</v>
      </c>
      <c r="AX25" s="72" t="n">
        <v>0.04</v>
      </c>
      <c r="AY25" s="72" t="n">
        <v>-2.93</v>
      </c>
      <c r="AZ25" s="63" t="inlineStr">
        <is>
          <t>Hang Seng Commerce &amp; Industry sub-index</t>
        </is>
      </c>
      <c r="BA25" s="72" t="n">
        <v>-92.26000000000001</v>
      </c>
      <c r="BB25" s="64" t="inlineStr">
        <is>
          <t>2026-08-31</t>
        </is>
      </c>
      <c r="BC25" s="65" t="n">
        <v>404.8</v>
      </c>
      <c r="BD25" s="68" t="n">
        <v>38.4</v>
      </c>
      <c r="BE25" s="63" t="inlineStr">
        <is>
          <t>Y</t>
        </is>
      </c>
      <c r="BF25" s="74" t="n">
        <v>14.1</v>
      </c>
      <c r="BG25" s="74" t="n"/>
      <c r="BH25" s="74" t="n"/>
      <c r="BI25" s="74" t="n">
        <v>1.3</v>
      </c>
      <c r="BJ25" s="75">
        <f>IF('BBG Verify'!S25="","not filed — run on terminal",'BBG Verify'!S25)</f>
        <v/>
      </c>
      <c r="BK25" s="76" t="inlineStr">
        <is>
          <t>N</t>
        </is>
      </c>
      <c r="BL25" s="77">
        <f>IF('BBG Verify'!K25="","not filed — run on terminal",'BBG Verify'!K25)</f>
        <v/>
      </c>
      <c r="BM25" s="63" t="inlineStr">
        <is>
          <t>N/A</t>
        </is>
      </c>
      <c r="BN25" s="63" t="inlineStr">
        <is>
          <t>N/A</t>
        </is>
      </c>
      <c r="BO25" s="63" t="inlineStr">
        <is>
          <t>N/A</t>
        </is>
      </c>
      <c r="BP25" s="63" t="inlineStr">
        <is>
          <t>N/A</t>
        </is>
      </c>
      <c r="BQ25" s="63" t="inlineStr">
        <is>
          <t>N/A</t>
        </is>
      </c>
      <c r="BR25" s="63" t="inlineStr">
        <is>
          <t>N/A</t>
        </is>
      </c>
      <c r="BS25" s="76" t="n"/>
      <c r="BT25" s="63" t="inlineStr">
        <is>
          <t>Grande Capital Limited</t>
        </is>
      </c>
      <c r="BU25" s="63" t="inlineStr">
        <is>
          <t>Space Securities Limited; CMBC Securities Company Limited; Innovax Securities Limited; SPDB International Capital Limited</t>
        </is>
      </c>
      <c r="BV25" s="63" t="inlineStr">
        <is>
          <t>CMBC Securities Company Limited; DL Securities (HK) Limited; Freeman Securities Limited; GLAM Capital Limited; Guosen Securities (HK) Capital Company Limited; Innovax Securities Limited; Plutus Securities Limited; Realord Asia Pacific Securities Limited; SPDB International Capital Limited; Space Securities Limited</t>
        </is>
      </c>
      <c r="BW25" s="78">
        <f>HYPERLINK("https://www1.hkexnews.hk/listedco/listconews/sehk/2021/0226/2021022600013.pdf","prospectus")</f>
        <v/>
      </c>
      <c r="BX25" s="78">
        <f>HYPERLINK("https://www1.hkexnews.hk/listedco/listconews/sehk/2021/0310/2021031000014.htm","allotment")</f>
        <v/>
      </c>
      <c r="BY25" s="63" t="n"/>
      <c r="BZ25" s="76" t="n"/>
      <c r="CA25" s="63" t="inlineStr">
        <is>
          <t>greenshoe: end-of-stabilisation notice not located · A/H: no A-share listing · sponsor: English name not in the filing text; AAStocks 保薦人 shown · cornerstone list: no cornerstone tranche in this deal · grey market: no grey-market headline on file for this deal — AAStocks publishes one per listing but keeps only recent items on the stock's news page, and no public archive of past evening sessions exists; captured from this run onward</t>
        </is>
      </c>
    </row>
    <row r="26" ht="15" customHeight="1">
      <c r="A26" s="62" t="inlineStr">
        <is>
          <t>2518</t>
        </is>
      </c>
      <c r="B26" s="63" t="inlineStr">
        <is>
          <t>AUTOHOME-S</t>
        </is>
      </c>
      <c r="C26" s="63" t="inlineStr">
        <is>
          <t>汽車之家－Ｓ</t>
        </is>
      </c>
      <c r="D26" s="63" t="inlineStr">
        <is>
          <t>Tech/AI</t>
        </is>
      </c>
      <c r="E26" s="63" t="inlineStr">
        <is>
          <t>Internet platform / e-commerce</t>
        </is>
      </c>
      <c r="F26" s="63" t="inlineStr">
        <is>
          <t>e-Commerce &amp; Internet Services</t>
        </is>
      </c>
      <c r="G26" s="63" t="inlineStr">
        <is>
          <t>Secondary</t>
        </is>
      </c>
      <c r="H26" s="64" t="n">
        <v>44270</v>
      </c>
      <c r="I26" s="65" t="n">
        <v>5340.3</v>
      </c>
      <c r="J26" s="63" t="inlineStr">
        <is>
          <t>gross (price x shares)</t>
        </is>
      </c>
      <c r="K26" s="66" t="n"/>
      <c r="L26" s="66" t="n">
        <v>251.8</v>
      </c>
      <c r="M26" s="66" t="n">
        <v>176.3</v>
      </c>
      <c r="N26" s="63" t="inlineStr">
        <is>
          <t>N</t>
        </is>
      </c>
      <c r="O26" s="67" t="n">
        <v>70</v>
      </c>
      <c r="P26" s="67" t="n"/>
      <c r="Q26" s="68" t="n">
        <v>88980</v>
      </c>
      <c r="R26" s="63" t="inlineStr">
        <is>
          <t>press:lanjinger.com/d/154659: 开盘181港元 市值913.77亿 | FINANCIALS (RMB x1.1): Autohome FY2020 PR: net revenues RMB8,658.6m, NI attributable RMB3,405.2m</t>
        </is>
      </c>
      <c r="S26" s="69" t="n">
        <v>10.71</v>
      </c>
      <c r="T26" s="70" t="n">
        <v>4</v>
      </c>
      <c r="U26" s="71" t="n"/>
      <c r="V26" s="68" t="n">
        <v>5340.3</v>
      </c>
      <c r="W26" s="68" t="n">
        <v>30291200</v>
      </c>
      <c r="X26" s="67" t="n">
        <v>6</v>
      </c>
      <c r="Y26" s="63" t="n"/>
      <c r="Z26" s="63" t="n"/>
      <c r="AA26" s="67" t="n">
        <v>6</v>
      </c>
      <c r="AB26" s="72" t="n"/>
      <c r="AC26" s="66" t="n"/>
      <c r="AD26" s="72" t="n"/>
      <c r="AE26" s="63" t="n"/>
      <c r="AF26" s="63" t="n"/>
      <c r="AG26" s="63" t="inlineStr">
        <is>
          <t>full</t>
        </is>
      </c>
      <c r="AH26" s="63" t="inlineStr">
        <is>
          <t>2021-04-08</t>
        </is>
      </c>
      <c r="AI26" s="63" t="n"/>
      <c r="AJ26" s="63" t="n"/>
      <c r="AK26" s="73" t="n">
        <v>2.1</v>
      </c>
      <c r="AL26" s="72" t="n">
        <v>2.67</v>
      </c>
      <c r="AM26" s="72" t="n">
        <v>-0.5600000000000001</v>
      </c>
      <c r="AN26" s="72" t="n">
        <v>10.72</v>
      </c>
      <c r="AO26" s="72" t="n">
        <v>3.52</v>
      </c>
      <c r="AP26" s="72" t="n">
        <v>-28.64</v>
      </c>
      <c r="AQ26" s="72" t="n">
        <v>8.44</v>
      </c>
      <c r="AR26" s="72" t="n">
        <v>1.39</v>
      </c>
      <c r="AS26" s="72" t="n">
        <v>-30.11</v>
      </c>
      <c r="AT26" s="72" t="n">
        <v>10.48</v>
      </c>
      <c r="AU26" s="72" t="n">
        <v>6.55</v>
      </c>
      <c r="AV26" s="72" t="n">
        <v>-21.39</v>
      </c>
      <c r="AW26" s="72" t="n">
        <v>1.88</v>
      </c>
      <c r="AX26" s="72" t="n">
        <v>-3.03</v>
      </c>
      <c r="AY26" s="72" t="n">
        <v>-0.49</v>
      </c>
      <c r="AZ26" s="63" t="inlineStr">
        <is>
          <t>HSTECH (Hang Seng TECH ETF)</t>
        </is>
      </c>
      <c r="BA26" s="72" t="n">
        <v>-75.36</v>
      </c>
      <c r="BB26" s="64" t="inlineStr">
        <is>
          <t>2026-08-28</t>
        </is>
      </c>
      <c r="BC26" s="65" t="n">
        <v>9524.5</v>
      </c>
      <c r="BD26" s="68" t="n">
        <v>3745.7</v>
      </c>
      <c r="BE26" s="63" t="inlineStr">
        <is>
          <t>Y</t>
        </is>
      </c>
      <c r="BF26" s="74" t="n">
        <v>23.8</v>
      </c>
      <c r="BG26" s="74" t="n"/>
      <c r="BH26" s="74" t="n"/>
      <c r="BI26" s="74" t="n">
        <v>9.300000000000001</v>
      </c>
      <c r="BJ26" s="75">
        <f>IF('BBG Verify'!S26="","not filed — run on terminal",'BBG Verify'!S26)</f>
        <v/>
      </c>
      <c r="BK26" s="76" t="inlineStr">
        <is>
          <t>N</t>
        </is>
      </c>
      <c r="BL26" s="77">
        <f>IF('BBG Verify'!K26="","not filed — run on terminal",'BBG Verify'!K26)</f>
        <v/>
      </c>
      <c r="BM26" s="63" t="inlineStr">
        <is>
          <t>N/A</t>
        </is>
      </c>
      <c r="BN26" s="63" t="inlineStr">
        <is>
          <t>N/A</t>
        </is>
      </c>
      <c r="BO26" s="63" t="inlineStr">
        <is>
          <t>N/A</t>
        </is>
      </c>
      <c r="BP26" s="63" t="inlineStr">
        <is>
          <t>N/A</t>
        </is>
      </c>
      <c r="BQ26" s="63" t="inlineStr">
        <is>
          <t>N/A</t>
        </is>
      </c>
      <c r="BR26" s="63" t="inlineStr">
        <is>
          <t>N/A</t>
        </is>
      </c>
      <c r="BS26" s="76" t="inlineStr">
        <is>
          <t>China International Capital Corporation Hong Kong Securities Limited; (in alphabetical order with no ranking assigned) Credit Suisse (Hong Kong) Limited; Goldman Sachs (Asia) L.L.C</t>
        </is>
      </c>
      <c r="BT26" s="63" t="inlineStr">
        <is>
          <t>China International Capital Corporation Hong Kong Securities Limited; Goldman Sachs (Asia) L.L.C.; Credit Suisse (Hong Kong) Limited</t>
        </is>
      </c>
      <c r="BU26" s="63" t="inlineStr">
        <is>
          <t>China International Capital Corporation Hong Kong Securities Limited; (in alphabetical order with no ranking assigned) Credit Suisse (Hong Kong) Limited; The Hongkong and Shanghai Banking Corporation Limited; Deutsche Bank AG, Hong Kong Branch; China PA Securities (Hong Kong) Company Limited; ABCI Capital Limited</t>
        </is>
      </c>
      <c r="BV26" s="63" t="inlineStr">
        <is>
          <t>ABCI Securities Company Limited; China International Capital Corporation Hong Kong Securities Limited; China PA Securities (Hong Kong) Company Limited; Credit Suisse (Hong Kong) Limited; Deutsche Bank AG, Hong Kong Branch; Goldman Sachs (Asia) L.L.C.; Haitong International Securities Company Limited; The Hongkong and Shanghai Banking Corporation Limited</t>
        </is>
      </c>
      <c r="BW26" s="78">
        <f>HYPERLINK("https://www1.hkexnews.hk/listedco/listconews/sehk/2021/0304/2021030400013.pdf","prospectus")</f>
        <v/>
      </c>
      <c r="BX26" s="78">
        <f>HYPERLINK("https://www1.hkexnews.hk/listedco/listconews/sehk/2021/0312/2021031200028.htm","allotment")</f>
        <v/>
      </c>
      <c r="BY26" s="78">
        <f>HYPERLINK("https://www1.hkexnews.hk/listedco/listconews/sehk/2021/0409/2021040900003.pdf","stabilisation")</f>
        <v/>
      </c>
      <c r="BZ26" s="76" t="n"/>
      <c r="CA26" s="63" t="inlineStr">
        <is>
          <t>range low: cap-only pricing — the filing publishes a Maximum Offer Price and no indicative floor · A/H: no A-share listing · cornerstone list: no cornerstone tranche in this deal · cornerstone %: no cornerstone tranche in this deal · stabilising manager: neither the allotment announcement's cover sentence nor the prospectus definitions glossary names one in a form the parser reads — not inferred from the sponsor · grey market: no grey-market headline on file for this deal — AAStocks publishes one per listing but keeps only recent items on the stock's news page, and no public archive of past evening sessions exists; captured from this run onward</t>
        </is>
      </c>
    </row>
    <row r="27" ht="15" customHeight="1">
      <c r="A27" s="62" t="inlineStr">
        <is>
          <t>1927</t>
        </is>
      </c>
      <c r="B27" s="63" t="inlineStr">
        <is>
          <t>JIUJIUWANG</t>
        </is>
      </c>
      <c r="C27" s="63" t="inlineStr">
        <is>
          <t>久久王</t>
        </is>
      </c>
      <c r="D27" s="63" t="inlineStr">
        <is>
          <t>Consumer</t>
        </is>
      </c>
      <c r="E27" s="63" t="inlineStr">
        <is>
          <t>Beverages / packaged food</t>
        </is>
      </c>
      <c r="F27" s="63" t="inlineStr">
        <is>
          <t>Packaged Foods</t>
        </is>
      </c>
      <c r="G27" s="63" t="inlineStr">
        <is>
          <t>Standard</t>
        </is>
      </c>
      <c r="H27" s="64" t="n">
        <v>44271</v>
      </c>
      <c r="I27" s="65" t="n">
        <v>148.5</v>
      </c>
      <c r="J27" s="63" t="inlineStr">
        <is>
          <t>gross (price x shares)</t>
        </is>
      </c>
      <c r="K27" s="66" t="n">
        <v>0.65</v>
      </c>
      <c r="L27" s="66" t="n">
        <v>0.75</v>
      </c>
      <c r="M27" s="66" t="n">
        <v>0.75</v>
      </c>
      <c r="N27" s="63" t="inlineStr">
        <is>
          <t>Y</t>
        </is>
      </c>
      <c r="O27" s="67" t="n">
        <v>100</v>
      </c>
      <c r="P27" s="67" t="n">
        <v>100</v>
      </c>
      <c r="Q27" s="68" t="n">
        <v>594</v>
      </c>
      <c r="R27" s="63" t="inlineStr">
        <is>
          <t>aastocks:上市市值 at the struck price</t>
        </is>
      </c>
      <c r="S27" s="69" t="n">
        <v>214.36</v>
      </c>
      <c r="T27" s="70" t="n">
        <v>1.14</v>
      </c>
      <c r="U27" s="71" t="n">
        <v>0</v>
      </c>
      <c r="V27" s="68" t="n">
        <v>148.5</v>
      </c>
      <c r="W27" s="68" t="n">
        <v>198000000</v>
      </c>
      <c r="X27" s="67" t="n">
        <v>25</v>
      </c>
      <c r="Y27" s="63" t="n"/>
      <c r="Z27" s="63" t="n"/>
      <c r="AA27" s="67" t="n">
        <v>15</v>
      </c>
      <c r="AB27" s="72" t="n"/>
      <c r="AC27" s="66" t="n"/>
      <c r="AD27" s="72" t="n"/>
      <c r="AE27" s="63" t="n"/>
      <c r="AF27" s="63" t="n"/>
      <c r="AG27" s="63" t="n"/>
      <c r="AH27" s="63" t="n"/>
      <c r="AI27" s="63" t="inlineStr">
        <is>
          <t>First Fidelity Capi tal</t>
        </is>
      </c>
      <c r="AJ27" s="63" t="inlineStr">
        <is>
          <t>First Fidelity Capi</t>
        </is>
      </c>
      <c r="AK27" s="73" t="n">
        <v>-26.67</v>
      </c>
      <c r="AL27" s="72" t="n">
        <v>-8</v>
      </c>
      <c r="AM27" s="72" t="n">
        <v>-20.29</v>
      </c>
      <c r="AN27" s="72" t="n">
        <v>-34.67</v>
      </c>
      <c r="AO27" s="72" t="n">
        <v>-40</v>
      </c>
      <c r="AP27" s="72" t="n">
        <v>-46.67</v>
      </c>
      <c r="AQ27" s="72" t="n">
        <v>-10.91</v>
      </c>
      <c r="AR27" s="72" t="n">
        <v>-18.18</v>
      </c>
      <c r="AS27" s="72" t="n">
        <v>-27.27</v>
      </c>
      <c r="AT27" s="72" t="n">
        <v>-34</v>
      </c>
      <c r="AU27" s="72" t="n">
        <v>-42.02</v>
      </c>
      <c r="AV27" s="72" t="n">
        <v>-49.65</v>
      </c>
      <c r="AW27" s="72" t="n">
        <v>-17.97</v>
      </c>
      <c r="AX27" s="72" t="n">
        <v>2.02</v>
      </c>
      <c r="AY27" s="72" t="n">
        <v>-0.21</v>
      </c>
      <c r="AZ27" s="63" t="inlineStr">
        <is>
          <t>Hang Seng Commerce &amp; Industry sub-index</t>
        </is>
      </c>
      <c r="BA27" s="72" t="n">
        <v>-63.33</v>
      </c>
      <c r="BB27" s="64" t="inlineStr">
        <is>
          <t>2026-08-28</t>
        </is>
      </c>
      <c r="BC27" s="65" t="n">
        <v>455.5</v>
      </c>
      <c r="BD27" s="68" t="n">
        <v>47.5</v>
      </c>
      <c r="BE27" s="63" t="inlineStr">
        <is>
          <t>Y</t>
        </is>
      </c>
      <c r="BF27" s="74" t="n">
        <v>12.5</v>
      </c>
      <c r="BG27" s="74" t="n">
        <v>6.2</v>
      </c>
      <c r="BH27" s="74" t="n"/>
      <c r="BI27" s="74" t="n">
        <v>1.3</v>
      </c>
      <c r="BJ27" s="75">
        <f>IF('BBG Verify'!S27="","not filed — run on terminal",'BBG Verify'!S27)</f>
        <v/>
      </c>
      <c r="BK27" s="76" t="inlineStr">
        <is>
          <t>N</t>
        </is>
      </c>
      <c r="BL27" s="77">
        <f>IF('BBG Verify'!K27="","not filed — run on terminal",'BBG Verify'!K27)</f>
        <v/>
      </c>
      <c r="BM27" s="63" t="inlineStr">
        <is>
          <t>N/A</t>
        </is>
      </c>
      <c r="BN27" s="63" t="inlineStr">
        <is>
          <t>N/A</t>
        </is>
      </c>
      <c r="BO27" s="63" t="inlineStr">
        <is>
          <t>N/A</t>
        </is>
      </c>
      <c r="BP27" s="63" t="inlineStr">
        <is>
          <t>N/A</t>
        </is>
      </c>
      <c r="BQ27" s="63" t="inlineStr">
        <is>
          <t>N/A</t>
        </is>
      </c>
      <c r="BR27" s="63" t="inlineStr">
        <is>
          <t>N/A</t>
        </is>
      </c>
      <c r="BS27" s="76" t="inlineStr">
        <is>
          <t>Lego Corporate Finance Limited</t>
        </is>
      </c>
      <c r="BT27" s="63" t="inlineStr">
        <is>
          <t>Lego Corporate Finance Limited</t>
        </is>
      </c>
      <c r="BU27" s="63" t="inlineStr">
        <is>
          <t>Aristo Securities Limited; Brilliant Norton Securities Company Limited; China Tonghai Securities Limited; First Fidelity Capital (International) Limited; Fruit Tree Securities Limited; Grand China Securities Limited</t>
        </is>
      </c>
      <c r="BV27" s="63" t="inlineStr">
        <is>
          <t>Aristo Securities Limited; Brilliant Norton Securities Company Limited; China Tonghai Securities Limited; First Fidelity Capital (International) Limited; Fruit Tree Securities Limited; Grand China Securities Limited; Kirin Securities Limited; Lego Securities Limited; Lee Go Securities Limited; MTF Securities Limited; Realord Asia Pacific Securities Limited; Seazen Resources Securities Limited</t>
        </is>
      </c>
      <c r="BW27" s="78">
        <f>HYPERLINK("https://www1.hkexnews.hk/listedco/listconews/sehk/2021/0226/2021022600021.pdf","prospectus")</f>
        <v/>
      </c>
      <c r="BX27" s="78">
        <f>HYPERLINK("https://www1.hkexnews.hk/listedco/listconews/sehk/2021/0315/2021031500018.htm","allotment")</f>
        <v/>
      </c>
      <c r="BY27" s="78">
        <f>HYPERLINK("https://www1.hkexnews.hk/listedco/listconews/sehk/2021/0414/2021041401047.pdf","stabilisation")</f>
        <v/>
      </c>
      <c r="BZ27" s="76" t="n"/>
      <c r="CA27" s="63" t="inlineStr">
        <is>
          <t>greenshoe: end-of-stabilisation notice not located · A/H: no A-share listing · market cap: estimate from deal size / offer % of enlarged capital disagreed with the published listing cap — published figure adopted · cornerstone list: no cornerstone tranche in this deal · grey market: no grey-market headline on file for this deal — AAStocks publishes one per listing but keeps only recent items on the stock's news page, and no public archive of past evening sessions exists; captured from this run onward · stabilisation notice: notice located and linked; its outcome wording is not one of the recognised forms, so the over-allotment result is left blank rather than guessed</t>
        </is>
      </c>
    </row>
    <row r="28" ht="15" customHeight="1">
      <c r="A28" s="62" t="inlineStr">
        <is>
          <t>9888</t>
        </is>
      </c>
      <c r="B28" s="63" t="inlineStr">
        <is>
          <t>BIDU-SW</t>
        </is>
      </c>
      <c r="C28" s="63" t="inlineStr">
        <is>
          <t>百度集團－ＳＷ</t>
        </is>
      </c>
      <c r="D28" s="63" t="inlineStr">
        <is>
          <t>Tech/AI</t>
        </is>
      </c>
      <c r="E28" s="63" t="inlineStr">
        <is>
          <t>Internet platform / e-commerce</t>
        </is>
      </c>
      <c r="F28" s="63" t="inlineStr">
        <is>
          <t>e-Commerce &amp; Internet Services</t>
        </is>
      </c>
      <c r="G28" s="63" t="inlineStr">
        <is>
          <t>Secondary + WVR</t>
        </is>
      </c>
      <c r="H28" s="64" t="n">
        <v>44278</v>
      </c>
      <c r="I28" s="65" t="n">
        <v>23940</v>
      </c>
      <c r="J28" s="63" t="inlineStr">
        <is>
          <t>gross (price x shares)</t>
        </is>
      </c>
      <c r="K28" s="66" t="n"/>
      <c r="L28" s="66" t="n">
        <v>295</v>
      </c>
      <c r="M28" s="66" t="n">
        <v>252</v>
      </c>
      <c r="N28" s="63" t="inlineStr">
        <is>
          <t>N</t>
        </is>
      </c>
      <c r="O28" s="67" t="n">
        <v>85.40000000000001</v>
      </c>
      <c r="P28" s="67" t="n"/>
      <c r="Q28" s="68" t="n">
        <v>712800</v>
      </c>
      <c r="R28" s="63" t="inlineStr">
        <is>
          <t>press:sina tech 2021-03-23 + STCN: 总市值7128亿港元 | FINANCIALS (RMB x1.1): Baidu FY2020 PR: total revenues RMB107,074m, NI attributable RMB22,472m</t>
        </is>
      </c>
      <c r="S28" s="69" t="n">
        <v>112.01</v>
      </c>
      <c r="T28" s="70" t="n">
        <v>10</v>
      </c>
      <c r="U28" s="71" t="n"/>
      <c r="V28" s="68" t="n">
        <v>23940</v>
      </c>
      <c r="W28" s="68" t="n">
        <v>95000000</v>
      </c>
      <c r="X28" s="67" t="n">
        <v>3.36</v>
      </c>
      <c r="Y28" s="63" t="n"/>
      <c r="Z28" s="63" t="n"/>
      <c r="AA28" s="67" t="n">
        <v>10</v>
      </c>
      <c r="AB28" s="72" t="n"/>
      <c r="AC28" s="66" t="n"/>
      <c r="AD28" s="72" t="n"/>
      <c r="AE28" s="63" t="n"/>
      <c r="AF28" s="63" t="n"/>
      <c r="AG28" s="63" t="n"/>
      <c r="AH28" s="63" t="inlineStr">
        <is>
          <t>2021-04-16</t>
        </is>
      </c>
      <c r="AI28" s="63" t="inlineStr">
        <is>
          <t>Merrill Lynch</t>
        </is>
      </c>
      <c r="AJ28" s="63" t="inlineStr">
        <is>
          <t>Merrill Lynch</t>
        </is>
      </c>
      <c r="AK28" s="73" t="n">
        <v>0</v>
      </c>
      <c r="AL28" s="72" t="n">
        <v>0.79</v>
      </c>
      <c r="AM28" s="72" t="n">
        <v>-0.78</v>
      </c>
      <c r="AN28" s="72" t="n">
        <v>-19.92</v>
      </c>
      <c r="AO28" s="72" t="n">
        <v>-14.84</v>
      </c>
      <c r="AP28" s="72" t="n">
        <v>-24.4</v>
      </c>
      <c r="AQ28" s="72" t="n">
        <v>-19.92</v>
      </c>
      <c r="AR28" s="72" t="n">
        <v>-14.84</v>
      </c>
      <c r="AS28" s="72" t="n">
        <v>-24.4</v>
      </c>
      <c r="AT28" s="72" t="n">
        <v>-16.19</v>
      </c>
      <c r="AU28" s="72" t="n">
        <v>-14.43</v>
      </c>
      <c r="AV28" s="72" t="n">
        <v>-21.14</v>
      </c>
      <c r="AW28" s="72" t="n">
        <v>-16.85</v>
      </c>
      <c r="AX28" s="72" t="n">
        <v>-0.41</v>
      </c>
      <c r="AY28" s="72" t="n">
        <v>2.01</v>
      </c>
      <c r="AZ28" s="63" t="inlineStr">
        <is>
          <t>HSTECH (Hang Seng TECH ETF)</t>
        </is>
      </c>
      <c r="BA28" s="72" t="n">
        <v>-62</v>
      </c>
      <c r="BB28" s="64" t="inlineStr">
        <is>
          <t>2026-08-28</t>
        </is>
      </c>
      <c r="BC28" s="65" t="n">
        <v>117781.4</v>
      </c>
      <c r="BD28" s="68" t="n">
        <v>24719.2</v>
      </c>
      <c r="BE28" s="63" t="inlineStr">
        <is>
          <t>Y</t>
        </is>
      </c>
      <c r="BF28" s="74" t="n">
        <v>28.8</v>
      </c>
      <c r="BG28" s="74" t="n"/>
      <c r="BH28" s="74" t="n"/>
      <c r="BI28" s="74" t="n">
        <v>6.1</v>
      </c>
      <c r="BJ28" s="75">
        <f>IF('BBG Verify'!S28="","not filed — run on terminal",'BBG Verify'!S28)</f>
        <v/>
      </c>
      <c r="BK28" s="76" t="inlineStr">
        <is>
          <t>N</t>
        </is>
      </c>
      <c r="BL28" s="77">
        <f>IF('BBG Verify'!K28="","not filed — run on terminal",'BBG Verify'!K28)</f>
        <v/>
      </c>
      <c r="BM28" s="63" t="inlineStr">
        <is>
          <t>N/A</t>
        </is>
      </c>
      <c r="BN28" s="63" t="inlineStr">
        <is>
          <t>N/A</t>
        </is>
      </c>
      <c r="BO28" s="63" t="inlineStr">
        <is>
          <t>N/A</t>
        </is>
      </c>
      <c r="BP28" s="63" t="inlineStr">
        <is>
          <t>N/A</t>
        </is>
      </c>
      <c r="BQ28" s="63" t="inlineStr">
        <is>
          <t>N/A</t>
        </is>
      </c>
      <c r="BR28" s="63" t="inlineStr">
        <is>
          <t>N/A</t>
        </is>
      </c>
      <c r="BS28" s="76" t="inlineStr">
        <is>
          <t>Merrill Lynch (Asia Pacific) Limited; CLSA Capital Markets Limited; Goldman Sachs (Asia) L.L.C; CLSA Limited</t>
        </is>
      </c>
      <c r="BT28" s="63" t="inlineStr">
        <is>
          <t>Merrill Lynch (Asia Pacific) Limited; Goldman Sachs (Asia) L.L.C.; CLSA Capital Markets Limited</t>
        </is>
      </c>
      <c r="BU28" s="63" t="inlineStr">
        <is>
          <t>UBS AG Hong Kong Branch; CCB International Capital Limited; UBS Securities LLC; China Renaissance Securities (Hong Kong) Limited; Nomura International (Hong Kong) Limited; Citigroup Global Markets Asia Limited; Citigroup Global Markets Limited; Canary Wharf London E14 5LB United Kingdom ICBC International Capital Limited; ICBC International Securities Limited; ABCI SECURITIES COMPANY LIMITED</t>
        </is>
      </c>
      <c r="BV28" s="63" t="inlineStr">
        <is>
          <t>ABCI Securities Company Limited; BOCI Asia Limited; CCB International Capital Limited; Citigroup Global Markets Asia Limited; China International Capital Corporation Hong Kong Securities Limited; CLSA Limited; China Renaissance Securities (Hong Kong) Limited; Futu Securities International (Hong Kong) Limited; Goldman Sachs (Asia) L.L.C.; Haitong International Securities Company Limited; ICBC International Securities Limited; Merrill Lynch (Asia Pacific) Limited</t>
        </is>
      </c>
      <c r="BW28" s="78">
        <f>HYPERLINK("https://www1.hkexnews.hk/listedco/listconews/sehk/2021/0312/2021031200021.pdf","prospectus")</f>
        <v/>
      </c>
      <c r="BX28" s="78">
        <f>HYPERLINK("https://www1.hkexnews.hk/listedco/listconews/sehk/2021/0322/2021032200016.htm","allotment")</f>
        <v/>
      </c>
      <c r="BY28" s="78">
        <f>HYPERLINK("https://www1.hkexnews.hk/listedco/listconews/sehk/2021/0418/2021041800007.pdf","stabilisation")</f>
        <v/>
      </c>
      <c r="BZ28" s="76" t="n"/>
      <c r="CA28" s="63" t="inlineStr">
        <is>
          <t>greenshoe: end-of-stabilisation notice not located · range low: cap-only pricing — the filing publishes a Maximum Offer Price and no indicative floor · A/H: no A-share listing · cornerstone list: cornerstone section not machine-extractable — see the prospectus link · cornerstone %: cornerstone aggregate not stated in the filing · grey market: no grey-market headline on file for this deal — AAStocks publishes one per listing but keeps only recent items on the stock's news page, and no public archive of past evening sessions exists; captured from this run onward · stabilisation notice: notice located and linked; its outcome wording is not one of the recognised forms, so the over-allotment result is left blank rather than guessed</t>
        </is>
      </c>
    </row>
    <row r="29" ht="15" customHeight="1">
      <c r="A29" s="62" t="inlineStr">
        <is>
          <t>2187</t>
        </is>
      </c>
      <c r="B29" s="63" t="inlineStr">
        <is>
          <t>ZHIXIN GP HLDG</t>
        </is>
      </c>
      <c r="C29" s="63" t="inlineStr">
        <is>
          <t>智欣集團控股</t>
        </is>
      </c>
      <c r="D29" s="63" t="inlineStr">
        <is>
          <t>Industrials</t>
        </is>
      </c>
      <c r="E29" s="63" t="inlineStr">
        <is>
          <t>Construction / engineering</t>
        </is>
      </c>
      <c r="F29" s="63" t="inlineStr">
        <is>
          <t>Construction Materials</t>
        </is>
      </c>
      <c r="G29" s="63" t="inlineStr">
        <is>
          <t>Standard</t>
        </is>
      </c>
      <c r="H29" s="64" t="n">
        <v>44281</v>
      </c>
      <c r="I29" s="65" t="n">
        <v>241.4</v>
      </c>
      <c r="J29" s="63" t="inlineStr">
        <is>
          <t>net proceeds</t>
        </is>
      </c>
      <c r="K29" s="66" t="n"/>
      <c r="L29" s="66" t="n">
        <v>1.5</v>
      </c>
      <c r="M29" s="66" t="n">
        <v>1.5</v>
      </c>
      <c r="N29" s="63" t="inlineStr">
        <is>
          <t>Y</t>
        </is>
      </c>
      <c r="O29" s="67" t="n">
        <v>100</v>
      </c>
      <c r="P29" s="67" t="n"/>
      <c r="Q29" s="68" t="n">
        <v>1122</v>
      </c>
      <c r="R29" s="63" t="inlineStr">
        <is>
          <t>prospectus:stated market capitalisation</t>
        </is>
      </c>
      <c r="S29" s="69" t="n">
        <v>25.24</v>
      </c>
      <c r="T29" s="79">
        <f>IF('BBG Verify'!E29="","not filed — run on terminal",'BBG Verify'!E29)</f>
        <v/>
      </c>
      <c r="U29" s="71" t="n">
        <v>30.3</v>
      </c>
      <c r="V29" s="68" t="n">
        <v>168.26</v>
      </c>
      <c r="W29" s="68" t="n"/>
      <c r="X29" s="67" t="n">
        <v>15</v>
      </c>
      <c r="Y29" s="63" t="inlineStr">
        <is>
          <t>Tenancy Co., Limited; Wang Miao</t>
        </is>
      </c>
      <c r="Z29" s="63" t="inlineStr">
        <is>
          <t>tenancy;wang-miao</t>
        </is>
      </c>
      <c r="AA29" s="67" t="n"/>
      <c r="AB29" s="72" t="n"/>
      <c r="AC29" s="66" t="n"/>
      <c r="AD29" s="72" t="n"/>
      <c r="AE29" s="63" t="n"/>
      <c r="AF29" s="63" t="n"/>
      <c r="AG29" s="63" t="n"/>
      <c r="AH29" s="63" t="n"/>
      <c r="AI29" s="63" t="n"/>
      <c r="AJ29" s="63" t="n"/>
      <c r="AK29" s="73" t="n">
        <v>-29.33</v>
      </c>
      <c r="AL29" s="72" t="n">
        <v>-3.33</v>
      </c>
      <c r="AM29" s="72" t="n">
        <v>-26.9</v>
      </c>
      <c r="AN29" s="72" t="n">
        <v>-30</v>
      </c>
      <c r="AO29" s="72" t="n">
        <v>-23.33</v>
      </c>
      <c r="AP29" s="72" t="n">
        <v>-16</v>
      </c>
      <c r="AQ29" s="72" t="n">
        <v>-0.95</v>
      </c>
      <c r="AR29" s="72" t="n">
        <v>8.49</v>
      </c>
      <c r="AS29" s="72" t="n">
        <v>18.86</v>
      </c>
      <c r="AT29" s="72" t="n">
        <v>-34.83</v>
      </c>
      <c r="AU29" s="72" t="n">
        <v>-29.89</v>
      </c>
      <c r="AV29" s="72" t="n">
        <v>-25.18</v>
      </c>
      <c r="AW29" s="72" t="n">
        <v>4.35</v>
      </c>
      <c r="AX29" s="72" t="n">
        <v>6.56</v>
      </c>
      <c r="AY29" s="72" t="n">
        <v>4.14</v>
      </c>
      <c r="AZ29" s="63" t="inlineStr">
        <is>
          <t>Hang Seng Commerce &amp; Industry sub-index</t>
        </is>
      </c>
      <c r="BA29" s="72" t="n">
        <v>-70</v>
      </c>
      <c r="BB29" s="64" t="inlineStr">
        <is>
          <t>2026-08-28</t>
        </is>
      </c>
      <c r="BC29" s="65" t="n">
        <v>649.9</v>
      </c>
      <c r="BD29" s="68" t="n">
        <v>46</v>
      </c>
      <c r="BE29" s="63" t="inlineStr">
        <is>
          <t>Y</t>
        </is>
      </c>
      <c r="BF29" s="74" t="n">
        <v>24.4</v>
      </c>
      <c r="BG29" s="74" t="n">
        <v>8.199999999999999</v>
      </c>
      <c r="BH29" s="74" t="n"/>
      <c r="BI29" s="74" t="n">
        <v>1.7</v>
      </c>
      <c r="BJ29" s="75">
        <f>IF('BBG Verify'!S29="","not filed — run on terminal",'BBG Verify'!S29)</f>
        <v/>
      </c>
      <c r="BK29" s="76" t="inlineStr">
        <is>
          <t>N</t>
        </is>
      </c>
      <c r="BL29" s="77">
        <f>IF('BBG Verify'!K29="","not filed — run on terminal",'BBG Verify'!K29)</f>
        <v/>
      </c>
      <c r="BM29" s="63" t="inlineStr">
        <is>
          <t>N/A</t>
        </is>
      </c>
      <c r="BN29" s="63" t="inlineStr">
        <is>
          <t>N/A</t>
        </is>
      </c>
      <c r="BO29" s="63" t="inlineStr">
        <is>
          <t>N/A</t>
        </is>
      </c>
      <c r="BP29" s="63" t="inlineStr">
        <is>
          <t>N/A</t>
        </is>
      </c>
      <c r="BQ29" s="63" t="inlineStr">
        <is>
          <t>N/A</t>
        </is>
      </c>
      <c r="BR29" s="63" t="inlineStr">
        <is>
          <t>N/A</t>
        </is>
      </c>
      <c r="BS29" s="76" t="inlineStr">
        <is>
          <t>Kingsway Capital Limited</t>
        </is>
      </c>
      <c r="BT29" s="63" t="inlineStr">
        <is>
          <t>Kingsway Capital Limited</t>
        </is>
      </c>
      <c r="BU29" s="63" t="inlineStr">
        <is>
          <t>Kingsway Financial Services Group Limited; Seazen Resources Securities Limited; Zhongtai International Securities Limited; SPDB International Capital Limited</t>
        </is>
      </c>
      <c r="BV29" s="63" t="inlineStr">
        <is>
          <t>Haitong International Securities Company Limited; Kingsway Financial Services Group Limited; SPDB International Capital Limited; Seazen Resources Securities Limited; Zhongtai International Securities Limited; ZMF Asset Management Limited</t>
        </is>
      </c>
      <c r="BW29" s="78">
        <f>HYPERLINK("https://www1.hkexnews.hk/listedco/listconews/sehk/2021/0316/2021031600111.pdf","prospectus")</f>
        <v/>
      </c>
      <c r="BX29" s="78">
        <f>HYPERLINK("https://www1.hkexnews.hk/listedco/listconews/sehk/2021/0325/2021032500100.htm","allotment")</f>
        <v/>
      </c>
      <c r="BY29" s="63" t="n"/>
      <c r="BZ29" s="76" t="n"/>
      <c r="CA29" s="63" t="inlineStr">
        <is>
          <t>intl sub: parsed 0.9x rejected — implausible for a deal struck at the cap with the public tranche 25x subscribed (a percentage read as a multiple); BBG Verify CP037 fills this on the terminal · greenshoe: no over-allotment option in the offer structure · range low: cap-only pricing — the filing publishes a Maximum Offer Price and no indicative floor · A/H: no A-share listing · cornerstone: table parse read 80% but the institutional total implies 30% — parse rejected, the AAStocks institutional total used (30.3%) · greenshoe size: no over-allotment option in the offer structure · stabilising manager: no over-allotment option in the offer structure, so no stabilising manager is appointed · grey market: no grey-market headline on file for this deal — AAStocks publishes one per listing but keeps only recent items on the stock's news page, and no public archive of past evening sessions exists; captured from this run onward · eff float shares: share count unavailable or rejected as implausible — the money figure (eff_free_float_hkdm) is still exact</t>
        </is>
      </c>
    </row>
    <row r="30" ht="15" customHeight="1">
      <c r="A30" s="62" t="inlineStr">
        <is>
          <t>9626</t>
        </is>
      </c>
      <c r="B30" s="63" t="inlineStr">
        <is>
          <t>BILIBILI-SW</t>
        </is>
      </c>
      <c r="C30" s="63" t="inlineStr">
        <is>
          <t>嗶哩嗶哩－Ｗ</t>
        </is>
      </c>
      <c r="D30" s="63" t="inlineStr">
        <is>
          <t>Tech/AI</t>
        </is>
      </c>
      <c r="E30" s="63" t="inlineStr">
        <is>
          <t>Internet platform / e-commerce</t>
        </is>
      </c>
      <c r="F30" s="63" t="inlineStr">
        <is>
          <t>e-Commerce &amp; Internet Services</t>
        </is>
      </c>
      <c r="G30" s="63" t="inlineStr">
        <is>
          <t>Secondary + WVR</t>
        </is>
      </c>
      <c r="H30" s="64" t="n">
        <v>44284</v>
      </c>
      <c r="I30" s="65" t="n">
        <v>20200</v>
      </c>
      <c r="J30" s="63" t="inlineStr">
        <is>
          <t>gross (price x shares)</t>
        </is>
      </c>
      <c r="K30" s="66" t="n"/>
      <c r="L30" s="66" t="n">
        <v>988</v>
      </c>
      <c r="M30" s="66" t="n">
        <v>808</v>
      </c>
      <c r="N30" s="63" t="inlineStr">
        <is>
          <t>N</t>
        </is>
      </c>
      <c r="O30" s="67" t="n">
        <v>81.8</v>
      </c>
      <c r="P30" s="67" t="n"/>
      <c r="Q30" s="68" t="n">
        <v>298019</v>
      </c>
      <c r="R30" s="63" t="inlineStr">
        <is>
          <t>press:chinanews 2021-03-30: 总市值约2980.19亿港元 | FINANCIALS (RMB x1.1): Bilibili FY2020 PR/20-F: total net revenues RMB11,999.0m (stored NI is the attributable line, kept)</t>
        </is>
      </c>
      <c r="S30" s="69" t="n">
        <v>174.19</v>
      </c>
      <c r="T30" s="70" t="n">
        <v>11.9</v>
      </c>
      <c r="U30" s="71" t="n"/>
      <c r="V30" s="68" t="n">
        <v>20200</v>
      </c>
      <c r="W30" s="68" t="n">
        <v>25000000</v>
      </c>
      <c r="X30" s="67" t="n">
        <v>6.78</v>
      </c>
      <c r="Y30" s="63" t="n"/>
      <c r="Z30" s="63" t="n"/>
      <c r="AA30" s="67" t="n">
        <v>6.6</v>
      </c>
      <c r="AB30" s="72" t="n"/>
      <c r="AC30" s="66" t="n"/>
      <c r="AD30" s="72" t="n"/>
      <c r="AE30" s="63" t="n"/>
      <c r="AF30" s="63" t="n"/>
      <c r="AG30" s="63" t="inlineStr">
        <is>
          <t>full</t>
        </is>
      </c>
      <c r="AH30" s="63" t="inlineStr">
        <is>
          <t>2021-04-22</t>
        </is>
      </c>
      <c r="AI30" s="63" t="inlineStr">
        <is>
          <t>Morgan Stanley Asia Limited</t>
        </is>
      </c>
      <c r="AJ30" s="63" t="inlineStr">
        <is>
          <t>Morgan Stanley</t>
        </is>
      </c>
      <c r="AK30" s="73" t="n">
        <v>-0.99</v>
      </c>
      <c r="AL30" s="72" t="n">
        <v>-2.23</v>
      </c>
      <c r="AM30" s="72" t="n">
        <v>1.27</v>
      </c>
      <c r="AN30" s="72" t="n">
        <v>5.82</v>
      </c>
      <c r="AO30" s="72" t="n">
        <v>10.27</v>
      </c>
      <c r="AP30" s="72" t="n">
        <v>15.72</v>
      </c>
      <c r="AQ30" s="72" t="n">
        <v>6.88</v>
      </c>
      <c r="AR30" s="72" t="n">
        <v>11.37</v>
      </c>
      <c r="AS30" s="72" t="n">
        <v>16.88</v>
      </c>
      <c r="AT30" s="72" t="n">
        <v>1.79</v>
      </c>
      <c r="AU30" s="72" t="n">
        <v>7.85</v>
      </c>
      <c r="AV30" s="72" t="n">
        <v>18.57</v>
      </c>
      <c r="AW30" s="72" t="n">
        <v>6.87</v>
      </c>
      <c r="AX30" s="72" t="n">
        <v>2.42</v>
      </c>
      <c r="AY30" s="72" t="n">
        <v>4.5</v>
      </c>
      <c r="AZ30" s="63" t="inlineStr">
        <is>
          <t>HSTECH (Hang Seng TECH ETF)</t>
        </is>
      </c>
      <c r="BA30" s="72" t="n">
        <v>-83.69</v>
      </c>
      <c r="BB30" s="64" t="inlineStr">
        <is>
          <t>2026-08-28</t>
        </is>
      </c>
      <c r="BC30" s="65" t="n">
        <v>13198.9</v>
      </c>
      <c r="BD30" s="68" t="n">
        <v>-3359.4</v>
      </c>
      <c r="BE30" s="63" t="inlineStr">
        <is>
          <t>N</t>
        </is>
      </c>
      <c r="BF30" s="63" t="inlineStr">
        <is>
          <t>n/m</t>
        </is>
      </c>
      <c r="BG30" s="74" t="n"/>
      <c r="BH30" s="74" t="n"/>
      <c r="BI30" s="74" t="n">
        <v>22.6</v>
      </c>
      <c r="BJ30" s="75">
        <f>IF('BBG Verify'!S30="","not filed — run on terminal",'BBG Verify'!S30)</f>
        <v/>
      </c>
      <c r="BK30" s="76" t="inlineStr">
        <is>
          <t>N</t>
        </is>
      </c>
      <c r="BL30" s="77">
        <f>IF('BBG Verify'!K30="","not filed — run on terminal",'BBG Verify'!K30)</f>
        <v/>
      </c>
      <c r="BM30" s="63" t="inlineStr">
        <is>
          <t>N/A</t>
        </is>
      </c>
      <c r="BN30" s="63" t="inlineStr">
        <is>
          <t>N/A</t>
        </is>
      </c>
      <c r="BO30" s="63" t="inlineStr">
        <is>
          <t>N/A</t>
        </is>
      </c>
      <c r="BP30" s="63" t="inlineStr">
        <is>
          <t>N/A</t>
        </is>
      </c>
      <c r="BQ30" s="63" t="inlineStr">
        <is>
          <t>N/A</t>
        </is>
      </c>
      <c r="BR30" s="63" t="inlineStr">
        <is>
          <t>N/A</t>
        </is>
      </c>
      <c r="BS30" s="76" t="inlineStr">
        <is>
          <t>Morgan Stanley Asia Limited; Goldman Sachs (Asia) L.L.C; J.P. Morgan Securities (Far East) Limited; UBS Securities Hong Kong Limited</t>
        </is>
      </c>
      <c r="BT30" s="63" t="inlineStr">
        <is>
          <t>Morgan Stanley Asia Limited; J.P. Morgan Securities (Far East) Limited; UBS Securities Hong Kong Limited; Goldman Sachs (Asia) L.L.C.</t>
        </is>
      </c>
      <c r="BU30" s="63" t="inlineStr">
        <is>
          <t>Morgan Stanley Asia Limited; Goldman Sachs (Asia) L.L.C; J.P. Morgan Securities (Asia Pacific) Limited; UBS AG Hong Kong Branch; Morgan Stanley &amp; Co. International plc; London, E14 4QA United Kingdom Goldman Sachs (Asia) L.L.C; J.P. Morgan Securities plc; Canary Wharf London E14 5JP United Kingdom J.P. Morgan Securities LLC; UBS Securities LLC; Merrill Lynch (Asia Pacific) Limited</t>
        </is>
      </c>
      <c r="BV30" s="63" t="inlineStr">
        <is>
          <t>CCB International Capital Limited; China International Capital Corporation Hong Kong Securities Limited; CLSA Limited; CMB International Capital Limited; Credit Suisse (Hong Kong) Limited; Futu Securities International (Hong Kong) Limited; Guotai Junan Securities (Hong Kong) Limited; Goldman Sachs (Asia) L.L.C.; Haitong International Securities Company Limited; J.P. Morgan Securities (Asia Pacific) Limited; Merrill Lynch (Asia Pacific) Limited; Morgan Stanley Asia Limited</t>
        </is>
      </c>
      <c r="BW30" s="78">
        <f>HYPERLINK("https://www1.hkexnews.hk/listedco/listconews/sehk/2021/0318/2021031800173.pdf","prospectus")</f>
        <v/>
      </c>
      <c r="BX30" s="78">
        <f>HYPERLINK("https://www1.hkexnews.hk/listedco/listconews/sehk/2021/0326/2021032600074.htm","allotment")</f>
        <v/>
      </c>
      <c r="BY30" s="78">
        <f>HYPERLINK("https://www1.hkexnews.hk/listedco/listconews/sehk/2021/0422/2021042202002.pdf","stabilisation")</f>
        <v/>
      </c>
      <c r="BZ30" s="76" t="n"/>
      <c r="CA30" s="63" t="inlineStr">
        <is>
          <t>P/E: n/m — loss-making at IPO (use P/S) · range low: cap-only pricing — the filing publishes a Maximum Offer Price and no indicative floor · A/H: no A-share listing · cornerstone list: no cornerstone tranche in this deal · cornerstone %: no cornerstone tranche in this deal · grey market: no grey-market headline on file for this deal — AAStocks publishes one per listing but keeps only recent items on the stock's news page, and no public archive of past evening sessions exists; captured from this run onward</t>
        </is>
      </c>
    </row>
    <row r="31" ht="15" customHeight="1">
      <c r="A31" s="62" t="inlineStr">
        <is>
          <t>6939</t>
        </is>
      </c>
      <c r="B31" s="63" t="inlineStr">
        <is>
          <t>MEGAIN</t>
        </is>
      </c>
      <c r="C31" s="63" t="inlineStr">
        <is>
          <t>美佳音控股</t>
        </is>
      </c>
      <c r="D31" s="63" t="inlineStr">
        <is>
          <t>Tech/AI</t>
        </is>
      </c>
      <c r="E31" s="63" t="inlineStr">
        <is>
          <t>AI chips &amp; semis</t>
        </is>
      </c>
      <c r="F31" s="63" t="inlineStr">
        <is>
          <t>Electrical Components &amp; Equipment</t>
        </is>
      </c>
      <c r="G31" s="63" t="inlineStr">
        <is>
          <t>Standard</t>
        </is>
      </c>
      <c r="H31" s="64" t="n">
        <v>44286</v>
      </c>
      <c r="I31" s="65" t="n">
        <v>157.5</v>
      </c>
      <c r="J31" s="63" t="inlineStr">
        <is>
          <t>gross (price x shares)</t>
        </is>
      </c>
      <c r="K31" s="66" t="n">
        <v>1.15</v>
      </c>
      <c r="L31" s="66" t="n">
        <v>1.35</v>
      </c>
      <c r="M31" s="66" t="n">
        <v>1.26</v>
      </c>
      <c r="N31" s="63" t="inlineStr">
        <is>
          <t>N</t>
        </is>
      </c>
      <c r="O31" s="67" t="n">
        <v>93.3</v>
      </c>
      <c r="P31" s="67" t="n">
        <v>55</v>
      </c>
      <c r="Q31" s="68" t="n">
        <v>693.4</v>
      </c>
      <c r="R31" s="63" t="inlineStr">
        <is>
          <t>aastocks:上市市值 at the struck price</t>
        </is>
      </c>
      <c r="S31" s="69" t="n">
        <v>22.43</v>
      </c>
      <c r="T31" s="70" t="n">
        <v>1.71</v>
      </c>
      <c r="U31" s="71" t="n">
        <v>0</v>
      </c>
      <c r="V31" s="68" t="n">
        <v>157.5</v>
      </c>
      <c r="W31" s="68" t="n">
        <v>125000000</v>
      </c>
      <c r="X31" s="67" t="n">
        <v>22.71</v>
      </c>
      <c r="Y31" s="63" t="n"/>
      <c r="Z31" s="63" t="n"/>
      <c r="AA31" s="67" t="n">
        <v>16.63</v>
      </c>
      <c r="AB31" s="72" t="n"/>
      <c r="AC31" s="66" t="n"/>
      <c r="AD31" s="72" t="n"/>
      <c r="AE31" s="63" t="n"/>
      <c r="AF31" s="63" t="n"/>
      <c r="AG31" s="63" t="inlineStr">
        <is>
          <t>full</t>
        </is>
      </c>
      <c r="AH31" s="63" t="n"/>
      <c r="AI31" s="63" t="inlineStr">
        <is>
          <t>CMBC Securities Company Limited</t>
        </is>
      </c>
      <c r="AJ31" s="63" t="inlineStr">
        <is>
          <t>CMBC</t>
        </is>
      </c>
      <c r="AK31" s="73" t="n">
        <v>6.35</v>
      </c>
      <c r="AL31" s="72" t="n">
        <v>10.32</v>
      </c>
      <c r="AM31" s="72" t="n">
        <v>-3.6</v>
      </c>
      <c r="AN31" s="72" t="n">
        <v>12.7</v>
      </c>
      <c r="AO31" s="72" t="n">
        <v>15.08</v>
      </c>
      <c r="AP31" s="72" t="n">
        <v>44.44</v>
      </c>
      <c r="AQ31" s="72" t="n">
        <v>5.97</v>
      </c>
      <c r="AR31" s="72" t="n">
        <v>8.210000000000001</v>
      </c>
      <c r="AS31" s="72" t="n">
        <v>35.82</v>
      </c>
      <c r="AT31" s="72" t="n">
        <v>12.64</v>
      </c>
      <c r="AU31" s="72" t="n">
        <v>13.91</v>
      </c>
      <c r="AV31" s="72" t="n">
        <v>50.84</v>
      </c>
      <c r="AW31" s="72" t="n">
        <v>7.04</v>
      </c>
      <c r="AX31" s="72" t="n">
        <v>1.17</v>
      </c>
      <c r="AY31" s="72" t="n">
        <v>1.17</v>
      </c>
      <c r="AZ31" s="63" t="inlineStr">
        <is>
          <t>HSTECH (Hang Seng TECH ETF)</t>
        </is>
      </c>
      <c r="BA31" s="72" t="n">
        <v>-13.89</v>
      </c>
      <c r="BB31" s="64" t="inlineStr">
        <is>
          <t>2026-08-28</t>
        </is>
      </c>
      <c r="BC31" s="65" t="n">
        <v>173.8</v>
      </c>
      <c r="BD31" s="68" t="n">
        <v>45.4</v>
      </c>
      <c r="BE31" s="63" t="inlineStr">
        <is>
          <t>Y</t>
        </is>
      </c>
      <c r="BF31" s="74" t="n">
        <v>15.3</v>
      </c>
      <c r="BG31" s="74" t="n"/>
      <c r="BH31" s="74" t="n"/>
      <c r="BI31" s="74" t="n">
        <v>4</v>
      </c>
      <c r="BJ31" s="75">
        <f>IF('BBG Verify'!S31="","not filed — run on terminal",'BBG Verify'!S31)</f>
        <v/>
      </c>
      <c r="BK31" s="76" t="inlineStr">
        <is>
          <t>N</t>
        </is>
      </c>
      <c r="BL31" s="77">
        <f>IF('BBG Verify'!K31="","not filed — run on terminal",'BBG Verify'!K31)</f>
        <v/>
      </c>
      <c r="BM31" s="63" t="inlineStr">
        <is>
          <t>N/A</t>
        </is>
      </c>
      <c r="BN31" s="63" t="inlineStr">
        <is>
          <t>N/A</t>
        </is>
      </c>
      <c r="BO31" s="63" t="inlineStr">
        <is>
          <t>N/A</t>
        </is>
      </c>
      <c r="BP31" s="63" t="inlineStr">
        <is>
          <t>N/A</t>
        </is>
      </c>
      <c r="BQ31" s="63" t="inlineStr">
        <is>
          <t>N/A</t>
        </is>
      </c>
      <c r="BR31" s="63" t="inlineStr">
        <is>
          <t>N/A</t>
        </is>
      </c>
      <c r="BS31" s="76" t="inlineStr">
        <is>
          <t>CMBC International Capital Limited</t>
        </is>
      </c>
      <c r="BT31" s="63" t="inlineStr">
        <is>
          <t>CMBC International Capital Limited</t>
        </is>
      </c>
      <c r="BU31" s="63" t="inlineStr">
        <is>
          <t>CMBC Securities Company Limited; Yuan Tong Global Securities Limited; CCB International Capital Limited; Haitong International Securities Company Limited; BOCOM International Securities Limited; Dongxing Securities (Hong Kong) Company Limited; Vision Finance International Company Limited</t>
        </is>
      </c>
      <c r="BV31" s="63" t="inlineStr">
        <is>
          <t>Beta International Securities Limited; CCB International Capital Limited; CMBC Securities Company Limited; China Sky Securities Limited; Dongxing Securities (Hong Kong) Company Limited; Ever-Long Securities Company Limited; Fulbright Securities Limited; Glory Sun Securities Limited; Grand View Securities Limited; Haitong International Securities Company Limited; Lego Securities Limited; Livermore Holdings Limited</t>
        </is>
      </c>
      <c r="BW31" s="78">
        <f>HYPERLINK("https://www1.hkexnews.hk/listedco/listconews/sehk/2021/0318/2021031800013.pdf","prospectus")</f>
        <v/>
      </c>
      <c r="BX31" s="78">
        <f>HYPERLINK("https://www1.hkexnews.hk/listedco/listconews/sehk/2021/0330/2021033000148.htm","allotment")</f>
        <v/>
      </c>
      <c r="BY31" s="78">
        <f>HYPERLINK("https://www1.hkexnews.hk/listedco/listconews/sehk/2021/0422/2021042201830.pdf","stabilisation")</f>
        <v/>
      </c>
      <c r="BZ31" s="76" t="n"/>
      <c r="CA31" s="63" t="inlineStr">
        <is>
          <t>greenshoe: over-allotment outcome already published, and the allotment announcement does not state the stabilisation expiry in a parsable form — the expiry no longer matters once resolved · A/H: no A-share listing · market cap: estimate from deal size / offer % of enlarged capital disagreed with the published listing cap — published figure adopted · cornerstone list: no cornerstone tranche in this deal · grey market: no grey-market headline on file for this deal — AAStocks publishes one per listing but keeps only recent items on the stock's news page, and no public archive of past evening sessions exists; captured from this run onward</t>
        </is>
      </c>
    </row>
    <row r="32" ht="15" customHeight="1">
      <c r="A32" s="62" t="inlineStr">
        <is>
          <t>6608</t>
        </is>
      </c>
      <c r="B32" s="63" t="inlineStr">
        <is>
          <t>BAIRONG-W</t>
        </is>
      </c>
      <c r="C32" s="63" t="inlineStr">
        <is>
          <t>百融智能－Ｗ</t>
        </is>
      </c>
      <c r="D32" s="63" t="inlineStr">
        <is>
          <t>Tech/AI</t>
        </is>
      </c>
      <c r="E32" s="63" t="inlineStr">
        <is>
          <t>Fintech platform</t>
        </is>
      </c>
      <c r="F32" s="63" t="inlineStr">
        <is>
          <t>Systems Software</t>
        </is>
      </c>
      <c r="G32" s="63" t="inlineStr">
        <is>
          <t>WVR</t>
        </is>
      </c>
      <c r="H32" s="64" t="n">
        <v>44286</v>
      </c>
      <c r="I32" s="65" t="n">
        <v>3937.6</v>
      </c>
      <c r="J32" s="63" t="inlineStr">
        <is>
          <t>gross (price x shares)</t>
        </is>
      </c>
      <c r="K32" s="66" t="n"/>
      <c r="L32" s="66" t="n">
        <v>31.8</v>
      </c>
      <c r="M32" s="66" t="n">
        <v>31.8</v>
      </c>
      <c r="N32" s="63" t="inlineStr">
        <is>
          <t>Y</t>
        </is>
      </c>
      <c r="O32" s="67" t="n">
        <v>100</v>
      </c>
      <c r="P32" s="67" t="n"/>
      <c r="Q32" s="68" t="n">
        <v>15750.2</v>
      </c>
      <c r="R32" s="63" t="inlineStr">
        <is>
          <t>aastocks:上市市值 at the struck price</t>
        </is>
      </c>
      <c r="S32" s="69" t="n">
        <v>150.67</v>
      </c>
      <c r="T32" s="70" t="n">
        <v>36.3</v>
      </c>
      <c r="U32" s="71" t="n">
        <v>47.3</v>
      </c>
      <c r="V32" s="68" t="n">
        <v>2075.12</v>
      </c>
      <c r="W32" s="68" t="n">
        <v>65254458</v>
      </c>
      <c r="X32" s="67" t="n">
        <v>13.18</v>
      </c>
      <c r="Y32" s="63" t="inlineStr">
        <is>
          <t>Cederberg Capital Limited; China Structural Reform Fund Corporation Limited; Franchise Fund LP</t>
        </is>
      </c>
      <c r="Z32" s="63" t="inlineStr">
        <is>
          <t>cederberg;structural;franchise</t>
        </is>
      </c>
      <c r="AA32" s="67" t="n">
        <v>5.19</v>
      </c>
      <c r="AB32" s="72" t="n"/>
      <c r="AC32" s="66" t="n"/>
      <c r="AD32" s="72" t="n"/>
      <c r="AE32" s="63" t="n"/>
      <c r="AF32" s="63" t="n"/>
      <c r="AG32" s="63" t="inlineStr">
        <is>
          <t>lapsed</t>
        </is>
      </c>
      <c r="AH32" s="63" t="n"/>
      <c r="AI32" s="63" t="n"/>
      <c r="AJ32" s="63" t="n"/>
      <c r="AK32" s="73" t="n">
        <v>-16.04</v>
      </c>
      <c r="AL32" s="72" t="n">
        <v>-7.39</v>
      </c>
      <c r="AM32" s="72" t="n">
        <v>-9.34</v>
      </c>
      <c r="AN32" s="72" t="n">
        <v>-23.11</v>
      </c>
      <c r="AO32" s="72" t="n">
        <v>-35.06</v>
      </c>
      <c r="AP32" s="72" t="n">
        <v>-40.57</v>
      </c>
      <c r="AQ32" s="72" t="n">
        <v>-8.42</v>
      </c>
      <c r="AR32" s="72" t="n">
        <v>-22.65</v>
      </c>
      <c r="AS32" s="72" t="n">
        <v>-29.22</v>
      </c>
      <c r="AT32" s="72" t="n">
        <v>-23.17</v>
      </c>
      <c r="AU32" s="72" t="n">
        <v>-36.23</v>
      </c>
      <c r="AV32" s="72" t="n">
        <v>-34.17</v>
      </c>
      <c r="AW32" s="72" t="n">
        <v>-23.82</v>
      </c>
      <c r="AX32" s="72" t="n">
        <v>1.17</v>
      </c>
      <c r="AY32" s="72" t="n">
        <v>1.17</v>
      </c>
      <c r="AZ32" s="63" t="inlineStr">
        <is>
          <t>HSTECH (Hang Seng TECH ETF)</t>
        </is>
      </c>
      <c r="BA32" s="72" t="n">
        <v>-82.67</v>
      </c>
      <c r="BB32" s="64" t="inlineStr">
        <is>
          <t>2026-08-28</t>
        </is>
      </c>
      <c r="BC32" s="65" t="n">
        <v>447</v>
      </c>
      <c r="BD32" s="68" t="n">
        <v>-103.6</v>
      </c>
      <c r="BE32" s="63" t="inlineStr">
        <is>
          <t>N</t>
        </is>
      </c>
      <c r="BF32" s="63" t="inlineStr">
        <is>
          <t>n/m</t>
        </is>
      </c>
      <c r="BG32" s="74" t="n"/>
      <c r="BH32" s="74" t="n">
        <v>32.3</v>
      </c>
      <c r="BI32" s="74" t="n">
        <v>35.2</v>
      </c>
      <c r="BJ32" s="75">
        <f>IF('BBG Verify'!S32="","not filed — run on terminal",'BBG Verify'!S32)</f>
        <v/>
      </c>
      <c r="BK32" s="76" t="inlineStr">
        <is>
          <t>N</t>
        </is>
      </c>
      <c r="BL32" s="77">
        <f>IF('BBG Verify'!K32="","not filed — run on terminal",'BBG Verify'!K32)</f>
        <v/>
      </c>
      <c r="BM32" s="63" t="inlineStr">
        <is>
          <t>N/A</t>
        </is>
      </c>
      <c r="BN32" s="63" t="inlineStr">
        <is>
          <t>N/A</t>
        </is>
      </c>
      <c r="BO32" s="63" t="inlineStr">
        <is>
          <t>N/A</t>
        </is>
      </c>
      <c r="BP32" s="63" t="inlineStr">
        <is>
          <t>N/A</t>
        </is>
      </c>
      <c r="BQ32" s="63" t="inlineStr">
        <is>
          <t>N/A</t>
        </is>
      </c>
      <c r="BR32" s="63" t="inlineStr">
        <is>
          <t>N/A</t>
        </is>
      </c>
      <c r="BS32" s="76" t="inlineStr">
        <is>
          <t>Morgan Stanley Asia Limited; China International Capital Corporation Hong Kong Securities Limited; CMBC International Capital Limited</t>
        </is>
      </c>
      <c r="BT32" s="63" t="inlineStr">
        <is>
          <t>China International Capital Corporation Hong Kong Securities Limited; Morgan Stanley Asia Limited; CMBC International Capital Limited</t>
        </is>
      </c>
      <c r="BU32" s="63" t="inlineStr">
        <is>
          <t>Morgan Stanley Asia Limited; China International Capital Corporation Hong Kong Securities Limited; CMBC Securities Company Limited; ICBC International Capital Limited; Haitong International Securities Company Limited; CMB INTERNATIONAL CAPITAL LIMITED; Daiwa Capital Markets Hong Kong Limited; Futu Securities International (Hong Kong) Limited</t>
        </is>
      </c>
      <c r="BV32" s="63" t="inlineStr">
        <is>
          <t>China International Capital Corporation Hong Kong Securities Limited; CMBC Securities Company Limited; CMB International Capital Corporation Limited; Daiwa Capital Markets Hong Kong Limited; Futu Securities International (Hong Kong) Limited; Haitong International Securities Company Limited; ICBC International Securities Limited; Morgan Stanley Asia Limited; SBI China Capital Financial Services Limited</t>
        </is>
      </c>
      <c r="BW32" s="78">
        <f>HYPERLINK("https://www1.hkexnews.hk/listedco/listconews/sehk/2021/0319/2021031900021.pdf","prospectus")</f>
        <v/>
      </c>
      <c r="BX32" s="78">
        <f>HYPERLINK("https://www1.hkexnews.hk/listedco/listconews/sehk/2021/0330/2021033000204.htm","allotment")</f>
        <v/>
      </c>
      <c r="BY32" s="78">
        <f>HYPERLINK("https://www1.hkexnews.hk/listedco/listconews/sehk/2021/0423/2021042302099.pdf","stabilisation")</f>
        <v/>
      </c>
      <c r="BZ32" s="76" t="n"/>
      <c r="CA32" s="63" t="inlineStr">
        <is>
          <t>P/E: n/m — loss-making at IPO (use P/S) · greenshoe: over-allotment outcome already published, and the allotment announcement does not state the stabilisation expiry in a parsable form — the expiry no longer matters once resolved · range low: cap-only pricing — the filing publishes a Maximum Offer Price and no indicative floor · A/H: no A-share listing · market cap: prospectus 'market capitalisation' line rejected — it is the listing-rule threshold, not the issuer's figure ("million, which is over HK$1 billion; and (ii) our expected market capitalisation at the time of Listing, which") · stabilising manager: neither the allotment announcement's cover sentence nor the prospectus definitions glossary names one in a form the parser reads — not inferred from the sponsor · grey market: no grey-market headline on file for this deal — AAStocks publishes one per listing but keeps only recent items on the stock's news page, and no public archive of past evening sessions exists; captured from this run onward</t>
        </is>
      </c>
    </row>
    <row r="33" ht="15" customHeight="1">
      <c r="A33" s="62" t="inlineStr">
        <is>
          <t>2195</t>
        </is>
      </c>
      <c r="B33" s="63" t="inlineStr">
        <is>
          <t>UNITY ENT</t>
        </is>
      </c>
      <c r="C33" s="63" t="inlineStr">
        <is>
          <t>盈滙企業控股</t>
        </is>
      </c>
      <c r="D33" s="63" t="inlineStr">
        <is>
          <t>Industrials</t>
        </is>
      </c>
      <c r="E33" s="63" t="inlineStr">
        <is>
          <t>Construction / engineering</t>
        </is>
      </c>
      <c r="F33" s="63" t="inlineStr">
        <is>
          <t>Building Construction</t>
        </is>
      </c>
      <c r="G33" s="63" t="inlineStr">
        <is>
          <t>Standard</t>
        </is>
      </c>
      <c r="H33" s="64" t="n">
        <v>44286</v>
      </c>
      <c r="I33" s="65" t="n">
        <v>140</v>
      </c>
      <c r="J33" s="63" t="inlineStr">
        <is>
          <t>gross (price x shares)</t>
        </is>
      </c>
      <c r="K33" s="66" t="n">
        <v>0.5</v>
      </c>
      <c r="L33" s="66" t="n">
        <v>0.5600000000000001</v>
      </c>
      <c r="M33" s="66" t="n">
        <v>0.5600000000000001</v>
      </c>
      <c r="N33" s="63" t="inlineStr">
        <is>
          <t>Y</t>
        </is>
      </c>
      <c r="O33" s="67" t="n">
        <v>100</v>
      </c>
      <c r="P33" s="67" t="n">
        <v>100</v>
      </c>
      <c r="Q33" s="68" t="n">
        <v>560</v>
      </c>
      <c r="R33" s="63" t="inlineStr">
        <is>
          <t>aastocks:上市市值 at the struck price</t>
        </is>
      </c>
      <c r="S33" s="69" t="n">
        <v>21.65</v>
      </c>
      <c r="T33" s="70" t="n">
        <v>1.08</v>
      </c>
      <c r="U33" s="71" t="n"/>
      <c r="V33" s="68" t="n">
        <v>140</v>
      </c>
      <c r="W33" s="68" t="n">
        <v>250000000</v>
      </c>
      <c r="X33" s="67" t="n">
        <v>25</v>
      </c>
      <c r="Y33" s="63" t="n"/>
      <c r="Z33" s="63" t="n"/>
      <c r="AA33" s="67" t="n"/>
      <c r="AB33" s="72" t="n"/>
      <c r="AC33" s="66" t="n"/>
      <c r="AD33" s="72" t="n"/>
      <c r="AE33" s="63" t="n"/>
      <c r="AF33" s="63" t="n"/>
      <c r="AG33" s="63" t="n"/>
      <c r="AH33" s="63" t="inlineStr">
        <is>
          <t>2021-04-23</t>
        </is>
      </c>
      <c r="AI33" s="63" t="n"/>
      <c r="AJ33" s="63" t="n"/>
      <c r="AK33" s="73" t="n">
        <v>-41.07</v>
      </c>
      <c r="AL33" s="72" t="n">
        <v>-28.57</v>
      </c>
      <c r="AM33" s="72" t="n">
        <v>-17.5</v>
      </c>
      <c r="AN33" s="72" t="n">
        <v>-46.43</v>
      </c>
      <c r="AO33" s="72" t="n">
        <v>-17.86</v>
      </c>
      <c r="AP33" s="72" t="n">
        <v>-24.11</v>
      </c>
      <c r="AQ33" s="72" t="n">
        <v>-9.1</v>
      </c>
      <c r="AR33" s="72" t="n">
        <v>39.39</v>
      </c>
      <c r="AS33" s="72" t="n">
        <v>28.78</v>
      </c>
      <c r="AT33" s="72" t="n">
        <v>-46.9</v>
      </c>
      <c r="AU33" s="72" t="n">
        <v>-19.52</v>
      </c>
      <c r="AV33" s="72" t="n">
        <v>-25.43</v>
      </c>
      <c r="AW33" s="72" t="n">
        <v>37.5</v>
      </c>
      <c r="AX33" s="72" t="n">
        <v>1.66</v>
      </c>
      <c r="AY33" s="72" t="n">
        <v>1.89</v>
      </c>
      <c r="AZ33" s="63" t="inlineStr">
        <is>
          <t>Hang Seng Commerce &amp; Industry sub-index</t>
        </is>
      </c>
      <c r="BA33" s="72" t="n">
        <v>-95</v>
      </c>
      <c r="BB33" s="64" t="inlineStr">
        <is>
          <t>2026-08-31</t>
        </is>
      </c>
      <c r="BC33" s="65" t="n">
        <v>302</v>
      </c>
      <c r="BD33" s="68" t="n">
        <v>43.2</v>
      </c>
      <c r="BE33" s="63" t="inlineStr">
        <is>
          <t>Y</t>
        </is>
      </c>
      <c r="BF33" s="74" t="n">
        <v>13</v>
      </c>
      <c r="BG33" s="74" t="n">
        <v>6.6</v>
      </c>
      <c r="BH33" s="74" t="n"/>
      <c r="BI33" s="74" t="n">
        <v>1.9</v>
      </c>
      <c r="BJ33" s="75">
        <f>IF('BBG Verify'!S33="","not filed — run on terminal",'BBG Verify'!S33)</f>
        <v/>
      </c>
      <c r="BK33" s="76" t="inlineStr">
        <is>
          <t>N</t>
        </is>
      </c>
      <c r="BL33" s="77">
        <f>IF('BBG Verify'!K33="","not filed — run on terminal",'BBG Verify'!K33)</f>
        <v/>
      </c>
      <c r="BM33" s="63" t="inlineStr">
        <is>
          <t>N/A</t>
        </is>
      </c>
      <c r="BN33" s="63" t="inlineStr">
        <is>
          <t>N/A</t>
        </is>
      </c>
      <c r="BO33" s="63" t="inlineStr">
        <is>
          <t>N/A</t>
        </is>
      </c>
      <c r="BP33" s="63" t="inlineStr">
        <is>
          <t>N/A</t>
        </is>
      </c>
      <c r="BQ33" s="63" t="inlineStr">
        <is>
          <t>N/A</t>
        </is>
      </c>
      <c r="BR33" s="63" t="inlineStr">
        <is>
          <t>N/A</t>
        </is>
      </c>
      <c r="BS33" s="76" t="n"/>
      <c r="BT33" s="63" t="inlineStr">
        <is>
          <t>Grande Capital Limited</t>
        </is>
      </c>
      <c r="BU33" s="63" t="inlineStr">
        <is>
          <t>ChaoShang Securities Limited; Get Nice Securities Limited; Head &amp; Shoulders Securities Limited; MTF Securities Limited; Sinomax Securities Limited; Vinco Capital Limited</t>
        </is>
      </c>
      <c r="BV33" s="63" t="inlineStr">
        <is>
          <t>ChaoShang Securities Limited; Get Nice Securities Limited; Head &amp; Shoulders Securities Limited; MTF Securities Limited; Sinomax Securities Limited; Vinco Capital Limited; Zhong Jia Securities Limited</t>
        </is>
      </c>
      <c r="BW33" s="78">
        <f>HYPERLINK("https://www1.hkexnews.hk/listedco/listconews/sehk/2021/0319/2021031900036.htm","prospectus")</f>
        <v/>
      </c>
      <c r="BX33" s="78">
        <f>HYPERLINK("https://www1.hkexnews.hk/listedco/listconews/sehk/2021/0330/2021033000230.htm","allotment")</f>
        <v/>
      </c>
      <c r="BY33" s="63" t="n"/>
      <c r="BZ33" s="76" t="n"/>
      <c r="CA33" s="63" t="inlineStr">
        <is>
          <t>greenshoe: no over-allotment option in the offer structure · A/H: no A-share listing · sponsor: English name not in the filing text; AAStocks 保薦人 shown · cornerstone list: cornerstone section not machine-extractable — see the prospectus link · cornerstone %: cornerstone aggregate not stated in the filing · greenshoe size: no over-allotment option in the offer structure · stabilising manager: no over-allotment option in the offer structure, so no stabilising manager is appointed · grey market: no grey-market headline on file for this deal — AAStocks publishes one per listing but keeps only recent items on the stock's news page, and no public archive of past evening sessions exists; captured from this run onward</t>
        </is>
      </c>
    </row>
    <row r="34" ht="15" customHeight="1">
      <c r="A34" s="62" t="inlineStr">
        <is>
          <t>9959</t>
        </is>
      </c>
      <c r="B34" s="63" t="inlineStr">
        <is>
          <t>LINKLOGIS–W</t>
        </is>
      </c>
      <c r="C34" s="63" t="inlineStr">
        <is>
          <t>聯易融科技－Ｗ</t>
        </is>
      </c>
      <c r="D34" s="63" t="inlineStr">
        <is>
          <t>Tech/AI</t>
        </is>
      </c>
      <c r="E34" s="63" t="inlineStr">
        <is>
          <t>Fintech platform</t>
        </is>
      </c>
      <c r="F34" s="63" t="inlineStr">
        <is>
          <t>IT Consulting &amp; Other Services</t>
        </is>
      </c>
      <c r="G34" s="63" t="inlineStr">
        <is>
          <t>WVR</t>
        </is>
      </c>
      <c r="H34" s="64" t="n">
        <v>44295</v>
      </c>
      <c r="I34" s="65" t="n">
        <v>7961.6</v>
      </c>
      <c r="J34" s="63" t="inlineStr">
        <is>
          <t>gross (price x shares)</t>
        </is>
      </c>
      <c r="K34" s="66" t="n">
        <v>16.28</v>
      </c>
      <c r="L34" s="66" t="n">
        <v>18.28</v>
      </c>
      <c r="M34" s="66" t="n">
        <v>17.58</v>
      </c>
      <c r="N34" s="63" t="inlineStr">
        <is>
          <t>N</t>
        </is>
      </c>
      <c r="O34" s="67" t="n">
        <v>96.2</v>
      </c>
      <c r="P34" s="67" t="n">
        <v>65</v>
      </c>
      <c r="Q34" s="68" t="n">
        <v>35452.4</v>
      </c>
      <c r="R34" s="63" t="inlineStr">
        <is>
          <t>prospectus:stated market capitalisation, rescaled to the offer price</t>
        </is>
      </c>
      <c r="S34" s="69" t="n">
        <v>98.45999999999999</v>
      </c>
      <c r="T34" s="70" t="n">
        <v>14.83</v>
      </c>
      <c r="U34" s="71" t="n">
        <v>35.6</v>
      </c>
      <c r="V34" s="68" t="n">
        <v>5127.27</v>
      </c>
      <c r="W34" s="68" t="n">
        <v>291653754</v>
      </c>
      <c r="X34" s="67" t="n">
        <v>14.46</v>
      </c>
      <c r="Y34" s="63" t="inlineStr">
        <is>
          <t>BlackRock Funds; EDB Investments Pte Ltd; Fidelity International; Janus Henderson Funds; Ontario Teachers Pension Plan Board; Sequoia Funds</t>
        </is>
      </c>
      <c r="Z34" s="63" t="inlineStr">
        <is>
          <t>blackrock;edb;fidelity;janus;ontario;sequoia</t>
        </is>
      </c>
      <c r="AA34" s="67" t="n">
        <v>15</v>
      </c>
      <c r="AB34" s="72" t="n"/>
      <c r="AC34" s="66" t="n"/>
      <c r="AD34" s="72" t="n"/>
      <c r="AE34" s="63" t="n"/>
      <c r="AF34" s="63" t="n"/>
      <c r="AG34" s="63" t="inlineStr">
        <is>
          <t>full</t>
        </is>
      </c>
      <c r="AH34" s="63" t="inlineStr">
        <is>
          <t>2021-04-30</t>
        </is>
      </c>
      <c r="AI34" s="63" t="inlineStr">
        <is>
          <t>Goldman Sachs</t>
        </is>
      </c>
      <c r="AJ34" s="63" t="inlineStr">
        <is>
          <t>Goldman Sachs</t>
        </is>
      </c>
      <c r="AK34" s="73" t="n">
        <v>9.9</v>
      </c>
      <c r="AL34" s="72" t="n">
        <v>9.9</v>
      </c>
      <c r="AM34" s="72" t="n">
        <v>0</v>
      </c>
      <c r="AN34" s="72" t="n">
        <v>25.43</v>
      </c>
      <c r="AO34" s="72" t="n">
        <v>25.14</v>
      </c>
      <c r="AP34" s="72" t="n">
        <v>-17.41</v>
      </c>
      <c r="AQ34" s="72" t="n">
        <v>14.13</v>
      </c>
      <c r="AR34" s="72" t="n">
        <v>13.87</v>
      </c>
      <c r="AS34" s="72" t="n">
        <v>-24.85</v>
      </c>
      <c r="AT34" s="72" t="n">
        <v>28.11</v>
      </c>
      <c r="AU34" s="72" t="n">
        <v>31.82</v>
      </c>
      <c r="AV34" s="72" t="n">
        <v>-6.26</v>
      </c>
      <c r="AW34" s="72" t="n">
        <v>18.91</v>
      </c>
      <c r="AX34" s="72" t="n">
        <v>-6.68</v>
      </c>
      <c r="AY34" s="72" t="n">
        <v>-5.04</v>
      </c>
      <c r="AZ34" s="63" t="inlineStr">
        <is>
          <t>HSTECH (Hang Seng TECH ETF)</t>
        </is>
      </c>
      <c r="BA34" s="72" t="n">
        <v>-86.41</v>
      </c>
      <c r="BB34" s="64" t="inlineStr">
        <is>
          <t>2026-08-28</t>
        </is>
      </c>
      <c r="BC34" s="65" t="n">
        <v>167.9</v>
      </c>
      <c r="BD34" s="68" t="n">
        <v>-787</v>
      </c>
      <c r="BE34" s="63" t="inlineStr">
        <is>
          <t>N</t>
        </is>
      </c>
      <c r="BF34" s="63" t="inlineStr">
        <is>
          <t>n/m</t>
        </is>
      </c>
      <c r="BG34" s="74" t="n"/>
      <c r="BH34" s="74" t="n"/>
      <c r="BI34" s="74" t="n">
        <v>211.2</v>
      </c>
      <c r="BJ34" s="75">
        <f>IF('BBG Verify'!S34="","not filed — run on terminal",'BBG Verify'!S34)</f>
        <v/>
      </c>
      <c r="BK34" s="76" t="inlineStr">
        <is>
          <t>N</t>
        </is>
      </c>
      <c r="BL34" s="77">
        <f>IF('BBG Verify'!K34="","not filed — run on terminal",'BBG Verify'!K34)</f>
        <v/>
      </c>
      <c r="BM34" s="63" t="inlineStr">
        <is>
          <t>N/A</t>
        </is>
      </c>
      <c r="BN34" s="63" t="inlineStr">
        <is>
          <t>N/A</t>
        </is>
      </c>
      <c r="BO34" s="63" t="inlineStr">
        <is>
          <t>N/A</t>
        </is>
      </c>
      <c r="BP34" s="63" t="inlineStr">
        <is>
          <t>N/A</t>
        </is>
      </c>
      <c r="BQ34" s="63" t="inlineStr">
        <is>
          <t>N/A</t>
        </is>
      </c>
      <c r="BR34" s="63" t="inlineStr">
        <is>
          <t>N/A</t>
        </is>
      </c>
      <c r="BS34" s="76" t="inlineStr">
        <is>
          <t>Goldman Sachs (Asia) L.L.C; China International Capital Corporation Hong Kong Securities Limited</t>
        </is>
      </c>
      <c r="BT34" s="63" t="inlineStr">
        <is>
          <t>China International Capital Corporation Hong Kong Securities Limited; Goldman Sachs (Asia) L.L.C.</t>
        </is>
      </c>
      <c r="BU34" s="63" t="inlineStr">
        <is>
          <t>Goldman Sachs (Asia) L.L.C; China International Capital Corporation Hong Kong Securities Limited; Citigroup Global Markets Asia Limited; Kong) Limited; CLSA Limited</t>
        </is>
      </c>
      <c r="BV34" s="63" t="inlineStr">
        <is>
          <t>CCB International Capital Limited; Citigroup Global Markets Asia Limited; China International Capital Corporation Hong Kong Securities Limited; CLSA Limited; China Merchants Securities (HK) Company Limited; China Renaissance Securities (Hong Kong) Limited; Futu Securities International (Hong Kong) Limited; Goldman Sachs (Asia) L.L.C.; Huajin Securities (International) Limited; Valuable Capital Limited</t>
        </is>
      </c>
      <c r="BW34" s="78">
        <f>HYPERLINK("https://www1.hkexnews.hk/listedco/listconews/sehk/2021/0326/2021032600037.pdf","prospectus")</f>
        <v/>
      </c>
      <c r="BX34" s="78">
        <f>HYPERLINK("https://www1.hkexnews.hk/listedco/listconews/sehk/2021/0408/2021040800096.htm","allotment")</f>
        <v/>
      </c>
      <c r="BY34" s="78">
        <f>HYPERLINK("https://www1.hkexnews.hk/listedco/listconews/sehk/2021/0430/2021043002237.pdf","stabilisation")</f>
        <v/>
      </c>
      <c r="BZ34" s="76" t="n"/>
      <c r="CA34" s="63" t="inlineStr">
        <is>
          <t>P/E: n/m — loss-making at IPO (use P/S) · A/H: no A-share listing · market cap: prospectus states HK$36,864m at HK$18.28; rescaled to the struck HK$17.58 · cornerstone: AAStocks institutional table includes non-cornerstone orders (superset) — cornerstone % is from the prospectus · grey market: no grey-market headline on file for this deal — AAStocks publishes one per listing but keeps only recent items on the stock's news page, and no public archive of past evening sessions exists; captured from this run onward</t>
        </is>
      </c>
    </row>
    <row r="35" ht="15" customHeight="1">
      <c r="A35" s="62" t="inlineStr">
        <is>
          <t>9961</t>
        </is>
      </c>
      <c r="B35" s="63" t="inlineStr">
        <is>
          <t>TRIP.COM-S</t>
        </is>
      </c>
      <c r="C35" s="63" t="inlineStr">
        <is>
          <t>攜程集團－Ｓ</t>
        </is>
      </c>
      <c r="D35" s="63" t="inlineStr">
        <is>
          <t>Tech/AI</t>
        </is>
      </c>
      <c r="E35" s="63" t="inlineStr">
        <is>
          <t>Internet platform / e-commerce</t>
        </is>
      </c>
      <c r="F35" s="63" t="inlineStr">
        <is>
          <t>Tourism</t>
        </is>
      </c>
      <c r="G35" s="63" t="inlineStr">
        <is>
          <t>Secondary</t>
        </is>
      </c>
      <c r="H35" s="64" t="n">
        <v>44305</v>
      </c>
      <c r="I35" s="65" t="n">
        <v>8478.299999999999</v>
      </c>
      <c r="J35" s="63" t="inlineStr">
        <is>
          <t>gross (price x shares)</t>
        </is>
      </c>
      <c r="K35" s="66" t="n"/>
      <c r="L35" s="66" t="n">
        <v>333</v>
      </c>
      <c r="M35" s="66" t="n">
        <v>268</v>
      </c>
      <c r="N35" s="63" t="inlineStr">
        <is>
          <t>N</t>
        </is>
      </c>
      <c r="O35" s="67" t="n">
        <v>80.5</v>
      </c>
      <c r="P35" s="67" t="n"/>
      <c r="Q35" s="68" t="n">
        <v>210692.8</v>
      </c>
      <c r="R35" s="63" t="inlineStr">
        <is>
          <t>prospectus:stated market capitalisation</t>
        </is>
      </c>
      <c r="S35" s="69" t="n">
        <v>17.78</v>
      </c>
      <c r="T35" s="70" t="n">
        <v>5.06</v>
      </c>
      <c r="U35" s="71" t="n"/>
      <c r="V35" s="68" t="n">
        <v>8478.299999999999</v>
      </c>
      <c r="W35" s="68" t="n">
        <v>31635600</v>
      </c>
      <c r="X35" s="67" t="n">
        <v>4.02</v>
      </c>
      <c r="Y35" s="63" t="n"/>
      <c r="Z35" s="63" t="n"/>
      <c r="AA35" s="67" t="n">
        <v>6.4</v>
      </c>
      <c r="AB35" s="72" t="n"/>
      <c r="AC35" s="66" t="n"/>
      <c r="AD35" s="72" t="n"/>
      <c r="AE35" s="63" t="n"/>
      <c r="AF35" s="63" t="n"/>
      <c r="AG35" s="63" t="inlineStr">
        <is>
          <t>full</t>
        </is>
      </c>
      <c r="AH35" s="63" t="inlineStr">
        <is>
          <t>2021-05-13</t>
        </is>
      </c>
      <c r="AI35" s="63" t="n"/>
      <c r="AJ35" s="63" t="n"/>
      <c r="AK35" s="73" t="n">
        <v>4.55</v>
      </c>
      <c r="AL35" s="72" t="n">
        <v>4.85</v>
      </c>
      <c r="AM35" s="72" t="n">
        <v>-0.29</v>
      </c>
      <c r="AN35" s="72" t="n">
        <v>11.49</v>
      </c>
      <c r="AO35" s="72" t="n">
        <v>13.73</v>
      </c>
      <c r="AP35" s="72" t="n">
        <v>-16.04</v>
      </c>
      <c r="AQ35" s="72" t="n">
        <v>6.64</v>
      </c>
      <c r="AR35" s="72" t="n">
        <v>8.779999999999999</v>
      </c>
      <c r="AS35" s="72" t="n">
        <v>-19.69</v>
      </c>
      <c r="AT35" s="72" t="n">
        <v>8.550000000000001</v>
      </c>
      <c r="AU35" s="72" t="n">
        <v>18.69</v>
      </c>
      <c r="AV35" s="72" t="n">
        <v>-5.26</v>
      </c>
      <c r="AW35" s="72" t="n">
        <v>15.01</v>
      </c>
      <c r="AX35" s="72" t="n">
        <v>-4.96</v>
      </c>
      <c r="AY35" s="72" t="n">
        <v>-6.23</v>
      </c>
      <c r="AZ35" s="63" t="inlineStr">
        <is>
          <t>HSTECH (Hang Seng TECH ETF)</t>
        </is>
      </c>
      <c r="BA35" s="72" t="n">
        <v>30.15</v>
      </c>
      <c r="BB35" s="64" t="inlineStr">
        <is>
          <t>2026-08-28</t>
        </is>
      </c>
      <c r="BC35" s="65" t="n">
        <v>20147.6</v>
      </c>
      <c r="BD35" s="68" t="n">
        <v>-3571.7</v>
      </c>
      <c r="BE35" s="63" t="inlineStr">
        <is>
          <t>N</t>
        </is>
      </c>
      <c r="BF35" s="63" t="inlineStr">
        <is>
          <t>n/m</t>
        </is>
      </c>
      <c r="BG35" s="74" t="n"/>
      <c r="BH35" s="74" t="n">
        <v>7.3</v>
      </c>
      <c r="BI35" s="74" t="n">
        <v>10.5</v>
      </c>
      <c r="BJ35" s="75">
        <f>IF('BBG Verify'!S35="","not filed — run on terminal",'BBG Verify'!S35)</f>
        <v/>
      </c>
      <c r="BK35" s="76" t="inlineStr">
        <is>
          <t>N</t>
        </is>
      </c>
      <c r="BL35" s="77">
        <f>IF('BBG Verify'!K35="","not filed — run on terminal",'BBG Verify'!K35)</f>
        <v/>
      </c>
      <c r="BM35" s="63" t="inlineStr">
        <is>
          <t>N/A</t>
        </is>
      </c>
      <c r="BN35" s="63" t="inlineStr">
        <is>
          <t>N/A</t>
        </is>
      </c>
      <c r="BO35" s="63" t="inlineStr">
        <is>
          <t>N/A</t>
        </is>
      </c>
      <c r="BP35" s="63" t="inlineStr">
        <is>
          <t>N/A</t>
        </is>
      </c>
      <c r="BQ35" s="63" t="inlineStr">
        <is>
          <t>N/A</t>
        </is>
      </c>
      <c r="BR35" s="63" t="inlineStr">
        <is>
          <t>N/A</t>
        </is>
      </c>
      <c r="BS35" s="76" t="inlineStr">
        <is>
          <t>J.P. Morgan Securities (Far East) Limited; China International Capital Corporation Hong Kong Securities Limited; Goldman Sachs (Asia) L.L.C; J.P. Morgan Securities (Asia Pacific) Limited; The Hongkong and Shanghai Banking Corporation Limited; CMB International Capital Limited</t>
        </is>
      </c>
      <c r="BT35" s="63" t="inlineStr">
        <is>
          <t>China International Capital Corporation Hong Kong Securities Limited; J.P. Morgan Securities (Far East) Limited; Goldman Sachs (Asia) L.L.C.</t>
        </is>
      </c>
      <c r="BU35" s="63" t="inlineStr">
        <is>
          <t>ICBC International Securities Limited; ABCI Securities Company Limited</t>
        </is>
      </c>
      <c r="BV35" s="63" t="inlineStr">
        <is>
          <t>ABCI Securities Company Limited; BOCI Asia Limited; CCB International Capital Limited; China International Capital Corporation Hong Kong Securities Limited; CMB International Capital Corporation Limited; DBS Asia Capital Limited; Goldman Sachs (Asia) L.L.C.; Haitong International Securities Company Limited; The Hongkong and Shanghai Banking Corporation Limited; ICBC International Securities Limited; J.P. Morgan Securities (Asia Pacific) Limited; Mizuho Securities Asia Limited</t>
        </is>
      </c>
      <c r="BW35" s="78">
        <f>HYPERLINK("https://www1.hkexnews.hk/listedco/listconews/sehk/2021/0408/2021040800019.pdf","prospectus")</f>
        <v/>
      </c>
      <c r="BX35" s="78">
        <f>HYPERLINK("https://www1.hkexnews.hk/listedco/listconews/sehk/2021/0416/2021041600028.htm","allotment")</f>
        <v/>
      </c>
      <c r="BY35" s="78">
        <f>HYPERLINK("https://www1.hkexnews.hk/listedco/listconews/sehk/2021/0513/2021051300333.pdf","stabilisation")</f>
        <v/>
      </c>
      <c r="BZ35" s="76" t="n"/>
      <c r="CA35" s="63" t="inlineStr">
        <is>
          <t>P/E: n/m — loss-making at IPO (use P/S) · range low: cap-only pricing — the filing publishes a Maximum Offer Price and no indicative floor · A/H: no A-share listing · cornerstone list: cornerstone section not machine-extractable — see the prospectus link · cornerstone %: cornerstone aggregate not stated in the filing · stabilising manager: neither the allotment announcement's cover sentence nor the prospectus definitions glossary names one in a form the parser reads — not inferred from the sponsor · grey market: no grey-market headline on file for this deal — AAStocks publishes one per listing but keeps only recent items on the stock's news page, and no public archive of past evening sessions exists; captured from this run onward</t>
        </is>
      </c>
    </row>
    <row r="36" ht="15" customHeight="1">
      <c r="A36" s="62" t="inlineStr">
        <is>
          <t>6622</t>
        </is>
      </c>
      <c r="B36" s="63" t="inlineStr">
        <is>
          <t>ZHAOKE OPHTH-B</t>
        </is>
      </c>
      <c r="C36" s="63" t="inlineStr">
        <is>
          <t>兆科眼科－Ｂ</t>
        </is>
      </c>
      <c r="D36" s="63" t="inlineStr">
        <is>
          <t>Healthcare</t>
        </is>
      </c>
      <c r="E36" s="63" t="inlineStr">
        <is>
          <t>Biotech pre-revenue (18A)</t>
        </is>
      </c>
      <c r="F36" s="63" t="inlineStr">
        <is>
          <t>Biotechnology</t>
        </is>
      </c>
      <c r="G36" s="63" t="inlineStr">
        <is>
          <t>18A</t>
        </is>
      </c>
      <c r="H36" s="64" t="n">
        <v>44315</v>
      </c>
      <c r="I36" s="65" t="n">
        <v>2075.9</v>
      </c>
      <c r="J36" s="63" t="inlineStr">
        <is>
          <t>gross (price x shares)</t>
        </is>
      </c>
      <c r="K36" s="66" t="n">
        <v>15.38</v>
      </c>
      <c r="L36" s="66" t="n">
        <v>16.8</v>
      </c>
      <c r="M36" s="66" t="n">
        <v>16.8</v>
      </c>
      <c r="N36" s="63" t="inlineStr">
        <is>
          <t>Y</t>
        </is>
      </c>
      <c r="O36" s="67" t="n">
        <v>100</v>
      </c>
      <c r="P36" s="67" t="n">
        <v>100</v>
      </c>
      <c r="Q36" s="68" t="n">
        <v>8077.4</v>
      </c>
      <c r="R36" s="63" t="inlineStr">
        <is>
          <t>derived:deal size / offer % of enlarged capital</t>
        </is>
      </c>
      <c r="S36" s="69" t="n">
        <v>56</v>
      </c>
      <c r="T36" s="70" t="n">
        <v>5.3</v>
      </c>
      <c r="U36" s="71" t="n">
        <v>20.6</v>
      </c>
      <c r="V36" s="68" t="n">
        <v>1648.26</v>
      </c>
      <c r="W36" s="68" t="n">
        <v>98112595</v>
      </c>
      <c r="X36" s="67" t="n">
        <v>20.41</v>
      </c>
      <c r="Y36" s="63" t="inlineStr">
        <is>
          <t>CaaS Capital Master Fund LP; GIC Private Limited; Golden Valley Global Limited; Jennison Associates LLC; Mass Ave Global, Inc; Matthews Asia Growth Fund and Matthews Asia Innovators Fund; VMS Zhaoke Investment Fund SP</t>
        </is>
      </c>
      <c r="Z36" s="63" t="inlineStr">
        <is>
          <t>caas;gic;golden-valley;jennison;mass;matthews;vms</t>
        </is>
      </c>
      <c r="AA36" s="67" t="n">
        <v>5</v>
      </c>
      <c r="AB36" s="72" t="n"/>
      <c r="AC36" s="66" t="n"/>
      <c r="AD36" s="72" t="n"/>
      <c r="AE36" s="63" t="n"/>
      <c r="AF36" s="63" t="n"/>
      <c r="AG36" s="63" t="inlineStr">
        <is>
          <t>lapsed</t>
        </is>
      </c>
      <c r="AH36" s="63" t="inlineStr">
        <is>
          <t>2021-05-21</t>
        </is>
      </c>
      <c r="AI36" s="63" t="inlineStr">
        <is>
          <t>Goldman Sachs</t>
        </is>
      </c>
      <c r="AJ36" s="63" t="inlineStr">
        <is>
          <t>Goldman Sachs</t>
        </is>
      </c>
      <c r="AK36" s="73" t="n">
        <v>-14.76</v>
      </c>
      <c r="AL36" s="72" t="n">
        <v>-7.62</v>
      </c>
      <c r="AM36" s="72" t="n">
        <v>-7.73</v>
      </c>
      <c r="AN36" s="72" t="n">
        <v>-32.14</v>
      </c>
      <c r="AO36" s="72" t="n">
        <v>-20.95</v>
      </c>
      <c r="AP36" s="72" t="n">
        <v>-52.38</v>
      </c>
      <c r="AQ36" s="72" t="n">
        <v>-20.39</v>
      </c>
      <c r="AR36" s="72" t="n">
        <v>-7.26</v>
      </c>
      <c r="AS36" s="72" t="n">
        <v>-44.13</v>
      </c>
      <c r="AT36" s="72" t="n">
        <v>-27.25</v>
      </c>
      <c r="AU36" s="72" t="n">
        <v>-25.08</v>
      </c>
      <c r="AV36" s="72" t="n">
        <v>-46.33</v>
      </c>
      <c r="AW36" s="72" t="n">
        <v>-12.27</v>
      </c>
      <c r="AX36" s="72" t="n">
        <v>4.13</v>
      </c>
      <c r="AY36" s="72" t="n">
        <v>5.01</v>
      </c>
      <c r="AZ36" s="63" t="inlineStr">
        <is>
          <t>China Biotech ETF (HS biotech proxy)</t>
        </is>
      </c>
      <c r="BA36" s="72" t="n">
        <v>-84.64</v>
      </c>
      <c r="BB36" s="64" t="inlineStr">
        <is>
          <t>2026-08-28</t>
        </is>
      </c>
      <c r="BC36" s="65" t="n">
        <v>0</v>
      </c>
      <c r="BD36" s="68" t="n">
        <v>-799.7</v>
      </c>
      <c r="BE36" s="63" t="inlineStr">
        <is>
          <t>N</t>
        </is>
      </c>
      <c r="BF36" s="63" t="inlineStr">
        <is>
          <t>n/m</t>
        </is>
      </c>
      <c r="BG36" s="74" t="n"/>
      <c r="BH36" s="74" t="n"/>
      <c r="BI36" s="63" t="inlineStr">
        <is>
          <t>pre-rev</t>
        </is>
      </c>
      <c r="BJ36" s="75">
        <f>IF('BBG Verify'!S36="","not filed — run on terminal",'BBG Verify'!S36)</f>
        <v/>
      </c>
      <c r="BK36" s="76" t="inlineStr">
        <is>
          <t>N</t>
        </is>
      </c>
      <c r="BL36" s="77">
        <f>IF('BBG Verify'!K36="","not filed — run on terminal",'BBG Verify'!K36)</f>
        <v/>
      </c>
      <c r="BM36" s="63" t="inlineStr">
        <is>
          <t>N/A</t>
        </is>
      </c>
      <c r="BN36" s="63" t="inlineStr">
        <is>
          <t>N/A</t>
        </is>
      </c>
      <c r="BO36" s="63" t="inlineStr">
        <is>
          <t>N/A</t>
        </is>
      </c>
      <c r="BP36" s="63" t="inlineStr">
        <is>
          <t>N/A</t>
        </is>
      </c>
      <c r="BQ36" s="63" t="inlineStr">
        <is>
          <t>N/A</t>
        </is>
      </c>
      <c r="BR36" s="63" t="inlineStr">
        <is>
          <t>N/A</t>
        </is>
      </c>
      <c r="BS36" s="76" t="inlineStr">
        <is>
          <t>Goldman Sachs (Asia) L.L.C; Jefferies Hong Kong Limited</t>
        </is>
      </c>
      <c r="BT36" s="63" t="inlineStr">
        <is>
          <t>Jefferies Hong Kong Limited; Goldman Sachs (Asia) L.L.C.</t>
        </is>
      </c>
      <c r="BU36" s="63" t="inlineStr">
        <is>
          <t>Goldman Sachs (Asia) L.L.C; Jefferies Hong Kong Limited; Haitong International Securities Company Limited; The Hongkong and Shanghai Banking Corporation Limited; Fosun Hani Securities Limited; Macquarie Capital Limited; SPDB International Capital Limited; VMS Securities Limited</t>
        </is>
      </c>
      <c r="BV36" s="63" t="inlineStr">
        <is>
          <t>Fosun Hani Securities Limited; Goldman Sachs (Asia) L.L.C.; Haitong International Securities Company Limited; The Hongkong and Shanghai Banking Corporation Limited; Jefferies Hong Kong Limited; Macquarie Capital Limited; SPDB International Capital Limited; VMS Securities Limited</t>
        </is>
      </c>
      <c r="BW36" s="78">
        <f>HYPERLINK("https://www1.hkexnews.hk/listedco/listconews/sehk/2021/0416/2021041600009.pdf","prospectus")</f>
        <v/>
      </c>
      <c r="BX36" s="78">
        <f>HYPERLINK("https://www1.hkexnews.hk/listedco/listconews/sehk/2021/0428/2021042800066.htm","allotment")</f>
        <v/>
      </c>
      <c r="BY36" s="78">
        <f>HYPERLINK("https://www1.hkexnews.hk/listedco/listconews/sehk/2021/0521/2021052101496.pdf","stabilisation")</f>
        <v/>
      </c>
      <c r="BZ36" s="76" t="n"/>
      <c r="CA36" s="63" t="inlineStr">
        <is>
          <t>P/E: n/m — loss-making at IPO (use P/S) · A/H: no A-share listing · P/S: no revenue line in the filed P&amp;L (pre-revenue issuer) — no sales multiple can exist; the cell reads pre-rev, not blank · grey market: no grey-market headline on file for this deal — AAStocks publishes one per listing but keeps only recent items on the stock's news page, and no public archive of past evening sessions exists; captured from this run onward</t>
        </is>
      </c>
    </row>
    <row r="37" ht="15" customHeight="1">
      <c r="A37" s="62" t="inlineStr">
        <is>
          <t>2191</t>
        </is>
      </c>
      <c r="B37" s="63" t="inlineStr">
        <is>
          <t>SF REIT</t>
        </is>
      </c>
      <c r="C37" s="63" t="inlineStr">
        <is>
          <t>順豐房託</t>
        </is>
      </c>
      <c r="D37" s="63" t="inlineStr">
        <is>
          <t>Real Estate</t>
        </is>
      </c>
      <c r="E37" s="63" t="inlineStr">
        <is>
          <t>REITs / asset-light</t>
        </is>
      </c>
      <c r="F37" s="63" t="inlineStr">
        <is>
          <t>Office and Commercial REIT's</t>
        </is>
      </c>
      <c r="G37" s="63" t="inlineStr">
        <is>
          <t>Standard</t>
        </is>
      </c>
      <c r="H37" s="64" t="n">
        <v>44333</v>
      </c>
      <c r="I37" s="65" t="n">
        <v>2498</v>
      </c>
      <c r="J37" s="63" t="inlineStr">
        <is>
          <t>net proceeds</t>
        </is>
      </c>
      <c r="K37" s="66" t="n">
        <v>4.68</v>
      </c>
      <c r="L37" s="66" t="n">
        <v>5.16</v>
      </c>
      <c r="M37" s="66" t="n">
        <v>4.98</v>
      </c>
      <c r="N37" s="63" t="inlineStr">
        <is>
          <t>N</t>
        </is>
      </c>
      <c r="O37" s="67" t="n">
        <v>96.5</v>
      </c>
      <c r="P37" s="67" t="n">
        <v>62.5</v>
      </c>
      <c r="Q37" s="68" t="n">
        <v>4128</v>
      </c>
      <c r="R37" s="63" t="inlineStr">
        <is>
          <t>prospectus:stated market capitalisation</t>
        </is>
      </c>
      <c r="S37" s="69" t="n">
        <v>5</v>
      </c>
      <c r="T37" s="70" t="n">
        <v>3</v>
      </c>
      <c r="U37" s="71" t="n">
        <v>14.9</v>
      </c>
      <c r="V37" s="68" t="n">
        <v>2125.8</v>
      </c>
      <c r="W37" s="68" t="n"/>
      <c r="X37" s="67" t="n">
        <v>51.5</v>
      </c>
      <c r="Y37" s="63" t="inlineStr">
        <is>
          <t>China Orient Multi-Strategy Master Fund; CI Global Asset Management</t>
        </is>
      </c>
      <c r="Z37" s="63" t="inlineStr">
        <is>
          <t>orient;ci</t>
        </is>
      </c>
      <c r="AA37" s="67" t="n">
        <v>5</v>
      </c>
      <c r="AB37" s="72" t="n"/>
      <c r="AC37" s="66" t="n"/>
      <c r="AD37" s="72" t="n"/>
      <c r="AE37" s="63" t="n"/>
      <c r="AF37" s="63" t="n"/>
      <c r="AG37" s="63" t="inlineStr">
        <is>
          <t>lapsed</t>
        </is>
      </c>
      <c r="AH37" s="63" t="n"/>
      <c r="AI37" s="63" t="inlineStr">
        <is>
          <t>Credit Suisse</t>
        </is>
      </c>
      <c r="AJ37" s="63" t="inlineStr">
        <is>
          <t>Credit Suisse</t>
        </is>
      </c>
      <c r="AK37" s="73" t="n">
        <v>-16.47</v>
      </c>
      <c r="AL37" s="72" t="n">
        <v>-9.84</v>
      </c>
      <c r="AM37" s="72" t="n">
        <v>-7.35</v>
      </c>
      <c r="AN37" s="72" t="n">
        <v>-7.63</v>
      </c>
      <c r="AO37" s="72" t="n">
        <v>-9.640000000000001</v>
      </c>
      <c r="AP37" s="72" t="n">
        <v>-12.45</v>
      </c>
      <c r="AQ37" s="72" t="n">
        <v>10.58</v>
      </c>
      <c r="AR37" s="72" t="n">
        <v>8.18</v>
      </c>
      <c r="AS37" s="72" t="n">
        <v>4.81</v>
      </c>
      <c r="AT37" s="72" t="n">
        <v>-9.73</v>
      </c>
      <c r="AU37" s="72" t="n">
        <v>-12.34</v>
      </c>
      <c r="AV37" s="72" t="n">
        <v>-5.34</v>
      </c>
      <c r="AW37" s="72" t="n">
        <v>5.34</v>
      </c>
      <c r="AX37" s="72" t="n">
        <v>2.7</v>
      </c>
      <c r="AY37" s="72" t="n">
        <v>2.84</v>
      </c>
      <c r="AZ37" s="63" t="inlineStr">
        <is>
          <t>Hang Seng Properties sub-index</t>
        </is>
      </c>
      <c r="BA37" s="72" t="n">
        <v>-49.2</v>
      </c>
      <c r="BB37" s="64" t="inlineStr">
        <is>
          <t>2026-08-28</t>
        </is>
      </c>
      <c r="BC37" s="65" t="n">
        <v>279</v>
      </c>
      <c r="BD37" s="68" t="n">
        <v>26.9</v>
      </c>
      <c r="BE37" s="63" t="inlineStr">
        <is>
          <t>Y</t>
        </is>
      </c>
      <c r="BF37" s="74" t="n">
        <v>153.5</v>
      </c>
      <c r="BG37" s="74" t="n"/>
      <c r="BH37" s="74" t="n">
        <v>106.9</v>
      </c>
      <c r="BI37" s="74" t="n">
        <v>14.8</v>
      </c>
      <c r="BJ37" s="75">
        <f>IF('BBG Verify'!S37="","not filed — run on terminal",'BBG Verify'!S37)</f>
        <v/>
      </c>
      <c r="BK37" s="76" t="inlineStr">
        <is>
          <t>N</t>
        </is>
      </c>
      <c r="BL37" s="77">
        <f>IF('BBG Verify'!K37="","not filed — run on terminal",'BBG Verify'!K37)</f>
        <v/>
      </c>
      <c r="BM37" s="63" t="inlineStr">
        <is>
          <t>N/A</t>
        </is>
      </c>
      <c r="BN37" s="63" t="inlineStr">
        <is>
          <t>N/A</t>
        </is>
      </c>
      <c r="BO37" s="63" t="inlineStr">
        <is>
          <t>N/A</t>
        </is>
      </c>
      <c r="BP37" s="63" t="inlineStr">
        <is>
          <t>N/A</t>
        </is>
      </c>
      <c r="BQ37" s="63" t="inlineStr">
        <is>
          <t>N/A</t>
        </is>
      </c>
      <c r="BR37" s="63" t="inlineStr">
        <is>
          <t>N/A</t>
        </is>
      </c>
      <c r="BS37" s="76" t="n"/>
      <c r="BT37" s="63" t="inlineStr">
        <is>
          <t>Credit Suisse (Hong Kong) Limited; DBS Asia Capital Limited; J.P. Morgan Securities (Asia Pacific) Limited</t>
        </is>
      </c>
      <c r="BU37" s="63" t="inlineStr">
        <is>
          <t>REIT Manager SF REIT Asset Management Limited; HONG Kam Kit, Eddie CHOW Chi Ping, Simon Trustee DB Trustees (Hong Kong) Limited; Hong Kong Unit Registrar Tricor Investor Services Limited; PARTIES INVOLVED IN THE GLOBAL OFFERING Sole Listing Agent DBS Asia Capital Limited; DBS Asia Capital Limited; Credit Suisse (Hong Kong) Limited; J.P. Morgan Securities (Asia Pacific) Limited; J.P. Morgan Securities plc</t>
        </is>
      </c>
      <c r="BV37" s="63" t="inlineStr">
        <is>
          <t>Credit Suisse (Hong Kong) Limited; DBS Asia Capital Limited; J.P. Morgan Securities (Asia Pacific) Limited</t>
        </is>
      </c>
      <c r="BW37" s="78">
        <f>HYPERLINK("https://www1.hkexnews.hk/listedco/listconews/sehk/2021/0505/2021050500053.pdf","prospectus")</f>
        <v/>
      </c>
      <c r="BX37" s="78">
        <f>HYPERLINK("https://www1.hkexnews.hk/listedco/listconews/sehk/2021/0514/2021051400092.htm","allotment")</f>
        <v/>
      </c>
      <c r="BY37" s="78">
        <f>HYPERLINK("https://www1.hkexnews.hk/listedco/listconews/sehk/2021/0609/2021060900679.pdf","stabilisation")</f>
        <v/>
      </c>
      <c r="BZ37" s="76" t="n"/>
      <c r="CA37" s="63" t="inlineStr">
        <is>
          <t>greenshoe: over-allotment outcome already published, and the allotment announcement does not state the stabilisation expiry in a parsable form — the expiry no longer matters once resolved · A/H: no A-share listing · sponsor: English name not in the filing text; AAStocks 保薦人 shown · grey market: no grey-market headline on file for this deal — AAStocks publishes one per listing but keeps only recent items on the stock's news page, and no public archive of past evening sessions exists; captured from this run onward · eff float shares: share count unavailable or rejected as implausible — the money figure (eff_free_float_hkdm) is still exact</t>
        </is>
      </c>
    </row>
    <row r="38" ht="15" customHeight="1">
      <c r="A38" s="62" t="inlineStr">
        <is>
          <t>3658</t>
        </is>
      </c>
      <c r="B38" s="63" t="inlineStr">
        <is>
          <t>NEW HOPE SERV</t>
        </is>
      </c>
      <c r="C38" s="63" t="inlineStr">
        <is>
          <t>新希望服務</t>
        </is>
      </c>
      <c r="D38" s="63" t="inlineStr">
        <is>
          <t>Real Estate</t>
        </is>
      </c>
      <c r="E38" s="63" t="inlineStr">
        <is>
          <t>Property management</t>
        </is>
      </c>
      <c r="F38" s="63" t="inlineStr">
        <is>
          <t>Property Service and Management</t>
        </is>
      </c>
      <c r="G38" s="63" t="inlineStr">
        <is>
          <t>Standard</t>
        </is>
      </c>
      <c r="H38" s="64" t="n">
        <v>44341</v>
      </c>
      <c r="I38" s="65" t="n">
        <v>760</v>
      </c>
      <c r="J38" s="63" t="inlineStr">
        <is>
          <t>gross (price x shares)</t>
        </is>
      </c>
      <c r="K38" s="66" t="n">
        <v>3.8</v>
      </c>
      <c r="L38" s="66" t="n">
        <v>4.7</v>
      </c>
      <c r="M38" s="66" t="n">
        <v>3.8</v>
      </c>
      <c r="N38" s="63" t="inlineStr">
        <is>
          <t>N</t>
        </is>
      </c>
      <c r="O38" s="67" t="n">
        <v>80.90000000000001</v>
      </c>
      <c r="P38" s="67" t="n">
        <v>0</v>
      </c>
      <c r="Q38" s="68" t="n">
        <v>3686.1</v>
      </c>
      <c r="R38" s="63" t="inlineStr">
        <is>
          <t>aastocks:上市市值 at the struck price</t>
        </is>
      </c>
      <c r="S38" s="69" t="n">
        <v>4.75</v>
      </c>
      <c r="T38" s="70" t="n">
        <v>1.78</v>
      </c>
      <c r="U38" s="71" t="n">
        <v>50.3</v>
      </c>
      <c r="V38" s="68" t="n">
        <v>377.72</v>
      </c>
      <c r="W38" s="68" t="n">
        <v>99400000</v>
      </c>
      <c r="X38" s="67" t="n">
        <v>10.25</v>
      </c>
      <c r="Y38" s="63" t="inlineStr">
        <is>
          <t>China Sichuan International Investment Limited; Golden Star International Pty Limited; Green Better; Keltic Investment (HK) Limited; Neptune Investments Holdings Limited; Peak Reinsurance Company Limited</t>
        </is>
      </c>
      <c r="Z38" s="63" t="inlineStr">
        <is>
          <t>sichuan;golden-star;green;keltic;neptune;peak</t>
        </is>
      </c>
      <c r="AA38" s="67" t="n">
        <v>7.7</v>
      </c>
      <c r="AB38" s="72" t="n"/>
      <c r="AC38" s="66" t="n"/>
      <c r="AD38" s="72" t="n"/>
      <c r="AE38" s="63" t="n"/>
      <c r="AF38" s="63" t="n"/>
      <c r="AG38" s="63" t="inlineStr">
        <is>
          <t>partial</t>
        </is>
      </c>
      <c r="AH38" s="63" t="n"/>
      <c r="AI38" s="63" t="n"/>
      <c r="AJ38" s="63" t="n"/>
      <c r="AK38" s="73" t="n">
        <v>0.53</v>
      </c>
      <c r="AL38" s="72" t="n">
        <v>0</v>
      </c>
      <c r="AM38" s="72" t="n">
        <v>0.53</v>
      </c>
      <c r="AN38" s="72" t="n">
        <v>5</v>
      </c>
      <c r="AO38" s="72" t="n">
        <v>-25.79</v>
      </c>
      <c r="AP38" s="72" t="n">
        <v>-45.26</v>
      </c>
      <c r="AQ38" s="72" t="n">
        <v>4.45</v>
      </c>
      <c r="AR38" s="72" t="n">
        <v>-26.18</v>
      </c>
      <c r="AS38" s="72" t="n">
        <v>-45.55</v>
      </c>
      <c r="AT38" s="72" t="n">
        <v>3.61</v>
      </c>
      <c r="AU38" s="72" t="n">
        <v>-26.66</v>
      </c>
      <c r="AV38" s="72" t="n">
        <v>-35.18</v>
      </c>
      <c r="AW38" s="72" t="n">
        <v>-26.45</v>
      </c>
      <c r="AX38" s="72" t="n">
        <v>0.87</v>
      </c>
      <c r="AY38" s="72" t="n">
        <v>0.27</v>
      </c>
      <c r="AZ38" s="63" t="inlineStr">
        <is>
          <t>Hang Seng Properties sub-index</t>
        </is>
      </c>
      <c r="BA38" s="72" t="n">
        <v>-54.74</v>
      </c>
      <c r="BB38" s="64" t="inlineStr">
        <is>
          <t>2026-08-28</t>
        </is>
      </c>
      <c r="BC38" s="65" t="n">
        <v>647.1</v>
      </c>
      <c r="BD38" s="68" t="n">
        <v>120.7</v>
      </c>
      <c r="BE38" s="63" t="inlineStr">
        <is>
          <t>Y</t>
        </is>
      </c>
      <c r="BF38" s="74" t="n">
        <v>30.5</v>
      </c>
      <c r="BG38" s="74" t="n"/>
      <c r="BH38" s="74" t="n">
        <v>5.9</v>
      </c>
      <c r="BI38" s="74" t="n">
        <v>5.7</v>
      </c>
      <c r="BJ38" s="75">
        <f>IF('BBG Verify'!S38="","not filed — run on terminal",'BBG Verify'!S38)</f>
        <v/>
      </c>
      <c r="BK38" s="76" t="inlineStr">
        <is>
          <t>N</t>
        </is>
      </c>
      <c r="BL38" s="77">
        <f>IF('BBG Verify'!K38="","not filed — run on terminal",'BBG Verify'!K38)</f>
        <v/>
      </c>
      <c r="BM38" s="63" t="inlineStr">
        <is>
          <t>N/A</t>
        </is>
      </c>
      <c r="BN38" s="63" t="inlineStr">
        <is>
          <t>N/A</t>
        </is>
      </c>
      <c r="BO38" s="63" t="inlineStr">
        <is>
          <t>N/A</t>
        </is>
      </c>
      <c r="BP38" s="63" t="inlineStr">
        <is>
          <t>N/A</t>
        </is>
      </c>
      <c r="BQ38" s="63" t="inlineStr">
        <is>
          <t>N/A</t>
        </is>
      </c>
      <c r="BR38" s="63" t="inlineStr">
        <is>
          <t>N/A</t>
        </is>
      </c>
      <c r="BS38" s="76" t="inlineStr">
        <is>
          <t>ABCI Capital Limited</t>
        </is>
      </c>
      <c r="BT38" s="63" t="inlineStr">
        <is>
          <t>ABCI Capital Limited</t>
        </is>
      </c>
      <c r="BU38" s="63" t="inlineStr">
        <is>
          <t>ABCI Capital Limited; Haitong International Securities Company Limited; CMB International Capital Limited; CLSA Limited; CMBC Securities Company Limited; China Everbright Securities (HK) Limited</t>
        </is>
      </c>
      <c r="BV38" s="63" t="inlineStr">
        <is>
          <t>ABCI Securities Company Limited; China Everbright Securities (HK) Limited; CLSA Limited; CMBC Securities Company Limited; CMB International Capital Corporation Limited; Fortune (HK) Securities Limited; Futu Securities International (Hong Kong) Limited; Haitong International Securities Company Limited; Livermore Holdings Limited</t>
        </is>
      </c>
      <c r="BW38" s="78">
        <f>HYPERLINK("https://www1.hkexnews.hk/listedco/listconews/sehk/2021/0511/2021051100021.pdf","prospectus")</f>
        <v/>
      </c>
      <c r="BX38" s="78">
        <f>HYPERLINK("https://www1.hkexnews.hk/listedco/listconews/sehk/2021/0524/2021052400010.htm","allotment")</f>
        <v/>
      </c>
      <c r="BY38" s="78">
        <f>HYPERLINK("https://www1.hkexnews.hk/listedco/listconews/sehk/2021/0615/2021061500076.pdf","stabilisation")</f>
        <v/>
      </c>
      <c r="BZ38" s="76" t="n"/>
      <c r="CA38" s="63" t="inlineStr">
        <is>
          <t>greenshoe: over-allotment outcome already published, and the allotment announcement does not state the stabilisation expiry in a parsable form — the expiry no longer matters once resolved · A/H: no A-share listing · stabilising manager: neither the allotment announcement's cover sentence nor the prospectus definitions glossary names one in a form the parser reads — not inferred from the sponsor · grey market: no grey-market headline on file for this deal — AAStocks publishes one per listing but keeps only recent items on the stock's news page, and no public archive of past evening sessions exists; captured from this run onward</t>
        </is>
      </c>
    </row>
    <row r="39" ht="15" customHeight="1">
      <c r="A39" s="62" t="inlineStr">
        <is>
          <t>2618</t>
        </is>
      </c>
      <c r="B39" s="63" t="inlineStr">
        <is>
          <t>JD LOGISTICS</t>
        </is>
      </c>
      <c r="C39" s="63" t="inlineStr">
        <is>
          <t>京東物流</t>
        </is>
      </c>
      <c r="D39" s="63" t="inlineStr">
        <is>
          <t>Industrials</t>
        </is>
      </c>
      <c r="E39" s="63" t="inlineStr">
        <is>
          <t>Logistics</t>
        </is>
      </c>
      <c r="F39" s="63" t="inlineStr">
        <is>
          <t>Air Freight &amp; Logistics</t>
        </is>
      </c>
      <c r="G39" s="63" t="inlineStr">
        <is>
          <t>Standard</t>
        </is>
      </c>
      <c r="H39" s="64" t="n">
        <v>44344</v>
      </c>
      <c r="I39" s="65" t="n">
        <v>24585.7</v>
      </c>
      <c r="J39" s="63" t="inlineStr">
        <is>
          <t>gross (price x shares)</t>
        </is>
      </c>
      <c r="K39" s="66" t="n"/>
      <c r="L39" s="66" t="n">
        <v>40.36</v>
      </c>
      <c r="M39" s="66" t="n">
        <v>40.36</v>
      </c>
      <c r="N39" s="63" t="inlineStr">
        <is>
          <t>Y</t>
        </is>
      </c>
      <c r="O39" s="67" t="n">
        <v>100</v>
      </c>
      <c r="P39" s="67" t="n"/>
      <c r="Q39" s="68" t="n">
        <v>255728.1</v>
      </c>
      <c r="R39" s="63" t="inlineStr">
        <is>
          <t>aastocks:上市市值 at the struck price</t>
        </is>
      </c>
      <c r="S39" s="69" t="n">
        <v>715.61</v>
      </c>
      <c r="T39" s="70" t="n">
        <v>10.8</v>
      </c>
      <c r="U39" s="71" t="n">
        <v>48.33</v>
      </c>
      <c r="V39" s="68" t="n">
        <v>12703.43</v>
      </c>
      <c r="W39" s="68" t="n">
        <v>314753385</v>
      </c>
      <c r="X39" s="67" t="n">
        <v>4.97</v>
      </c>
      <c r="Y39" s="63" t="inlineStr">
        <is>
          <t>China Chengtong Investment Company Limited; Internet Fund IIIA Pte Ltd; Matthews Funds; Oaktree Emerging Markets Equity Fund, L.P; SoftBank Group; The Blackstone Group Inc</t>
        </is>
      </c>
      <c r="Z39" s="63" t="inlineStr">
        <is>
          <t>chengtong;internet;matthews;oaktree;softbank;blackstone</t>
        </is>
      </c>
      <c r="AA39" s="67" t="n"/>
      <c r="AB39" s="72" t="n"/>
      <c r="AC39" s="66" t="n"/>
      <c r="AD39" s="72" t="n"/>
      <c r="AE39" s="63" t="n"/>
      <c r="AF39" s="63" t="n"/>
      <c r="AG39" s="63" t="n"/>
      <c r="AH39" s="63" t="inlineStr">
        <is>
          <t>2021-06-20</t>
        </is>
      </c>
      <c r="AI39" s="63" t="inlineStr">
        <is>
          <t>Merrill Lynch</t>
        </is>
      </c>
      <c r="AJ39" s="63" t="inlineStr">
        <is>
          <t>Merrill Lynch</t>
        </is>
      </c>
      <c r="AK39" s="73" t="n">
        <v>3.32</v>
      </c>
      <c r="AL39" s="72" t="n">
        <v>14.1</v>
      </c>
      <c r="AM39" s="72" t="n">
        <v>-9.449999999999999</v>
      </c>
      <c r="AN39" s="72" t="n">
        <v>16.33</v>
      </c>
      <c r="AO39" s="72" t="n">
        <v>4.19</v>
      </c>
      <c r="AP39" s="72" t="n">
        <v>-24.18</v>
      </c>
      <c r="AQ39" s="72" t="n">
        <v>12.59</v>
      </c>
      <c r="AR39" s="72" t="n">
        <v>0.84</v>
      </c>
      <c r="AS39" s="72" t="n">
        <v>-26.62</v>
      </c>
      <c r="AT39" s="72" t="n">
        <v>15.58</v>
      </c>
      <c r="AU39" s="72" t="n">
        <v>-0.14</v>
      </c>
      <c r="AV39" s="72" t="n">
        <v>-9.92</v>
      </c>
      <c r="AW39" s="72" t="n">
        <v>-4.79</v>
      </c>
      <c r="AX39" s="72" t="n">
        <v>4.33</v>
      </c>
      <c r="AY39" s="72" t="n">
        <v>5.63</v>
      </c>
      <c r="AZ39" s="63" t="inlineStr">
        <is>
          <t>Hang Seng Commerce &amp; Industry sub-index</t>
        </is>
      </c>
      <c r="BA39" s="72" t="n">
        <v>-72.5</v>
      </c>
      <c r="BB39" s="64" t="inlineStr">
        <is>
          <t>2026-08-28</t>
        </is>
      </c>
      <c r="BC39" s="65" t="n"/>
      <c r="BD39" s="68" t="n"/>
      <c r="BE39" s="63" t="n"/>
      <c r="BF39" s="75">
        <f>IF('BBG Verify'!O39="","not filed — run on terminal",'BBG Verify'!O39)</f>
        <v/>
      </c>
      <c r="BG39" s="74" t="n"/>
      <c r="BH39" s="74" t="n">
        <v>8.9</v>
      </c>
      <c r="BI39" s="74" t="n"/>
      <c r="BJ39" s="75">
        <f>IF('BBG Verify'!S39="","not filed — run on terminal",'BBG Verify'!S39)</f>
        <v/>
      </c>
      <c r="BK39" s="76" t="inlineStr">
        <is>
          <t>N</t>
        </is>
      </c>
      <c r="BL39" s="77">
        <f>IF('BBG Verify'!K39="","not filed — run on terminal",'BBG Verify'!K39)</f>
        <v/>
      </c>
      <c r="BM39" s="63" t="inlineStr">
        <is>
          <t>N/A</t>
        </is>
      </c>
      <c r="BN39" s="63" t="inlineStr">
        <is>
          <t>N/A</t>
        </is>
      </c>
      <c r="BO39" s="63" t="inlineStr">
        <is>
          <t>N/A</t>
        </is>
      </c>
      <c r="BP39" s="63" t="inlineStr">
        <is>
          <t>N/A</t>
        </is>
      </c>
      <c r="BQ39" s="63" t="inlineStr">
        <is>
          <t>N/A</t>
        </is>
      </c>
      <c r="BR39" s="63" t="inlineStr">
        <is>
          <t>N/A</t>
        </is>
      </c>
      <c r="BS39" s="76" t="inlineStr">
        <is>
          <t>BofA Securities; Goldman Sachs; Haitong International</t>
        </is>
      </c>
      <c r="BT39" s="63" t="inlineStr">
        <is>
          <t>Haitong International Capital Limited; Merrill Lynch (Asia Pacific) Limited; Goldman Sachs (Asia) L.L.C.</t>
        </is>
      </c>
      <c r="BU39" s="63" t="inlineStr">
        <is>
          <t>ABCI Securities Company Limited; Beta International Securities Limited; BOCI Asia Limited; CCB International Capital Limited; CLSA Limited; CMB International Capital Limited</t>
        </is>
      </c>
      <c r="BV39" s="63" t="inlineStr">
        <is>
          <t>ABCI Securities Company Limited; Beta International Securities Limited; BOCI Asia Limited; CCB International Capital Limited; CLSA Limited; CMB International Capital Limited; China Renaissance Securities (Hong Kong) Limited; Futu Securities International (Hong Kong) Limited; Guotai Junan Securities (Hong Kong) Limited; Goldman Sachs (Asia) L.L.C.; Haitong International Securities Company Limited; ICBC International Securities Limited</t>
        </is>
      </c>
      <c r="BW39" s="63" t="n"/>
      <c r="BX39" s="78">
        <f>HYPERLINK("https://www1.hkexnews.hk/listedco/listconews/sehk/2021/0527/2021052700014.htm","allotment")</f>
        <v/>
      </c>
      <c r="BY39" s="63" t="n"/>
      <c r="BZ39" s="76" t="n"/>
      <c r="CA39" s="63" t="inlineStr">
        <is>
          <t>P/E: net income not stated in extractable form · greenshoe: no over-allotment option in the offer structure · price range: fixed-price offering (no indicative range) · range low: cap-only pricing — the filing publishes a Maximum Offer Price and no indicative floor · A/H: no A-share listing · greenshoe size: no over-allotment option in the offer structure · P/S: revenue not extractable · financials: financial tables not machine-extractable and the pre-IPO year is outside AAStocks' 5-year window · filing links: no prospectus document returned by the HKEX per-stock search for this code — the allotment announcement is linked beside it · grey market: no grey-market headline on file for this deal — AAStocks publishes one per listing but keeps only recent items on the stock's news page, and no public archive of past evening sessions exists; captured from this run onward</t>
        </is>
      </c>
    </row>
    <row r="40" ht="15" customHeight="1">
      <c r="A40" s="62" t="inlineStr">
        <is>
          <t>9982</t>
        </is>
      </c>
      <c r="B40" s="63" t="inlineStr">
        <is>
          <t>CENTRALCHINA MT</t>
        </is>
      </c>
      <c r="C40" s="63" t="inlineStr">
        <is>
          <t>中原建業</t>
        </is>
      </c>
      <c r="D40" s="63" t="inlineStr">
        <is>
          <t>Real Estate</t>
        </is>
      </c>
      <c r="E40" s="63" t="inlineStr">
        <is>
          <t>Property management</t>
        </is>
      </c>
      <c r="F40" s="63" t="inlineStr">
        <is>
          <t>Property Development</t>
        </is>
      </c>
      <c r="G40" s="63" t="inlineStr">
        <is>
          <t>Standard</t>
        </is>
      </c>
      <c r="H40" s="64" t="n">
        <v>44347</v>
      </c>
      <c r="I40" s="65" t="n">
        <v>984.5</v>
      </c>
      <c r="J40" s="63" t="inlineStr">
        <is>
          <t>gross (price x shares)</t>
        </is>
      </c>
      <c r="K40" s="66" t="n">
        <v>2.4</v>
      </c>
      <c r="L40" s="66" t="n">
        <v>3.2</v>
      </c>
      <c r="M40" s="66" t="n">
        <v>3</v>
      </c>
      <c r="N40" s="63" t="inlineStr">
        <is>
          <t>N</t>
        </is>
      </c>
      <c r="O40" s="67" t="n">
        <v>93.8</v>
      </c>
      <c r="P40" s="67" t="n">
        <v>75</v>
      </c>
      <c r="Q40" s="68" t="n">
        <v>8712.4</v>
      </c>
      <c r="R40" s="63" t="inlineStr">
        <is>
          <t>derived:deal size / offer % of enlarged capital</t>
        </is>
      </c>
      <c r="S40" s="69" t="n">
        <v>4.99</v>
      </c>
      <c r="T40" s="70" t="n">
        <v>0.72</v>
      </c>
      <c r="U40" s="71" t="n">
        <v>4.8</v>
      </c>
      <c r="V40" s="68" t="n">
        <v>937.24</v>
      </c>
      <c r="W40" s="68" t="n">
        <v>312419744</v>
      </c>
      <c r="X40" s="67" t="n">
        <v>10.76</v>
      </c>
      <c r="Y40" s="63" t="inlineStr">
        <is>
          <t>Lucky Advent Limited</t>
        </is>
      </c>
      <c r="Z40" s="63" t="inlineStr">
        <is>
          <t>lucky</t>
        </is>
      </c>
      <c r="AA40" s="67" t="n">
        <v>10</v>
      </c>
      <c r="AB40" s="72" t="n"/>
      <c r="AC40" s="66" t="n"/>
      <c r="AD40" s="72" t="n"/>
      <c r="AE40" s="63" t="n"/>
      <c r="AF40" s="63" t="n"/>
      <c r="AG40" s="63" t="inlineStr">
        <is>
          <t>lapsed</t>
        </is>
      </c>
      <c r="AH40" s="63" t="inlineStr">
        <is>
          <t>2021-06-23</t>
        </is>
      </c>
      <c r="AI40" s="63" t="inlineStr">
        <is>
          <t>BN P Paribas Securities</t>
        </is>
      </c>
      <c r="AJ40" s="63" t="inlineStr">
        <is>
          <t>BN P</t>
        </is>
      </c>
      <c r="AK40" s="73" t="n">
        <v>-12</v>
      </c>
      <c r="AL40" s="72" t="n">
        <v>-16.67</v>
      </c>
      <c r="AM40" s="72" t="n">
        <v>5.6</v>
      </c>
      <c r="AN40" s="72" t="n">
        <v>-9</v>
      </c>
      <c r="AO40" s="72" t="n">
        <v>-23.67</v>
      </c>
      <c r="AP40" s="72" t="n">
        <v>-38.33</v>
      </c>
      <c r="AQ40" s="72" t="n">
        <v>3.41</v>
      </c>
      <c r="AR40" s="72" t="n">
        <v>-13.26</v>
      </c>
      <c r="AS40" s="72" t="n">
        <v>-29.92</v>
      </c>
      <c r="AT40" s="72" t="n">
        <v>-6.86</v>
      </c>
      <c r="AU40" s="72" t="n">
        <v>-20.27</v>
      </c>
      <c r="AV40" s="72" t="n">
        <v>-25.76</v>
      </c>
      <c r="AW40" s="72" t="n">
        <v>-11.26</v>
      </c>
      <c r="AX40" s="72" t="n">
        <v>-3.4</v>
      </c>
      <c r="AY40" s="72" t="n">
        <v>-2</v>
      </c>
      <c r="AZ40" s="63" t="inlineStr">
        <is>
          <t>Hang Seng Properties sub-index</t>
        </is>
      </c>
      <c r="BA40" s="72" t="n">
        <v>-97.09999999999999</v>
      </c>
      <c r="BB40" s="64" t="inlineStr">
        <is>
          <t>2026-08-28</t>
        </is>
      </c>
      <c r="BC40" s="65" t="n">
        <v>1267.2</v>
      </c>
      <c r="BD40" s="68" t="n">
        <v>749.1</v>
      </c>
      <c r="BE40" s="63" t="inlineStr">
        <is>
          <t>Y</t>
        </is>
      </c>
      <c r="BF40" s="74" t="n">
        <v>11.6</v>
      </c>
      <c r="BG40" s="74" t="n"/>
      <c r="BH40" s="74" t="n">
        <v>6.1</v>
      </c>
      <c r="BI40" s="74" t="n">
        <v>6.9</v>
      </c>
      <c r="BJ40" s="75">
        <f>IF('BBG Verify'!S40="","not filed — run on terminal",'BBG Verify'!S40)</f>
        <v/>
      </c>
      <c r="BK40" s="76" t="inlineStr">
        <is>
          <t>N</t>
        </is>
      </c>
      <c r="BL40" s="77">
        <f>IF('BBG Verify'!K40="","not filed — run on terminal",'BBG Verify'!K40)</f>
        <v/>
      </c>
      <c r="BM40" s="63" t="inlineStr">
        <is>
          <t>N/A</t>
        </is>
      </c>
      <c r="BN40" s="63" t="inlineStr">
        <is>
          <t>N/A</t>
        </is>
      </c>
      <c r="BO40" s="63" t="inlineStr">
        <is>
          <t>N/A</t>
        </is>
      </c>
      <c r="BP40" s="63" t="inlineStr">
        <is>
          <t>N/A</t>
        </is>
      </c>
      <c r="BQ40" s="63" t="inlineStr">
        <is>
          <t>N/A</t>
        </is>
      </c>
      <c r="BR40" s="63" t="inlineStr">
        <is>
          <t>N/A</t>
        </is>
      </c>
      <c r="BS40" s="76" t="inlineStr">
        <is>
          <t>ICBC International Capital Limited; CCB International Capital Limited; Sole financial advisor to CCRE and our Company BNP Paribas Securities (Asia) Limited</t>
        </is>
      </c>
      <c r="BT40" s="63" t="inlineStr">
        <is>
          <t>CCB International Capital Limited; ICBC International Capital Limited</t>
        </is>
      </c>
      <c r="BU40" s="63" t="inlineStr">
        <is>
          <t>BNP Paribas Securities (Asia) Limited; CCB International Capital Limited; ICBC International Capital Limited; ABCI Capital Limited; China Galaxy International Securities (Hong Kong) Co., Limited; CMB International Capital Limited; CRIC Securities Company Limited</t>
        </is>
      </c>
      <c r="BV40" s="63" t="inlineStr">
        <is>
          <t>ABCI Securities Company Limited; BNP Paribas Securities (Asia) Limited; CCB International Capital Limited; China Galaxy International Securities (Hong Kong) Company Limited; CMB International Capital Limited; CRIC Securities Company Limited; ICBC International Securities Limited; I Win Securities Limited; Livermore Holdings Limited</t>
        </is>
      </c>
      <c r="BW40" s="78">
        <f>HYPERLINK("https://www1.hkexnews.hk/listedco/listconews/sehk/2021/0518/2021051800033.pdf","prospectus")</f>
        <v/>
      </c>
      <c r="BX40" s="78">
        <f>HYPERLINK("https://www1.hkexnews.hk/listedco/listconews/sehk/2021/0528/2021052800048.htm","allotment")</f>
        <v/>
      </c>
      <c r="BY40" s="78">
        <f>HYPERLINK("https://www1.hkexnews.hk/listedco/listconews/sehk/2021/0623/2021062301182.pdf","stabilisation")</f>
        <v/>
      </c>
      <c r="BZ40" s="76" t="n"/>
      <c r="CA40" s="63" t="inlineStr">
        <is>
          <t>A/H: no A-share listing · grey market: no grey-market headline on file for this deal — AAStocks publishes one per listing but keeps only recent items on the stock's news page, and no public archive of past evening sessions exists; captured from this run onward</t>
        </is>
      </c>
    </row>
    <row r="41" ht="15" customHeight="1">
      <c r="A41" s="62" t="inlineStr">
        <is>
          <t>6699</t>
        </is>
      </c>
      <c r="B41" s="63" t="inlineStr">
        <is>
          <t>ANGELALIGN</t>
        </is>
      </c>
      <c r="C41" s="63" t="inlineStr">
        <is>
          <t>時代天使</t>
        </is>
      </c>
      <c r="D41" s="63" t="inlineStr">
        <is>
          <t>Healthcare</t>
        </is>
      </c>
      <c r="E41" s="63" t="inlineStr">
        <is>
          <t>Medical devices</t>
        </is>
      </c>
      <c r="F41" s="63" t="inlineStr">
        <is>
          <t>Health Care Services</t>
        </is>
      </c>
      <c r="G41" s="63" t="inlineStr">
        <is>
          <t>Standard</t>
        </is>
      </c>
      <c r="H41" s="64" t="n">
        <v>44363</v>
      </c>
      <c r="I41" s="65" t="n">
        <v>2911.5</v>
      </c>
      <c r="J41" s="63" t="inlineStr">
        <is>
          <t>gross (price x shares)</t>
        </is>
      </c>
      <c r="K41" s="66" t="n">
        <v>147</v>
      </c>
      <c r="L41" s="66" t="n">
        <v>173</v>
      </c>
      <c r="M41" s="66" t="n">
        <v>173</v>
      </c>
      <c r="N41" s="63" t="inlineStr">
        <is>
          <t>Y</t>
        </is>
      </c>
      <c r="O41" s="67" t="n">
        <v>100</v>
      </c>
      <c r="P41" s="67" t="n">
        <v>100</v>
      </c>
      <c r="Q41" s="68" t="n">
        <v>24373.6</v>
      </c>
      <c r="R41" s="63" t="inlineStr">
        <is>
          <t>prospectus:stated market capitalisation</t>
        </is>
      </c>
      <c r="S41" s="69" t="n">
        <v>2079.16</v>
      </c>
      <c r="T41" s="70" t="n">
        <v>114.7</v>
      </c>
      <c r="U41" s="71" t="n">
        <v>0</v>
      </c>
      <c r="V41" s="68" t="n">
        <v>2911.5</v>
      </c>
      <c r="W41" s="68" t="n">
        <v>16829600</v>
      </c>
      <c r="X41" s="67" t="n">
        <v>11.95</v>
      </c>
      <c r="Y41" s="63" t="n"/>
      <c r="Z41" s="63" t="n"/>
      <c r="AA41" s="67" t="n">
        <v>10</v>
      </c>
      <c r="AB41" s="72" t="n"/>
      <c r="AC41" s="66" t="n"/>
      <c r="AD41" s="72" t="n"/>
      <c r="AE41" s="63" t="n"/>
      <c r="AF41" s="63" t="n"/>
      <c r="AG41" s="63" t="inlineStr">
        <is>
          <t>full</t>
        </is>
      </c>
      <c r="AH41" s="63" t="inlineStr">
        <is>
          <t>2021-07-08</t>
        </is>
      </c>
      <c r="AI41" s="63" t="inlineStr">
        <is>
          <t>Goldman Sachs</t>
        </is>
      </c>
      <c r="AJ41" s="63" t="inlineStr">
        <is>
          <t>Goldman Sachs</t>
        </is>
      </c>
      <c r="AK41" s="73" t="n">
        <v>131.79</v>
      </c>
      <c r="AL41" s="72" t="n">
        <v>131.21</v>
      </c>
      <c r="AM41" s="72" t="n">
        <v>0.25</v>
      </c>
      <c r="AN41" s="72" t="n">
        <v>144.51</v>
      </c>
      <c r="AO41" s="72" t="n">
        <v>141.97</v>
      </c>
      <c r="AP41" s="72" t="n">
        <v>109.36</v>
      </c>
      <c r="AQ41" s="72" t="n">
        <v>5.49</v>
      </c>
      <c r="AR41" s="72" t="n">
        <v>4.39</v>
      </c>
      <c r="AS41" s="72" t="n">
        <v>-9.68</v>
      </c>
      <c r="AT41" s="72" t="n">
        <v>141.81</v>
      </c>
      <c r="AU41" s="72" t="n">
        <v>141.37</v>
      </c>
      <c r="AV41" s="72" t="n">
        <v>123.22</v>
      </c>
      <c r="AW41" s="72" t="n">
        <v>0.89</v>
      </c>
      <c r="AX41" s="72" t="n">
        <v>0.6</v>
      </c>
      <c r="AY41" s="72" t="n">
        <v>3.5</v>
      </c>
      <c r="AZ41" s="63" t="inlineStr">
        <is>
          <t>China Biotech ETF (HS biotech proxy)</t>
        </is>
      </c>
      <c r="BA41" s="72" t="n">
        <v>-48.82</v>
      </c>
      <c r="BB41" s="64" t="inlineStr">
        <is>
          <t>2026-08-28</t>
        </is>
      </c>
      <c r="BC41" s="65" t="n">
        <v>898.2</v>
      </c>
      <c r="BD41" s="68" t="n">
        <v>166</v>
      </c>
      <c r="BE41" s="63" t="inlineStr">
        <is>
          <t>Y</t>
        </is>
      </c>
      <c r="BF41" s="74" t="n">
        <v>146.8</v>
      </c>
      <c r="BG41" s="74" t="n">
        <v>282.1</v>
      </c>
      <c r="BH41" s="74" t="n">
        <v>70.59999999999999</v>
      </c>
      <c r="BI41" s="74" t="n">
        <v>27.1</v>
      </c>
      <c r="BJ41" s="75">
        <f>IF('BBG Verify'!S41="","not filed — run on terminal",'BBG Verify'!S41)</f>
        <v/>
      </c>
      <c r="BK41" s="76" t="inlineStr">
        <is>
          <t>N</t>
        </is>
      </c>
      <c r="BL41" s="77">
        <f>IF('BBG Verify'!K41="","not filed — run on terminal",'BBG Verify'!K41)</f>
        <v/>
      </c>
      <c r="BM41" s="63" t="inlineStr">
        <is>
          <t>N/A</t>
        </is>
      </c>
      <c r="BN41" s="63" t="inlineStr">
        <is>
          <t>N/A</t>
        </is>
      </c>
      <c r="BO41" s="63" t="inlineStr">
        <is>
          <t>N/A</t>
        </is>
      </c>
      <c r="BP41" s="63" t="inlineStr">
        <is>
          <t>N/A</t>
        </is>
      </c>
      <c r="BQ41" s="63" t="inlineStr">
        <is>
          <t>N/A</t>
        </is>
      </c>
      <c r="BR41" s="63" t="inlineStr">
        <is>
          <t>N/A</t>
        </is>
      </c>
      <c r="BS41" s="76" t="inlineStr">
        <is>
          <t>China Insights Industry Consultancy Limited; Shanghai, PRC Receiving Banks Standard Chartered Bank (Hong Kong) Limited; Bank of China (Hong Kong) Limited; The Cayman Islands Principal Share Registrar Maples Fund Services (Cayman) Limited; Somerley Capital Limited; China Minsheng Bank, Shanghai Branch; Pudong New Area Shanghai, PRC China CITIC Bank, Wuxi Huishan Sub-Branch; Wuxi City, PRC Bank of China, Shanghai KIC Science Park Sub-Branch</t>
        </is>
      </c>
      <c r="BT41" s="63" t="inlineStr">
        <is>
          <t>China International Capital Corporation Hong Kong Securities Limited; Goldman Sachs (Asia) L.L.C.</t>
        </is>
      </c>
      <c r="BU41" s="63" t="inlineStr">
        <is>
          <t>China International Capital Corporation Hong Kong Securities Limited; Goldman Sachs (Asia) L.L.C.</t>
        </is>
      </c>
      <c r="BV41" s="63" t="inlineStr">
        <is>
          <t>China International Capital Corporation Hong Kong Securities Limited; Goldman Sachs (Asia) L.L.C.</t>
        </is>
      </c>
      <c r="BW41" s="78">
        <f>HYPERLINK("https://www1.hkexnews.hk/listedco/listconews/sehk/2021/0603/2021060300011.pdf","prospectus")</f>
        <v/>
      </c>
      <c r="BX41" s="78">
        <f>HYPERLINK("https://www1.hkexnews.hk/listedco/listconews/sehk/2021/0615/2021061500010.htm","allotment")</f>
        <v/>
      </c>
      <c r="BY41" s="78">
        <f>HYPERLINK("https://www1.hkexnews.hk/listedco/listconews/sehk/2021/0708/2021070801042.pdf","stabilisation")</f>
        <v/>
      </c>
      <c r="BZ41" s="76" t="n"/>
      <c r="CA41" s="63" t="inlineStr">
        <is>
          <t>A/H: no A-share listing · cornerstone list: no cornerstone tranche in this deal · grey market: no grey-market headline on file for this deal — AAStocks publishes one per listing but keeps only recent items on the stock's news page, and no public archive of past evening sessions exists; captured from this run onward</t>
        </is>
      </c>
    </row>
    <row r="42" ht="15" customHeight="1">
      <c r="A42" s="62" t="inlineStr">
        <is>
          <t>2171</t>
        </is>
      </c>
      <c r="B42" s="63" t="inlineStr">
        <is>
          <t>CARSGEN-B</t>
        </is>
      </c>
      <c r="C42" s="63" t="inlineStr">
        <is>
          <t>科濟藥業－Ｂ</t>
        </is>
      </c>
      <c r="D42" s="63" t="inlineStr">
        <is>
          <t>Healthcare</t>
        </is>
      </c>
      <c r="E42" s="63" t="inlineStr">
        <is>
          <t>Biotech pre-revenue (18A)</t>
        </is>
      </c>
      <c r="F42" s="63" t="inlineStr">
        <is>
          <t>Biotechnology</t>
        </is>
      </c>
      <c r="G42" s="63" t="inlineStr">
        <is>
          <t>18A</t>
        </is>
      </c>
      <c r="H42" s="64" t="n">
        <v>44365</v>
      </c>
      <c r="I42" s="65" t="n">
        <v>3107.7</v>
      </c>
      <c r="J42" s="63" t="inlineStr">
        <is>
          <t>gross (price x shares)</t>
        </is>
      </c>
      <c r="K42" s="66" t="n">
        <v>29.6</v>
      </c>
      <c r="L42" s="66" t="n">
        <v>32.8</v>
      </c>
      <c r="M42" s="66" t="n">
        <v>32.8</v>
      </c>
      <c r="N42" s="63" t="inlineStr">
        <is>
          <t>Y</t>
        </is>
      </c>
      <c r="O42" s="67" t="n">
        <v>100</v>
      </c>
      <c r="P42" s="67" t="n">
        <v>100</v>
      </c>
      <c r="Q42" s="68" t="n">
        <v>17700</v>
      </c>
      <c r="R42" s="63" t="inlineStr">
        <is>
          <t>prospectus:stated market capitalisation</t>
        </is>
      </c>
      <c r="S42" s="69" t="n">
        <v>434.57</v>
      </c>
      <c r="T42" s="70" t="n">
        <v>8.199999999999999</v>
      </c>
      <c r="U42" s="71" t="n">
        <v>27.2</v>
      </c>
      <c r="V42" s="68" t="n">
        <v>2262.41</v>
      </c>
      <c r="W42" s="68" t="n">
        <v>68975816</v>
      </c>
      <c r="X42" s="67" t="n">
        <v>12.78</v>
      </c>
      <c r="Y42" s="63" t="inlineStr">
        <is>
          <t>Affin Hwang Asset Management Berhad; China Southern Asset Management Co., Ltd; CloudAlpha Master Fund; Dymon Asia Capital (Singapore) Pte. Ltd; Foresight Fund Management Company Limited; GF Fund Management Co., Ltd; IvyRock Asset Management (HK) Limited; LAV Star Limited; WT Asset Management Limited</t>
        </is>
      </c>
      <c r="Z42" s="63" t="inlineStr">
        <is>
          <t>affin;southern;cloudalpha;dymon;foresight;gf;ivyrock;lav;wt</t>
        </is>
      </c>
      <c r="AA42" s="67" t="n">
        <v>5.5</v>
      </c>
      <c r="AB42" s="72" t="n"/>
      <c r="AC42" s="66" t="n"/>
      <c r="AD42" s="72" t="n"/>
      <c r="AE42" s="63" t="n"/>
      <c r="AF42" s="63" t="n"/>
      <c r="AG42" s="63" t="inlineStr">
        <is>
          <t>lapsed</t>
        </is>
      </c>
      <c r="AH42" s="63" t="inlineStr">
        <is>
          <t>2021-07-10</t>
        </is>
      </c>
      <c r="AI42" s="63" t="inlineStr">
        <is>
          <t>Goldman Sachs</t>
        </is>
      </c>
      <c r="AJ42" s="63" t="inlineStr">
        <is>
          <t>Goldman Sachs</t>
        </is>
      </c>
      <c r="AK42" s="73" t="n">
        <v>-8.539999999999999</v>
      </c>
      <c r="AL42" s="72" t="n">
        <v>-17.53</v>
      </c>
      <c r="AM42" s="72" t="n">
        <v>10.9</v>
      </c>
      <c r="AN42" s="72" t="n">
        <v>-3.05</v>
      </c>
      <c r="AO42" s="72" t="n">
        <v>-8.69</v>
      </c>
      <c r="AP42" s="72" t="n">
        <v>32.16</v>
      </c>
      <c r="AQ42" s="72" t="n">
        <v>6</v>
      </c>
      <c r="AR42" s="72" t="n">
        <v>-0.16</v>
      </c>
      <c r="AS42" s="72" t="n">
        <v>44.5</v>
      </c>
      <c r="AT42" s="72" t="n">
        <v>-9.98</v>
      </c>
      <c r="AU42" s="72" t="n">
        <v>-12.93</v>
      </c>
      <c r="AV42" s="72" t="n">
        <v>45.72</v>
      </c>
      <c r="AW42" s="72" t="n">
        <v>-2.78</v>
      </c>
      <c r="AX42" s="72" t="n">
        <v>4.24</v>
      </c>
      <c r="AY42" s="72" t="n">
        <v>2.62</v>
      </c>
      <c r="AZ42" s="63" t="inlineStr">
        <is>
          <t>China Biotech ETF (HS biotech proxy)</t>
        </is>
      </c>
      <c r="BA42" s="72" t="n">
        <v>-58.93</v>
      </c>
      <c r="BB42" s="64" t="inlineStr">
        <is>
          <t>2026-08-28</t>
        </is>
      </c>
      <c r="BC42" s="65" t="n">
        <v>34.1</v>
      </c>
      <c r="BD42" s="68" t="n">
        <v>-291.6</v>
      </c>
      <c r="BE42" s="63" t="inlineStr">
        <is>
          <t>N</t>
        </is>
      </c>
      <c r="BF42" s="63" t="inlineStr">
        <is>
          <t>n/m</t>
        </is>
      </c>
      <c r="BG42" s="74" t="n"/>
      <c r="BH42" s="74" t="n"/>
      <c r="BI42" s="74" t="n">
        <v>519.1</v>
      </c>
      <c r="BJ42" s="75">
        <f>IF('BBG Verify'!S42="","not filed — run on terminal",'BBG Verify'!S42)</f>
        <v/>
      </c>
      <c r="BK42" s="76" t="inlineStr">
        <is>
          <t>N</t>
        </is>
      </c>
      <c r="BL42" s="77">
        <f>IF('BBG Verify'!K42="","not filed — run on terminal",'BBG Verify'!K42)</f>
        <v/>
      </c>
      <c r="BM42" s="63" t="inlineStr">
        <is>
          <t>N/A</t>
        </is>
      </c>
      <c r="BN42" s="63" t="inlineStr">
        <is>
          <t>N/A</t>
        </is>
      </c>
      <c r="BO42" s="63" t="inlineStr">
        <is>
          <t>N/A</t>
        </is>
      </c>
      <c r="BP42" s="63" t="inlineStr">
        <is>
          <t>N/A</t>
        </is>
      </c>
      <c r="BQ42" s="63" t="inlineStr">
        <is>
          <t>N/A</t>
        </is>
      </c>
      <c r="BR42" s="63" t="inlineStr">
        <is>
          <t>N/A</t>
        </is>
      </c>
      <c r="BS42" s="76" t="inlineStr">
        <is>
          <t>Goldman Sachs (Asia) L.L.C; UBS Securities Hong Kong Limited</t>
        </is>
      </c>
      <c r="BT42" s="63" t="inlineStr">
        <is>
          <t>UBS Securities Hong Kong Limited; Goldman Sachs (Asia) L.L.C.</t>
        </is>
      </c>
      <c r="BU42" s="63" t="inlineStr">
        <is>
          <t>Goldman Sachs (Asia) L.L.C; UBS AG Hong Kong Branch; CLSA Limited; Credit Suisse (Hong Kong) Limited</t>
        </is>
      </c>
      <c r="BV42" s="63" t="inlineStr">
        <is>
          <t>CLSA Limited; Credit Suisse (Hong Kong) Limited; Goldman Sachs (Asia) L.L.C.; UBS AG Hong Kong Branch</t>
        </is>
      </c>
      <c r="BW42" s="78">
        <f>HYPERLINK("https://www1.hkexnews.hk/listedco/listconews/sehk/2021/0607/2021060700009.pdf","prospectus")</f>
        <v/>
      </c>
      <c r="BX42" s="78">
        <f>HYPERLINK("https://www1.hkexnews.hk/listedco/listconews/sehk/2021/0617/2021061700006.htm","allotment")</f>
        <v/>
      </c>
      <c r="BY42" s="78">
        <f>HYPERLINK("https://www1.hkexnews.hk/listedco/listconews/sehk/2021/0712/2021071200836.pdf","stabilisation")</f>
        <v/>
      </c>
      <c r="BZ42" s="76" t="n"/>
      <c r="CA42" s="63" t="inlineStr">
        <is>
          <t>P/E: n/m — loss-making at IPO (use P/S) · A/H: no A-share listing · cornerstone: AAStocks institutional table includes non-cornerstone orders (superset) — cornerstone % is from the prospectus · P/S: 519x on HK$34.1m revenue — effectively pre-revenue; the multiple is shown for completeness, not comparability · grey market: no grey-market headline on file for this deal — AAStocks publishes one per listing but keeps only recent items on the stock's news page, and no public archive of past evening sessions exists; captured from this run onward</t>
        </is>
      </c>
    </row>
    <row r="43" ht="15" customHeight="1">
      <c r="A43" s="62" t="inlineStr">
        <is>
          <t>9858</t>
        </is>
      </c>
      <c r="B43" s="63" t="inlineStr">
        <is>
          <t>YOURAN DAIRY</t>
        </is>
      </c>
      <c r="C43" s="63" t="inlineStr">
        <is>
          <t>優然牧業</t>
        </is>
      </c>
      <c r="D43" s="63" t="inlineStr">
        <is>
          <t>Consumer</t>
        </is>
      </c>
      <c r="E43" s="63" t="inlineStr">
        <is>
          <t>Beverages / packaged food</t>
        </is>
      </c>
      <c r="F43" s="63" t="inlineStr">
        <is>
          <t>Dairy Products</t>
        </is>
      </c>
      <c r="G43" s="63" t="inlineStr">
        <is>
          <t>Standard</t>
        </is>
      </c>
      <c r="H43" s="64" t="n">
        <v>44365</v>
      </c>
      <c r="I43" s="65" t="n">
        <v>4993.7</v>
      </c>
      <c r="J43" s="63" t="inlineStr">
        <is>
          <t>gross (price x shares)</t>
        </is>
      </c>
      <c r="K43" s="66" t="n">
        <v>6.98</v>
      </c>
      <c r="L43" s="66" t="n">
        <v>8.66</v>
      </c>
      <c r="M43" s="66" t="n">
        <v>6.98</v>
      </c>
      <c r="N43" s="63" t="inlineStr">
        <is>
          <t>N</t>
        </is>
      </c>
      <c r="O43" s="67" t="n">
        <v>80.59999999999999</v>
      </c>
      <c r="P43" s="67" t="n">
        <v>0</v>
      </c>
      <c r="Q43" s="68" t="n">
        <v>31631.2</v>
      </c>
      <c r="R43" s="63" t="inlineStr">
        <is>
          <t>aastocks:上市市值 at the struck price</t>
        </is>
      </c>
      <c r="S43" s="69" t="n">
        <v>3.73</v>
      </c>
      <c r="T43" s="70" t="n">
        <v>3.88</v>
      </c>
      <c r="U43" s="71" t="n">
        <v>7.77</v>
      </c>
      <c r="V43" s="68" t="n">
        <v>4605.69</v>
      </c>
      <c r="W43" s="68" t="n">
        <v>659845700</v>
      </c>
      <c r="X43" s="67" t="n">
        <v>14.56</v>
      </c>
      <c r="Y43" s="63" t="inlineStr">
        <is>
          <t>CITIC-Prudential Life Insurance Company Limited; Harvest Private Wealth Thematic Fund SPC</t>
        </is>
      </c>
      <c r="Z43" s="63" t="inlineStr">
        <is>
          <t>citic;harvest</t>
        </is>
      </c>
      <c r="AA43" s="67" t="n">
        <v>16.97</v>
      </c>
      <c r="AB43" s="72" t="n"/>
      <c r="AC43" s="66" t="n"/>
      <c r="AD43" s="72" t="n"/>
      <c r="AE43" s="63" t="n"/>
      <c r="AF43" s="63" t="n"/>
      <c r="AG43" s="63" t="inlineStr">
        <is>
          <t>lapsed</t>
        </is>
      </c>
      <c r="AH43" s="63" t="inlineStr">
        <is>
          <t>2021-07-10</t>
        </is>
      </c>
      <c r="AI43" s="63" t="inlineStr">
        <is>
          <t>Credit Suisse</t>
        </is>
      </c>
      <c r="AJ43" s="63" t="inlineStr">
        <is>
          <t>Credit Suisse</t>
        </is>
      </c>
      <c r="AK43" s="73" t="n">
        <v>-11.89</v>
      </c>
      <c r="AL43" s="72" t="n">
        <v>-10.03</v>
      </c>
      <c r="AM43" s="72" t="n">
        <v>-2.07</v>
      </c>
      <c r="AN43" s="72" t="n">
        <v>-11.32</v>
      </c>
      <c r="AO43" s="72" t="n">
        <v>-26.93</v>
      </c>
      <c r="AP43" s="72" t="n">
        <v>-29.08</v>
      </c>
      <c r="AQ43" s="72" t="n">
        <v>0.65</v>
      </c>
      <c r="AR43" s="72" t="n">
        <v>-17.07</v>
      </c>
      <c r="AS43" s="72" t="n">
        <v>-19.51</v>
      </c>
      <c r="AT43" s="72" t="n">
        <v>-16.57</v>
      </c>
      <c r="AU43" s="72" t="n">
        <v>-23.51</v>
      </c>
      <c r="AV43" s="72" t="n">
        <v>-13.87</v>
      </c>
      <c r="AW43" s="72" t="n">
        <v>-11.66</v>
      </c>
      <c r="AX43" s="72" t="n">
        <v>-3.42</v>
      </c>
      <c r="AY43" s="72" t="n">
        <v>-5.41</v>
      </c>
      <c r="AZ43" s="63" t="inlineStr">
        <is>
          <t>Hang Seng Commerce &amp; Industry sub-index</t>
        </is>
      </c>
      <c r="BA43" s="72" t="n">
        <v>-43.84</v>
      </c>
      <c r="BB43" s="64" t="inlineStr">
        <is>
          <t>2026-08-28</t>
        </is>
      </c>
      <c r="BC43" s="65" t="n">
        <v>12959.3</v>
      </c>
      <c r="BD43" s="68" t="n">
        <v>1694.7</v>
      </c>
      <c r="BE43" s="63" t="inlineStr">
        <is>
          <t>Y</t>
        </is>
      </c>
      <c r="BF43" s="74" t="n">
        <v>18.7</v>
      </c>
      <c r="BG43" s="74" t="n">
        <v>12.3</v>
      </c>
      <c r="BH43" s="74" t="n"/>
      <c r="BI43" s="74" t="n">
        <v>2.4</v>
      </c>
      <c r="BJ43" s="75">
        <f>IF('BBG Verify'!S43="","not filed — run on terminal",'BBG Verify'!S43)</f>
        <v/>
      </c>
      <c r="BK43" s="76" t="inlineStr">
        <is>
          <t>N</t>
        </is>
      </c>
      <c r="BL43" s="77">
        <f>IF('BBG Verify'!K43="","not filed — run on terminal",'BBG Verify'!K43)</f>
        <v/>
      </c>
      <c r="BM43" s="63" t="inlineStr">
        <is>
          <t>N/A</t>
        </is>
      </c>
      <c r="BN43" s="63" t="inlineStr">
        <is>
          <t>N/A</t>
        </is>
      </c>
      <c r="BO43" s="63" t="inlineStr">
        <is>
          <t>N/A</t>
        </is>
      </c>
      <c r="BP43" s="63" t="inlineStr">
        <is>
          <t>N/A</t>
        </is>
      </c>
      <c r="BQ43" s="63" t="inlineStr">
        <is>
          <t>N/A</t>
        </is>
      </c>
      <c r="BR43" s="63" t="inlineStr">
        <is>
          <t>N/A</t>
        </is>
      </c>
      <c r="BS43" s="76" t="inlineStr">
        <is>
          <t>Huatai Financial Holdings (Hong Kong) Limited; Credit Suisse (Hong Kong) Limited</t>
        </is>
      </c>
      <c r="BT43" s="63" t="inlineStr">
        <is>
          <t>Huatai Financial Holdings (Hong Kong) Limited; Credit Suisse (Hong Kong) Limited</t>
        </is>
      </c>
      <c r="BU43" s="63" t="inlineStr">
        <is>
          <t>Huatai Financial Holdings (Hong Kong) Limited; Credit Suisse (Hong Kong) Limited; Citigroup Global Markets Asia Limited; CLSA Limited; Citigroup Global Markets Limited; Canary Wharf London E14 5LB United Kingdom CLSA Limited; The Hongkong and Shanghai Banking Corporation Limited; BOCOM International Securities Limited; Corporate Finance Company Limited; ICBC International Capital Limited; Futu Securities International (Hong Kong) Limited</t>
        </is>
      </c>
      <c r="BV43" s="63" t="inlineStr">
        <is>
          <t>Beta International Securities Limited; Citigroup Global Markets Asia Limited; CLSA Limited; Credit Suisse (Hong Kong) Limited; China Securities (International) Corporate Finance Company Limited; Futu Securities International (Hong Kong) Limited; Huatai Financial Holdings (Hong Kong) Limited; The Hongkong and Shanghai Banking Corporation Limited; ICBC International Securities Limited</t>
        </is>
      </c>
      <c r="BW43" s="78">
        <f>HYPERLINK("https://www1.hkexnews.hk/listedco/listconews/sehk/2021/0607/2021060700019.pdf","prospectus")</f>
        <v/>
      </c>
      <c r="BX43" s="78">
        <f>HYPERLINK("https://www1.hkexnews.hk/listedco/listconews/sehk/2021/0617/2021061700034.htm","allotment")</f>
        <v/>
      </c>
      <c r="BY43" s="78">
        <f>HYPERLINK("https://www1.hkexnews.hk/listedco/listconews/sehk/2021/0711/2021071100011.pdf","stabilisation")</f>
        <v/>
      </c>
      <c r="BZ43" s="76" t="n"/>
      <c r="CA43" s="63" t="inlineStr">
        <is>
          <t>A/H: no A-share listing · market cap: estimate from deal size / offer % of enlarged capital disagreed with the published listing cap — published figure adopted · grey market: no grey-market headline on file for this deal — AAStocks publishes one per listing but keeps only recent items on the stock's news page, and no public archive of past evening sessions exists; captured from this run onward</t>
        </is>
      </c>
    </row>
    <row r="44" ht="15" customHeight="1">
      <c r="A44" s="62" t="inlineStr">
        <is>
          <t>2155</t>
        </is>
      </c>
      <c r="B44" s="63" t="inlineStr">
        <is>
          <t>MORIMATSU INTL</t>
        </is>
      </c>
      <c r="C44" s="63" t="inlineStr">
        <is>
          <t>森松國際</t>
        </is>
      </c>
      <c r="D44" s="63" t="inlineStr">
        <is>
          <t>Industrials</t>
        </is>
      </c>
      <c r="E44" s="63" t="inlineStr">
        <is>
          <t>Capital goods / machinery</t>
        </is>
      </c>
      <c r="F44" s="63" t="inlineStr">
        <is>
          <t>Industrial Machinery</t>
        </is>
      </c>
      <c r="G44" s="63" t="inlineStr">
        <is>
          <t>Standard</t>
        </is>
      </c>
      <c r="H44" s="64" t="n">
        <v>44375</v>
      </c>
      <c r="I44" s="65" t="n">
        <v>620</v>
      </c>
      <c r="J44" s="63" t="inlineStr">
        <is>
          <t>gross (price x shares)</t>
        </is>
      </c>
      <c r="K44" s="66" t="n">
        <v>2.2</v>
      </c>
      <c r="L44" s="66" t="n">
        <v>2.48</v>
      </c>
      <c r="M44" s="66" t="n">
        <v>2.48</v>
      </c>
      <c r="N44" s="63" t="inlineStr">
        <is>
          <t>Y</t>
        </is>
      </c>
      <c r="O44" s="67" t="n">
        <v>100</v>
      </c>
      <c r="P44" s="67" t="n">
        <v>100</v>
      </c>
      <c r="Q44" s="68" t="n">
        <v>2755.6</v>
      </c>
      <c r="R44" s="63" t="inlineStr">
        <is>
          <t>derived:deal size / offer % of enlarged capital</t>
        </is>
      </c>
      <c r="S44" s="69" t="n">
        <v>23.71</v>
      </c>
      <c r="T44" s="70" t="n">
        <v>2.36</v>
      </c>
      <c r="U44" s="71" t="n">
        <v>44.63</v>
      </c>
      <c r="V44" s="68" t="n">
        <v>343.29</v>
      </c>
      <c r="W44" s="68" t="n">
        <v>138425000</v>
      </c>
      <c r="X44" s="67" t="n">
        <v>12.46</v>
      </c>
      <c r="Y44" s="63" t="inlineStr">
        <is>
          <t>China Universal Asset Management Limited Liability Company; Huayou HongKong Holding Limited; Hwa-An International Limited; Jingzhirui (Suzhou) Microelectronic Technology Co., Ltd; WuXi Biologics HealthCare Venture; Zhang Ning</t>
        </is>
      </c>
      <c r="Z44" s="63" t="inlineStr">
        <is>
          <t>universal;huayou;hwa;jingzhirui;wuxi;zhang-ning</t>
        </is>
      </c>
      <c r="AA44" s="67" t="n">
        <v>12.37</v>
      </c>
      <c r="AB44" s="72" t="n"/>
      <c r="AC44" s="66" t="n"/>
      <c r="AD44" s="72" t="n"/>
      <c r="AE44" s="63" t="n"/>
      <c r="AF44" s="63" t="n"/>
      <c r="AG44" s="63" t="inlineStr">
        <is>
          <t>full</t>
        </is>
      </c>
      <c r="AH44" s="63" t="n"/>
      <c r="AI44" s="63" t="inlineStr">
        <is>
          <t>Sinolink Securities</t>
        </is>
      </c>
      <c r="AJ44" s="63" t="inlineStr">
        <is>
          <t>Sinolink</t>
        </is>
      </c>
      <c r="AK44" s="73" t="n">
        <v>258.87</v>
      </c>
      <c r="AL44" s="72" t="n">
        <v>100</v>
      </c>
      <c r="AM44" s="72" t="n">
        <v>79.44</v>
      </c>
      <c r="AN44" s="72" t="n">
        <v>459.68</v>
      </c>
      <c r="AO44" s="72" t="n">
        <v>303.23</v>
      </c>
      <c r="AP44" s="72" t="n">
        <v>290.73</v>
      </c>
      <c r="AQ44" s="72" t="n">
        <v>55.96</v>
      </c>
      <c r="AR44" s="72" t="n">
        <v>12.36</v>
      </c>
      <c r="AS44" s="72" t="n">
        <v>8.880000000000001</v>
      </c>
      <c r="AT44" s="72" t="n">
        <v>465.73</v>
      </c>
      <c r="AU44" s="72" t="n">
        <v>316.25</v>
      </c>
      <c r="AV44" s="72" t="n">
        <v>309.79</v>
      </c>
      <c r="AW44" s="72" t="n">
        <v>25.1</v>
      </c>
      <c r="AX44" s="72" t="n">
        <v>-13.02</v>
      </c>
      <c r="AY44" s="72" t="n">
        <v>-12.74</v>
      </c>
      <c r="AZ44" s="63" t="inlineStr">
        <is>
          <t>Hang Seng Commerce &amp; Industry sub-index</t>
        </is>
      </c>
      <c r="BA44" s="72" t="n">
        <v>204.44</v>
      </c>
      <c r="BB44" s="64" t="inlineStr">
        <is>
          <t>2026-08-28</t>
        </is>
      </c>
      <c r="BC44" s="65" t="n">
        <v>3109</v>
      </c>
      <c r="BD44" s="68" t="n">
        <v>161.3</v>
      </c>
      <c r="BE44" s="63" t="inlineStr">
        <is>
          <t>Y</t>
        </is>
      </c>
      <c r="BF44" s="74" t="n">
        <v>17.1</v>
      </c>
      <c r="BG44" s="74" t="n"/>
      <c r="BH44" s="74" t="n">
        <v>13.4</v>
      </c>
      <c r="BI44" s="74" t="n">
        <v>0.9</v>
      </c>
      <c r="BJ44" s="75">
        <f>IF('BBG Verify'!S44="","not filed — run on terminal",'BBG Verify'!S44)</f>
        <v/>
      </c>
      <c r="BK44" s="76" t="inlineStr">
        <is>
          <t>N</t>
        </is>
      </c>
      <c r="BL44" s="77">
        <f>IF('BBG Verify'!K44="","not filed — run on terminal",'BBG Verify'!K44)</f>
        <v/>
      </c>
      <c r="BM44" s="63" t="inlineStr">
        <is>
          <t>N/A</t>
        </is>
      </c>
      <c r="BN44" s="63" t="inlineStr">
        <is>
          <t>N/A</t>
        </is>
      </c>
      <c r="BO44" s="63" t="inlineStr">
        <is>
          <t>N/A</t>
        </is>
      </c>
      <c r="BP44" s="63" t="inlineStr">
        <is>
          <t>N/A</t>
        </is>
      </c>
      <c r="BQ44" s="63" t="inlineStr">
        <is>
          <t>N/A</t>
        </is>
      </c>
      <c r="BR44" s="63" t="inlineStr">
        <is>
          <t>N/A</t>
        </is>
      </c>
      <c r="BS44" s="76" t="inlineStr">
        <is>
          <t>Sinolink Securities (Hong Kong) Company Limited</t>
        </is>
      </c>
      <c r="BT44" s="63" t="inlineStr">
        <is>
          <t>Sinolink Securities (Hong Kong) Company Limited</t>
        </is>
      </c>
      <c r="BU44" s="63" t="inlineStr">
        <is>
          <t>Sinolink Securities (Hong Kong) Company Limited; Haitong International Securities Company Limited; Innovax Securities Limited</t>
        </is>
      </c>
      <c r="BV44" s="63" t="inlineStr">
        <is>
          <t>Futu Securities International (Hong Kong) Limited; Haitong International Securities Company Limited; Innovax Securities Limited; Livermore Holdings Limited; Sinolink Securities (Hong Kong) Company Limited; Sinomax Securities Limited</t>
        </is>
      </c>
      <c r="BW44" s="78">
        <f>HYPERLINK("https://www1.hkexnews.hk/listedco/listconews/sehk/2021/0615/2021061500023.pdf","prospectus")</f>
        <v/>
      </c>
      <c r="BX44" s="78">
        <f>HYPERLINK("https://www1.hkexnews.hk/listedco/listconews/sehk/2021/0625/2021062500064.htm","allotment")</f>
        <v/>
      </c>
      <c r="BY44" s="78">
        <f>HYPERLINK("https://www1.hkexnews.hk/listedco/listconews/sehk/2021/0719/2021071900868.pdf","stabilisation")</f>
        <v/>
      </c>
      <c r="BZ44" s="76" t="n"/>
      <c r="CA44" s="63" t="inlineStr">
        <is>
          <t>greenshoe: over-allotment outcome already published, and the allotment announcement does not state the stabilisation expiry in a parsable form — the expiry no longer matters once resolved · A/H: no A-share listing · grey market: no grey-market headline on file for this deal — AAStocks publishes one per listing but keeps only recent items on the stock's news page, and no public archive of past evening sessions exists; captured from this run onward</t>
        </is>
      </c>
    </row>
    <row r="45" ht="15" customHeight="1">
      <c r="A45" s="62" t="inlineStr">
        <is>
          <t>6626</t>
        </is>
      </c>
      <c r="B45" s="63" t="inlineStr">
        <is>
          <t>YUEXIU SERVICES</t>
        </is>
      </c>
      <c r="C45" s="63" t="inlineStr">
        <is>
          <t>越秀服務</t>
        </is>
      </c>
      <c r="D45" s="63" t="inlineStr">
        <is>
          <t>Real Estate</t>
        </is>
      </c>
      <c r="E45" s="63" t="inlineStr">
        <is>
          <t>Property management</t>
        </is>
      </c>
      <c r="F45" s="63" t="inlineStr">
        <is>
          <t>Property Service and Management</t>
        </is>
      </c>
      <c r="G45" s="63" t="inlineStr">
        <is>
          <t>Standard</t>
        </is>
      </c>
      <c r="H45" s="64" t="n">
        <v>44375</v>
      </c>
      <c r="I45" s="65" t="n">
        <v>1803.9</v>
      </c>
      <c r="J45" s="63" t="inlineStr">
        <is>
          <t>gross (price x shares)</t>
        </is>
      </c>
      <c r="K45" s="66" t="n">
        <v>4.88</v>
      </c>
      <c r="L45" s="66" t="n">
        <v>6.52</v>
      </c>
      <c r="M45" s="66" t="n">
        <v>4.88</v>
      </c>
      <c r="N45" s="63" t="inlineStr">
        <is>
          <t>N</t>
        </is>
      </c>
      <c r="O45" s="67" t="n">
        <v>74.8</v>
      </c>
      <c r="P45" s="67" t="n">
        <v>0</v>
      </c>
      <c r="Q45" s="68" t="n">
        <v>9295.700000000001</v>
      </c>
      <c r="R45" s="63" t="inlineStr">
        <is>
          <t>aastocks:上市市值 at the struck price</t>
        </is>
      </c>
      <c r="S45" s="69" t="n">
        <v>9.880000000000001</v>
      </c>
      <c r="T45" s="70" t="n">
        <v>2.4</v>
      </c>
      <c r="U45" s="71" t="n">
        <v>10.76</v>
      </c>
      <c r="V45" s="68" t="n">
        <v>1609.8</v>
      </c>
      <c r="W45" s="68" t="n">
        <v>329884584</v>
      </c>
      <c r="X45" s="67" t="n">
        <v>17.32</v>
      </c>
      <c r="Y45" s="63" t="inlineStr">
        <is>
          <t>Crotona Assets Limited; Goingup Inc Limited; Jiang Ganjun; Kaiser Private Equity Fund SPC-SPI; Ke Jiansheng; Keltic Investment (HK) Limited; New China Asset Management (Hong Kong) Limited; SensePower Management Limited; Sunfly Holding Co., Ltd; Wealthking Investments Limited</t>
        </is>
      </c>
      <c r="Z45" s="63" t="inlineStr">
        <is>
          <t>crotona;goingup;jiang-ganjun;kaiser;ke;keltic;new;sensepower;sunfly;wealthking</t>
        </is>
      </c>
      <c r="AA45" s="67" t="n">
        <v>6.11</v>
      </c>
      <c r="AB45" s="72" t="n"/>
      <c r="AC45" s="66" t="n"/>
      <c r="AD45" s="72" t="n"/>
      <c r="AE45" s="63" t="n"/>
      <c r="AF45" s="63" t="n"/>
      <c r="AG45" s="63" t="inlineStr">
        <is>
          <t>partial</t>
        </is>
      </c>
      <c r="AH45" s="63" t="inlineStr">
        <is>
          <t>2021-07-21</t>
        </is>
      </c>
      <c r="AI45" s="63" t="inlineStr">
        <is>
          <t>Yue Xiu Securities Company Limited</t>
        </is>
      </c>
      <c r="AJ45" s="63" t="inlineStr">
        <is>
          <t>Yue Xiu</t>
        </is>
      </c>
      <c r="AK45" s="73" t="n">
        <v>0</v>
      </c>
      <c r="AL45" s="72" t="n">
        <v>-1.64</v>
      </c>
      <c r="AM45" s="72" t="n">
        <v>1.67</v>
      </c>
      <c r="AN45" s="72" t="n">
        <v>10.04</v>
      </c>
      <c r="AO45" s="72" t="n">
        <v>-13.93</v>
      </c>
      <c r="AP45" s="72" t="n">
        <v>-33.81</v>
      </c>
      <c r="AQ45" s="72" t="n">
        <v>10.04</v>
      </c>
      <c r="AR45" s="72" t="n">
        <v>-13.93</v>
      </c>
      <c r="AS45" s="72" t="n">
        <v>-33.81</v>
      </c>
      <c r="AT45" s="72" t="n">
        <v>12.74</v>
      </c>
      <c r="AU45" s="72" t="n">
        <v>-5.36</v>
      </c>
      <c r="AV45" s="72" t="n">
        <v>-13.45</v>
      </c>
      <c r="AW45" s="72" t="n">
        <v>-5.77</v>
      </c>
      <c r="AX45" s="72" t="n">
        <v>-8.57</v>
      </c>
      <c r="AY45" s="72" t="n">
        <v>-8.16</v>
      </c>
      <c r="AZ45" s="63" t="inlineStr">
        <is>
          <t>Hang Seng Properties sub-index</t>
        </is>
      </c>
      <c r="BA45" s="72" t="n">
        <v>-60.04</v>
      </c>
      <c r="BB45" s="64" t="inlineStr">
        <is>
          <t>2026-08-28</t>
        </is>
      </c>
      <c r="BC45" s="65" t="n">
        <v>1284.9</v>
      </c>
      <c r="BD45" s="68" t="n">
        <v>224.1</v>
      </c>
      <c r="BE45" s="63" t="inlineStr">
        <is>
          <t>Y</t>
        </is>
      </c>
      <c r="BF45" s="74" t="n">
        <v>41.5</v>
      </c>
      <c r="BG45" s="74" t="n"/>
      <c r="BH45" s="74" t="n">
        <v>8</v>
      </c>
      <c r="BI45" s="74" t="n">
        <v>7.2</v>
      </c>
      <c r="BJ45" s="75">
        <f>IF('BBG Verify'!S45="","not filed — run on terminal",'BBG Verify'!S45)</f>
        <v/>
      </c>
      <c r="BK45" s="76" t="inlineStr">
        <is>
          <t>N</t>
        </is>
      </c>
      <c r="BL45" s="77">
        <f>IF('BBG Verify'!K45="","not filed — run on terminal",'BBG Verify'!K45)</f>
        <v/>
      </c>
      <c r="BM45" s="63" t="inlineStr">
        <is>
          <t>N/A</t>
        </is>
      </c>
      <c r="BN45" s="63" t="inlineStr">
        <is>
          <t>N/A</t>
        </is>
      </c>
      <c r="BO45" s="63" t="inlineStr">
        <is>
          <t>N/A</t>
        </is>
      </c>
      <c r="BP45" s="63" t="inlineStr">
        <is>
          <t>N/A</t>
        </is>
      </c>
      <c r="BQ45" s="63" t="inlineStr">
        <is>
          <t>N/A</t>
        </is>
      </c>
      <c r="BR45" s="63" t="inlineStr">
        <is>
          <t>N/A</t>
        </is>
      </c>
      <c r="BS45" s="76" t="inlineStr">
        <is>
          <t>ABCI Capital Limited; China Securities (International) Corporate Finance Company Limited; CCB International Capital Limited; Yue Xiu Capital Limited</t>
        </is>
      </c>
      <c r="BT45" s="63" t="inlineStr">
        <is>
          <t>CCB International Capital Limited; China Securities (International) Corporate Finance Company Limited; Yue Xiu Capital Limited; ABCI Capital Limited</t>
        </is>
      </c>
      <c r="BU45" s="63" t="inlineStr">
        <is>
          <t>ABCI Capital Limited; China Securities (International) Corporate Finance Company Limited; CCB International Capital Limited; Yue Xiu Securities Company Limited; BOCOM International Securities Limited; BOCI Asia Limited; Chong Hing Securities Limited; CLSA Limited; CMBC Securities Company Limited; Haitong International Securities Company Limited; ICBC International Capital Limited</t>
        </is>
      </c>
      <c r="BV45" s="63" t="inlineStr">
        <is>
          <t>ABCI Securities Company Limited; Beta International Securities Limited; BOCI Asia Limited; CCB International Capital Limited; China International Capital Corporation Hong Kong Securities Limited; Chong Hing Securities Limited; CLSA Limited; CMBC Securities Company Limited; China Securities (International) Corporate Finance Company Limited; Futu Securities International (Hong Kong) Limited; Haitong International Securities Company Limited; ICBC International Securities Limited</t>
        </is>
      </c>
      <c r="BW45" s="78">
        <f>HYPERLINK("https://www1.hkexnews.hk/listedco/listconews/sehk/2021/0616/2021061600035.pdf","prospectus")</f>
        <v/>
      </c>
      <c r="BX45" s="78">
        <f>HYPERLINK("https://www1.hkexnews.hk/listedco/listconews/sehk/2021/0625/2021062500178.htm","allotment")</f>
        <v/>
      </c>
      <c r="BY45" s="78">
        <f>HYPERLINK("https://www1.hkexnews.hk/listedco/listconews/sehk/2021/0721/2021072101184.pdf","stabilisation")</f>
        <v/>
      </c>
      <c r="BZ45" s="76" t="n"/>
      <c r="CA45" s="63" t="inlineStr">
        <is>
          <t>A/H: no A-share listing · market cap: estimate from stated market capitalisation, rescaled to the offer price disagreed with the published listing cap — published figure adopted · cornerstone: AAStocks institutional table includes non-cornerstone orders (superset) — cornerstone % is from the prospectus · grey market: no grey-market headline on file for this deal — AAStocks publishes one per listing but keeps only recent items on the stock's news page, and no public archive of past evening sessions exists; captured from this run onward</t>
        </is>
      </c>
    </row>
    <row r="46" ht="15" customHeight="1">
      <c r="A46" s="62" t="inlineStr">
        <is>
          <t>0013</t>
        </is>
      </c>
      <c r="B46" s="63" t="inlineStr">
        <is>
          <t>HUTCHMED</t>
        </is>
      </c>
      <c r="C46" s="63" t="inlineStr">
        <is>
          <t>和黃醫藥</t>
        </is>
      </c>
      <c r="D46" s="63" t="inlineStr">
        <is>
          <t>Healthcare</t>
        </is>
      </c>
      <c r="E46" s="63" t="inlineStr">
        <is>
          <t>Biopharma commercial</t>
        </is>
      </c>
      <c r="F46" s="63" t="inlineStr">
        <is>
          <t>Biotechnology</t>
        </is>
      </c>
      <c r="G46" s="63" t="inlineStr">
        <is>
          <t>Standard</t>
        </is>
      </c>
      <c r="H46" s="64" t="n">
        <v>44377</v>
      </c>
      <c r="I46" s="65" t="n">
        <v>4170.4</v>
      </c>
      <c r="J46" s="63" t="inlineStr">
        <is>
          <t>gross (price x shares)</t>
        </is>
      </c>
      <c r="K46" s="66" t="n"/>
      <c r="L46" s="66" t="n">
        <v>40.1</v>
      </c>
      <c r="M46" s="66" t="n">
        <v>40.1</v>
      </c>
      <c r="N46" s="63" t="inlineStr">
        <is>
          <t>Y</t>
        </is>
      </c>
      <c r="O46" s="67" t="n">
        <v>100</v>
      </c>
      <c r="P46" s="67" t="n"/>
      <c r="Q46" s="68" t="n">
        <v>34025</v>
      </c>
      <c r="R46" s="63" t="inlineStr">
        <is>
          <t>press:HUTCHMED pricing PR: issued share capital 848,515,660</t>
        </is>
      </c>
      <c r="S46" s="69" t="n">
        <v>5.23</v>
      </c>
      <c r="T46" s="70" t="n">
        <v>5</v>
      </c>
      <c r="U46" s="71" t="n">
        <v>44.9</v>
      </c>
      <c r="V46" s="68" t="n">
        <v>2297.89</v>
      </c>
      <c r="W46" s="68" t="n">
        <v>57304000</v>
      </c>
      <c r="X46" s="67" t="n">
        <v>6.75</v>
      </c>
      <c r="Y46" s="63" t="inlineStr">
        <is>
          <t>CA Fern Parent; CICC Grandeur (Xiamen) Equity Investment Fund Partnership (L.P.); CPP Investments; General Atlantic Singapore HCM Pte. Ltd; HBM Healthcare Investments (Cayman) Ltd</t>
        </is>
      </c>
      <c r="Z46" s="63" t="inlineStr">
        <is>
          <t>ca;china-international;cpp;general;hbm</t>
        </is>
      </c>
      <c r="AA46" s="67" t="n"/>
      <c r="AB46" s="72" t="n"/>
      <c r="AC46" s="66" t="n"/>
      <c r="AD46" s="72" t="n"/>
      <c r="AE46" s="63" t="n"/>
      <c r="AF46" s="63" t="n"/>
      <c r="AG46" s="63" t="n"/>
      <c r="AH46" s="63" t="inlineStr">
        <is>
          <t>2021-07-23</t>
        </is>
      </c>
      <c r="AI46" s="63" t="inlineStr">
        <is>
          <t>Morgan Stanley Asia Limited</t>
        </is>
      </c>
      <c r="AJ46" s="63" t="inlineStr">
        <is>
          <t>Morgan Stanley</t>
        </is>
      </c>
      <c r="AK46" s="73" t="n">
        <v>50.37</v>
      </c>
      <c r="AL46" s="72" t="n">
        <v>28.18</v>
      </c>
      <c r="AM46" s="72" t="n">
        <v>17.31</v>
      </c>
      <c r="AN46" s="72" t="n">
        <v>42.02</v>
      </c>
      <c r="AO46" s="72" t="n">
        <v>76.06</v>
      </c>
      <c r="AP46" s="72" t="n">
        <v>44.26</v>
      </c>
      <c r="AQ46" s="72" t="n">
        <v>-5.55</v>
      </c>
      <c r="AR46" s="72" t="n">
        <v>17.08</v>
      </c>
      <c r="AS46" s="72" t="n">
        <v>-4.06</v>
      </c>
      <c r="AT46" s="72" t="n">
        <v>48.98</v>
      </c>
      <c r="AU46" s="72" t="n">
        <v>85.86</v>
      </c>
      <c r="AV46" s="72" t="n">
        <v>62.51</v>
      </c>
      <c r="AW46" s="72" t="n">
        <v>26.24</v>
      </c>
      <c r="AX46" s="72" t="n">
        <v>-9.800000000000001</v>
      </c>
      <c r="AY46" s="72" t="n">
        <v>-9.16</v>
      </c>
      <c r="AZ46" s="63" t="inlineStr">
        <is>
          <t>China Biotech ETF (HS biotech proxy)</t>
        </is>
      </c>
      <c r="BA46" s="72" t="n">
        <v>-50.55</v>
      </c>
      <c r="BB46" s="64" t="inlineStr">
        <is>
          <t>2026-08-28</t>
        </is>
      </c>
      <c r="BC46" s="65" t="n"/>
      <c r="BD46" s="68" t="n"/>
      <c r="BE46" s="63" t="n"/>
      <c r="BF46" s="75">
        <f>IF('BBG Verify'!O46="","not filed — run on terminal",'BBG Verify'!O46)</f>
        <v/>
      </c>
      <c r="BG46" s="74" t="n"/>
      <c r="BH46" s="74" t="n"/>
      <c r="BI46" s="74" t="n"/>
      <c r="BJ46" s="75">
        <f>IF('BBG Verify'!S46="","not filed — run on terminal",'BBG Verify'!S46)</f>
        <v/>
      </c>
      <c r="BK46" s="76" t="inlineStr">
        <is>
          <t>N</t>
        </is>
      </c>
      <c r="BL46" s="77">
        <f>IF('BBG Verify'!K46="","not filed — run on terminal",'BBG Verify'!K46)</f>
        <v/>
      </c>
      <c r="BM46" s="63" t="inlineStr">
        <is>
          <t>N/A</t>
        </is>
      </c>
      <c r="BN46" s="63" t="inlineStr">
        <is>
          <t>N/A</t>
        </is>
      </c>
      <c r="BO46" s="63" t="inlineStr">
        <is>
          <t>N/A</t>
        </is>
      </c>
      <c r="BP46" s="63" t="inlineStr">
        <is>
          <t>N/A</t>
        </is>
      </c>
      <c r="BQ46" s="63" t="inlineStr">
        <is>
          <t>N/A</t>
        </is>
      </c>
      <c r="BR46" s="63" t="inlineStr">
        <is>
          <t>N/A</t>
        </is>
      </c>
      <c r="BS46" s="76" t="inlineStr">
        <is>
          <t>Morgan Stanley; Jefferies; CICC</t>
        </is>
      </c>
      <c r="BT46" s="63" t="inlineStr">
        <is>
          <t>China International Capital Corporation Hong Kong Securities Limited; Jefferies Hong Kong Limited; Morgan Stanley Asia Limited</t>
        </is>
      </c>
      <c r="BU46" s="63" t="inlineStr">
        <is>
          <t>BOCI Asia Limited; China International Capital Corporation Hong Kong Securities Limited; CMB International Capital Corporation Limited; China Merchants Securities (HK) Company Limited; Credit Suisse (Hong Kong) Limited; Deutsche Bank AG, Hong Kong Branch</t>
        </is>
      </c>
      <c r="BV46" s="63" t="inlineStr">
        <is>
          <t>BOCI Asia Limited; China International Capital Corporation Hong Kong Securities Limited; CMB International Capital Corporation Limited; China Merchants Securities (HK) Company Limited; Credit Suisse (Hong Kong) Limited; Deutsche Bank AG, Hong Kong Branch; The Hongkong and Shanghai Banking Corporation Limited; Jefferies Hong Kong Limited; Macquarie Capital Limited; Morgan Stanley Asia Limited</t>
        </is>
      </c>
      <c r="BW46" s="63" t="n"/>
      <c r="BX46" s="78">
        <f>HYPERLINK("https://www1.hkexnews.hk/listedco/listconews/sehk/2021/0629/2021062900052.htm","allotment")</f>
        <v/>
      </c>
      <c r="BY46" s="63" t="n"/>
      <c r="BZ46" s="76" t="n"/>
      <c r="CA46" s="63" t="inlineStr">
        <is>
          <t>P/E: net income not stated in extractable form · greenshoe: no over-allotment option in the offer structure · price range: fixed-price offering (no indicative range) · range low: cap-only pricing — the filing publishes a Maximum Offer Price and no indicative floor · A/H: no A-share listing · greenshoe size: no over-allotment option in the offer structure · P/S: revenue not extractable · financials: financial tables not machine-extractable and the pre-IPO year is outside AAStocks' 5-year window · filing links: no prospectus document returned by the HKEX per-stock search for this code — the allotment announcement is linked beside it · grey market: no grey-market headline on file for this deal — AAStocks publishes one per listing but keeps only recent items on the stock's news page, and no public archive of past evening sessions exists; captured from this run onward</t>
        </is>
      </c>
    </row>
    <row r="47" ht="15" customHeight="1">
      <c r="A47" s="62" t="inlineStr">
        <is>
          <t>2150</t>
        </is>
      </c>
      <c r="B47" s="63" t="inlineStr">
        <is>
          <t>NAYUKI</t>
        </is>
      </c>
      <c r="C47" s="63" t="inlineStr">
        <is>
          <t>奈雪的茶</t>
        </is>
      </c>
      <c r="D47" s="63" t="inlineStr">
        <is>
          <t>Consumer</t>
        </is>
      </c>
      <c r="E47" s="63" t="inlineStr">
        <is>
          <t>F&amp;B chains / restaurants</t>
        </is>
      </c>
      <c r="F47" s="63" t="inlineStr">
        <is>
          <t>Restaurants</t>
        </is>
      </c>
      <c r="G47" s="63" t="inlineStr">
        <is>
          <t>Standard</t>
        </is>
      </c>
      <c r="H47" s="64" t="n">
        <v>44377</v>
      </c>
      <c r="I47" s="65" t="n">
        <v>4842.4</v>
      </c>
      <c r="J47" s="63" t="inlineStr">
        <is>
          <t>net proceeds</t>
        </is>
      </c>
      <c r="K47" s="66" t="n">
        <v>17.2</v>
      </c>
      <c r="L47" s="66" t="n">
        <v>19.8</v>
      </c>
      <c r="M47" s="66" t="n">
        <v>19.8</v>
      </c>
      <c r="N47" s="63" t="inlineStr">
        <is>
          <t>Y</t>
        </is>
      </c>
      <c r="O47" s="67" t="n">
        <v>100</v>
      </c>
      <c r="P47" s="67" t="n">
        <v>100</v>
      </c>
      <c r="Q47" s="68" t="n">
        <v>29500.2</v>
      </c>
      <c r="R47" s="63" t="inlineStr">
        <is>
          <t>prospectus:stated market capitalisation</t>
        </is>
      </c>
      <c r="S47" s="69" t="n">
        <v>432.03</v>
      </c>
      <c r="T47" s="70" t="n">
        <v>18.18</v>
      </c>
      <c r="U47" s="71" t="n">
        <v>23.6</v>
      </c>
      <c r="V47" s="68" t="n">
        <v>3699.59</v>
      </c>
      <c r="W47" s="68" t="n"/>
      <c r="X47" s="67" t="n">
        <v>12.54</v>
      </c>
      <c r="Y47" s="63" t="inlineStr">
        <is>
          <t>China Southern Asset Management Co., Ltd; GF Fund Management Co., Ltd; Grand Rejuvenation Premium Selection Fund SPC; UBS Funds</t>
        </is>
      </c>
      <c r="Z47" s="63" t="inlineStr">
        <is>
          <t>southern;gf;grand-rejuvenation;ubs</t>
        </is>
      </c>
      <c r="AA47" s="67" t="n">
        <v>15</v>
      </c>
      <c r="AB47" s="72" t="n"/>
      <c r="AC47" s="66" t="n"/>
      <c r="AD47" s="72" t="n"/>
      <c r="AE47" s="63" t="n"/>
      <c r="AF47" s="63" t="n"/>
      <c r="AG47" s="63" t="inlineStr">
        <is>
          <t>lapsed</t>
        </is>
      </c>
      <c r="AH47" s="63" t="inlineStr">
        <is>
          <t>2021-07-23</t>
        </is>
      </c>
      <c r="AI47" s="63" t="inlineStr">
        <is>
          <t>J.P. Morgan Securities</t>
        </is>
      </c>
      <c r="AJ47" s="63" t="inlineStr">
        <is>
          <t>JP Morgan</t>
        </is>
      </c>
      <c r="AK47" s="73" t="n">
        <v>-13.54</v>
      </c>
      <c r="AL47" s="72" t="n">
        <v>-4.75</v>
      </c>
      <c r="AM47" s="72" t="n">
        <v>-9.23</v>
      </c>
      <c r="AN47" s="72" t="n">
        <v>-19.09</v>
      </c>
      <c r="AO47" s="72" t="n">
        <v>-42.93</v>
      </c>
      <c r="AP47" s="72" t="n">
        <v>-39.19</v>
      </c>
      <c r="AQ47" s="72" t="n">
        <v>-6.42</v>
      </c>
      <c r="AR47" s="72" t="n">
        <v>-33.99</v>
      </c>
      <c r="AS47" s="72" t="n">
        <v>-29.67</v>
      </c>
      <c r="AT47" s="72" t="n">
        <v>-9.67</v>
      </c>
      <c r="AU47" s="72" t="n">
        <v>-28.13</v>
      </c>
      <c r="AV47" s="72" t="n">
        <v>-20.13</v>
      </c>
      <c r="AW47" s="72" t="n">
        <v>-19.79</v>
      </c>
      <c r="AX47" s="72" t="n">
        <v>-14.8</v>
      </c>
      <c r="AY47" s="72" t="n">
        <v>-14.2</v>
      </c>
      <c r="AZ47" s="63" t="inlineStr">
        <is>
          <t>Hang Seng Commerce &amp; Industry sub-index</t>
        </is>
      </c>
      <c r="BA47" s="72" t="n">
        <v>-96.77</v>
      </c>
      <c r="BB47" s="64" t="inlineStr">
        <is>
          <t>2026-08-28</t>
        </is>
      </c>
      <c r="BC47" s="65" t="n">
        <v>3362.9</v>
      </c>
      <c r="BD47" s="68" t="n">
        <v>-223.6</v>
      </c>
      <c r="BE47" s="63" t="inlineStr">
        <is>
          <t>N</t>
        </is>
      </c>
      <c r="BF47" s="63" t="inlineStr">
        <is>
          <t>n/m</t>
        </is>
      </c>
      <c r="BG47" s="74" t="n"/>
      <c r="BH47" s="74" t="n"/>
      <c r="BI47" s="74" t="n">
        <v>8.800000000000001</v>
      </c>
      <c r="BJ47" s="75">
        <f>IF('BBG Verify'!S47="","not filed — run on terminal",'BBG Verify'!S47)</f>
        <v/>
      </c>
      <c r="BK47" s="76" t="inlineStr">
        <is>
          <t>N</t>
        </is>
      </c>
      <c r="BL47" s="77">
        <f>IF('BBG Verify'!K47="","not filed — run on terminal",'BBG Verify'!K47)</f>
        <v/>
      </c>
      <c r="BM47" s="63" t="inlineStr">
        <is>
          <t>N/A</t>
        </is>
      </c>
      <c r="BN47" s="63" t="inlineStr">
        <is>
          <t>N/A</t>
        </is>
      </c>
      <c r="BO47" s="63" t="inlineStr">
        <is>
          <t>N/A</t>
        </is>
      </c>
      <c r="BP47" s="63" t="inlineStr">
        <is>
          <t>N/A</t>
        </is>
      </c>
      <c r="BQ47" s="63" t="inlineStr">
        <is>
          <t>N/A</t>
        </is>
      </c>
      <c r="BR47" s="63" t="inlineStr">
        <is>
          <t>N/A</t>
        </is>
      </c>
      <c r="BS47" s="76" t="inlineStr">
        <is>
          <t>J.P. Morgan Securities (Far East) Limited; CMB International Capital Limited; Huatai Financial Holdings (Hong Kong) Limited</t>
        </is>
      </c>
      <c r="BT47" s="63" t="inlineStr">
        <is>
          <t>J.P. Morgan Securities (Far East) Limited; Huatai Financial Holdings (Hong Kong) Limited; CMB International Capital Limited</t>
        </is>
      </c>
      <c r="BU47" s="63" t="inlineStr">
        <is>
          <t>J.P. Morgan Securities (Asia Pacific) Limited; CMB International Capital Limited; Huatai Financial Holdings (Hong Kong) Limited; J.P. Morgan Securities plc; Canary Wharf London E14 5JP United Kingdom CMB International Capital Limited; Haitong International Securities Company Limited; ABCI Capital Limited</t>
        </is>
      </c>
      <c r="BV47" s="63" t="inlineStr">
        <is>
          <t>ABCI Securities Company Limited; Beta International Securities Limited; CMB International Capital Corporation Limited; Futu Securities International (Hong Kong) Limited; Huatai Financial Holdings (Hong Kong) Limited; Haitong International Securities Company Limited; J.P. Morgan Securities (Asia Pacific) Limited</t>
        </is>
      </c>
      <c r="BW47" s="78">
        <f>HYPERLINK("https://www1.hkexnews.hk/listedco/listconews/sehk/2021/0618/2021061800009.pdf","prospectus")</f>
        <v/>
      </c>
      <c r="BX47" s="78">
        <f>HYPERLINK("https://www1.hkexnews.hk/listedco/listconews/sehk/2021/0629/2021062900074.htm","allotment")</f>
        <v/>
      </c>
      <c r="BY47" s="78">
        <f>HYPERLINK("https://www1.hkexnews.hk/listedco/listconews/sehk/2021/0723/2021072300965.pdf","stabilisation")</f>
        <v/>
      </c>
      <c r="BZ47" s="76" t="n"/>
      <c r="CA47" s="63" t="inlineStr">
        <is>
          <t>P/E: n/m — loss-making at IPO (use P/S) · A/H: no A-share listing · grey market: no grey-market headline on file for this deal — AAStocks publishes one per listing but keeps only recent items on the stock's news page, and no public archive of past evening sessions exists; captured from this run onward · eff float shares: share count unavailable or rejected as implausible — the money figure (eff_free_float_hkdm) is still exact</t>
        </is>
      </c>
    </row>
    <row r="48" ht="15" customHeight="1">
      <c r="A48" s="62" t="inlineStr">
        <is>
          <t>0606</t>
        </is>
      </c>
      <c r="B48" s="63" t="inlineStr">
        <is>
          <t>SCE CM</t>
        </is>
      </c>
      <c r="C48" s="63" t="inlineStr">
        <is>
          <t>中駿商管</t>
        </is>
      </c>
      <c r="D48" s="63" t="inlineStr">
        <is>
          <t>Real Estate</t>
        </is>
      </c>
      <c r="E48" s="63" t="inlineStr">
        <is>
          <t>Property management</t>
        </is>
      </c>
      <c r="F48" s="63" t="inlineStr">
        <is>
          <t>Property Service and Management</t>
        </is>
      </c>
      <c r="G48" s="63" t="inlineStr">
        <is>
          <t>Standard</t>
        </is>
      </c>
      <c r="H48" s="64" t="n">
        <v>44379</v>
      </c>
      <c r="I48" s="65" t="n">
        <v>1850</v>
      </c>
      <c r="J48" s="63" t="inlineStr">
        <is>
          <t>gross (price x shares)</t>
        </is>
      </c>
      <c r="K48" s="66" t="n"/>
      <c r="L48" s="66" t="n">
        <v>3.7</v>
      </c>
      <c r="M48" s="66" t="n">
        <v>3.7</v>
      </c>
      <c r="N48" s="63" t="inlineStr">
        <is>
          <t>Y</t>
        </is>
      </c>
      <c r="O48" s="67" t="n">
        <v>100</v>
      </c>
      <c r="P48" s="67" t="n"/>
      <c r="Q48" s="68" t="n">
        <v>8611.200000000001</v>
      </c>
      <c r="R48" s="63" t="inlineStr">
        <is>
          <t>aastocks:上市市值 at the struck price</t>
        </is>
      </c>
      <c r="S48" s="69" t="n">
        <v>1.3</v>
      </c>
      <c r="T48" s="70" t="n">
        <v>3.65</v>
      </c>
      <c r="U48" s="71" t="n">
        <v>29.4</v>
      </c>
      <c r="V48" s="68" t="n">
        <v>1306.1</v>
      </c>
      <c r="W48" s="68" t="n">
        <v>353000000</v>
      </c>
      <c r="X48" s="67" t="n">
        <v>15.17</v>
      </c>
      <c r="Y48" s="63" t="inlineStr">
        <is>
          <t>He Sheng Overseas Holdings Limited; King Terrace Limited; Lam Yuen Ying; TX Capital Value Fund</t>
        </is>
      </c>
      <c r="Z48" s="63" t="inlineStr">
        <is>
          <t>he-sheng;king;lam;tx</t>
        </is>
      </c>
      <c r="AA48" s="67" t="n"/>
      <c r="AB48" s="72" t="n"/>
      <c r="AC48" s="66" t="n"/>
      <c r="AD48" s="72" t="n"/>
      <c r="AE48" s="63" t="n"/>
      <c r="AF48" s="63" t="n"/>
      <c r="AG48" s="63" t="n"/>
      <c r="AH48" s="63" t="inlineStr">
        <is>
          <t>2021-07-24</t>
        </is>
      </c>
      <c r="AI48" s="63" t="inlineStr">
        <is>
          <t>UBS AG Hong Kong Branch</t>
        </is>
      </c>
      <c r="AJ48" s="63" t="inlineStr">
        <is>
          <t>UBS</t>
        </is>
      </c>
      <c r="AK48" s="73" t="n">
        <v>8.109999999999999</v>
      </c>
      <c r="AL48" s="72" t="n">
        <v>2.97</v>
      </c>
      <c r="AM48" s="72" t="n">
        <v>4.99</v>
      </c>
      <c r="AN48" s="72" t="n">
        <v>11.89</v>
      </c>
      <c r="AO48" s="72" t="n">
        <v>8.92</v>
      </c>
      <c r="AP48" s="72" t="n">
        <v>14.05</v>
      </c>
      <c r="AQ48" s="72" t="n">
        <v>3.5</v>
      </c>
      <c r="AR48" s="72" t="n">
        <v>0.75</v>
      </c>
      <c r="AS48" s="72" t="n">
        <v>5.49</v>
      </c>
      <c r="AT48" s="72" t="n">
        <v>15.43</v>
      </c>
      <c r="AU48" s="72" t="n">
        <v>16.43</v>
      </c>
      <c r="AV48" s="72" t="n">
        <v>27.06</v>
      </c>
      <c r="AW48" s="72" t="n">
        <v>7.32</v>
      </c>
      <c r="AX48" s="72" t="n">
        <v>-7.51</v>
      </c>
      <c r="AY48" s="72" t="n">
        <v>-6.57</v>
      </c>
      <c r="AZ48" s="63" t="inlineStr">
        <is>
          <t>Hang Seng Properties sub-index</t>
        </is>
      </c>
      <c r="BA48" s="72" t="n">
        <v>-93.34999999999999</v>
      </c>
      <c r="BB48" s="64" t="inlineStr">
        <is>
          <t>2026-08-28</t>
        </is>
      </c>
      <c r="BC48" s="65" t="n"/>
      <c r="BD48" s="68" t="n"/>
      <c r="BE48" s="63" t="n"/>
      <c r="BF48" s="75">
        <f>IF('BBG Verify'!O48="","not filed — run on terminal",'BBG Verify'!O48)</f>
        <v/>
      </c>
      <c r="BG48" s="74" t="n"/>
      <c r="BH48" s="74" t="n"/>
      <c r="BI48" s="74" t="n"/>
      <c r="BJ48" s="75">
        <f>IF('BBG Verify'!S48="","not filed — run on terminal",'BBG Verify'!S48)</f>
        <v/>
      </c>
      <c r="BK48" s="76" t="inlineStr">
        <is>
          <t>N</t>
        </is>
      </c>
      <c r="BL48" s="77">
        <f>IF('BBG Verify'!K48="","not filed — run on terminal",'BBG Verify'!K48)</f>
        <v/>
      </c>
      <c r="BM48" s="63" t="inlineStr">
        <is>
          <t>N/A</t>
        </is>
      </c>
      <c r="BN48" s="63" t="inlineStr">
        <is>
          <t>N/A</t>
        </is>
      </c>
      <c r="BO48" s="63" t="inlineStr">
        <is>
          <t>N/A</t>
        </is>
      </c>
      <c r="BP48" s="63" t="inlineStr">
        <is>
          <t>N/A</t>
        </is>
      </c>
      <c r="BQ48" s="63" t="inlineStr">
        <is>
          <t>N/A</t>
        </is>
      </c>
      <c r="BR48" s="63" t="inlineStr">
        <is>
          <t>N/A</t>
        </is>
      </c>
      <c r="BS48" s="76" t="n"/>
      <c r="BT48" s="63" t="inlineStr">
        <is>
          <t>UBS Securities Hong Kong Limited; Merrill Lynch (Asia Pacific) Limited; Merrill Lynch Far East Limited; UBS AG Hong Kong Branch</t>
        </is>
      </c>
      <c r="BU48" s="63" t="inlineStr">
        <is>
          <t>CLSA Limited; CRIC Securities Company Limited; Futu Securities International (Hong Kong) Limited; The Hongkong and Shanghai Banking Corporation Limited; Merrill Lynch (Asia Pacific) Limited; UBS AG Hong Kong Branch</t>
        </is>
      </c>
      <c r="BV48" s="63" t="inlineStr">
        <is>
          <t>CLSA Limited; CRIC Securities Company Limited; Futu Securities International (Hong Kong) Limited; The Hongkong and Shanghai Banking Corporation Limited; Merrill Lynch (Asia Pacific) Limited; UBS AG Hong Kong Branch</t>
        </is>
      </c>
      <c r="BW48" s="63" t="n"/>
      <c r="BX48" s="78">
        <f>HYPERLINK("https://www1.hkexnews.hk/listedco/listconews/sehk/2021/0630/2021063000308.htm","allotment")</f>
        <v/>
      </c>
      <c r="BY48" s="63" t="n"/>
      <c r="BZ48" s="76" t="n"/>
      <c r="CA48" s="63" t="inlineStr">
        <is>
          <t>P/E: net income not stated in extractable form · greenshoe: no over-allotment option in the offer structure · price range: fixed-price offering (no indicative range) · range low: cap-only pricing — the filing publishes a Maximum Offer Price and no indicative floor · A/H: no A-share listing · sponsor: English name not in the filing text; AAStocks 保薦人 shown · cornerstone %: AAStocks institutional-order total / deal size — an upper bound; the table can include non-cornerstone orders · greenshoe size: no over-allotment option in the offer structure · P/S: revenue not extractable · financials: financial tables not machine-extractable and the pre-IPO year is outside AAStocks' 5-year window · filing links: no prospectus document returned by the HKEX per-stock search for this code — the allotment announcement is linked beside it · grey market: no grey-market headline on file for this deal — AAStocks publishes one per listing but keeps only recent items on the stock's news page, and no public archive of past evening sessions exists; captured from this run onward</t>
        </is>
      </c>
    </row>
    <row r="49" ht="15" customHeight="1">
      <c r="A49" s="62" t="inlineStr">
        <is>
          <t>2190</t>
        </is>
      </c>
      <c r="B49" s="63" t="inlineStr">
        <is>
          <t>ZYLOXTB-B</t>
        </is>
      </c>
      <c r="C49" s="63" t="inlineStr">
        <is>
          <t>歸創通橋</t>
        </is>
      </c>
      <c r="D49" s="63" t="inlineStr">
        <is>
          <t>Healthcare</t>
        </is>
      </c>
      <c r="E49" s="63" t="inlineStr">
        <is>
          <t>Medical devices</t>
        </is>
      </c>
      <c r="F49" s="63" t="inlineStr">
        <is>
          <t>Biotechnology</t>
        </is>
      </c>
      <c r="G49" s="63" t="inlineStr">
        <is>
          <t>18A</t>
        </is>
      </c>
      <c r="H49" s="64" t="n">
        <v>44382</v>
      </c>
      <c r="I49" s="65" t="n">
        <v>2562</v>
      </c>
      <c r="J49" s="63" t="inlineStr">
        <is>
          <t>gross (price x shares)</t>
        </is>
      </c>
      <c r="K49" s="66" t="n">
        <v>39.8</v>
      </c>
      <c r="L49" s="66" t="n">
        <v>42.7</v>
      </c>
      <c r="M49" s="66" t="n">
        <v>42.7</v>
      </c>
      <c r="N49" s="63" t="inlineStr">
        <is>
          <t>Y</t>
        </is>
      </c>
      <c r="O49" s="67" t="n">
        <v>100</v>
      </c>
      <c r="P49" s="67" t="n">
        <v>100</v>
      </c>
      <c r="Q49" s="68" t="n">
        <v>12317.3</v>
      </c>
      <c r="R49" s="63" t="inlineStr">
        <is>
          <t>derived:deal size / offer % of enlarged capital</t>
        </is>
      </c>
      <c r="S49" s="69" t="n">
        <v>1190.37</v>
      </c>
      <c r="T49" s="70" t="n">
        <v>22.5</v>
      </c>
      <c r="U49" s="71" t="n">
        <v>44.9</v>
      </c>
      <c r="V49" s="68" t="n">
        <v>1411.66</v>
      </c>
      <c r="W49" s="68" t="n">
        <v>33060000</v>
      </c>
      <c r="X49" s="67" t="n">
        <v>11.46</v>
      </c>
      <c r="Y49" s="63" t="inlineStr">
        <is>
          <t>AIHC Capital Management Limited; Athos Capital Limited; Boyu Capital Opportunity Master Fund; Cormorant Asset Management, LP; Fidelity International; Gaoling Fund, L.P.; YHG Investment, L.P; Hudson Bay Master Fund Ltd; IvyRock Asset Management (HK) Limited; Lake Bleu Prime Healthcare Master Fund Limited; Octagon Investments Master Fund LP; Sage Partners Master Fund; Snow Lake China Master Fund, Ltd</t>
        </is>
      </c>
      <c r="Z49" s="63" t="inlineStr">
        <is>
          <t>aihc;athos;boyu;cormorant;fidelity;gaoling;yhg;hudson;ivyrock;lake;octagon;sage;snow</t>
        </is>
      </c>
      <c r="AA49" s="67" t="n">
        <v>15.94</v>
      </c>
      <c r="AB49" s="72" t="n"/>
      <c r="AC49" s="66" t="n"/>
      <c r="AD49" s="72" t="n"/>
      <c r="AE49" s="63" t="n"/>
      <c r="AF49" s="63" t="n"/>
      <c r="AG49" s="63" t="inlineStr">
        <is>
          <t>full</t>
        </is>
      </c>
      <c r="AH49" s="63" t="inlineStr">
        <is>
          <t>2021-07-25</t>
        </is>
      </c>
      <c r="AI49" s="63" t="inlineStr">
        <is>
          <t>Morgan Stanley Asia Limited</t>
        </is>
      </c>
      <c r="AJ49" s="63" t="inlineStr">
        <is>
          <t>Morgan Stanley</t>
        </is>
      </c>
      <c r="AK49" s="73" t="n">
        <v>40.52</v>
      </c>
      <c r="AL49" s="72" t="n">
        <v>28.81</v>
      </c>
      <c r="AM49" s="72" t="n">
        <v>9.09</v>
      </c>
      <c r="AN49" s="72" t="n">
        <v>29.51</v>
      </c>
      <c r="AO49" s="72" t="n">
        <v>8.67</v>
      </c>
      <c r="AP49" s="72" t="n">
        <v>-1.64</v>
      </c>
      <c r="AQ49" s="72" t="n">
        <v>-7.84</v>
      </c>
      <c r="AR49" s="72" t="n">
        <v>-22.67</v>
      </c>
      <c r="AS49" s="72" t="n">
        <v>-30</v>
      </c>
      <c r="AT49" s="72" t="n">
        <v>30.01</v>
      </c>
      <c r="AU49" s="72" t="n">
        <v>9.76</v>
      </c>
      <c r="AV49" s="72" t="n">
        <v>14.7</v>
      </c>
      <c r="AW49" s="72" t="n">
        <v>-22.13</v>
      </c>
      <c r="AX49" s="72" t="n">
        <v>-1.09</v>
      </c>
      <c r="AY49" s="72" t="n">
        <v>-0.54</v>
      </c>
      <c r="AZ49" s="63" t="inlineStr">
        <is>
          <t>China Biotech ETF (HS biotech proxy)</t>
        </is>
      </c>
      <c r="BA49" s="72" t="n">
        <v>-48.81</v>
      </c>
      <c r="BB49" s="64" t="inlineStr">
        <is>
          <t>2026-08-28</t>
        </is>
      </c>
      <c r="BC49" s="65" t="n">
        <v>30.4</v>
      </c>
      <c r="BD49" s="68" t="n">
        <v>-110.5</v>
      </c>
      <c r="BE49" s="63" t="inlineStr">
        <is>
          <t>N</t>
        </is>
      </c>
      <c r="BF49" s="63" t="inlineStr">
        <is>
          <t>n/m</t>
        </is>
      </c>
      <c r="BG49" s="74" t="n"/>
      <c r="BH49" s="74" t="n">
        <v>22.4</v>
      </c>
      <c r="BI49" s="74" t="n">
        <v>405.2</v>
      </c>
      <c r="BJ49" s="75">
        <f>IF('BBG Verify'!S49="","not filed — run on terminal",'BBG Verify'!S49)</f>
        <v/>
      </c>
      <c r="BK49" s="76" t="inlineStr">
        <is>
          <t>N</t>
        </is>
      </c>
      <c r="BL49" s="77">
        <f>IF('BBG Verify'!K49="","not filed — run on terminal",'BBG Verify'!K49)</f>
        <v/>
      </c>
      <c r="BM49" s="63" t="inlineStr">
        <is>
          <t>N/A</t>
        </is>
      </c>
      <c r="BN49" s="63" t="inlineStr">
        <is>
          <t>N/A</t>
        </is>
      </c>
      <c r="BO49" s="63" t="inlineStr">
        <is>
          <t>N/A</t>
        </is>
      </c>
      <c r="BP49" s="63" t="inlineStr">
        <is>
          <t>N/A</t>
        </is>
      </c>
      <c r="BQ49" s="63" t="inlineStr">
        <is>
          <t>N/A</t>
        </is>
      </c>
      <c r="BR49" s="63" t="inlineStr">
        <is>
          <t>N/A</t>
        </is>
      </c>
      <c r="BS49" s="76" t="inlineStr">
        <is>
          <t>Morgan Stanley Asia Limited; CLSA Capital Markets Limited</t>
        </is>
      </c>
      <c r="BT49" s="63" t="inlineStr">
        <is>
          <t>Morgan Stanley Asia Limited; CLSA Capital Markets Limited</t>
        </is>
      </c>
      <c r="BU49" s="63" t="inlineStr">
        <is>
          <t>Morgan Stanley Asia Limited; CLSA Limited; China Industrial Securities International Capital Limited; Essence International Securities (Hong Kong) Limited; ICBC International Capital Limited; CMB International Capital Limited; Morgan Stanley &amp; Co. International plc; London E14 4QA United Kingdom CLSA Limited</t>
        </is>
      </c>
      <c r="BV49" s="63" t="inlineStr">
        <is>
          <t>China Industrial Securities International Capital Limited; CLSA Limited; CMB International Capital Limited; Essence International Securities (Hong Kong) Limited; ICBC International Securities Limited; Morgan Stanley Asia Limited</t>
        </is>
      </c>
      <c r="BW49" s="78">
        <f>HYPERLINK("https://www1.hkexnews.hk/listedco/listconews/sehk/2021/0622/2021062200009.pdf","prospectus")</f>
        <v/>
      </c>
      <c r="BX49" s="78">
        <f>HYPERLINK("https://www1.hkexnews.hk/listedco/listconews/sehk/2021/0702/2021070200028.htm","allotment")</f>
        <v/>
      </c>
      <c r="BY49" s="78">
        <f>HYPERLINK("https://www1.hkexnews.hk/listedco/listconews/sehk/2021/0726/2021072601655.pdf","stabilisation")</f>
        <v/>
      </c>
      <c r="BZ49" s="76" t="n"/>
      <c r="CA49" s="63" t="inlineStr">
        <is>
          <t>P/E: n/m — loss-making at IPO (use P/S) · A/H: no A-share listing · market cap: prospectus 'market capitalisation' line rejected — it is the listing-rule threshold, not the issuer's figure ("the indicative Offer Price range), the Company will have a market capitalization of at least HK$375 million he") · P/S: 405x on HK$30.4m revenue — effectively pre-revenue; the multiple is shown for completeness, not comparability · grey market: no grey-market headline on file for this deal — AAStocks publishes one per listing but keeps only recent items on the stock's news page, and no public archive of past evening sessions exists; captured from this run onward</t>
        </is>
      </c>
    </row>
    <row r="50" ht="15" customHeight="1">
      <c r="A50" s="62" t="inlineStr">
        <is>
          <t>2219</t>
        </is>
      </c>
      <c r="B50" s="63" t="inlineStr">
        <is>
          <t>CHAOJU EYE CARE</t>
        </is>
      </c>
      <c r="C50" s="63" t="inlineStr">
        <is>
          <t>朝聚眼科</t>
        </is>
      </c>
      <c r="D50" s="63" t="inlineStr">
        <is>
          <t>Healthcare</t>
        </is>
      </c>
      <c r="E50" s="63" t="inlineStr">
        <is>
          <t>Hospitals / clinics</t>
        </is>
      </c>
      <c r="F50" s="63" t="inlineStr">
        <is>
          <t>Health Care Services</t>
        </is>
      </c>
      <c r="G50" s="63" t="inlineStr">
        <is>
          <t>Standard</t>
        </is>
      </c>
      <c r="H50" s="64" t="n">
        <v>44384</v>
      </c>
      <c r="I50" s="65" t="n">
        <v>1811.9</v>
      </c>
      <c r="J50" s="63" t="inlineStr">
        <is>
          <t>gross (price x shares)</t>
        </is>
      </c>
      <c r="K50" s="66" t="n">
        <v>9.48</v>
      </c>
      <c r="L50" s="66" t="n">
        <v>10.6</v>
      </c>
      <c r="M50" s="66" t="n">
        <v>10.6</v>
      </c>
      <c r="N50" s="63" t="inlineStr">
        <is>
          <t>Y</t>
        </is>
      </c>
      <c r="O50" s="67" t="n">
        <v>100</v>
      </c>
      <c r="P50" s="67" t="n">
        <v>100</v>
      </c>
      <c r="Q50" s="68" t="n">
        <v>7288.4</v>
      </c>
      <c r="R50" s="63" t="inlineStr">
        <is>
          <t>derived:deal size / offer % of enlarged capital</t>
        </is>
      </c>
      <c r="S50" s="69" t="n">
        <v>113.97</v>
      </c>
      <c r="T50" s="70" t="n">
        <v>17.83</v>
      </c>
      <c r="U50" s="71" t="n">
        <v>49.4</v>
      </c>
      <c r="V50" s="68" t="n">
        <v>916.8200000000001</v>
      </c>
      <c r="W50" s="68" t="n">
        <v>86490580</v>
      </c>
      <c r="X50" s="67" t="n">
        <v>12.58</v>
      </c>
      <c r="Y50" s="63" t="inlineStr">
        <is>
          <t>Fullgoal Fund Management Co., Ltd; Gigantic Wealth Holdings Limited; GT Cedar Capital (Hong Kong) Limited; The Valliance Fund</t>
        </is>
      </c>
      <c r="Z50" s="63" t="inlineStr">
        <is>
          <t>fullgoal;gigantic;gt;valliance</t>
        </is>
      </c>
      <c r="AA50" s="67" t="n">
        <v>15</v>
      </c>
      <c r="AB50" s="72" t="n"/>
      <c r="AC50" s="66" t="n"/>
      <c r="AD50" s="72" t="n"/>
      <c r="AE50" s="63" t="n"/>
      <c r="AF50" s="63" t="n"/>
      <c r="AG50" s="63" t="inlineStr">
        <is>
          <t>full</t>
        </is>
      </c>
      <c r="AH50" s="63" t="inlineStr">
        <is>
          <t>2021-07-29</t>
        </is>
      </c>
      <c r="AI50" s="63" t="inlineStr">
        <is>
          <t>Haitong International Securities Company Limited</t>
        </is>
      </c>
      <c r="AJ50" s="63" t="inlineStr">
        <is>
          <t>Haitong</t>
        </is>
      </c>
      <c r="AK50" s="73" t="n">
        <v>33.02</v>
      </c>
      <c r="AL50" s="72" t="n">
        <v>0</v>
      </c>
      <c r="AM50" s="72" t="n">
        <v>33.02</v>
      </c>
      <c r="AN50" s="72" t="n">
        <v>44.34</v>
      </c>
      <c r="AO50" s="72" t="n">
        <v>25.47</v>
      </c>
      <c r="AP50" s="72" t="n">
        <v>-10.47</v>
      </c>
      <c r="AQ50" s="72" t="n">
        <v>8.51</v>
      </c>
      <c r="AR50" s="72" t="n">
        <v>-5.68</v>
      </c>
      <c r="AS50" s="72" t="n">
        <v>-32.69</v>
      </c>
      <c r="AT50" s="72" t="n">
        <v>39.55</v>
      </c>
      <c r="AU50" s="72" t="n">
        <v>21.82</v>
      </c>
      <c r="AV50" s="72" t="n">
        <v>2.92</v>
      </c>
      <c r="AW50" s="72" t="n">
        <v>-7.22</v>
      </c>
      <c r="AX50" s="72" t="n">
        <v>3.65</v>
      </c>
      <c r="AY50" s="72" t="n">
        <v>1.54</v>
      </c>
      <c r="AZ50" s="63" t="inlineStr">
        <is>
          <t>China Biotech ETF (HS biotech proxy)</t>
        </is>
      </c>
      <c r="BA50" s="72" t="n">
        <v>-76.04000000000001</v>
      </c>
      <c r="BB50" s="64" t="inlineStr">
        <is>
          <t>2026-08-28</t>
        </is>
      </c>
      <c r="BC50" s="65" t="n">
        <v>873.7</v>
      </c>
      <c r="BD50" s="68" t="n">
        <v>132.6</v>
      </c>
      <c r="BE50" s="63" t="inlineStr">
        <is>
          <t>Y</t>
        </is>
      </c>
      <c r="BF50" s="74" t="n">
        <v>55</v>
      </c>
      <c r="BG50" s="74" t="n"/>
      <c r="BH50" s="74" t="n">
        <v>8.5</v>
      </c>
      <c r="BI50" s="74" t="n">
        <v>8.300000000000001</v>
      </c>
      <c r="BJ50" s="75">
        <f>IF('BBG Verify'!S50="","not filed — run on terminal",'BBG Verify'!S50)</f>
        <v/>
      </c>
      <c r="BK50" s="76" t="inlineStr">
        <is>
          <t>N</t>
        </is>
      </c>
      <c r="BL50" s="77">
        <f>IF('BBG Verify'!K50="","not filed — run on terminal",'BBG Verify'!K50)</f>
        <v/>
      </c>
      <c r="BM50" s="63" t="inlineStr">
        <is>
          <t>N/A</t>
        </is>
      </c>
      <c r="BN50" s="63" t="inlineStr">
        <is>
          <t>N/A</t>
        </is>
      </c>
      <c r="BO50" s="63" t="inlineStr">
        <is>
          <t>N/A</t>
        </is>
      </c>
      <c r="BP50" s="63" t="inlineStr">
        <is>
          <t>N/A</t>
        </is>
      </c>
      <c r="BQ50" s="63" t="inlineStr">
        <is>
          <t>N/A</t>
        </is>
      </c>
      <c r="BR50" s="63" t="inlineStr">
        <is>
          <t>N/A</t>
        </is>
      </c>
      <c r="BS50" s="76" t="inlineStr">
        <is>
          <t>Haitong International Capital Limited; Industrial and Commercial Bank of China (Asia) Limited; Hong Kong Share Registrar Computershare Hong Kong Investor Services Limited; Industrial and Commercial Bank of China Co., Ltd., Xiamen Xinglin Branch</t>
        </is>
      </c>
      <c r="BT50" s="63" t="inlineStr">
        <is>
          <t>Haitong International Capital Limited; Huatai Financial Holdings (Hong Kong) Limited</t>
        </is>
      </c>
      <c r="BU50" s="63" t="inlineStr">
        <is>
          <t>Huatai Financial Holdings (Hong Kong) Limited; Haitong International Securities Company Limited</t>
        </is>
      </c>
      <c r="BV50" s="63" t="inlineStr">
        <is>
          <t>Huatai Financial Holdings (Hong Kong) Limited; Haitong International Securities Company Limited</t>
        </is>
      </c>
      <c r="BW50" s="78">
        <f>HYPERLINK("https://www1.hkexnews.hk/listedco/listconews/sehk/2021/0624/2021062400013.pdf","prospectus")</f>
        <v/>
      </c>
      <c r="BX50" s="78">
        <f>HYPERLINK("https://www1.hkexnews.hk/listedco/listconews/sehk/2021/0706/2021070600016.htm","allotment")</f>
        <v/>
      </c>
      <c r="BY50" s="78">
        <f>HYPERLINK("https://www1.hkexnews.hk/listedco/listconews/sehk/2021/0729/2021072901513.pdf","stabilisation")</f>
        <v/>
      </c>
      <c r="BZ50" s="76" t="n"/>
      <c r="CA50" s="63" t="inlineStr">
        <is>
          <t>A/H: no A-share listing · grey market: no grey-market headline on file for this deal — AAStocks publishes one per listing but keeps only recent items on the stock's news page, and no public archive of past evening sessions exists; captured from this run onward</t>
        </is>
      </c>
    </row>
    <row r="51" ht="15" customHeight="1">
      <c r="A51" s="62" t="inlineStr">
        <is>
          <t>9868</t>
        </is>
      </c>
      <c r="B51" s="63" t="inlineStr">
        <is>
          <t>XPENG-W</t>
        </is>
      </c>
      <c r="C51" s="63" t="inlineStr">
        <is>
          <t>小鵬集團－Ｗ</t>
        </is>
      </c>
      <c r="D51" s="63" t="inlineStr">
        <is>
          <t>Consumer</t>
        </is>
      </c>
      <c r="E51" s="63" t="inlineStr">
        <is>
          <t>Autos (NEV OEM)</t>
        </is>
      </c>
      <c r="F51" s="63" t="inlineStr">
        <is>
          <t>Automobile Manufacturers</t>
        </is>
      </c>
      <c r="G51" s="63" t="inlineStr">
        <is>
          <t>WVR</t>
        </is>
      </c>
      <c r="H51" s="64" t="n">
        <v>44384</v>
      </c>
      <c r="I51" s="65" t="n">
        <v>14025</v>
      </c>
      <c r="J51" s="63" t="inlineStr">
        <is>
          <t>gross (price x shares)</t>
        </is>
      </c>
      <c r="K51" s="66" t="n"/>
      <c r="L51" s="66" t="n">
        <v>180</v>
      </c>
      <c r="M51" s="66" t="n">
        <v>165</v>
      </c>
      <c r="N51" s="63" t="inlineStr">
        <is>
          <t>N</t>
        </is>
      </c>
      <c r="O51" s="67" t="n">
        <v>91.7</v>
      </c>
      <c r="P51" s="67" t="n"/>
      <c r="Q51" s="68" t="n">
        <v>270000</v>
      </c>
      <c r="R51" s="63" t="inlineStr">
        <is>
          <t>press:sina 2021-07-07: 市值超2700亿港元 | FINANCIALS (RMB x1.1): XPeng FY2020 PR: total revenues RMB5,844.3m, net loss RMB2,732.0m</t>
        </is>
      </c>
      <c r="S51" s="69" t="n">
        <v>14.73</v>
      </c>
      <c r="T51" s="70" t="n">
        <v>2.36</v>
      </c>
      <c r="U51" s="71" t="n"/>
      <c r="V51" s="68" t="n">
        <v>14025</v>
      </c>
      <c r="W51" s="68" t="n">
        <v>85000000</v>
      </c>
      <c r="X51" s="67" t="n">
        <v>5.19</v>
      </c>
      <c r="Y51" s="63" t="n"/>
      <c r="Z51" s="63" t="n"/>
      <c r="AA51" s="67" t="n">
        <v>7.5</v>
      </c>
      <c r="AB51" s="72" t="n"/>
      <c r="AC51" s="66" t="n"/>
      <c r="AD51" s="72" t="n"/>
      <c r="AE51" s="63" t="n"/>
      <c r="AF51" s="63" t="n"/>
      <c r="AG51" s="63" t="inlineStr">
        <is>
          <t>partial</t>
        </is>
      </c>
      <c r="AH51" s="63" t="n"/>
      <c r="AI51" s="63" t="inlineStr">
        <is>
          <t>J.P. Morgan Securities</t>
        </is>
      </c>
      <c r="AJ51" s="63" t="inlineStr">
        <is>
          <t>JP Morgan</t>
        </is>
      </c>
      <c r="AK51" s="73" t="n">
        <v>0</v>
      </c>
      <c r="AL51" s="72" t="n">
        <v>1.82</v>
      </c>
      <c r="AM51" s="72" t="n">
        <v>-1.79</v>
      </c>
      <c r="AN51" s="72" t="n">
        <v>-8.48</v>
      </c>
      <c r="AO51" s="72" t="n">
        <v>-0.12</v>
      </c>
      <c r="AP51" s="72" t="n">
        <v>-17.7</v>
      </c>
      <c r="AQ51" s="72" t="n">
        <v>-8.48</v>
      </c>
      <c r="AR51" s="72" t="n">
        <v>-0.12</v>
      </c>
      <c r="AS51" s="72" t="n">
        <v>-17.7</v>
      </c>
      <c r="AT51" s="72" t="n">
        <v>-8.69</v>
      </c>
      <c r="AU51" s="72" t="n">
        <v>8.289999999999999</v>
      </c>
      <c r="AV51" s="72" t="n">
        <v>0.82</v>
      </c>
      <c r="AW51" s="72" t="n">
        <v>8.140000000000001</v>
      </c>
      <c r="AX51" s="72" t="n">
        <v>-8.41</v>
      </c>
      <c r="AY51" s="72" t="n">
        <v>-8.26</v>
      </c>
      <c r="AZ51" s="63" t="inlineStr">
        <is>
          <t>Hang Seng Commerce &amp; Industry sub-index</t>
        </is>
      </c>
      <c r="BA51" s="72" t="n">
        <v>-72.84</v>
      </c>
      <c r="BB51" s="64" t="inlineStr">
        <is>
          <t>2026-08-28</t>
        </is>
      </c>
      <c r="BC51" s="65" t="n">
        <v>6428.7</v>
      </c>
      <c r="BD51" s="68" t="n">
        <v>-3005.2</v>
      </c>
      <c r="BE51" s="63" t="inlineStr">
        <is>
          <t>N</t>
        </is>
      </c>
      <c r="BF51" s="63" t="inlineStr">
        <is>
          <t>n/m</t>
        </is>
      </c>
      <c r="BG51" s="74" t="n"/>
      <c r="BH51" s="74" t="n"/>
      <c r="BI51" s="74" t="n">
        <v>42</v>
      </c>
      <c r="BJ51" s="75">
        <f>IF('BBG Verify'!S51="","not filed — run on terminal",'BBG Verify'!S51)</f>
        <v/>
      </c>
      <c r="BK51" s="76" t="inlineStr">
        <is>
          <t>N</t>
        </is>
      </c>
      <c r="BL51" s="77">
        <f>IF('BBG Verify'!K51="","not filed — run on terminal",'BBG Verify'!K51)</f>
        <v/>
      </c>
      <c r="BM51" s="63" t="inlineStr">
        <is>
          <t>N/A</t>
        </is>
      </c>
      <c r="BN51" s="63" t="inlineStr">
        <is>
          <t>N/A</t>
        </is>
      </c>
      <c r="BO51" s="63" t="inlineStr">
        <is>
          <t>N/A</t>
        </is>
      </c>
      <c r="BP51" s="63" t="inlineStr">
        <is>
          <t>N/A</t>
        </is>
      </c>
      <c r="BQ51" s="63" t="inlineStr">
        <is>
          <t>N/A</t>
        </is>
      </c>
      <c r="BR51" s="63" t="inlineStr">
        <is>
          <t>N/A</t>
        </is>
      </c>
      <c r="BS51" s="76" t="inlineStr">
        <is>
          <t>J.P. Morgan Securities (Far East) Limited; Merrill Lynch (Asia Pacific) Limited; J.P. Morgan Securities (Asia Pacific) Limited; Citigroup Global Markets Asia Limited</t>
        </is>
      </c>
      <c r="BT51" s="63" t="inlineStr">
        <is>
          <t>J.P. Morgan Securities (Far East) Limited; Merrill Lynch (Asia Pacific) Limited</t>
        </is>
      </c>
      <c r="BU51" s="63" t="inlineStr">
        <is>
          <t>J.P. Morgan Securities (Asia Pacific) Limited; Merrill Lynch (Asia Pacific) Limited; Citigroup Global Markets Asia Limited; CLSA Limited; J.P. Morgan Securities plc; Canary Wharf London E14 5JP United Kingdom J.P. Morgan Securities LLC; Citigroup Global Markets Limited; ABCI Capital Limited; ABCI Securities Company Limited</t>
        </is>
      </c>
      <c r="BV51" s="63" t="inlineStr">
        <is>
          <t>ABCI Securities Company Limited; BOCI Asia Limited; Citigroup Global Markets Asia Limited; CLSA Limited; Futu Securities International (Hong Kong) Limited; J.P. Morgan Securities (Asia Pacific) Limited; Merrill Lynch (Asia Pacific) Limited</t>
        </is>
      </c>
      <c r="BW51" s="78">
        <f>HYPERLINK("https://www1.hkexnews.hk/listedco/listconews/sehk/2021/0625/2021062500039.pdf","prospectus")</f>
        <v/>
      </c>
      <c r="BX51" s="78">
        <f>HYPERLINK("https://www1.hkexnews.hk/listedco/listconews/sehk/2021/0706/2021070600032.htm","allotment")</f>
        <v/>
      </c>
      <c r="BY51" s="78">
        <f>HYPERLINK("https://www1.hkexnews.hk/listedco/listconews/sehk/2021/0730/2021073001378.pdf","stabilisation")</f>
        <v/>
      </c>
      <c r="BZ51" s="76" t="n"/>
      <c r="CA51" s="63" t="inlineStr">
        <is>
          <t>P/E: n/m — loss-making at IPO (use P/S) · greenshoe: over-allotment outcome already published, and the allotment announcement does not state the stabilisation expiry in a parsable form — the expiry no longer matters once resolved · range low: cap-only pricing — the filing publishes a Maximum Offer Price and no indicative floor · A/H: no A-share listing · cornerstone list: no cornerstone tranche in this deal · cornerstone %: no cornerstone tranche in this deal · grey market: no grey-market headline on file for this deal — AAStocks publishes one per listing but keeps only recent items on the stock's news page, and no public archive of past evening sessions exists; captured from this run onward</t>
        </is>
      </c>
    </row>
    <row r="52" ht="15" customHeight="1">
      <c r="A52" s="62" t="inlineStr">
        <is>
          <t>1965</t>
        </is>
      </c>
      <c r="B52" s="63" t="inlineStr">
        <is>
          <t>LANDSEA LIFE</t>
        </is>
      </c>
      <c r="C52" s="63" t="inlineStr">
        <is>
          <t>朗詩綠色生活</t>
        </is>
      </c>
      <c r="D52" s="63" t="inlineStr">
        <is>
          <t>Real Estate</t>
        </is>
      </c>
      <c r="E52" s="63" t="inlineStr">
        <is>
          <t>Property management</t>
        </is>
      </c>
      <c r="F52" s="63" t="inlineStr">
        <is>
          <t>Property Service and Management</t>
        </is>
      </c>
      <c r="G52" s="63" t="inlineStr">
        <is>
          <t>Standard</t>
        </is>
      </c>
      <c r="H52" s="64" t="n">
        <v>44385</v>
      </c>
      <c r="I52" s="65" t="n">
        <v>318</v>
      </c>
      <c r="J52" s="63" t="inlineStr">
        <is>
          <t>gross (price x shares)</t>
        </is>
      </c>
      <c r="K52" s="66" t="n">
        <v>2.86</v>
      </c>
      <c r="L52" s="66" t="n">
        <v>4.16</v>
      </c>
      <c r="M52" s="66" t="n">
        <v>3.18</v>
      </c>
      <c r="N52" s="63" t="inlineStr">
        <is>
          <t>N</t>
        </is>
      </c>
      <c r="O52" s="67" t="n">
        <v>76.40000000000001</v>
      </c>
      <c r="P52" s="67" t="n">
        <v>24.6</v>
      </c>
      <c r="Q52" s="68" t="n">
        <v>1583</v>
      </c>
      <c r="R52" s="63" t="inlineStr">
        <is>
          <t>aastocks:上市市值 at the struck price</t>
        </is>
      </c>
      <c r="S52" s="69" t="n">
        <v>8.01</v>
      </c>
      <c r="T52" s="70" t="n">
        <v>1.25</v>
      </c>
      <c r="U52" s="71" t="n">
        <v>24.5</v>
      </c>
      <c r="V52" s="68" t="n">
        <v>240.09</v>
      </c>
      <c r="W52" s="68" t="n">
        <v>75500000</v>
      </c>
      <c r="X52" s="67" t="n">
        <v>15.17</v>
      </c>
      <c r="Y52" s="63" t="inlineStr">
        <is>
          <t>CURA International (Hong Kong) Investment Management Company Limited</t>
        </is>
      </c>
      <c r="Z52" s="63" t="inlineStr">
        <is>
          <t>cura</t>
        </is>
      </c>
      <c r="AA52" s="67" t="n">
        <v>10</v>
      </c>
      <c r="AB52" s="72" t="n"/>
      <c r="AC52" s="66" t="n"/>
      <c r="AD52" s="72" t="n"/>
      <c r="AE52" s="63" t="n"/>
      <c r="AF52" s="63" t="n"/>
      <c r="AG52" s="63" t="inlineStr">
        <is>
          <t>partial</t>
        </is>
      </c>
      <c r="AH52" s="63" t="inlineStr">
        <is>
          <t>2021-07-30</t>
        </is>
      </c>
      <c r="AI52" s="63" t="inlineStr">
        <is>
          <t>Haitong International Securities Company Limited</t>
        </is>
      </c>
      <c r="AJ52" s="63" t="inlineStr">
        <is>
          <t>Haitong</t>
        </is>
      </c>
      <c r="AK52" s="73" t="n">
        <v>41.51</v>
      </c>
      <c r="AL52" s="72" t="n">
        <v>88.68000000000001</v>
      </c>
      <c r="AM52" s="72" t="n">
        <v>-25</v>
      </c>
      <c r="AN52" s="72" t="n">
        <v>2.52</v>
      </c>
      <c r="AO52" s="72" t="n">
        <v>0</v>
      </c>
      <c r="AP52" s="72" t="n">
        <v>3.77</v>
      </c>
      <c r="AQ52" s="72" t="n">
        <v>-27.55</v>
      </c>
      <c r="AR52" s="72" t="n">
        <v>-29.33</v>
      </c>
      <c r="AS52" s="72" t="n">
        <v>-26.67</v>
      </c>
      <c r="AT52" s="72" t="n">
        <v>2.52</v>
      </c>
      <c r="AU52" s="72" t="n">
        <v>9.33</v>
      </c>
      <c r="AV52" s="72" t="n">
        <v>15.35</v>
      </c>
      <c r="AW52" s="72" t="n">
        <v>-21.35</v>
      </c>
      <c r="AX52" s="72" t="n">
        <v>-9.33</v>
      </c>
      <c r="AY52" s="72" t="n">
        <v>-7.98</v>
      </c>
      <c r="AZ52" s="63" t="inlineStr">
        <is>
          <t>Hang Seng Properties sub-index</t>
        </is>
      </c>
      <c r="BA52" s="72" t="n">
        <v>-95.44</v>
      </c>
      <c r="BB52" s="64" t="inlineStr">
        <is>
          <t>2026-08-28</t>
        </is>
      </c>
      <c r="BC52" s="65" t="n">
        <v>131.9</v>
      </c>
      <c r="BD52" s="68" t="n">
        <v>72.09999999999999</v>
      </c>
      <c r="BE52" s="63" t="inlineStr">
        <is>
          <t>Y</t>
        </is>
      </c>
      <c r="BF52" s="74" t="n">
        <v>22</v>
      </c>
      <c r="BG52" s="74" t="n"/>
      <c r="BH52" s="74" t="n">
        <v>1.9</v>
      </c>
      <c r="BI52" s="74" t="n">
        <v>12</v>
      </c>
      <c r="BJ52" s="75">
        <f>IF('BBG Verify'!S52="","not filed — run on terminal",'BBG Verify'!S52)</f>
        <v/>
      </c>
      <c r="BK52" s="76" t="inlineStr">
        <is>
          <t>N</t>
        </is>
      </c>
      <c r="BL52" s="77">
        <f>IF('BBG Verify'!K52="","not filed — run on terminal",'BBG Verify'!K52)</f>
        <v/>
      </c>
      <c r="BM52" s="63" t="inlineStr">
        <is>
          <t>N/A</t>
        </is>
      </c>
      <c r="BN52" s="63" t="inlineStr">
        <is>
          <t>N/A</t>
        </is>
      </c>
      <c r="BO52" s="63" t="inlineStr">
        <is>
          <t>N/A</t>
        </is>
      </c>
      <c r="BP52" s="63" t="inlineStr">
        <is>
          <t>N/A</t>
        </is>
      </c>
      <c r="BQ52" s="63" t="inlineStr">
        <is>
          <t>N/A</t>
        </is>
      </c>
      <c r="BR52" s="63" t="inlineStr">
        <is>
          <t>N/A</t>
        </is>
      </c>
      <c r="BS52" s="76" t="inlineStr">
        <is>
          <t>Haitong International Capital Limited</t>
        </is>
      </c>
      <c r="BT52" s="63" t="inlineStr">
        <is>
          <t>Haitong International Capital Limited</t>
        </is>
      </c>
      <c r="BU52" s="63" t="inlineStr">
        <is>
          <t>Beta International Securities Limited; CCB International Capital Limited; China Industrial Securities International Capital Limited; CLSA Limited; CMB International Capital Corporation Limited; CRIC Securities Company Limited</t>
        </is>
      </c>
      <c r="BV52" s="63" t="inlineStr">
        <is>
          <t>Beta International Securities Limited; CCB International Capital Limited; China Industrial Securities International Capital Limited; CLSA Limited; CMB International Capital Corporation Limited; CRIC Securities Company Limited; Essence International Securities (Hong Kong) Limited; Futu Securities International (Hong Kong) Limited; Haitong International Securities Company Limited; Maxa Capital Limited; Orient Securities (Hong Kong) Limited; Sunfund Securities Limited</t>
        </is>
      </c>
      <c r="BW52" s="78">
        <f>HYPERLINK("https://www1.hkexnews.hk/listedco/listconews/sehk/2021/0625/2021062500057.pdf","prospectus")</f>
        <v/>
      </c>
      <c r="BX52" s="78">
        <f>HYPERLINK("https://www1.hkexnews.hk/listedco/listconews/sehk/2021/0707/2021070700022.htm","allotment")</f>
        <v/>
      </c>
      <c r="BY52" s="78">
        <f>HYPERLINK("https://www1.hkexnews.hk/listedco/listconews/sehk/2021/0730/2021073001922.pdf","stabilisation")</f>
        <v/>
      </c>
      <c r="BZ52" s="76" t="n"/>
      <c r="CA52" s="63" t="inlineStr">
        <is>
          <t>A/H: no A-share listing · market cap: estimate from deal size / offer % of enlarged capital disagreed with the published listing cap — published figure adopted · cornerstone: table parse read 76% but the institutional total implies 25% — parse rejected, the AAStocks institutional total used (24.5%) · grey market: no grey-market headline on file for this deal — AAStocks publishes one per listing but keeps only recent items on the stock's news page, and no public archive of past evening sessions exists; captured from this run onward</t>
        </is>
      </c>
    </row>
    <row r="53" ht="15" customHeight="1">
      <c r="A53" s="62" t="inlineStr">
        <is>
          <t>2162</t>
        </is>
      </c>
      <c r="B53" s="63" t="inlineStr">
        <is>
          <t>KEYMED BIO-B</t>
        </is>
      </c>
      <c r="C53" s="63" t="inlineStr">
        <is>
          <t>康諾亞－Ｂ</t>
        </is>
      </c>
      <c r="D53" s="63" t="inlineStr">
        <is>
          <t>Healthcare</t>
        </is>
      </c>
      <c r="E53" s="63" t="inlineStr">
        <is>
          <t>Biotech pre-revenue (18A)</t>
        </is>
      </c>
      <c r="F53" s="63" t="inlineStr">
        <is>
          <t>Biotechnology</t>
        </is>
      </c>
      <c r="G53" s="63" t="inlineStr">
        <is>
          <t>18A</t>
        </is>
      </c>
      <c r="H53" s="64" t="n">
        <v>44385</v>
      </c>
      <c r="I53" s="65" t="n">
        <v>3105.5</v>
      </c>
      <c r="J53" s="63" t="inlineStr">
        <is>
          <t>gross (price x shares)</t>
        </is>
      </c>
      <c r="K53" s="66" t="n">
        <v>50.5</v>
      </c>
      <c r="L53" s="66" t="n">
        <v>53.3</v>
      </c>
      <c r="M53" s="66" t="n">
        <v>53.3</v>
      </c>
      <c r="N53" s="63" t="inlineStr">
        <is>
          <t>Y</t>
        </is>
      </c>
      <c r="O53" s="67" t="n">
        <v>100</v>
      </c>
      <c r="P53" s="67" t="n">
        <v>100</v>
      </c>
      <c r="Q53" s="68" t="n">
        <v>13685.3</v>
      </c>
      <c r="R53" s="63" t="inlineStr">
        <is>
          <t>prospectus:stated market capitalisation</t>
        </is>
      </c>
      <c r="S53" s="69" t="n">
        <v>429.97</v>
      </c>
      <c r="T53" s="70" t="n">
        <v>21.9</v>
      </c>
      <c r="U53" s="71" t="n">
        <v>20</v>
      </c>
      <c r="V53" s="68" t="n">
        <v>2484.4</v>
      </c>
      <c r="W53" s="68" t="n">
        <v>46611600</v>
      </c>
      <c r="X53" s="67" t="n">
        <v>18.15</v>
      </c>
      <c r="Y53" s="63" t="inlineStr">
        <is>
          <t>Aranda Investments Pte. Ltd; Boyu Capital Opportunities Master Fund; Double Joy Ventures Limited; Dragon Merit Holdings Limited; Hillhouse Capital Advisors, Ltd; Hudson Bay Master Fund Ltd; Invesco Ltd; Janchor Partners Pan-Asian Master Fund; Lake Bleu Prime Healthcare Master Fund Limited; LAV Group; Octagon Investments Master Fund LP; Sage Partners Master Fund; Springhill Master Fund Limited; UBS Asset Management (Singapore) Ltd; Yi Fang Da Sirius Inv. Limited</t>
        </is>
      </c>
      <c r="Z53" s="63" t="inlineStr">
        <is>
          <t>aranda;boyu;double;dragon;hillhouse;hudson;invesco;janchor;lake;lav;octagon;sage;springhill;ubs;yi</t>
        </is>
      </c>
      <c r="AA53" s="67" t="n">
        <v>10.78</v>
      </c>
      <c r="AB53" s="72" t="n"/>
      <c r="AC53" s="66" t="n"/>
      <c r="AD53" s="72" t="n"/>
      <c r="AE53" s="63" t="n"/>
      <c r="AF53" s="63" t="n"/>
      <c r="AG53" s="63" t="inlineStr">
        <is>
          <t>full</t>
        </is>
      </c>
      <c r="AH53" s="63" t="inlineStr">
        <is>
          <t>2021-07-30</t>
        </is>
      </c>
      <c r="AI53" s="63" t="inlineStr">
        <is>
          <t>Morgan Stanley Asia Limited</t>
        </is>
      </c>
      <c r="AJ53" s="63" t="inlineStr">
        <is>
          <t>Morgan Stanley</t>
        </is>
      </c>
      <c r="AK53" s="73" t="n">
        <v>27.58</v>
      </c>
      <c r="AL53" s="72" t="n">
        <v>46.34</v>
      </c>
      <c r="AM53" s="72" t="n">
        <v>-12.82</v>
      </c>
      <c r="AN53" s="72" t="n">
        <v>27.95</v>
      </c>
      <c r="AO53" s="72" t="n">
        <v>22.51</v>
      </c>
      <c r="AP53" s="72" t="n">
        <v>-6.19</v>
      </c>
      <c r="AQ53" s="72" t="n">
        <v>0.29</v>
      </c>
      <c r="AR53" s="72" t="n">
        <v>-3.97</v>
      </c>
      <c r="AS53" s="72" t="n">
        <v>-26.47</v>
      </c>
      <c r="AT53" s="72" t="n">
        <v>26.02</v>
      </c>
      <c r="AU53" s="72" t="n">
        <v>25.29</v>
      </c>
      <c r="AV53" s="72" t="n">
        <v>7.58</v>
      </c>
      <c r="AW53" s="72" t="n">
        <v>-3.08</v>
      </c>
      <c r="AX53" s="72" t="n">
        <v>-2.78</v>
      </c>
      <c r="AY53" s="72" t="n">
        <v>-0.89</v>
      </c>
      <c r="AZ53" s="63" t="inlineStr">
        <is>
          <t>China Biotech ETF (HS biotech proxy)</t>
        </is>
      </c>
      <c r="BA53" s="72" t="n">
        <v>47.28</v>
      </c>
      <c r="BB53" s="64" t="inlineStr">
        <is>
          <t>2026-08-28</t>
        </is>
      </c>
      <c r="BC53" s="65" t="n">
        <v>0</v>
      </c>
      <c r="BD53" s="68" t="n">
        <v>-900.7</v>
      </c>
      <c r="BE53" s="63" t="inlineStr">
        <is>
          <t>N</t>
        </is>
      </c>
      <c r="BF53" s="63" t="inlineStr">
        <is>
          <t>n/m</t>
        </is>
      </c>
      <c r="BG53" s="74" t="n"/>
      <c r="BH53" s="74" t="n"/>
      <c r="BI53" s="63" t="inlineStr">
        <is>
          <t>pre-rev</t>
        </is>
      </c>
      <c r="BJ53" s="75">
        <f>IF('BBG Verify'!S53="","not filed — run on terminal",'BBG Verify'!S53)</f>
        <v/>
      </c>
      <c r="BK53" s="76" t="inlineStr">
        <is>
          <t>N</t>
        </is>
      </c>
      <c r="BL53" s="77">
        <f>IF('BBG Verify'!K53="","not filed — run on terminal",'BBG Verify'!K53)</f>
        <v/>
      </c>
      <c r="BM53" s="63" t="inlineStr">
        <is>
          <t>N/A</t>
        </is>
      </c>
      <c r="BN53" s="63" t="inlineStr">
        <is>
          <t>N/A</t>
        </is>
      </c>
      <c r="BO53" s="63" t="inlineStr">
        <is>
          <t>N/A</t>
        </is>
      </c>
      <c r="BP53" s="63" t="inlineStr">
        <is>
          <t>N/A</t>
        </is>
      </c>
      <c r="BQ53" s="63" t="inlineStr">
        <is>
          <t>N/A</t>
        </is>
      </c>
      <c r="BR53" s="63" t="inlineStr">
        <is>
          <t>N/A</t>
        </is>
      </c>
      <c r="BS53" s="76" t="inlineStr">
        <is>
          <t>Morgan Stanley Asia Limited; China International Capital Corporation Hong Kong Securities Limited; Huatai Financial Holdings (Hong Kong) Limited</t>
        </is>
      </c>
      <c r="BT53" s="63" t="inlineStr">
        <is>
          <t>China International Capital Corporation Hong Kong Securities Limited; Morgan Stanley Asia Limited; Huatai Financial Holdings (Hong Kong) Limited</t>
        </is>
      </c>
      <c r="BU53" s="63" t="inlineStr">
        <is>
          <t>Morgan Stanley Asia Limited; China International Capital Corporation Hong Kong Securities Limited; Huatai Financial Holdings (Hong Kong) Limited; Morgan Stanley &amp; Co. International plc; China Everbright Securities (HK) Limited</t>
        </is>
      </c>
      <c r="BV53" s="63" t="inlineStr">
        <is>
          <t>China Everbright Securities (HK) Limited; China International Capital Corporation Hong Kong Securities Limited; Huatai Financial Holdings (Hong Kong) Limited; Morgan Stanley Asia Limited</t>
        </is>
      </c>
      <c r="BW53" s="78">
        <f>HYPERLINK("https://www1.hkexnews.hk/listedco/listconews/sehk/2021/0625/2021062500031.pdf","prospectus")</f>
        <v/>
      </c>
      <c r="BX53" s="78">
        <f>HYPERLINK("https://www1.hkexnews.hk/listedco/listconews/sehk/2021/0707/2021070700054.htm","allotment")</f>
        <v/>
      </c>
      <c r="BY53" s="78">
        <f>HYPERLINK("https://www1.hkexnews.hk/listedco/listconews/sehk/2021/0730/2021073001918.pdf","stabilisation")</f>
        <v/>
      </c>
      <c r="BZ53" s="76" t="n"/>
      <c r="CA53" s="63" t="inlineStr">
        <is>
          <t>P/E: n/m — loss-making at IPO (use P/S) · A/H: no A-share listing · cornerstone: AAStocks institutional table includes non-cornerstone orders (superset) — cornerstone % is from the prospectus · P/S: no revenue line in the filed P&amp;L (pre-revenue issuer) — no sales multiple can exist; the cell reads pre-rev, not blank · grey market: no grey-market headline on file for this deal — AAStocks publishes one per listing but keeps only recent items on the stock's news page, and no public archive of past evening sessions exists; captured from this run onward</t>
        </is>
      </c>
    </row>
    <row r="54" ht="15" customHeight="1">
      <c r="A54" s="62" t="inlineStr">
        <is>
          <t>2209</t>
        </is>
      </c>
      <c r="B54" s="63" t="inlineStr">
        <is>
          <t>YESASIA HLDGS</t>
        </is>
      </c>
      <c r="C54" s="63" t="inlineStr">
        <is>
          <t>喆麗控股</t>
        </is>
      </c>
      <c r="D54" s="63" t="inlineStr">
        <is>
          <t>Tech/AI</t>
        </is>
      </c>
      <c r="E54" s="63" t="inlineStr">
        <is>
          <t>Internet platform / e-commerce</t>
        </is>
      </c>
      <c r="F54" s="63" t="inlineStr">
        <is>
          <t>e-Commerce &amp; Internet Services</t>
        </is>
      </c>
      <c r="G54" s="63" t="inlineStr">
        <is>
          <t>Standard</t>
        </is>
      </c>
      <c r="H54" s="64" t="n">
        <v>44386</v>
      </c>
      <c r="I54" s="65" t="n">
        <v>91</v>
      </c>
      <c r="J54" s="63" t="inlineStr">
        <is>
          <t>net proceeds</t>
        </is>
      </c>
      <c r="K54" s="66" t="n">
        <v>3</v>
      </c>
      <c r="L54" s="66" t="n">
        <v>3.33</v>
      </c>
      <c r="M54" s="66" t="n">
        <v>3.28</v>
      </c>
      <c r="N54" s="63" t="inlineStr">
        <is>
          <t>N</t>
        </is>
      </c>
      <c r="O54" s="67" t="n">
        <v>98.5</v>
      </c>
      <c r="P54" s="67" t="n">
        <v>84.8</v>
      </c>
      <c r="Q54" s="68" t="n">
        <v>1316</v>
      </c>
      <c r="R54" s="63" t="inlineStr">
        <is>
          <t>aastocks:上市市值 at the struck price</t>
        </is>
      </c>
      <c r="S54" s="69" t="n">
        <v>145.3</v>
      </c>
      <c r="T54" s="70" t="n">
        <v>3.2</v>
      </c>
      <c r="U54" s="71" t="n">
        <v>37.94</v>
      </c>
      <c r="V54" s="68" t="n">
        <v>56.47</v>
      </c>
      <c r="W54" s="68" t="n"/>
      <c r="X54" s="67" t="n">
        <v>4.29</v>
      </c>
      <c r="Y54" s="63" t="inlineStr">
        <is>
          <t>CS Logistics Holdings Ltd; Triple Surge Holdings Limited</t>
        </is>
      </c>
      <c r="Z54" s="63" t="inlineStr">
        <is>
          <t>cs;triple</t>
        </is>
      </c>
      <c r="AA54" s="67" t="n">
        <v>11.3</v>
      </c>
      <c r="AB54" s="72" t="n"/>
      <c r="AC54" s="66" t="n"/>
      <c r="AD54" s="72" t="n"/>
      <c r="AE54" s="63" t="n"/>
      <c r="AF54" s="63" t="n"/>
      <c r="AG54" s="63" t="inlineStr">
        <is>
          <t>partial</t>
        </is>
      </c>
      <c r="AH54" s="63" t="inlineStr">
        <is>
          <t>2021-08-01</t>
        </is>
      </c>
      <c r="AI54" s="63" t="inlineStr">
        <is>
          <t>UOB Kay Hian</t>
        </is>
      </c>
      <c r="AJ54" s="63" t="inlineStr">
        <is>
          <t>UOB Kay</t>
        </is>
      </c>
      <c r="AK54" s="73" t="n">
        <v>5.49</v>
      </c>
      <c r="AL54" s="72" t="n">
        <v>47.26</v>
      </c>
      <c r="AM54" s="72" t="n">
        <v>-28.36</v>
      </c>
      <c r="AN54" s="72" t="n">
        <v>-7.62</v>
      </c>
      <c r="AO54" s="72" t="n">
        <v>-20.12</v>
      </c>
      <c r="AP54" s="72" t="n">
        <v>-56.1</v>
      </c>
      <c r="AQ54" s="72" t="n">
        <v>-12.43</v>
      </c>
      <c r="AR54" s="72" t="n">
        <v>-24.28</v>
      </c>
      <c r="AS54" s="72" t="n">
        <v>-58.38</v>
      </c>
      <c r="AT54" s="72" t="n">
        <v>-11.53</v>
      </c>
      <c r="AU54" s="72" t="n">
        <v>-10.79</v>
      </c>
      <c r="AV54" s="72" t="n">
        <v>-40.38</v>
      </c>
      <c r="AW54" s="72" t="n">
        <v>-14.03</v>
      </c>
      <c r="AX54" s="72" t="n">
        <v>-9.33</v>
      </c>
      <c r="AY54" s="72" t="n">
        <v>-10.25</v>
      </c>
      <c r="AZ54" s="63" t="inlineStr">
        <is>
          <t>HSTECH (Hang Seng TECH ETF)</t>
        </is>
      </c>
      <c r="BA54" s="72" t="n">
        <v>12.8</v>
      </c>
      <c r="BB54" s="64" t="inlineStr">
        <is>
          <t>2026-08-28</t>
        </is>
      </c>
      <c r="BC54" s="65" t="n">
        <v>1351.9</v>
      </c>
      <c r="BD54" s="68" t="n">
        <v>87.5</v>
      </c>
      <c r="BE54" s="63" t="inlineStr">
        <is>
          <t>Y</t>
        </is>
      </c>
      <c r="BF54" s="74" t="n">
        <v>15</v>
      </c>
      <c r="BG54" s="74" t="n"/>
      <c r="BH54" s="74" t="n">
        <v>8.199999999999999</v>
      </c>
      <c r="BI54" s="74" t="n">
        <v>1</v>
      </c>
      <c r="BJ54" s="75">
        <f>IF('BBG Verify'!S54="","not filed — run on terminal",'BBG Verify'!S54)</f>
        <v/>
      </c>
      <c r="BK54" s="76" t="inlineStr">
        <is>
          <t>N</t>
        </is>
      </c>
      <c r="BL54" s="77">
        <f>IF('BBG Verify'!K54="","not filed — run on terminal",'BBG Verify'!K54)</f>
        <v/>
      </c>
      <c r="BM54" s="63" t="inlineStr">
        <is>
          <t>N/A</t>
        </is>
      </c>
      <c r="BN54" s="63" t="inlineStr">
        <is>
          <t>N/A</t>
        </is>
      </c>
      <c r="BO54" s="63" t="inlineStr">
        <is>
          <t>N/A</t>
        </is>
      </c>
      <c r="BP54" s="63" t="inlineStr">
        <is>
          <t>N/A</t>
        </is>
      </c>
      <c r="BQ54" s="63" t="inlineStr">
        <is>
          <t>N/A</t>
        </is>
      </c>
      <c r="BR54" s="63" t="inlineStr">
        <is>
          <t>N/A</t>
        </is>
      </c>
      <c r="BS54" s="76" t="inlineStr">
        <is>
          <t>UOB Kay Hian (Hong Kong) Limited</t>
        </is>
      </c>
      <c r="BT54" s="63" t="inlineStr">
        <is>
          <t>UOB Kay Hian (Hong Kong) Limited</t>
        </is>
      </c>
      <c r="BU54" s="63" t="inlineStr">
        <is>
          <t>UOB Kay Hian (Hong Kong) Limited; Anuenue Securities Limited; China Everbright Securities (HK) Limited; Haitong International Securities Company Limited; ICBC International Capital Limited; Soochow Securities International Brokerage Limited; VMS Securities Limited</t>
        </is>
      </c>
      <c r="BV54" s="63" t="inlineStr">
        <is>
          <t>Anuenue Securities Limited; China Everbright Securities (HK) Limited; Haitong International Securities Company Limited; ICBC International Securities Limited; Maxa Capital Limited; Soochow Securities International Brokerage Limited; UOB Kay Hian (Hong Kong) Limited; Valuable Capital Limited; VMS Securities Limited</t>
        </is>
      </c>
      <c r="BW54" s="78">
        <f>HYPERLINK("https://www1.hkexnews.hk/listedco/listconews/sehk/2021/0628/2021062800027.pdf","prospectus")</f>
        <v/>
      </c>
      <c r="BX54" s="78">
        <f>HYPERLINK("https://www1.hkexnews.hk/listedco/listconews/sehk/2021/0708/2021070800026.htm","allotment")</f>
        <v/>
      </c>
      <c r="BY54" s="78">
        <f>HYPERLINK("https://www1.hkexnews.hk/listedco/listconews/sehk/2021/0801/2021080100011.pdf","stabilisation")</f>
        <v/>
      </c>
      <c r="BZ54" s="76" t="n"/>
      <c r="CA54" s="63" t="inlineStr">
        <is>
          <t>A/H: no A-share listing · market cap: estimate from deal size / offer % of enlarged capital disagreed with the published listing cap — published figure adopted · deal size: stated gross HK$4.5m rejected — below the deal's own net proceeds HK$91.0m, which cannot happen · grey market: no grey-market headline on file for this deal — AAStocks publishes one per listing but keeps only recent items on the stock's news page, and no public archive of past evening sessions exists; captured from this run onward · eff float shares: share count unavailable or rejected as implausible — the money figure (eff_free_float_hkdm) is still exact</t>
        </is>
      </c>
    </row>
    <row r="55" ht="15" customHeight="1">
      <c r="A55" s="62" t="inlineStr">
        <is>
          <t>2165</t>
        </is>
      </c>
      <c r="B55" s="63" t="inlineStr">
        <is>
          <t>LING YUE SER GP</t>
        </is>
      </c>
      <c r="C55" s="63" t="inlineStr">
        <is>
          <t>領悅服務集團</t>
        </is>
      </c>
      <c r="D55" s="63" t="inlineStr">
        <is>
          <t>Real Estate</t>
        </is>
      </c>
      <c r="E55" s="63" t="inlineStr">
        <is>
          <t>Property management</t>
        </is>
      </c>
      <c r="F55" s="63" t="inlineStr">
        <is>
          <t>Property Service and Management</t>
        </is>
      </c>
      <c r="G55" s="63" t="inlineStr">
        <is>
          <t>Standard</t>
        </is>
      </c>
      <c r="H55" s="64" t="n">
        <v>44389</v>
      </c>
      <c r="I55" s="65" t="n">
        <v>293.3</v>
      </c>
      <c r="J55" s="63" t="inlineStr">
        <is>
          <t>gross (price x shares)</t>
        </is>
      </c>
      <c r="K55" s="66" t="n">
        <v>3.75</v>
      </c>
      <c r="L55" s="66" t="n">
        <v>4.55</v>
      </c>
      <c r="M55" s="66" t="n">
        <v>4.19</v>
      </c>
      <c r="N55" s="63" t="inlineStr">
        <is>
          <t>N</t>
        </is>
      </c>
      <c r="O55" s="67" t="n">
        <v>92.09999999999999</v>
      </c>
      <c r="P55" s="67" t="n">
        <v>55</v>
      </c>
      <c r="Q55" s="68" t="n">
        <v>1058.8</v>
      </c>
      <c r="R55" s="63" t="inlineStr">
        <is>
          <t>derived:deal size / offer % of enlarged capital</t>
        </is>
      </c>
      <c r="S55" s="69" t="n">
        <v>5.23</v>
      </c>
      <c r="T55" s="70" t="n">
        <v>1.2</v>
      </c>
      <c r="U55" s="71" t="n">
        <v>0</v>
      </c>
      <c r="V55" s="68" t="n">
        <v>293.3</v>
      </c>
      <c r="W55" s="68" t="n">
        <v>70000000</v>
      </c>
      <c r="X55" s="67" t="n">
        <v>27.7</v>
      </c>
      <c r="Y55" s="63" t="n"/>
      <c r="Z55" s="63" t="n"/>
      <c r="AA55" s="67" t="n">
        <v>16.5</v>
      </c>
      <c r="AB55" s="72" t="n"/>
      <c r="AC55" s="66" t="n"/>
      <c r="AD55" s="72" t="n"/>
      <c r="AE55" s="63" t="n"/>
      <c r="AF55" s="63" t="n"/>
      <c r="AG55" s="63" t="inlineStr">
        <is>
          <t>partial</t>
        </is>
      </c>
      <c r="AH55" s="63" t="inlineStr">
        <is>
          <t>2021-08-04</t>
        </is>
      </c>
      <c r="AI55" s="63" t="inlineStr">
        <is>
          <t>CCB International Capital Limited</t>
        </is>
      </c>
      <c r="AJ55" s="63" t="inlineStr">
        <is>
          <t>CCB</t>
        </is>
      </c>
      <c r="AK55" s="73" t="n">
        <v>0</v>
      </c>
      <c r="AL55" s="72" t="n">
        <v>24.11</v>
      </c>
      <c r="AM55" s="72" t="n">
        <v>-19.43</v>
      </c>
      <c r="AN55" s="72" t="n">
        <v>0</v>
      </c>
      <c r="AO55" s="72" t="n">
        <v>0.24</v>
      </c>
      <c r="AP55" s="72" t="n">
        <v>0</v>
      </c>
      <c r="AQ55" s="72" t="n">
        <v>0</v>
      </c>
      <c r="AR55" s="72" t="n">
        <v>0.24</v>
      </c>
      <c r="AS55" s="72" t="n">
        <v>0</v>
      </c>
      <c r="AT55" s="72" t="n">
        <v>-1.01</v>
      </c>
      <c r="AU55" s="72" t="n">
        <v>5.83</v>
      </c>
      <c r="AV55" s="72" t="n">
        <v>9.390000000000001</v>
      </c>
      <c r="AW55" s="72" t="n">
        <v>7.02</v>
      </c>
      <c r="AX55" s="72" t="n">
        <v>-5.59</v>
      </c>
      <c r="AY55" s="72" t="n">
        <v>-6.78</v>
      </c>
      <c r="AZ55" s="63" t="inlineStr">
        <is>
          <t>Hang Seng Properties sub-index</t>
        </is>
      </c>
      <c r="BA55" s="72" t="n">
        <v>-60.74</v>
      </c>
      <c r="BB55" s="64" t="inlineStr">
        <is>
          <t>2026-08-28</t>
        </is>
      </c>
      <c r="BC55" s="65" t="n">
        <v>471</v>
      </c>
      <c r="BD55" s="68" t="n">
        <v>77.3</v>
      </c>
      <c r="BE55" s="63" t="inlineStr">
        <is>
          <t>Y</t>
        </is>
      </c>
      <c r="BF55" s="74" t="n">
        <v>13.7</v>
      </c>
      <c r="BG55" s="74" t="n"/>
      <c r="BH55" s="74" t="n">
        <v>5.1</v>
      </c>
      <c r="BI55" s="74" t="n">
        <v>2.2</v>
      </c>
      <c r="BJ55" s="75">
        <f>IF('BBG Verify'!S55="","not filed — run on terminal",'BBG Verify'!S55)</f>
        <v/>
      </c>
      <c r="BK55" s="76" t="inlineStr">
        <is>
          <t>N</t>
        </is>
      </c>
      <c r="BL55" s="77">
        <f>IF('BBG Verify'!K55="","not filed — run on terminal",'BBG Verify'!K55)</f>
        <v/>
      </c>
      <c r="BM55" s="63" t="inlineStr">
        <is>
          <t>N/A</t>
        </is>
      </c>
      <c r="BN55" s="63" t="inlineStr">
        <is>
          <t>N/A</t>
        </is>
      </c>
      <c r="BO55" s="63" t="inlineStr">
        <is>
          <t>N/A</t>
        </is>
      </c>
      <c r="BP55" s="63" t="inlineStr">
        <is>
          <t>N/A</t>
        </is>
      </c>
      <c r="BQ55" s="63" t="inlineStr">
        <is>
          <t>N/A</t>
        </is>
      </c>
      <c r="BR55" s="63" t="inlineStr">
        <is>
          <t>N/A</t>
        </is>
      </c>
      <c r="BS55" s="76" t="inlineStr">
        <is>
          <t>CCB International Capital Limited</t>
        </is>
      </c>
      <c r="BT55" s="63" t="inlineStr">
        <is>
          <t>CCB International Capital Limited</t>
        </is>
      </c>
      <c r="BU55" s="63" t="inlineStr">
        <is>
          <t>CCB International Capital Limited; CMB International Capital Limited; Huatai Financial Holdings (Hong Kong) Limited; Seazen Resources Securities Limited; Shenwan Hongyuan Securities (H.K.) Limited; CMBC Securities Company Limited</t>
        </is>
      </c>
      <c r="BV55" s="63" t="inlineStr">
        <is>
          <t>CCB International Capital Limited; CMBC Securities Company Limited; CMB International Capital Limited; Huatai Financial Holdings (Hong Kong) Limited; I Win Securities Limited; Shenwan Hongyuan Securities (H.K.) Limited; Seazen Resources Securities Limited; Vision Capital International Holdings Limited</t>
        </is>
      </c>
      <c r="BW55" s="78">
        <f>HYPERLINK("https://www1.hkexnews.hk/listedco/listconews/sehk/2021/0629/2021062900045.pdf","prospectus")</f>
        <v/>
      </c>
      <c r="BX55" s="78">
        <f>HYPERLINK("https://www1.hkexnews.hk/listedco/listconews/sehk/2021/0709/2021070900020.htm","allotment")</f>
        <v/>
      </c>
      <c r="BY55" s="78">
        <f>HYPERLINK("https://www1.hkexnews.hk/listedco/listconews/sehk/2021/0805/2021080500013.pdf","stabilisation")</f>
        <v/>
      </c>
      <c r="BZ55" s="76" t="n"/>
      <c r="CA55" s="63" t="inlineStr">
        <is>
          <t>A/H: no A-share listing · cornerstone list: no cornerstone tranche in this deal · grey market: no grey-market headline on file for this deal — AAStocks publishes one per listing but keeps only recent items on the stock's news page, and no public archive of past evening sessions exists; captured from this run onward</t>
        </is>
      </c>
    </row>
    <row r="56" ht="15" customHeight="1">
      <c r="A56" s="62" t="inlineStr">
        <is>
          <t>2177</t>
        </is>
      </c>
      <c r="B56" s="63" t="inlineStr">
        <is>
          <t>UNQ HOLDINGS</t>
        </is>
      </c>
      <c r="C56" s="63" t="inlineStr">
        <is>
          <t>優趣匯控股</t>
        </is>
      </c>
      <c r="D56" s="63" t="inlineStr">
        <is>
          <t>Tech/AI</t>
        </is>
      </c>
      <c r="E56" s="63" t="inlineStr">
        <is>
          <t>Internet platform / e-commerce</t>
        </is>
      </c>
      <c r="F56" s="63" t="inlineStr">
        <is>
          <t>e-Commerce &amp; Internet Services</t>
        </is>
      </c>
      <c r="G56" s="63" t="inlineStr">
        <is>
          <t>Standard</t>
        </is>
      </c>
      <c r="H56" s="64" t="n">
        <v>44389</v>
      </c>
      <c r="I56" s="65" t="n">
        <v>327.99</v>
      </c>
      <c r="J56" s="63" t="inlineStr">
        <is>
          <t>net proceeds</t>
        </is>
      </c>
      <c r="K56" s="66" t="n">
        <v>11.86</v>
      </c>
      <c r="L56" s="66" t="n">
        <v>15.35</v>
      </c>
      <c r="M56" s="66" t="n">
        <v>11.86</v>
      </c>
      <c r="N56" s="63" t="inlineStr">
        <is>
          <t>N</t>
        </is>
      </c>
      <c r="O56" s="67" t="n">
        <v>77.3</v>
      </c>
      <c r="P56" s="67" t="n">
        <v>0</v>
      </c>
      <c r="Q56" s="68" t="n">
        <v>2414.9</v>
      </c>
      <c r="R56" s="63" t="inlineStr">
        <is>
          <t>aastocks:上市市值 at the struck price</t>
        </is>
      </c>
      <c r="S56" s="69" t="n">
        <v>25.45</v>
      </c>
      <c r="T56" s="70" t="n">
        <v>1.83</v>
      </c>
      <c r="U56" s="71" t="n">
        <v>31.3</v>
      </c>
      <c r="V56" s="68" t="n">
        <v>225.33</v>
      </c>
      <c r="W56" s="68" t="n"/>
      <c r="X56" s="67" t="n">
        <v>9.33</v>
      </c>
      <c r="Y56" s="63" t="inlineStr">
        <is>
          <t>Country Garden Property Services HK Holdings Company Limited; Kobayashi Pharmaceutical Co., Ltd; Unicharm Corporation</t>
        </is>
      </c>
      <c r="Z56" s="63" t="inlineStr">
        <is>
          <t>country;kobayashi;unicharm</t>
        </is>
      </c>
      <c r="AA56" s="67" t="n">
        <v>17.7</v>
      </c>
      <c r="AB56" s="72" t="n"/>
      <c r="AC56" s="66" t="n"/>
      <c r="AD56" s="72" t="n"/>
      <c r="AE56" s="63" t="n"/>
      <c r="AF56" s="63" t="n"/>
      <c r="AG56" s="63" t="inlineStr">
        <is>
          <t>lapsed</t>
        </is>
      </c>
      <c r="AH56" s="63" t="inlineStr">
        <is>
          <t>2021-08-04</t>
        </is>
      </c>
      <c r="AI56" s="63" t="inlineStr">
        <is>
          <t>China International Capital Corporation Hong Kong Securities Limited</t>
        </is>
      </c>
      <c r="AJ56" s="63" t="inlineStr">
        <is>
          <t>China International</t>
        </is>
      </c>
      <c r="AK56" s="73" t="n">
        <v>-23.78</v>
      </c>
      <c r="AL56" s="72" t="n">
        <v>3.04</v>
      </c>
      <c r="AM56" s="72" t="n">
        <v>-26.03</v>
      </c>
      <c r="AN56" s="72" t="n">
        <v>-29.09</v>
      </c>
      <c r="AO56" s="72" t="n">
        <v>-50.42</v>
      </c>
      <c r="AP56" s="72" t="n">
        <v>-57</v>
      </c>
      <c r="AQ56" s="72" t="n">
        <v>-6.97</v>
      </c>
      <c r="AR56" s="72" t="n">
        <v>-34.95</v>
      </c>
      <c r="AS56" s="72" t="n">
        <v>-43.58</v>
      </c>
      <c r="AT56" s="72" t="n">
        <v>-29.02</v>
      </c>
      <c r="AU56" s="72" t="n">
        <v>-42.4</v>
      </c>
      <c r="AV56" s="72" t="n">
        <v>-43.14</v>
      </c>
      <c r="AW56" s="72" t="n">
        <v>-25.82</v>
      </c>
      <c r="AX56" s="72" t="n">
        <v>-8.02</v>
      </c>
      <c r="AY56" s="72" t="n">
        <v>-9.130000000000001</v>
      </c>
      <c r="AZ56" s="63" t="inlineStr">
        <is>
          <t>HSTECH (Hang Seng TECH ETF)</t>
        </is>
      </c>
      <c r="BA56" s="72" t="n">
        <v>-79.76000000000001</v>
      </c>
      <c r="BB56" s="64" t="inlineStr">
        <is>
          <t>2026-08-28</t>
        </is>
      </c>
      <c r="BC56" s="65" t="n">
        <v>3080.9</v>
      </c>
      <c r="BD56" s="68" t="n">
        <v>47.3</v>
      </c>
      <c r="BE56" s="63" t="inlineStr">
        <is>
          <t>Y</t>
        </is>
      </c>
      <c r="BF56" s="74" t="n">
        <v>51.1</v>
      </c>
      <c r="BG56" s="74" t="n"/>
      <c r="BH56" s="74" t="n">
        <v>12.5</v>
      </c>
      <c r="BI56" s="74" t="n">
        <v>0.8</v>
      </c>
      <c r="BJ56" s="75">
        <f>IF('BBG Verify'!S56="","not filed — run on terminal",'BBG Verify'!S56)</f>
        <v/>
      </c>
      <c r="BK56" s="76" t="inlineStr">
        <is>
          <t>N</t>
        </is>
      </c>
      <c r="BL56" s="77">
        <f>IF('BBG Verify'!K56="","not filed — run on terminal",'BBG Verify'!K56)</f>
        <v/>
      </c>
      <c r="BM56" s="63" t="inlineStr">
        <is>
          <t>N/A</t>
        </is>
      </c>
      <c r="BN56" s="63" t="inlineStr">
        <is>
          <t>N/A</t>
        </is>
      </c>
      <c r="BO56" s="63" t="inlineStr">
        <is>
          <t>N/A</t>
        </is>
      </c>
      <c r="BP56" s="63" t="inlineStr">
        <is>
          <t>N/A</t>
        </is>
      </c>
      <c r="BQ56" s="63" t="inlineStr">
        <is>
          <t>N/A</t>
        </is>
      </c>
      <c r="BR56" s="63" t="inlineStr">
        <is>
          <t>N/A</t>
        </is>
      </c>
      <c r="BS56" s="76" t="inlineStr">
        <is>
          <t>China International Capital Corporation Hong Kong Securities Limited</t>
        </is>
      </c>
      <c r="BT56" s="63" t="inlineStr">
        <is>
          <t>China International Capital Corporation Hong Kong Securities Limited</t>
        </is>
      </c>
      <c r="BU56" s="63" t="inlineStr">
        <is>
          <t>China International Capital Corporation Hong Kong Securities Limited; Nomura International (Hong Kong) Limited; BOCI Asia Limited; BOCOM International Securities Limited; Futu Securities International (Hong Kong) Limited; Haitong International Securities Company Limited; Sunfund Securities Limited; Zhongtai International Securities Limited</t>
        </is>
      </c>
      <c r="BV56" s="63" t="inlineStr">
        <is>
          <t>Beta International Securities Limited; BOCI Asia Limited; China International Capital Corporation Hong Kong Securities Limited; Futu Securities International (Hong Kong) Limited; Haitong International Securities Company Limited; Livermore Holdings Limited; Nomura International (Hong Kong) Limited; Sunfund Securities Limited; Zhongtai International Securities Limited</t>
        </is>
      </c>
      <c r="BW56" s="78">
        <f>HYPERLINK("https://www1.hkexnews.hk/listedco/listconews/sehk/2021/0628/2021062800009.pdf","prospectus")</f>
        <v/>
      </c>
      <c r="BX56" s="78">
        <f>HYPERLINK("https://www1.hkexnews.hk/listedco/listconews/sehk/2021/0709/2021070900048.htm","allotment")</f>
        <v/>
      </c>
      <c r="BY56" s="78">
        <f>HYPERLINK("https://www1.hkexnews.hk/listedco/listconews/sehk/2021/0804/2021080401759.pdf","stabilisation")</f>
        <v/>
      </c>
      <c r="BZ56" s="76" t="n"/>
      <c r="CA56" s="63" t="inlineStr">
        <is>
          <t>A/H: no A-share listing · market cap: estimate from stated market capitalisation, rescaled to the offer price disagreed with the published listing cap — published figure adopted · grey market: no grey-market headline on file for this deal — AAStocks publishes one per listing but keeps only recent items on the stock's news page, and no public archive of past evening sessions exists; captured from this run onward · eff float shares: share count unavailable or rejected as implausible — the money figure (eff_free_float_hkdm) is still exact</t>
        </is>
      </c>
    </row>
    <row r="57" ht="15" customHeight="1">
      <c r="A57" s="62" t="inlineStr">
        <is>
          <t>6913</t>
        </is>
      </c>
      <c r="B57" s="63" t="inlineStr">
        <is>
          <t>SCVE GROUP</t>
        </is>
      </c>
      <c r="C57" s="63" t="inlineStr">
        <is>
          <t>華南職業教育</t>
        </is>
      </c>
      <c r="D57" s="63" t="inlineStr">
        <is>
          <t>Consumer</t>
        </is>
      </c>
      <c r="E57" s="63" t="inlineStr">
        <is>
          <t>Consumer services / education</t>
        </is>
      </c>
      <c r="F57" s="63" t="inlineStr">
        <is>
          <t>Education Services</t>
        </is>
      </c>
      <c r="G57" s="63" t="inlineStr">
        <is>
          <t>Standard</t>
        </is>
      </c>
      <c r="H57" s="64" t="n">
        <v>44390</v>
      </c>
      <c r="I57" s="65" t="n">
        <v>531.1</v>
      </c>
      <c r="J57" s="63" t="inlineStr">
        <is>
          <t>gross (price x shares)</t>
        </is>
      </c>
      <c r="K57" s="66" t="n">
        <v>1.59</v>
      </c>
      <c r="L57" s="66" t="n">
        <v>2.01</v>
      </c>
      <c r="M57" s="66" t="n">
        <v>1.59</v>
      </c>
      <c r="N57" s="63" t="inlineStr">
        <is>
          <t>N</t>
        </is>
      </c>
      <c r="O57" s="67" t="n">
        <v>79.09999999999999</v>
      </c>
      <c r="P57" s="67" t="n">
        <v>0</v>
      </c>
      <c r="Q57" s="68" t="n">
        <v>2564.2</v>
      </c>
      <c r="R57" s="63" t="inlineStr">
        <is>
          <t>aastocks:上市市值 at the struck price</t>
        </is>
      </c>
      <c r="S57" s="69" t="n">
        <v>6.01</v>
      </c>
      <c r="T57" s="70" t="n">
        <v>1.99</v>
      </c>
      <c r="U57" s="71" t="n">
        <v>0</v>
      </c>
      <c r="V57" s="68" t="n">
        <v>531.1</v>
      </c>
      <c r="W57" s="68" t="n">
        <v>334000000</v>
      </c>
      <c r="X57" s="67" t="n">
        <v>20.71</v>
      </c>
      <c r="Y57" s="63" t="n"/>
      <c r="Z57" s="63" t="n"/>
      <c r="AA57" s="67" t="n">
        <v>12.3</v>
      </c>
      <c r="AB57" s="72" t="n"/>
      <c r="AC57" s="66" t="n"/>
      <c r="AD57" s="72" t="n"/>
      <c r="AE57" s="63" t="n"/>
      <c r="AF57" s="63" t="n"/>
      <c r="AG57" s="63" t="inlineStr">
        <is>
          <t>lapsed</t>
        </is>
      </c>
      <c r="AH57" s="63" t="n"/>
      <c r="AI57" s="63" t="inlineStr">
        <is>
          <t>BNP Paribas Securities</t>
        </is>
      </c>
      <c r="AJ57" s="63" t="inlineStr">
        <is>
          <t>BNP Paribas</t>
        </is>
      </c>
      <c r="AK57" s="73" t="n">
        <v>-16.98</v>
      </c>
      <c r="AL57" s="72" t="n">
        <v>-8.81</v>
      </c>
      <c r="AM57" s="72" t="n">
        <v>-8.960000000000001</v>
      </c>
      <c r="AN57" s="72" t="n">
        <v>-33.33</v>
      </c>
      <c r="AO57" s="72" t="n">
        <v>-11.95</v>
      </c>
      <c r="AP57" s="72" t="n">
        <v>-24.53</v>
      </c>
      <c r="AQ57" s="72" t="n">
        <v>-19.69</v>
      </c>
      <c r="AR57" s="72" t="n">
        <v>6.06</v>
      </c>
      <c r="AS57" s="72" t="n">
        <v>-9.09</v>
      </c>
      <c r="AT57" s="72" t="n">
        <v>-32.43</v>
      </c>
      <c r="AU57" s="72" t="n">
        <v>-6.8</v>
      </c>
      <c r="AV57" s="72" t="n">
        <v>-12.42</v>
      </c>
      <c r="AW57" s="72" t="n">
        <v>12.97</v>
      </c>
      <c r="AX57" s="72" t="n">
        <v>-5.15</v>
      </c>
      <c r="AY57" s="72" t="n">
        <v>-6.91</v>
      </c>
      <c r="AZ57" s="63" t="inlineStr">
        <is>
          <t>Hang Seng Commerce &amp; Industry sub-index</t>
        </is>
      </c>
      <c r="BA57" s="72" t="n">
        <v>-93.33</v>
      </c>
      <c r="BB57" s="64" t="inlineStr">
        <is>
          <t>2026-08-28</t>
        </is>
      </c>
      <c r="BC57" s="65" t="n">
        <v>495</v>
      </c>
      <c r="BD57" s="68" t="n">
        <v>187</v>
      </c>
      <c r="BE57" s="63" t="inlineStr">
        <is>
          <t>Y</t>
        </is>
      </c>
      <c r="BF57" s="74" t="n">
        <v>13.7</v>
      </c>
      <c r="BG57" s="74" t="n"/>
      <c r="BH57" s="74" t="n"/>
      <c r="BI57" s="74" t="n">
        <v>5.2</v>
      </c>
      <c r="BJ57" s="75">
        <f>IF('BBG Verify'!S57="","not filed — run on terminal",'BBG Verify'!S57)</f>
        <v/>
      </c>
      <c r="BK57" s="76" t="inlineStr">
        <is>
          <t>N</t>
        </is>
      </c>
      <c r="BL57" s="77">
        <f>IF('BBG Verify'!K57="","not filed — run on terminal",'BBG Verify'!K57)</f>
        <v/>
      </c>
      <c r="BM57" s="63" t="inlineStr">
        <is>
          <t>N/A</t>
        </is>
      </c>
      <c r="BN57" s="63" t="inlineStr">
        <is>
          <t>N/A</t>
        </is>
      </c>
      <c r="BO57" s="63" t="inlineStr">
        <is>
          <t>N/A</t>
        </is>
      </c>
      <c r="BP57" s="63" t="inlineStr">
        <is>
          <t>N/A</t>
        </is>
      </c>
      <c r="BQ57" s="63" t="inlineStr">
        <is>
          <t>N/A</t>
        </is>
      </c>
      <c r="BR57" s="63" t="inlineStr">
        <is>
          <t>N/A</t>
        </is>
      </c>
      <c r="BS57" s="76" t="inlineStr">
        <is>
          <t>BNP Paribas Securities (Asia) Limited</t>
        </is>
      </c>
      <c r="BT57" s="63" t="inlineStr">
        <is>
          <t>BNP Paribas Securities (Asia) Limited</t>
        </is>
      </c>
      <c r="BU57" s="63" t="inlineStr">
        <is>
          <t>BNP Paribas Securities (Asia) Limited; Haitong International Securities Company Limited; CCB International Capital Limited; CMB International Capital Limited; Futu Securities International (Hong Kong) Limited; China Galaxy International Securities (Hong Kong) Co., Limited</t>
        </is>
      </c>
      <c r="BV57" s="63" t="inlineStr">
        <is>
          <t>BNP Paribas Securities (Asia) Limited; CCB International Capital Limited; China Galaxy International Securities (Hong Kong) Company Limited; CMB International Capital Corporation Limited; Futu Securities International (Hong Kong) Limited; Haitong International Securities Company Limited; Sinomax Securities Limited</t>
        </is>
      </c>
      <c r="BW57" s="78">
        <f>HYPERLINK("https://www1.hkexnews.hk/listedco/listconews/sehk/2021/0630/2021063000199.pdf","prospectus")</f>
        <v/>
      </c>
      <c r="BX57" s="78">
        <f>HYPERLINK("https://www1.hkexnews.hk/listedco/listconews/sehk/2021/0712/2021071200022.htm","allotment")</f>
        <v/>
      </c>
      <c r="BY57" s="78">
        <f>HYPERLINK("https://www1.hkexnews.hk/listedco/listconews/sehk/2021/0805/2021080500675.pdf","stabilisation")</f>
        <v/>
      </c>
      <c r="BZ57" s="76" t="n"/>
      <c r="CA57" s="63" t="inlineStr">
        <is>
          <t>greenshoe: over-allotment outcome already published, and the allotment announcement does not state the stabilisation expiry in a parsable form — the expiry no longer matters once resolved · A/H: no A-share listing · market cap: estimate from deal size / offer % of enlarged capital disagreed with the published listing cap — published figure adopted · cornerstone list: no cornerstone tranche in this deal · grey market: no grey-market headline on file for this deal — AAStocks publishes one per listing but keeps only recent items on the stock's news page, and no public archive of past evening sessions exists; captured from this run onward</t>
        </is>
      </c>
    </row>
    <row r="58" ht="15" customHeight="1">
      <c r="A58" s="62" t="inlineStr">
        <is>
          <t>2137</t>
        </is>
      </c>
      <c r="B58" s="63" t="inlineStr">
        <is>
          <t>BRII - B</t>
        </is>
      </c>
      <c r="C58" s="63" t="inlineStr">
        <is>
          <t>騰盛博藥－Ｂ</t>
        </is>
      </c>
      <c r="D58" s="63" t="inlineStr">
        <is>
          <t>Healthcare</t>
        </is>
      </c>
      <c r="E58" s="63" t="inlineStr">
        <is>
          <t>Biotech pre-revenue (18A)</t>
        </is>
      </c>
      <c r="F58" s="63" t="inlineStr">
        <is>
          <t>Biotechnology</t>
        </is>
      </c>
      <c r="G58" s="63" t="inlineStr">
        <is>
          <t>Standard</t>
        </is>
      </c>
      <c r="H58" s="64" t="n">
        <v>44390</v>
      </c>
      <c r="I58" s="65" t="n">
        <v>2482.7</v>
      </c>
      <c r="J58" s="63" t="inlineStr">
        <is>
          <t>gross (price x shares)</t>
        </is>
      </c>
      <c r="K58" s="66" t="n">
        <v>21</v>
      </c>
      <c r="L58" s="66" t="n">
        <v>22.25</v>
      </c>
      <c r="M58" s="66" t="n">
        <v>22.25</v>
      </c>
      <c r="N58" s="63" t="inlineStr">
        <is>
          <t>Y</t>
        </is>
      </c>
      <c r="O58" s="67" t="n">
        <v>100</v>
      </c>
      <c r="P58" s="67" t="n">
        <v>100</v>
      </c>
      <c r="Q58" s="68" t="n">
        <v>13987</v>
      </c>
      <c r="R58" s="63" t="inlineStr">
        <is>
          <t>derived:deal size / offer % of enlarged capital</t>
        </is>
      </c>
      <c r="S58" s="69" t="n">
        <v>292</v>
      </c>
      <c r="T58" s="70" t="n">
        <v>12</v>
      </c>
      <c r="U58" s="71" t="n">
        <v>47.52</v>
      </c>
      <c r="V58" s="68" t="n">
        <v>1302.92</v>
      </c>
      <c r="W58" s="68" t="n">
        <v>58557184</v>
      </c>
      <c r="X58" s="67" t="n">
        <v>9.32</v>
      </c>
      <c r="Y58" s="63" t="inlineStr">
        <is>
          <t>AIHC Master Fund; Athos Asia Event Driven Master Fund; Boyu Capital Opportunities Master Fund; Invesco Advisers, Inc; RBC Global Asset Management (Asia) Limited; Sage Partners Master Fund; SCC Growth V Holdco Q, Ltd; Springhill Master Fund Limited; The Valliance Fund; UBS Asset Management (Singapore) Ltd; Youyu Global Limited</t>
        </is>
      </c>
      <c r="Z58" s="63" t="inlineStr">
        <is>
          <t>aihc;athos;boyu;invesco;rbc;sage;scc;springhill;valliance;ubs;youyu</t>
        </is>
      </c>
      <c r="AA58" s="67" t="n">
        <v>6.1</v>
      </c>
      <c r="AB58" s="72" t="n"/>
      <c r="AC58" s="66" t="n"/>
      <c r="AD58" s="72" t="n"/>
      <c r="AE58" s="63" t="n"/>
      <c r="AF58" s="63" t="n"/>
      <c r="AG58" s="63" t="inlineStr">
        <is>
          <t>partial</t>
        </is>
      </c>
      <c r="AH58" s="63" t="inlineStr">
        <is>
          <t>2021-08-05</t>
        </is>
      </c>
      <c r="AI58" s="63" t="inlineStr">
        <is>
          <t>Morgan Stanley Asia Limited</t>
        </is>
      </c>
      <c r="AJ58" s="63" t="inlineStr">
        <is>
          <t>Morgan Stanley</t>
        </is>
      </c>
      <c r="AK58" s="73" t="n">
        <v>3.15</v>
      </c>
      <c r="AL58" s="72" t="n">
        <v>-3.82</v>
      </c>
      <c r="AM58" s="72" t="n">
        <v>7.25</v>
      </c>
      <c r="AN58" s="72" t="n">
        <v>-6.52</v>
      </c>
      <c r="AO58" s="72" t="n">
        <v>79.78</v>
      </c>
      <c r="AP58" s="72" t="n">
        <v>22.02</v>
      </c>
      <c r="AQ58" s="72" t="n">
        <v>-9.369999999999999</v>
      </c>
      <c r="AR58" s="72" t="n">
        <v>74.29000000000001</v>
      </c>
      <c r="AS58" s="72" t="n">
        <v>18.29</v>
      </c>
      <c r="AT58" s="72" t="n">
        <v>-6.88</v>
      </c>
      <c r="AU58" s="72" t="n">
        <v>87.09999999999999</v>
      </c>
      <c r="AV58" s="72" t="n">
        <v>39.45</v>
      </c>
      <c r="AW58" s="72" t="n">
        <v>81.16</v>
      </c>
      <c r="AX58" s="72" t="n">
        <v>-7.32</v>
      </c>
      <c r="AY58" s="72" t="n">
        <v>-6.87</v>
      </c>
      <c r="AZ58" s="63" t="inlineStr">
        <is>
          <t>China Biotech ETF (HS biotech proxy)</t>
        </is>
      </c>
      <c r="BA58" s="72" t="n">
        <v>-95.69</v>
      </c>
      <c r="BB58" s="64" t="inlineStr">
        <is>
          <t>2026-08-28</t>
        </is>
      </c>
      <c r="BC58" s="65" t="n">
        <v>34.1</v>
      </c>
      <c r="BD58" s="68" t="n">
        <v>-1411.9</v>
      </c>
      <c r="BE58" s="63" t="inlineStr">
        <is>
          <t>N</t>
        </is>
      </c>
      <c r="BF58" s="63" t="inlineStr">
        <is>
          <t>n/m</t>
        </is>
      </c>
      <c r="BG58" s="74" t="n"/>
      <c r="BH58" s="74" t="n"/>
      <c r="BI58" s="74" t="n">
        <v>410.2</v>
      </c>
      <c r="BJ58" s="75">
        <f>IF('BBG Verify'!S58="","not filed — run on terminal",'BBG Verify'!S58)</f>
        <v/>
      </c>
      <c r="BK58" s="76" t="inlineStr">
        <is>
          <t>N</t>
        </is>
      </c>
      <c r="BL58" s="77">
        <f>IF('BBG Verify'!K58="","not filed — run on terminal",'BBG Verify'!K58)</f>
        <v/>
      </c>
      <c r="BM58" s="63" t="inlineStr">
        <is>
          <t>N/A</t>
        </is>
      </c>
      <c r="BN58" s="63" t="inlineStr">
        <is>
          <t>N/A</t>
        </is>
      </c>
      <c r="BO58" s="63" t="inlineStr">
        <is>
          <t>N/A</t>
        </is>
      </c>
      <c r="BP58" s="63" t="inlineStr">
        <is>
          <t>N/A</t>
        </is>
      </c>
      <c r="BQ58" s="63" t="inlineStr">
        <is>
          <t>N/A</t>
        </is>
      </c>
      <c r="BR58" s="63" t="inlineStr">
        <is>
          <t>N/A</t>
        </is>
      </c>
      <c r="BS58" s="76" t="inlineStr">
        <is>
          <t>Morgan Stanley Asia Limited; UBS Securities Hong Kong Limited</t>
        </is>
      </c>
      <c r="BT58" s="63" t="inlineStr">
        <is>
          <t>Morgan Stanley Asia Limited; UBS Securities Hong Kong Limited</t>
        </is>
      </c>
      <c r="BU58" s="63" t="inlineStr">
        <is>
          <t>Morgan Stanley Asia Limited; UBS AG Hong Kong Branch; China International Capital Corporation Hong Kong Securities Limited</t>
        </is>
      </c>
      <c r="BV58" s="63" t="inlineStr">
        <is>
          <t>China International Capital Corporation Hong Kong Securities Limited; Morgan Stanley Asia Limited; UBS AG Hong Kong Branch</t>
        </is>
      </c>
      <c r="BW58" s="78">
        <f>HYPERLINK("https://www1.hkexnews.hk/listedco/listconews/sehk/2021/0630/2021063000045.pdf","prospectus")</f>
        <v/>
      </c>
      <c r="BX58" s="78">
        <f>HYPERLINK("https://www1.hkexnews.hk/listedco/listconews/sehk/2021/0712/2021071200036.htm","allotment")</f>
        <v/>
      </c>
      <c r="BY58" s="78">
        <f>HYPERLINK("https://www1.hkexnews.hk/listedco/listconews/sehk/2021/0805/2021080502190.pdf","stabilisation")</f>
        <v/>
      </c>
      <c r="BZ58" s="76" t="n"/>
      <c r="CA58" s="63" t="inlineStr">
        <is>
          <t>P/E: n/m — loss-making at IPO (use P/S) · A/H: no A-share listing · P/S: 410x on HK$34.1m revenue — effectively pre-revenue; the multiple is shown for completeness, not comparability · grey market: no grey-market headline on file for this deal — AAStocks publishes one per listing but keeps only recent items on the stock's news page, and no public archive of past evening sessions exists; captured from this run onward</t>
        </is>
      </c>
    </row>
    <row r="59" ht="15" customHeight="1">
      <c r="A59" s="62" t="inlineStr">
        <is>
          <t>2192</t>
        </is>
      </c>
      <c r="B59" s="63" t="inlineStr">
        <is>
          <t>MEDLIVE</t>
        </is>
      </c>
      <c r="C59" s="63" t="inlineStr">
        <is>
          <t>醫脈通</t>
        </is>
      </c>
      <c r="D59" s="63" t="inlineStr">
        <is>
          <t>Healthcare</t>
        </is>
      </c>
      <c r="E59" s="63" t="inlineStr">
        <is>
          <t>Digital health</t>
        </is>
      </c>
      <c r="F59" s="63" t="inlineStr">
        <is>
          <t>Health Care Services</t>
        </is>
      </c>
      <c r="G59" s="63" t="inlineStr">
        <is>
          <t>Standard</t>
        </is>
      </c>
      <c r="H59" s="64" t="n">
        <v>44392</v>
      </c>
      <c r="I59" s="65" t="n">
        <v>4218.6</v>
      </c>
      <c r="J59" s="63" t="inlineStr">
        <is>
          <t>gross (price x shares)</t>
        </is>
      </c>
      <c r="K59" s="66" t="n">
        <v>24.1</v>
      </c>
      <c r="L59" s="66" t="n">
        <v>27.2</v>
      </c>
      <c r="M59" s="66" t="n">
        <v>27.2</v>
      </c>
      <c r="N59" s="63" t="inlineStr">
        <is>
          <t>Y</t>
        </is>
      </c>
      <c r="O59" s="67" t="n">
        <v>100</v>
      </c>
      <c r="P59" s="67" t="n">
        <v>100</v>
      </c>
      <c r="Q59" s="68" t="n">
        <v>17703</v>
      </c>
      <c r="R59" s="63" t="inlineStr">
        <is>
          <t>prospectus:stated market capitalisation</t>
        </is>
      </c>
      <c r="S59" s="69" t="n">
        <v>592.41</v>
      </c>
      <c r="T59" s="70" t="n">
        <v>31.2</v>
      </c>
      <c r="U59" s="71" t="n">
        <v>40.48</v>
      </c>
      <c r="V59" s="68" t="n">
        <v>2510.91</v>
      </c>
      <c r="W59" s="68" t="n">
        <v>92313139</v>
      </c>
      <c r="X59" s="67" t="n">
        <v>14.18</v>
      </c>
      <c r="Y59" s="63" t="inlineStr">
        <is>
          <t>Fidelity Investments; FIL Investment Management (Hong Kong) Limited; GIC Private Limited; Matthews Funds; OrbiMed Funds; Springhill Master Fund Limited; Tencent Mobility Limited</t>
        </is>
      </c>
      <c r="Z59" s="63" t="inlineStr">
        <is>
          <t>fidelity;fil;gic;matthews;orbimed;springhill;tencent</t>
        </is>
      </c>
      <c r="AA59" s="67" t="n">
        <v>5.2</v>
      </c>
      <c r="AB59" s="72" t="n"/>
      <c r="AC59" s="66" t="n"/>
      <c r="AD59" s="72" t="n"/>
      <c r="AE59" s="63" t="n"/>
      <c r="AF59" s="63" t="n"/>
      <c r="AG59" s="63" t="inlineStr">
        <is>
          <t>partial</t>
        </is>
      </c>
      <c r="AH59" s="63" t="inlineStr">
        <is>
          <t>2021-08-06</t>
        </is>
      </c>
      <c r="AI59" s="63" t="inlineStr">
        <is>
          <t>Goldman Sachs</t>
        </is>
      </c>
      <c r="AJ59" s="63" t="inlineStr">
        <is>
          <t>Goldman Sachs</t>
        </is>
      </c>
      <c r="AK59" s="73" t="n">
        <v>13.97</v>
      </c>
      <c r="AL59" s="72" t="n">
        <v>6.25</v>
      </c>
      <c r="AM59" s="72" t="n">
        <v>7.27</v>
      </c>
      <c r="AN59" s="72" t="n">
        <v>11.21</v>
      </c>
      <c r="AO59" s="72" t="n">
        <v>29.23</v>
      </c>
      <c r="AP59" s="72" t="n">
        <v>42.28</v>
      </c>
      <c r="AQ59" s="72" t="n">
        <v>-2.42</v>
      </c>
      <c r="AR59" s="72" t="n">
        <v>13.39</v>
      </c>
      <c r="AS59" s="72" t="n">
        <v>24.84</v>
      </c>
      <c r="AT59" s="72" t="n">
        <v>13.47</v>
      </c>
      <c r="AU59" s="72" t="n">
        <v>39.37</v>
      </c>
      <c r="AV59" s="72" t="n">
        <v>60.8</v>
      </c>
      <c r="AW59" s="72" t="n">
        <v>22.89</v>
      </c>
      <c r="AX59" s="72" t="n">
        <v>-10.14</v>
      </c>
      <c r="AY59" s="72" t="n">
        <v>-9.5</v>
      </c>
      <c r="AZ59" s="63" t="inlineStr">
        <is>
          <t>China Biotech ETF (HS biotech proxy)</t>
        </is>
      </c>
      <c r="BA59" s="72" t="n">
        <v>-71.8</v>
      </c>
      <c r="BB59" s="64" t="inlineStr">
        <is>
          <t>2026-08-28</t>
        </is>
      </c>
      <c r="BC59" s="65" t="n">
        <v>234.9</v>
      </c>
      <c r="BD59" s="68" t="n">
        <v>93.7</v>
      </c>
      <c r="BE59" s="63" t="inlineStr">
        <is>
          <t>Y</t>
        </is>
      </c>
      <c r="BF59" s="74" t="n">
        <v>188.9</v>
      </c>
      <c r="BG59" s="74" t="n"/>
      <c r="BH59" s="74" t="n">
        <v>15.2</v>
      </c>
      <c r="BI59" s="74" t="n">
        <v>75.40000000000001</v>
      </c>
      <c r="BJ59" s="75">
        <f>IF('BBG Verify'!S59="","not filed — run on terminal",'BBG Verify'!S59)</f>
        <v/>
      </c>
      <c r="BK59" s="76" t="inlineStr">
        <is>
          <t>N</t>
        </is>
      </c>
      <c r="BL59" s="77">
        <f>IF('BBG Verify'!K59="","not filed — run on terminal",'BBG Verify'!K59)</f>
        <v/>
      </c>
      <c r="BM59" s="63" t="inlineStr">
        <is>
          <t>N/A</t>
        </is>
      </c>
      <c r="BN59" s="63" t="inlineStr">
        <is>
          <t>N/A</t>
        </is>
      </c>
      <c r="BO59" s="63" t="inlineStr">
        <is>
          <t>N/A</t>
        </is>
      </c>
      <c r="BP59" s="63" t="inlineStr">
        <is>
          <t>N/A</t>
        </is>
      </c>
      <c r="BQ59" s="63" t="inlineStr">
        <is>
          <t>N/A</t>
        </is>
      </c>
      <c r="BR59" s="63" t="inlineStr">
        <is>
          <t>N/A</t>
        </is>
      </c>
      <c r="BS59" s="76" t="inlineStr">
        <is>
          <t>Frost &amp; Sullivan (Beijing) Inc., Shanghai Branch; Bank of China (Hong Kong) Limited; KY1-1102 Cayman Islands Hong Kong Share Registrar Tricor Investor Services Limited; Somerley Capital Limited; Bank of Beijing Co., Ltd., Beijing Branch; The Industrial Bank Co., Ltd., Beijing Branch; Sanyuanqiao Sub-branch; CORPORATE INFORMATION China Citic Bank Corporation Limited, Beijing Branch; Jiuxianqiao Sub-branch; DBS Bank (China) Limited, Beijing Branch</t>
        </is>
      </c>
      <c r="BT59" s="63" t="inlineStr">
        <is>
          <t>Haitong International Capital Limited; Goldman Sachs (Asia) L.L.C.</t>
        </is>
      </c>
      <c r="BU59" s="63" t="inlineStr">
        <is>
          <t>China International Capital Corporation Hong Kong Securities Limited; Goldman Sachs (Asia) L.L.C.; Haitong International Securities Company Limited</t>
        </is>
      </c>
      <c r="BV59" s="63" t="inlineStr">
        <is>
          <t>China International Capital Corporation Hong Kong Securities Limited; Goldman Sachs (Asia) L.L.C.; Haitong International Securities Company Limited</t>
        </is>
      </c>
      <c r="BW59" s="78">
        <f>HYPERLINK("https://www1.hkexnews.hk/listedco/listconews/sehk/2021/0630/2021063000187.pdf","prospectus")</f>
        <v/>
      </c>
      <c r="BX59" s="78">
        <f>HYPERLINK("https://www1.hkexnews.hk/listedco/listconews/sehk/2021/0714/2021071400028.htm","allotment")</f>
        <v/>
      </c>
      <c r="BY59" s="78">
        <f>HYPERLINK("https://www1.hkexnews.hk/listedco/listconews/sehk/2021/0808/2021080800055.pdf","stabilisation")</f>
        <v/>
      </c>
      <c r="BZ59" s="76" t="n"/>
      <c r="CA59" s="63" t="inlineStr">
        <is>
          <t>A/H: no A-share listing · grey market: no grey-market headline on file for this deal — AAStocks publishes one per listing but keeps only recent items on the stock's news page, and no public archive of past evening sessions exists; captured from this run onward</t>
        </is>
      </c>
    </row>
    <row r="60" ht="15" customHeight="1">
      <c r="A60" s="62" t="inlineStr">
        <is>
          <t>6909</t>
        </is>
      </c>
      <c r="B60" s="63" t="inlineStr">
        <is>
          <t>BETTERLIFE HLDG</t>
        </is>
      </c>
      <c r="C60" s="63" t="inlineStr">
        <is>
          <t>百得利控股</t>
        </is>
      </c>
      <c r="D60" s="63" t="inlineStr">
        <is>
          <t>Consumer</t>
        </is>
      </c>
      <c r="E60" s="63" t="inlineStr">
        <is>
          <t>Retail / distribution</t>
        </is>
      </c>
      <c r="F60" s="63" t="inlineStr">
        <is>
          <t>Automotive Retail</t>
        </is>
      </c>
      <c r="G60" s="63" t="inlineStr">
        <is>
          <t>Standard</t>
        </is>
      </c>
      <c r="H60" s="64" t="n">
        <v>44392</v>
      </c>
      <c r="I60" s="65" t="n">
        <v>660</v>
      </c>
      <c r="J60" s="63" t="inlineStr">
        <is>
          <t>gross (price x shares)</t>
        </is>
      </c>
      <c r="K60" s="66" t="n">
        <v>4</v>
      </c>
      <c r="L60" s="66" t="n">
        <v>4.8</v>
      </c>
      <c r="M60" s="66" t="n">
        <v>4.4</v>
      </c>
      <c r="N60" s="63" t="inlineStr">
        <is>
          <t>N</t>
        </is>
      </c>
      <c r="O60" s="67" t="n">
        <v>91.7</v>
      </c>
      <c r="P60" s="67" t="n">
        <v>50</v>
      </c>
      <c r="Q60" s="68" t="n">
        <v>2640</v>
      </c>
      <c r="R60" s="63" t="inlineStr">
        <is>
          <t>derived:deal size / offer % of enlarged capital</t>
        </is>
      </c>
      <c r="S60" s="69" t="n">
        <v>43.92</v>
      </c>
      <c r="T60" s="70" t="n">
        <v>2.28</v>
      </c>
      <c r="U60" s="71" t="n">
        <v>0</v>
      </c>
      <c r="V60" s="68" t="n">
        <v>660</v>
      </c>
      <c r="W60" s="68" t="n">
        <v>150000000</v>
      </c>
      <c r="X60" s="67" t="n">
        <v>25</v>
      </c>
      <c r="Y60" s="63" t="n"/>
      <c r="Z60" s="63" t="n"/>
      <c r="AA60" s="67" t="n">
        <v>9.800000000000001</v>
      </c>
      <c r="AB60" s="72" t="n"/>
      <c r="AC60" s="66" t="n"/>
      <c r="AD60" s="72" t="n"/>
      <c r="AE60" s="63" t="n"/>
      <c r="AF60" s="63" t="n"/>
      <c r="AG60" s="63" t="inlineStr">
        <is>
          <t>full</t>
        </is>
      </c>
      <c r="AH60" s="63" t="n"/>
      <c r="AI60" s="63" t="inlineStr">
        <is>
          <t>Macquarie</t>
        </is>
      </c>
      <c r="AJ60" s="63" t="inlineStr">
        <is>
          <t>Macquarie</t>
        </is>
      </c>
      <c r="AK60" s="73" t="n">
        <v>25</v>
      </c>
      <c r="AL60" s="72" t="n">
        <v>34.09</v>
      </c>
      <c r="AM60" s="72" t="n">
        <v>-6.78</v>
      </c>
      <c r="AN60" s="72" t="n">
        <v>89.55</v>
      </c>
      <c r="AO60" s="72" t="n">
        <v>63.41</v>
      </c>
      <c r="AP60" s="72" t="n">
        <v>57.27</v>
      </c>
      <c r="AQ60" s="72" t="n">
        <v>51.64</v>
      </c>
      <c r="AR60" s="72" t="n">
        <v>30.73</v>
      </c>
      <c r="AS60" s="72" t="n">
        <v>25.82</v>
      </c>
      <c r="AT60" s="72" t="n">
        <v>90.8</v>
      </c>
      <c r="AU60" s="72" t="n">
        <v>71.28</v>
      </c>
      <c r="AV60" s="72" t="n">
        <v>68.45</v>
      </c>
      <c r="AW60" s="72" t="n">
        <v>38.95</v>
      </c>
      <c r="AX60" s="72" t="n">
        <v>-7.87</v>
      </c>
      <c r="AY60" s="72" t="n">
        <v>-8.220000000000001</v>
      </c>
      <c r="AZ60" s="63" t="inlineStr">
        <is>
          <t>Hang Seng Commerce &amp; Industry sub-index</t>
        </is>
      </c>
      <c r="BA60" s="72" t="n">
        <v>-95.05</v>
      </c>
      <c r="BB60" s="64" t="inlineStr">
        <is>
          <t>2026-08-28</t>
        </is>
      </c>
      <c r="BC60" s="65" t="n">
        <v>9386.4</v>
      </c>
      <c r="BD60" s="68" t="n">
        <v>337.1</v>
      </c>
      <c r="BE60" s="63" t="inlineStr">
        <is>
          <t>Y</t>
        </is>
      </c>
      <c r="BF60" s="74" t="n">
        <v>7.8</v>
      </c>
      <c r="BG60" s="74" t="n"/>
      <c r="BH60" s="74" t="n">
        <v>62.1</v>
      </c>
      <c r="BI60" s="74" t="n">
        <v>0.3</v>
      </c>
      <c r="BJ60" s="75">
        <f>IF('BBG Verify'!S60="","not filed — run on terminal",'BBG Verify'!S60)</f>
        <v/>
      </c>
      <c r="BK60" s="76" t="inlineStr">
        <is>
          <t>N</t>
        </is>
      </c>
      <c r="BL60" s="77">
        <f>IF('BBG Verify'!K60="","not filed — run on terminal",'BBG Verify'!K60)</f>
        <v/>
      </c>
      <c r="BM60" s="63" t="inlineStr">
        <is>
          <t>N/A</t>
        </is>
      </c>
      <c r="BN60" s="63" t="inlineStr">
        <is>
          <t>N/A</t>
        </is>
      </c>
      <c r="BO60" s="63" t="inlineStr">
        <is>
          <t>N/A</t>
        </is>
      </c>
      <c r="BP60" s="63" t="inlineStr">
        <is>
          <t>N/A</t>
        </is>
      </c>
      <c r="BQ60" s="63" t="inlineStr">
        <is>
          <t>N/A</t>
        </is>
      </c>
      <c r="BR60" s="63" t="inlineStr">
        <is>
          <t>N/A</t>
        </is>
      </c>
      <c r="BS60" s="76" t="inlineStr">
        <is>
          <t>Macquarie Capital Limited</t>
        </is>
      </c>
      <c r="BT60" s="63" t="inlineStr">
        <is>
          <t>Macquarie Capital Limited</t>
        </is>
      </c>
      <c r="BU60" s="63" t="inlineStr">
        <is>
          <t>Macquarie Capital Limited; Huatai Financial Holdings (Hong Kong) Limited; BOCOM International Securities Limited; UOB Kay Hian (Hong Kong) Limited; DBS Asia Capital Limited; First Shanghai Securities Limited; Maxa Capital Limited</t>
        </is>
      </c>
      <c r="BV60" s="63" t="inlineStr">
        <is>
          <t>Beta International Securities Limited; DBS Asia Capital Limited; First Shanghai Securities Limited; Futu Securities International (Hong Kong) Limited; Huatai Financial Holdings (Hong Kong) Limited; Huajin Securities (International) Limited; Macquarie Capital Limited; Maxa Capital Limited; UOB Kay Hian (Hong Kong) Limited</t>
        </is>
      </c>
      <c r="BW60" s="78">
        <f>HYPERLINK("https://www1.hkexnews.hk/listedco/listconews/sehk/2021/0630/2021063000067.pdf","prospectus")</f>
        <v/>
      </c>
      <c r="BX60" s="78">
        <f>HYPERLINK("https://www1.hkexnews.hk/listedco/listconews/sehk/2021/0714/2021071400040.htm","allotment")</f>
        <v/>
      </c>
      <c r="BY60" s="78">
        <f>HYPERLINK("https://www1.hkexnews.hk/listedco/listconews/sehk/2021/0808/2021080800009.pdf","stabilisation")</f>
        <v/>
      </c>
      <c r="BZ60" s="76" t="n"/>
      <c r="CA60" s="63" t="inlineStr">
        <is>
          <t>greenshoe: over-allotment outcome already published, and the allotment announcement does not state the stabilisation expiry in a parsable form — the expiry no longer matters once resolved · A/H: no A-share listing · cornerstone list: no cornerstone tranche in this deal · grey market: no grey-market headline on file for this deal — AAStocks publishes one per listing but keeps only recent items on the stock's news page, and no public archive of past evening sessions exists; captured from this run onward</t>
        </is>
      </c>
    </row>
    <row r="61" ht="15" customHeight="1">
      <c r="A61" s="62" t="inlineStr">
        <is>
          <t>2215</t>
        </is>
      </c>
      <c r="B61" s="63" t="inlineStr">
        <is>
          <t>DEXIN SER GROUP</t>
        </is>
      </c>
      <c r="C61" s="63" t="inlineStr">
        <is>
          <t>德信服務集團</t>
        </is>
      </c>
      <c r="D61" s="63" t="inlineStr">
        <is>
          <t>Real Estate</t>
        </is>
      </c>
      <c r="E61" s="63" t="inlineStr">
        <is>
          <t>Property management</t>
        </is>
      </c>
      <c r="F61" s="63" t="inlineStr">
        <is>
          <t>Property Service and Management</t>
        </is>
      </c>
      <c r="G61" s="63" t="inlineStr">
        <is>
          <t>Standard</t>
        </is>
      </c>
      <c r="H61" s="64" t="n">
        <v>44392</v>
      </c>
      <c r="I61" s="65" t="n">
        <v>765</v>
      </c>
      <c r="J61" s="63" t="inlineStr">
        <is>
          <t>gross (price x shares)</t>
        </is>
      </c>
      <c r="K61" s="66" t="n">
        <v>2.66</v>
      </c>
      <c r="L61" s="66" t="n">
        <v>3.44</v>
      </c>
      <c r="M61" s="66" t="n">
        <v>3.06</v>
      </c>
      <c r="N61" s="63" t="inlineStr">
        <is>
          <t>N</t>
        </is>
      </c>
      <c r="O61" s="67" t="n">
        <v>89</v>
      </c>
      <c r="P61" s="67" t="n">
        <v>51.3</v>
      </c>
      <c r="Q61" s="68" t="n">
        <v>2760.7</v>
      </c>
      <c r="R61" s="63" t="inlineStr">
        <is>
          <t>derived:deal size / offer % of enlarged capital</t>
        </is>
      </c>
      <c r="S61" s="69" t="n">
        <v>3.08</v>
      </c>
      <c r="T61" s="70" t="n">
        <v>1.31</v>
      </c>
      <c r="U61" s="71" t="n">
        <v>21.4</v>
      </c>
      <c r="V61" s="68" t="n">
        <v>601.29</v>
      </c>
      <c r="W61" s="68" t="n">
        <v>196500000</v>
      </c>
      <c r="X61" s="67" t="n">
        <v>21.78</v>
      </c>
      <c r="Y61" s="63" t="inlineStr">
        <is>
          <t>Hangzhou Jintou Shenghan Investment Partnership (Limited Partnership); Hangzhou Light Industrial Association Investment Group Co.,Ltd; JIC TRUST CO., LTD</t>
        </is>
      </c>
      <c r="Z61" s="63" t="inlineStr">
        <is>
          <t>hangzhou-jintou;hangzhou-light;jic</t>
        </is>
      </c>
      <c r="AA61" s="67" t="n">
        <v>15</v>
      </c>
      <c r="AB61" s="72" t="n"/>
      <c r="AC61" s="66" t="n"/>
      <c r="AD61" s="72" t="n"/>
      <c r="AE61" s="63" t="n"/>
      <c r="AF61" s="63" t="n"/>
      <c r="AG61" s="63" t="inlineStr">
        <is>
          <t>partial</t>
        </is>
      </c>
      <c r="AH61" s="63" t="inlineStr">
        <is>
          <t>2021-08-07</t>
        </is>
      </c>
      <c r="AI61" s="63" t="inlineStr">
        <is>
          <t>CCB International Capital Limited</t>
        </is>
      </c>
      <c r="AJ61" s="63" t="inlineStr">
        <is>
          <t>CCB</t>
        </is>
      </c>
      <c r="AK61" s="73" t="n">
        <v>0</v>
      </c>
      <c r="AL61" s="72" t="n">
        <v>0</v>
      </c>
      <c r="AM61" s="72" t="n">
        <v>0</v>
      </c>
      <c r="AN61" s="72" t="n">
        <v>-0</v>
      </c>
      <c r="AO61" s="72" t="n">
        <v>9.800000000000001</v>
      </c>
      <c r="AP61" s="72" t="n">
        <v>10.13</v>
      </c>
      <c r="AQ61" s="72" t="n">
        <v>0</v>
      </c>
      <c r="AR61" s="72" t="n">
        <v>9.800000000000001</v>
      </c>
      <c r="AS61" s="72" t="n">
        <v>10.13</v>
      </c>
      <c r="AT61" s="72" t="n">
        <v>-1.15</v>
      </c>
      <c r="AU61" s="72" t="n">
        <v>14.33</v>
      </c>
      <c r="AV61" s="72" t="n">
        <v>19.43</v>
      </c>
      <c r="AW61" s="72" t="n">
        <v>16.18</v>
      </c>
      <c r="AX61" s="72" t="n">
        <v>-4.53</v>
      </c>
      <c r="AY61" s="72" t="n">
        <v>-6.38</v>
      </c>
      <c r="AZ61" s="63" t="inlineStr">
        <is>
          <t>Hang Seng Properties sub-index</t>
        </is>
      </c>
      <c r="BA61" s="72" t="n">
        <v>-92.34999999999999</v>
      </c>
      <c r="BB61" s="64" t="inlineStr">
        <is>
          <t>2026-08-28</t>
        </is>
      </c>
      <c r="BC61" s="65" t="n">
        <v>761.6</v>
      </c>
      <c r="BD61" s="68" t="n">
        <v>116.4</v>
      </c>
      <c r="BE61" s="63" t="inlineStr">
        <is>
          <t>Y</t>
        </is>
      </c>
      <c r="BF61" s="74" t="n">
        <v>23.7</v>
      </c>
      <c r="BG61" s="74" t="n"/>
      <c r="BH61" s="74" t="n"/>
      <c r="BI61" s="74" t="n">
        <v>3.6</v>
      </c>
      <c r="BJ61" s="75">
        <f>IF('BBG Verify'!S61="","not filed — run on terminal",'BBG Verify'!S61)</f>
        <v/>
      </c>
      <c r="BK61" s="76" t="inlineStr">
        <is>
          <t>N</t>
        </is>
      </c>
      <c r="BL61" s="77">
        <f>IF('BBG Verify'!K61="","not filed — run on terminal",'BBG Verify'!K61)</f>
        <v/>
      </c>
      <c r="BM61" s="63" t="inlineStr">
        <is>
          <t>N/A</t>
        </is>
      </c>
      <c r="BN61" s="63" t="inlineStr">
        <is>
          <t>N/A</t>
        </is>
      </c>
      <c r="BO61" s="63" t="inlineStr">
        <is>
          <t>N/A</t>
        </is>
      </c>
      <c r="BP61" s="63" t="inlineStr">
        <is>
          <t>N/A</t>
        </is>
      </c>
      <c r="BQ61" s="63" t="inlineStr">
        <is>
          <t>N/A</t>
        </is>
      </c>
      <c r="BR61" s="63" t="inlineStr">
        <is>
          <t>N/A</t>
        </is>
      </c>
      <c r="BS61" s="76" t="inlineStr">
        <is>
          <t>CCB International Capital Limited</t>
        </is>
      </c>
      <c r="BT61" s="63" t="inlineStr">
        <is>
          <t>CCB International Capital Limited</t>
        </is>
      </c>
      <c r="BU61" s="63" t="inlineStr">
        <is>
          <t>CCB International Capital Limited; China Industrial Securities International Capital Limited; Zhongtai International Securities Limited; Vision Capital International Holdings Limited</t>
        </is>
      </c>
      <c r="BV61" s="63" t="inlineStr">
        <is>
          <t>CCB International Capital Limited; China Industrial Securities International Capital Limited; Futu Securities International (Hong Kong) Limited; I Win Securities Limited; Valuable Capital Limited; Vision Capital International Holdings Limited; Zhongtai International Securities Limited</t>
        </is>
      </c>
      <c r="BW61" s="78">
        <f>HYPERLINK("https://www1.hkexnews.hk/listedco/listconews/sehk/2021/0629/2021062900043.pdf","prospectus")</f>
        <v/>
      </c>
      <c r="BX61" s="78">
        <f>HYPERLINK("https://www1.hkexnews.hk/listedco/listconews/sehk/2021/0714/2021071400259.htm","allotment")</f>
        <v/>
      </c>
      <c r="BY61" s="78">
        <f>HYPERLINK("https://www1.hkexnews.hk/listedco/listconews/sehk/2021/0808/2021080800043.pdf","stabilisation")</f>
        <v/>
      </c>
      <c r="BZ61" s="76" t="n"/>
      <c r="CA61" s="63" t="inlineStr">
        <is>
          <t>A/H: no A-share listing · grey market: no grey-market headline on file for this deal — AAStocks publishes one per listing but keeps only recent items on the stock's news page, and no public archive of past evening sessions exists; captured from this run onward</t>
        </is>
      </c>
    </row>
    <row r="62" ht="15" customHeight="1">
      <c r="A62" s="62" t="inlineStr">
        <is>
          <t>9960</t>
        </is>
      </c>
      <c r="B62" s="63" t="inlineStr">
        <is>
          <t>KINDSTAR GLOBAL</t>
        </is>
      </c>
      <c r="C62" s="63" t="inlineStr">
        <is>
          <t>康聖環球</t>
        </is>
      </c>
      <c r="D62" s="63" t="inlineStr">
        <is>
          <t>Healthcare</t>
        </is>
      </c>
      <c r="E62" s="63" t="inlineStr">
        <is>
          <t>CXO / pharma services</t>
        </is>
      </c>
      <c r="F62" s="63" t="inlineStr">
        <is>
          <t>Health Care Services</t>
        </is>
      </c>
      <c r="G62" s="63" t="inlineStr">
        <is>
          <t>Standard</t>
        </is>
      </c>
      <c r="H62" s="64" t="n">
        <v>44393</v>
      </c>
      <c r="I62" s="65" t="n">
        <v>2214.2</v>
      </c>
      <c r="J62" s="63" t="inlineStr">
        <is>
          <t>gross (price x shares)</t>
        </is>
      </c>
      <c r="K62" s="66" t="n">
        <v>8.6</v>
      </c>
      <c r="L62" s="66" t="n">
        <v>9.779999999999999</v>
      </c>
      <c r="M62" s="66" t="n">
        <v>9.779999999999999</v>
      </c>
      <c r="N62" s="63" t="inlineStr">
        <is>
          <t>Y</t>
        </is>
      </c>
      <c r="O62" s="67" t="n">
        <v>100</v>
      </c>
      <c r="P62" s="67" t="n">
        <v>100</v>
      </c>
      <c r="Q62" s="68" t="n">
        <v>7993.5</v>
      </c>
      <c r="R62" s="63" t="inlineStr">
        <is>
          <t>derived:deal size / offer % of enlarged capital</t>
        </is>
      </c>
      <c r="S62" s="69" t="n">
        <v>543.03</v>
      </c>
      <c r="T62" s="70" t="n">
        <v>13.81</v>
      </c>
      <c r="U62" s="71" t="n">
        <v>49.08</v>
      </c>
      <c r="V62" s="68" t="n">
        <v>1127.47</v>
      </c>
      <c r="W62" s="68" t="n">
        <v>115285426</v>
      </c>
      <c r="X62" s="67" t="n">
        <v>14.1</v>
      </c>
      <c r="Y62" s="63" t="inlineStr">
        <is>
          <t>Athos Capital Limited; BlackRock, Inc; Carmignac Funds; China Pinnacle Equity Management Limited; DNCA Finance; IvyRock Asset Management (HK) Limited; Snow Lake Capital (HK) Limited</t>
        </is>
      </c>
      <c r="Z62" s="63" t="inlineStr">
        <is>
          <t>athos;blackrock;carmignac;pinnacle;dnca;ivyrock;snow</t>
        </is>
      </c>
      <c r="AA62" s="67" t="n">
        <v>7.2</v>
      </c>
      <c r="AB62" s="72" t="n"/>
      <c r="AC62" s="66" t="n"/>
      <c r="AD62" s="72" t="n"/>
      <c r="AE62" s="63" t="n"/>
      <c r="AF62" s="63" t="n"/>
      <c r="AG62" s="63" t="inlineStr">
        <is>
          <t>lapsed</t>
        </is>
      </c>
      <c r="AH62" s="63" t="inlineStr">
        <is>
          <t>2021-08-06</t>
        </is>
      </c>
      <c r="AI62" s="63" t="inlineStr">
        <is>
          <t>Goldman Sachs</t>
        </is>
      </c>
      <c r="AJ62" s="63" t="inlineStr">
        <is>
          <t>Goldman Sachs</t>
        </is>
      </c>
      <c r="AK62" s="73" t="n">
        <v>-7.57</v>
      </c>
      <c r="AL62" s="72" t="n">
        <v>0</v>
      </c>
      <c r="AM62" s="72" t="n">
        <v>-7.57</v>
      </c>
      <c r="AN62" s="72" t="n">
        <v>-18</v>
      </c>
      <c r="AO62" s="72" t="n">
        <v>-20.76</v>
      </c>
      <c r="AP62" s="72" t="n">
        <v>-45.3</v>
      </c>
      <c r="AQ62" s="72" t="n">
        <v>-11.28</v>
      </c>
      <c r="AR62" s="72" t="n">
        <v>-14.27</v>
      </c>
      <c r="AS62" s="72" t="n">
        <v>-40.82</v>
      </c>
      <c r="AT62" s="72" t="n">
        <v>-13.98</v>
      </c>
      <c r="AU62" s="72" t="n">
        <v>-10.43</v>
      </c>
      <c r="AV62" s="72" t="n">
        <v>-28.86</v>
      </c>
      <c r="AW62" s="72" t="n">
        <v>-4.25</v>
      </c>
      <c r="AX62" s="72" t="n">
        <v>-10.33</v>
      </c>
      <c r="AY62" s="72" t="n">
        <v>-10.02</v>
      </c>
      <c r="AZ62" s="63" t="inlineStr">
        <is>
          <t>China Biotech ETF (HS biotech proxy)</t>
        </is>
      </c>
      <c r="BA62" s="72" t="n">
        <v>-90.08</v>
      </c>
      <c r="BB62" s="64" t="inlineStr">
        <is>
          <t>2026-08-28</t>
        </is>
      </c>
      <c r="BC62" s="65" t="n">
        <v>980.5</v>
      </c>
      <c r="BD62" s="68" t="n">
        <v>-1067.1</v>
      </c>
      <c r="BE62" s="63" t="inlineStr">
        <is>
          <t>N</t>
        </is>
      </c>
      <c r="BF62" s="63" t="inlineStr">
        <is>
          <t>n/m</t>
        </is>
      </c>
      <c r="BG62" s="74" t="n"/>
      <c r="BH62" s="74" t="n"/>
      <c r="BI62" s="74" t="n">
        <v>8.199999999999999</v>
      </c>
      <c r="BJ62" s="75">
        <f>IF('BBG Verify'!S62="","not filed — run on terminal",'BBG Verify'!S62)</f>
        <v/>
      </c>
      <c r="BK62" s="76" t="inlineStr">
        <is>
          <t>N</t>
        </is>
      </c>
      <c r="BL62" s="77">
        <f>IF('BBG Verify'!K62="","not filed — run on terminal",'BBG Verify'!K62)</f>
        <v/>
      </c>
      <c r="BM62" s="63" t="inlineStr">
        <is>
          <t>N/A</t>
        </is>
      </c>
      <c r="BN62" s="63" t="inlineStr">
        <is>
          <t>N/A</t>
        </is>
      </c>
      <c r="BO62" s="63" t="inlineStr">
        <is>
          <t>N/A</t>
        </is>
      </c>
      <c r="BP62" s="63" t="inlineStr">
        <is>
          <t>N/A</t>
        </is>
      </c>
      <c r="BQ62" s="63" t="inlineStr">
        <is>
          <t>N/A</t>
        </is>
      </c>
      <c r="BR62" s="63" t="inlineStr">
        <is>
          <t>N/A</t>
        </is>
      </c>
      <c r="BS62" s="76" t="inlineStr">
        <is>
          <t>Goldman Sachs (Asia) L.L.C; China International Capital Corporation Hong Kong Securities Limited; Credit Suisse (Hong Kong) Limited</t>
        </is>
      </c>
      <c r="BT62" s="63" t="inlineStr">
        <is>
          <t>China International Capital Corporation Hong Kong Securities Limited; Goldman Sachs (Asia) L.L.C.; Credit Suisse (Hong Kong) Limited</t>
        </is>
      </c>
      <c r="BU62" s="63" t="inlineStr">
        <is>
          <t>Goldman Sachs (Asia) L.L.C; China International Capital Corporation Hong Kong Securities Limited; Credit Suisse (Hong Kong) Limited</t>
        </is>
      </c>
      <c r="BV62" s="63" t="inlineStr">
        <is>
          <t>China International Capital Corporation Hong Kong Securities Limited; Credit Suisse (Hong Kong) Limited; Futu Securities International (Hong Kong) Limited; Guotai Junan Securities (Hong Kong) Limited; Goldman Sachs (Asia) L.L.C.; VMS Securities Limited</t>
        </is>
      </c>
      <c r="BW62" s="78">
        <f>HYPERLINK("https://www1.hkexnews.hk/listedco/listconews/sehk/2021/0629/2021062900037.pdf","prospectus")</f>
        <v/>
      </c>
      <c r="BX62" s="78">
        <f>HYPERLINK("https://www1.hkexnews.hk/listedco/listconews/sehk/2021/0715/2021071500008.htm","allotment")</f>
        <v/>
      </c>
      <c r="BY62" s="78">
        <f>HYPERLINK("https://www1.hkexnews.hk/listedco/listconews/sehk/2021/0806/2021080601107.pdf","stabilisation")</f>
        <v/>
      </c>
      <c r="BZ62" s="76" t="n"/>
      <c r="CA62" s="63" t="inlineStr">
        <is>
          <t>P/E: n/m — loss-making at IPO (use P/S) · A/H: no A-share listing · grey market: no grey-market headline on file for this deal — AAStocks publishes one per listing but keeps only recent items on the stock's news page, and no public archive of past evening sessions exists; captured from this run onward</t>
        </is>
      </c>
    </row>
    <row r="63" ht="15" customHeight="1">
      <c r="A63" s="62" t="inlineStr">
        <is>
          <t>2175</t>
        </is>
      </c>
      <c r="B63" s="63" t="inlineStr">
        <is>
          <t>CH GENERAL EDU</t>
        </is>
      </c>
      <c r="C63" s="63" t="inlineStr">
        <is>
          <t>中國通才教育</t>
        </is>
      </c>
      <c r="D63" s="63" t="inlineStr">
        <is>
          <t>Consumer</t>
        </is>
      </c>
      <c r="E63" s="63" t="inlineStr">
        <is>
          <t>Consumer services / education</t>
        </is>
      </c>
      <c r="F63" s="63" t="inlineStr">
        <is>
          <t>Education Services</t>
        </is>
      </c>
      <c r="G63" s="63" t="inlineStr">
        <is>
          <t>Standard</t>
        </is>
      </c>
      <c r="H63" s="64" t="n">
        <v>44393</v>
      </c>
      <c r="I63" s="65" t="n">
        <v>461.2</v>
      </c>
      <c r="J63" s="63" t="inlineStr">
        <is>
          <t>gross (price x shares)</t>
        </is>
      </c>
      <c r="K63" s="66" t="n">
        <v>3.16</v>
      </c>
      <c r="L63" s="66" t="n">
        <v>4.38</v>
      </c>
      <c r="M63" s="66" t="n">
        <v>3.69</v>
      </c>
      <c r="N63" s="63" t="inlineStr">
        <is>
          <t>N</t>
        </is>
      </c>
      <c r="O63" s="67" t="n">
        <v>84.2</v>
      </c>
      <c r="P63" s="67" t="n">
        <v>43.4</v>
      </c>
      <c r="Q63" s="68" t="n">
        <v>2117</v>
      </c>
      <c r="R63" s="63" t="inlineStr">
        <is>
          <t>aastocks:上市市值 at the struck price</t>
        </is>
      </c>
      <c r="S63" s="69" t="n">
        <v>4.12</v>
      </c>
      <c r="T63" s="70" t="n">
        <v>1.47</v>
      </c>
      <c r="U63" s="71" t="n">
        <v>0</v>
      </c>
      <c r="V63" s="68" t="n">
        <v>461.2</v>
      </c>
      <c r="W63" s="68" t="n">
        <v>125000000</v>
      </c>
      <c r="X63" s="67" t="n">
        <v>21.79</v>
      </c>
      <c r="Y63" s="63" t="n"/>
      <c r="Z63" s="63" t="n"/>
      <c r="AA63" s="67" t="n">
        <v>20</v>
      </c>
      <c r="AB63" s="72" t="n"/>
      <c r="AC63" s="66" t="n"/>
      <c r="AD63" s="72" t="n"/>
      <c r="AE63" s="63" t="n"/>
      <c r="AF63" s="63" t="n"/>
      <c r="AG63" s="63" t="inlineStr">
        <is>
          <t>partial</t>
        </is>
      </c>
      <c r="AH63" s="63" t="n"/>
      <c r="AI63" s="63" t="inlineStr">
        <is>
          <t>Guotai Junan Securities</t>
        </is>
      </c>
      <c r="AJ63" s="63" t="inlineStr">
        <is>
          <t>Guotai Junan</t>
        </is>
      </c>
      <c r="AK63" s="73" t="n">
        <v>0</v>
      </c>
      <c r="AL63" s="72" t="n">
        <v>-10.84</v>
      </c>
      <c r="AM63" s="72" t="n">
        <v>12.16</v>
      </c>
      <c r="AN63" s="72" t="n">
        <v>0.8100000000000001</v>
      </c>
      <c r="AO63" s="72" t="n">
        <v>20.6</v>
      </c>
      <c r="AP63" s="72" t="n">
        <v>16.8</v>
      </c>
      <c r="AQ63" s="72" t="n">
        <v>0.8100000000000001</v>
      </c>
      <c r="AR63" s="72" t="n">
        <v>20.6</v>
      </c>
      <c r="AS63" s="72" t="n">
        <v>16.8</v>
      </c>
      <c r="AT63" s="72" t="n">
        <v>4.18</v>
      </c>
      <c r="AU63" s="72" t="n">
        <v>30.6</v>
      </c>
      <c r="AV63" s="72" t="n">
        <v>26.69</v>
      </c>
      <c r="AW63" s="72" t="n">
        <v>30.55</v>
      </c>
      <c r="AX63" s="72" t="n">
        <v>-10</v>
      </c>
      <c r="AY63" s="72" t="n">
        <v>-9.949999999999999</v>
      </c>
      <c r="AZ63" s="63" t="inlineStr">
        <is>
          <t>Hang Seng Commerce &amp; Industry sub-index</t>
        </is>
      </c>
      <c r="BA63" s="72" t="n">
        <v>-34.55</v>
      </c>
      <c r="BB63" s="64" t="inlineStr">
        <is>
          <t>2026-08-28</t>
        </is>
      </c>
      <c r="BC63" s="65" t="n">
        <v>298.2</v>
      </c>
      <c r="BD63" s="68" t="n">
        <v>157</v>
      </c>
      <c r="BE63" s="63" t="inlineStr">
        <is>
          <t>Y</t>
        </is>
      </c>
      <c r="BF63" s="74" t="n">
        <v>13.5</v>
      </c>
      <c r="BG63" s="74" t="n"/>
      <c r="BH63" s="74" t="n">
        <v>13.5</v>
      </c>
      <c r="BI63" s="74" t="n">
        <v>7.1</v>
      </c>
      <c r="BJ63" s="75">
        <f>IF('BBG Verify'!S63="","not filed — run on terminal",'BBG Verify'!S63)</f>
        <v/>
      </c>
      <c r="BK63" s="76" t="inlineStr">
        <is>
          <t>N</t>
        </is>
      </c>
      <c r="BL63" s="77">
        <f>IF('BBG Verify'!K63="","not filed — run on terminal",'BBG Verify'!K63)</f>
        <v/>
      </c>
      <c r="BM63" s="63" t="inlineStr">
        <is>
          <t>N/A</t>
        </is>
      </c>
      <c r="BN63" s="63" t="inlineStr">
        <is>
          <t>N/A</t>
        </is>
      </c>
      <c r="BO63" s="63" t="inlineStr">
        <is>
          <t>N/A</t>
        </is>
      </c>
      <c r="BP63" s="63" t="inlineStr">
        <is>
          <t>N/A</t>
        </is>
      </c>
      <c r="BQ63" s="63" t="inlineStr">
        <is>
          <t>N/A</t>
        </is>
      </c>
      <c r="BR63" s="63" t="inlineStr">
        <is>
          <t>N/A</t>
        </is>
      </c>
      <c r="BS63" s="76" t="inlineStr">
        <is>
          <t>Guotai Junan Capital Limited</t>
        </is>
      </c>
      <c r="BT63" s="63" t="inlineStr">
        <is>
          <t>Guotai Junan Capital Limited</t>
        </is>
      </c>
      <c r="BU63" s="63" t="inlineStr">
        <is>
          <t>Guotai Junan Securities (Hong Kong) Limited; China Merchants Securities (HK) Co., Limited; Haitong International Securities Company Limited; Shenwan Hongyuan Securities (H.K.) Limited; CMB International Capital Limited; China Everbright Securities (HK) Limited; Shanxi Securities International Limited; Harmonia Capital Limited; HTF Securities Limited; CMBC Securities Company Limited; Livermore Holdings Limited</t>
        </is>
      </c>
      <c r="BV63" s="63" t="inlineStr">
        <is>
          <t>Aristo Securities Limited; China Everbright Securities (HK) Limited; China Galaxy International Securities (Hong Kong) Company Limited; CMBC Securities Company Limited; CMB International Capital Limited; China Merchants Securities (HK) Company Limited; Guotai Junan Securities (Hong Kong) Limited; Harmonia Capital Limited; Haitong International Securities Company Limited; HTF Securities Limited; Livermore Holdings Limited; Merdeka Securities Limited</t>
        </is>
      </c>
      <c r="BW63" s="78">
        <f>HYPERLINK("https://www1.hkexnews.hk/listedco/listconews/sehk/2021/0630/2021063000077.pdf","prospectus")</f>
        <v/>
      </c>
      <c r="BX63" s="78">
        <f>HYPERLINK("https://www1.hkexnews.hk/listedco/listconews/sehk/2021/0715/2021071500034.htm","allotment")</f>
        <v/>
      </c>
      <c r="BY63" s="78">
        <f>HYPERLINK("https://www1.hkexnews.hk/listedco/listconews/sehk/2021/0808/2021080800003.pdf","stabilisation")</f>
        <v/>
      </c>
      <c r="BZ63" s="76" t="n"/>
      <c r="CA63" s="63" t="inlineStr">
        <is>
          <t>greenshoe: over-allotment outcome already published, and the allotment announcement does not state the stabilisation expiry in a parsable form — the expiry no longer matters once resolved · A/H: no A-share listing · market cap: estimate from stated market capitalisation, rescaled to the offer price disagreed with the published listing cap — published figure adopted · cornerstone list: no cornerstone tranche in this deal · grey market: no grey-market headline on file for this deal — AAStocks publishes one per listing but keeps only recent items on the stock's news page, and no public archive of past evening sessions exists; captured from this run onward</t>
        </is>
      </c>
    </row>
    <row r="64" ht="15" customHeight="1">
      <c r="A64" s="62" t="inlineStr">
        <is>
          <t>2205</t>
        </is>
      </c>
      <c r="B64" s="63" t="inlineStr">
        <is>
          <t>KANGQIAO SER</t>
        </is>
      </c>
      <c r="C64" s="63" t="inlineStr">
        <is>
          <t>康橋悅生活</t>
        </is>
      </c>
      <c r="D64" s="63" t="inlineStr">
        <is>
          <t>Real Estate</t>
        </is>
      </c>
      <c r="E64" s="63" t="inlineStr">
        <is>
          <t>Property management</t>
        </is>
      </c>
      <c r="F64" s="63" t="inlineStr">
        <is>
          <t>Property Service and Management</t>
        </is>
      </c>
      <c r="G64" s="63" t="inlineStr">
        <is>
          <t>Standard</t>
        </is>
      </c>
      <c r="H64" s="64" t="n">
        <v>44393</v>
      </c>
      <c r="I64" s="65" t="n">
        <v>644</v>
      </c>
      <c r="J64" s="63" t="inlineStr">
        <is>
          <t>gross (price x shares)</t>
        </is>
      </c>
      <c r="K64" s="66" t="n">
        <v>2.78</v>
      </c>
      <c r="L64" s="66" t="n">
        <v>3.88</v>
      </c>
      <c r="M64" s="66" t="n">
        <v>3.68</v>
      </c>
      <c r="N64" s="63" t="inlineStr">
        <is>
          <t>N</t>
        </is>
      </c>
      <c r="O64" s="67" t="n">
        <v>94.8</v>
      </c>
      <c r="P64" s="67" t="n">
        <v>81.8</v>
      </c>
      <c r="Q64" s="68" t="n">
        <v>2324.1</v>
      </c>
      <c r="R64" s="63" t="inlineStr">
        <is>
          <t>derived:deal size / offer % of enlarged capital</t>
        </is>
      </c>
      <c r="S64" s="69" t="n">
        <v>23.72</v>
      </c>
      <c r="T64" s="70" t="n">
        <v>1.55</v>
      </c>
      <c r="U64" s="71" t="n">
        <v>38.55</v>
      </c>
      <c r="V64" s="68" t="n">
        <v>395.74</v>
      </c>
      <c r="W64" s="68" t="n">
        <v>107537500</v>
      </c>
      <c r="X64" s="67" t="n">
        <v>17.03</v>
      </c>
      <c r="Y64" s="63" t="inlineStr">
        <is>
          <t>58.com Holdings Inc; Autobio Group Co., Ltd; Country Garden Property Services HK Holdings Company Limited</t>
        </is>
      </c>
      <c r="Z64" s="63" t="inlineStr">
        <is>
          <t>58;autobio;country</t>
        </is>
      </c>
      <c r="AA64" s="67" t="n">
        <v>10.2</v>
      </c>
      <c r="AB64" s="72" t="n"/>
      <c r="AC64" s="66" t="n"/>
      <c r="AD64" s="72" t="n"/>
      <c r="AE64" s="63" t="n"/>
      <c r="AF64" s="63" t="n"/>
      <c r="AG64" s="63" t="inlineStr">
        <is>
          <t>lapsed</t>
        </is>
      </c>
      <c r="AH64" s="63" t="inlineStr">
        <is>
          <t>2021-08-08</t>
        </is>
      </c>
      <c r="AI64" s="63" t="inlineStr">
        <is>
          <t>CCB International Capital Limited</t>
        </is>
      </c>
      <c r="AJ64" s="63" t="inlineStr">
        <is>
          <t>CCB</t>
        </is>
      </c>
      <c r="AK64" s="73" t="n">
        <v>-1.09</v>
      </c>
      <c r="AL64" s="72" t="n">
        <v>0</v>
      </c>
      <c r="AM64" s="72" t="n">
        <v>-1.09</v>
      </c>
      <c r="AN64" s="72" t="n">
        <v>-1.09</v>
      </c>
      <c r="AO64" s="72" t="n">
        <v>-2.99</v>
      </c>
      <c r="AP64" s="72" t="n">
        <v>-0.82</v>
      </c>
      <c r="AQ64" s="72" t="n">
        <v>0</v>
      </c>
      <c r="AR64" s="72" t="n">
        <v>-1.92</v>
      </c>
      <c r="AS64" s="72" t="n">
        <v>0.27</v>
      </c>
      <c r="AT64" s="72" t="n">
        <v>0.46</v>
      </c>
      <c r="AU64" s="72" t="n">
        <v>2.73</v>
      </c>
      <c r="AV64" s="72" t="n">
        <v>10.38</v>
      </c>
      <c r="AW64" s="72" t="n">
        <v>3.44</v>
      </c>
      <c r="AX64" s="72" t="n">
        <v>-5.72</v>
      </c>
      <c r="AY64" s="72" t="n">
        <v>-5.36</v>
      </c>
      <c r="AZ64" s="63" t="inlineStr">
        <is>
          <t>Hang Seng Properties sub-index</t>
        </is>
      </c>
      <c r="BA64" s="72" t="n">
        <v>-83.7</v>
      </c>
      <c r="BB64" s="64" t="inlineStr">
        <is>
          <t>2026-08-28</t>
        </is>
      </c>
      <c r="BC64" s="65" t="n">
        <v>633.1</v>
      </c>
      <c r="BD64" s="68" t="n">
        <v>101</v>
      </c>
      <c r="BE64" s="63" t="inlineStr">
        <is>
          <t>Y</t>
        </is>
      </c>
      <c r="BF64" s="74" t="n">
        <v>23</v>
      </c>
      <c r="BG64" s="74" t="n">
        <v>16.3</v>
      </c>
      <c r="BH64" s="74" t="n"/>
      <c r="BI64" s="74" t="n">
        <v>3.7</v>
      </c>
      <c r="BJ64" s="75">
        <f>IF('BBG Verify'!S64="","not filed — run on terminal",'BBG Verify'!S64)</f>
        <v/>
      </c>
      <c r="BK64" s="76" t="inlineStr">
        <is>
          <t>N</t>
        </is>
      </c>
      <c r="BL64" s="77">
        <f>IF('BBG Verify'!K64="","not filed — run on terminal",'BBG Verify'!K64)</f>
        <v/>
      </c>
      <c r="BM64" s="63" t="inlineStr">
        <is>
          <t>N/A</t>
        </is>
      </c>
      <c r="BN64" s="63" t="inlineStr">
        <is>
          <t>N/A</t>
        </is>
      </c>
      <c r="BO64" s="63" t="inlineStr">
        <is>
          <t>N/A</t>
        </is>
      </c>
      <c r="BP64" s="63" t="inlineStr">
        <is>
          <t>N/A</t>
        </is>
      </c>
      <c r="BQ64" s="63" t="inlineStr">
        <is>
          <t>N/A</t>
        </is>
      </c>
      <c r="BR64" s="63" t="inlineStr">
        <is>
          <t>N/A</t>
        </is>
      </c>
      <c r="BS64" s="76" t="inlineStr">
        <is>
          <t>CCB International Capital Limited</t>
        </is>
      </c>
      <c r="BT64" s="63" t="inlineStr">
        <is>
          <t>CCB International Capital Limited</t>
        </is>
      </c>
      <c r="BU64" s="63" t="inlineStr">
        <is>
          <t>CCB International Capital Limited; Haitong International Securities Company Limited; Sheng Yuan Securities Limited; Shenwan Hongyuan Securities (H.K.) Limited; DL SECURITIES (HK) LIMITED</t>
        </is>
      </c>
      <c r="BV64" s="63" t="inlineStr">
        <is>
          <t>CCB International Capital Limited; DL Securities (HK) Limited; Futu Securities International (Hong Kong) Limited; Guosen Securities (HK) Capital Company Limited; Haitong International Securities Company Limited; Livermore Holdings Limited; Opus Capital Limited; Shenwan Hongyuan Securities (H.K.) Limited; Sheng Yuan Securities Limited</t>
        </is>
      </c>
      <c r="BW64" s="78">
        <f>HYPERLINK("https://www1.hkexnews.hk/listedco/listconews/sehk/2021/0629/2021062900193.pdf","prospectus")</f>
        <v/>
      </c>
      <c r="BX64" s="78">
        <f>HYPERLINK("https://www1.hkexnews.hk/listedco/listconews/sehk/2021/0715/2021071500080.htm","allotment")</f>
        <v/>
      </c>
      <c r="BY64" s="78">
        <f>HYPERLINK("https://www1.hkexnews.hk/listedco/listconews/sehk/2021/0809/2021080900033.pdf","stabilisation")</f>
        <v/>
      </c>
      <c r="BZ64" s="76" t="n"/>
      <c r="CA64" s="63" t="inlineStr">
        <is>
          <t>A/H: no A-share listing · grey market: no grey-market headline on file for this deal — AAStocks publishes one per listing but keeps only recent items on the stock's news page, and no public archive of past evening sessions exists; captured from this run onward</t>
        </is>
      </c>
    </row>
    <row r="65" ht="15" customHeight="1">
      <c r="A65" s="62" t="inlineStr">
        <is>
          <t>6616</t>
        </is>
      </c>
      <c r="B65" s="63" t="inlineStr">
        <is>
          <t>GLOBAL NEW MAT</t>
        </is>
      </c>
      <c r="C65" s="63" t="inlineStr">
        <is>
          <t>環球新材國際</t>
        </is>
      </c>
      <c r="D65" s="63" t="inlineStr">
        <is>
          <t>Materials/Energy</t>
        </is>
      </c>
      <c r="E65" s="63" t="inlineStr">
        <is>
          <t>Chemicals</t>
        </is>
      </c>
      <c r="F65" s="63" t="inlineStr">
        <is>
          <t>Diversified Chemicals</t>
        </is>
      </c>
      <c r="G65" s="63" t="inlineStr">
        <is>
          <t>Standard</t>
        </is>
      </c>
      <c r="H65" s="64" t="n">
        <v>44393</v>
      </c>
      <c r="I65" s="65" t="n">
        <v>944.7</v>
      </c>
      <c r="J65" s="63" t="inlineStr">
        <is>
          <t>gross (price x shares)</t>
        </is>
      </c>
      <c r="K65" s="66" t="n">
        <v>3.52</v>
      </c>
      <c r="L65" s="66" t="n">
        <v>4.22</v>
      </c>
      <c r="M65" s="66" t="n">
        <v>3.25</v>
      </c>
      <c r="N65" s="63" t="inlineStr">
        <is>
          <t>N</t>
        </is>
      </c>
      <c r="O65" s="67" t="n">
        <v>77</v>
      </c>
      <c r="P65" s="67" t="n">
        <v>-38.6</v>
      </c>
      <c r="Q65" s="68" t="n">
        <v>4741.6</v>
      </c>
      <c r="R65" s="63" t="inlineStr">
        <is>
          <t>aastocks:上市市值 at the struck price</t>
        </is>
      </c>
      <c r="S65" s="69" t="n">
        <v>10.79</v>
      </c>
      <c r="T65" s="70" t="n">
        <v>1.16</v>
      </c>
      <c r="U65" s="71" t="n">
        <v>2.1</v>
      </c>
      <c r="V65" s="68" t="n">
        <v>924.86</v>
      </c>
      <c r="W65" s="68" t="n">
        <v>284569846</v>
      </c>
      <c r="X65" s="67" t="n">
        <v>19.51</v>
      </c>
      <c r="Y65" s="63" t="inlineStr">
        <is>
          <t>Shanghai Huijin Asset Management Co., Ltd; YBN Investments</t>
        </is>
      </c>
      <c r="Z65" s="63" t="inlineStr">
        <is>
          <t>shanghai-huijin;ybn</t>
        </is>
      </c>
      <c r="AA65" s="67" t="n">
        <v>6.6</v>
      </c>
      <c r="AB65" s="72" t="n"/>
      <c r="AC65" s="66" t="n"/>
      <c r="AD65" s="72" t="n"/>
      <c r="AE65" s="63" t="n"/>
      <c r="AF65" s="63" t="n"/>
      <c r="AG65" s="63" t="inlineStr">
        <is>
          <t>partial</t>
        </is>
      </c>
      <c r="AH65" s="63" t="inlineStr">
        <is>
          <t>2021-08-05</t>
        </is>
      </c>
      <c r="AI65" s="63" t="inlineStr">
        <is>
          <t>Essence International Securities</t>
        </is>
      </c>
      <c r="AJ65" s="63" t="inlineStr">
        <is>
          <t>Essence</t>
        </is>
      </c>
      <c r="AK65" s="73" t="n">
        <v>13.85</v>
      </c>
      <c r="AL65" s="72" t="n">
        <v>26.15</v>
      </c>
      <c r="AM65" s="72" t="n">
        <v>-9.75</v>
      </c>
      <c r="AN65" s="72" t="n">
        <v>26.46</v>
      </c>
      <c r="AO65" s="72" t="n">
        <v>93.84999999999999</v>
      </c>
      <c r="AP65" s="72" t="n">
        <v>61.54</v>
      </c>
      <c r="AQ65" s="72" t="n">
        <v>11.08</v>
      </c>
      <c r="AR65" s="72" t="n">
        <v>70.27</v>
      </c>
      <c r="AS65" s="72" t="n">
        <v>41.89</v>
      </c>
      <c r="AT65" s="72" t="n">
        <v>29.83</v>
      </c>
      <c r="AU65" s="72" t="n">
        <v>103.85</v>
      </c>
      <c r="AV65" s="72" t="n">
        <v>71.43000000000001</v>
      </c>
      <c r="AW65" s="72" t="n">
        <v>80.22</v>
      </c>
      <c r="AX65" s="72" t="n">
        <v>-10</v>
      </c>
      <c r="AY65" s="72" t="n">
        <v>-9.949999999999999</v>
      </c>
      <c r="AZ65" s="63" t="inlineStr">
        <is>
          <t>Hang Seng Commerce &amp; Industry sub-index</t>
        </is>
      </c>
      <c r="BA65" s="72" t="n">
        <v>201.23</v>
      </c>
      <c r="BB65" s="64" t="inlineStr">
        <is>
          <t>2026-08-28</t>
        </is>
      </c>
      <c r="BC65" s="65" t="n">
        <v>626</v>
      </c>
      <c r="BD65" s="68" t="n">
        <v>168.1</v>
      </c>
      <c r="BE65" s="63" t="inlineStr">
        <is>
          <t>Y</t>
        </is>
      </c>
      <c r="BF65" s="74" t="n">
        <v>28.2</v>
      </c>
      <c r="BG65" s="74" t="n"/>
      <c r="BH65" s="74" t="n"/>
      <c r="BI65" s="74" t="n">
        <v>7.6</v>
      </c>
      <c r="BJ65" s="75">
        <f>IF('BBG Verify'!S65="","not filed — run on terminal",'BBG Verify'!S65)</f>
        <v/>
      </c>
      <c r="BK65" s="76" t="inlineStr">
        <is>
          <t>N</t>
        </is>
      </c>
      <c r="BL65" s="77">
        <f>IF('BBG Verify'!K65="","not filed — run on terminal",'BBG Verify'!K65)</f>
        <v/>
      </c>
      <c r="BM65" s="63" t="inlineStr">
        <is>
          <t>N/A</t>
        </is>
      </c>
      <c r="BN65" s="63" t="inlineStr">
        <is>
          <t>N/A</t>
        </is>
      </c>
      <c r="BO65" s="63" t="inlineStr">
        <is>
          <t>N/A</t>
        </is>
      </c>
      <c r="BP65" s="63" t="inlineStr">
        <is>
          <t>N/A</t>
        </is>
      </c>
      <c r="BQ65" s="63" t="inlineStr">
        <is>
          <t>N/A</t>
        </is>
      </c>
      <c r="BR65" s="63" t="inlineStr">
        <is>
          <t>N/A</t>
        </is>
      </c>
      <c r="BS65" s="76" t="inlineStr">
        <is>
          <t>Essence Corporate Finance (Hong Kong) Limited</t>
        </is>
      </c>
      <c r="BT65" s="63" t="inlineStr">
        <is>
          <t>Essence Corporate Finance (Hong Kong) Limited</t>
        </is>
      </c>
      <c r="BU65" s="63" t="inlineStr">
        <is>
          <t>Beta International Securities Limited; China Industrial Securities International Capital Limited; CMBC Securities Company Limited; China PA Securities (Hong Kong) Company Limited; Essence International Securities (Hong Kong) Limited; Futu Securities International (Hong Kong) Limited</t>
        </is>
      </c>
      <c r="BV65" s="63" t="inlineStr">
        <is>
          <t>Beta International Securities Limited; China Industrial Securities International Capital Limited; CMBC Securities Company Limited; China PA Securities (Hong Kong) Company Limited; Essence International Securities (Hong Kong) Limited; Futu Securities International (Hong Kong) Limited; Fuyuan Securities Limited; GF Securities (Hong Kong) Brokerage Limited; Guotai Junan Securities (Hong Kong) Limited; Guosen Securities (HK) Capital Company Limited; HK Monkey Securities Limited; Shenwan Hongyuan Securities (H.K.) Limited</t>
        </is>
      </c>
      <c r="BW65" s="78">
        <f>HYPERLINK("https://www1.hkexnews.hk/listedco/listconews/sehk/2021/0630/2021063000059.pdf","prospectus")</f>
        <v/>
      </c>
      <c r="BX65" s="78">
        <f>HYPERLINK("https://www1.hkexnews.hk/listedco/listconews/sehk/2021/0715/2021071500120.htm","allotment")</f>
        <v/>
      </c>
      <c r="BY65" s="78">
        <f>HYPERLINK("https://www1.hkexnews.hk/listedco/listconews/sehk/2021/0805/2021080502158.pdf","stabilisation")</f>
        <v/>
      </c>
      <c r="BZ65" s="76" t="n"/>
      <c r="CA65" s="63" t="inlineStr">
        <is>
          <t>price range: struck at HK$3.25, below the indicative low HK$3.52 — Downward Offer Price Adjustment mechanism · A/H: no A-share listing · market cap: estimate from deal size / offer % of enlarged capital disagreed with the published listing cap — published figure adopted · grey market: no grey-market headline on file for this deal — AAStocks publishes one per listing but keeps only recent items on the stock's news page, and no public archive of past evening sessions exists; captured from this run onward</t>
        </is>
      </c>
    </row>
    <row r="66" ht="15" customHeight="1">
      <c r="A66" s="62" t="inlineStr">
        <is>
          <t>6611</t>
        </is>
      </c>
      <c r="B66" s="63" t="inlineStr">
        <is>
          <t>SANXUN GROUP</t>
        </is>
      </c>
      <c r="C66" s="63" t="inlineStr">
        <is>
          <t>三巽集團</t>
        </is>
      </c>
      <c r="D66" s="63" t="inlineStr">
        <is>
          <t>Real Estate</t>
        </is>
      </c>
      <c r="E66" s="63" t="inlineStr">
        <is>
          <t>Developers</t>
        </is>
      </c>
      <c r="F66" s="63" t="inlineStr">
        <is>
          <t>Property Development</t>
        </is>
      </c>
      <c r="G66" s="63" t="inlineStr">
        <is>
          <t>Standard</t>
        </is>
      </c>
      <c r="H66" s="64" t="n">
        <v>44396</v>
      </c>
      <c r="I66" s="65" t="n">
        <v>783.8</v>
      </c>
      <c r="J66" s="63" t="inlineStr">
        <is>
          <t>gross (price x shares)</t>
        </is>
      </c>
      <c r="K66" s="66" t="n">
        <v>3.3</v>
      </c>
      <c r="L66" s="66" t="n">
        <v>5.2</v>
      </c>
      <c r="M66" s="66" t="n">
        <v>4.75</v>
      </c>
      <c r="N66" s="63" t="inlineStr">
        <is>
          <t>N</t>
        </is>
      </c>
      <c r="O66" s="67" t="n">
        <v>91.3</v>
      </c>
      <c r="P66" s="67" t="n">
        <v>76.3</v>
      </c>
      <c r="Q66" s="68" t="n">
        <v>2805</v>
      </c>
      <c r="R66" s="63" t="inlineStr">
        <is>
          <t>prospectus:stated market capitalisation</t>
        </is>
      </c>
      <c r="S66" s="69" t="n">
        <v>3.22</v>
      </c>
      <c r="T66" s="70" t="n">
        <v>1.29</v>
      </c>
      <c r="U66" s="71" t="n">
        <v>0</v>
      </c>
      <c r="V66" s="68" t="n">
        <v>783.8</v>
      </c>
      <c r="W66" s="68" t="n">
        <v>165000000</v>
      </c>
      <c r="X66" s="67" t="n">
        <v>27.94</v>
      </c>
      <c r="Y66" s="63" t="n"/>
      <c r="Z66" s="63" t="n"/>
      <c r="AA66" s="67" t="n">
        <v>15</v>
      </c>
      <c r="AB66" s="72" t="n"/>
      <c r="AC66" s="66" t="n"/>
      <c r="AD66" s="72" t="n"/>
      <c r="AE66" s="63" t="n"/>
      <c r="AF66" s="63" t="n"/>
      <c r="AG66" s="63" t="inlineStr">
        <is>
          <t>partial</t>
        </is>
      </c>
      <c r="AH66" s="63" t="inlineStr">
        <is>
          <t>2021-08-11</t>
        </is>
      </c>
      <c r="AI66" s="63" t="inlineStr">
        <is>
          <t>CCB International Capital Limited</t>
        </is>
      </c>
      <c r="AJ66" s="63" t="inlineStr">
        <is>
          <t>CCB</t>
        </is>
      </c>
      <c r="AK66" s="73" t="n">
        <v>0</v>
      </c>
      <c r="AL66" s="72" t="n">
        <v>0.21</v>
      </c>
      <c r="AM66" s="72" t="n">
        <v>-0.21</v>
      </c>
      <c r="AN66" s="72" t="n">
        <v>0</v>
      </c>
      <c r="AO66" s="72" t="n">
        <v>-7.37</v>
      </c>
      <c r="AP66" s="72" t="n">
        <v>-3.16</v>
      </c>
      <c r="AQ66" s="72" t="n">
        <v>0</v>
      </c>
      <c r="AR66" s="72" t="n">
        <v>-7.37</v>
      </c>
      <c r="AS66" s="72" t="n">
        <v>-3.16</v>
      </c>
      <c r="AT66" s="72" t="n">
        <v>4.15</v>
      </c>
      <c r="AU66" s="72" t="n">
        <v>-1.03</v>
      </c>
      <c r="AV66" s="72" t="n">
        <v>7.04</v>
      </c>
      <c r="AW66" s="72" t="n">
        <v>-2.14</v>
      </c>
      <c r="AX66" s="72" t="n">
        <v>-6.34</v>
      </c>
      <c r="AY66" s="72" t="n">
        <v>-5.23</v>
      </c>
      <c r="AZ66" s="63" t="inlineStr">
        <is>
          <t>Hang Seng Properties sub-index</t>
        </is>
      </c>
      <c r="BA66" s="72" t="n">
        <v>-99.03</v>
      </c>
      <c r="BB66" s="64" t="inlineStr">
        <is>
          <t>2026-08-28</t>
        </is>
      </c>
      <c r="BC66" s="65" t="n">
        <v>4340.7</v>
      </c>
      <c r="BD66" s="68" t="n">
        <v>404.5</v>
      </c>
      <c r="BE66" s="63" t="inlineStr">
        <is>
          <t>Y</t>
        </is>
      </c>
      <c r="BF66" s="74" t="n">
        <v>6.9</v>
      </c>
      <c r="BG66" s="74" t="n"/>
      <c r="BH66" s="74" t="n"/>
      <c r="BI66" s="74" t="n">
        <v>0.6</v>
      </c>
      <c r="BJ66" s="75">
        <f>IF('BBG Verify'!S66="","not filed — run on terminal",'BBG Verify'!S66)</f>
        <v/>
      </c>
      <c r="BK66" s="76" t="inlineStr">
        <is>
          <t>N</t>
        </is>
      </c>
      <c r="BL66" s="77">
        <f>IF('BBG Verify'!K66="","not filed — run on terminal",'BBG Verify'!K66)</f>
        <v/>
      </c>
      <c r="BM66" s="63" t="inlineStr">
        <is>
          <t>N/A</t>
        </is>
      </c>
      <c r="BN66" s="63" t="inlineStr">
        <is>
          <t>N/A</t>
        </is>
      </c>
      <c r="BO66" s="63" t="inlineStr">
        <is>
          <t>N/A</t>
        </is>
      </c>
      <c r="BP66" s="63" t="inlineStr">
        <is>
          <t>N/A</t>
        </is>
      </c>
      <c r="BQ66" s="63" t="inlineStr">
        <is>
          <t>N/A</t>
        </is>
      </c>
      <c r="BR66" s="63" t="inlineStr">
        <is>
          <t>N/A</t>
        </is>
      </c>
      <c r="BS66" s="76" t="n"/>
      <c r="BT66" s="63" t="inlineStr">
        <is>
          <t>CCB International Capital Limited</t>
        </is>
      </c>
      <c r="BU66" s="63" t="inlineStr">
        <is>
          <t>CCB International Capital Limited; CRIC Securities Company Limited; BOCOM International Securities Limited</t>
        </is>
      </c>
      <c r="BV66" s="63" t="inlineStr">
        <is>
          <t>Beta International Securities Limited; CCB International Capital Limited; CRIC Securities Company Limited; Futu Securities International (Hong Kong) Limited; I Win Securities Limited; Valuable Capital Limited</t>
        </is>
      </c>
      <c r="BW66" s="78">
        <f>HYPERLINK("https://www1.hkexnews.hk/listedco/listconews/sehk/2021/0630/2021063000037.pdf","prospectus")</f>
        <v/>
      </c>
      <c r="BX66" s="78">
        <f>HYPERLINK("https://www1.hkexnews.hk/listedco/listconews/sehk/2021/0716/2021071600044.htm","allotment")</f>
        <v/>
      </c>
      <c r="BY66" s="78">
        <f>HYPERLINK("https://www1.hkexnews.hk/listedco/listconews/sehk/2021/0811/2021081101494.pdf","stabilisation")</f>
        <v/>
      </c>
      <c r="BZ66" s="76" t="n"/>
      <c r="CA66" s="63" t="inlineStr">
        <is>
          <t>A/H: no A-share listing · sponsor: English name not in the filing text; AAStocks 保薦人 shown · cornerstone list: no cornerstone tranche in this deal · grey market: no grey-market headline on file for this deal — AAStocks publishes one per listing but keeps only recent items on the stock's news page, and no public archive of past evening sessions exists; captured from this run onward</t>
        </is>
      </c>
    </row>
    <row r="67" ht="15" customHeight="1">
      <c r="A67" s="62" t="inlineStr">
        <is>
          <t>2015</t>
        </is>
      </c>
      <c r="B67" s="63" t="inlineStr">
        <is>
          <t>LI AUTO-W</t>
        </is>
      </c>
      <c r="C67" s="63" t="inlineStr">
        <is>
          <t>理想汽車－Ｗ</t>
        </is>
      </c>
      <c r="D67" s="63" t="inlineStr">
        <is>
          <t>Consumer</t>
        </is>
      </c>
      <c r="E67" s="63" t="inlineStr">
        <is>
          <t>Autos (NEV OEM)</t>
        </is>
      </c>
      <c r="F67" s="63" t="inlineStr">
        <is>
          <t>Automobile Manufacturers</t>
        </is>
      </c>
      <c r="G67" s="63" t="inlineStr">
        <is>
          <t>WVR</t>
        </is>
      </c>
      <c r="H67" s="64" t="n">
        <v>44420</v>
      </c>
      <c r="I67" s="65" t="n">
        <v>11800</v>
      </c>
      <c r="J67" s="63" t="inlineStr">
        <is>
          <t>gross (price x shares)</t>
        </is>
      </c>
      <c r="K67" s="66" t="n"/>
      <c r="L67" s="66" t="n">
        <v>150</v>
      </c>
      <c r="M67" s="66" t="n">
        <v>118</v>
      </c>
      <c r="N67" s="63" t="inlineStr">
        <is>
          <t>N</t>
        </is>
      </c>
      <c r="O67" s="67" t="n">
        <v>78.7</v>
      </c>
      <c r="P67" s="67" t="n"/>
      <c r="Q67" s="68" t="n">
        <v>242136</v>
      </c>
      <c r="R67" s="63" t="inlineStr">
        <is>
          <t>prospectus:stated market capitalisation, rescaled to the offer price</t>
        </is>
      </c>
      <c r="S67" s="69" t="n">
        <v>5.5</v>
      </c>
      <c r="T67" s="70" t="n">
        <v>7.9</v>
      </c>
      <c r="U67" s="71" t="n"/>
      <c r="V67" s="68" t="n">
        <v>11800</v>
      </c>
      <c r="W67" s="68" t="n">
        <v>100000000</v>
      </c>
      <c r="X67" s="67" t="n">
        <v>4.87</v>
      </c>
      <c r="Y67" s="63" t="n"/>
      <c r="Z67" s="63" t="n"/>
      <c r="AA67" s="67" t="n">
        <v>5.56</v>
      </c>
      <c r="AB67" s="72" t="n"/>
      <c r="AC67" s="66" t="n"/>
      <c r="AD67" s="72" t="n"/>
      <c r="AE67" s="63" t="n"/>
      <c r="AF67" s="63" t="n"/>
      <c r="AG67" s="63" t="inlineStr">
        <is>
          <t>partial</t>
        </is>
      </c>
      <c r="AH67" s="63" t="n"/>
      <c r="AI67" s="63" t="inlineStr">
        <is>
          <t>Goldman Sachs</t>
        </is>
      </c>
      <c r="AJ67" s="63" t="inlineStr">
        <is>
          <t>Goldman Sachs</t>
        </is>
      </c>
      <c r="AK67" s="73" t="n">
        <v>-0.85</v>
      </c>
      <c r="AL67" s="72" t="n">
        <v>0</v>
      </c>
      <c r="AM67" s="72" t="n">
        <v>-0.85</v>
      </c>
      <c r="AN67" s="72" t="n">
        <v>-7.71</v>
      </c>
      <c r="AO67" s="72" t="n">
        <v>0.76</v>
      </c>
      <c r="AP67" s="72" t="n">
        <v>0.85</v>
      </c>
      <c r="AQ67" s="72" t="n">
        <v>-6.92</v>
      </c>
      <c r="AR67" s="72" t="n">
        <v>1.62</v>
      </c>
      <c r="AS67" s="72" t="n">
        <v>1.71</v>
      </c>
      <c r="AT67" s="72" t="n">
        <v>0.27</v>
      </c>
      <c r="AU67" s="72" t="n">
        <v>2.02</v>
      </c>
      <c r="AV67" s="72" t="n">
        <v>5.17</v>
      </c>
      <c r="AW67" s="72" t="n">
        <v>2.71</v>
      </c>
      <c r="AX67" s="72" t="n">
        <v>-1.26</v>
      </c>
      <c r="AY67" s="72" t="n">
        <v>-1.09</v>
      </c>
      <c r="AZ67" s="63" t="inlineStr">
        <is>
          <t>Hang Seng Commerce &amp; Industry sub-index</t>
        </is>
      </c>
      <c r="BA67" s="72" t="n">
        <v>-59.34</v>
      </c>
      <c r="BB67" s="64" t="inlineStr">
        <is>
          <t>2026-08-28</t>
        </is>
      </c>
      <c r="BC67" s="65" t="n">
        <v>10402.3</v>
      </c>
      <c r="BD67" s="68" t="n">
        <v>-166.9</v>
      </c>
      <c r="BE67" s="63" t="inlineStr">
        <is>
          <t>N</t>
        </is>
      </c>
      <c r="BF67" s="63" t="inlineStr">
        <is>
          <t>n/m</t>
        </is>
      </c>
      <c r="BG67" s="74" t="n"/>
      <c r="BH67" s="74" t="n"/>
      <c r="BI67" s="74" t="n">
        <v>23.3</v>
      </c>
      <c r="BJ67" s="75">
        <f>IF('BBG Verify'!S67="","not filed — run on terminal",'BBG Verify'!S67)</f>
        <v/>
      </c>
      <c r="BK67" s="76" t="inlineStr">
        <is>
          <t>N</t>
        </is>
      </c>
      <c r="BL67" s="77">
        <f>IF('BBG Verify'!K67="","not filed — run on terminal",'BBG Verify'!K67)</f>
        <v/>
      </c>
      <c r="BM67" s="63" t="inlineStr">
        <is>
          <t>N/A</t>
        </is>
      </c>
      <c r="BN67" s="63" t="inlineStr">
        <is>
          <t>N/A</t>
        </is>
      </c>
      <c r="BO67" s="63" t="inlineStr">
        <is>
          <t>N/A</t>
        </is>
      </c>
      <c r="BP67" s="63" t="inlineStr">
        <is>
          <t>N/A</t>
        </is>
      </c>
      <c r="BQ67" s="63" t="inlineStr">
        <is>
          <t>N/A</t>
        </is>
      </c>
      <c r="BR67" s="63" t="inlineStr">
        <is>
          <t>N/A</t>
        </is>
      </c>
      <c r="BS67" s="76" t="inlineStr">
        <is>
          <t>Goldman Sachs (Asia) L.L.C; China International Capital Corporation Hong Kong Securities Limited</t>
        </is>
      </c>
      <c r="BT67" s="63" t="inlineStr">
        <is>
          <t>China International Capital Corporation Hong Kong Securities Limited; Goldman Sachs (Asia) L.L.C.</t>
        </is>
      </c>
      <c r="BU67" s="63" t="inlineStr">
        <is>
          <t>Goldman Sachs (Asia) L.L.C; China International Capital Corporation Hong Kong Securities Limited; UBS AG Hong Kong Branch; UBS Securities LLC; CLSA Limited; BOCI Asia Limited; CMB International Capital Limited; Futu Securities International (Hong Kong) Limited; to our Company UBS AG Hong Kong Branch</t>
        </is>
      </c>
      <c r="BV67" s="63" t="inlineStr">
        <is>
          <t>BOCI Asia Limited; China International Capital Corporation Hong Kong Securities Limited; CLSA Limited; CMB International Capital Limited; Futu Securities International (Hong Kong) Limited; Goldman Sachs (Asia) L.L.C.; UBS AG Hong Kong Branch</t>
        </is>
      </c>
      <c r="BW67" s="78">
        <f>HYPERLINK("https://www1.hkexnews.hk/listedco/listconews/sehk/2021/0803/2021080300011.pdf","prospectus")</f>
        <v/>
      </c>
      <c r="BX67" s="78">
        <f>HYPERLINK("https://www1.hkexnews.hk/listedco/listconews/sehk/2021/0811/2021081100020.htm","allotment")</f>
        <v/>
      </c>
      <c r="BY67" s="78">
        <f>HYPERLINK("https://www1.hkexnews.hk/listedco/listconews/sehk/2021/0905/2021090500025.pdf","stabilisation")</f>
        <v/>
      </c>
      <c r="BZ67" s="76" t="n"/>
      <c r="CA67" s="63" t="inlineStr">
        <is>
          <t>P/E: n/m — loss-making at IPO (use P/S) · greenshoe: over-allotment outcome already published, and the allotment announcement does not state the stabilisation expiry in a parsable form — the expiry no longer matters once resolved · range low: cap-only pricing — the filing publishes a Maximum Offer Price and no indicative floor · A/H: no A-share listing · market cap: prospectus states HK$307,800m at HK$150.00; rescaled to the struck HK$118.00 · cornerstone list: no cornerstone tranche in this deal · cornerstone %: no cornerstone tranche in this deal · grey market: no grey-market headline on file for this deal — AAStocks publishes one per listing but keeps only recent items on the stock's news page, and no public archive of past evening sessions exists; captured from this run onward</t>
        </is>
      </c>
    </row>
    <row r="68" ht="15" customHeight="1">
      <c r="A68" s="62" t="inlineStr">
        <is>
          <t>6609</t>
        </is>
      </c>
      <c r="B68" s="63" t="inlineStr">
        <is>
          <t>HEARTCARE-B</t>
        </is>
      </c>
      <c r="C68" s="63" t="inlineStr">
        <is>
          <t>心瑋醫療－Ｂ</t>
        </is>
      </c>
      <c r="D68" s="63" t="inlineStr">
        <is>
          <t>Healthcare</t>
        </is>
      </c>
      <c r="E68" s="63" t="inlineStr">
        <is>
          <t>Medical devices</t>
        </is>
      </c>
      <c r="F68" s="63" t="inlineStr">
        <is>
          <t>Biotechnology</t>
        </is>
      </c>
      <c r="G68" s="63" t="inlineStr">
        <is>
          <t>18A</t>
        </is>
      </c>
      <c r="H68" s="64" t="n">
        <v>44428</v>
      </c>
      <c r="I68" s="65" t="n">
        <v>459.7</v>
      </c>
      <c r="J68" s="63" t="inlineStr">
        <is>
          <t>net proceeds</t>
        </is>
      </c>
      <c r="K68" s="66" t="n">
        <v>160</v>
      </c>
      <c r="L68" s="66" t="n">
        <v>171</v>
      </c>
      <c r="M68" s="66" t="n">
        <v>171</v>
      </c>
      <c r="N68" s="63" t="inlineStr">
        <is>
          <t>Y</t>
        </is>
      </c>
      <c r="O68" s="67" t="n">
        <v>100</v>
      </c>
      <c r="P68" s="67" t="n">
        <v>100</v>
      </c>
      <c r="Q68" s="68" t="n">
        <v>6640.7</v>
      </c>
      <c r="R68" s="63" t="inlineStr">
        <is>
          <t>aastocks:上市市值 at the struck price</t>
        </is>
      </c>
      <c r="S68" s="69" t="n">
        <v>333.14</v>
      </c>
      <c r="T68" s="70" t="n">
        <v>8.300000000000001</v>
      </c>
      <c r="U68" s="71" t="n">
        <v>13.8</v>
      </c>
      <c r="V68" s="68" t="n">
        <v>396.26</v>
      </c>
      <c r="W68" s="68" t="n"/>
      <c r="X68" s="67" t="n">
        <v>5.97</v>
      </c>
      <c r="Y68" s="63" t="inlineStr">
        <is>
          <t>3W Fund Management Limited; Aspex Master Fund; Boyu Capital Opportunities Master Fund; Lake Bleu Prime Healthcare Master Fund Limited; LYFE CAPITAL FUND III (DRAGON), L.P; Octagon Investments Master Fund LP; Sage Partners Master Fund; Superstring Capital Master Fund LP; The Valliance Fund</t>
        </is>
      </c>
      <c r="Z68" s="63" t="inlineStr">
        <is>
          <t>3w;aspex;boyu;lake;lyfe;octagon;sage;superstring;valliance</t>
        </is>
      </c>
      <c r="AA68" s="67" t="n">
        <v>9.470000000000001</v>
      </c>
      <c r="AB68" s="72" t="n"/>
      <c r="AC68" s="66" t="n"/>
      <c r="AD68" s="72" t="n"/>
      <c r="AE68" s="63" t="n"/>
      <c r="AF68" s="63" t="n"/>
      <c r="AG68" s="63" t="inlineStr">
        <is>
          <t>lapsed</t>
        </is>
      </c>
      <c r="AH68" s="63" t="n"/>
      <c r="AI68" s="63" t="inlineStr">
        <is>
          <t>Goldman Sachs</t>
        </is>
      </c>
      <c r="AJ68" s="63" t="inlineStr">
        <is>
          <t>Goldman Sachs</t>
        </is>
      </c>
      <c r="AK68" s="73" t="n">
        <v>-24.56</v>
      </c>
      <c r="AL68" s="72" t="n">
        <v>-17.43</v>
      </c>
      <c r="AM68" s="72" t="n">
        <v>-8.640000000000001</v>
      </c>
      <c r="AN68" s="72" t="n">
        <v>-28.19</v>
      </c>
      <c r="AO68" s="72" t="n">
        <v>-42.4</v>
      </c>
      <c r="AP68" s="72" t="n">
        <v>-56.9</v>
      </c>
      <c r="AQ68" s="72" t="n">
        <v>-4.81</v>
      </c>
      <c r="AR68" s="72" t="n">
        <v>-23.65</v>
      </c>
      <c r="AS68" s="72" t="n">
        <v>-42.87</v>
      </c>
      <c r="AT68" s="72" t="n">
        <v>-24.24</v>
      </c>
      <c r="AU68" s="72" t="n">
        <v>-42.45</v>
      </c>
      <c r="AV68" s="72" t="n">
        <v>-47.55</v>
      </c>
      <c r="AW68" s="72" t="n">
        <v>-28.84</v>
      </c>
      <c r="AX68" s="72" t="n">
        <v>0.05</v>
      </c>
      <c r="AY68" s="72" t="n">
        <v>5.19</v>
      </c>
      <c r="AZ68" s="63" t="inlineStr">
        <is>
          <t>China Biotech ETF (HS biotech proxy)</t>
        </is>
      </c>
      <c r="BA68" s="72" t="n">
        <v>-71.79000000000001</v>
      </c>
      <c r="BB68" s="64" t="inlineStr">
        <is>
          <t>2026-08-28</t>
        </is>
      </c>
      <c r="BC68" s="65" t="n">
        <v>0.1</v>
      </c>
      <c r="BD68" s="68" t="n"/>
      <c r="BE68" s="63" t="n"/>
      <c r="BF68" s="75">
        <f>IF('BBG Verify'!O68="","not filed — run on terminal",'BBG Verify'!O68)</f>
        <v/>
      </c>
      <c r="BG68" s="74" t="n"/>
      <c r="BH68" s="74" t="n">
        <v>20.8</v>
      </c>
      <c r="BI68" s="74" t="n">
        <v>66407</v>
      </c>
      <c r="BJ68" s="75">
        <f>IF('BBG Verify'!S68="","not filed — run on terminal",'BBG Verify'!S68)</f>
        <v/>
      </c>
      <c r="BK68" s="76" t="inlineStr">
        <is>
          <t>N</t>
        </is>
      </c>
      <c r="BL68" s="77">
        <f>IF('BBG Verify'!K68="","not filed — run on terminal",'BBG Verify'!K68)</f>
        <v/>
      </c>
      <c r="BM68" s="63" t="inlineStr">
        <is>
          <t>N/A</t>
        </is>
      </c>
      <c r="BN68" s="63" t="inlineStr">
        <is>
          <t>N/A</t>
        </is>
      </c>
      <c r="BO68" s="63" t="inlineStr">
        <is>
          <t>N/A</t>
        </is>
      </c>
      <c r="BP68" s="63" t="inlineStr">
        <is>
          <t>N/A</t>
        </is>
      </c>
      <c r="BQ68" s="63" t="inlineStr">
        <is>
          <t>N/A</t>
        </is>
      </c>
      <c r="BR68" s="63" t="inlineStr">
        <is>
          <t>N/A</t>
        </is>
      </c>
      <c r="BS68" s="76" t="inlineStr">
        <is>
          <t>Goldman Sachs (Asia) L.L.C; China International Capital Corporation Hong Kong Securities Limited</t>
        </is>
      </c>
      <c r="BT68" s="63" t="inlineStr">
        <is>
          <t>China International Capital Corporation Hong Kong Securities Limited; Goldman Sachs (Asia) L.L.C.</t>
        </is>
      </c>
      <c r="BU68" s="63" t="inlineStr">
        <is>
          <t>Goldman Sachs (Asia) L.L.C; China International Capital Corporation Hong Kong Securities Limited</t>
        </is>
      </c>
      <c r="BV68" s="63" t="inlineStr">
        <is>
          <t>China International Capital Corporation Hong Kong Securities Limited; Futu Securities International (Hong Kong) Limited; Goldman Sachs (Asia) L.L.C.</t>
        </is>
      </c>
      <c r="BW68" s="78">
        <f>HYPERLINK("https://www1.hkexnews.hk/listedco/listconews/sehk/2021/0810/2021081000015.pdf","prospectus")</f>
        <v/>
      </c>
      <c r="BX68" s="78">
        <f>HYPERLINK("https://www1.hkexnews.hk/listedco/listconews/sehk/2021/0819/2021081900014.htm","allotment")</f>
        <v/>
      </c>
      <c r="BY68" s="78">
        <f>HYPERLINK("https://www1.hkexnews.hk/listedco/listconews/sehk/2021/0912/2021091200105.pdf","stabilisation")</f>
        <v/>
      </c>
      <c r="BZ68" s="76" t="n"/>
      <c r="CA68" s="63" t="inlineStr">
        <is>
          <t>P/E: net income not stated in extractable form · greenshoe: over-allotment outcome already published, and the allotment announcement does not state the stabilisation expiry in a parsable form — the expiry no longer matters once resolved · A/H: no A-share listing · market cap: estimate from deal size / offer % of enlarged capital disagreed with the published listing cap — published figure adopted · cornerstone: AAStocks institutional table includes non-cornerstone orders (superset) — cornerstone % is from the prospectus · P/S: 66,407x on HK$0.1m revenue — effectively pre-revenue; the multiple is shown for completeness, not comparability · financials: financial tables not machine-extractable and the pre-IPO year is outside AAStocks' 5-year window · grey market: no grey-market headline on file for this deal — AAStocks publishes one per listing but keeps only recent items on the stock's news page, and no public archive of past evening sessions exists; captured from this run onward · eff float shares: share count unavailable or rejected as implausible — the money figure (eff_free_float_hkdm) is still exact</t>
        </is>
      </c>
    </row>
    <row r="69" ht="15" customHeight="1">
      <c r="A69" s="62" t="inlineStr">
        <is>
          <t>6669</t>
        </is>
      </c>
      <c r="B69" s="63" t="inlineStr">
        <is>
          <t>ACOTEC-B</t>
        </is>
      </c>
      <c r="C69" s="63" t="inlineStr">
        <is>
          <t>先瑞達醫療－Ｂ</t>
        </is>
      </c>
      <c r="D69" s="63" t="inlineStr">
        <is>
          <t>Healthcare</t>
        </is>
      </c>
      <c r="E69" s="63" t="inlineStr">
        <is>
          <t>Medical devices</t>
        </is>
      </c>
      <c r="F69" s="63" t="inlineStr">
        <is>
          <t>Biotechnology</t>
        </is>
      </c>
      <c r="G69" s="63" t="inlineStr">
        <is>
          <t>18A</t>
        </is>
      </c>
      <c r="H69" s="64" t="n">
        <v>44432</v>
      </c>
      <c r="I69" s="65" t="n">
        <v>1633.5</v>
      </c>
      <c r="J69" s="63" t="inlineStr">
        <is>
          <t>gross (price x shares)</t>
        </is>
      </c>
      <c r="K69" s="66" t="n">
        <v>22.2</v>
      </c>
      <c r="L69" s="66" t="n">
        <v>23.8</v>
      </c>
      <c r="M69" s="66" t="n">
        <v>23.8</v>
      </c>
      <c r="N69" s="63" t="inlineStr">
        <is>
          <t>Y</t>
        </is>
      </c>
      <c r="O69" s="67" t="n">
        <v>100</v>
      </c>
      <c r="P69" s="67" t="n">
        <v>100</v>
      </c>
      <c r="Q69" s="68" t="n">
        <v>6694.7</v>
      </c>
      <c r="R69" s="63" t="inlineStr">
        <is>
          <t>derived:deal size / offer % of enlarged capital</t>
        </is>
      </c>
      <c r="S69" s="69" t="n">
        <v>654.51</v>
      </c>
      <c r="T69" s="70" t="n">
        <v>4.86</v>
      </c>
      <c r="U69" s="71" t="n">
        <v>28.5</v>
      </c>
      <c r="V69" s="68" t="n">
        <v>1167.95</v>
      </c>
      <c r="W69" s="68" t="n">
        <v>49072595</v>
      </c>
      <c r="X69" s="67" t="n">
        <v>17.45</v>
      </c>
      <c r="Y69" s="63" t="inlineStr">
        <is>
          <t>Athos Asia Event Driven Master Fund; China International Capital Corporation Limited; China Universal Asset Management Limited Liability Company; CPE Investment; Daguan International Limited; Dymon Asia Capital (Singapore) Pte. Ltd; E Fund Global Healthcare Sector Sponsored Hybrid Fund; New Journey Hospital Group Ltd; Panjing Harbourview Investment Fund; Perseverance Asset Management International (Singapore) Pte. Ltd; Pinpoint Asset Management Limited; PRIMEONE LUCK LIMITED; The Valliance Fund</t>
        </is>
      </c>
      <c r="Z69" s="63" t="inlineStr">
        <is>
          <t>athos;china-international;universal;cpe;daguan;dymon;healthcare;new-journey;panjing;perseverance;pinpoint;primeone;valliance</t>
        </is>
      </c>
      <c r="AA69" s="67" t="n">
        <v>11.72</v>
      </c>
      <c r="AB69" s="72" t="n"/>
      <c r="AC69" s="66" t="n"/>
      <c r="AD69" s="72" t="n"/>
      <c r="AE69" s="63" t="n"/>
      <c r="AF69" s="63" t="n"/>
      <c r="AG69" s="63" t="inlineStr">
        <is>
          <t>lapsed</t>
        </is>
      </c>
      <c r="AH69" s="63" t="inlineStr">
        <is>
          <t>2021-09-16</t>
        </is>
      </c>
      <c r="AI69" s="63" t="inlineStr">
        <is>
          <t>Morgan Stanley Asia Limited</t>
        </is>
      </c>
      <c r="AJ69" s="63" t="inlineStr">
        <is>
          <t>Morgan Stanley</t>
        </is>
      </c>
      <c r="AK69" s="73" t="n">
        <v>-26.05</v>
      </c>
      <c r="AL69" s="72" t="n">
        <v>-23.03</v>
      </c>
      <c r="AM69" s="72" t="n">
        <v>-3.92</v>
      </c>
      <c r="AN69" s="72" t="n">
        <v>-26.89</v>
      </c>
      <c r="AO69" s="72" t="n">
        <v>-37.9</v>
      </c>
      <c r="AP69" s="72" t="n">
        <v>-41.01</v>
      </c>
      <c r="AQ69" s="72" t="n">
        <v>-1.14</v>
      </c>
      <c r="AR69" s="72" t="n">
        <v>-16.02</v>
      </c>
      <c r="AS69" s="72" t="n">
        <v>-20.23</v>
      </c>
      <c r="AT69" s="72" t="n">
        <v>-25.03</v>
      </c>
      <c r="AU69" s="72" t="n">
        <v>-38.55</v>
      </c>
      <c r="AV69" s="72" t="n">
        <v>-36.11</v>
      </c>
      <c r="AW69" s="72" t="n">
        <v>-14.79</v>
      </c>
      <c r="AX69" s="72" t="n">
        <v>0.65</v>
      </c>
      <c r="AY69" s="72" t="n">
        <v>-1.23</v>
      </c>
      <c r="AZ69" s="63" t="inlineStr">
        <is>
          <t>China Biotech ETF (HS biotech proxy)</t>
        </is>
      </c>
      <c r="BA69" s="72" t="n">
        <v>-72.27</v>
      </c>
      <c r="BB69" s="64" t="inlineStr">
        <is>
          <t>2026-08-28</t>
        </is>
      </c>
      <c r="BC69" s="65" t="n">
        <v>21.6</v>
      </c>
      <c r="BD69" s="68" t="n">
        <v>-4.1</v>
      </c>
      <c r="BE69" s="63" t="inlineStr">
        <is>
          <t>N</t>
        </is>
      </c>
      <c r="BF69" s="63" t="inlineStr">
        <is>
          <t>n/m</t>
        </is>
      </c>
      <c r="BG69" s="74" t="n"/>
      <c r="BH69" s="74" t="n">
        <v>14</v>
      </c>
      <c r="BI69" s="74" t="n">
        <v>309.9</v>
      </c>
      <c r="BJ69" s="75">
        <f>IF('BBG Verify'!S69="","not filed — run on terminal",'BBG Verify'!S69)</f>
        <v/>
      </c>
      <c r="BK69" s="76" t="inlineStr">
        <is>
          <t>N</t>
        </is>
      </c>
      <c r="BL69" s="77">
        <f>IF('BBG Verify'!K69="","not filed — run on terminal",'BBG Verify'!K69)</f>
        <v/>
      </c>
      <c r="BM69" s="63" t="inlineStr">
        <is>
          <t>N/A</t>
        </is>
      </c>
      <c r="BN69" s="63" t="inlineStr">
        <is>
          <t>N/A</t>
        </is>
      </c>
      <c r="BO69" s="63" t="inlineStr">
        <is>
          <t>N/A</t>
        </is>
      </c>
      <c r="BP69" s="63" t="inlineStr">
        <is>
          <t>N/A</t>
        </is>
      </c>
      <c r="BQ69" s="63" t="inlineStr">
        <is>
          <t>N/A</t>
        </is>
      </c>
      <c r="BR69" s="63" t="inlineStr">
        <is>
          <t>N/A</t>
        </is>
      </c>
      <c r="BS69" s="76" t="inlineStr">
        <is>
          <t>Morgan Stanley Asia Limited; China International Capital Corporation Hong Kong Securities Limited</t>
        </is>
      </c>
      <c r="BT69" s="63" t="inlineStr">
        <is>
          <t>China International Capital Corporation Hong Kong Securities Limited; Morgan Stanley Asia Limited</t>
        </is>
      </c>
      <c r="BU69" s="63" t="inlineStr">
        <is>
          <t>Morgan Stanley Asia Limited; Morgan Stanley &amp; Co. International plc; China Merchants Securities (HK) Co., Limited; Valuable Capital Limited</t>
        </is>
      </c>
      <c r="BV69" s="63" t="inlineStr">
        <is>
          <t>China International Capital Corporation Hong Kong Securities Limited; China Merchants Securities (HK) Company Limited; Morgan Stanley Asia Limited; Valuable Capital Limited</t>
        </is>
      </c>
      <c r="BW69" s="78">
        <f>HYPERLINK("https://www1.hkexnews.hk/listedco/listconews/sehk/2021/0812/2021081200017.pdf","prospectus")</f>
        <v/>
      </c>
      <c r="BX69" s="78">
        <f>HYPERLINK("https://www1.hkexnews.hk/listedco/listconews/sehk/2021/0823/2021082300014.htm","allotment")</f>
        <v/>
      </c>
      <c r="BY69" s="78">
        <f>HYPERLINK("https://www1.hkexnews.hk/listedco/listconews/sehk/2021/0916/2021091601755.pdf","stabilisation")</f>
        <v/>
      </c>
      <c r="BZ69" s="76" t="n"/>
      <c r="CA69" s="63" t="inlineStr">
        <is>
          <t>P/E: n/m — loss-making at IPO (use P/S) · A/H: no A-share listing · cornerstone: AAStocks institutional table includes non-cornerstone orders (superset) — cornerstone % is from the prospectus · P/S: 310x on HK$21.6m revenue — effectively pre-revenue; the multiple is shown for completeness, not comparability · grey market: no grey-market headline on file for this deal — AAStocks publishes one per listing but keeps only recent items on the stock's news page, and no public archive of past evening sessions exists; captured from this run onward</t>
        </is>
      </c>
    </row>
    <row r="70" ht="15" customHeight="1">
      <c r="A70" s="62" t="inlineStr">
        <is>
          <t>9869</t>
        </is>
      </c>
      <c r="B70" s="63" t="inlineStr">
        <is>
          <t>HELENS</t>
        </is>
      </c>
      <c r="C70" s="63" t="inlineStr">
        <is>
          <t>海倫司</t>
        </is>
      </c>
      <c r="D70" s="63" t="inlineStr">
        <is>
          <t>Consumer</t>
        </is>
      </c>
      <c r="E70" s="63" t="inlineStr">
        <is>
          <t>F&amp;B chains / restaurants</t>
        </is>
      </c>
      <c r="F70" s="63" t="inlineStr">
        <is>
          <t>Restaurants</t>
        </is>
      </c>
      <c r="G70" s="63" t="inlineStr">
        <is>
          <t>Standard</t>
        </is>
      </c>
      <c r="H70" s="64" t="n">
        <v>44449</v>
      </c>
      <c r="I70" s="65" t="n">
        <v>2662</v>
      </c>
      <c r="J70" s="63" t="inlineStr">
        <is>
          <t>gross (price x shares)</t>
        </is>
      </c>
      <c r="K70" s="66" t="n">
        <v>18.82</v>
      </c>
      <c r="L70" s="66" t="n">
        <v>20.72</v>
      </c>
      <c r="M70" s="66" t="n">
        <v>19.77</v>
      </c>
      <c r="N70" s="63" t="inlineStr">
        <is>
          <t>N</t>
        </is>
      </c>
      <c r="O70" s="67" t="n">
        <v>95.40000000000001</v>
      </c>
      <c r="P70" s="67" t="n">
        <v>50</v>
      </c>
      <c r="Q70" s="68" t="n">
        <v>27135.6</v>
      </c>
      <c r="R70" s="63" t="inlineStr">
        <is>
          <t>prospectus:stated market capitalisation, rescaled to the offer price</t>
        </is>
      </c>
      <c r="S70" s="69" t="n">
        <v>30.8</v>
      </c>
      <c r="T70" s="70" t="n">
        <v>25.58</v>
      </c>
      <c r="U70" s="71" t="n">
        <v>0</v>
      </c>
      <c r="V70" s="68" t="n">
        <v>2662</v>
      </c>
      <c r="W70" s="68" t="n">
        <v>134650000</v>
      </c>
      <c r="X70" s="67" t="n">
        <v>9.81</v>
      </c>
      <c r="Y70" s="63" t="n"/>
      <c r="Z70" s="63" t="n"/>
      <c r="AA70" s="67" t="n">
        <v>19.4478</v>
      </c>
      <c r="AB70" s="72" t="n"/>
      <c r="AC70" s="66" t="n"/>
      <c r="AD70" s="72" t="n"/>
      <c r="AE70" s="63" t="n"/>
      <c r="AF70" s="63" t="n"/>
      <c r="AG70" s="63" t="inlineStr">
        <is>
          <t>full</t>
        </is>
      </c>
      <c r="AH70" s="63" t="inlineStr">
        <is>
          <t>2021-10-03</t>
        </is>
      </c>
      <c r="AI70" s="63" t="inlineStr">
        <is>
          <t>China International Capital Corporation Hong Kong Securities Limited</t>
        </is>
      </c>
      <c r="AJ70" s="63" t="inlineStr">
        <is>
          <t>China International</t>
        </is>
      </c>
      <c r="AK70" s="73" t="n">
        <v>22.91</v>
      </c>
      <c r="AL70" s="72" t="n">
        <v>16.59</v>
      </c>
      <c r="AM70" s="72" t="n">
        <v>5.42</v>
      </c>
      <c r="AN70" s="72" t="n">
        <v>16.34</v>
      </c>
      <c r="AO70" s="72" t="n">
        <v>2.93</v>
      </c>
      <c r="AP70" s="72" t="n">
        <v>4.96</v>
      </c>
      <c r="AQ70" s="72" t="n">
        <v>-5.35</v>
      </c>
      <c r="AR70" s="72" t="n">
        <v>-16.26</v>
      </c>
      <c r="AS70" s="72" t="n">
        <v>-14.6</v>
      </c>
      <c r="AT70" s="72" t="n">
        <v>19.3</v>
      </c>
      <c r="AU70" s="72" t="n">
        <v>5.11</v>
      </c>
      <c r="AV70" s="72" t="n">
        <v>16.34</v>
      </c>
      <c r="AW70" s="72" t="n">
        <v>-12.02</v>
      </c>
      <c r="AX70" s="72" t="n">
        <v>-2.18</v>
      </c>
      <c r="AY70" s="72" t="n">
        <v>-4.24</v>
      </c>
      <c r="AZ70" s="63" t="inlineStr">
        <is>
          <t>Hang Seng Commerce &amp; Industry sub-index</t>
        </is>
      </c>
      <c r="BA70" s="72" t="n">
        <v>-92.01000000000001</v>
      </c>
      <c r="BB70" s="64" t="inlineStr">
        <is>
          <t>2026-08-28</t>
        </is>
      </c>
      <c r="BC70" s="65" t="n">
        <v>899.7</v>
      </c>
      <c r="BD70" s="68" t="n">
        <v>106.7</v>
      </c>
      <c r="BE70" s="63" t="inlineStr">
        <is>
          <t>Y</t>
        </is>
      </c>
      <c r="BF70" s="74" t="n">
        <v>254.3</v>
      </c>
      <c r="BG70" s="74" t="n"/>
      <c r="BH70" s="74" t="n">
        <v>49.6</v>
      </c>
      <c r="BI70" s="74" t="n">
        <v>30.2</v>
      </c>
      <c r="BJ70" s="75">
        <f>IF('BBG Verify'!S70="","not filed — run on terminal",'BBG Verify'!S70)</f>
        <v/>
      </c>
      <c r="BK70" s="76" t="inlineStr">
        <is>
          <t>N</t>
        </is>
      </c>
      <c r="BL70" s="77">
        <f>IF('BBG Verify'!K70="","not filed — run on terminal",'BBG Verify'!K70)</f>
        <v/>
      </c>
      <c r="BM70" s="63" t="inlineStr">
        <is>
          <t>N/A</t>
        </is>
      </c>
      <c r="BN70" s="63" t="inlineStr">
        <is>
          <t>N/A</t>
        </is>
      </c>
      <c r="BO70" s="63" t="inlineStr">
        <is>
          <t>N/A</t>
        </is>
      </c>
      <c r="BP70" s="63" t="inlineStr">
        <is>
          <t>N/A</t>
        </is>
      </c>
      <c r="BQ70" s="63" t="inlineStr">
        <is>
          <t>N/A</t>
        </is>
      </c>
      <c r="BR70" s="63" t="inlineStr">
        <is>
          <t>N/A</t>
        </is>
      </c>
      <c r="BS70" s="76" t="inlineStr">
        <is>
          <t>China International Capital Corporation Hong Kong Securities Limited; Somerley Capital Limited; CMB Wing Lung Bank Limited; Standard Chartered Bank (Hong Kong) Limited; and Transfer Office Walkers Corporate Limited; China Merchants Bank Co., Ltd., Wuhan Guanggu Technology Sub-branch; Wuhan, Hubei Province The PRC Standard Chartered Bank (Hong Kong) Ltd</t>
        </is>
      </c>
      <c r="BT70" s="63" t="inlineStr">
        <is>
          <t>China International Capital Corporation Hong Kong Securities Limited</t>
        </is>
      </c>
      <c r="BU70" s="63" t="inlineStr">
        <is>
          <t>China International Capital Corporation Hong Kong Securities Limited</t>
        </is>
      </c>
      <c r="BV70" s="63" t="inlineStr">
        <is>
          <t>China International Capital Corporation Hong Kong Securities Limited</t>
        </is>
      </c>
      <c r="BW70" s="78">
        <f>HYPERLINK("https://www1.hkexnews.hk/listedco/listconews/sehk/2021/0831/2021083100011.pdf","prospectus")</f>
        <v/>
      </c>
      <c r="BX70" s="78">
        <f>HYPERLINK("https://www1.hkexnews.hk/listedco/listconews/sehk/2021/0909/2021090900010.htm","allotment")</f>
        <v/>
      </c>
      <c r="BY70" s="78">
        <f>HYPERLINK("https://www1.hkexnews.hk/listedco/listconews/sehk/2021/1003/2021100300023.pdf","stabilisation")</f>
        <v/>
      </c>
      <c r="BZ70" s="76" t="n"/>
      <c r="CA70" s="63" t="inlineStr">
        <is>
          <t>A/H: no A-share listing · market cap: prospectus states HK$25,832m at HK$18.82; rescaled to the struck HK$19.77 · cornerstone list: no cornerstone tranche in this deal · grey market: no grey-market headline on file for this deal — AAStocks publishes one per listing but keeps only recent items on the stock's news page, and no public archive of past evening sessions exists; captured from this run onward</t>
        </is>
      </c>
    </row>
    <row r="71" ht="15" customHeight="1">
      <c r="A71" s="62" t="inlineStr">
        <is>
          <t>2216</t>
        </is>
      </c>
      <c r="B71" s="63" t="inlineStr">
        <is>
          <t>BRONCUS-B</t>
        </is>
      </c>
      <c r="C71" s="63" t="inlineStr">
        <is>
          <t>堃博醫療－Ｂ</t>
        </is>
      </c>
      <c r="D71" s="63" t="inlineStr">
        <is>
          <t>Healthcare</t>
        </is>
      </c>
      <c r="E71" s="63" t="inlineStr">
        <is>
          <t>Medical devices</t>
        </is>
      </c>
      <c r="F71" s="63" t="inlineStr">
        <is>
          <t>Biotechnology</t>
        </is>
      </c>
      <c r="G71" s="63" t="inlineStr">
        <is>
          <t>18A</t>
        </is>
      </c>
      <c r="H71" s="64" t="n">
        <v>44463</v>
      </c>
      <c r="I71" s="65" t="n">
        <v>1670.9</v>
      </c>
      <c r="J71" s="63" t="inlineStr">
        <is>
          <t>gross (price x shares)</t>
        </is>
      </c>
      <c r="K71" s="66" t="n">
        <v>17.2</v>
      </c>
      <c r="L71" s="66" t="n">
        <v>18.7</v>
      </c>
      <c r="M71" s="66" t="n">
        <v>18.7</v>
      </c>
      <c r="N71" s="63" t="inlineStr">
        <is>
          <t>Y</t>
        </is>
      </c>
      <c r="O71" s="67" t="n">
        <v>100</v>
      </c>
      <c r="P71" s="67" t="n">
        <v>100</v>
      </c>
      <c r="Q71" s="68" t="n">
        <v>9435</v>
      </c>
      <c r="R71" s="63" t="inlineStr">
        <is>
          <t>prospectus:stated market capitalisation</t>
        </is>
      </c>
      <c r="S71" s="69" t="n">
        <v>11.13</v>
      </c>
      <c r="T71" s="70" t="n">
        <v>4.1</v>
      </c>
      <c r="U71" s="71" t="n">
        <v>42.3</v>
      </c>
      <c r="V71" s="68" t="n">
        <v>964.11</v>
      </c>
      <c r="W71" s="68" t="n">
        <v>51557835</v>
      </c>
      <c r="X71" s="67" t="n">
        <v>10.22</v>
      </c>
      <c r="Y71" s="63" t="inlineStr">
        <is>
          <t>Artisan China Post-Venture Master Fund LP; CEPHEI; Emerging Markets Healthcare Partners LLC; Lake Bleu Prime Healthcare Master Fund Limited; Snow Lake China Master Fund, Ltd; Springhill Master Fund Limited; Summer Healthcare Fund, L.P; The Valliance Fund; UBS Asset Management (Singapore) Ltd; Worldwide Healthcare Partners LLC</t>
        </is>
      </c>
      <c r="Z71" s="63" t="inlineStr">
        <is>
          <t>artisan;cephei;emerging;lake;snow;springhill;summer;valliance;ubs;healthcare</t>
        </is>
      </c>
      <c r="AA71" s="67" t="n">
        <v>7</v>
      </c>
      <c r="AB71" s="72" t="n"/>
      <c r="AC71" s="66" t="n"/>
      <c r="AD71" s="72" t="n"/>
      <c r="AE71" s="63" t="n"/>
      <c r="AF71" s="63" t="n"/>
      <c r="AG71" s="63" t="inlineStr">
        <is>
          <t>lapsed</t>
        </is>
      </c>
      <c r="AH71" s="63" t="inlineStr">
        <is>
          <t>2021-10-16</t>
        </is>
      </c>
      <c r="AI71" s="63" t="inlineStr">
        <is>
          <t>Goldman Sachs</t>
        </is>
      </c>
      <c r="AJ71" s="63" t="inlineStr">
        <is>
          <t>Goldman Sachs</t>
        </is>
      </c>
      <c r="AK71" s="73" t="n">
        <v>-19.79</v>
      </c>
      <c r="AL71" s="72" t="n">
        <v>-3.74</v>
      </c>
      <c r="AM71" s="72" t="n">
        <v>-16.67</v>
      </c>
      <c r="AN71" s="72" t="n">
        <v>-27.81</v>
      </c>
      <c r="AO71" s="72" t="n">
        <v>-39.57</v>
      </c>
      <c r="AP71" s="72" t="n">
        <v>-56.74</v>
      </c>
      <c r="AQ71" s="72" t="n">
        <v>-10</v>
      </c>
      <c r="AR71" s="72" t="n">
        <v>-24.66</v>
      </c>
      <c r="AS71" s="72" t="n">
        <v>-46.07</v>
      </c>
      <c r="AT71" s="72" t="n">
        <v>-25.6</v>
      </c>
      <c r="AU71" s="72" t="n">
        <v>-32.85</v>
      </c>
      <c r="AV71" s="72" t="n">
        <v>-40.49</v>
      </c>
      <c r="AW71" s="72" t="n">
        <v>-18.1</v>
      </c>
      <c r="AX71" s="72" t="n">
        <v>-6.72</v>
      </c>
      <c r="AY71" s="72" t="n">
        <v>-6.56</v>
      </c>
      <c r="AZ71" s="63" t="inlineStr">
        <is>
          <t>China Biotech ETF (HS biotech proxy)</t>
        </is>
      </c>
      <c r="BA71" s="72" t="n">
        <v>-96.5</v>
      </c>
      <c r="BB71" s="64" t="inlineStr">
        <is>
          <t>2026-08-28</t>
        </is>
      </c>
      <c r="BC71" s="65" t="n">
        <v>4.1</v>
      </c>
      <c r="BD71" s="68" t="n"/>
      <c r="BE71" s="63" t="n"/>
      <c r="BF71" s="75">
        <f>IF('BBG Verify'!O71="","not filed — run on terminal",'BBG Verify'!O71)</f>
        <v/>
      </c>
      <c r="BG71" s="74" t="n"/>
      <c r="BH71" s="74" t="n"/>
      <c r="BI71" s="74" t="n">
        <v>2301.2</v>
      </c>
      <c r="BJ71" s="75">
        <f>IF('BBG Verify'!S71="","not filed — run on terminal",'BBG Verify'!S71)</f>
        <v/>
      </c>
      <c r="BK71" s="76" t="inlineStr">
        <is>
          <t>N</t>
        </is>
      </c>
      <c r="BL71" s="77">
        <f>IF('BBG Verify'!K71="","not filed — run on terminal",'BBG Verify'!K71)</f>
        <v/>
      </c>
      <c r="BM71" s="63" t="inlineStr">
        <is>
          <t>N/A</t>
        </is>
      </c>
      <c r="BN71" s="63" t="inlineStr">
        <is>
          <t>N/A</t>
        </is>
      </c>
      <c r="BO71" s="63" t="inlineStr">
        <is>
          <t>N/A</t>
        </is>
      </c>
      <c r="BP71" s="63" t="inlineStr">
        <is>
          <t>N/A</t>
        </is>
      </c>
      <c r="BQ71" s="63" t="inlineStr">
        <is>
          <t>N/A</t>
        </is>
      </c>
      <c r="BR71" s="63" t="inlineStr">
        <is>
          <t>N/A</t>
        </is>
      </c>
      <c r="BS71" s="76" t="inlineStr">
        <is>
          <t>Goldman Sachs (Asia) L.L.C; Haitong International Capital Limited</t>
        </is>
      </c>
      <c r="BT71" s="63" t="inlineStr">
        <is>
          <t>Haitong International Capital Limited; Goldman Sachs (Asia) L.L.C.</t>
        </is>
      </c>
      <c r="BU71" s="63" t="inlineStr">
        <is>
          <t>Goldman Sachs (Asia) L.L.C; Haitong International Securities Company Limited; Credit Suisse (Hong Kong) Limited; CMB International Capital Limited; Huatai Financial Holdings (Hong Kong) Limited; China Industrial Securities International Capital Limited; CNCB (Hong Kong) Capital Limited</t>
        </is>
      </c>
      <c r="BV71" s="63" t="inlineStr">
        <is>
          <t>China Industrial Securities International Capital Limited; CMB International Capital Limited; CNCB (Hong Kong) Capital Limited; Credit Suisse (Hong Kong) Limited; Goldman Sachs (Asia) L.L.C.; Huatai Financial Holdings (Hong Kong) Limited; Haitong International Securities Company Limited</t>
        </is>
      </c>
      <c r="BW71" s="78">
        <f>HYPERLINK("https://www1.hkexnews.hk/listedco/listconews/sehk/2021/0913/2021091300015.pdf","prospectus")</f>
        <v/>
      </c>
      <c r="BX71" s="78">
        <f>HYPERLINK("https://www1.hkexnews.hk/listedco/listconews/sehk/2021/0923/2021092300020.htm","allotment")</f>
        <v/>
      </c>
      <c r="BY71" s="78">
        <f>HYPERLINK("https://www1.hkexnews.hk/listedco/listconews/sehk/2021/1017/2021101700017.pdf","stabilisation")</f>
        <v/>
      </c>
      <c r="BZ71" s="76" t="n"/>
      <c r="CA71" s="63" t="inlineStr">
        <is>
          <t>P/E: net income not stated in extractable form · A/H: no A-share listing · P/S: 2,301x on HK$4.1m revenue — effectively pre-revenue; the multiple is shown for completeness, not comparability · financials: financial tables not machine-extractable and the pre-IPO year is outside AAStocks' 5-year window · grey market: no grey-market headline on file for this deal — AAStocks publishes one per listing but keeps only recent items on the stock's news page, and no public archive of past evening sessions exists; captured from this run onward</t>
        </is>
      </c>
    </row>
    <row r="72" ht="15" customHeight="1">
      <c r="A72" s="62" t="inlineStr">
        <is>
          <t>9889</t>
        </is>
      </c>
      <c r="B72" s="63" t="inlineStr">
        <is>
          <t>DRCB</t>
        </is>
      </c>
      <c r="C72" s="63" t="inlineStr">
        <is>
          <t>東莞農商銀行</t>
        </is>
      </c>
      <c r="D72" s="63" t="inlineStr">
        <is>
          <t>Financials</t>
        </is>
      </c>
      <c r="E72" s="63" t="inlineStr">
        <is>
          <t>Banks</t>
        </is>
      </c>
      <c r="F72" s="63" t="inlineStr">
        <is>
          <t>Diversified Banks</t>
        </is>
      </c>
      <c r="G72" s="63" t="inlineStr">
        <is>
          <t>Standard</t>
        </is>
      </c>
      <c r="H72" s="64" t="n">
        <v>44468</v>
      </c>
      <c r="I72" s="65" t="n">
        <v>8881.700000000001</v>
      </c>
      <c r="J72" s="63" t="inlineStr">
        <is>
          <t>net proceeds</t>
        </is>
      </c>
      <c r="K72" s="66" t="n"/>
      <c r="L72" s="66" t="n">
        <v>7.92</v>
      </c>
      <c r="M72" s="66" t="n">
        <v>7.92</v>
      </c>
      <c r="N72" s="63" t="inlineStr">
        <is>
          <t>Y</t>
        </is>
      </c>
      <c r="O72" s="67" t="n">
        <v>100</v>
      </c>
      <c r="P72" s="67" t="n"/>
      <c r="Q72" s="68" t="n">
        <v>57278.2</v>
      </c>
      <c r="R72" s="63" t="inlineStr">
        <is>
          <t>aastocks:上市市值 at the struck price</t>
        </is>
      </c>
      <c r="S72" s="69" t="n">
        <v>0.22</v>
      </c>
      <c r="T72" s="70" t="n">
        <v>1.18</v>
      </c>
      <c r="U72" s="71" t="n">
        <v>11.3</v>
      </c>
      <c r="V72" s="68" t="n">
        <v>7878.07</v>
      </c>
      <c r="W72" s="68" t="n"/>
      <c r="X72" s="67" t="n">
        <v>13.75</v>
      </c>
      <c r="Y72" s="63" t="inlineStr">
        <is>
          <t>Fook Man Development Company Limited</t>
        </is>
      </c>
      <c r="Z72" s="63" t="inlineStr">
        <is>
          <t>fook</t>
        </is>
      </c>
      <c r="AA72" s="67" t="n">
        <v>16.67</v>
      </c>
      <c r="AB72" s="72" t="n"/>
      <c r="AC72" s="66" t="n"/>
      <c r="AD72" s="72" t="n"/>
      <c r="AE72" s="63" t="n"/>
      <c r="AF72" s="63" t="n"/>
      <c r="AG72" s="63" t="inlineStr">
        <is>
          <t>lapsed (no over-allocation)</t>
        </is>
      </c>
      <c r="AH72" s="63" t="n"/>
      <c r="AI72" s="63" t="inlineStr">
        <is>
          <t>ABCI Securities Company Limited</t>
        </is>
      </c>
      <c r="AJ72" s="63" t="inlineStr">
        <is>
          <t>ABCI</t>
        </is>
      </c>
      <c r="AK72" s="73" t="n">
        <v>4.17</v>
      </c>
      <c r="AL72" s="72" t="n">
        <v>1.01</v>
      </c>
      <c r="AM72" s="72" t="n">
        <v>3.13</v>
      </c>
      <c r="AN72" s="72" t="n">
        <v>-4.92</v>
      </c>
      <c r="AO72" s="72" t="n">
        <v>-8.59</v>
      </c>
      <c r="AP72" s="72" t="n">
        <v>-4.67</v>
      </c>
      <c r="AQ72" s="72" t="n">
        <v>-8.73</v>
      </c>
      <c r="AR72" s="72" t="n">
        <v>-12.25</v>
      </c>
      <c r="AS72" s="72" t="n">
        <v>-8.49</v>
      </c>
      <c r="AT72" s="72" t="n">
        <v>-8.08</v>
      </c>
      <c r="AU72" s="72" t="n">
        <v>-12.64</v>
      </c>
      <c r="AV72" s="72" t="n">
        <v>-6</v>
      </c>
      <c r="AW72" s="72" t="n">
        <v>-14.52</v>
      </c>
      <c r="AX72" s="72" t="n">
        <v>4.05</v>
      </c>
      <c r="AY72" s="72" t="n">
        <v>2.27</v>
      </c>
      <c r="AZ72" s="63" t="inlineStr">
        <is>
          <t>Hang Seng Finance sub-index</t>
        </is>
      </c>
      <c r="BA72" s="72" t="n">
        <v>-59.15</v>
      </c>
      <c r="BB72" s="64" t="inlineStr">
        <is>
          <t>2026-08-28</t>
        </is>
      </c>
      <c r="BC72" s="65" t="n"/>
      <c r="BD72" s="68" t="n"/>
      <c r="BE72" s="63" t="n"/>
      <c r="BF72" s="75">
        <f>IF('BBG Verify'!O72="","not filed — run on terminal",'BBG Verify'!O72)</f>
        <v/>
      </c>
      <c r="BG72" s="74" t="n"/>
      <c r="BH72" s="74" t="n">
        <v>5</v>
      </c>
      <c r="BI72" s="74" t="n"/>
      <c r="BJ72" s="75">
        <f>IF('BBG Verify'!S72="","not filed — run on terminal",'BBG Verify'!S72)</f>
        <v/>
      </c>
      <c r="BK72" s="76" t="inlineStr">
        <is>
          <t>N</t>
        </is>
      </c>
      <c r="BL72" s="77">
        <f>IF('BBG Verify'!K72="","not filed — run on terminal",'BBG Verify'!K72)</f>
        <v/>
      </c>
      <c r="BM72" s="63" t="inlineStr">
        <is>
          <t>N/A</t>
        </is>
      </c>
      <c r="BN72" s="63" t="inlineStr">
        <is>
          <t>N/A</t>
        </is>
      </c>
      <c r="BO72" s="63" t="inlineStr">
        <is>
          <t>N/A</t>
        </is>
      </c>
      <c r="BP72" s="63" t="inlineStr">
        <is>
          <t>N/A</t>
        </is>
      </c>
      <c r="BQ72" s="63" t="inlineStr">
        <is>
          <t>N/A</t>
        </is>
      </c>
      <c r="BR72" s="63" t="inlineStr">
        <is>
          <t>N/A</t>
        </is>
      </c>
      <c r="BS72" s="76" t="n"/>
      <c r="BT72" s="63" t="inlineStr">
        <is>
          <t>CMB International Capital Limited; China Merchants Securities (HK) Company Limited; ICBC International Capital Limited; ABCI Capital Limited</t>
        </is>
      </c>
      <c r="BU72" s="63" t="inlineStr">
        <is>
          <t>ABCI Securities Company Limited; AMTD Global Markets Limited; CCB International Capital Limited; CMB International Capital Limited; China Merchants Securities (HK) Company Limited; Fortune (HK) Securities Limited</t>
        </is>
      </c>
      <c r="BV72" s="63" t="inlineStr">
        <is>
          <t>ABCI Securities Company Limited; AMTD Global Markets Limited; CCB International Capital Limited; CMB International Capital Limited; China Merchants Securities (HK) Company Limited; Fortune (HK) Securities Limited; Haitong International Securities Company Limited; ICBC International Securities Limited</t>
        </is>
      </c>
      <c r="BW72" s="78">
        <f>HYPERLINK("https://www1.hkexnews.hk/listedco/listconews/sehk/2021/0916/2021091600052.htm","prospectus")</f>
        <v/>
      </c>
      <c r="BX72" s="78">
        <f>HYPERLINK("https://www1.hkexnews.hk/listedco/listconews/sehk/2021/0928/2021092800010.htm","allotment")</f>
        <v/>
      </c>
      <c r="BY72" s="78">
        <f>HYPERLINK("https://www1.hkexnews.hk/listedco/listconews/sehk/2021/1021/2021102100557.pdf","stabilisation")</f>
        <v/>
      </c>
      <c r="BZ72" s="76" t="n"/>
      <c r="CA72" s="63" t="inlineStr">
        <is>
          <t>P/E: net income not stated in extractable form · greenshoe: over-allotment outcome already published, and the allotment announcement does not state the stabilisation expiry in a parsable form — the expiry no longer matters once resolved · price range: fixed-price offering (no indicative range) · range low: cap-only pricing — the filing publishes a Maximum Offer Price and no indicative floor · A/H: no A-share listing · sponsor: English name not in the filing text; AAStocks 保薦人 shown · cornerstone %: AAStocks institutional-order total / deal size — an upper bound; the table can include non-cornerstone orders · P/S: revenue not extractable · financials: financial tables not machine-extractable and the pre-IPO year is outside AAStocks' 5-year window · grey market: no grey-market headline on file for this deal — AAStocks publishes one per listing but keeps only recent items on the stock's news page, and no public archive of past evening sessions exists; captured from this run onward · eff float shares: share count unavailable or rejected as implausible — the money figure (eff_free_float_hkdm) is still exact</t>
        </is>
      </c>
    </row>
    <row r="73" ht="15" customHeight="1">
      <c r="A73" s="62" t="inlineStr">
        <is>
          <t>6628</t>
        </is>
      </c>
      <c r="B73" s="63" t="inlineStr">
        <is>
          <t>TRANSCENTA-B</t>
        </is>
      </c>
      <c r="C73" s="63" t="inlineStr">
        <is>
          <t>創勝集團醫藥－Ｂ</t>
        </is>
      </c>
      <c r="D73" s="63" t="inlineStr">
        <is>
          <t>Healthcare</t>
        </is>
      </c>
      <c r="E73" s="63" t="inlineStr">
        <is>
          <t>Biotech pre-revenue (18A)</t>
        </is>
      </c>
      <c r="F73" s="63" t="inlineStr">
        <is>
          <t>Biotechnology</t>
        </is>
      </c>
      <c r="G73" s="63" t="inlineStr">
        <is>
          <t>18A</t>
        </is>
      </c>
      <c r="H73" s="64" t="n">
        <v>44468</v>
      </c>
      <c r="I73" s="65" t="n">
        <v>645.3</v>
      </c>
      <c r="J73" s="63" t="inlineStr">
        <is>
          <t>gross (price x shares)</t>
        </is>
      </c>
      <c r="K73" s="66" t="n"/>
      <c r="L73" s="66" t="n">
        <v>16</v>
      </c>
      <c r="M73" s="66" t="n">
        <v>16</v>
      </c>
      <c r="N73" s="63" t="inlineStr">
        <is>
          <t>Y</t>
        </is>
      </c>
      <c r="O73" s="67" t="n">
        <v>100</v>
      </c>
      <c r="P73" s="67" t="n"/>
      <c r="Q73" s="68" t="n">
        <v>6265</v>
      </c>
      <c r="R73" s="63" t="inlineStr">
        <is>
          <t>derived:deal size / offer % of enlarged capital</t>
        </is>
      </c>
      <c r="S73" s="69" t="n">
        <v>60.7</v>
      </c>
      <c r="T73" s="70" t="n">
        <v>2.1</v>
      </c>
      <c r="U73" s="71" t="n">
        <v>82.2</v>
      </c>
      <c r="V73" s="68" t="n">
        <v>114.86</v>
      </c>
      <c r="W73" s="68" t="n">
        <v>7178740</v>
      </c>
      <c r="X73" s="67" t="n">
        <v>1.83</v>
      </c>
      <c r="Y73" s="63" t="inlineStr">
        <is>
          <t>China Structural Reform Fund Corporation Limited; LAV Biosciences Fund V, L.P</t>
        </is>
      </c>
      <c r="Z73" s="63" t="inlineStr">
        <is>
          <t>structural;lav</t>
        </is>
      </c>
      <c r="AA73" s="67" t="n">
        <v>15.1</v>
      </c>
      <c r="AB73" s="72" t="n"/>
      <c r="AC73" s="66" t="n"/>
      <c r="AD73" s="72" t="n"/>
      <c r="AE73" s="63" t="n"/>
      <c r="AF73" s="63" t="n"/>
      <c r="AG73" s="63" t="inlineStr">
        <is>
          <t>lapsed</t>
        </is>
      </c>
      <c r="AH73" s="63" t="inlineStr">
        <is>
          <t>2021-10-17</t>
        </is>
      </c>
      <c r="AI73" s="63" t="inlineStr">
        <is>
          <t>Goldman Sachs</t>
        </is>
      </c>
      <c r="AJ73" s="63" t="inlineStr">
        <is>
          <t>Goldman Sachs</t>
        </is>
      </c>
      <c r="AK73" s="73" t="n">
        <v>-17.25</v>
      </c>
      <c r="AL73" s="72" t="n">
        <v>-18.75</v>
      </c>
      <c r="AM73" s="72" t="n">
        <v>1.85</v>
      </c>
      <c r="AN73" s="72" t="n">
        <v>-3.12</v>
      </c>
      <c r="AO73" s="72" t="n">
        <v>-43.81</v>
      </c>
      <c r="AP73" s="72" t="n">
        <v>-42.5</v>
      </c>
      <c r="AQ73" s="72" t="n">
        <v>17.08</v>
      </c>
      <c r="AR73" s="72" t="n">
        <v>-32.1</v>
      </c>
      <c r="AS73" s="72" t="n">
        <v>-30.51</v>
      </c>
      <c r="AT73" s="72" t="n">
        <v>-1.95</v>
      </c>
      <c r="AU73" s="72" t="n">
        <v>-34.62</v>
      </c>
      <c r="AV73" s="72" t="n">
        <v>-26.95</v>
      </c>
      <c r="AW73" s="72" t="n">
        <v>-24.03</v>
      </c>
      <c r="AX73" s="72" t="n">
        <v>-9.19</v>
      </c>
      <c r="AY73" s="72" t="n">
        <v>-8.07</v>
      </c>
      <c r="AZ73" s="63" t="inlineStr">
        <is>
          <t>China Biotech ETF (HS biotech proxy)</t>
        </is>
      </c>
      <c r="BA73" s="72" t="n">
        <v>-93.28</v>
      </c>
      <c r="BB73" s="64" t="inlineStr">
        <is>
          <t>2026-08-28</t>
        </is>
      </c>
      <c r="BC73" s="65" t="n">
        <v>7.5</v>
      </c>
      <c r="BD73" s="68" t="n">
        <v>-27.3</v>
      </c>
      <c r="BE73" s="63" t="inlineStr">
        <is>
          <t>N</t>
        </is>
      </c>
      <c r="BF73" s="63" t="inlineStr">
        <is>
          <t>n/m</t>
        </is>
      </c>
      <c r="BG73" s="74" t="n"/>
      <c r="BH73" s="74" t="n"/>
      <c r="BI73" s="74" t="n">
        <v>835.3</v>
      </c>
      <c r="BJ73" s="75">
        <f>IF('BBG Verify'!S73="","not filed — run on terminal",'BBG Verify'!S73)</f>
        <v/>
      </c>
      <c r="BK73" s="76" t="inlineStr">
        <is>
          <t>N</t>
        </is>
      </c>
      <c r="BL73" s="77">
        <f>IF('BBG Verify'!K73="","not filed — run on terminal",'BBG Verify'!K73)</f>
        <v/>
      </c>
      <c r="BM73" s="63" t="inlineStr">
        <is>
          <t>N/A</t>
        </is>
      </c>
      <c r="BN73" s="63" t="inlineStr">
        <is>
          <t>N/A</t>
        </is>
      </c>
      <c r="BO73" s="63" t="inlineStr">
        <is>
          <t>N/A</t>
        </is>
      </c>
      <c r="BP73" s="63" t="inlineStr">
        <is>
          <t>N/A</t>
        </is>
      </c>
      <c r="BQ73" s="63" t="inlineStr">
        <is>
          <t>N/A</t>
        </is>
      </c>
      <c r="BR73" s="63" t="inlineStr">
        <is>
          <t>N/A</t>
        </is>
      </c>
      <c r="BS73" s="76" t="inlineStr">
        <is>
          <t>Industry consultant China Insights Industry Consultancy Limited; Receiving bank Bank of China (Hong Kong) Limited; Registered office in the Cayman Islands Walkers Corporate Limited; transfer office Walkers Corporate Limited; Tricor Investor Services Limited; Compliance adviser Anglo Chinese Corporate Finance, Limited; Principal banks The Hongkong and Shanghai Banking Corporation Limited; China Construction Bank, Suzhou Branch</t>
        </is>
      </c>
      <c r="BT73" s="63" t="inlineStr">
        <is>
          <t>China International Capital Corporation Hong Kong Securities Limited; Goldman Sachs (Asia) L.L.C.</t>
        </is>
      </c>
      <c r="BU73" s="63" t="inlineStr">
        <is>
          <t>BOCI Asia Limited; China International Capital Corporation Hong Kong Securities Limited; China Renaissance Securities (Hong Kong) Limited; Goldman Sachs (Asia) L.L.C.</t>
        </is>
      </c>
      <c r="BV73" s="63" t="inlineStr">
        <is>
          <t>BOCI Asia Limited; China International Capital Corporation Hong Kong Securities Limited; China Renaissance Securities (Hong Kong) Limited; Goldman Sachs (Asia) L.L.C.</t>
        </is>
      </c>
      <c r="BW73" s="78">
        <f>HYPERLINK("https://www1.hkexnews.hk/listedco/listconews/sehk/2021/0914/2021091400015.pdf","prospectus")</f>
        <v/>
      </c>
      <c r="BX73" s="78">
        <f>HYPERLINK("https://www1.hkexnews.hk/listedco/listconews/sehk/2021/0928/2021092800028.htm","allotment")</f>
        <v/>
      </c>
      <c r="BY73" s="78">
        <f>HYPERLINK("https://www1.hkexnews.hk/listedco/listconews/sehk/2021/1017/2021101700005.pdf","stabilisation")</f>
        <v/>
      </c>
      <c r="BZ73" s="76" t="n"/>
      <c r="CA73" s="63" t="inlineStr">
        <is>
          <t>P/E: n/m — loss-making at IPO (use P/S) · range low: cap-only pricing — the filing publishes a Maximum Offer Price and no indicative floor · A/H: no A-share listing · cornerstone: table parse read 83% but the institutional total implies 46% — parse rejected, the filed aggregate-amount sentence used (82.2%) · P/S: 835x on HK$7.5m revenue — effectively pre-revenue; the multiple is shown for completeness, not comparability · grey market: no grey-market headline on file for this deal — AAStocks publishes one per listing but keeps only recent items on the stock's news page, and no public archive of past evening sessions exists; captured from this run onward</t>
        </is>
      </c>
    </row>
    <row r="74" ht="15" customHeight="1">
      <c r="A74" s="62" t="inlineStr">
        <is>
          <t>2378</t>
        </is>
      </c>
      <c r="B74" s="63" t="inlineStr">
        <is>
          <t>PRU</t>
        </is>
      </c>
      <c r="C74" s="63" t="inlineStr">
        <is>
          <t>保誠</t>
        </is>
      </c>
      <c r="D74" s="63" t="inlineStr">
        <is>
          <t>Financials</t>
        </is>
      </c>
      <c r="E74" s="63" t="inlineStr">
        <is>
          <t>Insurance</t>
        </is>
      </c>
      <c r="F74" s="63" t="n"/>
      <c r="G74" s="63" t="inlineStr">
        <is>
          <t>Standard</t>
        </is>
      </c>
      <c r="H74" s="64" t="n">
        <v>44473</v>
      </c>
      <c r="I74" s="65" t="n">
        <v>18500</v>
      </c>
      <c r="J74" s="63" t="inlineStr">
        <is>
          <t>net proceeds</t>
        </is>
      </c>
      <c r="K74" s="66" t="n"/>
      <c r="L74" s="66" t="n">
        <v>172</v>
      </c>
      <c r="M74" s="66" t="n">
        <v>143.8</v>
      </c>
      <c r="N74" s="63" t="inlineStr">
        <is>
          <t>N</t>
        </is>
      </c>
      <c r="O74" s="67" t="n">
        <v>83.59999999999999</v>
      </c>
      <c r="P74" s="67" t="n"/>
      <c r="Q74" s="68" t="n">
        <v>394931.5</v>
      </c>
      <c r="R74" s="63" t="inlineStr">
        <is>
          <t>derived:price x shares upon listing</t>
        </is>
      </c>
      <c r="S74" s="69" t="n">
        <v>1.43</v>
      </c>
      <c r="T74" s="70" t="n">
        <v>1.43</v>
      </c>
      <c r="U74" s="71" t="n"/>
      <c r="V74" s="68" t="n">
        <v>18500</v>
      </c>
      <c r="W74" s="68" t="n"/>
      <c r="X74" s="67" t="n">
        <v>4.68</v>
      </c>
      <c r="Y74" s="63" t="n"/>
      <c r="Z74" s="63" t="n"/>
      <c r="AA74" s="67" t="n"/>
      <c r="AB74" s="72" t="n"/>
      <c r="AC74" s="66" t="n"/>
      <c r="AD74" s="72" t="n"/>
      <c r="AE74" s="63" t="n"/>
      <c r="AF74" s="63" t="n"/>
      <c r="AG74" s="63" t="n"/>
      <c r="AH74" s="63" t="n"/>
      <c r="AI74" s="63" t="n"/>
      <c r="AJ74" s="63" t="n"/>
      <c r="AK74" s="73" t="n">
        <v>4.73</v>
      </c>
      <c r="AL74" s="72" t="n">
        <v>4.38</v>
      </c>
      <c r="AM74" s="72" t="n">
        <v>0.34</v>
      </c>
      <c r="AN74" s="72" t="n">
        <v>10.64</v>
      </c>
      <c r="AO74" s="72" t="n">
        <v>8.9</v>
      </c>
      <c r="AP74" s="72" t="n">
        <v>-6.05</v>
      </c>
      <c r="AQ74" s="72" t="n">
        <v>5.64</v>
      </c>
      <c r="AR74" s="72" t="n">
        <v>3.98</v>
      </c>
      <c r="AS74" s="72" t="n">
        <v>-10.29</v>
      </c>
      <c r="AT74" s="72" t="n">
        <v>8.119999999999999</v>
      </c>
      <c r="AU74" s="72" t="n">
        <v>7.57</v>
      </c>
      <c r="AV74" s="72" t="n">
        <v>-6.76</v>
      </c>
      <c r="AW74" s="72" t="n">
        <v>0.88</v>
      </c>
      <c r="AX74" s="72" t="n">
        <v>1.33</v>
      </c>
      <c r="AY74" s="72" t="n">
        <v>3.1</v>
      </c>
      <c r="AZ74" s="63" t="inlineStr">
        <is>
          <t>Hang Seng Finance sub-index</t>
        </is>
      </c>
      <c r="BA74" s="72" t="n">
        <v>-25.03</v>
      </c>
      <c r="BB74" s="64" t="inlineStr">
        <is>
          <t>2026-08-28</t>
        </is>
      </c>
      <c r="BC74" s="65" t="n"/>
      <c r="BD74" s="68" t="n"/>
      <c r="BE74" s="63" t="n"/>
      <c r="BF74" s="74" t="n">
        <v>17.4</v>
      </c>
      <c r="BG74" s="74" t="n">
        <v>17.4</v>
      </c>
      <c r="BH74" s="74" t="n">
        <v>8.800000000000001</v>
      </c>
      <c r="BI74" s="74" t="n"/>
      <c r="BJ74" s="75">
        <f>IF('BBG Verify'!S74="","not filed — run on terminal",'BBG Verify'!S74)</f>
        <v/>
      </c>
      <c r="BK74" s="76" t="inlineStr">
        <is>
          <t>N</t>
        </is>
      </c>
      <c r="BL74" s="77">
        <f>IF('BBG Verify'!K74="","not filed — run on terminal",'BBG Verify'!K74)</f>
        <v/>
      </c>
      <c r="BM74" s="63" t="inlineStr">
        <is>
          <t>N/A</t>
        </is>
      </c>
      <c r="BN74" s="63" t="inlineStr">
        <is>
          <t>N/A</t>
        </is>
      </c>
      <c r="BO74" s="63" t="inlineStr">
        <is>
          <t>N/A</t>
        </is>
      </c>
      <c r="BP74" s="63" t="inlineStr">
        <is>
          <t>N/A</t>
        </is>
      </c>
      <c r="BQ74" s="63" t="inlineStr">
        <is>
          <t>N/A</t>
        </is>
      </c>
      <c r="BR74" s="63" t="inlineStr">
        <is>
          <t>N/A</t>
        </is>
      </c>
      <c r="BS74" s="76" t="n"/>
      <c r="BT74" s="63" t="n"/>
      <c r="BU74" s="63" t="n"/>
      <c r="BV74" s="63" t="n"/>
      <c r="BW74" s="78">
        <f>HYPERLINK("https://www1.hkexnews.hk/listedco/listconews/sehk/2021/0920/2021092000007.pdf","prospectus")</f>
        <v/>
      </c>
      <c r="BX74" s="78">
        <f>HYPERLINK("https://www1.hkexnews.hk/listedco/listconews/sehk/2021/0930/2021093000120.htm","allotment")</f>
        <v/>
      </c>
      <c r="BY74" s="63" t="n"/>
      <c r="BZ74" s="76" t="n"/>
      <c r="CA74" s="63" t="inlineStr">
        <is>
          <t>P/E: from Bloomberg (trailing-12m EPS at listing) — the prospectus-FY multiple was not derivable · greenshoe: no over-allotment option in the offer structure · range low: cap-only pricing — the filing publishes a Maximum Offer Price and no indicative floor · A/H: no A-share listing · sponsor: sponsor not stated in the extractable filing text · cornerstone list: no cornerstone tranche in this deal · cornerstone %: no cornerstone tranche in this deal · greenshoe size: no over-allotment option in the offer structure · P/S: revenue not extractable · stabilising manager: no over-allotment option in the offer structure, so no stabilising manager is appointed · financials: financial tables not machine-extractable and the pre-IPO year is outside AAStocks' 5-year window · grey market: no grey-market headline on file for this deal — AAStocks publishes one per listing but keeps only recent items on the stock's news page, and no public archive of past evening sessions exists; captured from this run onward · eff float shares: share count unavailable or rejected as implausible — the money figure (eff_free_float_hkdm) is still exact · AAStocks fields: no AAStocks IPO page for this code — typically a listing by introduction or a transfer, which runs no public offer</t>
        </is>
      </c>
    </row>
    <row r="75" ht="15" customHeight="1">
      <c r="A75" s="62" t="inlineStr">
        <is>
          <t>2256</t>
        </is>
      </c>
      <c r="B75" s="63" t="inlineStr">
        <is>
          <t>ABBISKO-B</t>
        </is>
      </c>
      <c r="C75" s="63" t="inlineStr">
        <is>
          <t>和譽－Ｂ</t>
        </is>
      </c>
      <c r="D75" s="63" t="inlineStr">
        <is>
          <t>Healthcare</t>
        </is>
      </c>
      <c r="E75" s="63" t="inlineStr">
        <is>
          <t>Biotech pre-revenue (18A)</t>
        </is>
      </c>
      <c r="F75" s="63" t="inlineStr">
        <is>
          <t>Biotechnology</t>
        </is>
      </c>
      <c r="G75" s="63" t="inlineStr">
        <is>
          <t>18A</t>
        </is>
      </c>
      <c r="H75" s="64" t="n">
        <v>44482</v>
      </c>
      <c r="I75" s="65" t="n">
        <v>1753.6</v>
      </c>
      <c r="J75" s="63" t="inlineStr">
        <is>
          <t>gross (price x shares)</t>
        </is>
      </c>
      <c r="K75" s="66" t="n">
        <v>12.16</v>
      </c>
      <c r="L75" s="66" t="n">
        <v>12.46</v>
      </c>
      <c r="M75" s="66" t="n">
        <v>12.46</v>
      </c>
      <c r="N75" s="63" t="inlineStr">
        <is>
          <t>Y</t>
        </is>
      </c>
      <c r="O75" s="67" t="n">
        <v>100</v>
      </c>
      <c r="P75" s="67" t="n">
        <v>100</v>
      </c>
      <c r="Q75" s="68" t="n">
        <v>8542</v>
      </c>
      <c r="R75" s="63" t="inlineStr">
        <is>
          <t>prospectus:stated market capitalisation</t>
        </is>
      </c>
      <c r="S75" s="69" t="n">
        <v>5.64</v>
      </c>
      <c r="T75" s="70" t="n">
        <v>4.65</v>
      </c>
      <c r="U75" s="71" t="n">
        <v>56.63</v>
      </c>
      <c r="V75" s="68" t="n">
        <v>760.54</v>
      </c>
      <c r="W75" s="68" t="n">
        <v>61037203</v>
      </c>
      <c r="X75" s="67" t="n">
        <v>8.9</v>
      </c>
      <c r="Y75" s="63" t="inlineStr">
        <is>
          <t>AIHC Master Fund; Aranda Investments Pte. Ltd; BlackRock Global Funds – World Healthscience Fund; Epsomite Gem Investments Ltd; Hudson Bay Master Fund Ltd; Janchor Partners Pan-Asian Master Fund; Lake Bleu Prime Healthcare Master Fund Limited; LAV Fund VI, L.P; OrbiMed New Horizons Master Fund, L.P; UBS Asset Management (Singapore) Ltd; Vivo Opportunity Fund, L.P</t>
        </is>
      </c>
      <c r="Z75" s="63" t="inlineStr">
        <is>
          <t>aihc;aranda;blackrock;epsomite;hudson;janchor;lake;lav;orbimed;ubs;vivo</t>
        </is>
      </c>
      <c r="AA75" s="67" t="n">
        <v>8.5</v>
      </c>
      <c r="AB75" s="72" t="n"/>
      <c r="AC75" s="66" t="n"/>
      <c r="AD75" s="72" t="n"/>
      <c r="AE75" s="63" t="n"/>
      <c r="AF75" s="63" t="n"/>
      <c r="AG75" s="63" t="inlineStr">
        <is>
          <t>partial</t>
        </is>
      </c>
      <c r="AH75" s="63" t="n"/>
      <c r="AI75" s="63" t="inlineStr">
        <is>
          <t>Morgan Stanley Asia Limited</t>
        </is>
      </c>
      <c r="AJ75" s="63" t="inlineStr">
        <is>
          <t>Morgan Stanley</t>
        </is>
      </c>
      <c r="AK75" s="73" t="n">
        <v>-0.48</v>
      </c>
      <c r="AL75" s="72" t="n">
        <v>-9.31</v>
      </c>
      <c r="AM75" s="72" t="n">
        <v>9.74</v>
      </c>
      <c r="AN75" s="72" t="n">
        <v>-6.9</v>
      </c>
      <c r="AO75" s="72" t="n">
        <v>-13</v>
      </c>
      <c r="AP75" s="72" t="n">
        <v>-31.94</v>
      </c>
      <c r="AQ75" s="72" t="n">
        <v>-6.45</v>
      </c>
      <c r="AR75" s="72" t="n">
        <v>-12.58</v>
      </c>
      <c r="AS75" s="72" t="n">
        <v>-31.61</v>
      </c>
      <c r="AT75" s="72" t="n">
        <v>-7.73</v>
      </c>
      <c r="AU75" s="72" t="n">
        <v>-10.74</v>
      </c>
      <c r="AV75" s="72" t="n">
        <v>-15.87</v>
      </c>
      <c r="AW75" s="72" t="n">
        <v>-10.39</v>
      </c>
      <c r="AX75" s="72" t="n">
        <v>-2.26</v>
      </c>
      <c r="AY75" s="72" t="n">
        <v>-2.19</v>
      </c>
      <c r="AZ75" s="63" t="inlineStr">
        <is>
          <t>China Biotech ETF (HS biotech proxy)</t>
        </is>
      </c>
      <c r="BA75" s="72" t="n">
        <v>-25.6</v>
      </c>
      <c r="BB75" s="64" t="inlineStr">
        <is>
          <t>2026-08-28</t>
        </is>
      </c>
      <c r="BC75" s="65" t="n">
        <v>0.6</v>
      </c>
      <c r="BD75" s="68" t="n">
        <v>-147.3</v>
      </c>
      <c r="BE75" s="63" t="inlineStr">
        <is>
          <t>N</t>
        </is>
      </c>
      <c r="BF75" s="63" t="inlineStr">
        <is>
          <t>n/m</t>
        </is>
      </c>
      <c r="BG75" s="74" t="n"/>
      <c r="BH75" s="74" t="n">
        <v>111.1</v>
      </c>
      <c r="BI75" s="74" t="n">
        <v>14236.7</v>
      </c>
      <c r="BJ75" s="75">
        <f>IF('BBG Verify'!S75="","not filed — run on terminal",'BBG Verify'!S75)</f>
        <v/>
      </c>
      <c r="BK75" s="76" t="inlineStr">
        <is>
          <t>N</t>
        </is>
      </c>
      <c r="BL75" s="77">
        <f>IF('BBG Verify'!K75="","not filed — run on terminal",'BBG Verify'!K75)</f>
        <v/>
      </c>
      <c r="BM75" s="63" t="inlineStr">
        <is>
          <t>N/A</t>
        </is>
      </c>
      <c r="BN75" s="63" t="inlineStr">
        <is>
          <t>N/A</t>
        </is>
      </c>
      <c r="BO75" s="63" t="inlineStr">
        <is>
          <t>N/A</t>
        </is>
      </c>
      <c r="BP75" s="63" t="inlineStr">
        <is>
          <t>N/A</t>
        </is>
      </c>
      <c r="BQ75" s="63" t="inlineStr">
        <is>
          <t>N/A</t>
        </is>
      </c>
      <c r="BR75" s="63" t="inlineStr">
        <is>
          <t>N/A</t>
        </is>
      </c>
      <c r="BS75" s="76" t="inlineStr">
        <is>
          <t>Morgan Stanley Asia Limited; J.P. Morgan Securities (Far East) Limited</t>
        </is>
      </c>
      <c r="BT75" s="63" t="inlineStr">
        <is>
          <t>Morgan Stanley Asia Limited; J.P. Morgan Securities (Far East) Limited</t>
        </is>
      </c>
      <c r="BU75" s="63" t="inlineStr">
        <is>
          <t>Morgan Stanley Asia Limited; J.P. Morgan Securities (Asia Pacific) Limited; China International Capital Corporation Hong Kong Securities Limited</t>
        </is>
      </c>
      <c r="BV75" s="63" t="inlineStr">
        <is>
          <t>China International Capital Corporation Hong Kong Securities Limited; China Industrial Securities International Capital Limited; Huatai Financial Holdings (Hong Kong) Limited; Haitong International Securities Company Limited; The Hongkong and Shanghai Banking Corporation Limited; J.P. Morgan Securities (Asia Pacific) Limited; J.P. Morgan Securities plc; Morgan Stanley Asia Limited; Morgan Stanley &amp; Co. International plc; SVB Leerink LLC</t>
        </is>
      </c>
      <c r="BW75" s="78">
        <f>HYPERLINK("https://www1.hkexnews.hk/listedco/listconews/sehk/2021/0930/2021093000017.pdf","prospectus")</f>
        <v/>
      </c>
      <c r="BX75" s="78">
        <f>HYPERLINK("https://www1.hkexnews.hk/listedco/listconews/sehk/2021/1012/2021101200008.htm","allotment")</f>
        <v/>
      </c>
      <c r="BY75" s="78">
        <f>HYPERLINK("https://www1.hkexnews.hk/listedco/listconews/sehk/2021/1105/2021110501527.pdf","stabilisation")</f>
        <v/>
      </c>
      <c r="BZ75" s="76" t="n"/>
      <c r="CA75" s="63" t="inlineStr">
        <is>
          <t>P/E: n/m — loss-making at IPO (use P/S) · greenshoe: over-allotment outcome already published, and the allotment announcement does not state the stabilisation expiry in a parsable form — the expiry no longer matters once resolved · A/H: no A-share listing · P/S: 14,237x on HK$0.6m revenue — effectively pre-revenue; the multiple is shown for completeness, not comparability · grey market: no grey-market headline on file for this deal — AAStocks publishes one per listing but keeps only recent items on the stock's news page, and no public archive of past evening sessions exists; captured from this run onward</t>
        </is>
      </c>
    </row>
    <row r="76" ht="15" customHeight="1">
      <c r="A76" s="62" t="inlineStr">
        <is>
          <t>2235</t>
        </is>
      </c>
      <c r="B76" s="63" t="inlineStr">
        <is>
          <t>MICROTECH MED-B</t>
        </is>
      </c>
      <c r="C76" s="63" t="inlineStr">
        <is>
          <t>微泰醫療－Ｂ</t>
        </is>
      </c>
      <c r="D76" s="63" t="inlineStr">
        <is>
          <t>Healthcare</t>
        </is>
      </c>
      <c r="E76" s="63" t="inlineStr">
        <is>
          <t>Medical devices</t>
        </is>
      </c>
      <c r="F76" s="63" t="inlineStr">
        <is>
          <t>Biotechnology</t>
        </is>
      </c>
      <c r="G76" s="63" t="inlineStr">
        <is>
          <t>18A</t>
        </is>
      </c>
      <c r="H76" s="64" t="n">
        <v>44488</v>
      </c>
      <c r="I76" s="65" t="n">
        <v>1937.6</v>
      </c>
      <c r="J76" s="63" t="inlineStr">
        <is>
          <t>gross (price x shares)</t>
        </is>
      </c>
      <c r="K76" s="66" t="n">
        <v>27.7</v>
      </c>
      <c r="L76" s="66" t="n">
        <v>31.15</v>
      </c>
      <c r="M76" s="66" t="n">
        <v>30.5</v>
      </c>
      <c r="N76" s="63" t="inlineStr">
        <is>
          <t>N</t>
        </is>
      </c>
      <c r="O76" s="67" t="n">
        <v>97.90000000000001</v>
      </c>
      <c r="P76" s="67" t="n">
        <v>81.2</v>
      </c>
      <c r="Q76" s="68" t="n">
        <v>11485.5</v>
      </c>
      <c r="R76" s="63" t="inlineStr">
        <is>
          <t>derived:deal size / offer % of enlarged capital</t>
        </is>
      </c>
      <c r="S76" s="69" t="n">
        <v>6.79</v>
      </c>
      <c r="T76" s="70" t="n">
        <v>4.9</v>
      </c>
      <c r="U76" s="71" t="n">
        <v>61.7</v>
      </c>
      <c r="V76" s="68" t="n">
        <v>742.1</v>
      </c>
      <c r="W76" s="68" t="n">
        <v>24331798</v>
      </c>
      <c r="X76" s="67" t="n">
        <v>6.46</v>
      </c>
      <c r="Y76" s="63" t="inlineStr">
        <is>
          <t>Boyu Capital Opportunities Master Fund; Hudson Bay Master Fund Ltd; Invesco Advisers, Inc; Lake Bleu Prime Healthcare Master Fund Limited; LAV Star Opportunities Limited; Octagon Investments Master Fund LP; OrbiMed Advisors LLC; Sage Partners Master Fund; Springhill Master Fund Limited; Tencent Mobility Limited; UBS Asset Management (Singapore) Ltd</t>
        </is>
      </c>
      <c r="Z76" s="63" t="inlineStr">
        <is>
          <t>boyu;hudson;invesco;lake;lav;octagon;orbimed;sage;springhill;tencent;ubs</t>
        </is>
      </c>
      <c r="AA76" s="67" t="n">
        <v>17.36</v>
      </c>
      <c r="AB76" s="72" t="n"/>
      <c r="AC76" s="66" t="n"/>
      <c r="AD76" s="72" t="n"/>
      <c r="AE76" s="63" t="n"/>
      <c r="AF76" s="63" t="n"/>
      <c r="AG76" s="63" t="inlineStr">
        <is>
          <t>partial</t>
        </is>
      </c>
      <c r="AH76" s="63" t="inlineStr">
        <is>
          <t>2021-11-10</t>
        </is>
      </c>
      <c r="AI76" s="63" t="inlineStr">
        <is>
          <t>Goldman Sachs</t>
        </is>
      </c>
      <c r="AJ76" s="63" t="inlineStr">
        <is>
          <t>Goldman Sachs</t>
        </is>
      </c>
      <c r="AK76" s="73" t="n">
        <v>0</v>
      </c>
      <c r="AL76" s="72" t="n">
        <v>1.64</v>
      </c>
      <c r="AM76" s="72" t="n">
        <v>-1.61</v>
      </c>
      <c r="AN76" s="72" t="n">
        <v>0.16</v>
      </c>
      <c r="AO76" s="72" t="n">
        <v>-6.56</v>
      </c>
      <c r="AP76" s="72" t="n">
        <v>-35.74</v>
      </c>
      <c r="AQ76" s="72" t="n">
        <v>0.16</v>
      </c>
      <c r="AR76" s="72" t="n">
        <v>-6.56</v>
      </c>
      <c r="AS76" s="72" t="n">
        <v>-35.74</v>
      </c>
      <c r="AT76" s="72" t="n">
        <v>-1.15</v>
      </c>
      <c r="AU76" s="72" t="n">
        <v>-7.91</v>
      </c>
      <c r="AV76" s="72" t="n">
        <v>-20.8</v>
      </c>
      <c r="AW76" s="72" t="n">
        <v>-6.09</v>
      </c>
      <c r="AX76" s="72" t="n">
        <v>1.35</v>
      </c>
      <c r="AY76" s="72" t="n">
        <v>-0.47</v>
      </c>
      <c r="AZ76" s="63" t="inlineStr">
        <is>
          <t>China Biotech ETF (HS biotech proxy)</t>
        </is>
      </c>
      <c r="BA76" s="72" t="n">
        <v>-75.48</v>
      </c>
      <c r="BB76" s="64" t="inlineStr">
        <is>
          <t>2026-08-28</t>
        </is>
      </c>
      <c r="BC76" s="65" t="n">
        <v>19.5</v>
      </c>
      <c r="BD76" s="68" t="n">
        <v>-4.5</v>
      </c>
      <c r="BE76" s="63" t="inlineStr">
        <is>
          <t>N</t>
        </is>
      </c>
      <c r="BF76" s="63" t="inlineStr">
        <is>
          <t>n/m</t>
        </is>
      </c>
      <c r="BG76" s="74" t="n"/>
      <c r="BH76" s="74" t="n">
        <v>62.2</v>
      </c>
      <c r="BI76" s="74" t="n">
        <v>589</v>
      </c>
      <c r="BJ76" s="75">
        <f>IF('BBG Verify'!S76="","not filed — run on terminal",'BBG Verify'!S76)</f>
        <v/>
      </c>
      <c r="BK76" s="76" t="inlineStr">
        <is>
          <t>N</t>
        </is>
      </c>
      <c r="BL76" s="77">
        <f>IF('BBG Verify'!K76="","not filed — run on terminal",'BBG Verify'!K76)</f>
        <v/>
      </c>
      <c r="BM76" s="63" t="inlineStr">
        <is>
          <t>N/A</t>
        </is>
      </c>
      <c r="BN76" s="63" t="inlineStr">
        <is>
          <t>N/A</t>
        </is>
      </c>
      <c r="BO76" s="63" t="inlineStr">
        <is>
          <t>N/A</t>
        </is>
      </c>
      <c r="BP76" s="63" t="inlineStr">
        <is>
          <t>N/A</t>
        </is>
      </c>
      <c r="BQ76" s="63" t="inlineStr">
        <is>
          <t>N/A</t>
        </is>
      </c>
      <c r="BR76" s="63" t="inlineStr">
        <is>
          <t>N/A</t>
        </is>
      </c>
      <c r="BS76" s="76" t="inlineStr">
        <is>
          <t>Goldman Sachs (Asia) L.L.C; China International Capital Corporation Hong Kong Securities Limited</t>
        </is>
      </c>
      <c r="BT76" s="63" t="inlineStr">
        <is>
          <t>China International Capital Corporation Hong Kong Securities Limited; Goldman Sachs (Asia) L.L.C.</t>
        </is>
      </c>
      <c r="BU76" s="63" t="inlineStr">
        <is>
          <t>Goldman Sachs (Asia) L.L.C; China International Capital Corporation Hong Kong Securities Limited; CLSA Limited</t>
        </is>
      </c>
      <c r="BV76" s="63" t="inlineStr">
        <is>
          <t>China International Capital Corporation Hong Kong Securities Limited; CLSA Limited; Goldman Sachs (Asia) L.L.C.</t>
        </is>
      </c>
      <c r="BW76" s="78">
        <f>HYPERLINK("https://www1.hkexnews.hk/listedco/listconews/sehk/2021/1006/2021100600007.pdf","prospectus")</f>
        <v/>
      </c>
      <c r="BX76" s="78">
        <f>HYPERLINK("https://www1.hkexnews.hk/listedco/listconews/sehk/2021/1018/2021101800008.htm","allotment")</f>
        <v/>
      </c>
      <c r="BY76" s="78">
        <f>HYPERLINK("https://www1.hkexnews.hk/listedco/listconews/sehk/2021/1111/2021111100027.pdf","stabilisation")</f>
        <v/>
      </c>
      <c r="BZ76" s="76" t="n"/>
      <c r="CA76" s="63" t="inlineStr">
        <is>
          <t>P/E: n/m — loss-making at IPO (use P/S) · A/H: no A-share listing · P/S: 589x on HK$19.5m revenue — effectively pre-revenue; the multiple is shown for completeness, not comparability · deal size: stated gross HK$75.7m rejected — below the deal's own net proceeds HK$1,815.1m, which cannot happen · grey market: no grey-market headline on file for this deal — AAStocks publishes one per listing but keeps only recent items on the stock's news page, and no public archive of past evening sessions exists; captured from this run onward</t>
        </is>
      </c>
    </row>
    <row r="77" ht="15" customHeight="1">
      <c r="A77" s="62" t="inlineStr">
        <is>
          <t>2252</t>
        </is>
      </c>
      <c r="B77" s="63" t="inlineStr">
        <is>
          <t>MEDBOT-B</t>
        </is>
      </c>
      <c r="C77" s="63" t="inlineStr">
        <is>
          <t>微創機器人－Ｂ</t>
        </is>
      </c>
      <c r="D77" s="63" t="inlineStr">
        <is>
          <t>Healthcare</t>
        </is>
      </c>
      <c r="E77" s="63" t="inlineStr">
        <is>
          <t>Medical devices</t>
        </is>
      </c>
      <c r="F77" s="63" t="inlineStr">
        <is>
          <t>Biotechnology</t>
        </is>
      </c>
      <c r="G77" s="63" t="inlineStr">
        <is>
          <t>18A</t>
        </is>
      </c>
      <c r="H77" s="64" t="n">
        <v>44502</v>
      </c>
      <c r="I77" s="65" t="n">
        <v>1563.8</v>
      </c>
      <c r="J77" s="63" t="inlineStr">
        <is>
          <t>gross (price x shares)</t>
        </is>
      </c>
      <c r="K77" s="66" t="n">
        <v>36</v>
      </c>
      <c r="L77" s="66" t="n">
        <v>43.2</v>
      </c>
      <c r="M77" s="66" t="n">
        <v>43.2</v>
      </c>
      <c r="N77" s="63" t="inlineStr">
        <is>
          <t>Y</t>
        </is>
      </c>
      <c r="O77" s="67" t="n">
        <v>100</v>
      </c>
      <c r="P77" s="67" t="n">
        <v>100</v>
      </c>
      <c r="Q77" s="68" t="n">
        <v>41411.3</v>
      </c>
      <c r="R77" s="63" t="inlineStr">
        <is>
          <t>aastocks:上市市值 at the struck price</t>
        </is>
      </c>
      <c r="S77" s="69" t="n">
        <v>163.83</v>
      </c>
      <c r="T77" s="70" t="n">
        <v>16</v>
      </c>
      <c r="U77" s="71" t="n">
        <v>45</v>
      </c>
      <c r="V77" s="68" t="n">
        <v>860.09</v>
      </c>
      <c r="W77" s="68" t="n">
        <v>19910000</v>
      </c>
      <c r="X77" s="67" t="n">
        <v>2.08</v>
      </c>
      <c r="Y77" s="63" t="inlineStr">
        <is>
          <t>Artisan China Post-Venture Master Fund LP; Aspex Master Fund; CloudAlpha Master Fund; Hillhouse Funds; LAV Fund VI, L.P; Snow Lake Funds and Accounts; Yorkool International Limited</t>
        </is>
      </c>
      <c r="Z77" s="63" t="inlineStr">
        <is>
          <t>artisan;aspex;cloudalpha;hillhouse;lav;snow;yorkool</t>
        </is>
      </c>
      <c r="AA77" s="67" t="n">
        <v>15</v>
      </c>
      <c r="AB77" s="72" t="n"/>
      <c r="AC77" s="66" t="n"/>
      <c r="AD77" s="72" t="n"/>
      <c r="AE77" s="63" t="n"/>
      <c r="AF77" s="63" t="n"/>
      <c r="AG77" s="63" t="inlineStr">
        <is>
          <t>full</t>
        </is>
      </c>
      <c r="AH77" s="63" t="inlineStr">
        <is>
          <t>2021-11-25</t>
        </is>
      </c>
      <c r="AI77" s="63" t="n"/>
      <c r="AJ77" s="63" t="n"/>
      <c r="AK77" s="73" t="n">
        <v>6.02</v>
      </c>
      <c r="AL77" s="72" t="n">
        <v>-7.87</v>
      </c>
      <c r="AM77" s="72" t="n">
        <v>15.08</v>
      </c>
      <c r="AN77" s="72" t="n">
        <v>34.03</v>
      </c>
      <c r="AO77" s="72" t="n">
        <v>24.19</v>
      </c>
      <c r="AP77" s="72" t="n">
        <v>9.949999999999999</v>
      </c>
      <c r="AQ77" s="72" t="n">
        <v>26.42</v>
      </c>
      <c r="AR77" s="72" t="n">
        <v>17.14</v>
      </c>
      <c r="AS77" s="72" t="n">
        <v>3.71</v>
      </c>
      <c r="AT77" s="72" t="n">
        <v>36.38</v>
      </c>
      <c r="AU77" s="72" t="n">
        <v>22.54</v>
      </c>
      <c r="AV77" s="72" t="n">
        <v>32.97</v>
      </c>
      <c r="AW77" s="72" t="n">
        <v>13.85</v>
      </c>
      <c r="AX77" s="72" t="n">
        <v>1.65</v>
      </c>
      <c r="AY77" s="72" t="n">
        <v>3.29</v>
      </c>
      <c r="AZ77" s="63" t="inlineStr">
        <is>
          <t>China Biotech ETF (HS biotech proxy)</t>
        </is>
      </c>
      <c r="BA77" s="72" t="n">
        <v>-49.07</v>
      </c>
      <c r="BB77" s="64" t="inlineStr">
        <is>
          <t>2026-08-28</t>
        </is>
      </c>
      <c r="BC77" s="65" t="n">
        <v>8.800000000000001</v>
      </c>
      <c r="BD77" s="68" t="n">
        <v>-53.9</v>
      </c>
      <c r="BE77" s="63" t="inlineStr">
        <is>
          <t>N</t>
        </is>
      </c>
      <c r="BF77" s="63" t="inlineStr">
        <is>
          <t>n/m</t>
        </is>
      </c>
      <c r="BG77" s="74" t="n"/>
      <c r="BH77" s="74" t="n"/>
      <c r="BI77" s="74" t="n">
        <v>4705.8</v>
      </c>
      <c r="BJ77" s="75">
        <f>IF('BBG Verify'!S77="","not filed — run on terminal",'BBG Verify'!S77)</f>
        <v/>
      </c>
      <c r="BK77" s="76" t="inlineStr">
        <is>
          <t>N</t>
        </is>
      </c>
      <c r="BL77" s="77">
        <f>IF('BBG Verify'!K77="","not filed — run on terminal",'BBG Verify'!K77)</f>
        <v/>
      </c>
      <c r="BM77" s="63" t="inlineStr">
        <is>
          <t>N/A</t>
        </is>
      </c>
      <c r="BN77" s="63" t="inlineStr">
        <is>
          <t>N/A</t>
        </is>
      </c>
      <c r="BO77" s="63" t="inlineStr">
        <is>
          <t>N/A</t>
        </is>
      </c>
      <c r="BP77" s="63" t="inlineStr">
        <is>
          <t>N/A</t>
        </is>
      </c>
      <c r="BQ77" s="63" t="inlineStr">
        <is>
          <t>N/A</t>
        </is>
      </c>
      <c r="BR77" s="63" t="inlineStr">
        <is>
          <t>N/A</t>
        </is>
      </c>
      <c r="BS77" s="76" t="inlineStr">
        <is>
          <t>J.P. Morgan Securities (Far East) Limited; China International Capital Corporation Hong Kong Securities Limited</t>
        </is>
      </c>
      <c r="BT77" s="63" t="inlineStr">
        <is>
          <t>China International Capital Corporation Hong Kong Securities Limited; J.P. Morgan Securities (Far East) Limited</t>
        </is>
      </c>
      <c r="BU77" s="63" t="inlineStr">
        <is>
          <t>J.P. Morgan Securities (Asia Pacific) Limited; China International Capital Corporation Hong Kong Securities Limited</t>
        </is>
      </c>
      <c r="BV77" s="63" t="inlineStr">
        <is>
          <t>China International Capital Corporation Hong Kong Securities Limited; Futu Securities International (Hong Kong) Limited; J.P. Morgan Securities (Asia Pacific) Limited; Livermore Holdings Limited</t>
        </is>
      </c>
      <c r="BW77" s="78">
        <f>HYPERLINK("https://www1.hkexnews.hk/listedco/listconews/sehk/2021/1021/2021102100011.pdf","prospectus")</f>
        <v/>
      </c>
      <c r="BX77" s="78">
        <f>HYPERLINK("https://www1.hkexnews.hk/listedco/listconews/sehk/2021/1101/2021110100012.htm","allotment")</f>
        <v/>
      </c>
      <c r="BY77" s="78">
        <f>HYPERLINK("https://www1.hkexnews.hk/listedco/listconews/sehk/2021/1125/2021112501059.pdf","stabilisation")</f>
        <v/>
      </c>
      <c r="BZ77" s="76" t="n"/>
      <c r="CA77" s="63" t="inlineStr">
        <is>
          <t>P/E: n/m — loss-making at IPO (use P/S) · A/H: no A-share listing · P/S: 4,706x on HK$8.8m revenue — effectively pre-revenue; the multiple is shown for completeness, not comparability · stabilising manager: neither the allotment announcement's cover sentence nor the prospectus definitions glossary names one in a form the parser reads — not inferred from the sponsor · grey market: no grey-market headline on file for this deal — AAStocks publishes one per listing but keeps only recent items on the stock's news page, and no public archive of past evening sessions exists; captured from this run onward</t>
        </is>
      </c>
    </row>
    <row r="78" ht="15" customHeight="1">
      <c r="A78" s="62" t="inlineStr">
        <is>
          <t>2251</t>
        </is>
      </c>
      <c r="B78" s="63" t="inlineStr">
        <is>
          <t>AIRDOC-B</t>
        </is>
      </c>
      <c r="C78" s="63" t="inlineStr">
        <is>
          <t>鷹瞳科技－Ｂ</t>
        </is>
      </c>
      <c r="D78" s="63" t="inlineStr">
        <is>
          <t>Healthcare</t>
        </is>
      </c>
      <c r="E78" s="63" t="inlineStr">
        <is>
          <t>Digital health</t>
        </is>
      </c>
      <c r="F78" s="63" t="inlineStr">
        <is>
          <t>Biotechnology</t>
        </is>
      </c>
      <c r="G78" s="63" t="inlineStr">
        <is>
          <t>18A</t>
        </is>
      </c>
      <c r="H78" s="64" t="n">
        <v>44505</v>
      </c>
      <c r="I78" s="65" t="n">
        <v>1566.4</v>
      </c>
      <c r="J78" s="63" t="inlineStr">
        <is>
          <t>net proceeds</t>
        </is>
      </c>
      <c r="K78" s="66" t="n"/>
      <c r="L78" s="66" t="n">
        <v>75.09999999999999</v>
      </c>
      <c r="M78" s="66" t="n">
        <v>75.09999999999999</v>
      </c>
      <c r="N78" s="63" t="inlineStr">
        <is>
          <t>Y</t>
        </is>
      </c>
      <c r="O78" s="67" t="n">
        <v>100</v>
      </c>
      <c r="P78" s="67" t="n"/>
      <c r="Q78" s="68" t="n">
        <v>8099.1</v>
      </c>
      <c r="R78" s="63" t="inlineStr">
        <is>
          <t>aastocks:上市市值 at the struck price</t>
        </is>
      </c>
      <c r="S78" s="69" t="n">
        <v>6.18</v>
      </c>
      <c r="T78" s="70" t="n">
        <v>2.9</v>
      </c>
      <c r="U78" s="71" t="n">
        <v>34.6</v>
      </c>
      <c r="V78" s="68" t="n">
        <v>1024.43</v>
      </c>
      <c r="W78" s="68" t="n"/>
      <c r="X78" s="67" t="n">
        <v>12.65</v>
      </c>
      <c r="Y78" s="63" t="inlineStr">
        <is>
          <t>CloudAlpha Master Fund; GF Fund Management Co., Ltd; IvyRock Asset Management (HK) Limited; Lake Bleu Prime Healthcare Master Fund Limited; LAV Star Opportunities Limited; LMR Master Fund Limited; WT Asset Management Limited</t>
        </is>
      </c>
      <c r="Z78" s="63" t="inlineStr">
        <is>
          <t>cloudalpha;gf;ivyrock;lake;lav;lmr;wt</t>
        </is>
      </c>
      <c r="AA78" s="67" t="n"/>
      <c r="AB78" s="72" t="n"/>
      <c r="AC78" s="66" t="n"/>
      <c r="AD78" s="72" t="n"/>
      <c r="AE78" s="63" t="n"/>
      <c r="AF78" s="63" t="n"/>
      <c r="AG78" s="63" t="inlineStr">
        <is>
          <t>lapsed</t>
        </is>
      </c>
      <c r="AH78" s="63" t="inlineStr">
        <is>
          <t>2021-11-28</t>
        </is>
      </c>
      <c r="AI78" s="63" t="n"/>
      <c r="AJ78" s="63" t="n"/>
      <c r="AK78" s="73" t="n">
        <v>-9.449999999999999</v>
      </c>
      <c r="AL78" s="72" t="n">
        <v>-9.99</v>
      </c>
      <c r="AM78" s="72" t="n">
        <v>0.6</v>
      </c>
      <c r="AN78" s="72" t="n">
        <v>-12.98</v>
      </c>
      <c r="AO78" s="72" t="n">
        <v>-24.37</v>
      </c>
      <c r="AP78" s="72" t="n">
        <v>-56.06</v>
      </c>
      <c r="AQ78" s="72" t="n">
        <v>-3.9</v>
      </c>
      <c r="AR78" s="72" t="n">
        <v>-16.48</v>
      </c>
      <c r="AS78" s="72" t="n">
        <v>-51.47</v>
      </c>
      <c r="AT78" s="72" t="n">
        <v>-13.64</v>
      </c>
      <c r="AU78" s="72" t="n">
        <v>-20.53</v>
      </c>
      <c r="AV78" s="72" t="n">
        <v>-31.59</v>
      </c>
      <c r="AW78" s="72" t="n">
        <v>-13.93</v>
      </c>
      <c r="AX78" s="72" t="n">
        <v>-3.84</v>
      </c>
      <c r="AY78" s="72" t="n">
        <v>-2.55</v>
      </c>
      <c r="AZ78" s="63" t="inlineStr">
        <is>
          <t>China Biotech ETF (HS biotech proxy)</t>
        </is>
      </c>
      <c r="BA78" s="72" t="n">
        <v>-87.31999999999999</v>
      </c>
      <c r="BB78" s="64" t="inlineStr">
        <is>
          <t>2026-08-28</t>
        </is>
      </c>
      <c r="BC78" s="65" t="n">
        <v>7.2</v>
      </c>
      <c r="BD78" s="68" t="n">
        <v>-53.7</v>
      </c>
      <c r="BE78" s="63" t="inlineStr">
        <is>
          <t>N</t>
        </is>
      </c>
      <c r="BF78" s="63" t="inlineStr">
        <is>
          <t>n/m</t>
        </is>
      </c>
      <c r="BG78" s="74" t="n"/>
      <c r="BH78" s="74" t="n"/>
      <c r="BI78" s="74" t="n">
        <v>1124.9</v>
      </c>
      <c r="BJ78" s="75">
        <f>IF('BBG Verify'!S78="","not filed — run on terminal",'BBG Verify'!S78)</f>
        <v/>
      </c>
      <c r="BK78" s="76" t="inlineStr">
        <is>
          <t>N</t>
        </is>
      </c>
      <c r="BL78" s="77">
        <f>IF('BBG Verify'!K78="","not filed — run on terminal",'BBG Verify'!K78)</f>
        <v/>
      </c>
      <c r="BM78" s="63" t="inlineStr">
        <is>
          <t>N/A</t>
        </is>
      </c>
      <c r="BN78" s="63" t="inlineStr">
        <is>
          <t>N/A</t>
        </is>
      </c>
      <c r="BO78" s="63" t="inlineStr">
        <is>
          <t>N/A</t>
        </is>
      </c>
      <c r="BP78" s="63" t="inlineStr">
        <is>
          <t>N/A</t>
        </is>
      </c>
      <c r="BQ78" s="63" t="inlineStr">
        <is>
          <t>N/A</t>
        </is>
      </c>
      <c r="BR78" s="63" t="inlineStr">
        <is>
          <t>N/A</t>
        </is>
      </c>
      <c r="BS78" s="76" t="n"/>
      <c r="BT78" s="63" t="inlineStr">
        <is>
          <t>UBS Securities Hong Kong Limited; CLSA Capital Markets Limited</t>
        </is>
      </c>
      <c r="BU78" s="63" t="inlineStr">
        <is>
          <t>CLSA Limited; CMB International Capital Limited; China PA Securities (Hong Kong) Company Limited; Essence International Securities (Hong Kong) Limited; Fosun Hani Securities Limited; Guodu Securities (Hong Kong) Limited</t>
        </is>
      </c>
      <c r="BV78" s="63" t="inlineStr">
        <is>
          <t>CLSA Limited; CMB International Capital Limited; China PA Securities (Hong Kong) Company Limited; Essence International Securities (Hong Kong) Limited; Fosun Hani Securities Limited; Guodu Securities (Hong Kong) Limited; GF Securities (Hong Kong) Brokerage Limited; Haitong International Securities Company Limited; SPDB International Capital Limited; UBS AG Hong Kong Branch</t>
        </is>
      </c>
      <c r="BW78" s="78">
        <f>HYPERLINK("https://www1.hkexnews.hk/listedco/listconews/sehk/2021/1026/2021102600012.htm","prospectus")</f>
        <v/>
      </c>
      <c r="BX78" s="78">
        <f>HYPERLINK("https://www1.hkexnews.hk/listedco/listconews/sehk/2021/1104/2021110400022.htm","allotment")</f>
        <v/>
      </c>
      <c r="BY78" s="78">
        <f>HYPERLINK("https://www1.hkexnews.hk/listedco/listconews/sehk/2021/1128/2021112800017.pdf","stabilisation")</f>
        <v/>
      </c>
      <c r="BZ78" s="76" t="n"/>
      <c r="CA78" s="63" t="inlineStr">
        <is>
          <t>P/E: n/m — loss-making at IPO (use P/S) · price range: fixed-price offering (no indicative range) · range low: cap-only pricing — the filing publishes a Maximum Offer Price and no indicative floor · A/H: no A-share listing · sponsor: English name not in the filing text; AAStocks 保薦人 shown · cornerstone %: AAStocks institutional-order total / deal size — an upper bound; the table can include non-cornerstone orders · greenshoe size: no over-allotment option in the offer structure · P/S: 1,125x on HK$7.2m revenue — effectively pre-revenue; the multiple is shown for completeness, not comparability · stabilising manager: neither the allotment announcement's cover sentence nor the prospectus definitions glossary names one in a form the parser reads — not inferred from the sponsor · grey market: no grey-market headline on file for this deal — AAStocks publishes one per listing but keeps only recent items on the stock's news page, and no public archive of past evening sessions exists; captured from this run onward · eff float shares: share count unavailable or rejected as implausible — the money figure (eff_free_float_hkdm) is still exact</t>
        </is>
      </c>
    </row>
    <row r="79" ht="15" customHeight="1">
      <c r="A79" s="62" t="inlineStr">
        <is>
          <t>2197</t>
        </is>
      </c>
      <c r="B79" s="63" t="inlineStr">
        <is>
          <t>CLOVER BIO-B</t>
        </is>
      </c>
      <c r="C79" s="63" t="inlineStr">
        <is>
          <t>三葉草生物－Ｂ</t>
        </is>
      </c>
      <c r="D79" s="63" t="inlineStr">
        <is>
          <t>Healthcare</t>
        </is>
      </c>
      <c r="E79" s="63" t="inlineStr">
        <is>
          <t>Biotech pre-revenue (18A)</t>
        </is>
      </c>
      <c r="F79" s="63" t="inlineStr">
        <is>
          <t>Biotechnology</t>
        </is>
      </c>
      <c r="G79" s="63" t="inlineStr">
        <is>
          <t>18A</t>
        </is>
      </c>
      <c r="H79" s="64" t="n">
        <v>44505</v>
      </c>
      <c r="I79" s="65" t="n">
        <v>2007</v>
      </c>
      <c r="J79" s="63" t="inlineStr">
        <is>
          <t>gross (price x shares)</t>
        </is>
      </c>
      <c r="K79" s="66" t="n">
        <v>12.8</v>
      </c>
      <c r="L79" s="66" t="n">
        <v>13.5</v>
      </c>
      <c r="M79" s="66" t="n">
        <v>13.38</v>
      </c>
      <c r="N79" s="63" t="inlineStr">
        <is>
          <t>N</t>
        </is>
      </c>
      <c r="O79" s="67" t="n">
        <v>99.09999999999999</v>
      </c>
      <c r="P79" s="67" t="n">
        <v>82.90000000000001</v>
      </c>
      <c r="Q79" s="68" t="n">
        <v>14823.9</v>
      </c>
      <c r="R79" s="63" t="inlineStr">
        <is>
          <t>prospectus:stated market capitalisation</t>
        </is>
      </c>
      <c r="S79" s="69" t="n">
        <v>4.4</v>
      </c>
      <c r="T79" s="70" t="n">
        <v>3.21</v>
      </c>
      <c r="U79" s="71" t="n">
        <v>10.8</v>
      </c>
      <c r="V79" s="68" t="n">
        <v>1790.24</v>
      </c>
      <c r="W79" s="68" t="n">
        <v>133800000</v>
      </c>
      <c r="X79" s="67" t="n">
        <v>12.08</v>
      </c>
      <c r="Y79" s="63" t="inlineStr">
        <is>
          <t>Athos Capital Limited; HHLR Fund, L.P.; YHG Investment, L.P; Oceanpine Capital Management Limited; OrbiMed Funds; Rock Springs Capital Master Fund LP; Springhill Master Fund Limited; Superstring Capital Master Fund LP; Toroa Master Fund</t>
        </is>
      </c>
      <c r="Z79" s="63" t="inlineStr">
        <is>
          <t>athos;hhlr;yhg;oceanpine;orbimed;rock;springhill;superstring;toroa</t>
        </is>
      </c>
      <c r="AA79" s="67" t="n">
        <v>6.9</v>
      </c>
      <c r="AB79" s="72" t="n"/>
      <c r="AC79" s="66" t="n"/>
      <c r="AD79" s="72" t="n"/>
      <c r="AE79" s="63" t="n"/>
      <c r="AF79" s="63" t="n"/>
      <c r="AG79" s="63" t="inlineStr">
        <is>
          <t>lapsed</t>
        </is>
      </c>
      <c r="AH79" s="63" t="inlineStr">
        <is>
          <t>2021-11-27</t>
        </is>
      </c>
      <c r="AI79" s="63" t="n"/>
      <c r="AJ79" s="63" t="n"/>
      <c r="AK79" s="73" t="n">
        <v>-2.99</v>
      </c>
      <c r="AL79" s="72" t="n">
        <v>0</v>
      </c>
      <c r="AM79" s="72" t="n">
        <v>-2.99</v>
      </c>
      <c r="AN79" s="72" t="n">
        <v>-22.57</v>
      </c>
      <c r="AO79" s="72" t="n">
        <v>-16.89</v>
      </c>
      <c r="AP79" s="72" t="n">
        <v>-17.79</v>
      </c>
      <c r="AQ79" s="72" t="n">
        <v>-20.18</v>
      </c>
      <c r="AR79" s="72" t="n">
        <v>-14.33</v>
      </c>
      <c r="AS79" s="72" t="n">
        <v>-15.26</v>
      </c>
      <c r="AT79" s="72" t="n">
        <v>-23.23</v>
      </c>
      <c r="AU79" s="72" t="n">
        <v>-13.05</v>
      </c>
      <c r="AV79" s="72" t="n">
        <v>6.68</v>
      </c>
      <c r="AW79" s="72" t="n">
        <v>-11.78</v>
      </c>
      <c r="AX79" s="72" t="n">
        <v>-3.84</v>
      </c>
      <c r="AY79" s="72" t="n">
        <v>-2.55</v>
      </c>
      <c r="AZ79" s="63" t="inlineStr">
        <is>
          <t>China Biotech ETF (HS biotech proxy)</t>
        </is>
      </c>
      <c r="BA79" s="72" t="n">
        <v>-83.33</v>
      </c>
      <c r="BB79" s="64" t="inlineStr">
        <is>
          <t>2026-08-28</t>
        </is>
      </c>
      <c r="BC79" s="65" t="n">
        <v>1119.8</v>
      </c>
      <c r="BD79" s="68" t="n">
        <v>-163</v>
      </c>
      <c r="BE79" s="63" t="inlineStr">
        <is>
          <t>N</t>
        </is>
      </c>
      <c r="BF79" s="63" t="inlineStr">
        <is>
          <t>n/m</t>
        </is>
      </c>
      <c r="BG79" s="74" t="n"/>
      <c r="BH79" s="74" t="n"/>
      <c r="BI79" s="74" t="n">
        <v>13.2</v>
      </c>
      <c r="BJ79" s="75">
        <f>IF('BBG Verify'!S79="","not filed — run on terminal",'BBG Verify'!S79)</f>
        <v/>
      </c>
      <c r="BK79" s="76" t="inlineStr">
        <is>
          <t>N</t>
        </is>
      </c>
      <c r="BL79" s="77">
        <f>IF('BBG Verify'!K79="","not filed — run on terminal",'BBG Verify'!K79)</f>
        <v/>
      </c>
      <c r="BM79" s="63" t="inlineStr">
        <is>
          <t>N/A</t>
        </is>
      </c>
      <c r="BN79" s="63" t="inlineStr">
        <is>
          <t>N/A</t>
        </is>
      </c>
      <c r="BO79" s="63" t="inlineStr">
        <is>
          <t>N/A</t>
        </is>
      </c>
      <c r="BP79" s="63" t="inlineStr">
        <is>
          <t>N/A</t>
        </is>
      </c>
      <c r="BQ79" s="63" t="inlineStr">
        <is>
          <t>N/A</t>
        </is>
      </c>
      <c r="BR79" s="63" t="inlineStr">
        <is>
          <t>N/A</t>
        </is>
      </c>
      <c r="BS79" s="76" t="inlineStr">
        <is>
          <t>Goldman Sachs (Asia) L.L.C; China International Capital Corporation Hong Kong Securities Limited</t>
        </is>
      </c>
      <c r="BT79" s="63" t="inlineStr">
        <is>
          <t>China International Capital Corporation Hong Kong Securities Limited; Goldman Sachs (Asia) L.L.C.</t>
        </is>
      </c>
      <c r="BU79" s="63" t="inlineStr">
        <is>
          <t>China International Capital Corporation Hong Kong Securities Limited; Credit Suisse (Hong Kong) Limited; Goldman Sachs (Asia) L.L.C.</t>
        </is>
      </c>
      <c r="BV79" s="63" t="inlineStr">
        <is>
          <t>China International Capital Corporation Hong Kong Securities Limited; Credit Suisse (Hong Kong) Limited; Goldman Sachs (Asia) L.L.C.</t>
        </is>
      </c>
      <c r="BW79" s="78">
        <f>HYPERLINK("https://www1.hkexnews.hk/listedco/listconews/sehk/2021/1025/2021102500007.pdf","prospectus")</f>
        <v/>
      </c>
      <c r="BX79" s="78">
        <f>HYPERLINK("https://www1.hkexnews.hk/listedco/listconews/sehk/2021/1104/2021110400036.htm","allotment")</f>
        <v/>
      </c>
      <c r="BY79" s="78">
        <f>HYPERLINK("https://www1.hkexnews.hk/listedco/listconews/sehk/2021/1129/2021112900089.pdf","stabilisation")</f>
        <v/>
      </c>
      <c r="BZ79" s="76" t="n"/>
      <c r="CA79" s="63" t="inlineStr">
        <is>
          <t>P/E: n/m — loss-making at IPO (use P/S) · A/H: no A-share listing · cornerstone: AAStocks institutional table includes non-cornerstone orders (superset) — cornerstone % is from the prospectus · stabilising manager: neither the allotment announcement's cover sentence nor the prospectus definitions glossary names one in a form the parser reads — not inferred from the sponsor · grey market: no grey-market headline on file for this deal — AAStocks publishes one per listing but keeps only recent items on the stock's news page, and no public archive of past evening sessions exists; captured from this run onward</t>
        </is>
      </c>
    </row>
    <row r="80" ht="15" customHeight="1">
      <c r="A80" s="62" t="inlineStr">
        <is>
          <t>1948</t>
        </is>
      </c>
      <c r="B80" s="63" t="inlineStr">
        <is>
          <t>UJU HOLDING</t>
        </is>
      </c>
      <c r="C80" s="63" t="inlineStr">
        <is>
          <t>優矩控股</t>
        </is>
      </c>
      <c r="D80" s="63" t="inlineStr">
        <is>
          <t>TMT-other</t>
        </is>
      </c>
      <c r="E80" s="63" t="inlineStr">
        <is>
          <t>Media / advertising</t>
        </is>
      </c>
      <c r="F80" s="63" t="inlineStr">
        <is>
          <t>Advertising</t>
        </is>
      </c>
      <c r="G80" s="63" t="inlineStr">
        <is>
          <t>Standard</t>
        </is>
      </c>
      <c r="H80" s="64" t="n">
        <v>44508</v>
      </c>
      <c r="I80" s="65" t="n">
        <v>804</v>
      </c>
      <c r="J80" s="63" t="inlineStr">
        <is>
          <t>gross (price x shares)</t>
        </is>
      </c>
      <c r="K80" s="66" t="n">
        <v>6.7</v>
      </c>
      <c r="L80" s="66" t="n">
        <v>9.16</v>
      </c>
      <c r="M80" s="66" t="n">
        <v>6.7</v>
      </c>
      <c r="N80" s="63" t="inlineStr">
        <is>
          <t>N</t>
        </is>
      </c>
      <c r="O80" s="67" t="n">
        <v>73.09999999999999</v>
      </c>
      <c r="P80" s="67" t="n">
        <v>0</v>
      </c>
      <c r="Q80" s="68" t="n">
        <v>5099.6</v>
      </c>
      <c r="R80" s="63" t="inlineStr">
        <is>
          <t>aastocks:上市市值 at the struck price</t>
        </is>
      </c>
      <c r="S80" s="69" t="n">
        <v>4.56</v>
      </c>
      <c r="T80" s="70" t="n">
        <v>2.07</v>
      </c>
      <c r="U80" s="71" t="n">
        <v>14.5</v>
      </c>
      <c r="V80" s="68" t="n">
        <v>687.42</v>
      </c>
      <c r="W80" s="68" t="n">
        <v>102600000</v>
      </c>
      <c r="X80" s="67" t="n">
        <v>13.48</v>
      </c>
      <c r="Y80" s="63" t="inlineStr">
        <is>
          <t>BYTEDANCE (HK) LIMITED; Green Better</t>
        </is>
      </c>
      <c r="Z80" s="63" t="inlineStr">
        <is>
          <t>bytedance;green</t>
        </is>
      </c>
      <c r="AA80" s="67" t="n">
        <v>18</v>
      </c>
      <c r="AB80" s="72" t="n"/>
      <c r="AC80" s="66" t="n"/>
      <c r="AD80" s="72" t="n"/>
      <c r="AE80" s="63" t="n"/>
      <c r="AF80" s="63" t="n"/>
      <c r="AG80" s="63" t="inlineStr">
        <is>
          <t>lapsed</t>
        </is>
      </c>
      <c r="AH80" s="63" t="inlineStr">
        <is>
          <t>2021-11-28</t>
        </is>
      </c>
      <c r="AI80" s="63" t="inlineStr">
        <is>
          <t>Guotai Junan Securities</t>
        </is>
      </c>
      <c r="AJ80" s="63" t="inlineStr">
        <is>
          <t>Guotai Junan</t>
        </is>
      </c>
      <c r="AK80" s="73" t="n">
        <v>-4.48</v>
      </c>
      <c r="AL80" s="72" t="n">
        <v>0</v>
      </c>
      <c r="AM80" s="72" t="n">
        <v>-4.48</v>
      </c>
      <c r="AN80" s="72" t="n">
        <v>-1.94</v>
      </c>
      <c r="AO80" s="72" t="n">
        <v>-19.4</v>
      </c>
      <c r="AP80" s="72" t="n">
        <v>-13.58</v>
      </c>
      <c r="AQ80" s="72" t="n">
        <v>2.66</v>
      </c>
      <c r="AR80" s="72" t="n">
        <v>-15.62</v>
      </c>
      <c r="AS80" s="72" t="n">
        <v>-9.529999999999999</v>
      </c>
      <c r="AT80" s="72" t="n">
        <v>-4.03</v>
      </c>
      <c r="AU80" s="72" t="n">
        <v>-15.83</v>
      </c>
      <c r="AV80" s="72" t="n">
        <v>-13.42</v>
      </c>
      <c r="AW80" s="72" t="n">
        <v>-12.47</v>
      </c>
      <c r="AX80" s="72" t="n">
        <v>-3.57</v>
      </c>
      <c r="AY80" s="72" t="n">
        <v>-3.15</v>
      </c>
      <c r="AZ80" s="63" t="inlineStr">
        <is>
          <t>Hang Seng Index</t>
        </is>
      </c>
      <c r="BA80" s="72" t="n">
        <v>-39.7</v>
      </c>
      <c r="BB80" s="64" t="inlineStr">
        <is>
          <t>2026-08-28</t>
        </is>
      </c>
      <c r="BC80" s="65" t="n">
        <v>6996.8</v>
      </c>
      <c r="BD80" s="68" t="n">
        <v>146.5</v>
      </c>
      <c r="BE80" s="63" t="inlineStr">
        <is>
          <t>Y</t>
        </is>
      </c>
      <c r="BF80" s="74" t="n">
        <v>34.8</v>
      </c>
      <c r="BG80" s="74" t="n"/>
      <c r="BH80" s="74" t="n">
        <v>12.9</v>
      </c>
      <c r="BI80" s="74" t="n">
        <v>0.7</v>
      </c>
      <c r="BJ80" s="75">
        <f>IF('BBG Verify'!S80="","not filed — run on terminal",'BBG Verify'!S80)</f>
        <v/>
      </c>
      <c r="BK80" s="76" t="inlineStr">
        <is>
          <t>N</t>
        </is>
      </c>
      <c r="BL80" s="77">
        <f>IF('BBG Verify'!K80="","not filed — run on terminal",'BBG Verify'!K80)</f>
        <v/>
      </c>
      <c r="BM80" s="63" t="inlineStr">
        <is>
          <t>N/A</t>
        </is>
      </c>
      <c r="BN80" s="63" t="inlineStr">
        <is>
          <t>N/A</t>
        </is>
      </c>
      <c r="BO80" s="63" t="inlineStr">
        <is>
          <t>N/A</t>
        </is>
      </c>
      <c r="BP80" s="63" t="inlineStr">
        <is>
          <t>N/A</t>
        </is>
      </c>
      <c r="BQ80" s="63" t="inlineStr">
        <is>
          <t>N/A</t>
        </is>
      </c>
      <c r="BR80" s="63" t="inlineStr">
        <is>
          <t>N/A</t>
        </is>
      </c>
      <c r="BS80" s="76" t="inlineStr">
        <is>
          <t>CMBC International Capital Limited; Financial Adviser SBI China Capital Hong Kong Securities Limited</t>
        </is>
      </c>
      <c r="BT80" s="63" t="inlineStr">
        <is>
          <t>CMBC International Capital Limited</t>
        </is>
      </c>
      <c r="BU80" s="63" t="inlineStr">
        <is>
          <t>CMBC Securities Company Limited; Guotai Junan Securities (Hong Kong) Limited; CLSA Limited; CMB International Securities Limited; Valuable Capital Limited; Essence International Securities (Hong Kong) Limited; CCB International Securities Limited; Shenwan Hongyuan Securities (H.K.) Limited; SBI China Capital Financial Services Limited; BOCI Securities Limited; Futu Securities International (Hong Kong) Limited</t>
        </is>
      </c>
      <c r="BV80" s="63" t="inlineStr">
        <is>
          <t>BOCI Securities Limited; CCB International Securities Limited; CLSA Limited; CMBC Securities Company Limited; CMB International Securities Limited; Essence International Securities (Hong Kong) Limited; Futu Securities International (Hong Kong) Limited; Guotai Junan Securities (Hong Kong) Limited; Haitong International Securities Company Limited; Livermore Holdings Limited; SBI China Capital Financial Services Limited; Shenwan Hongyuan Securities (H.K.) Limited</t>
        </is>
      </c>
      <c r="BW80" s="78">
        <f>HYPERLINK("https://www1.hkexnews.hk/listedco/listconews/sehk/2021/1026/2021102600091.pdf","prospectus")</f>
        <v/>
      </c>
      <c r="BX80" s="78">
        <f>HYPERLINK("https://www1.hkexnews.hk/listedco/listconews/sehk/2021/1105/2021110500012.htm","allotment")</f>
        <v/>
      </c>
      <c r="BY80" s="78">
        <f>HYPERLINK("https://www1.hkexnews.hk/listedco/listconews/sehk/2021/1128/2021112800021.pdf","stabilisation")</f>
        <v/>
      </c>
      <c r="BZ80" s="76" t="n"/>
      <c r="CA80" s="63" t="inlineStr">
        <is>
          <t>A/H: no A-share listing · market cap: estimate from deal size / offer % of enlarged capital disagreed with the published listing cap — published figure adopted · grey market: no grey-market headline on file for this deal — AAStocks publishes one per listing but keeps only recent items on the stock's news page, and no public archive of past evening sessions exists; captured from this run onward</t>
        </is>
      </c>
    </row>
    <row r="81" ht="15" customHeight="1">
      <c r="A81" s="62" t="inlineStr">
        <is>
          <t>2210</t>
        </is>
      </c>
      <c r="B81" s="63" t="inlineStr">
        <is>
          <t>BEIJING JIAYE</t>
        </is>
      </c>
      <c r="C81" s="63" t="inlineStr">
        <is>
          <t>京城佳業</t>
        </is>
      </c>
      <c r="D81" s="63" t="inlineStr">
        <is>
          <t>Real Estate</t>
        </is>
      </c>
      <c r="E81" s="63" t="inlineStr">
        <is>
          <t>Property management</t>
        </is>
      </c>
      <c r="F81" s="63" t="inlineStr">
        <is>
          <t>Property Service and Management</t>
        </is>
      </c>
      <c r="G81" s="63" t="inlineStr">
        <is>
          <t>Standard</t>
        </is>
      </c>
      <c r="H81" s="64" t="n">
        <v>44510</v>
      </c>
      <c r="I81" s="65" t="n">
        <v>303.6</v>
      </c>
      <c r="J81" s="63" t="inlineStr">
        <is>
          <t>gross (price x shares)</t>
        </is>
      </c>
      <c r="K81" s="66" t="n"/>
      <c r="L81" s="66" t="n">
        <v>9.960000000000001</v>
      </c>
      <c r="M81" s="66" t="n">
        <v>8.279999999999999</v>
      </c>
      <c r="N81" s="63" t="inlineStr">
        <is>
          <t>N</t>
        </is>
      </c>
      <c r="O81" s="67" t="n">
        <v>83.09999999999999</v>
      </c>
      <c r="P81" s="67" t="n"/>
      <c r="Q81" s="68" t="n">
        <v>1214.4</v>
      </c>
      <c r="R81" s="63" t="inlineStr">
        <is>
          <t>derived:deal size / offer % of enlarged capital</t>
        </is>
      </c>
      <c r="S81" s="69" t="n">
        <v>2.88</v>
      </c>
      <c r="T81" s="70" t="n">
        <v>1.41</v>
      </c>
      <c r="U81" s="71" t="n">
        <v>48.9</v>
      </c>
      <c r="V81" s="68" t="n">
        <v>155.14</v>
      </c>
      <c r="W81" s="68" t="n">
        <v>18736939</v>
      </c>
      <c r="X81" s="67" t="n">
        <v>12.78</v>
      </c>
      <c r="Y81" s="63" t="inlineStr">
        <is>
          <t>Glodon (Hongkong) Software Limited; Keltic Investment (HK) Limited</t>
        </is>
      </c>
      <c r="Z81" s="63" t="inlineStr">
        <is>
          <t>glodon;keltic</t>
        </is>
      </c>
      <c r="AA81" s="67" t="n">
        <v>15</v>
      </c>
      <c r="AB81" s="72" t="n"/>
      <c r="AC81" s="66" t="n"/>
      <c r="AD81" s="72" t="n"/>
      <c r="AE81" s="63" t="n"/>
      <c r="AF81" s="63" t="n"/>
      <c r="AG81" s="63" t="inlineStr">
        <is>
          <t>lapsed</t>
        </is>
      </c>
      <c r="AH81" s="63" t="inlineStr">
        <is>
          <t>2021-12-03</t>
        </is>
      </c>
      <c r="AI81" s="63" t="inlineStr">
        <is>
          <t>China International Capital Corporation Hong Kong Securities Limited</t>
        </is>
      </c>
      <c r="AJ81" s="63" t="inlineStr">
        <is>
          <t>China International</t>
        </is>
      </c>
      <c r="AK81" s="73" t="n">
        <v>-0.24</v>
      </c>
      <c r="AL81" s="72" t="n">
        <v>0</v>
      </c>
      <c r="AM81" s="72" t="n">
        <v>-0.24</v>
      </c>
      <c r="AN81" s="72" t="n">
        <v>-9.300000000000001</v>
      </c>
      <c r="AO81" s="72" t="n">
        <v>-31.28</v>
      </c>
      <c r="AP81" s="72" t="n">
        <v>-42.63</v>
      </c>
      <c r="AQ81" s="72" t="n">
        <v>-9.08</v>
      </c>
      <c r="AR81" s="72" t="n">
        <v>-31.11</v>
      </c>
      <c r="AS81" s="72" t="n">
        <v>-42.49</v>
      </c>
      <c r="AT81" s="72" t="n">
        <v>-13.82</v>
      </c>
      <c r="AU81" s="72" t="n">
        <v>-34.16</v>
      </c>
      <c r="AV81" s="72" t="n">
        <v>-51.1</v>
      </c>
      <c r="AW81" s="72" t="n">
        <v>-30.94</v>
      </c>
      <c r="AX81" s="72" t="n">
        <v>2.88</v>
      </c>
      <c r="AY81" s="72" t="n">
        <v>-0.17</v>
      </c>
      <c r="AZ81" s="63" t="inlineStr">
        <is>
          <t>Hang Seng Properties sub-index</t>
        </is>
      </c>
      <c r="BA81" s="72" t="n">
        <v>-76.69</v>
      </c>
      <c r="BB81" s="64" t="inlineStr">
        <is>
          <t>2026-08-28</t>
        </is>
      </c>
      <c r="BC81" s="65" t="n">
        <v>1199.6</v>
      </c>
      <c r="BD81" s="68" t="n">
        <v>75.59999999999999</v>
      </c>
      <c r="BE81" s="63" t="inlineStr">
        <is>
          <t>Y</t>
        </is>
      </c>
      <c r="BF81" s="74" t="n">
        <v>16.1</v>
      </c>
      <c r="BG81" s="74" t="n"/>
      <c r="BH81" s="74" t="n">
        <v>4.6</v>
      </c>
      <c r="BI81" s="74" t="n">
        <v>1</v>
      </c>
      <c r="BJ81" s="75">
        <f>IF('BBG Verify'!S81="","not filed — run on terminal",'BBG Verify'!S81)</f>
        <v/>
      </c>
      <c r="BK81" s="76" t="inlineStr">
        <is>
          <t>N</t>
        </is>
      </c>
      <c r="BL81" s="77">
        <f>IF('BBG Verify'!K81="","not filed — run on terminal",'BBG Verify'!K81)</f>
        <v/>
      </c>
      <c r="BM81" s="63" t="inlineStr">
        <is>
          <t>N/A</t>
        </is>
      </c>
      <c r="BN81" s="63" t="inlineStr">
        <is>
          <t>N/A</t>
        </is>
      </c>
      <c r="BO81" s="63" t="inlineStr">
        <is>
          <t>N/A</t>
        </is>
      </c>
      <c r="BP81" s="63" t="inlineStr">
        <is>
          <t>N/A</t>
        </is>
      </c>
      <c r="BQ81" s="63" t="inlineStr">
        <is>
          <t>N/A</t>
        </is>
      </c>
      <c r="BR81" s="63" t="inlineStr">
        <is>
          <t>N/A</t>
        </is>
      </c>
      <c r="BS81" s="76" t="inlineStr">
        <is>
          <t>China International Capital Corporation Hong Kong Securities Limited</t>
        </is>
      </c>
      <c r="BT81" s="63" t="inlineStr">
        <is>
          <t>China International Capital Corporation Hong Kong Securities Limited</t>
        </is>
      </c>
      <c r="BU81" s="63" t="inlineStr">
        <is>
          <t>China International Capital Corporation Hong Kong Securities Limited; Zhongtai International Securities Limited; BOCOM International Securities Limited; CMBC Securities Company Limited; CCB International Capital Limited</t>
        </is>
      </c>
      <c r="BV81" s="63" t="inlineStr">
        <is>
          <t>Beta International Securities Limited; CCB International Capital Limited; China International Capital Corporation Hong Kong Securities Limited; CMBC Securities Company Limited; CMB International Capital Limited; Zhongtai International Securities Limited</t>
        </is>
      </c>
      <c r="BW81" s="78">
        <f>HYPERLINK("https://www1.hkexnews.hk/listedco/listconews/sehk/2021/1029/2021102900097.pdf","prospectus")</f>
        <v/>
      </c>
      <c r="BX81" s="78">
        <f>HYPERLINK("https://www1.hkexnews.hk/listedco/listconews/sehk/2021/1109/2021110900030.htm","allotment")</f>
        <v/>
      </c>
      <c r="BY81" s="78">
        <f>HYPERLINK("https://www1.hkexnews.hk/listedco/listconews/sehk/2021/1203/2021120301558.pdf","stabilisation")</f>
        <v/>
      </c>
      <c r="BZ81" s="76" t="n"/>
      <c r="CA81" s="63" t="inlineStr">
        <is>
          <t>range low: cap-only pricing — the filing publishes a Maximum Offer Price and no indicative floor · A/H: no A-share listing · grey market: no grey-market headline on file for this deal — AAStocks publishes one per listing but keeps only recent items on the stock's news page, and no public archive of past evening sessions exists; captured from this run onward</t>
        </is>
      </c>
    </row>
    <row r="82" ht="15" customHeight="1">
      <c r="A82" s="62" t="inlineStr">
        <is>
          <t>2265</t>
        </is>
      </c>
      <c r="B82" s="63" t="inlineStr">
        <is>
          <t>HC ENV TECH</t>
        </is>
      </c>
      <c r="C82" s="63" t="inlineStr">
        <is>
          <t>鴻承環保科技</t>
        </is>
      </c>
      <c r="D82" s="63" t="inlineStr">
        <is>
          <t>Materials/Energy</t>
        </is>
      </c>
      <c r="E82" s="63" t="inlineStr">
        <is>
          <t>Oil &amp; gas / utilities</t>
        </is>
      </c>
      <c r="F82" s="63" t="inlineStr">
        <is>
          <t>Environmental &amp; Facilities Services</t>
        </is>
      </c>
      <c r="G82" s="63" t="inlineStr">
        <is>
          <t>Standard</t>
        </is>
      </c>
      <c r="H82" s="64" t="n">
        <v>44512</v>
      </c>
      <c r="I82" s="65" t="n">
        <v>255</v>
      </c>
      <c r="J82" s="63" t="inlineStr">
        <is>
          <t>gross (price x shares)</t>
        </is>
      </c>
      <c r="K82" s="66" t="n"/>
      <c r="L82" s="66" t="n">
        <v>1.48</v>
      </c>
      <c r="M82" s="66" t="n">
        <v>1.02</v>
      </c>
      <c r="N82" s="63" t="inlineStr">
        <is>
          <t>N</t>
        </is>
      </c>
      <c r="O82" s="67" t="n">
        <v>68.90000000000001</v>
      </c>
      <c r="P82" s="67" t="n"/>
      <c r="Q82" s="68" t="n">
        <v>1133.3</v>
      </c>
      <c r="R82" s="63" t="inlineStr">
        <is>
          <t>derived:deal size / offer % of enlarged capital</t>
        </is>
      </c>
      <c r="S82" s="69" t="n">
        <v>24.26</v>
      </c>
      <c r="T82" s="70" t="n">
        <v>1.02</v>
      </c>
      <c r="U82" s="71" t="n">
        <v>0</v>
      </c>
      <c r="V82" s="68" t="n">
        <v>255</v>
      </c>
      <c r="W82" s="68" t="n">
        <v>250000000</v>
      </c>
      <c r="X82" s="67" t="n">
        <v>22.5</v>
      </c>
      <c r="Y82" s="63" t="n"/>
      <c r="Z82" s="63" t="n"/>
      <c r="AA82" s="67" t="n">
        <v>20</v>
      </c>
      <c r="AB82" s="72" t="n"/>
      <c r="AC82" s="66" t="n"/>
      <c r="AD82" s="72" t="n"/>
      <c r="AE82" s="63" t="n"/>
      <c r="AF82" s="63" t="n"/>
      <c r="AG82" s="63" t="inlineStr">
        <is>
          <t>lapsed (no over-allocation)</t>
        </is>
      </c>
      <c r="AH82" s="63" t="inlineStr">
        <is>
          <t>2021-12-03</t>
        </is>
      </c>
      <c r="AI82" s="63" t="inlineStr">
        <is>
          <t>First Shanghai Securities Limited</t>
        </is>
      </c>
      <c r="AJ82" s="63" t="inlineStr">
        <is>
          <t>First Shanghai</t>
        </is>
      </c>
      <c r="AK82" s="73" t="n">
        <v>-10.78</v>
      </c>
      <c r="AL82" s="72" t="n">
        <v>1.96</v>
      </c>
      <c r="AM82" s="72" t="n">
        <v>-12.5</v>
      </c>
      <c r="AN82" s="72" t="n">
        <v>-3.92</v>
      </c>
      <c r="AO82" s="72" t="n">
        <v>-10.78</v>
      </c>
      <c r="AP82" s="72" t="n">
        <v>-17.65</v>
      </c>
      <c r="AQ82" s="72" t="n">
        <v>7.69</v>
      </c>
      <c r="AR82" s="72" t="n">
        <v>0</v>
      </c>
      <c r="AS82" s="72" t="n">
        <v>-7.7</v>
      </c>
      <c r="AT82" s="72" t="n">
        <v>-2.51</v>
      </c>
      <c r="AU82" s="72" t="n">
        <v>-2.37</v>
      </c>
      <c r="AV82" s="72" t="n">
        <v>-4.62</v>
      </c>
      <c r="AW82" s="72" t="n">
        <v>9.01</v>
      </c>
      <c r="AX82" s="72" t="n">
        <v>-8.41</v>
      </c>
      <c r="AY82" s="72" t="n">
        <v>-9.01</v>
      </c>
      <c r="AZ82" s="63" t="inlineStr">
        <is>
          <t>Hang Seng Commerce &amp; Industry sub-index</t>
        </is>
      </c>
      <c r="BA82" s="72" t="n">
        <v>10.29</v>
      </c>
      <c r="BB82" s="64" t="inlineStr">
        <is>
          <t>2026-08-28</t>
        </is>
      </c>
      <c r="BC82" s="65" t="n">
        <v>225.9</v>
      </c>
      <c r="BD82" s="68" t="n">
        <v>80.2</v>
      </c>
      <c r="BE82" s="63" t="inlineStr">
        <is>
          <t>Y</t>
        </is>
      </c>
      <c r="BF82" s="74" t="n">
        <v>14.1</v>
      </c>
      <c r="BG82" s="74" t="n"/>
      <c r="BH82" s="74" t="n">
        <v>12.2</v>
      </c>
      <c r="BI82" s="74" t="n">
        <v>5</v>
      </c>
      <c r="BJ82" s="75">
        <f>IF('BBG Verify'!S82="","not filed — run on terminal",'BBG Verify'!S82)</f>
        <v/>
      </c>
      <c r="BK82" s="76" t="inlineStr">
        <is>
          <t>N</t>
        </is>
      </c>
      <c r="BL82" s="77">
        <f>IF('BBG Verify'!K82="","not filed — run on terminal",'BBG Verify'!K82)</f>
        <v/>
      </c>
      <c r="BM82" s="63" t="inlineStr">
        <is>
          <t>N/A</t>
        </is>
      </c>
      <c r="BN82" s="63" t="inlineStr">
        <is>
          <t>N/A</t>
        </is>
      </c>
      <c r="BO82" s="63" t="inlineStr">
        <is>
          <t>N/A</t>
        </is>
      </c>
      <c r="BP82" s="63" t="inlineStr">
        <is>
          <t>N/A</t>
        </is>
      </c>
      <c r="BQ82" s="63" t="inlineStr">
        <is>
          <t>N/A</t>
        </is>
      </c>
      <c r="BR82" s="63" t="inlineStr">
        <is>
          <t>N/A</t>
        </is>
      </c>
      <c r="BS82" s="76" t="inlineStr">
        <is>
          <t>First Shanghai Capital Limited</t>
        </is>
      </c>
      <c r="BT82" s="63" t="inlineStr">
        <is>
          <t>First Shanghai Capital Limited</t>
        </is>
      </c>
      <c r="BU82" s="63" t="inlineStr">
        <is>
          <t>First Shanghai Securities Limited; Zhongtai International Securities Limited; Valuable Capital Limited; ICBC International Capital Limited; Blackwell Global Securities Limited</t>
        </is>
      </c>
      <c r="BV82" s="63" t="inlineStr">
        <is>
          <t>Blackwell Global Securities Limited; China Galaxy International Securities (Hong Kong) Company Limited; First Shanghai Securities Limited; Fosun Hani Securities Limited; ICBC International Securities Limited; Valuable Capital Limited; Zhongtai International Securities Limited</t>
        </is>
      </c>
      <c r="BW82" s="78">
        <f>HYPERLINK("https://www1.hkexnews.hk/listedco/listconews/sehk/2021/1029/2021102900113.pdf","prospectus")</f>
        <v/>
      </c>
      <c r="BX82" s="78">
        <f>HYPERLINK("https://www1.hkexnews.hk/listedco/listconews/sehk/2021/1111/2021111100010.htm","allotment")</f>
        <v/>
      </c>
      <c r="BY82" s="78">
        <f>HYPERLINK("https://www1.hkexnews.hk/listedco/listconews/sehk/2021/1203/2021120301544.pdf","stabilisation")</f>
        <v/>
      </c>
      <c r="BZ82" s="76" t="n"/>
      <c r="CA82" s="63" t="inlineStr">
        <is>
          <t>range low: cap-only pricing — the filing publishes a Maximum Offer Price and no indicative floor · A/H: no A-share listing · cornerstone list: no cornerstone tranche in this deal · grey market: no grey-market headline on file for this deal — AAStocks publishes one per listing but keeps only recent items on the stock's news page, and no public archive of past evening sessions exists; captured from this run onward</t>
        </is>
      </c>
    </row>
    <row r="83" ht="15" customHeight="1">
      <c r="A83" s="62" t="inlineStr">
        <is>
          <t>9899</t>
        </is>
      </c>
      <c r="B83" s="63" t="inlineStr">
        <is>
          <t>CLOUD VILLAGE</t>
        </is>
      </c>
      <c r="C83" s="63" t="inlineStr">
        <is>
          <t>網易雲音樂</t>
        </is>
      </c>
      <c r="D83" s="63" t="inlineStr">
        <is>
          <t>Tech/AI</t>
        </is>
      </c>
      <c r="E83" s="63" t="inlineStr">
        <is>
          <t>Internet platform / e-commerce</t>
        </is>
      </c>
      <c r="F83" s="63" t="inlineStr">
        <is>
          <t>e-Commerce &amp; Internet Services</t>
        </is>
      </c>
      <c r="G83" s="63" t="inlineStr">
        <is>
          <t>Standard</t>
        </is>
      </c>
      <c r="H83" s="64" t="n">
        <v>44532</v>
      </c>
      <c r="I83" s="65" t="n">
        <v>3280</v>
      </c>
      <c r="J83" s="63" t="inlineStr">
        <is>
          <t>gross (price x shares)</t>
        </is>
      </c>
      <c r="K83" s="66" t="n"/>
      <c r="L83" s="66" t="n">
        <v>220</v>
      </c>
      <c r="M83" s="66" t="n">
        <v>205</v>
      </c>
      <c r="N83" s="63" t="inlineStr">
        <is>
          <t>N</t>
        </is>
      </c>
      <c r="O83" s="67" t="n">
        <v>93.2</v>
      </c>
      <c r="P83" s="67" t="n"/>
      <c r="Q83" s="68" t="n">
        <v>36782.6</v>
      </c>
      <c r="R83" s="63" t="inlineStr">
        <is>
          <t>prospectus:stated market capitalisation, rescaled to the offer price</t>
        </is>
      </c>
      <c r="S83" s="69" t="n">
        <v>8.92</v>
      </c>
      <c r="T83" s="70" t="n">
        <v>1.7</v>
      </c>
      <c r="U83" s="71" t="n">
        <v>83.15000000000001</v>
      </c>
      <c r="V83" s="68" t="n">
        <v>552.6799999999999</v>
      </c>
      <c r="W83" s="68" t="n">
        <v>2696000</v>
      </c>
      <c r="X83" s="67" t="n">
        <v>1.5</v>
      </c>
      <c r="Y83" s="63" t="inlineStr">
        <is>
          <t>NetEase, Inc; Orbis Investment Management Limited; Sony Music Entertainment</t>
        </is>
      </c>
      <c r="Z83" s="63" t="inlineStr">
        <is>
          <t>netease;orbis;sony</t>
        </is>
      </c>
      <c r="AA83" s="67" t="n">
        <v>7.7</v>
      </c>
      <c r="AB83" s="72" t="n"/>
      <c r="AC83" s="66" t="n"/>
      <c r="AD83" s="72" t="n"/>
      <c r="AE83" s="63" t="n"/>
      <c r="AF83" s="63" t="n"/>
      <c r="AG83" s="63" t="inlineStr">
        <is>
          <t>lapsed</t>
        </is>
      </c>
      <c r="AH83" s="63" t="inlineStr">
        <is>
          <t>2021-12-26</t>
        </is>
      </c>
      <c r="AI83" s="63" t="inlineStr">
        <is>
          <t>Merrill Lynch</t>
        </is>
      </c>
      <c r="AJ83" s="63" t="inlineStr">
        <is>
          <t>Merrill Lynch</t>
        </is>
      </c>
      <c r="AK83" s="73" t="n">
        <v>-2.49</v>
      </c>
      <c r="AL83" s="72" t="n">
        <v>0</v>
      </c>
      <c r="AM83" s="72" t="n">
        <v>-2.49</v>
      </c>
      <c r="AN83" s="72" t="n">
        <v>-2.73</v>
      </c>
      <c r="AO83" s="72" t="n">
        <v>-27.02</v>
      </c>
      <c r="AP83" s="72" t="n">
        <v>-55.12</v>
      </c>
      <c r="AQ83" s="72" t="n">
        <v>-0.25</v>
      </c>
      <c r="AR83" s="72" t="n">
        <v>-25.16</v>
      </c>
      <c r="AS83" s="72" t="n">
        <v>-53.97</v>
      </c>
      <c r="AT83" s="72" t="n">
        <v>-3.15</v>
      </c>
      <c r="AU83" s="72" t="n">
        <v>-20.01</v>
      </c>
      <c r="AV83" s="72" t="n">
        <v>-29.15</v>
      </c>
      <c r="AW83" s="72" t="n">
        <v>-19.01</v>
      </c>
      <c r="AX83" s="72" t="n">
        <v>-7.01</v>
      </c>
      <c r="AY83" s="72" t="n">
        <v>-6.15</v>
      </c>
      <c r="AZ83" s="63" t="inlineStr">
        <is>
          <t>HSTECH (Hang Seng TECH ETF)</t>
        </is>
      </c>
      <c r="BA83" s="72" t="n">
        <v>-55.56</v>
      </c>
      <c r="BB83" s="64" t="inlineStr">
        <is>
          <t>2026-08-28</t>
        </is>
      </c>
      <c r="BC83" s="65" t="n">
        <v>5385.3</v>
      </c>
      <c r="BD83" s="68" t="n"/>
      <c r="BE83" s="63" t="n"/>
      <c r="BF83" s="75">
        <f>IF('BBG Verify'!O83="","not filed — run on terminal",'BBG Verify'!O83)</f>
        <v/>
      </c>
      <c r="BG83" s="74" t="n"/>
      <c r="BH83" s="74" t="n">
        <v>7.7</v>
      </c>
      <c r="BI83" s="74" t="n">
        <v>6.8</v>
      </c>
      <c r="BJ83" s="75">
        <f>IF('BBG Verify'!S83="","not filed — run on terminal",'BBG Verify'!S83)</f>
        <v/>
      </c>
      <c r="BK83" s="76" t="inlineStr">
        <is>
          <t>N</t>
        </is>
      </c>
      <c r="BL83" s="77">
        <f>IF('BBG Verify'!K83="","not filed — run on terminal",'BBG Verify'!K83)</f>
        <v/>
      </c>
      <c r="BM83" s="63" t="inlineStr">
        <is>
          <t>N/A</t>
        </is>
      </c>
      <c r="BN83" s="63" t="inlineStr">
        <is>
          <t>N/A</t>
        </is>
      </c>
      <c r="BO83" s="63" t="inlineStr">
        <is>
          <t>N/A</t>
        </is>
      </c>
      <c r="BP83" s="63" t="inlineStr">
        <is>
          <t>N/A</t>
        </is>
      </c>
      <c r="BQ83" s="63" t="inlineStr">
        <is>
          <t>N/A</t>
        </is>
      </c>
      <c r="BR83" s="63" t="inlineStr">
        <is>
          <t>N/A</t>
        </is>
      </c>
      <c r="BS83" s="76" t="inlineStr">
        <is>
          <t>BofA Securities; CICC; Credit Suisse</t>
        </is>
      </c>
      <c r="BT83" s="63" t="inlineStr">
        <is>
          <t>China International Capital Corporation Hong Kong Securities Limited; Merrill Lynch (Asia Pacific) Limited; Credit Suisse (Hong Kong) Limited</t>
        </is>
      </c>
      <c r="BU83" s="63" t="inlineStr">
        <is>
          <t>ABCI Securities Company Limited; BOCI Asia Limited; CCB International Capital Limited; Citigroup Global Markets Asia Limited; China International Capital Corporation Hong Kong Securities Limited; CMB International Capital Corporation Limited</t>
        </is>
      </c>
      <c r="BV83" s="63" t="inlineStr">
        <is>
          <t>ABCI Securities Company Limited; BOCI Asia Limited; CCB International Capital Limited; Citigroup Global Markets Asia Limited; China International Capital Corporation Hong Kong Securities Limited; CMB International Capital Corporation Limited; Credit Suisse (Hong Kong) Limited; Huatai Financial Holdings (Hong Kong) Limited; The Hongkong and Shanghai Banking Corporation Limited; ICBC International Securities Limited; Merrill Lynch (Asia Pacific) Limited</t>
        </is>
      </c>
      <c r="BW83" s="78">
        <f>HYPERLINK("https://www1.hkexnews.hk/listedco/listconews/sehk/2021/1123/2021112300032.pdf","prospectus")</f>
        <v/>
      </c>
      <c r="BX83" s="78">
        <f>HYPERLINK("https://www1.hkexnews.hk/listedco/listconews/sehk/2021/1201/2021120100040.htm","allotment")</f>
        <v/>
      </c>
      <c r="BY83" s="78">
        <f>HYPERLINK("https://www1.hkexnews.hk/listedco/listconews/sehk/2021/1227/2021122700001.pdf","stabilisation")</f>
        <v/>
      </c>
      <c r="BZ83" s="76" t="n"/>
      <c r="CA83" s="63" t="inlineStr">
        <is>
          <t>P/E: net income not stated in extractable form · range low: cap-only pricing — the filing publishes a Maximum Offer Price and no indicative floor · A/H: no A-share listing · market cap: prospectus states HK$39,474m at HK$220.00; rescaled to the struck HK$205.00 · financials: financial tables not machine-extractable and the pre-IPO year is outside AAStocks' 5-year window · grey market: no grey-market headline on file for this deal — AAStocks publishes one per listing but keeps only recent items on the stock's news page, and no public archive of past evening sessions exists; captured from this run onward</t>
        </is>
      </c>
    </row>
    <row r="84" ht="15" customHeight="1">
      <c r="A84" s="62" t="inlineStr">
        <is>
          <t>9898</t>
        </is>
      </c>
      <c r="B84" s="63" t="inlineStr">
        <is>
          <t>WB-SW</t>
        </is>
      </c>
      <c r="C84" s="63" t="inlineStr">
        <is>
          <t>微博－ＳＷ</t>
        </is>
      </c>
      <c r="D84" s="63" t="inlineStr">
        <is>
          <t>Tech/AI</t>
        </is>
      </c>
      <c r="E84" s="63" t="inlineStr">
        <is>
          <t>Internet platform / e-commerce</t>
        </is>
      </c>
      <c r="F84" s="63" t="inlineStr">
        <is>
          <t>e-Commerce &amp; Internet Services</t>
        </is>
      </c>
      <c r="G84" s="63" t="inlineStr">
        <is>
          <t>Secondary + WVR</t>
        </is>
      </c>
      <c r="H84" s="64" t="n">
        <v>44538</v>
      </c>
      <c r="I84" s="65" t="n">
        <v>3000.8</v>
      </c>
      <c r="J84" s="63" t="inlineStr">
        <is>
          <t>gross (price x shares)</t>
        </is>
      </c>
      <c r="K84" s="66" t="n"/>
      <c r="L84" s="66" t="n">
        <v>388</v>
      </c>
      <c r="M84" s="66" t="n">
        <v>272.8</v>
      </c>
      <c r="N84" s="63" t="inlineStr">
        <is>
          <t>N</t>
        </is>
      </c>
      <c r="O84" s="67" t="n">
        <v>70.3</v>
      </c>
      <c r="P84" s="67" t="n"/>
      <c r="Q84" s="68" t="n">
        <v>91022</v>
      </c>
      <c r="R84" s="63" t="inlineStr">
        <is>
          <t>prospectus:stated market capitalisation</t>
        </is>
      </c>
      <c r="S84" s="69" t="n">
        <v>2.67</v>
      </c>
      <c r="T84" s="70" t="n">
        <v>5.5</v>
      </c>
      <c r="U84" s="71" t="n"/>
      <c r="V84" s="68" t="n">
        <v>3000.8</v>
      </c>
      <c r="W84" s="68" t="n">
        <v>11000000</v>
      </c>
      <c r="X84" s="67" t="n">
        <v>3.3</v>
      </c>
      <c r="Y84" s="63" t="n"/>
      <c r="Z84" s="63" t="n"/>
      <c r="AA84" s="67" t="n">
        <v>5.4</v>
      </c>
      <c r="AB84" s="72" t="n"/>
      <c r="AC84" s="66" t="n"/>
      <c r="AD84" s="72" t="n"/>
      <c r="AE84" s="63" t="n"/>
      <c r="AF84" s="63" t="n"/>
      <c r="AG84" s="63" t="inlineStr">
        <is>
          <t>partial</t>
        </is>
      </c>
      <c r="AH84" s="63" t="inlineStr">
        <is>
          <t>2022-01-01</t>
        </is>
      </c>
      <c r="AI84" s="63" t="inlineStr">
        <is>
          <t>Goldman Sachs</t>
        </is>
      </c>
      <c r="AJ84" s="63" t="inlineStr">
        <is>
          <t>Goldman Sachs</t>
        </is>
      </c>
      <c r="AK84" s="73" t="n">
        <v>-7.18</v>
      </c>
      <c r="AL84" s="72" t="n">
        <v>-6.09</v>
      </c>
      <c r="AM84" s="72" t="n">
        <v>-1.16</v>
      </c>
      <c r="AN84" s="72" t="n">
        <v>-19.65</v>
      </c>
      <c r="AO84" s="72" t="n">
        <v>-4.4</v>
      </c>
      <c r="AP84" s="72" t="n">
        <v>-28.52</v>
      </c>
      <c r="AQ84" s="72" t="n">
        <v>-13.43</v>
      </c>
      <c r="AR84" s="72" t="n">
        <v>3</v>
      </c>
      <c r="AS84" s="72" t="n">
        <v>-22.99</v>
      </c>
      <c r="AT84" s="72" t="n">
        <v>-16.44</v>
      </c>
      <c r="AU84" s="72" t="n">
        <v>3.72</v>
      </c>
      <c r="AV84" s="72" t="n">
        <v>0.45</v>
      </c>
      <c r="AW84" s="72" t="n">
        <v>10.89</v>
      </c>
      <c r="AX84" s="72" t="n">
        <v>-8.119999999999999</v>
      </c>
      <c r="AY84" s="72" t="n">
        <v>-7.89</v>
      </c>
      <c r="AZ84" s="63" t="inlineStr">
        <is>
          <t>HSTECH (Hang Seng TECH ETF)</t>
        </is>
      </c>
      <c r="BA84" s="72" t="n">
        <v>-79.93000000000001</v>
      </c>
      <c r="BB84" s="64" t="inlineStr">
        <is>
          <t>2026-08-28</t>
        </is>
      </c>
      <c r="BC84" s="65" t="n"/>
      <c r="BD84" s="68" t="n"/>
      <c r="BE84" s="63" t="n"/>
      <c r="BF84" s="74" t="n">
        <v>11.2</v>
      </c>
      <c r="BG84" s="74" t="n">
        <v>11.2</v>
      </c>
      <c r="BH84" s="74" t="n">
        <v>4.9</v>
      </c>
      <c r="BI84" s="74" t="n"/>
      <c r="BJ84" s="75">
        <f>IF('BBG Verify'!S84="","not filed — run on terminal",'BBG Verify'!S84)</f>
        <v/>
      </c>
      <c r="BK84" s="76" t="inlineStr">
        <is>
          <t>N</t>
        </is>
      </c>
      <c r="BL84" s="77">
        <f>IF('BBG Verify'!K84="","not filed — run on terminal",'BBG Verify'!K84)</f>
        <v/>
      </c>
      <c r="BM84" s="63" t="inlineStr">
        <is>
          <t>N/A</t>
        </is>
      </c>
      <c r="BN84" s="63" t="inlineStr">
        <is>
          <t>N/A</t>
        </is>
      </c>
      <c r="BO84" s="63" t="inlineStr">
        <is>
          <t>N/A</t>
        </is>
      </c>
      <c r="BP84" s="63" t="inlineStr">
        <is>
          <t>N/A</t>
        </is>
      </c>
      <c r="BQ84" s="63" t="inlineStr">
        <is>
          <t>N/A</t>
        </is>
      </c>
      <c r="BR84" s="63" t="inlineStr">
        <is>
          <t>N/A</t>
        </is>
      </c>
      <c r="BS84" s="76" t="inlineStr">
        <is>
          <t>Goldman Sachs (Asia) L.L.C; Credit Suisse (Hong Kong) Limited; CLSA Capital Markets Limited; China International Capital Corporation Hong Kong Securities Limited; CLSA Limited</t>
        </is>
      </c>
      <c r="BT84" s="63" t="inlineStr">
        <is>
          <t>China International Capital Corporation Hong Kong Securities Limited; Goldman Sachs (Asia) L.L.C.; CLSA Capital Markets Limited; Credit Suisse (Hong Kong) Limited</t>
        </is>
      </c>
      <c r="BU84" s="63" t="inlineStr">
        <is>
          <t>Goldman Sachs (Asia) L.L.C; Credit Suisse (Hong Kong) Limited; CLSA Limited; China International Capital Corporation Hong Kong Securities Limited; Nomura International (Hong Kong) Limited; Deutsche Bank AG, Hong Kong Branch; Haitong International Securities Company Limited; Huatai Financial Holdings (Hong Kong) Limited; Valuable Capital Limited; ABCI Capital Limited; CMBC Securities Company Limited; CMB International Capital Limited</t>
        </is>
      </c>
      <c r="BV84" s="63" t="inlineStr">
        <is>
          <t>ABCI Securities Company Limited; China International Capital Corporation Hong Kong Securities Limited; CLSA Limited; CMBC Securities Company Limited; CMB International Capital Limited; Credit Suisse (Hong Kong) Limited; Deutsche Bank AG, Hong Kong Branch; Goldman Sachs (Asia) L.L.C.; Huatai Financial Holdings (Hong Kong) Limited; Haitong International Securities Company Limited; Nomura International (Hong Kong) Limited; Valuable Capital Limited</t>
        </is>
      </c>
      <c r="BW84" s="78">
        <f>HYPERLINK("https://www1.hkexnews.hk/listedco/listconews/sehk/2021/1129/2021112900007.pdf","prospectus")</f>
        <v/>
      </c>
      <c r="BX84" s="78">
        <f>HYPERLINK("https://www1.hkexnews.hk/listedco/listconews/sehk/2021/1207/2021120700020.htm","allotment")</f>
        <v/>
      </c>
      <c r="BY84" s="78">
        <f>HYPERLINK("https://www1.hkexnews.hk/listedco/listconews/sehk/2022/0102/2022010200019.pdf","stabilisation")</f>
        <v/>
      </c>
      <c r="BZ84" s="76" t="n"/>
      <c r="CA84" s="63" t="inlineStr">
        <is>
          <t>P/E: from Bloomberg (trailing-12m EPS at listing) — the prospectus-FY multiple was not derivable · range low: cap-only pricing — the filing publishes a Maximum Offer Price and no indicative floor · A/H: no A-share listing · cornerstone list: cornerstone section not machine-extractable — see the prospectus link · cornerstone %: cornerstone aggregate not stated in the filing · P/S: revenue not extractable · financials: financial tables not machine-extractable and the pre-IPO year is outside AAStocks' 5-year window · grey market: no grey-market headline on file for this deal — AAStocks publishes one per listing but keeps only recent items on the stock's news page, and no public archive of past evening sessions exists; captured from this run onward</t>
        </is>
      </c>
    </row>
    <row r="85" ht="15" customHeight="1">
      <c r="A85" s="62" t="inlineStr">
        <is>
          <t>1228</t>
        </is>
      </c>
      <c r="B85" s="63" t="inlineStr">
        <is>
          <t>CANBRIDGE-B</t>
        </is>
      </c>
      <c r="C85" s="63" t="inlineStr">
        <is>
          <t>北海康成－Ｂ</t>
        </is>
      </c>
      <c r="D85" s="63" t="inlineStr">
        <is>
          <t>Healthcare</t>
        </is>
      </c>
      <c r="E85" s="63" t="inlineStr">
        <is>
          <t>Biotech pre-revenue (18A)</t>
        </is>
      </c>
      <c r="F85" s="63" t="inlineStr">
        <is>
          <t>Biotechnology</t>
        </is>
      </c>
      <c r="G85" s="63" t="inlineStr">
        <is>
          <t>18A</t>
        </is>
      </c>
      <c r="H85" s="64" t="n">
        <v>44540</v>
      </c>
      <c r="I85" s="65" t="n">
        <v>685.1</v>
      </c>
      <c r="J85" s="63" t="inlineStr">
        <is>
          <t>gross (price x shares)</t>
        </is>
      </c>
      <c r="K85" s="66" t="n"/>
      <c r="L85" s="66" t="n">
        <v>12.18</v>
      </c>
      <c r="M85" s="66" t="n">
        <v>12.18</v>
      </c>
      <c r="N85" s="63" t="inlineStr">
        <is>
          <t>Y</t>
        </is>
      </c>
      <c r="O85" s="67" t="n">
        <v>100</v>
      </c>
      <c r="P85" s="67" t="n"/>
      <c r="Q85" s="68" t="n">
        <v>6851</v>
      </c>
      <c r="R85" s="63" t="inlineStr">
        <is>
          <t>press:gelonghui: 市值68.51亿 at HK$12.18 (10% float cross-checks)</t>
        </is>
      </c>
      <c r="S85" s="69" t="n">
        <v>1.97</v>
      </c>
      <c r="T85" s="70" t="n">
        <v>2.8</v>
      </c>
      <c r="U85" s="71" t="n">
        <v>75.8</v>
      </c>
      <c r="V85" s="68" t="n">
        <v>165.79</v>
      </c>
      <c r="W85" s="68" t="n">
        <v>13612742</v>
      </c>
      <c r="X85" s="67" t="n">
        <v>2.42</v>
      </c>
      <c r="Y85" s="63" t="inlineStr">
        <is>
          <t>Belinda A. Termeer; General Atlantic Singapore CP Pte. Ltd; Hongkong Ruihua Investment Management Limited; Hudson Bay Master Fund Ltd; Janus Investors; RA Capital Healthcare Fund, L.P; WuXi Biologics HealthCare Venture</t>
        </is>
      </c>
      <c r="Z85" s="63" t="inlineStr">
        <is>
          <t>belinda;general;hongkong;hudson;janus;ra;wuxi</t>
        </is>
      </c>
      <c r="AA85" s="67" t="n"/>
      <c r="AB85" s="72" t="n"/>
      <c r="AC85" s="66" t="n"/>
      <c r="AD85" s="72" t="n"/>
      <c r="AE85" s="63" t="n"/>
      <c r="AF85" s="63" t="n"/>
      <c r="AG85" s="63" t="n"/>
      <c r="AH85" s="63" t="inlineStr">
        <is>
          <t>2022-01-02</t>
        </is>
      </c>
      <c r="AI85" s="63" t="n"/>
      <c r="AJ85" s="63" t="n"/>
      <c r="AK85" s="73" t="n">
        <v>-26.93</v>
      </c>
      <c r="AL85" s="72" t="n">
        <v>-19.54</v>
      </c>
      <c r="AM85" s="72" t="n">
        <v>-9.18</v>
      </c>
      <c r="AN85" s="72" t="n">
        <v>-30.13</v>
      </c>
      <c r="AO85" s="72" t="n">
        <v>-32.84</v>
      </c>
      <c r="AP85" s="72" t="n">
        <v>-64.37</v>
      </c>
      <c r="AQ85" s="72" t="n">
        <v>-4.38</v>
      </c>
      <c r="AR85" s="72" t="n">
        <v>-8.09</v>
      </c>
      <c r="AS85" s="72" t="n">
        <v>-51.24</v>
      </c>
      <c r="AT85" s="72" t="n">
        <v>-23.79</v>
      </c>
      <c r="AU85" s="72" t="n">
        <v>-22.11</v>
      </c>
      <c r="AV85" s="72" t="n">
        <v>-26.66</v>
      </c>
      <c r="AW85" s="72" t="n">
        <v>1.24</v>
      </c>
      <c r="AX85" s="72" t="n">
        <v>-10.73</v>
      </c>
      <c r="AY85" s="72" t="n">
        <v>-9.33</v>
      </c>
      <c r="AZ85" s="63" t="inlineStr">
        <is>
          <t>China Biotech ETF (HS biotech proxy)</t>
        </is>
      </c>
      <c r="BA85" s="72" t="n">
        <v>-83.42</v>
      </c>
      <c r="BB85" s="64" t="inlineStr">
        <is>
          <t>2026-08-28</t>
        </is>
      </c>
      <c r="BC85" s="65" t="n"/>
      <c r="BD85" s="68" t="n"/>
      <c r="BE85" s="63" t="n"/>
      <c r="BF85" s="75">
        <f>IF('BBG Verify'!O85="","not filed — run on terminal",'BBG Verify'!O85)</f>
        <v/>
      </c>
      <c r="BG85" s="74" t="n"/>
      <c r="BH85" s="74" t="n">
        <v>37.8</v>
      </c>
      <c r="BI85" s="74" t="n"/>
      <c r="BJ85" s="75">
        <f>IF('BBG Verify'!S85="","not filed — run on terminal",'BBG Verify'!S85)</f>
        <v/>
      </c>
      <c r="BK85" s="76" t="inlineStr">
        <is>
          <t>N</t>
        </is>
      </c>
      <c r="BL85" s="77">
        <f>IF('BBG Verify'!K85="","not filed — run on terminal",'BBG Verify'!K85)</f>
        <v/>
      </c>
      <c r="BM85" s="63" t="inlineStr">
        <is>
          <t>N/A</t>
        </is>
      </c>
      <c r="BN85" s="63" t="inlineStr">
        <is>
          <t>N/A</t>
        </is>
      </c>
      <c r="BO85" s="63" t="inlineStr">
        <is>
          <t>N/A</t>
        </is>
      </c>
      <c r="BP85" s="63" t="inlineStr">
        <is>
          <t>N/A</t>
        </is>
      </c>
      <c r="BQ85" s="63" t="inlineStr">
        <is>
          <t>N/A</t>
        </is>
      </c>
      <c r="BR85" s="63" t="inlineStr">
        <is>
          <t>N/A</t>
        </is>
      </c>
      <c r="BS85" s="76" t="n"/>
      <c r="BT85" s="63" t="inlineStr">
        <is>
          <t>Jefferies Hong Kong Limited; Morgan Stanley Asia Limited</t>
        </is>
      </c>
      <c r="BU85" s="63" t="inlineStr">
        <is>
          <t>BOCI Asia Limited; China Merchants Securities (HK) Company Limited; Futu Securities International (Hong Kong) Limited; Haitong International Securities Company Limited; Jefferies Hong Kong Limited; Morgan Stanley Asia Limited</t>
        </is>
      </c>
      <c r="BV85" s="63" t="inlineStr">
        <is>
          <t>BOCI Asia Limited; China Merchants Securities (HK) Company Limited; Futu Securities International (Hong Kong) Limited; Haitong International Securities Company Limited; Jefferies Hong Kong Limited; Morgan Stanley Asia Limited</t>
        </is>
      </c>
      <c r="BW85" s="63" t="n"/>
      <c r="BX85" s="78">
        <f>HYPERLINK("https://www1.hkexnews.hk/listedco/listconews/sehk/2021/1209/2021120900010.htm","allotment")</f>
        <v/>
      </c>
      <c r="BY85" s="63" t="n"/>
      <c r="BZ85" s="76" t="n"/>
      <c r="CA85" s="63" t="inlineStr">
        <is>
          <t>P/E: net income not stated in extractable form · greenshoe: no over-allotment option in the offer structure · price range: fixed-price offering (no indicative range) · range low: cap-only pricing — the filing publishes a Maximum Offer Price and no indicative floor · A/H: no A-share listing · sponsor: English name not in the filing text; AAStocks 保薦人 shown · greenshoe size: no over-allotment option in the offer structure · P/S: revenue not extractable · stabilising manager: no over-allotment option in the offer structure, so no stabilising manager is appointed · financials: financial tables not machine-extractable and the pre-IPO year is outside AAStocks' 5-year window · filing links: no prospectus document returned by the HKEX per-stock search for this code — the allotment announcement is linked beside it · grey market: no grey-market headline on file for this deal — AAStocks publishes one per listing but keeps only recent items on the stock's news page, and no public archive of past evening sessions exists; captured from this run onward</t>
        </is>
      </c>
    </row>
    <row r="86" ht="15" customHeight="1">
      <c r="A86" s="62" t="inlineStr">
        <is>
          <t>2273</t>
        </is>
      </c>
      <c r="B86" s="63" t="inlineStr">
        <is>
          <t>GUSHENGTANG</t>
        </is>
      </c>
      <c r="C86" s="63" t="inlineStr">
        <is>
          <t>固生堂</t>
        </is>
      </c>
      <c r="D86" s="63" t="inlineStr">
        <is>
          <t>Healthcare</t>
        </is>
      </c>
      <c r="E86" s="63" t="inlineStr">
        <is>
          <t>TCM</t>
        </is>
      </c>
      <c r="F86" s="63" t="inlineStr">
        <is>
          <t>Health Care Services</t>
        </is>
      </c>
      <c r="G86" s="63" t="inlineStr">
        <is>
          <t>Standard</t>
        </is>
      </c>
      <c r="H86" s="64" t="n">
        <v>44540</v>
      </c>
      <c r="I86" s="65" t="n">
        <v>808.5</v>
      </c>
      <c r="J86" s="63" t="inlineStr">
        <is>
          <t>gross (price x shares)</t>
        </is>
      </c>
      <c r="K86" s="66" t="n">
        <v>25.8</v>
      </c>
      <c r="L86" s="66" t="n">
        <v>29</v>
      </c>
      <c r="M86" s="66" t="n">
        <v>29</v>
      </c>
      <c r="N86" s="63" t="inlineStr">
        <is>
          <t>Y</t>
        </is>
      </c>
      <c r="O86" s="67" t="n">
        <v>100</v>
      </c>
      <c r="P86" s="67" t="n">
        <v>100</v>
      </c>
      <c r="Q86" s="68" t="n">
        <v>5914.4</v>
      </c>
      <c r="R86" s="63" t="inlineStr">
        <is>
          <t>derived:deal size / offer % of enlarged capital</t>
        </is>
      </c>
      <c r="S86" s="69" t="n">
        <v>2.84</v>
      </c>
      <c r="T86" s="70" t="n">
        <v>4.4</v>
      </c>
      <c r="U86" s="71" t="n">
        <v>40.32</v>
      </c>
      <c r="V86" s="68" t="n">
        <v>482.51</v>
      </c>
      <c r="W86" s="68" t="n">
        <v>16637590</v>
      </c>
      <c r="X86" s="67" t="n">
        <v>8.16</v>
      </c>
      <c r="Y86" s="63" t="inlineStr">
        <is>
          <t>Boyu Capital Opportunities Master Fund; Foresight Funds; Sage Partners Master Fund; UBS Asset Management (Singapore) Ltd</t>
        </is>
      </c>
      <c r="Z86" s="63" t="inlineStr">
        <is>
          <t>boyu;foresight;sage;ubs</t>
        </is>
      </c>
      <c r="AA86" s="67" t="n">
        <v>15.14</v>
      </c>
      <c r="AB86" s="72" t="n"/>
      <c r="AC86" s="66" t="n"/>
      <c r="AD86" s="72" t="n"/>
      <c r="AE86" s="63" t="n"/>
      <c r="AF86" s="63" t="n"/>
      <c r="AG86" s="63" t="inlineStr">
        <is>
          <t>lapsed</t>
        </is>
      </c>
      <c r="AH86" s="63" t="inlineStr">
        <is>
          <t>2022-01-02</t>
        </is>
      </c>
      <c r="AI86" s="63" t="inlineStr">
        <is>
          <t>Merrill Lynch International</t>
        </is>
      </c>
      <c r="AJ86" s="63" t="inlineStr">
        <is>
          <t>Merrill Lynch</t>
        </is>
      </c>
      <c r="AK86" s="73" t="n">
        <v>0</v>
      </c>
      <c r="AL86" s="72" t="n">
        <v>15.17</v>
      </c>
      <c r="AM86" s="72" t="n">
        <v>-13.17</v>
      </c>
      <c r="AN86" s="72" t="n">
        <v>-17.24</v>
      </c>
      <c r="AO86" s="72" t="n">
        <v>45.86</v>
      </c>
      <c r="AP86" s="72" t="n">
        <v>-28.45</v>
      </c>
      <c r="AQ86" s="72" t="n">
        <v>-17.24</v>
      </c>
      <c r="AR86" s="72" t="n">
        <v>45.86</v>
      </c>
      <c r="AS86" s="72" t="n">
        <v>-28.45</v>
      </c>
      <c r="AT86" s="72" t="n">
        <v>-10.9</v>
      </c>
      <c r="AU86" s="72" t="n">
        <v>56.59</v>
      </c>
      <c r="AV86" s="72" t="n">
        <v>9.26</v>
      </c>
      <c r="AW86" s="72" t="n">
        <v>55.19</v>
      </c>
      <c r="AX86" s="72" t="n">
        <v>-10.73</v>
      </c>
      <c r="AY86" s="72" t="n">
        <v>-9.33</v>
      </c>
      <c r="AZ86" s="63" t="inlineStr">
        <is>
          <t>China Biotech ETF (HS biotech proxy)</t>
        </is>
      </c>
      <c r="BA86" s="72" t="n">
        <v>0.34</v>
      </c>
      <c r="BB86" s="64" t="inlineStr">
        <is>
          <t>2026-08-28</t>
        </is>
      </c>
      <c r="BC86" s="65" t="n">
        <v>1017.9</v>
      </c>
      <c r="BD86" s="68" t="n">
        <v>-280.9</v>
      </c>
      <c r="BE86" s="63" t="inlineStr">
        <is>
          <t>N</t>
        </is>
      </c>
      <c r="BF86" s="63" t="inlineStr">
        <is>
          <t>n/m</t>
        </is>
      </c>
      <c r="BG86" s="74" t="n"/>
      <c r="BH86" s="74" t="n">
        <v>15.7</v>
      </c>
      <c r="BI86" s="74" t="n">
        <v>5.8</v>
      </c>
      <c r="BJ86" s="75">
        <f>IF('BBG Verify'!S86="","not filed — run on terminal",'BBG Verify'!S86)</f>
        <v/>
      </c>
      <c r="BK86" s="76" t="inlineStr">
        <is>
          <t>N</t>
        </is>
      </c>
      <c r="BL86" s="77">
        <f>IF('BBG Verify'!K86="","not filed — run on terminal",'BBG Verify'!K86)</f>
        <v/>
      </c>
      <c r="BM86" s="63" t="inlineStr">
        <is>
          <t>N/A</t>
        </is>
      </c>
      <c r="BN86" s="63" t="inlineStr">
        <is>
          <t>N/A</t>
        </is>
      </c>
      <c r="BO86" s="63" t="inlineStr">
        <is>
          <t>N/A</t>
        </is>
      </c>
      <c r="BP86" s="63" t="inlineStr">
        <is>
          <t>N/A</t>
        </is>
      </c>
      <c r="BQ86" s="63" t="inlineStr">
        <is>
          <t>N/A</t>
        </is>
      </c>
      <c r="BR86" s="63" t="inlineStr">
        <is>
          <t>N/A</t>
        </is>
      </c>
      <c r="BS86" s="76" t="inlineStr">
        <is>
          <t>Merrill Lynch (Asia Pacific) Limited; Haitong International Capital Limited; Haitong International Securities Company Limited</t>
        </is>
      </c>
      <c r="BT86" s="63" t="inlineStr">
        <is>
          <t>Haitong International Capital Limited; Merrill Lynch (Asia Pacific) Limited</t>
        </is>
      </c>
      <c r="BU86" s="63" t="inlineStr">
        <is>
          <t>Merrill Lynch (Asia Pacific) Limited; Haitong International Securities Company Limited; China International Capital Corporation Hong Kong Securities Limited; GF Securities (Hong Kong) Brokerage Limited; ICBC International Capital Limited</t>
        </is>
      </c>
      <c r="BV86" s="63" t="inlineStr">
        <is>
          <t>China International Capital Corporation Hong Kong Securities Limited; Futu Securities International (Hong Kong) Limited; GF Securities (Hong Kong) Brokerage Limited; Haitong International Securities Company Limited; ICBC International Securities Limited; Merrill Lynch (Asia Pacific) Limited; Sinomax Securities Limited</t>
        </is>
      </c>
      <c r="BW86" s="78">
        <f>HYPERLINK("https://www1.hkexnews.hk/listedco/listconews/sehk/2021/1130/2021113000025.pdf","prospectus")</f>
        <v/>
      </c>
      <c r="BX86" s="78">
        <f>HYPERLINK("https://www1.hkexnews.hk/listedco/listconews/sehk/2021/1209/2021120900040.htm","allotment")</f>
        <v/>
      </c>
      <c r="BY86" s="78">
        <f>HYPERLINK("https://www1.hkexnews.hk/listedco/listconews/sehk/2022/0103/2022010302918.pdf","stabilisation")</f>
        <v/>
      </c>
      <c r="BZ86" s="76" t="n"/>
      <c r="CA86" s="63" t="inlineStr">
        <is>
          <t>P/E: n/m — loss-making at IPO (use P/S) · greenshoe: CONFLICT: our notice-parse read 'lapsed' but Bloomberg records 4,181,700 over-allotment shares exercised — verify the stabilisation notice by hand · A/H: no A-share listing · market cap: prospectus 'market capitalisation' line rejected — it is the listing-rule threshold, not the issuer's figure ("illion), which is over HK$500 million and (ii) our expected market capitalization at the time of Listing, whic") · grey market: no grey-market headline on file for this deal — AAStocks publishes one per listing but keeps only recent items on the stock's news page, and no public archive of past evening sessions exists; captured from this run onward</t>
        </is>
      </c>
    </row>
    <row r="87" ht="15" customHeight="1">
      <c r="A87" s="62" t="inlineStr">
        <is>
          <t>6821</t>
        </is>
      </c>
      <c r="B87" s="63" t="inlineStr">
        <is>
          <t>ASYMCHEM</t>
        </is>
      </c>
      <c r="C87" s="63" t="inlineStr">
        <is>
          <t>凱萊英</t>
        </is>
      </c>
      <c r="D87" s="63" t="inlineStr">
        <is>
          <t>Healthcare</t>
        </is>
      </c>
      <c r="E87" s="63" t="inlineStr">
        <is>
          <t>CXO / pharma services</t>
        </is>
      </c>
      <c r="F87" s="63" t="inlineStr">
        <is>
          <t>Pharmaceuticals</t>
        </is>
      </c>
      <c r="G87" s="63" t="inlineStr">
        <is>
          <t>Standard</t>
        </is>
      </c>
      <c r="H87" s="64" t="n">
        <v>44540</v>
      </c>
      <c r="I87" s="65" t="n">
        <v>7145.2</v>
      </c>
      <c r="J87" s="63" t="inlineStr">
        <is>
          <t>gross (price x shares)</t>
        </is>
      </c>
      <c r="K87" s="66" t="n">
        <v>350</v>
      </c>
      <c r="L87" s="66" t="n">
        <v>410</v>
      </c>
      <c r="M87" s="66" t="n">
        <v>388</v>
      </c>
      <c r="N87" s="63" t="inlineStr">
        <is>
          <t>N</t>
        </is>
      </c>
      <c r="O87" s="67" t="n">
        <v>94.59999999999999</v>
      </c>
      <c r="P87" s="67" t="n">
        <v>63.3</v>
      </c>
      <c r="Q87" s="68" t="n">
        <v>141820</v>
      </c>
      <c r="R87" s="63" t="inlineStr">
        <is>
          <t>prospectus:stated market capitalisation</t>
        </is>
      </c>
      <c r="S87" s="69" t="n">
        <v>4.5</v>
      </c>
      <c r="T87" s="70" t="n">
        <v>4.5</v>
      </c>
      <c r="U87" s="71" t="n">
        <v>0</v>
      </c>
      <c r="V87" s="68" t="n">
        <v>7145.2</v>
      </c>
      <c r="W87" s="68" t="n">
        <v>18415400</v>
      </c>
      <c r="X87" s="67" t="n">
        <v>5.04</v>
      </c>
      <c r="Y87" s="63" t="n"/>
      <c r="Z87" s="63" t="n"/>
      <c r="AA87" s="67" t="n">
        <v>7.97</v>
      </c>
      <c r="AB87" s="72" t="n"/>
      <c r="AC87" s="66" t="n"/>
      <c r="AD87" s="72" t="n"/>
      <c r="AE87" s="63" t="n"/>
      <c r="AF87" s="63" t="n"/>
      <c r="AG87" s="63" t="inlineStr">
        <is>
          <t>partial</t>
        </is>
      </c>
      <c r="AH87" s="63" t="inlineStr">
        <is>
          <t>2022-01-02</t>
        </is>
      </c>
      <c r="AI87" s="63" t="inlineStr">
        <is>
          <t>Goldman Sachs</t>
        </is>
      </c>
      <c r="AJ87" s="63" t="inlineStr">
        <is>
          <t>Goldman Sachs</t>
        </is>
      </c>
      <c r="AK87" s="73" t="n">
        <v>-4.64</v>
      </c>
      <c r="AL87" s="72" t="n">
        <v>0</v>
      </c>
      <c r="AM87" s="72" t="n">
        <v>-4.64</v>
      </c>
      <c r="AN87" s="72" t="n">
        <v>-16.55</v>
      </c>
      <c r="AO87" s="72" t="n">
        <v>-32.27</v>
      </c>
      <c r="AP87" s="72" t="n">
        <v>-44.85</v>
      </c>
      <c r="AQ87" s="72" t="n">
        <v>-12.49</v>
      </c>
      <c r="AR87" s="72" t="n">
        <v>-28.97</v>
      </c>
      <c r="AS87" s="72" t="n">
        <v>-42.17</v>
      </c>
      <c r="AT87" s="72" t="n">
        <v>-10.21</v>
      </c>
      <c r="AU87" s="72" t="n">
        <v>-21.54</v>
      </c>
      <c r="AV87" s="72" t="n">
        <v>-7.14</v>
      </c>
      <c r="AW87" s="72" t="n">
        <v>-19.64</v>
      </c>
      <c r="AX87" s="72" t="n">
        <v>-10.73</v>
      </c>
      <c r="AY87" s="72" t="n">
        <v>-9.33</v>
      </c>
      <c r="AZ87" s="63" t="inlineStr">
        <is>
          <t>China Biotech ETF (HS biotech proxy)</t>
        </is>
      </c>
      <c r="BA87" s="72" t="n">
        <v>-56.12</v>
      </c>
      <c r="BB87" s="64" t="inlineStr">
        <is>
          <t>2026-08-31</t>
        </is>
      </c>
      <c r="BC87" s="65" t="n">
        <v>3450.4</v>
      </c>
      <c r="BD87" s="68" t="n">
        <v>791.7</v>
      </c>
      <c r="BE87" s="63" t="inlineStr">
        <is>
          <t>Y</t>
        </is>
      </c>
      <c r="BF87" s="74" t="n">
        <v>179.1</v>
      </c>
      <c r="BG87" s="74" t="n"/>
      <c r="BH87" s="74" t="n"/>
      <c r="BI87" s="74" t="n">
        <v>41.1</v>
      </c>
      <c r="BJ87" s="75">
        <f>IF('BBG Verify'!S87="","not filed — run on terminal",'BBG Verify'!S87)</f>
        <v/>
      </c>
      <c r="BK87" s="76" t="inlineStr">
        <is>
          <t>Y</t>
        </is>
      </c>
      <c r="BL87" s="63" t="inlineStr">
        <is>
          <t>002821.SZ</t>
        </is>
      </c>
      <c r="BM87" s="72" t="n">
        <v>50.64</v>
      </c>
      <c r="BN87" s="66" t="n">
        <v>584.465</v>
      </c>
      <c r="BO87" s="80" t="n">
        <v>0.5489000000000001</v>
      </c>
      <c r="BP87" s="68" t="n">
        <v>68006.89999999999</v>
      </c>
      <c r="BQ87" s="75">
        <f>IF('BBG Verify'!Q87="","run on terminal",'BBG Verify'!Q87)</f>
        <v/>
      </c>
      <c r="BR87" s="75">
        <f>IF('BBG Verify'!R87="","run on terminal",'BBG Verify'!R87)</f>
        <v/>
      </c>
      <c r="BS87" s="76" t="inlineStr">
        <is>
          <t>Goldman Sachs (Asia) L.L.C; CLSA Capital Markets Limited</t>
        </is>
      </c>
      <c r="BT87" s="63" t="inlineStr">
        <is>
          <t>Goldman Sachs (Asia) L.L.C.; CLSA Capital Markets Limited</t>
        </is>
      </c>
      <c r="BU87" s="63" t="inlineStr">
        <is>
          <t>Goldman Sachs (Asia) L.L.C; CLSA Limited; Credit Suisse (Hong Kong) Limited; Citigroup Global Markets Asia Limited; BOCOM International Securities Limited</t>
        </is>
      </c>
      <c r="BV87" s="63" t="inlineStr">
        <is>
          <t>Beta International Securities Limited; Citigroup Global Markets Asia Limited; CLSA Limited; Credit Suisse (Hong Kong) Limited; Guotai Junan Securities (Hong Kong) Limited; Goldman Sachs (Asia) L.L.C.</t>
        </is>
      </c>
      <c r="BW87" s="78">
        <f>HYPERLINK("https://www1.hkexnews.hk/listedco/listconews/sehk/2021/1130/2021113000029.pdf","prospectus")</f>
        <v/>
      </c>
      <c r="BX87" s="78">
        <f>HYPERLINK("https://www1.hkexnews.hk/listedco/listconews/sehk/2021/1209/2021120900056.htm","allotment")</f>
        <v/>
      </c>
      <c r="BY87" s="78">
        <f>HYPERLINK("https://www1.hkexnews.hk/listedco/listconews/sehk/2022/0102/2022010200055.pdf","stabilisation")</f>
        <v/>
      </c>
      <c r="BZ87" s="76" t="n"/>
      <c r="CA87" s="63" t="inlineStr">
        <is>
          <t>A/H: H listed Dec 2021 (CDMO) · cornerstone list: no cornerstone tranche in this deal · grey market: no grey-market headline on file for this deal — AAStocks publishes one per listing but keeps only recent items on the stock's news page, and no public archive of past evening sessions exists; captured from this run onward</t>
        </is>
      </c>
    </row>
    <row r="88" ht="15" customHeight="1">
      <c r="A88" s="62" t="inlineStr">
        <is>
          <t>2279</t>
        </is>
      </c>
      <c r="B88" s="63" t="inlineStr">
        <is>
          <t>YONGHE MEDICAL</t>
        </is>
      </c>
      <c r="C88" s="63" t="inlineStr">
        <is>
          <t>雍禾醫療</t>
        </is>
      </c>
      <c r="D88" s="63" t="inlineStr">
        <is>
          <t>Healthcare</t>
        </is>
      </c>
      <c r="E88" s="63" t="inlineStr">
        <is>
          <t>Hospitals / clinics</t>
        </is>
      </c>
      <c r="F88" s="63" t="inlineStr">
        <is>
          <t>Health Care Services</t>
        </is>
      </c>
      <c r="G88" s="63" t="inlineStr">
        <is>
          <t>Standard</t>
        </is>
      </c>
      <c r="H88" s="64" t="n">
        <v>44543</v>
      </c>
      <c r="I88" s="65" t="n">
        <v>1491.9</v>
      </c>
      <c r="J88" s="63" t="inlineStr">
        <is>
          <t>gross (price x shares)</t>
        </is>
      </c>
      <c r="K88" s="66" t="n"/>
      <c r="L88" s="66" t="n">
        <v>15.8</v>
      </c>
      <c r="M88" s="66" t="n">
        <v>15.8</v>
      </c>
      <c r="N88" s="63" t="inlineStr">
        <is>
          <t>Y</t>
        </is>
      </c>
      <c r="O88" s="67" t="n">
        <v>100</v>
      </c>
      <c r="P88" s="67" t="n"/>
      <c r="Q88" s="68" t="n">
        <v>8215.299999999999</v>
      </c>
      <c r="R88" s="63" t="inlineStr">
        <is>
          <t>prospectus:stated market capitalisation</t>
        </is>
      </c>
      <c r="S88" s="69" t="n">
        <v>160.06</v>
      </c>
      <c r="T88" s="70" t="n">
        <v>8.390000000000001</v>
      </c>
      <c r="U88" s="71" t="n">
        <v>50</v>
      </c>
      <c r="V88" s="68" t="n">
        <v>745.95</v>
      </c>
      <c r="W88" s="68" t="n">
        <v>47212000</v>
      </c>
      <c r="X88" s="67" t="n">
        <v>9.08</v>
      </c>
      <c r="Y88" s="63" t="inlineStr">
        <is>
          <t>Athos Capital Limited; Enreal and Forreal Funds; Hudson Bay Master Fund Ltd; IvyRock Asset Management (HK) Limited; Lake Bleu Prime Healthcare Master Fund Limited; LAV Star Funds; NCC China A-Share Master Fund; WT Asset Management Limited; Yi Fang Da Hadar Investment Limited; York Asian Opportunities Investments Master Fund, LP</t>
        </is>
      </c>
      <c r="Z88" s="63" t="inlineStr">
        <is>
          <t>athos;enreal;hudson;ivyrock;lake;lav;ncc;wt;yi;york</t>
        </is>
      </c>
      <c r="AA88" s="67" t="n">
        <v>9.199999999999999</v>
      </c>
      <c r="AB88" s="72" t="n"/>
      <c r="AC88" s="66" t="n"/>
      <c r="AD88" s="72" t="n"/>
      <c r="AE88" s="63" t="n"/>
      <c r="AF88" s="63" t="n"/>
      <c r="AG88" s="63" t="inlineStr">
        <is>
          <t>partial</t>
        </is>
      </c>
      <c r="AH88" s="63" t="inlineStr">
        <is>
          <t>2022-01-05</t>
        </is>
      </c>
      <c r="AI88" s="63" t="inlineStr">
        <is>
          <t>Morgan Stanley Asia Limited</t>
        </is>
      </c>
      <c r="AJ88" s="63" t="inlineStr">
        <is>
          <t>Morgan Stanley</t>
        </is>
      </c>
      <c r="AK88" s="73" t="n">
        <v>5.06</v>
      </c>
      <c r="AL88" s="72" t="n">
        <v>-0.25</v>
      </c>
      <c r="AM88" s="72" t="n">
        <v>5.32</v>
      </c>
      <c r="AN88" s="72" t="n">
        <v>1.14</v>
      </c>
      <c r="AO88" s="72" t="n">
        <v>-17.34</v>
      </c>
      <c r="AP88" s="72" t="n">
        <v>-38.1</v>
      </c>
      <c r="AQ88" s="72" t="n">
        <v>-3.73</v>
      </c>
      <c r="AR88" s="72" t="n">
        <v>-21.32</v>
      </c>
      <c r="AS88" s="72" t="n">
        <v>-41.08</v>
      </c>
      <c r="AT88" s="72" t="n">
        <v>8.140000000000001</v>
      </c>
      <c r="AU88" s="72" t="n">
        <v>-9.119999999999999</v>
      </c>
      <c r="AV88" s="72" t="n">
        <v>-6.64</v>
      </c>
      <c r="AW88" s="72" t="n">
        <v>-14.88</v>
      </c>
      <c r="AX88" s="72" t="n">
        <v>-8.220000000000001</v>
      </c>
      <c r="AY88" s="72" t="n">
        <v>-6.44</v>
      </c>
      <c r="AZ88" s="63" t="inlineStr">
        <is>
          <t>China Biotech ETF (HS biotech proxy)</t>
        </is>
      </c>
      <c r="BA88" s="72" t="n">
        <v>-86.11</v>
      </c>
      <c r="BB88" s="64" t="inlineStr">
        <is>
          <t>2026-08-28</t>
        </is>
      </c>
      <c r="BC88" s="65" t="n">
        <v>1801.8</v>
      </c>
      <c r="BD88" s="68" t="n">
        <v>179.3</v>
      </c>
      <c r="BE88" s="63" t="inlineStr">
        <is>
          <t>Y</t>
        </is>
      </c>
      <c r="BF88" s="74" t="n">
        <v>45.8</v>
      </c>
      <c r="BG88" s="74" t="n"/>
      <c r="BH88" s="74" t="n">
        <v>14.9</v>
      </c>
      <c r="BI88" s="74" t="n">
        <v>4.6</v>
      </c>
      <c r="BJ88" s="75">
        <f>IF('BBG Verify'!S88="","not filed — run on terminal",'BBG Verify'!S88)</f>
        <v/>
      </c>
      <c r="BK88" s="76" t="inlineStr">
        <is>
          <t>N</t>
        </is>
      </c>
      <c r="BL88" s="77">
        <f>IF('BBG Verify'!K88="","not filed — run on terminal",'BBG Verify'!K88)</f>
        <v/>
      </c>
      <c r="BM88" s="63" t="inlineStr">
        <is>
          <t>N/A</t>
        </is>
      </c>
      <c r="BN88" s="63" t="inlineStr">
        <is>
          <t>N/A</t>
        </is>
      </c>
      <c r="BO88" s="63" t="inlineStr">
        <is>
          <t>N/A</t>
        </is>
      </c>
      <c r="BP88" s="63" t="inlineStr">
        <is>
          <t>N/A</t>
        </is>
      </c>
      <c r="BQ88" s="63" t="inlineStr">
        <is>
          <t>N/A</t>
        </is>
      </c>
      <c r="BR88" s="63" t="inlineStr">
        <is>
          <t>N/A</t>
        </is>
      </c>
      <c r="BS88" s="76" t="inlineStr">
        <is>
          <t>Morgan Stanley Asia Limited; China International Capital Corporation Hong Kong Securities Limited</t>
        </is>
      </c>
      <c r="BT88" s="63" t="inlineStr">
        <is>
          <t>China International Capital Corporation Hong Kong Securities Limited; Morgan Stanley Asia Limited</t>
        </is>
      </c>
      <c r="BU88" s="63" t="inlineStr">
        <is>
          <t>Morgan Stanley Asia Limited; China International Capital Corporation Hong Kong Securities Limited; Morgan Stanley &amp; Co. International plc</t>
        </is>
      </c>
      <c r="BV88" s="63" t="inlineStr">
        <is>
          <t>China International Capital Corporation Hong Kong Securities Limited; Morgan Stanley Asia Limited</t>
        </is>
      </c>
      <c r="BW88" s="78">
        <f>HYPERLINK("https://www1.hkexnews.hk/listedco/listconews/sehk/2021/1201/2021120100031.pdf","prospectus")</f>
        <v/>
      </c>
      <c r="BX88" s="78">
        <f>HYPERLINK("https://www1.hkexnews.hk/listedco/listconews/sehk/2021/1210/2021121000062.htm","allotment")</f>
        <v/>
      </c>
      <c r="BY88" s="78">
        <f>HYPERLINK("https://www1.hkexnews.hk/listedco/listconews/sehk/2022/0105/2022010502109.pdf","stabilisation")</f>
        <v/>
      </c>
      <c r="BZ88" s="76" t="n"/>
      <c r="CA88" s="63" t="inlineStr">
        <is>
          <t>range low: cap-only pricing — the filing publishes a Maximum Offer Price and no indicative floor · A/H: no A-share listing · grey market: no grey-market headline on file for this deal — AAStocks publishes one per listing but keeps only recent items on the stock's news page, and no public archive of past evening sessions exists; captured from this run onward</t>
        </is>
      </c>
    </row>
    <row r="89" ht="15" customHeight="1">
      <c r="A89" s="62" t="inlineStr">
        <is>
          <t>9699</t>
        </is>
      </c>
      <c r="B89" s="63" t="inlineStr">
        <is>
          <t>SF INTRA-CITY</t>
        </is>
      </c>
      <c r="C89" s="63" t="inlineStr">
        <is>
          <t>順豐同城</t>
        </is>
      </c>
      <c r="D89" s="63" t="inlineStr">
        <is>
          <t>Industrials</t>
        </is>
      </c>
      <c r="E89" s="63" t="inlineStr">
        <is>
          <t>Logistics</t>
        </is>
      </c>
      <c r="F89" s="63" t="inlineStr">
        <is>
          <t>Air Freight &amp; Logistics</t>
        </is>
      </c>
      <c r="G89" s="63" t="inlineStr">
        <is>
          <t>Standard</t>
        </is>
      </c>
      <c r="H89" s="64" t="n">
        <v>44544</v>
      </c>
      <c r="I89" s="65" t="n">
        <v>2154</v>
      </c>
      <c r="J89" s="63" t="inlineStr">
        <is>
          <t>gross (price x shares)</t>
        </is>
      </c>
      <c r="K89" s="66" t="n">
        <v>16.42</v>
      </c>
      <c r="L89" s="66" t="n">
        <v>17.96</v>
      </c>
      <c r="M89" s="66" t="n">
        <v>16.42</v>
      </c>
      <c r="N89" s="63" t="inlineStr">
        <is>
          <t>N</t>
        </is>
      </c>
      <c r="O89" s="67" t="n">
        <v>91.40000000000001</v>
      </c>
      <c r="P89" s="67" t="n">
        <v>0</v>
      </c>
      <c r="Q89" s="68" t="n">
        <v>14013.1</v>
      </c>
      <c r="R89" s="63" t="inlineStr">
        <is>
          <t>prospectus:stated market capitalisation, rescaled to the offer price</t>
        </is>
      </c>
      <c r="S89" s="69" t="n">
        <v>2.93</v>
      </c>
      <c r="T89" s="70" t="n">
        <v>2.41</v>
      </c>
      <c r="U89" s="71" t="n">
        <v>43.9</v>
      </c>
      <c r="V89" s="68" t="n">
        <v>1208.39</v>
      </c>
      <c r="W89" s="68" t="n">
        <v>73592429</v>
      </c>
      <c r="X89" s="67" t="n">
        <v>8.619999999999999</v>
      </c>
      <c r="Y89" s="63" t="inlineStr">
        <is>
          <t>Hello Inc; Taobao China Holding Limited</t>
        </is>
      </c>
      <c r="Z89" s="63" t="inlineStr">
        <is>
          <t>hello;taobao</t>
        </is>
      </c>
      <c r="AA89" s="67" t="n">
        <v>5.6</v>
      </c>
      <c r="AB89" s="72" t="n"/>
      <c r="AC89" s="66" t="n"/>
      <c r="AD89" s="72" t="n"/>
      <c r="AE89" s="63" t="n"/>
      <c r="AF89" s="63" t="n"/>
      <c r="AG89" s="63" t="inlineStr">
        <is>
          <t>lapsed</t>
        </is>
      </c>
      <c r="AH89" s="63" t="n"/>
      <c r="AI89" s="63" t="inlineStr">
        <is>
          <t>China International Capital Corporation Hong Kong Securities Limited</t>
        </is>
      </c>
      <c r="AJ89" s="63" t="inlineStr">
        <is>
          <t>China International</t>
        </is>
      </c>
      <c r="AK89" s="73" t="n">
        <v>-9.26</v>
      </c>
      <c r="AL89" s="72" t="n">
        <v>-7.43</v>
      </c>
      <c r="AM89" s="72" t="n">
        <v>-1.98</v>
      </c>
      <c r="AN89" s="72" t="n">
        <v>-6.94</v>
      </c>
      <c r="AO89" s="72" t="n">
        <v>-19.85</v>
      </c>
      <c r="AP89" s="72" t="n">
        <v>-52.01</v>
      </c>
      <c r="AQ89" s="72" t="n">
        <v>2.56</v>
      </c>
      <c r="AR89" s="72" t="n">
        <v>-11.67</v>
      </c>
      <c r="AS89" s="72" t="n">
        <v>-47.11</v>
      </c>
      <c r="AT89" s="72" t="n">
        <v>-0.86</v>
      </c>
      <c r="AU89" s="72" t="n">
        <v>-18.45</v>
      </c>
      <c r="AV89" s="72" t="n">
        <v>-32.97</v>
      </c>
      <c r="AW89" s="72" t="n">
        <v>-11.55</v>
      </c>
      <c r="AX89" s="72" t="n">
        <v>-1.4</v>
      </c>
      <c r="AY89" s="72" t="n">
        <v>-0.12</v>
      </c>
      <c r="AZ89" s="63" t="inlineStr">
        <is>
          <t>Hang Seng Commerce &amp; Industry sub-index</t>
        </is>
      </c>
      <c r="BA89" s="72" t="n">
        <v>-50.09</v>
      </c>
      <c r="BB89" s="64" t="inlineStr">
        <is>
          <t>2026-08-28</t>
        </is>
      </c>
      <c r="BC89" s="65" t="n">
        <v>5327.7</v>
      </c>
      <c r="BD89" s="68" t="n">
        <v>-833.4</v>
      </c>
      <c r="BE89" s="63" t="inlineStr">
        <is>
          <t>N</t>
        </is>
      </c>
      <c r="BF89" s="63" t="inlineStr">
        <is>
          <t>n/m</t>
        </is>
      </c>
      <c r="BG89" s="74" t="n"/>
      <c r="BH89" s="74" t="n">
        <v>22.6</v>
      </c>
      <c r="BI89" s="74" t="n">
        <v>2.6</v>
      </c>
      <c r="BJ89" s="75">
        <f>IF('BBG Verify'!S89="","not filed — run on terminal",'BBG Verify'!S89)</f>
        <v/>
      </c>
      <c r="BK89" s="76" t="inlineStr">
        <is>
          <t>N</t>
        </is>
      </c>
      <c r="BL89" s="77">
        <f>IF('BBG Verify'!K89="","not filed — run on terminal",'BBG Verify'!K89)</f>
        <v/>
      </c>
      <c r="BM89" s="63" t="inlineStr">
        <is>
          <t>N/A</t>
        </is>
      </c>
      <c r="BN89" s="63" t="inlineStr">
        <is>
          <t>N/A</t>
        </is>
      </c>
      <c r="BO89" s="63" t="inlineStr">
        <is>
          <t>N/A</t>
        </is>
      </c>
      <c r="BP89" s="63" t="inlineStr">
        <is>
          <t>N/A</t>
        </is>
      </c>
      <c r="BQ89" s="63" t="inlineStr">
        <is>
          <t>N/A</t>
        </is>
      </c>
      <c r="BR89" s="63" t="inlineStr">
        <is>
          <t>N/A</t>
        </is>
      </c>
      <c r="BS89" s="76" t="inlineStr">
        <is>
          <t>China International Capital Corporation Hong Kong Securities Limited; Merrill Lynch (Asia Pacific) Limited</t>
        </is>
      </c>
      <c r="BT89" s="63" t="inlineStr">
        <is>
          <t>China International Capital Corporation Hong Kong Securities Limited; Merrill Lynch (Asia Pacific) Limited</t>
        </is>
      </c>
      <c r="BU89" s="63" t="inlineStr">
        <is>
          <t>China International Capital Corporation Hong Kong Securities Limited; Merrill Lynch (Asia Pacific) Limited; Credit Suisse (Hong Kong) Limited; Huatai Financial Holdings (Hong Kong) Limited; CLSA Limited; CMB International Capital Limited; ABCI Capital Limited; Futu Securities International (Hong Kong) Limited</t>
        </is>
      </c>
      <c r="BV89" s="63" t="inlineStr">
        <is>
          <t>ABCI Securities Company Limited; China International Capital Corporation Hong Kong Securities Limited; CLSA Limited; CMB International Capital Limited; Credit Suisse (Hong Kong) Limited; Futu Securities International (Hong Kong) Limited; Huatai Financial Holdings (Hong Kong) Limited; Merrill Lynch (Asia Pacific) Limited</t>
        </is>
      </c>
      <c r="BW89" s="78">
        <f>HYPERLINK("https://www1.hkexnews.hk/listedco/listconews/sehk/2021/1130/2021113000021.pdf","prospectus")</f>
        <v/>
      </c>
      <c r="BX89" s="78">
        <f>HYPERLINK("https://www1.hkexnews.hk/listedco/listconews/sehk/2021/1213/2021121300010.htm","allotment")</f>
        <v/>
      </c>
      <c r="BY89" s="78">
        <f>HYPERLINK("https://www1.hkexnews.hk/listedco/listconews/sehk/2022/0106/2022010601365.pdf","stabilisation")</f>
        <v/>
      </c>
      <c r="BZ89" s="76" t="n"/>
      <c r="CA89" s="63" t="inlineStr">
        <is>
          <t>P/E: n/m — loss-making at IPO (use P/S) · greenshoe: over-allotment outcome already published, and the allotment announcement does not state the stabilisation expiry in a parsable form — the expiry no longer matters once resolved · A/H: no A-share listing · market cap: prospectus states HK$15,327m at HK$17.96; rescaled to the struck HK$16.42 · grey market: no grey-market headline on file for this deal — AAStocks publishes one per listing but keeps only recent items on the stock's news page, and no public archive of past evening sessions exists; captured from this run onward</t>
        </is>
      </c>
    </row>
    <row r="90" ht="15" customHeight="1">
      <c r="A90" s="62" t="inlineStr">
        <is>
          <t>2276</t>
        </is>
      </c>
      <c r="B90" s="63" t="inlineStr">
        <is>
          <t>CONANT OPTICAL</t>
        </is>
      </c>
      <c r="C90" s="63" t="inlineStr">
        <is>
          <t>康耐特光學</t>
        </is>
      </c>
      <c r="D90" s="63" t="inlineStr">
        <is>
          <t>Healthcare</t>
        </is>
      </c>
      <c r="E90" s="63" t="inlineStr">
        <is>
          <t>Medical devices</t>
        </is>
      </c>
      <c r="F90" s="63" t="inlineStr">
        <is>
          <t>Optical Products</t>
        </is>
      </c>
      <c r="G90" s="63" t="inlineStr">
        <is>
          <t>Standard</t>
        </is>
      </c>
      <c r="H90" s="64" t="n">
        <v>44546</v>
      </c>
      <c r="I90" s="65" t="n">
        <v>542.3</v>
      </c>
      <c r="J90" s="63" t="inlineStr">
        <is>
          <t>gross (price x shares)</t>
        </is>
      </c>
      <c r="K90" s="66" t="n">
        <v>4.46</v>
      </c>
      <c r="L90" s="66" t="n">
        <v>6.1</v>
      </c>
      <c r="M90" s="66" t="n">
        <v>4.46</v>
      </c>
      <c r="N90" s="63" t="inlineStr">
        <is>
          <t>N</t>
        </is>
      </c>
      <c r="O90" s="67" t="n">
        <v>73.09999999999999</v>
      </c>
      <c r="P90" s="67" t="n">
        <v>0</v>
      </c>
      <c r="Q90" s="68" t="n">
        <v>1902.6</v>
      </c>
      <c r="R90" s="63" t="inlineStr">
        <is>
          <t>prospectus:stated market capitalisation</t>
        </is>
      </c>
      <c r="S90" s="69" t="n">
        <v>1.78</v>
      </c>
      <c r="T90" s="70" t="n">
        <v>1.12</v>
      </c>
      <c r="U90" s="71" t="n"/>
      <c r="V90" s="68" t="n">
        <v>542.3</v>
      </c>
      <c r="W90" s="68" t="n">
        <v>121600000</v>
      </c>
      <c r="X90" s="67" t="n">
        <v>28.5</v>
      </c>
      <c r="Y90" s="63" t="n"/>
      <c r="Z90" s="63" t="n"/>
      <c r="AA90" s="67" t="n">
        <v>15</v>
      </c>
      <c r="AB90" s="72" t="n"/>
      <c r="AC90" s="66" t="n"/>
      <c r="AD90" s="72" t="n"/>
      <c r="AE90" s="63" t="n"/>
      <c r="AF90" s="63" t="n"/>
      <c r="AG90" s="63" t="inlineStr">
        <is>
          <t>lapsed (no over-allocation)</t>
        </is>
      </c>
      <c r="AH90" s="63" t="inlineStr">
        <is>
          <t>2022-01-08</t>
        </is>
      </c>
      <c r="AI90" s="63" t="inlineStr">
        <is>
          <t>Guotai Junan Securities</t>
        </is>
      </c>
      <c r="AJ90" s="63" t="inlineStr">
        <is>
          <t>Guotai Junan</t>
        </is>
      </c>
      <c r="AK90" s="73" t="n">
        <v>2.02</v>
      </c>
      <c r="AL90" s="72" t="n">
        <v>-0.67</v>
      </c>
      <c r="AM90" s="72" t="n">
        <v>2.71</v>
      </c>
      <c r="AN90" s="72" t="n">
        <v>0.45</v>
      </c>
      <c r="AO90" s="72" t="n">
        <v>-2.69</v>
      </c>
      <c r="AP90" s="72" t="n">
        <v>4.48</v>
      </c>
      <c r="AQ90" s="72" t="n">
        <v>-1.54</v>
      </c>
      <c r="AR90" s="72" t="n">
        <v>-4.62</v>
      </c>
      <c r="AS90" s="72" t="n">
        <v>2.41</v>
      </c>
      <c r="AT90" s="72" t="n">
        <v>1.2</v>
      </c>
      <c r="AU90" s="72" t="n">
        <v>0.59</v>
      </c>
      <c r="AV90" s="72" t="n">
        <v>24.37</v>
      </c>
      <c r="AW90" s="72" t="n">
        <v>1.52</v>
      </c>
      <c r="AX90" s="72" t="n">
        <v>-3.28</v>
      </c>
      <c r="AY90" s="72" t="n">
        <v>-6.14</v>
      </c>
      <c r="AZ90" s="63" t="inlineStr">
        <is>
          <t>China Biotech ETF (HS biotech proxy)</t>
        </is>
      </c>
      <c r="BA90" s="72" t="n">
        <v>920.1799999999999</v>
      </c>
      <c r="BB90" s="64" t="inlineStr">
        <is>
          <t>2026-08-28</t>
        </is>
      </c>
      <c r="BC90" s="65" t="n">
        <v>13.5</v>
      </c>
      <c r="BD90" s="68" t="n">
        <v>-1.6</v>
      </c>
      <c r="BE90" s="63" t="inlineStr">
        <is>
          <t>N</t>
        </is>
      </c>
      <c r="BF90" s="63" t="inlineStr">
        <is>
          <t>n/m</t>
        </is>
      </c>
      <c r="BG90" s="74" t="n"/>
      <c r="BH90" s="74" t="n">
        <v>28.3</v>
      </c>
      <c r="BI90" s="74" t="n">
        <v>140.9</v>
      </c>
      <c r="BJ90" s="75">
        <f>IF('BBG Verify'!S90="","not filed — run on terminal",'BBG Verify'!S90)</f>
        <v/>
      </c>
      <c r="BK90" s="76" t="inlineStr">
        <is>
          <t>N</t>
        </is>
      </c>
      <c r="BL90" s="77">
        <f>IF('BBG Verify'!K90="","not filed — run on terminal",'BBG Verify'!K90)</f>
        <v/>
      </c>
      <c r="BM90" s="63" t="inlineStr">
        <is>
          <t>N/A</t>
        </is>
      </c>
      <c r="BN90" s="63" t="inlineStr">
        <is>
          <t>N/A</t>
        </is>
      </c>
      <c r="BO90" s="63" t="inlineStr">
        <is>
          <t>N/A</t>
        </is>
      </c>
      <c r="BP90" s="63" t="inlineStr">
        <is>
          <t>N/A</t>
        </is>
      </c>
      <c r="BQ90" s="63" t="inlineStr">
        <is>
          <t>N/A</t>
        </is>
      </c>
      <c r="BR90" s="63" t="inlineStr">
        <is>
          <t>N/A</t>
        </is>
      </c>
      <c r="BS90" s="76" t="inlineStr">
        <is>
          <t>Guotai Junan Capital Limited</t>
        </is>
      </c>
      <c r="BT90" s="63" t="inlineStr">
        <is>
          <t>Guotai Junan Capital Limited</t>
        </is>
      </c>
      <c r="BU90" s="63" t="inlineStr">
        <is>
          <t>Guotai Junan Securities (Hong Kong) Limited</t>
        </is>
      </c>
      <c r="BV90" s="63" t="inlineStr">
        <is>
          <t>Ever-Long Securities Company Limited; Guotai Junan Securities (Hong Kong) Limited; HTF Securities Limited; Merdeka Securities Limited</t>
        </is>
      </c>
      <c r="BW90" s="78">
        <f>HYPERLINK("https://www1.hkexnews.hk/listedco/listconews/sehk/2021/1130/2021113000017.pdf","prospectus")</f>
        <v/>
      </c>
      <c r="BX90" s="78">
        <f>HYPERLINK("https://www1.hkexnews.hk/listedco/listconews/sehk/2021/1215/2021121500014.htm","allotment")</f>
        <v/>
      </c>
      <c r="BY90" s="78">
        <f>HYPERLINK("https://www1.hkexnews.hk/listedco/listconews/sehk/2022/0109/2022010900013.pdf","stabilisation")</f>
        <v/>
      </c>
      <c r="BZ90" s="76" t="n"/>
      <c r="CA90" s="63" t="inlineStr">
        <is>
          <t>P/E: n/m — loss-making at IPO (use P/S) · A/H: no A-share listing · cornerstone list: cornerstone section not machine-extractable — see the prospectus link · cornerstone %: cornerstone aggregate not stated in the filing · grey market: no grey-market headline on file for this deal — AAStocks publishes one per listing but keeps only recent items on the stock's news page, and no public archive of past evening sessions exists; captured from this run onward</t>
        </is>
      </c>
    </row>
    <row r="91" ht="15" customHeight="1">
      <c r="A91" s="62" t="inlineStr">
        <is>
          <t>6633</t>
        </is>
      </c>
      <c r="B91" s="63" t="inlineStr">
        <is>
          <t>QINGCI GAMES</t>
        </is>
      </c>
      <c r="C91" s="63" t="inlineStr">
        <is>
          <t>青瓷遊戲</t>
        </is>
      </c>
      <c r="D91" s="63" t="inlineStr">
        <is>
          <t>TMT-other</t>
        </is>
      </c>
      <c r="E91" s="63" t="inlineStr">
        <is>
          <t>Media / advertising</t>
        </is>
      </c>
      <c r="F91" s="63" t="inlineStr">
        <is>
          <t>Gaming Software</t>
        </is>
      </c>
      <c r="G91" s="63" t="inlineStr">
        <is>
          <t>Standard</t>
        </is>
      </c>
      <c r="H91" s="64" t="n">
        <v>44546</v>
      </c>
      <c r="I91" s="65" t="n">
        <v>952</v>
      </c>
      <c r="J91" s="63" t="inlineStr">
        <is>
          <t>gross (price x shares)</t>
        </is>
      </c>
      <c r="K91" s="66" t="n">
        <v>11.2</v>
      </c>
      <c r="L91" s="66" t="n">
        <v>14</v>
      </c>
      <c r="M91" s="66" t="n">
        <v>11.2</v>
      </c>
      <c r="N91" s="63" t="inlineStr">
        <is>
          <t>N</t>
        </is>
      </c>
      <c r="O91" s="67" t="n">
        <v>80</v>
      </c>
      <c r="P91" s="67" t="n">
        <v>0</v>
      </c>
      <c r="Q91" s="68" t="n">
        <v>7672</v>
      </c>
      <c r="R91" s="63" t="inlineStr">
        <is>
          <t>prospectus:stated market capitalisation</t>
        </is>
      </c>
      <c r="S91" s="69" t="n">
        <v>3.64</v>
      </c>
      <c r="T91" s="70" t="n">
        <v>1.77</v>
      </c>
      <c r="U91" s="71" t="n">
        <v>57.3</v>
      </c>
      <c r="V91" s="68" t="n">
        <v>406.5</v>
      </c>
      <c r="W91" s="68" t="n">
        <v>36295000</v>
      </c>
      <c r="X91" s="67" t="n">
        <v>5.3</v>
      </c>
      <c r="Y91" s="63" t="inlineStr">
        <is>
          <t>ABCI China Dynamic Growth SP; Boyu Capital Opportunities Master Fund; GF Global Capital Limited; Harvest Alternative Investment Opportunities Fund SP3; I-China Holdings Limited; Qookka Entertainment Limited</t>
        </is>
      </c>
      <c r="Z91" s="63" t="inlineStr">
        <is>
          <t>agricultural;boyu;gf;harvest;china-holdings;qookka</t>
        </is>
      </c>
      <c r="AA91" s="67" t="n">
        <v>7.11</v>
      </c>
      <c r="AB91" s="72" t="n"/>
      <c r="AC91" s="66" t="n"/>
      <c r="AD91" s="72" t="n"/>
      <c r="AE91" s="63" t="n"/>
      <c r="AF91" s="63" t="n"/>
      <c r="AG91" s="63" t="inlineStr">
        <is>
          <t>partial</t>
        </is>
      </c>
      <c r="AH91" s="63" t="inlineStr">
        <is>
          <t>2022-01-08</t>
        </is>
      </c>
      <c r="AI91" s="63" t="inlineStr">
        <is>
          <t>China International Capital Corporation Hong Kong Securities Limited</t>
        </is>
      </c>
      <c r="AJ91" s="63" t="inlineStr">
        <is>
          <t>China International</t>
        </is>
      </c>
      <c r="AK91" s="73" t="n">
        <v>-4.64</v>
      </c>
      <c r="AL91" s="72" t="n">
        <v>-8.93</v>
      </c>
      <c r="AM91" s="72" t="n">
        <v>4.71</v>
      </c>
      <c r="AN91" s="72" t="n">
        <v>-4.46</v>
      </c>
      <c r="AO91" s="72" t="n">
        <v>-21.34</v>
      </c>
      <c r="AP91" s="72" t="n">
        <v>-61.88</v>
      </c>
      <c r="AQ91" s="72" t="n">
        <v>0.19</v>
      </c>
      <c r="AR91" s="72" t="n">
        <v>-17.51</v>
      </c>
      <c r="AS91" s="72" t="n">
        <v>-60.03</v>
      </c>
      <c r="AT91" s="72" t="n">
        <v>-3.49</v>
      </c>
      <c r="AU91" s="72" t="n">
        <v>-24.74</v>
      </c>
      <c r="AV91" s="72" t="n">
        <v>-52.49</v>
      </c>
      <c r="AW91" s="72" t="n">
        <v>-20.67</v>
      </c>
      <c r="AX91" s="72" t="n">
        <v>3.4</v>
      </c>
      <c r="AY91" s="72" t="n">
        <v>3.16</v>
      </c>
      <c r="AZ91" s="63" t="inlineStr">
        <is>
          <t>Hang Seng Index</t>
        </is>
      </c>
      <c r="BA91" s="72" t="n">
        <v>-71.61</v>
      </c>
      <c r="BB91" s="64" t="inlineStr">
        <is>
          <t>2026-08-28</t>
        </is>
      </c>
      <c r="BC91" s="65" t="n">
        <v>1349.6</v>
      </c>
      <c r="BD91" s="68" t="n">
        <v>124.6</v>
      </c>
      <c r="BE91" s="63" t="inlineStr">
        <is>
          <t>Y</t>
        </is>
      </c>
      <c r="BF91" s="74" t="n">
        <v>61.6</v>
      </c>
      <c r="BG91" s="74" t="n"/>
      <c r="BH91" s="74" t="n">
        <v>14.8</v>
      </c>
      <c r="BI91" s="74" t="n">
        <v>5.7</v>
      </c>
      <c r="BJ91" s="75">
        <f>IF('BBG Verify'!S91="","not filed — run on terminal",'BBG Verify'!S91)</f>
        <v/>
      </c>
      <c r="BK91" s="76" t="inlineStr">
        <is>
          <t>N</t>
        </is>
      </c>
      <c r="BL91" s="77">
        <f>IF('BBG Verify'!K91="","not filed — run on terminal",'BBG Verify'!K91)</f>
        <v/>
      </c>
      <c r="BM91" s="63" t="inlineStr">
        <is>
          <t>N/A</t>
        </is>
      </c>
      <c r="BN91" s="63" t="inlineStr">
        <is>
          <t>N/A</t>
        </is>
      </c>
      <c r="BO91" s="63" t="inlineStr">
        <is>
          <t>N/A</t>
        </is>
      </c>
      <c r="BP91" s="63" t="inlineStr">
        <is>
          <t>N/A</t>
        </is>
      </c>
      <c r="BQ91" s="63" t="inlineStr">
        <is>
          <t>N/A</t>
        </is>
      </c>
      <c r="BR91" s="63" t="inlineStr">
        <is>
          <t>N/A</t>
        </is>
      </c>
      <c r="BS91" s="76" t="inlineStr">
        <is>
          <t>China International Capital Corporation Hong Kong Securities Limited; CLSA Capital Markets Limited; CLSA Limited</t>
        </is>
      </c>
      <c r="BT91" s="63" t="inlineStr">
        <is>
          <t>China International Capital Corporation Hong Kong Securities Limited; CLSA Capital Markets Limited</t>
        </is>
      </c>
      <c r="BU91" s="63" t="inlineStr">
        <is>
          <t>China International Capital Corporation Hong Kong Securities Limited; CLSA Limited; China Merchants Securities (HK) Co., Limited; (Below in alphabetical order) ABCI Capital Limited; Guotai Junan Securities (Hong Kong) Limited; Valuable Capital Limited</t>
        </is>
      </c>
      <c r="BV91" s="63" t="inlineStr">
        <is>
          <t>ABCI Securities Company Limited; China International Capital Corporation Hong Kong Securities Limited; CLSA Limited; China Merchants Securities (HK) Company Limited; Guotai Junan Securities (Hong Kong) Limited; TFI Securities and Futures Limited; Valuable Capital Limited</t>
        </is>
      </c>
      <c r="BW91" s="78">
        <f>HYPERLINK("https://www1.hkexnews.hk/listedco/listconews/sehk/2021/1206/2021120600013.pdf","prospectus")</f>
        <v/>
      </c>
      <c r="BX91" s="78">
        <f>HYPERLINK("https://www1.hkexnews.hk/listedco/listconews/sehk/2021/1215/2021121500032.htm","allotment")</f>
        <v/>
      </c>
      <c r="BY91" s="78">
        <f>HYPERLINK("https://www1.hkexnews.hk/listedco/listconews/sehk/2022/0110/2022011000737.pdf","stabilisation")</f>
        <v/>
      </c>
      <c r="BZ91" s="76" t="n"/>
      <c r="CA91" s="63" t="inlineStr">
        <is>
          <t>A/H: no A-share listing · grey market: no grey-market headline on file for this deal — AAStocks publishes one per listing but keeps only recent items on the stock's news page, and no public archive of past evening sessions exists; captured from this run onward</t>
        </is>
      </c>
    </row>
    <row r="92" ht="15" customHeight="1">
      <c r="A92" s="62" t="inlineStr">
        <is>
          <t>2270</t>
        </is>
      </c>
      <c r="B92" s="63" t="inlineStr">
        <is>
          <t>DESUN SERVICES</t>
        </is>
      </c>
      <c r="C92" s="63" t="inlineStr">
        <is>
          <t>德商產投服務</t>
        </is>
      </c>
      <c r="D92" s="63" t="inlineStr">
        <is>
          <t>Real Estate</t>
        </is>
      </c>
      <c r="E92" s="63" t="inlineStr">
        <is>
          <t>Property management</t>
        </is>
      </c>
      <c r="F92" s="63" t="inlineStr">
        <is>
          <t>Property Service and Management</t>
        </is>
      </c>
      <c r="G92" s="63" t="inlineStr">
        <is>
          <t>Standard</t>
        </is>
      </c>
      <c r="H92" s="64" t="n">
        <v>44547</v>
      </c>
      <c r="I92" s="65" t="n">
        <v>166.5</v>
      </c>
      <c r="J92" s="63" t="inlineStr">
        <is>
          <t>gross (price x shares)</t>
        </is>
      </c>
      <c r="K92" s="66" t="n">
        <v>1.1</v>
      </c>
      <c r="L92" s="66" t="n">
        <v>1.46</v>
      </c>
      <c r="M92" s="66" t="n">
        <v>1.11</v>
      </c>
      <c r="N92" s="63" t="inlineStr">
        <is>
          <t>N</t>
        </is>
      </c>
      <c r="O92" s="67" t="n">
        <v>76</v>
      </c>
      <c r="P92" s="67" t="n">
        <v>2.8</v>
      </c>
      <c r="Q92" s="68" t="n">
        <v>660</v>
      </c>
      <c r="R92" s="63" t="inlineStr">
        <is>
          <t>prospectus:stated market capitalisation</t>
        </is>
      </c>
      <c r="S92" s="69" t="n">
        <v>1.37</v>
      </c>
      <c r="T92" s="70" t="n">
        <v>1.17</v>
      </c>
      <c r="U92" s="71" t="n">
        <v>0</v>
      </c>
      <c r="V92" s="68" t="n">
        <v>166.5</v>
      </c>
      <c r="W92" s="68" t="n">
        <v>150000000</v>
      </c>
      <c r="X92" s="67" t="n">
        <v>25.23</v>
      </c>
      <c r="Y92" s="63" t="n"/>
      <c r="Z92" s="63" t="n"/>
      <c r="AA92" s="67" t="n">
        <v>15</v>
      </c>
      <c r="AB92" s="72" t="n"/>
      <c r="AC92" s="66" t="n"/>
      <c r="AD92" s="72" t="n"/>
      <c r="AE92" s="63" t="n"/>
      <c r="AF92" s="63" t="n"/>
      <c r="AG92" s="63" t="inlineStr">
        <is>
          <t>partial</t>
        </is>
      </c>
      <c r="AH92" s="63" t="inlineStr">
        <is>
          <t>2022-01-06</t>
        </is>
      </c>
      <c r="AI92" s="63" t="inlineStr">
        <is>
          <t>Shenwan Hongyuan Securities</t>
        </is>
      </c>
      <c r="AJ92" s="63" t="inlineStr">
        <is>
          <t>Shenwan Hongyuan</t>
        </is>
      </c>
      <c r="AK92" s="73" t="n">
        <v>-5.41</v>
      </c>
      <c r="AL92" s="72" t="n">
        <v>4.5</v>
      </c>
      <c r="AM92" s="72" t="n">
        <v>-9.48</v>
      </c>
      <c r="AN92" s="72" t="n">
        <v>0</v>
      </c>
      <c r="AO92" s="72" t="n">
        <v>-1.8</v>
      </c>
      <c r="AP92" s="72" t="n">
        <v>-0.9</v>
      </c>
      <c r="AQ92" s="72" t="n">
        <v>5.72</v>
      </c>
      <c r="AR92" s="72" t="n">
        <v>3.82</v>
      </c>
      <c r="AS92" s="72" t="n">
        <v>4.77</v>
      </c>
      <c r="AT92" s="72" t="n">
        <v>0.83</v>
      </c>
      <c r="AU92" s="72" t="n">
        <v>-3.13</v>
      </c>
      <c r="AV92" s="72" t="n">
        <v>-2.05</v>
      </c>
      <c r="AW92" s="72" t="n">
        <v>2.14</v>
      </c>
      <c r="AX92" s="72" t="n">
        <v>1.33</v>
      </c>
      <c r="AY92" s="72" t="n">
        <v>1.68</v>
      </c>
      <c r="AZ92" s="63" t="inlineStr">
        <is>
          <t>Hang Seng Properties sub-index</t>
        </is>
      </c>
      <c r="BA92" s="72" t="n">
        <v>539.64</v>
      </c>
      <c r="BB92" s="64" t="inlineStr">
        <is>
          <t>2026-08-28</t>
        </is>
      </c>
      <c r="BC92" s="65" t="n">
        <v>61.3</v>
      </c>
      <c r="BD92" s="68" t="n">
        <v>47.2</v>
      </c>
      <c r="BE92" s="63" t="inlineStr">
        <is>
          <t>Y</t>
        </is>
      </c>
      <c r="BF92" s="74" t="n">
        <v>14</v>
      </c>
      <c r="BG92" s="74" t="n"/>
      <c r="BH92" s="74" t="n">
        <v>104.3</v>
      </c>
      <c r="BI92" s="74" t="n">
        <v>10.8</v>
      </c>
      <c r="BJ92" s="75">
        <f>IF('BBG Verify'!S92="","not filed — run on terminal",'BBG Verify'!S92)</f>
        <v/>
      </c>
      <c r="BK92" s="76" t="inlineStr">
        <is>
          <t>N</t>
        </is>
      </c>
      <c r="BL92" s="77">
        <f>IF('BBG Verify'!K92="","not filed — run on terminal",'BBG Verify'!K92)</f>
        <v/>
      </c>
      <c r="BM92" s="63" t="inlineStr">
        <is>
          <t>N/A</t>
        </is>
      </c>
      <c r="BN92" s="63" t="inlineStr">
        <is>
          <t>N/A</t>
        </is>
      </c>
      <c r="BO92" s="63" t="inlineStr">
        <is>
          <t>N/A</t>
        </is>
      </c>
      <c r="BP92" s="63" t="inlineStr">
        <is>
          <t>N/A</t>
        </is>
      </c>
      <c r="BQ92" s="63" t="inlineStr">
        <is>
          <t>N/A</t>
        </is>
      </c>
      <c r="BR92" s="63" t="inlineStr">
        <is>
          <t>N/A</t>
        </is>
      </c>
      <c r="BS92" s="76" t="inlineStr">
        <is>
          <t>Shenwan Hongyuan Capital (H.K.) Limited</t>
        </is>
      </c>
      <c r="BT92" s="63" t="inlineStr">
        <is>
          <t>Shenwan Hongyuan Capital (H.K.) Limited</t>
        </is>
      </c>
      <c r="BU92" s="63" t="inlineStr">
        <is>
          <t>Shenwan Hongyuan Securities (H.K.) Limited; China Everbright Securities (HK) Limited; Guosen Securities (HK) Capital Company Limited; Livermore Holdings Limited; CMBC Securities Company Limited; SPDB International Capital Limited; ZMF Asset Management Limited</t>
        </is>
      </c>
      <c r="BV92" s="63" t="inlineStr">
        <is>
          <t>China Everbright Securities (HK) Limited; CMBC Securities Company Limited; Guosen Securities (HK) Capital Company Limited; Livermore Holdings Limited; Shenwan Hongyuan Securities (H.K.) Limited; SPDB International Capital Limited; ZMF Asset Management Limited</t>
        </is>
      </c>
      <c r="BW92" s="78">
        <f>HYPERLINK("https://www1.hkexnews.hk/listedco/listconews/sehk/2021/1130/2021113000045.pdf","prospectus")</f>
        <v/>
      </c>
      <c r="BX92" s="78">
        <f>HYPERLINK("https://www1.hkexnews.hk/listedco/listconews/sehk/2021/1216/2021121600022.htm","allotment")</f>
        <v/>
      </c>
      <c r="BY92" s="78">
        <f>HYPERLINK("https://www1.hkexnews.hk/listedco/listconews/sehk/2022/0106/2022010601685.pdf","stabilisation")</f>
        <v/>
      </c>
      <c r="BZ92" s="76" t="n"/>
      <c r="CA92" s="63" t="inlineStr">
        <is>
          <t>A/H: no A-share listing · cornerstone list: no cornerstone tranche in this deal · grey market: no grey-market headline on file for this deal — AAStocks publishes one per listing but keeps only recent items on the stock's news page, and no public archive of past evening sessions exists; captured from this run onward</t>
        </is>
      </c>
    </row>
    <row r="93" ht="15" customHeight="1">
      <c r="A93" s="62" t="inlineStr">
        <is>
          <t>2185</t>
        </is>
      </c>
      <c r="B93" s="63" t="inlineStr">
        <is>
          <t>BIOHEART-B</t>
        </is>
      </c>
      <c r="C93" s="63" t="inlineStr">
        <is>
          <t>百心安－Ｂ</t>
        </is>
      </c>
      <c r="D93" s="63" t="inlineStr">
        <is>
          <t>Healthcare</t>
        </is>
      </c>
      <c r="E93" s="63" t="inlineStr">
        <is>
          <t>Medical devices</t>
        </is>
      </c>
      <c r="F93" s="63" t="inlineStr">
        <is>
          <t>Health Care Equipment</t>
        </is>
      </c>
      <c r="G93" s="63" t="inlineStr">
        <is>
          <t>18A</t>
        </is>
      </c>
      <c r="H93" s="64" t="n">
        <v>44553</v>
      </c>
      <c r="I93" s="65" t="n">
        <v>508.7</v>
      </c>
      <c r="J93" s="63" t="inlineStr">
        <is>
          <t>gross (price x shares)</t>
        </is>
      </c>
      <c r="K93" s="66" t="n"/>
      <c r="L93" s="66" t="n">
        <v>24.79</v>
      </c>
      <c r="M93" s="66" t="n">
        <v>21.25</v>
      </c>
      <c r="N93" s="63" t="inlineStr">
        <is>
          <t>N</t>
        </is>
      </c>
      <c r="O93" s="67" t="n">
        <v>85.7</v>
      </c>
      <c r="P93" s="67" t="n"/>
      <c r="Q93" s="68" t="n">
        <v>4574.6</v>
      </c>
      <c r="R93" s="63" t="inlineStr">
        <is>
          <t>derived:deal size / offer % of enlarged capital</t>
        </is>
      </c>
      <c r="S93" s="69" t="n">
        <v>1.52</v>
      </c>
      <c r="T93" s="70" t="n">
        <v>1.16</v>
      </c>
      <c r="U93" s="71" t="n">
        <v>0</v>
      </c>
      <c r="V93" s="68" t="n">
        <v>508.7</v>
      </c>
      <c r="W93" s="68" t="n">
        <v>23937000</v>
      </c>
      <c r="X93" s="67" t="n">
        <v>11.12</v>
      </c>
      <c r="Y93" s="63" t="n"/>
      <c r="Z93" s="63" t="n"/>
      <c r="AA93" s="67" t="n">
        <v>15.44</v>
      </c>
      <c r="AB93" s="72" t="n"/>
      <c r="AC93" s="66" t="n"/>
      <c r="AD93" s="72" t="n"/>
      <c r="AE93" s="63" t="n"/>
      <c r="AF93" s="63" t="n"/>
      <c r="AG93" s="63" t="inlineStr">
        <is>
          <t>lapsed</t>
        </is>
      </c>
      <c r="AH93" s="63" t="n"/>
      <c r="AI93" s="63" t="inlineStr">
        <is>
          <t>Huatai Financial Holdings</t>
        </is>
      </c>
      <c r="AJ93" s="63" t="inlineStr">
        <is>
          <t>Huatai</t>
        </is>
      </c>
      <c r="AK93" s="73" t="n">
        <v>-5.41</v>
      </c>
      <c r="AL93" s="72" t="n">
        <v>-11.15</v>
      </c>
      <c r="AM93" s="72" t="n">
        <v>6.46</v>
      </c>
      <c r="AN93" s="72" t="n">
        <v>27.29</v>
      </c>
      <c r="AO93" s="72" t="n">
        <v>37.18</v>
      </c>
      <c r="AP93" s="72" t="n">
        <v>110.82</v>
      </c>
      <c r="AQ93" s="72" t="n">
        <v>34.57</v>
      </c>
      <c r="AR93" s="72" t="n">
        <v>45.03</v>
      </c>
      <c r="AS93" s="72" t="n">
        <v>122.88</v>
      </c>
      <c r="AT93" s="72" t="n">
        <v>27.61</v>
      </c>
      <c r="AU93" s="72" t="n">
        <v>45.84</v>
      </c>
      <c r="AV93" s="72" t="n">
        <v>131.04</v>
      </c>
      <c r="AW93" s="72" t="n">
        <v>52.54</v>
      </c>
      <c r="AX93" s="72" t="n">
        <v>-8.66</v>
      </c>
      <c r="AY93" s="72" t="n">
        <v>-7.51</v>
      </c>
      <c r="AZ93" s="63" t="inlineStr">
        <is>
          <t>China Biotech ETF (HS biotech proxy)</t>
        </is>
      </c>
      <c r="BA93" s="72" t="n">
        <v>-90.87</v>
      </c>
      <c r="BB93" s="64" t="inlineStr">
        <is>
          <t>2026-08-28</t>
        </is>
      </c>
      <c r="BC93" s="65" t="n">
        <v>67.90000000000001</v>
      </c>
      <c r="BD93" s="68" t="n">
        <v>-15</v>
      </c>
      <c r="BE93" s="63" t="inlineStr">
        <is>
          <t>N</t>
        </is>
      </c>
      <c r="BF93" s="63" t="inlineStr">
        <is>
          <t>n/m</t>
        </is>
      </c>
      <c r="BG93" s="74" t="n"/>
      <c r="BH93" s="74" t="n"/>
      <c r="BI93" s="74" t="n">
        <v>67.40000000000001</v>
      </c>
      <c r="BJ93" s="75">
        <f>IF('BBG Verify'!S93="","not filed — run on terminal",'BBG Verify'!S93)</f>
        <v/>
      </c>
      <c r="BK93" s="76" t="inlineStr">
        <is>
          <t>N</t>
        </is>
      </c>
      <c r="BL93" s="77">
        <f>IF('BBG Verify'!K93="","not filed — run on terminal",'BBG Verify'!K93)</f>
        <v/>
      </c>
      <c r="BM93" s="63" t="inlineStr">
        <is>
          <t>N/A</t>
        </is>
      </c>
      <c r="BN93" s="63" t="inlineStr">
        <is>
          <t>N/A</t>
        </is>
      </c>
      <c r="BO93" s="63" t="inlineStr">
        <is>
          <t>N/A</t>
        </is>
      </c>
      <c r="BP93" s="63" t="inlineStr">
        <is>
          <t>N/A</t>
        </is>
      </c>
      <c r="BQ93" s="63" t="inlineStr">
        <is>
          <t>N/A</t>
        </is>
      </c>
      <c r="BR93" s="63" t="inlineStr">
        <is>
          <t>N/A</t>
        </is>
      </c>
      <c r="BS93" s="76" t="inlineStr">
        <is>
          <t>Huatai Financial Holdings (Hong Kong) Limited</t>
        </is>
      </c>
      <c r="BT93" s="63" t="inlineStr">
        <is>
          <t>Huatai Financial Holdings (Hong Kong) Limited</t>
        </is>
      </c>
      <c r="BU93" s="63" t="inlineStr">
        <is>
          <t>Huatai Financial Holdings (Hong Kong) Limited</t>
        </is>
      </c>
      <c r="BV93" s="63" t="inlineStr">
        <is>
          <t>Huatai Financial Holdings (Hong Kong) Limited</t>
        </is>
      </c>
      <c r="BW93" s="78">
        <f>HYPERLINK("https://www1.hkexnews.hk/listedco/listconews/sehk/2021/1213/2021121300025.pdf","prospectus")</f>
        <v/>
      </c>
      <c r="BX93" s="78">
        <f>HYPERLINK("https://www1.hkexnews.hk/listedco/listconews/sehk/2021/1222/2021122200010.htm","allotment")</f>
        <v/>
      </c>
      <c r="BY93" s="78">
        <f>HYPERLINK("https://www1.hkexnews.hk/listedco/listconews/sehk/2022/0117/2022011700011.pdf","stabilisation")</f>
        <v/>
      </c>
      <c r="BZ93" s="76" t="n"/>
      <c r="CA93" s="63" t="inlineStr">
        <is>
          <t>P/E: n/m — loss-making at IPO (use P/S) · greenshoe: over-allotment outcome already published, and the allotment announcement does not state the stabilisation expiry in a parsable form — the expiry no longer matters once resolved · range low: cap-only pricing — the filing publishes a Maximum Offer Price and no indicative floor · A/H: no A-share listing · cornerstone list: no cornerstone tranche in this deal · deal size: stated gross HK$26.5m rejected — below the deal's own net proceeds HK$441.7m, which cannot happen · grey market: no grey-market headline on file for this deal — AAStocks publishes one per listing but keeps only recent items on the stock's news page, and no public archive of past evening sessions exists; captured from this run onward</t>
        </is>
      </c>
    </row>
    <row r="94" ht="15" customHeight="1">
      <c r="A94" s="62" t="inlineStr">
        <is>
          <t>2285</t>
        </is>
      </c>
      <c r="B94" s="63" t="inlineStr">
        <is>
          <t>CHERVON</t>
        </is>
      </c>
      <c r="C94" s="63" t="inlineStr">
        <is>
          <t>泉峰控股</t>
        </is>
      </c>
      <c r="D94" s="63" t="inlineStr">
        <is>
          <t>Industrials</t>
        </is>
      </c>
      <c r="E94" s="63" t="inlineStr">
        <is>
          <t>Capital goods / machinery</t>
        </is>
      </c>
      <c r="F94" s="63" t="inlineStr">
        <is>
          <t>Household Appliances</t>
        </is>
      </c>
      <c r="G94" s="63" t="inlineStr">
        <is>
          <t>Standard</t>
        </is>
      </c>
      <c r="H94" s="64" t="n">
        <v>44560</v>
      </c>
      <c r="I94" s="65" t="n">
        <v>3135.5</v>
      </c>
      <c r="J94" s="63" t="inlineStr">
        <is>
          <t>gross (price x shares)</t>
        </is>
      </c>
      <c r="K94" s="66" t="n">
        <v>37.6</v>
      </c>
      <c r="L94" s="66" t="n">
        <v>43.6</v>
      </c>
      <c r="M94" s="66" t="n">
        <v>43.6</v>
      </c>
      <c r="N94" s="63" t="inlineStr">
        <is>
          <t>Y</t>
        </is>
      </c>
      <c r="O94" s="67" t="n">
        <v>100</v>
      </c>
      <c r="P94" s="67" t="n">
        <v>100</v>
      </c>
      <c r="Q94" s="68" t="n">
        <v>18030</v>
      </c>
      <c r="R94" s="63" t="inlineStr">
        <is>
          <t>prospectus:stated market capitalisation</t>
        </is>
      </c>
      <c r="S94" s="69" t="n">
        <v>7.49</v>
      </c>
      <c r="T94" s="70" t="n">
        <v>7.27</v>
      </c>
      <c r="U94" s="71" t="n">
        <v>13.8</v>
      </c>
      <c r="V94" s="68" t="n">
        <v>2702.8</v>
      </c>
      <c r="W94" s="68" t="n">
        <v>61991592</v>
      </c>
      <c r="X94" s="67" t="n">
        <v>14.99</v>
      </c>
      <c r="Y94" s="63" t="inlineStr">
        <is>
          <t>3W Fund Management Limited; Dragon Billion China Master Fund; Greenwoods Asset Management Hong Kong Limited; IvyRock Asset Management (HK) Limited; Luo Jinhong; Value Partners Hong Kong Limited</t>
        </is>
      </c>
      <c r="Z94" s="63" t="inlineStr">
        <is>
          <t>3w;dragon;greenwoods;ivyrock;luo-jinhong;value</t>
        </is>
      </c>
      <c r="AA94" s="67" t="n">
        <v>10</v>
      </c>
      <c r="AB94" s="72" t="n"/>
      <c r="AC94" s="66" t="n"/>
      <c r="AD94" s="72" t="n"/>
      <c r="AE94" s="63" t="n"/>
      <c r="AF94" s="63" t="n"/>
      <c r="AG94" s="63" t="inlineStr">
        <is>
          <t>full</t>
        </is>
      </c>
      <c r="AH94" s="63" t="inlineStr">
        <is>
          <t>2022-01-21</t>
        </is>
      </c>
      <c r="AI94" s="63" t="n"/>
      <c r="AJ94" s="63" t="n"/>
      <c r="AK94" s="73" t="n">
        <v>28.44</v>
      </c>
      <c r="AL94" s="72" t="n">
        <v>18.81</v>
      </c>
      <c r="AM94" s="72" t="n">
        <v>8.109999999999999</v>
      </c>
      <c r="AN94" s="72" t="n">
        <v>27.98</v>
      </c>
      <c r="AO94" s="72" t="n">
        <v>28.9</v>
      </c>
      <c r="AP94" s="72" t="n">
        <v>27.06</v>
      </c>
      <c r="AQ94" s="72" t="n">
        <v>-0.36</v>
      </c>
      <c r="AR94" s="72" t="n">
        <v>0.36</v>
      </c>
      <c r="AS94" s="72" t="n">
        <v>-1.07</v>
      </c>
      <c r="AT94" s="72" t="n">
        <v>28.96</v>
      </c>
      <c r="AU94" s="72" t="n">
        <v>30.61</v>
      </c>
      <c r="AV94" s="72" t="n">
        <v>38.55</v>
      </c>
      <c r="AW94" s="72" t="n">
        <v>2.31</v>
      </c>
      <c r="AX94" s="72" t="n">
        <v>-1.71</v>
      </c>
      <c r="AY94" s="72" t="n">
        <v>-1.95</v>
      </c>
      <c r="AZ94" s="63" t="inlineStr">
        <is>
          <t>Hang Seng Commerce &amp; Industry sub-index</t>
        </is>
      </c>
      <c r="BA94" s="72" t="n">
        <v>-54.2</v>
      </c>
      <c r="BB94" s="64" t="inlineStr">
        <is>
          <t>2026-08-28</t>
        </is>
      </c>
      <c r="BC94" s="65" t="n">
        <v>9367</v>
      </c>
      <c r="BD94" s="68" t="n">
        <v>377.4</v>
      </c>
      <c r="BE94" s="63" t="inlineStr">
        <is>
          <t>Y</t>
        </is>
      </c>
      <c r="BF94" s="74" t="n">
        <v>47.8</v>
      </c>
      <c r="BG94" s="74" t="n">
        <v>26</v>
      </c>
      <c r="BH94" s="74" t="n">
        <v>12.5</v>
      </c>
      <c r="BI94" s="74" t="n">
        <v>1.9</v>
      </c>
      <c r="BJ94" s="75">
        <f>IF('BBG Verify'!S94="","not filed — run on terminal",'BBG Verify'!S94)</f>
        <v/>
      </c>
      <c r="BK94" s="76" t="inlineStr">
        <is>
          <t>N</t>
        </is>
      </c>
      <c r="BL94" s="77">
        <f>IF('BBG Verify'!K94="","not filed — run on terminal",'BBG Verify'!K94)</f>
        <v/>
      </c>
      <c r="BM94" s="63" t="inlineStr">
        <is>
          <t>N/A</t>
        </is>
      </c>
      <c r="BN94" s="63" t="inlineStr">
        <is>
          <t>N/A</t>
        </is>
      </c>
      <c r="BO94" s="63" t="inlineStr">
        <is>
          <t>N/A</t>
        </is>
      </c>
      <c r="BP94" s="63" t="inlineStr">
        <is>
          <t>N/A</t>
        </is>
      </c>
      <c r="BQ94" s="63" t="inlineStr">
        <is>
          <t>N/A</t>
        </is>
      </c>
      <c r="BR94" s="63" t="inlineStr">
        <is>
          <t>N/A</t>
        </is>
      </c>
      <c r="BS94" s="76" t="inlineStr">
        <is>
          <t>China International Capital Corporation Hong Kong Securities Limited; Citigroup Global Markets Asia Limited</t>
        </is>
      </c>
      <c r="BT94" s="63" t="inlineStr">
        <is>
          <t>China International Capital Corporation Hong Kong Securities Limited; Citigroup Global Markets Asia Limited</t>
        </is>
      </c>
      <c r="BU94" s="63" t="inlineStr">
        <is>
          <t>China International Capital Corporation Hong Kong Securities Limited; Citigroup Global Markets Asia Limited; The Hongkong and Shanghai Banking Corporation Limited; (in relation to the Hong Kong Public Offering only) Citigroup Global Markets Limited; BOCOM International Securities Limited; CMB International Capital Limited</t>
        </is>
      </c>
      <c r="BV94" s="63" t="inlineStr">
        <is>
          <t>Beta International Securities Limited; Citigroup Global Markets Asia Limited; China International Capital Corporation Hong Kong Securities Limited; CMB International Capital Limited; The Hongkong and Shanghai Banking Corporation Limited</t>
        </is>
      </c>
      <c r="BW94" s="78">
        <f>HYPERLINK("https://www1.hkexnews.hk/listedco/listconews/sehk/2021/1217/2021121700005.pdf","prospectus")</f>
        <v/>
      </c>
      <c r="BX94" s="78">
        <f>HYPERLINK("https://www1.hkexnews.hk/listedco/listconews/sehk/2021/1229/2021122900020.htm","allotment")</f>
        <v/>
      </c>
      <c r="BY94" s="78">
        <f>HYPERLINK("https://www1.hkexnews.hk/listedco/listconews/sehk/2022/0121/2022012101124.pdf","stabilisation")</f>
        <v/>
      </c>
      <c r="BZ94" s="76" t="n"/>
      <c r="CA94" s="63" t="inlineStr">
        <is>
          <t>A/H: no A-share listing · cornerstone: AAStocks institutional table includes non-cornerstone orders (superset) — cornerstone % is from the prospectus · stabilising manager: neither the allotment announcement's cover sentence nor the prospectus definitions glossary names one in a form the parser reads — not inferred from the sponsor · grey market: no grey-market headline on file for this deal — AAStocks publishes one per listing but keeps only recent items on the stock's news page, and no public archive of past evening sessions exists; captured from this run onward</t>
        </is>
      </c>
    </row>
    <row r="95" ht="15" customHeight="1">
      <c r="A95" s="62" t="inlineStr">
        <is>
          <t>2257</t>
        </is>
      </c>
      <c r="B95" s="63" t="inlineStr">
        <is>
          <t>SIRNAOMICS-B</t>
        </is>
      </c>
      <c r="C95" s="63" t="inlineStr">
        <is>
          <t>聖諾醫藥－Ｂ</t>
        </is>
      </c>
      <c r="D95" s="63" t="inlineStr">
        <is>
          <t>Healthcare</t>
        </is>
      </c>
      <c r="E95" s="63" t="inlineStr">
        <is>
          <t>Biotech pre-revenue (18A)</t>
        </is>
      </c>
      <c r="F95" s="63" t="inlineStr">
        <is>
          <t>Biotechnology</t>
        </is>
      </c>
      <c r="G95" s="63" t="inlineStr">
        <is>
          <t>18A</t>
        </is>
      </c>
      <c r="H95" s="64" t="n">
        <v>44560</v>
      </c>
      <c r="I95" s="65" t="n">
        <v>496.9</v>
      </c>
      <c r="J95" s="63" t="inlineStr">
        <is>
          <t>gross (price x shares)</t>
        </is>
      </c>
      <c r="K95" s="66" t="n"/>
      <c r="L95" s="66" t="n">
        <v>65.90000000000001</v>
      </c>
      <c r="M95" s="66" t="n">
        <v>65.90000000000001</v>
      </c>
      <c r="N95" s="63" t="inlineStr">
        <is>
          <t>Y</t>
        </is>
      </c>
      <c r="O95" s="67" t="n">
        <v>100</v>
      </c>
      <c r="P95" s="67" t="n"/>
      <c r="Q95" s="68" t="n">
        <v>5261.1</v>
      </c>
      <c r="R95" s="63" t="inlineStr">
        <is>
          <t>prospectus:stated market capitalisation, rescaled to the offer price</t>
        </is>
      </c>
      <c r="S95" s="69" t="n">
        <v>5.68</v>
      </c>
      <c r="T95" s="70" t="n">
        <v>1.22</v>
      </c>
      <c r="U95" s="71" t="n">
        <v>41.1</v>
      </c>
      <c r="V95" s="68" t="n">
        <v>292.67</v>
      </c>
      <c r="W95" s="68" t="n">
        <v>4441060</v>
      </c>
      <c r="X95" s="67" t="n">
        <v>5.56</v>
      </c>
      <c r="Y95" s="63" t="inlineStr">
        <is>
          <t>Kunming Jiashiqing Investment Partnership (Limited Partnership); Zhejiang Innoforce Pharmaceuticals Co., Ltd</t>
        </is>
      </c>
      <c r="Z95" s="63" t="inlineStr">
        <is>
          <t>kunming;zhejiang</t>
        </is>
      </c>
      <c r="AA95" s="67" t="n">
        <v>14.5</v>
      </c>
      <c r="AB95" s="72" t="n"/>
      <c r="AC95" s="66" t="n"/>
      <c r="AD95" s="72" t="n"/>
      <c r="AE95" s="63" t="n"/>
      <c r="AF95" s="63" t="n"/>
      <c r="AG95" s="63" t="inlineStr">
        <is>
          <t>partial</t>
        </is>
      </c>
      <c r="AH95" s="63" t="inlineStr">
        <is>
          <t>2022-01-22</t>
        </is>
      </c>
      <c r="AI95" s="63" t="inlineStr">
        <is>
          <t>China International Capital Corporation Hong Kong Securities Limited</t>
        </is>
      </c>
      <c r="AJ95" s="63" t="inlineStr">
        <is>
          <t>China International</t>
        </is>
      </c>
      <c r="AK95" s="73" t="n">
        <v>18.21</v>
      </c>
      <c r="AL95" s="72" t="n">
        <v>0</v>
      </c>
      <c r="AM95" s="72" t="n">
        <v>18.21</v>
      </c>
      <c r="AN95" s="72" t="n">
        <v>20.03</v>
      </c>
      <c r="AO95" s="72" t="n">
        <v>11.53</v>
      </c>
      <c r="AP95" s="72" t="n">
        <v>22.31</v>
      </c>
      <c r="AQ95" s="72" t="n">
        <v>1.54</v>
      </c>
      <c r="AR95" s="72" t="n">
        <v>-5.65</v>
      </c>
      <c r="AS95" s="72" t="n">
        <v>3.47</v>
      </c>
      <c r="AT95" s="72" t="n">
        <v>25.37</v>
      </c>
      <c r="AU95" s="72" t="n">
        <v>28.3</v>
      </c>
      <c r="AV95" s="72" t="n">
        <v>41.81</v>
      </c>
      <c r="AW95" s="72" t="n">
        <v>12.03</v>
      </c>
      <c r="AX95" s="72" t="n">
        <v>-16.77</v>
      </c>
      <c r="AY95" s="72" t="n">
        <v>-17.68</v>
      </c>
      <c r="AZ95" s="63" t="inlineStr">
        <is>
          <t>China Biotech ETF (HS biotech proxy)</t>
        </is>
      </c>
      <c r="BA95" s="72" t="n">
        <v>-94.01000000000001</v>
      </c>
      <c r="BB95" s="64" t="inlineStr">
        <is>
          <t>2026-08-28</t>
        </is>
      </c>
      <c r="BC95" s="65" t="n">
        <v>0</v>
      </c>
      <c r="BD95" s="68" t="n">
        <v>-361.9</v>
      </c>
      <c r="BE95" s="63" t="inlineStr">
        <is>
          <t>N</t>
        </is>
      </c>
      <c r="BF95" s="63" t="inlineStr">
        <is>
          <t>n/m</t>
        </is>
      </c>
      <c r="BG95" s="74" t="n"/>
      <c r="BH95" s="74" t="n"/>
      <c r="BI95" s="63" t="inlineStr">
        <is>
          <t>pre-rev</t>
        </is>
      </c>
      <c r="BJ95" s="75">
        <f>IF('BBG Verify'!S95="","not filed — run on terminal",'BBG Verify'!S95)</f>
        <v/>
      </c>
      <c r="BK95" s="76" t="inlineStr">
        <is>
          <t>N</t>
        </is>
      </c>
      <c r="BL95" s="77">
        <f>IF('BBG Verify'!K95="","not filed — run on terminal",'BBG Verify'!K95)</f>
        <v/>
      </c>
      <c r="BM95" s="63" t="inlineStr">
        <is>
          <t>N/A</t>
        </is>
      </c>
      <c r="BN95" s="63" t="inlineStr">
        <is>
          <t>N/A</t>
        </is>
      </c>
      <c r="BO95" s="63" t="inlineStr">
        <is>
          <t>N/A</t>
        </is>
      </c>
      <c r="BP95" s="63" t="inlineStr">
        <is>
          <t>N/A</t>
        </is>
      </c>
      <c r="BQ95" s="63" t="inlineStr">
        <is>
          <t>N/A</t>
        </is>
      </c>
      <c r="BR95" s="63" t="inlineStr">
        <is>
          <t>N/A</t>
        </is>
      </c>
      <c r="BS95" s="76" t="n"/>
      <c r="BT95" s="63" t="inlineStr">
        <is>
          <t>China International Capital Corporation Hong Kong Securities Limited</t>
        </is>
      </c>
      <c r="BU95" s="63" t="inlineStr">
        <is>
          <t>Alpha Win Capital Limited; China International Capital Corporation Hong Kong Securities Limited; China Merchants Securities (HK) Company Limited; China PA Securities (Hong Kong) Company Limited; The Hongkong and Shanghai Banking Corporation Limited; Nomura International (Hong Kong) Limited</t>
        </is>
      </c>
      <c r="BV95" s="63" t="inlineStr">
        <is>
          <t>Alpha Win Capital Limited; China International Capital Corporation Hong Kong Securities Limited; China Merchants Securities (HK) Company Limited; China PA Securities (Hong Kong) Company Limited; The Hongkong and Shanghai Banking Corporation Limited; Nomura International (Hong Kong) Limited; Valuable Capital Limited</t>
        </is>
      </c>
      <c r="BW95" s="78">
        <f>HYPERLINK("https://www1.hkexnews.hk/listedco/listconews/sehk/2021/1220/2021122000014.htm","prospectus")</f>
        <v/>
      </c>
      <c r="BX95" s="78">
        <f>HYPERLINK("https://www1.hkexnews.hk/listedco/listconews/sehk/2021/1229/2021122900046.htm","allotment")</f>
        <v/>
      </c>
      <c r="BY95" s="78">
        <f>HYPERLINK("https://www1.hkexnews.hk/listedco/listconews/sehk/2022/0123/2022012300079.pdf","stabilisation")</f>
        <v/>
      </c>
      <c r="BZ95" s="76" t="n"/>
      <c r="CA95" s="63" t="inlineStr">
        <is>
          <t>P/E: n/m — loss-making at IPO (use P/S) · price range: fixed-price offering (no indicative range) · range low: cap-only pricing — the filing publishes a Maximum Offer Price and no indicative floor · A/H: no A-share listing · sponsor: English name not in the filing text; AAStocks 保薦人 shown · market cap: prospectus states HK$5,804m at HK$72.70; rescaled to the struck HK$65.90 · P/S: no revenue line in the filed P&amp;L (pre-revenue issuer) — no sales multiple can exist; the cell reads pre-rev, not blank · grey market: no grey-market headline on file for this deal — AAStocks publishes one per listing but keeps only recent items on the stock's news page, and no public archive of past evening sessions exists; captured from this run onward</t>
        </is>
      </c>
    </row>
    <row r="96" ht="15" customHeight="1">
      <c r="A96" s="62" t="inlineStr">
        <is>
          <t>0020</t>
        </is>
      </c>
      <c r="B96" s="63" t="inlineStr">
        <is>
          <t>SENSETIME-W</t>
        </is>
      </c>
      <c r="C96" s="63" t="inlineStr">
        <is>
          <t>商湯－Ｗ</t>
        </is>
      </c>
      <c r="D96" s="63" t="inlineStr">
        <is>
          <t>Tech/AI</t>
        </is>
      </c>
      <c r="E96" s="63" t="inlineStr">
        <is>
          <t>AI application / agent software</t>
        </is>
      </c>
      <c r="F96" s="63" t="inlineStr">
        <is>
          <t>Application Software</t>
        </is>
      </c>
      <c r="G96" s="63" t="inlineStr">
        <is>
          <t>WVR</t>
        </is>
      </c>
      <c r="H96" s="64" t="n">
        <v>44560</v>
      </c>
      <c r="I96" s="65" t="n">
        <v>5775</v>
      </c>
      <c r="J96" s="63" t="inlineStr">
        <is>
          <t>gross (price x shares)</t>
        </is>
      </c>
      <c r="K96" s="66" t="n"/>
      <c r="L96" s="66" t="n">
        <v>3.85</v>
      </c>
      <c r="M96" s="66" t="n">
        <v>3.85</v>
      </c>
      <c r="N96" s="63" t="inlineStr">
        <is>
          <t>Y</t>
        </is>
      </c>
      <c r="O96" s="67" t="n">
        <v>100</v>
      </c>
      <c r="P96" s="67" t="n"/>
      <c r="Q96" s="68" t="n">
        <v>131349</v>
      </c>
      <c r="R96" s="63" t="inlineStr">
        <is>
          <t>aastocks:上市市值 at the struck price</t>
        </is>
      </c>
      <c r="S96" s="69" t="n">
        <v>5.18</v>
      </c>
      <c r="T96" s="70" t="n">
        <v>1.5</v>
      </c>
      <c r="U96" s="71" t="n">
        <v>68.89</v>
      </c>
      <c r="V96" s="68" t="n">
        <v>1796.6</v>
      </c>
      <c r="W96" s="68" t="n">
        <v>466650000</v>
      </c>
      <c r="X96" s="67" t="n">
        <v>1.37</v>
      </c>
      <c r="Y96" s="63" t="inlineStr">
        <is>
          <t>C-MER Eye Care Holdings Limited; Guosheng Overseas Holdings (Hong Kong) Limited; Guotai Junan Investments (Hong Kong) Limited; HKSTP Venture Fund; SAIC Motor HK Investment Limited; Shanghai Xuhui Capital Investment Co., Ltd; Taizhou Culture &amp; Tourism Development Group Ltd; The China State-owned Enterprise Mixed Ownership Reform Fund Co., Ltd</t>
        </is>
      </c>
      <c r="Z96" s="63" t="inlineStr">
        <is>
          <t>mer;guosheng;guotai;hkstp;saic;shanghai-xuhui;taizhou;state-owned</t>
        </is>
      </c>
      <c r="AA96" s="67" t="n"/>
      <c r="AB96" s="72" t="n"/>
      <c r="AC96" s="66" t="n"/>
      <c r="AD96" s="72" t="n"/>
      <c r="AE96" s="63" t="n"/>
      <c r="AF96" s="63" t="n"/>
      <c r="AG96" s="63" t="n"/>
      <c r="AH96" s="63" t="inlineStr">
        <is>
          <t>2022-01-22</t>
        </is>
      </c>
      <c r="AI96" s="63" t="inlineStr">
        <is>
          <t>China International Capital Corporation Hong Kong Securities Limited</t>
        </is>
      </c>
      <c r="AJ96" s="63" t="inlineStr">
        <is>
          <t>China International</t>
        </is>
      </c>
      <c r="AK96" s="73" t="n">
        <v>7.27</v>
      </c>
      <c r="AL96" s="72" t="n">
        <v>1.56</v>
      </c>
      <c r="AM96" s="72" t="n">
        <v>5.62</v>
      </c>
      <c r="AN96" s="72" t="n">
        <v>106.49</v>
      </c>
      <c r="AO96" s="72" t="n">
        <v>64.16</v>
      </c>
      <c r="AP96" s="72" t="n">
        <v>58.96</v>
      </c>
      <c r="AQ96" s="72" t="n">
        <v>92.5</v>
      </c>
      <c r="AR96" s="72" t="n">
        <v>53.03</v>
      </c>
      <c r="AS96" s="72" t="n">
        <v>48.19</v>
      </c>
      <c r="AT96" s="72" t="n">
        <v>107.69</v>
      </c>
      <c r="AU96" s="72" t="n">
        <v>67.31</v>
      </c>
      <c r="AV96" s="72" t="n">
        <v>75.63</v>
      </c>
      <c r="AW96" s="72" t="n">
        <v>56.45</v>
      </c>
      <c r="AX96" s="72" t="n">
        <v>-3.15</v>
      </c>
      <c r="AY96" s="72" t="n">
        <v>-3.42</v>
      </c>
      <c r="AZ96" s="63" t="inlineStr">
        <is>
          <t>HSTECH (Hang Seng TECH ETF)</t>
        </is>
      </c>
      <c r="BA96" s="72" t="n">
        <v>-61.56</v>
      </c>
      <c r="BB96" s="64" t="inlineStr">
        <is>
          <t>2026-08-28</t>
        </is>
      </c>
      <c r="BC96" s="65" t="n">
        <v>5170.3</v>
      </c>
      <c r="BD96" s="68" t="n">
        <v>-18854.1</v>
      </c>
      <c r="BE96" s="63" t="inlineStr">
        <is>
          <t>N</t>
        </is>
      </c>
      <c r="BF96" s="63" t="inlineStr">
        <is>
          <t>n/m</t>
        </is>
      </c>
      <c r="BG96" s="74" t="n"/>
      <c r="BH96" s="74" t="n"/>
      <c r="BI96" s="74" t="n">
        <v>25.4</v>
      </c>
      <c r="BJ96" s="75">
        <f>IF('BBG Verify'!S96="","not filed — run on terminal",'BBG Verify'!S96)</f>
        <v/>
      </c>
      <c r="BK96" s="76" t="inlineStr">
        <is>
          <t>N</t>
        </is>
      </c>
      <c r="BL96" s="77">
        <f>IF('BBG Verify'!K96="","not filed — run on terminal",'BBG Verify'!K96)</f>
        <v/>
      </c>
      <c r="BM96" s="63" t="inlineStr">
        <is>
          <t>N/A</t>
        </is>
      </c>
      <c r="BN96" s="63" t="inlineStr">
        <is>
          <t>N/A</t>
        </is>
      </c>
      <c r="BO96" s="63" t="inlineStr">
        <is>
          <t>N/A</t>
        </is>
      </c>
      <c r="BP96" s="63" t="inlineStr">
        <is>
          <t>N/A</t>
        </is>
      </c>
      <c r="BQ96" s="63" t="inlineStr">
        <is>
          <t>N/A</t>
        </is>
      </c>
      <c r="BR96" s="63" t="inlineStr">
        <is>
          <t>N/A</t>
        </is>
      </c>
      <c r="BS96" s="76" t="inlineStr">
        <is>
          <t>CICC; Haitong International; HSBC</t>
        </is>
      </c>
      <c r="BT96" s="63" t="inlineStr">
        <is>
          <t>China International Capital Corporation Hong Kong Securities Limited; Haitong International Capital Limited; The Hongkong and Shanghai Banking Corporation Limited; HSBC Corporate Finance (Hong Kong) Limited</t>
        </is>
      </c>
      <c r="BU96" s="63" t="inlineStr">
        <is>
          <t>ABCI Securities Company Limited; BOCI Asia Limited; CCB International Capital Limited; China International Capital Corporation Hong Kong Securities Limited; CMB International Capital Limited; China Merchants Securities (HK) Company Limited</t>
        </is>
      </c>
      <c r="BV96" s="63" t="inlineStr">
        <is>
          <t>ABCI Securities Company Limited; BOCI Asia Limited; CCB International Capital Limited; China International Capital Corporation Hong Kong Securities Limited; CMB International Capital Limited; China Merchants Securities (HK) Company Limited; DBS Asia Capital Limited; Futu Securities International (Hong Kong) Limited; Haitong International Securities Company Limited; The Hongkong and Shanghai Banking Corporation Limited; ICBC International Securities Limited; Lu International (Hong Kong) Limited</t>
        </is>
      </c>
      <c r="BW96" s="63" t="n"/>
      <c r="BX96" s="78">
        <f>HYPERLINK("https://www1.hkexnews.hk/listedco/listconews/sehk/2021/1229/2021122900058.htm","allotment")</f>
        <v/>
      </c>
      <c r="BY96" s="63" t="n"/>
      <c r="BZ96" s="76" t="n"/>
      <c r="CA96" s="63" t="inlineStr">
        <is>
          <t>P/E: n/m — loss-making at IPO (use P/S) · greenshoe: no over-allotment option in the offer structure · price range: fixed-price offering (no indicative range) · range low: cap-only pricing — the filing publishes a Maximum Offer Price and no indicative floor · A/H: no A line; closest listed proxy {'code': '688327.SS', 'name': 'CloudWalk Technology', 'rationale': "Pure A-share computer-vision AI platform ('AI four dragons' peer) — the direct A analogue."} · greenshoe size: no over-allotment option in the offer structure · filing links: no prospectus document returned by the HKEX per-stock search for this code — the allotment announcement is linked beside it · grey market: no grey-market headline on file for this deal — AAStocks publishes one per listing but keeps only recent items on the stock's news page, and no public archive of past evening sessions exists; captured from this run onward</t>
        </is>
      </c>
    </row>
    <row r="97" ht="15" customHeight="1">
      <c r="A97" s="62" t="inlineStr">
        <is>
          <t>2260</t>
        </is>
      </c>
      <c r="B97" s="63" t="inlineStr">
        <is>
          <t>VANOV HOLDINGS</t>
        </is>
      </c>
      <c r="C97" s="63" t="inlineStr">
        <is>
          <t>環龍控股</t>
        </is>
      </c>
      <c r="D97" s="63" t="inlineStr">
        <is>
          <t>Industrials</t>
        </is>
      </c>
      <c r="E97" s="63" t="inlineStr">
        <is>
          <t>Capital goods / machinery</t>
        </is>
      </c>
      <c r="F97" s="63" t="inlineStr">
        <is>
          <t>Paper Products</t>
        </is>
      </c>
      <c r="G97" s="63" t="inlineStr">
        <is>
          <t>Standard</t>
        </is>
      </c>
      <c r="H97" s="64" t="n">
        <v>44572</v>
      </c>
      <c r="I97" s="65" t="n">
        <v>139.3</v>
      </c>
      <c r="J97" s="63" t="inlineStr">
        <is>
          <t>gross (price x shares)</t>
        </is>
      </c>
      <c r="K97" s="66" t="n"/>
      <c r="L97" s="66" t="n">
        <v>1.22</v>
      </c>
      <c r="M97" s="66" t="n">
        <v>1.22</v>
      </c>
      <c r="N97" s="63" t="inlineStr">
        <is>
          <t>Y</t>
        </is>
      </c>
      <c r="O97" s="67" t="n">
        <v>100</v>
      </c>
      <c r="P97" s="67" t="n"/>
      <c r="Q97" s="68" t="n">
        <v>643</v>
      </c>
      <c r="R97" s="63" t="inlineStr">
        <is>
          <t>aastocks:上市市值 at the struck price</t>
        </is>
      </c>
      <c r="S97" s="69" t="n">
        <v>13.66</v>
      </c>
      <c r="T97" s="70" t="n">
        <v>13.66</v>
      </c>
      <c r="U97" s="71" t="n">
        <v>15.9</v>
      </c>
      <c r="V97" s="68" t="n">
        <v>117.15</v>
      </c>
      <c r="W97" s="68" t="n">
        <v>96042200</v>
      </c>
      <c r="X97" s="67" t="n">
        <v>18.22</v>
      </c>
      <c r="Y97" s="63" t="inlineStr">
        <is>
          <t>Chen Xiong; Gong Chaohui</t>
        </is>
      </c>
      <c r="Z97" s="63" t="inlineStr">
        <is>
          <t>chen-xiong;gong</t>
        </is>
      </c>
      <c r="AA97" s="67" t="n"/>
      <c r="AB97" s="72" t="n"/>
      <c r="AC97" s="66" t="n"/>
      <c r="AD97" s="72" t="n"/>
      <c r="AE97" s="63" t="n"/>
      <c r="AF97" s="63" t="n"/>
      <c r="AG97" s="63" t="inlineStr">
        <is>
          <t>partial</t>
        </is>
      </c>
      <c r="AH97" s="63" t="n"/>
      <c r="AI97" s="63" t="inlineStr">
        <is>
          <t>CMBC Securities Company Limited</t>
        </is>
      </c>
      <c r="AJ97" s="63" t="inlineStr">
        <is>
          <t>CMBC</t>
        </is>
      </c>
      <c r="AK97" s="73" t="n">
        <v>0.82</v>
      </c>
      <c r="AL97" s="72" t="n">
        <v>4.1</v>
      </c>
      <c r="AM97" s="72" t="n">
        <v>-3.15</v>
      </c>
      <c r="AN97" s="72" t="n">
        <v>0.82</v>
      </c>
      <c r="AO97" s="72" t="n">
        <v>0</v>
      </c>
      <c r="AP97" s="72" t="n">
        <v>0</v>
      </c>
      <c r="AQ97" s="72" t="n">
        <v>0</v>
      </c>
      <c r="AR97" s="72" t="n">
        <v>-0.8100000000000001</v>
      </c>
      <c r="AS97" s="72" t="n">
        <v>-0.8100000000000001</v>
      </c>
      <c r="AT97" s="72" t="n">
        <v>-1.01</v>
      </c>
      <c r="AU97" s="72" t="n">
        <v>-0.55</v>
      </c>
      <c r="AV97" s="72" t="n">
        <v>15.79</v>
      </c>
      <c r="AW97" s="72" t="n">
        <v>-1.34</v>
      </c>
      <c r="AX97" s="72" t="n">
        <v>0.55</v>
      </c>
      <c r="AY97" s="72" t="n">
        <v>0.53</v>
      </c>
      <c r="AZ97" s="63" t="inlineStr">
        <is>
          <t>Hang Seng Commerce &amp; Industry sub-index</t>
        </is>
      </c>
      <c r="BA97" s="72" t="n">
        <v>1.64</v>
      </c>
      <c r="BB97" s="64" t="inlineStr">
        <is>
          <t>2026-08-28</t>
        </is>
      </c>
      <c r="BC97" s="65" t="n">
        <v>201</v>
      </c>
      <c r="BD97" s="68" t="n">
        <v>45.1</v>
      </c>
      <c r="BE97" s="63" t="inlineStr">
        <is>
          <t>Y</t>
        </is>
      </c>
      <c r="BF97" s="74" t="n">
        <v>14.3</v>
      </c>
      <c r="BG97" s="74" t="n">
        <v>7.4</v>
      </c>
      <c r="BH97" s="74" t="n">
        <v>14.8</v>
      </c>
      <c r="BI97" s="74" t="n">
        <v>3.2</v>
      </c>
      <c r="BJ97" s="75">
        <f>IF('BBG Verify'!S97="","not filed — run on terminal",'BBG Verify'!S97)</f>
        <v/>
      </c>
      <c r="BK97" s="76" t="inlineStr">
        <is>
          <t>N</t>
        </is>
      </c>
      <c r="BL97" s="77">
        <f>IF('BBG Verify'!K97="","not filed — run on terminal",'BBG Verify'!K97)</f>
        <v/>
      </c>
      <c r="BM97" s="63" t="inlineStr">
        <is>
          <t>N/A</t>
        </is>
      </c>
      <c r="BN97" s="63" t="inlineStr">
        <is>
          <t>N/A</t>
        </is>
      </c>
      <c r="BO97" s="63" t="inlineStr">
        <is>
          <t>N/A</t>
        </is>
      </c>
      <c r="BP97" s="63" t="inlineStr">
        <is>
          <t>N/A</t>
        </is>
      </c>
      <c r="BQ97" s="63" t="inlineStr">
        <is>
          <t>N/A</t>
        </is>
      </c>
      <c r="BR97" s="63" t="inlineStr">
        <is>
          <t>N/A</t>
        </is>
      </c>
      <c r="BS97" s="76" t="n"/>
      <c r="BT97" s="63" t="inlineStr">
        <is>
          <t>CMBC International Capital Limited</t>
        </is>
      </c>
      <c r="BU97" s="63" t="inlineStr">
        <is>
          <t>ABCI Securities Company Limited; CCB International Capital Limited; CEB International Capital Corporation Limited; China Everbright Securities (HK) Limited; China Tonghai Securities Limited; China Industrial Securities International Capital Limited</t>
        </is>
      </c>
      <c r="BV97" s="63" t="inlineStr">
        <is>
          <t>ABCI Securities Company Limited; CCB International Capital Limited; CEB International Capital Corporation Limited; China Everbright Securities (HK) Limited; China Tonghai Securities Limited; China Industrial Securities International Capital Limited; CMBC Securities Company Limited; China Sky Securities Limited; Essence International Securities (Hong Kong) Limited; Eddid Securities and Futures Limited; Forwin Securities Group Limited; Guosen Securities (HK) Capital Company Limited</t>
        </is>
      </c>
      <c r="BW97" s="78">
        <f>HYPERLINK("https://www1.hkexnews.hk/listedco/listconews/sehk/2021/1229/2021122900078.htm","prospectus")</f>
        <v/>
      </c>
      <c r="BX97" s="78">
        <f>HYPERLINK("https://www1.hkexnews.hk/listedco/listconews/sehk/2022/0110/2022011000034.htm","allotment")</f>
        <v/>
      </c>
      <c r="BY97" s="78">
        <f>HYPERLINK("https://www1.hkexnews.hk/listedco/listconews/sehk/2022/0204/2022020400047.pdf","stabilisation")</f>
        <v/>
      </c>
      <c r="BZ97" s="76" t="n"/>
      <c r="CA97" s="63" t="inlineStr">
        <is>
          <t>greenshoe: over-allotment outcome already published, and the allotment announcement does not state the stabilisation expiry in a parsable form — the expiry no longer matters once resolved · price range: fixed-price offering (no indicative range) · range low: cap-only pricing — the filing publishes a Maximum Offer Price and no indicative floor · A/H: no A-share listing · sponsor: English name not in the filing text; AAStocks 保薦人 shown · greenshoe size: no over-allotment option in the offer structure · grey market: no grey-market headline on file for this deal — AAStocks publishes one per listing but keeps only recent items on the stock's news page, and no public archive of past evening sessions exists; captured from this run onward</t>
        </is>
      </c>
    </row>
    <row r="98" ht="15" customHeight="1">
      <c r="A98" s="62" t="inlineStr">
        <is>
          <t>6680</t>
        </is>
      </c>
      <c r="B98" s="63" t="inlineStr">
        <is>
          <t>JLMAG</t>
        </is>
      </c>
      <c r="C98" s="63" t="inlineStr">
        <is>
          <t>金力永磁</t>
        </is>
      </c>
      <c r="D98" s="63" t="inlineStr">
        <is>
          <t>Industrials</t>
        </is>
      </c>
      <c r="E98" s="63" t="inlineStr">
        <is>
          <t>Capital goods / machinery</t>
        </is>
      </c>
      <c r="F98" s="63" t="inlineStr">
        <is>
          <t>Diversified Metals &amp; Minerals</t>
        </is>
      </c>
      <c r="G98" s="63" t="inlineStr">
        <is>
          <t>Standard</t>
        </is>
      </c>
      <c r="H98" s="64" t="n">
        <v>44575</v>
      </c>
      <c r="I98" s="65" t="n">
        <v>4240.8</v>
      </c>
      <c r="J98" s="63" t="inlineStr">
        <is>
          <t>gross (price x shares)</t>
        </is>
      </c>
      <c r="K98" s="66" t="n">
        <v>33.8</v>
      </c>
      <c r="L98" s="66" t="n">
        <v>40.3</v>
      </c>
      <c r="M98" s="66" t="n">
        <v>33.8</v>
      </c>
      <c r="N98" s="63" t="inlineStr">
        <is>
          <t>N</t>
        </is>
      </c>
      <c r="O98" s="67" t="n">
        <v>83.90000000000001</v>
      </c>
      <c r="P98" s="67" t="n">
        <v>0</v>
      </c>
      <c r="Q98" s="68" t="n">
        <v>32831.6</v>
      </c>
      <c r="R98" s="63" t="inlineStr">
        <is>
          <t>aastocks:上市市值 at the struck price</t>
        </is>
      </c>
      <c r="S98" s="69" t="n">
        <v>15</v>
      </c>
      <c r="T98" s="70" t="n">
        <v>1.57</v>
      </c>
      <c r="U98" s="71" t="n">
        <v>50.56</v>
      </c>
      <c r="V98" s="68" t="n">
        <v>2096.65</v>
      </c>
      <c r="W98" s="68" t="n">
        <v>62030390</v>
      </c>
      <c r="X98" s="67" t="n">
        <v>6.39</v>
      </c>
      <c r="Y98" s="63" t="inlineStr">
        <is>
          <t>CITIC-Prudential Life Insurance Company Limited; CR Alpha Investment II Limited; SINO-BLR Industrial Investment Fund, L.P; The China State-owned Enterprise Mixed Ownership Reform Fund Co., Ltd</t>
        </is>
      </c>
      <c r="Z98" s="63" t="inlineStr">
        <is>
          <t>citic;cr;sino-blr;state-owned</t>
        </is>
      </c>
      <c r="AA98" s="67" t="n">
        <v>15</v>
      </c>
      <c r="AB98" s="72" t="n"/>
      <c r="AC98" s="66" t="n"/>
      <c r="AD98" s="72" t="n"/>
      <c r="AE98" s="63" t="n"/>
      <c r="AF98" s="63" t="n"/>
      <c r="AG98" s="63" t="inlineStr">
        <is>
          <t>lapsed</t>
        </is>
      </c>
      <c r="AH98" s="63" t="inlineStr">
        <is>
          <t>2022-02-06</t>
        </is>
      </c>
      <c r="AI98" s="63" t="n"/>
      <c r="AJ98" s="63" t="n"/>
      <c r="AK98" s="73" t="n">
        <v>-16.57</v>
      </c>
      <c r="AL98" s="72" t="n">
        <v>-8.880000000000001</v>
      </c>
      <c r="AM98" s="72" t="n">
        <v>-8.44</v>
      </c>
      <c r="AN98" s="72" t="n">
        <v>-19.23</v>
      </c>
      <c r="AO98" s="72" t="n">
        <v>-11.54</v>
      </c>
      <c r="AP98" s="72" t="n">
        <v>-35.06</v>
      </c>
      <c r="AQ98" s="72" t="n">
        <v>-3.19</v>
      </c>
      <c r="AR98" s="72" t="n">
        <v>6.03</v>
      </c>
      <c r="AS98" s="72" t="n">
        <v>-22.16</v>
      </c>
      <c r="AT98" s="72" t="n">
        <v>-20.73</v>
      </c>
      <c r="AU98" s="72" t="n">
        <v>-10.29</v>
      </c>
      <c r="AV98" s="72" t="n">
        <v>-11.36</v>
      </c>
      <c r="AW98" s="72" t="n">
        <v>6.56</v>
      </c>
      <c r="AX98" s="72" t="n">
        <v>-1.25</v>
      </c>
      <c r="AY98" s="72" t="n">
        <v>-0.53</v>
      </c>
      <c r="AZ98" s="63" t="inlineStr">
        <is>
          <t>Hang Seng Commerce &amp; Industry sub-index</t>
        </is>
      </c>
      <c r="BA98" s="72" t="n">
        <v>-19.53</v>
      </c>
      <c r="BB98" s="64" t="inlineStr">
        <is>
          <t>2026-08-31</t>
        </is>
      </c>
      <c r="BC98" s="65" t="n">
        <v>2517.5</v>
      </c>
      <c r="BD98" s="68" t="n">
        <v>-0.7</v>
      </c>
      <c r="BE98" s="63" t="inlineStr">
        <is>
          <t>N</t>
        </is>
      </c>
      <c r="BF98" s="63" t="inlineStr">
        <is>
          <t>n/m</t>
        </is>
      </c>
      <c r="BG98" s="74" t="n">
        <v>30.9</v>
      </c>
      <c r="BH98" s="74" t="n">
        <v>27.9</v>
      </c>
      <c r="BI98" s="74" t="n">
        <v>13</v>
      </c>
      <c r="BJ98" s="75">
        <f>IF('BBG Verify'!S98="","not filed — run on terminal",'BBG Verify'!S98)</f>
        <v/>
      </c>
      <c r="BK98" s="76" t="inlineStr">
        <is>
          <t>Y</t>
        </is>
      </c>
      <c r="BL98" s="63" t="inlineStr">
        <is>
          <t>300748.SZ</t>
        </is>
      </c>
      <c r="BM98" s="72" t="n">
        <v>38.51</v>
      </c>
      <c r="BN98" s="66" t="n">
        <v>46.8177</v>
      </c>
      <c r="BO98" s="80" t="n">
        <v>0.8498</v>
      </c>
      <c r="BP98" s="68" t="n">
        <v>43513.7</v>
      </c>
      <c r="BQ98" s="75">
        <f>IF('BBG Verify'!Q98="","run on terminal",'BBG Verify'!Q98)</f>
        <v/>
      </c>
      <c r="BR98" s="75">
        <f>IF('BBG Verify'!R98="","run on terminal",'BBG Verify'!R98)</f>
        <v/>
      </c>
      <c r="BS98" s="76" t="inlineStr">
        <is>
          <t>CLSA Capital Markets Limited; BNP Paribas Securities (Asia) Limited</t>
        </is>
      </c>
      <c r="BT98" s="63" t="inlineStr">
        <is>
          <t>BNP Paribas Securities (Asia) Limited; CLSA Capital Markets Limited</t>
        </is>
      </c>
      <c r="BU98" s="63" t="inlineStr">
        <is>
          <t>CLSA Limited; BNP Paribas Securities (Asia) Limited; DBS Asia Capital Limited</t>
        </is>
      </c>
      <c r="BV98" s="63" t="inlineStr">
        <is>
          <t>BNP Paribas Securities (Asia) Limited; CLSA Limited; DBS Asia Capital Limited; Futu Securities International (Hong Kong) Limited; Livermore Holdings Limited</t>
        </is>
      </c>
      <c r="BW98" s="78">
        <f>HYPERLINK("https://www1.hkexnews.hk/listedco/listconews/sehk/2021/1231/2021123100023.pdf","prospectus")</f>
        <v/>
      </c>
      <c r="BX98" s="78">
        <f>HYPERLINK("https://www1.hkexnews.hk/listedco/listconews/sehk/2022/0113/2022011300010.htm","allotment")</f>
        <v/>
      </c>
      <c r="BY98" s="78">
        <f>HYPERLINK("https://www1.hkexnews.hk/listedco/listconews/sehk/2022/0206/2022020600019.pdf","stabilisation")</f>
        <v/>
      </c>
      <c r="BZ98" s="76" t="n"/>
      <c r="CA98" s="63" t="inlineStr">
        <is>
          <t>P/E: n/m — loss-making at IPO (use P/S) · A/H: H listed Jan 2022 (NdFeB magnets) · market cap: prospectus 'market capitalisation' line rejected — it is the listing-rule threshold, not the issuer's figure ("Hang Seng Composite SmallCap Index (“ HSSI ”) which have a market capitalization of not less than HK$5 billion") · stabilising manager: neither the allotment announcement's cover sentence nor the prospectus definitions glossary names one in a form the parser reads — not inferred from the sponsor · grey market: no grey-market headline on file for this deal — AAStocks publishes one per listing but keeps only recent items on the stock's news page, and no public archive of past evening sessions exists; captured from this run onward</t>
        </is>
      </c>
    </row>
    <row r="99" ht="15" customHeight="1">
      <c r="A99" s="62" t="inlineStr">
        <is>
          <t>2250</t>
        </is>
      </c>
      <c r="B99" s="63" t="inlineStr">
        <is>
          <t>SEMK HOLDINGS</t>
        </is>
      </c>
      <c r="C99" s="63" t="inlineStr">
        <is>
          <t>小黃鴨德盈</t>
        </is>
      </c>
      <c r="D99" s="63" t="inlineStr">
        <is>
          <t>TMT-other</t>
        </is>
      </c>
      <c r="E99" s="63" t="inlineStr">
        <is>
          <t>Media / advertising</t>
        </is>
      </c>
      <c r="F99" s="63" t="inlineStr">
        <is>
          <t>e-Commerce &amp; Internet Services</t>
        </is>
      </c>
      <c r="G99" s="63" t="inlineStr">
        <is>
          <t>Standard</t>
        </is>
      </c>
      <c r="H99" s="64" t="n">
        <v>44578</v>
      </c>
      <c r="I99" s="65" t="n">
        <v>246</v>
      </c>
      <c r="J99" s="63" t="inlineStr">
        <is>
          <t>gross (price x shares)</t>
        </is>
      </c>
      <c r="K99" s="66" t="n">
        <v>2.05</v>
      </c>
      <c r="L99" s="66" t="n">
        <v>3.45</v>
      </c>
      <c r="M99" s="66" t="n">
        <v>2.05</v>
      </c>
      <c r="N99" s="63" t="inlineStr">
        <is>
          <t>N</t>
        </is>
      </c>
      <c r="O99" s="67" t="n">
        <v>59.4</v>
      </c>
      <c r="P99" s="67" t="n">
        <v>0</v>
      </c>
      <c r="Q99" s="68" t="n">
        <v>2881.9</v>
      </c>
      <c r="R99" s="63" t="inlineStr">
        <is>
          <t>aastocks:上市市值 at the struck price</t>
        </is>
      </c>
      <c r="S99" s="69" t="n">
        <v>7.31</v>
      </c>
      <c r="T99" s="70" t="n">
        <v>1.24</v>
      </c>
      <c r="U99" s="71" t="n">
        <v>0</v>
      </c>
      <c r="V99" s="68" t="n">
        <v>246</v>
      </c>
      <c r="W99" s="68" t="n">
        <v>120000000</v>
      </c>
      <c r="X99" s="67" t="n">
        <v>8.539999999999999</v>
      </c>
      <c r="Y99" s="63" t="n"/>
      <c r="Z99" s="63" t="n"/>
      <c r="AA99" s="67" t="n">
        <v>10</v>
      </c>
      <c r="AB99" s="72" t="n"/>
      <c r="AC99" s="66" t="n"/>
      <c r="AD99" s="72" t="n"/>
      <c r="AE99" s="63" t="n"/>
      <c r="AF99" s="63" t="n"/>
      <c r="AG99" s="63" t="inlineStr">
        <is>
          <t>lapsed (no over-allocation)</t>
        </is>
      </c>
      <c r="AH99" s="63" t="inlineStr">
        <is>
          <t>2022-02-06</t>
        </is>
      </c>
      <c r="AI99" s="63" t="inlineStr">
        <is>
          <t>China Everbright Securities</t>
        </is>
      </c>
      <c r="AJ99" s="63" t="inlineStr">
        <is>
          <t>China Everbright</t>
        </is>
      </c>
      <c r="AK99" s="73" t="n">
        <v>16.59</v>
      </c>
      <c r="AL99" s="72" t="n">
        <v>26.83</v>
      </c>
      <c r="AM99" s="72" t="n">
        <v>-8.07</v>
      </c>
      <c r="AN99" s="72" t="n">
        <v>2.44</v>
      </c>
      <c r="AO99" s="72" t="n">
        <v>2.44</v>
      </c>
      <c r="AP99" s="72" t="n">
        <v>-13.17</v>
      </c>
      <c r="AQ99" s="72" t="n">
        <v>-12.14</v>
      </c>
      <c r="AR99" s="72" t="n">
        <v>-12.14</v>
      </c>
      <c r="AS99" s="72" t="n">
        <v>-25.53</v>
      </c>
      <c r="AT99" s="72" t="n">
        <v>1.32</v>
      </c>
      <c r="AU99" s="72" t="n">
        <v>2.67</v>
      </c>
      <c r="AV99" s="72" t="n">
        <v>2.19</v>
      </c>
      <c r="AW99" s="72" t="n">
        <v>-12.59</v>
      </c>
      <c r="AX99" s="72" t="n">
        <v>-0.23</v>
      </c>
      <c r="AY99" s="72" t="n">
        <v>0.45</v>
      </c>
      <c r="AZ99" s="63" t="inlineStr">
        <is>
          <t>Hang Seng Index</t>
        </is>
      </c>
      <c r="BA99" s="72" t="n">
        <v>-83.17</v>
      </c>
      <c r="BB99" s="64" t="inlineStr">
        <is>
          <t>2026-08-28</t>
        </is>
      </c>
      <c r="BC99" s="65" t="n">
        <v>233.5</v>
      </c>
      <c r="BD99" s="68" t="n">
        <v>54.5</v>
      </c>
      <c r="BE99" s="63" t="inlineStr">
        <is>
          <t>Y</t>
        </is>
      </c>
      <c r="BF99" s="74" t="n">
        <v>52.9</v>
      </c>
      <c r="BG99" s="74" t="n"/>
      <c r="BH99" s="74" t="n"/>
      <c r="BI99" s="74" t="n">
        <v>12.3</v>
      </c>
      <c r="BJ99" s="75">
        <f>IF('BBG Verify'!S99="","not filed — run on terminal",'BBG Verify'!S99)</f>
        <v/>
      </c>
      <c r="BK99" s="76" t="inlineStr">
        <is>
          <t>N</t>
        </is>
      </c>
      <c r="BL99" s="77">
        <f>IF('BBG Verify'!K99="","not filed — run on terminal",'BBG Verify'!K99)</f>
        <v/>
      </c>
      <c r="BM99" s="63" t="inlineStr">
        <is>
          <t>N/A</t>
        </is>
      </c>
      <c r="BN99" s="63" t="inlineStr">
        <is>
          <t>N/A</t>
        </is>
      </c>
      <c r="BO99" s="63" t="inlineStr">
        <is>
          <t>N/A</t>
        </is>
      </c>
      <c r="BP99" s="63" t="inlineStr">
        <is>
          <t>N/A</t>
        </is>
      </c>
      <c r="BQ99" s="63" t="inlineStr">
        <is>
          <t>N/A</t>
        </is>
      </c>
      <c r="BR99" s="63" t="inlineStr">
        <is>
          <t>N/A</t>
        </is>
      </c>
      <c r="BS99" s="76" t="inlineStr">
        <is>
          <t>China Everbright Capital Limited; China Everbright Securities (HK) Limited</t>
        </is>
      </c>
      <c r="BT99" s="63" t="inlineStr">
        <is>
          <t>China Everbright Capital Limited</t>
        </is>
      </c>
      <c r="BU99" s="63" t="inlineStr">
        <is>
          <t>China Everbright Securities (HK) Limited; UOB Kay Hian (Hong Kong) Limited; BOCOM International Securities Limited; CMBC Securities Company Limited; Fosun Hani Securities Limited; Grand China Securities Limited; Zhongtai International Securities Limited</t>
        </is>
      </c>
      <c r="BV99" s="63" t="inlineStr">
        <is>
          <t>Beta International Securities Limited; China Everbright Securities (HK) Limited; CMBC Securities Company Limited; First Shanghai Securities Limited; Fosun Hani Securities Limited; Guotai Junan Securities (Hong Kong) Limited; Grand China Securities Limited; Innovax Securities Limited; Livermore Holdings Limited; Maxa Capital Limited; UOB Kay Hian (Hong Kong) Limited</t>
        </is>
      </c>
      <c r="BW99" s="78">
        <f>HYPERLINK("https://www1.hkexnews.hk/listedco/listconews/sehk/2021/1230/2021123000005.pdf","prospectus")</f>
        <v/>
      </c>
      <c r="BX99" s="78">
        <f>HYPERLINK("https://www1.hkexnews.hk/listedco/listconews/sehk/2022/0114/2022011400002.htm","allotment")</f>
        <v/>
      </c>
      <c r="BY99" s="78">
        <f>HYPERLINK("https://www1.hkexnews.hk/listedco/listconews/sehk/2022/0206/2022020600003.pdf","stabilisation")</f>
        <v/>
      </c>
      <c r="BZ99" s="76" t="n"/>
      <c r="CA99" s="63" t="inlineStr">
        <is>
          <t>A/H: no A-share listing · market cap: estimate from deal size / offer % of enlarged capital disagreed with the published listing cap — published figure adopted · cornerstone list: no cornerstone tranche in this deal · grey market: no grey-market headline on file for this deal — AAStocks publishes one per listing but keeps only recent items on the stock's news page, and no public archive of past evening sessions exists; captured from this run onward</t>
        </is>
      </c>
    </row>
    <row r="100" ht="15" customHeight="1">
      <c r="A100" s="62" t="inlineStr">
        <is>
          <t>2121</t>
        </is>
      </c>
      <c r="B100" s="63" t="inlineStr">
        <is>
          <t>AINNOVATION</t>
        </is>
      </c>
      <c r="C100" s="63" t="inlineStr">
        <is>
          <t>創新奇智</t>
        </is>
      </c>
      <c r="D100" s="63" t="inlineStr">
        <is>
          <t>Tech/AI</t>
        </is>
      </c>
      <c r="E100" s="63" t="inlineStr">
        <is>
          <t>AI application / agent software</t>
        </is>
      </c>
      <c r="F100" s="63" t="inlineStr">
        <is>
          <t>Application Software</t>
        </is>
      </c>
      <c r="G100" s="63" t="inlineStr">
        <is>
          <t>Standard</t>
        </is>
      </c>
      <c r="H100" s="64" t="n">
        <v>44588</v>
      </c>
      <c r="I100" s="65" t="n">
        <v>1176.8</v>
      </c>
      <c r="J100" s="63" t="inlineStr">
        <is>
          <t>gross (price x shares)</t>
        </is>
      </c>
      <c r="K100" s="66" t="n"/>
      <c r="L100" s="66" t="n">
        <v>26.3</v>
      </c>
      <c r="M100" s="66" t="n">
        <v>26.3</v>
      </c>
      <c r="N100" s="63" t="inlineStr">
        <is>
          <t>Y</t>
        </is>
      </c>
      <c r="O100" s="67" t="n">
        <v>100</v>
      </c>
      <c r="P100" s="67" t="n"/>
      <c r="Q100" s="68" t="n">
        <v>14989.4</v>
      </c>
      <c r="R100" s="63" t="inlineStr">
        <is>
          <t>aastocks:上市市值 at the struck price</t>
        </is>
      </c>
      <c r="S100" s="69" t="n">
        <v>13.89</v>
      </c>
      <c r="T100" s="70" t="n">
        <v>2.62</v>
      </c>
      <c r="U100" s="71" t="n">
        <v>17.3</v>
      </c>
      <c r="V100" s="68" t="n">
        <v>973.21</v>
      </c>
      <c r="W100" s="68" t="n">
        <v>37003619</v>
      </c>
      <c r="X100" s="67" t="n">
        <v>6.49</v>
      </c>
      <c r="Y100" s="63" t="inlineStr">
        <is>
          <t>Laurion Capital Master Fund Ltd; SVF II Zeal</t>
        </is>
      </c>
      <c r="Z100" s="63" t="inlineStr">
        <is>
          <t>laurion;svf</t>
        </is>
      </c>
      <c r="AA100" s="67" t="n"/>
      <c r="AB100" s="72" t="n"/>
      <c r="AC100" s="66" t="n"/>
      <c r="AD100" s="72" t="n"/>
      <c r="AE100" s="63" t="n"/>
      <c r="AF100" s="63" t="n"/>
      <c r="AG100" s="63" t="n"/>
      <c r="AH100" s="63" t="inlineStr">
        <is>
          <t>2022-02-19</t>
        </is>
      </c>
      <c r="AI100" s="63" t="inlineStr">
        <is>
          <t>UBS AG Hong Kong Branch</t>
        </is>
      </c>
      <c r="AJ100" s="63" t="inlineStr">
        <is>
          <t>UBS</t>
        </is>
      </c>
      <c r="AK100" s="73" t="n">
        <v>-25.48</v>
      </c>
      <c r="AL100" s="72" t="n">
        <v>0</v>
      </c>
      <c r="AM100" s="72" t="n">
        <v>-25.48</v>
      </c>
      <c r="AN100" s="72" t="n">
        <v>-34.37</v>
      </c>
      <c r="AO100" s="72" t="n">
        <v>-46.77</v>
      </c>
      <c r="AP100" s="72" t="n">
        <v>-24.11</v>
      </c>
      <c r="AQ100" s="72" t="n">
        <v>-11.93</v>
      </c>
      <c r="AR100" s="72" t="n">
        <v>-28.57</v>
      </c>
      <c r="AS100" s="72" t="n">
        <v>1.84</v>
      </c>
      <c r="AT100" s="72" t="n">
        <v>-31.3</v>
      </c>
      <c r="AU100" s="72" t="n">
        <v>-36.17</v>
      </c>
      <c r="AV100" s="72" t="n">
        <v>-0.93</v>
      </c>
      <c r="AW100" s="72" t="n">
        <v>-21.59</v>
      </c>
      <c r="AX100" s="72" t="n">
        <v>-10.6</v>
      </c>
      <c r="AY100" s="72" t="n">
        <v>-6.98</v>
      </c>
      <c r="AZ100" s="63" t="inlineStr">
        <is>
          <t>HSTECH (Hang Seng TECH ETF)</t>
        </is>
      </c>
      <c r="BA100" s="72" t="n">
        <v>-85.86</v>
      </c>
      <c r="BB100" s="64" t="inlineStr">
        <is>
          <t>2026-08-28</t>
        </is>
      </c>
      <c r="BC100" s="65" t="n">
        <v>947.3</v>
      </c>
      <c r="BD100" s="68" t="n">
        <v>-700.3</v>
      </c>
      <c r="BE100" s="63" t="inlineStr">
        <is>
          <t>N</t>
        </is>
      </c>
      <c r="BF100" s="63" t="inlineStr">
        <is>
          <t>n/m</t>
        </is>
      </c>
      <c r="BG100" s="74" t="n"/>
      <c r="BH100" s="74" t="n"/>
      <c r="BI100" s="74" t="n">
        <v>15.8</v>
      </c>
      <c r="BJ100" s="75">
        <f>IF('BBG Verify'!S100="","not filed — run on terminal",'BBG Verify'!S100)</f>
        <v/>
      </c>
      <c r="BK100" s="76" t="inlineStr">
        <is>
          <t>N</t>
        </is>
      </c>
      <c r="BL100" s="77">
        <f>IF('BBG Verify'!K100="","not filed — run on terminal",'BBG Verify'!K100)</f>
        <v/>
      </c>
      <c r="BM100" s="63" t="inlineStr">
        <is>
          <t>N/A</t>
        </is>
      </c>
      <c r="BN100" s="63" t="inlineStr">
        <is>
          <t>N/A</t>
        </is>
      </c>
      <c r="BO100" s="63" t="inlineStr">
        <is>
          <t>N/A</t>
        </is>
      </c>
      <c r="BP100" s="63" t="inlineStr">
        <is>
          <t>N/A</t>
        </is>
      </c>
      <c r="BQ100" s="63" t="inlineStr">
        <is>
          <t>N/A</t>
        </is>
      </c>
      <c r="BR100" s="63" t="inlineStr">
        <is>
          <t>N/A</t>
        </is>
      </c>
      <c r="BS100" s="76" t="n"/>
      <c r="BT100" s="63" t="inlineStr">
        <is>
          <t>China International Capital Corporation Hong Kong Securities Limited; UBS Securities Hong Kong Limited; China Renaissance Securities (Hong Kong) Limited</t>
        </is>
      </c>
      <c r="BU100" s="63" t="inlineStr">
        <is>
          <t>China International Capital Corporation Hong Kong Securities Limited; China Renaissance Securities (Hong Kong) Limited; Eddid Securities and Futures Limited; Futu Securities International (Hong Kong) Limited; ICBC International Securities Limited; Livermore Holdings Limited</t>
        </is>
      </c>
      <c r="BV100" s="63" t="inlineStr">
        <is>
          <t>China International Capital Corporation Hong Kong Securities Limited; China Renaissance Securities (Hong Kong) Limited; Eddid Securities and Futures Limited; Futu Securities International (Hong Kong) Limited; ICBC International Securities Limited; Livermore Holdings Limited; Lu International (Hong Kong) Limited; Shanxi Securities International Limited; Tiger Brokers (HK) Global Limited; UBS AG Hong Kong Branch</t>
        </is>
      </c>
      <c r="BW100" s="63" t="n"/>
      <c r="BX100" s="78">
        <f>HYPERLINK("https://www1.hkexnews.hk/listedco/listconews/sehk/2022/0126/2022012600012.htm","allotment")</f>
        <v/>
      </c>
      <c r="BY100" s="63" t="n"/>
      <c r="BZ100" s="76" t="n"/>
      <c r="CA100" s="63" t="inlineStr">
        <is>
          <t>P/E: n/m — loss-making at IPO (use P/S) · greenshoe: no over-allotment option in the offer structure · price range: fixed-price offering (no indicative range) · range low: cap-only pricing — the filing publishes a Maximum Offer Price and no indicative floor · A/H: no A-share listing · sponsor: English name not in the filing text; AAStocks 保薦人 shown · cornerstone %: AAStocks institutional-order total / deal size — an upper bound; the table can include non-cornerstone orders · greenshoe size: no over-allotment option in the offer structure · filing links: no prospectus document returned by the HKEX per-stock search for this code — the allotment announcement is linked beside it · grey market: no grey-market headline on file for this deal — AAStocks publishes one per listing but keeps only recent items on the stock's news page, and no public archive of past evening sessions exists; captured from this run onward</t>
        </is>
      </c>
    </row>
    <row r="101" ht="15" customHeight="1">
      <c r="A101" s="62" t="inlineStr">
        <is>
          <t>9878</t>
        </is>
      </c>
      <c r="B101" s="63" t="inlineStr">
        <is>
          <t>HUITONGDA NET</t>
        </is>
      </c>
      <c r="C101" s="63" t="inlineStr">
        <is>
          <t>匯通達網絡</t>
        </is>
      </c>
      <c r="D101" s="63" t="inlineStr">
        <is>
          <t>Tech/AI</t>
        </is>
      </c>
      <c r="E101" s="63" t="inlineStr">
        <is>
          <t>Internet platform / e-commerce</t>
        </is>
      </c>
      <c r="F101" s="63" t="inlineStr">
        <is>
          <t>e-Commerce &amp; Internet Services</t>
        </is>
      </c>
      <c r="G101" s="63" t="inlineStr">
        <is>
          <t>Standard</t>
        </is>
      </c>
      <c r="H101" s="64" t="n">
        <v>44610</v>
      </c>
      <c r="I101" s="65" t="n">
        <v>2219.1</v>
      </c>
      <c r="J101" s="63" t="inlineStr">
        <is>
          <t>gross (price x shares)</t>
        </is>
      </c>
      <c r="K101" s="66" t="n">
        <v>43</v>
      </c>
      <c r="L101" s="66" t="n">
        <v>48</v>
      </c>
      <c r="M101" s="66" t="n">
        <v>43</v>
      </c>
      <c r="N101" s="63" t="inlineStr">
        <is>
          <t>N</t>
        </is>
      </c>
      <c r="O101" s="67" t="n">
        <v>89.59999999999999</v>
      </c>
      <c r="P101" s="67" t="n">
        <v>0</v>
      </c>
      <c r="Q101" s="68" t="n">
        <v>21337.5</v>
      </c>
      <c r="R101" s="63" t="inlineStr">
        <is>
          <t>derived:deal size / offer % of enlarged capital</t>
        </is>
      </c>
      <c r="S101" s="69" t="n">
        <v>1.67</v>
      </c>
      <c r="T101" s="70" t="n">
        <v>2.05</v>
      </c>
      <c r="U101" s="71" t="n">
        <v>23</v>
      </c>
      <c r="V101" s="68" t="n">
        <v>1708.71</v>
      </c>
      <c r="W101" s="68" t="n">
        <v>39736774</v>
      </c>
      <c r="X101" s="67" t="n">
        <v>8.01</v>
      </c>
      <c r="Y101" s="63" t="inlineStr">
        <is>
          <t>Golden Feather Corporation; Greenwoods Asset Management Hong Kong Limited; Heilan Group Co., Limited; SensePower Management Limited; Skyworth Overseas Investment Holdings Limited; Windfall T&amp;L SPC</t>
        </is>
      </c>
      <c r="Z101" s="63" t="inlineStr">
        <is>
          <t>golden-feather;greenwoods;heilan;sensepower;skyworth;windfall</t>
        </is>
      </c>
      <c r="AA101" s="67" t="n">
        <v>10.4</v>
      </c>
      <c r="AB101" s="72" t="n"/>
      <c r="AC101" s="66" t="n"/>
      <c r="AD101" s="72" t="n"/>
      <c r="AE101" s="63" t="n"/>
      <c r="AF101" s="63" t="n"/>
      <c r="AG101" s="63" t="inlineStr">
        <is>
          <t>partial</t>
        </is>
      </c>
      <c r="AH101" s="63" t="inlineStr">
        <is>
          <t>2022-03-12</t>
        </is>
      </c>
      <c r="AI101" s="63" t="inlineStr">
        <is>
          <t>China International Capital Corporation Hong Kong Securities Limited</t>
        </is>
      </c>
      <c r="AJ101" s="63" t="inlineStr">
        <is>
          <t>China International</t>
        </is>
      </c>
      <c r="AK101" s="73" t="n">
        <v>4.88</v>
      </c>
      <c r="AL101" s="72" t="n">
        <v>1.28</v>
      </c>
      <c r="AM101" s="72" t="n">
        <v>3.55</v>
      </c>
      <c r="AN101" s="72" t="n">
        <v>0</v>
      </c>
      <c r="AO101" s="72" t="n">
        <v>-8.49</v>
      </c>
      <c r="AP101" s="72" t="n">
        <v>3.02</v>
      </c>
      <c r="AQ101" s="72" t="n">
        <v>-4.65</v>
      </c>
      <c r="AR101" s="72" t="n">
        <v>-12.75</v>
      </c>
      <c r="AS101" s="72" t="n">
        <v>-1.77</v>
      </c>
      <c r="AT101" s="72" t="n">
        <v>9.32</v>
      </c>
      <c r="AU101" s="72" t="n">
        <v>13.55</v>
      </c>
      <c r="AV101" s="72" t="n">
        <v>31.41</v>
      </c>
      <c r="AW101" s="72" t="n">
        <v>6.76</v>
      </c>
      <c r="AX101" s="72" t="n">
        <v>-22.04</v>
      </c>
      <c r="AY101" s="72" t="n">
        <v>-19.51</v>
      </c>
      <c r="AZ101" s="63" t="inlineStr">
        <is>
          <t>HSTECH (Hang Seng TECH ETF)</t>
        </is>
      </c>
      <c r="BA101" s="72" t="n">
        <v>-80.7</v>
      </c>
      <c r="BB101" s="64" t="inlineStr">
        <is>
          <t>2026-08-28</t>
        </is>
      </c>
      <c r="BC101" s="65" t="n">
        <v>54592</v>
      </c>
      <c r="BD101" s="68" t="n">
        <v>-308</v>
      </c>
      <c r="BE101" s="63" t="inlineStr">
        <is>
          <t>N</t>
        </is>
      </c>
      <c r="BF101" s="63" t="inlineStr">
        <is>
          <t>n/m</t>
        </is>
      </c>
      <c r="BG101" s="74" t="n"/>
      <c r="BH101" s="74" t="n">
        <v>14.5</v>
      </c>
      <c r="BI101" s="74" t="n">
        <v>0.4</v>
      </c>
      <c r="BJ101" s="75">
        <f>IF('BBG Verify'!S101="","not filed — run on terminal",'BBG Verify'!S101)</f>
        <v/>
      </c>
      <c r="BK101" s="76" t="inlineStr">
        <is>
          <t>N</t>
        </is>
      </c>
      <c r="BL101" s="77">
        <f>IF('BBG Verify'!K101="","not filed — run on terminal",'BBG Verify'!K101)</f>
        <v/>
      </c>
      <c r="BM101" s="63" t="inlineStr">
        <is>
          <t>N/A</t>
        </is>
      </c>
      <c r="BN101" s="63" t="inlineStr">
        <is>
          <t>N/A</t>
        </is>
      </c>
      <c r="BO101" s="63" t="inlineStr">
        <is>
          <t>N/A</t>
        </is>
      </c>
      <c r="BP101" s="63" t="inlineStr">
        <is>
          <t>N/A</t>
        </is>
      </c>
      <c r="BQ101" s="63" t="inlineStr">
        <is>
          <t>N/A</t>
        </is>
      </c>
      <c r="BR101" s="63" t="inlineStr">
        <is>
          <t>N/A</t>
        </is>
      </c>
      <c r="BS101" s="76" t="inlineStr">
        <is>
          <t>China International Capital Corporation Hong Kong Securities Limited; Citigroup Global Markets Asia Limited; China Renaissance Securities (Hong Kong) Limited</t>
        </is>
      </c>
      <c r="BT101" s="63" t="inlineStr">
        <is>
          <t>China International Capital Corporation Hong Kong Securities Limited; China Renaissance Securities (Hong Kong) Limited; Citigroup Global Markets Asia Limited</t>
        </is>
      </c>
      <c r="BU101" s="63" t="inlineStr">
        <is>
          <t>China International Capital Corporation Hong Kong Securities Limited; Citigroup Global Markets Asia Limited; China Renaissance Securities (Hong Kong) Limited; The Hongkong and Shanghai Banking Corporation Limited; Haitong International Securities Company Limited; SPDB International Capital Limited; Citigroup Global Markets Limited; BOCOM International Securities Limited; BOCI Asia Limited; CCB International Capital Limited; ABCI CAPITAL LIMITED</t>
        </is>
      </c>
      <c r="BV101" s="63" t="inlineStr">
        <is>
          <t>ABCI Securities Company Limited; Beta International Securities Limited; BOCI Asia Limited; CCB International Capital Limited; Citigroup Global Markets Asia Limited; China International Capital Corporation Hong Kong Securities Limited; CMB International Capital Limited; China Renaissance Securities (Hong Kong) Limited; Futu Securities International (Hong Kong) Limited; Head &amp; Shoulders Securities Limited; Haitong International Securities Company Limited; The Hongkong and Shanghai Banking Corporation Limited</t>
        </is>
      </c>
      <c r="BW101" s="78">
        <f>HYPERLINK("https://www1.hkexnews.hk/listedco/listconews/sehk/2022/0131/2022013100005.pdf","prospectus")</f>
        <v/>
      </c>
      <c r="BX101" s="78">
        <f>HYPERLINK("https://www1.hkexnews.hk/listedco/listconews/sehk/2022/0217/2022021700014.htm","allotment")</f>
        <v/>
      </c>
      <c r="BY101" s="78">
        <f>HYPERLINK("https://www1.hkexnews.hk/listedco/listconews/sehk/2022/0313/2022031300003.pdf","stabilisation")</f>
        <v/>
      </c>
      <c r="BZ101" s="76" t="n"/>
      <c r="CA101" s="63" t="inlineStr">
        <is>
          <t>P/E: n/m — loss-making at IPO (use P/S) · A/H: no A-share listing · cornerstone: AAStocks institutional table includes non-cornerstone orders (superset) — cornerstone % is from the prospectus · grey market: no grey-market headline on file for this deal — AAStocks publishes one per listing but keeps only recent items on the stock's news page, and no public archive of past evening sessions exists; captured from this run onward</t>
        </is>
      </c>
    </row>
    <row r="102" ht="15" customHeight="1">
      <c r="A102" s="62" t="inlineStr">
        <is>
          <t>1406</t>
        </is>
      </c>
      <c r="B102" s="63" t="inlineStr">
        <is>
          <t>CLARITY MEDICAL</t>
        </is>
      </c>
      <c r="C102" s="63" t="inlineStr">
        <is>
          <t>清晰醫療</t>
        </is>
      </c>
      <c r="D102" s="63" t="inlineStr">
        <is>
          <t>Healthcare</t>
        </is>
      </c>
      <c r="E102" s="63" t="inlineStr">
        <is>
          <t>Hospitals / clinics</t>
        </is>
      </c>
      <c r="F102" s="63" t="inlineStr">
        <is>
          <t>Health Care Services</t>
        </is>
      </c>
      <c r="G102" s="63" t="inlineStr">
        <is>
          <t>Standard</t>
        </is>
      </c>
      <c r="H102" s="64" t="n">
        <v>44610</v>
      </c>
      <c r="I102" s="65" t="n">
        <v>217.6</v>
      </c>
      <c r="J102" s="63" t="inlineStr">
        <is>
          <t>gross (price x shares)</t>
        </is>
      </c>
      <c r="K102" s="66" t="n">
        <v>1.6</v>
      </c>
      <c r="L102" s="66" t="n">
        <v>3</v>
      </c>
      <c r="M102" s="66" t="n">
        <v>1.6</v>
      </c>
      <c r="N102" s="63" t="inlineStr">
        <is>
          <t>N</t>
        </is>
      </c>
      <c r="O102" s="67" t="n">
        <v>53.3</v>
      </c>
      <c r="P102" s="67" t="n">
        <v>0</v>
      </c>
      <c r="Q102" s="68" t="n">
        <v>1173.3</v>
      </c>
      <c r="R102" s="63" t="inlineStr">
        <is>
          <t>aastocks:上市市值 at the struck price</t>
        </is>
      </c>
      <c r="S102" s="69" t="n">
        <v>6.17</v>
      </c>
      <c r="T102" s="70" t="n">
        <v>1.13</v>
      </c>
      <c r="U102" s="71" t="n">
        <v>0</v>
      </c>
      <c r="V102" s="68" t="n">
        <v>217.6</v>
      </c>
      <c r="W102" s="68" t="n">
        <v>136000000</v>
      </c>
      <c r="X102" s="67" t="n">
        <v>18.55</v>
      </c>
      <c r="Y102" s="63" t="n"/>
      <c r="Z102" s="63" t="n"/>
      <c r="AA102" s="67" t="n">
        <v>5.63</v>
      </c>
      <c r="AB102" s="72" t="n"/>
      <c r="AC102" s="66" t="n"/>
      <c r="AD102" s="72" t="n"/>
      <c r="AE102" s="63" t="n"/>
      <c r="AF102" s="63" t="n"/>
      <c r="AG102" s="63" t="inlineStr">
        <is>
          <t>lapsed</t>
        </is>
      </c>
      <c r="AH102" s="63" t="inlineStr">
        <is>
          <t>2022-03-12</t>
        </is>
      </c>
      <c r="AI102" s="63" t="inlineStr">
        <is>
          <t>China Everbright Securities</t>
        </is>
      </c>
      <c r="AJ102" s="63" t="inlineStr">
        <is>
          <t>China Everbright</t>
        </is>
      </c>
      <c r="AK102" s="73" t="n">
        <v>-3.75</v>
      </c>
      <c r="AL102" s="72" t="n">
        <v>-0.62</v>
      </c>
      <c r="AM102" s="72" t="n">
        <v>-3.15</v>
      </c>
      <c r="AN102" s="72" t="n">
        <v>-10</v>
      </c>
      <c r="AO102" s="72" t="n">
        <v>-15</v>
      </c>
      <c r="AP102" s="72" t="n">
        <v>-27.5</v>
      </c>
      <c r="AQ102" s="72" t="n">
        <v>-6.49</v>
      </c>
      <c r="AR102" s="72" t="n">
        <v>-11.69</v>
      </c>
      <c r="AS102" s="72" t="n">
        <v>-24.68</v>
      </c>
      <c r="AT102" s="72" t="n">
        <v>-10.67</v>
      </c>
      <c r="AU102" s="72" t="n">
        <v>-11.11</v>
      </c>
      <c r="AV102" s="72" t="n">
        <v>-7.91</v>
      </c>
      <c r="AW102" s="72" t="n">
        <v>-7.46</v>
      </c>
      <c r="AX102" s="72" t="n">
        <v>-3.89</v>
      </c>
      <c r="AY102" s="72" t="n">
        <v>-4.23</v>
      </c>
      <c r="AZ102" s="63" t="inlineStr">
        <is>
          <t>China Biotech ETF (HS biotech proxy)</t>
        </is>
      </c>
      <c r="BA102" s="72" t="n">
        <v>-77.81</v>
      </c>
      <c r="BB102" s="64" t="inlineStr">
        <is>
          <t>2026-08-28</t>
        </is>
      </c>
      <c r="BC102" s="65" t="n">
        <v>222.4</v>
      </c>
      <c r="BD102" s="68" t="n">
        <v>30</v>
      </c>
      <c r="BE102" s="63" t="inlineStr">
        <is>
          <t>Y</t>
        </is>
      </c>
      <c r="BF102" s="74" t="n">
        <v>39.1</v>
      </c>
      <c r="BG102" s="74" t="n"/>
      <c r="BH102" s="74" t="n"/>
      <c r="BI102" s="74" t="n">
        <v>5.3</v>
      </c>
      <c r="BJ102" s="75">
        <f>IF('BBG Verify'!S102="","not filed — run on terminal",'BBG Verify'!S102)</f>
        <v/>
      </c>
      <c r="BK102" s="76" t="inlineStr">
        <is>
          <t>N</t>
        </is>
      </c>
      <c r="BL102" s="77">
        <f>IF('BBG Verify'!K102="","not filed — run on terminal",'BBG Verify'!K102)</f>
        <v/>
      </c>
      <c r="BM102" s="63" t="inlineStr">
        <is>
          <t>N/A</t>
        </is>
      </c>
      <c r="BN102" s="63" t="inlineStr">
        <is>
          <t>N/A</t>
        </is>
      </c>
      <c r="BO102" s="63" t="inlineStr">
        <is>
          <t>N/A</t>
        </is>
      </c>
      <c r="BP102" s="63" t="inlineStr">
        <is>
          <t>N/A</t>
        </is>
      </c>
      <c r="BQ102" s="63" t="inlineStr">
        <is>
          <t>N/A</t>
        </is>
      </c>
      <c r="BR102" s="63" t="inlineStr">
        <is>
          <t>N/A</t>
        </is>
      </c>
      <c r="BS102" s="76" t="inlineStr">
        <is>
          <t>China Everbright Capital Limited; China Eve rbright Securities (HK) Limited; Zhongtai International Securities Limited</t>
        </is>
      </c>
      <c r="BT102" s="63" t="inlineStr">
        <is>
          <t>China Everbright Capital Limited</t>
        </is>
      </c>
      <c r="BU102" s="63" t="inlineStr">
        <is>
          <t>China Everbright Securities (HK) Limited; CMB International Capital Limited; Zhongtai International Securities Limited; ABCI Capital Limited; Bradbury Securities Limited; CMBC Securities Company Limited; First Shanghai Securities Limited; Futu Securities International (Hong Kong) Limited; Guotai Junan Securities (Hong Kong) Limited; Shenwan Hongyuan Securities (H.K.) Limited</t>
        </is>
      </c>
      <c r="BV102" s="63" t="inlineStr">
        <is>
          <t>ABCI Securities Company Limited; Bradbury Securities Limited; Beta International Securities Limited; China Everbright Securities (HK) Limited; CMBC Securities Company Limited; CMB International Capital Corporation Limited; Chuenman Securities Limited; First Shanghai Securities Limited; Futu Securities International (Hong Kong) Limited; Guotai Junan Securities (Hong Kong) Limited; Shenwan Hongyuan Securities (H.K.) Limited; Valuable Capital Limited</t>
        </is>
      </c>
      <c r="BW102" s="78">
        <f>HYPERLINK("https://www1.hkexnews.hk/listedco/listconews/sehk/2022/0131/2022013100022.pdf","prospectus")</f>
        <v/>
      </c>
      <c r="BX102" s="78">
        <f>HYPERLINK("https://www1.hkexnews.hk/listedco/listconews/sehk/2022/0217/2022021700028.htm","allotment")</f>
        <v/>
      </c>
      <c r="BY102" s="78">
        <f>HYPERLINK("https://www1.hkexnews.hk/listedco/listconews/sehk/2022/0314/2022031400039.pdf","stabilisation")</f>
        <v/>
      </c>
      <c r="BZ102" s="76" t="n"/>
      <c r="CA102" s="63" t="inlineStr">
        <is>
          <t>A/H: no A-share listing · market cap: estimate from deal size / offer % of enlarged capital disagreed with the published listing cap — published figure adopted · cornerstone list: no cornerstone tranche in this deal · grey market: no grey-market headline on file for this deal — AAStocks publishes one per listing but keeps only recent items on the stock's news page, and no public archive of past evening sessions exists; captured from this run onward</t>
        </is>
      </c>
    </row>
    <row r="103" ht="15" customHeight="1">
      <c r="A103" s="62" t="inlineStr">
        <is>
          <t>2157</t>
        </is>
      </c>
      <c r="B103" s="63" t="inlineStr">
        <is>
          <t>LEPU BIO-B</t>
        </is>
      </c>
      <c r="C103" s="63" t="inlineStr">
        <is>
          <t>樂普生物</t>
        </is>
      </c>
      <c r="D103" s="63" t="inlineStr">
        <is>
          <t>Healthcare</t>
        </is>
      </c>
      <c r="E103" s="63" t="inlineStr">
        <is>
          <t>Biotech pre-revenue (18A)</t>
        </is>
      </c>
      <c r="F103" s="63" t="inlineStr">
        <is>
          <t>Biotechnology</t>
        </is>
      </c>
      <c r="G103" s="63" t="inlineStr">
        <is>
          <t>18A</t>
        </is>
      </c>
      <c r="H103" s="64" t="n">
        <v>44615</v>
      </c>
      <c r="I103" s="65" t="n">
        <v>904.6</v>
      </c>
      <c r="J103" s="63" t="inlineStr">
        <is>
          <t>gross (price x shares)</t>
        </is>
      </c>
      <c r="K103" s="66" t="n">
        <v>6.87</v>
      </c>
      <c r="L103" s="66" t="n">
        <v>7.38</v>
      </c>
      <c r="M103" s="66" t="n">
        <v>7.13</v>
      </c>
      <c r="N103" s="63" t="inlineStr">
        <is>
          <t>N</t>
        </is>
      </c>
      <c r="O103" s="67" t="n">
        <v>96.59999999999999</v>
      </c>
      <c r="P103" s="67" t="n">
        <v>51</v>
      </c>
      <c r="Q103" s="68" t="n">
        <v>11008</v>
      </c>
      <c r="R103" s="63" t="inlineStr">
        <is>
          <t>prospectus:stated market capitalisation, rescaled to the offer price</t>
        </is>
      </c>
      <c r="S103" s="69" t="n">
        <v>5.65</v>
      </c>
      <c r="T103" s="70" t="n">
        <v>1.53</v>
      </c>
      <c r="U103" s="71" t="n">
        <v>41.61</v>
      </c>
      <c r="V103" s="68" t="n">
        <v>528.2</v>
      </c>
      <c r="W103" s="68" t="n">
        <v>74082896</v>
      </c>
      <c r="X103" s="67" t="n">
        <v>4.8</v>
      </c>
      <c r="Y103" s="63" t="inlineStr">
        <is>
          <t>King Star; Vivo Capital</t>
        </is>
      </c>
      <c r="Z103" s="63" t="inlineStr">
        <is>
          <t>king;vivo</t>
        </is>
      </c>
      <c r="AA103" s="67" t="n">
        <v>8.699999999999999</v>
      </c>
      <c r="AB103" s="72" t="n"/>
      <c r="AC103" s="66" t="n"/>
      <c r="AD103" s="72" t="n"/>
      <c r="AE103" s="63" t="n"/>
      <c r="AF103" s="63" t="n"/>
      <c r="AG103" s="63" t="inlineStr">
        <is>
          <t>partial</t>
        </is>
      </c>
      <c r="AH103" s="63" t="inlineStr">
        <is>
          <t>2022-03-17</t>
        </is>
      </c>
      <c r="AI103" s="63" t="inlineStr">
        <is>
          <t>China International Capital Corporation Hong Kong Securities Limited</t>
        </is>
      </c>
      <c r="AJ103" s="63" t="inlineStr">
        <is>
          <t>China International</t>
        </is>
      </c>
      <c r="AK103" s="73" t="n">
        <v>0.14</v>
      </c>
      <c r="AL103" s="72" t="n">
        <v>0</v>
      </c>
      <c r="AM103" s="72" t="n">
        <v>0.14</v>
      </c>
      <c r="AN103" s="72" t="n">
        <v>0</v>
      </c>
      <c r="AO103" s="72" t="n">
        <v>-7.43</v>
      </c>
      <c r="AP103" s="72" t="n">
        <v>-8.699999999999999</v>
      </c>
      <c r="AQ103" s="72" t="n">
        <v>-0.14</v>
      </c>
      <c r="AR103" s="72" t="n">
        <v>-7.56</v>
      </c>
      <c r="AS103" s="72" t="n">
        <v>-8.83</v>
      </c>
      <c r="AT103" s="72" t="n">
        <v>-1.78</v>
      </c>
      <c r="AU103" s="72" t="n">
        <v>-11.67</v>
      </c>
      <c r="AV103" s="72" t="n">
        <v>8.51</v>
      </c>
      <c r="AW103" s="72" t="n">
        <v>-10.17</v>
      </c>
      <c r="AX103" s="72" t="n">
        <v>4.24</v>
      </c>
      <c r="AY103" s="72" t="n">
        <v>2.61</v>
      </c>
      <c r="AZ103" s="63" t="inlineStr">
        <is>
          <t>China Biotech ETF (HS biotech proxy)</t>
        </is>
      </c>
      <c r="BA103" s="72" t="n">
        <v>-41.87</v>
      </c>
      <c r="BB103" s="64" t="inlineStr">
        <is>
          <t>2026-08-28</t>
        </is>
      </c>
      <c r="BC103" s="65" t="n">
        <v>0</v>
      </c>
      <c r="BD103" s="68" t="n">
        <v>-674.7</v>
      </c>
      <c r="BE103" s="63" t="inlineStr">
        <is>
          <t>N</t>
        </is>
      </c>
      <c r="BF103" s="63" t="inlineStr">
        <is>
          <t>n/m</t>
        </is>
      </c>
      <c r="BG103" s="74" t="n"/>
      <c r="BH103" s="74" t="n">
        <v>27.2</v>
      </c>
      <c r="BI103" s="63" t="inlineStr">
        <is>
          <t>pre-rev</t>
        </is>
      </c>
      <c r="BJ103" s="75">
        <f>IF('BBG Verify'!S103="","not filed — run on terminal",'BBG Verify'!S103)</f>
        <v/>
      </c>
      <c r="BK103" s="76" t="inlineStr">
        <is>
          <t>N</t>
        </is>
      </c>
      <c r="BL103" s="77">
        <f>IF('BBG Verify'!K103="","not filed — run on terminal",'BBG Verify'!K103)</f>
        <v/>
      </c>
      <c r="BM103" s="63" t="inlineStr">
        <is>
          <t>N/A</t>
        </is>
      </c>
      <c r="BN103" s="63" t="inlineStr">
        <is>
          <t>N/A</t>
        </is>
      </c>
      <c r="BO103" s="63" t="inlineStr">
        <is>
          <t>N/A</t>
        </is>
      </c>
      <c r="BP103" s="63" t="inlineStr">
        <is>
          <t>N/A</t>
        </is>
      </c>
      <c r="BQ103" s="63" t="inlineStr">
        <is>
          <t>N/A</t>
        </is>
      </c>
      <c r="BR103" s="63" t="inlineStr">
        <is>
          <t>N/A</t>
        </is>
      </c>
      <c r="BS103" s="76" t="inlineStr">
        <is>
          <t>China International Capital Corporation Hong Kong Securities Limited; Morgan Stanley Asia Limited</t>
        </is>
      </c>
      <c r="BT103" s="63" t="inlineStr">
        <is>
          <t>China International Capital Corporation Hong Kong Securities Limited; Morgan Stanley Asia Limited</t>
        </is>
      </c>
      <c r="BU103" s="63" t="inlineStr">
        <is>
          <t>China International Capital Corporation Hong Kong Securities Limited; Morgan Stanley Asia Limited; Morgan Stanley &amp; Co. International plc; Huatai Financial Holdings (Hong Kong) Limited; China Galaxy International Securities (Hong Kong) Co., Limited; Valuable Capital Limited</t>
        </is>
      </c>
      <c r="BV103" s="63" t="inlineStr">
        <is>
          <t>China Galaxy International Securities (Hong Kong) Company Limited; China International Capital Corporation Hong Kong Securities Limited; Huatai Financial Holdings (Hong Kong) Limited; Haitong International Securities Company Limited; Morgan Stanley Asia Limited; Tiger Brokers (HK) Global Limited; Valuable Capital Limited</t>
        </is>
      </c>
      <c r="BW103" s="78">
        <f>HYPERLINK("https://www1.hkexnews.hk/listedco/listconews/sehk/2022/0210/2022021000013.pdf","prospectus")</f>
        <v/>
      </c>
      <c r="BX103" s="78">
        <f>HYPERLINK("https://www1.hkexnews.hk/listedco/listconews/sehk/2022/0222/2022022200012.htm","allotment")</f>
        <v/>
      </c>
      <c r="BY103" s="78">
        <f>HYPERLINK("https://www1.hkexnews.hk/listedco/listconews/sehk/2022/0317/2022031702152.pdf","stabilisation")</f>
        <v/>
      </c>
      <c r="BZ103" s="76" t="n"/>
      <c r="CA103" s="63" t="inlineStr">
        <is>
          <t>P/E: n/m — loss-making at IPO (use P/S) · A/H: no A-share listing · market cap: prospectus states HK$11,394m at HK$7.38; rescaled to the struck HK$7.13 · P/S: no revenue line in the filed P&amp;L (pre-revenue issuer) — no sales multiple can exist; the cell reads pre-rev, not blank · deal size: stated gross HK$36.2m rejected — below the deal's own net proceeds HK$804.2m, which cannot happen · grey market: no grey-market headline on file for this deal — AAStocks publishes one per listing but keeps only recent items on the stock's news page, and no public archive of past evening sessions exists; captured from this run onward</t>
        </is>
      </c>
    </row>
    <row r="104" ht="15" customHeight="1">
      <c r="A104" s="62" t="inlineStr">
        <is>
          <t>6639</t>
        </is>
      </c>
      <c r="B104" s="63" t="inlineStr">
        <is>
          <t>ARRAIL GROUP</t>
        </is>
      </c>
      <c r="C104" s="63" t="inlineStr">
        <is>
          <t>瑞爾集團</t>
        </is>
      </c>
      <c r="D104" s="63" t="inlineStr">
        <is>
          <t>Healthcare</t>
        </is>
      </c>
      <c r="E104" s="63" t="inlineStr">
        <is>
          <t>Hospitals / clinics</t>
        </is>
      </c>
      <c r="F104" s="63" t="inlineStr">
        <is>
          <t>Health Care Services</t>
        </is>
      </c>
      <c r="G104" s="63" t="inlineStr">
        <is>
          <t>Standard</t>
        </is>
      </c>
      <c r="H104" s="64" t="n">
        <v>44642</v>
      </c>
      <c r="I104" s="65" t="n">
        <v>680.2</v>
      </c>
      <c r="J104" s="63" t="inlineStr">
        <is>
          <t>gross (price x shares)</t>
        </is>
      </c>
      <c r="K104" s="66" t="n"/>
      <c r="L104" s="66" t="n">
        <v>14.62</v>
      </c>
      <c r="M104" s="66" t="n">
        <v>14.62</v>
      </c>
      <c r="N104" s="63" t="inlineStr">
        <is>
          <t>Y</t>
        </is>
      </c>
      <c r="O104" s="67" t="n">
        <v>100</v>
      </c>
      <c r="P104" s="67" t="n"/>
      <c r="Q104" s="68" t="n">
        <v>7474.7</v>
      </c>
      <c r="R104" s="63" t="inlineStr">
        <is>
          <t>derived:deal size / offer % of enlarged capital</t>
        </is>
      </c>
      <c r="S104" s="69" t="n">
        <v>1.74</v>
      </c>
      <c r="T104" s="70" t="n">
        <v>1.62</v>
      </c>
      <c r="U104" s="71" t="n">
        <v>31.9</v>
      </c>
      <c r="V104" s="68" t="n">
        <v>463.22</v>
      </c>
      <c r="W104" s="68" t="n">
        <v>31685228</v>
      </c>
      <c r="X104" s="67" t="n">
        <v>6.2</v>
      </c>
      <c r="Y104" s="63" t="inlineStr">
        <is>
          <t>Abax Asian Structured Private Credit Fund III, LP; Harvest International Premium Value (Secondary Market) Fund SPC; Hudson Bay Master Fund Ltd; OrbiMed Genesis Master Fund, L.P; Top Vast (Hong Kong) Limited</t>
        </is>
      </c>
      <c r="Z104" s="63" t="inlineStr">
        <is>
          <t>abax;harvest;hudson;orbimed;top</t>
        </is>
      </c>
      <c r="AA104" s="67" t="n">
        <v>10.92</v>
      </c>
      <c r="AB104" s="72" t="n"/>
      <c r="AC104" s="66" t="n"/>
      <c r="AD104" s="72" t="n"/>
      <c r="AE104" s="63" t="n"/>
      <c r="AF104" s="63" t="n"/>
      <c r="AG104" s="63" t="inlineStr">
        <is>
          <t>lapsed</t>
        </is>
      </c>
      <c r="AH104" s="63" t="inlineStr">
        <is>
          <t>2022-04-13</t>
        </is>
      </c>
      <c r="AI104" s="63" t="inlineStr">
        <is>
          <t>Morgan Stanley Asia Limited</t>
        </is>
      </c>
      <c r="AJ104" s="63" t="inlineStr">
        <is>
          <t>Morgan Stanley</t>
        </is>
      </c>
      <c r="AK104" s="73" t="n">
        <v>-5.61</v>
      </c>
      <c r="AL104" s="72" t="n">
        <v>-0.14</v>
      </c>
      <c r="AM104" s="72" t="n">
        <v>-5.48</v>
      </c>
      <c r="AN104" s="72" t="n">
        <v>-1.5</v>
      </c>
      <c r="AO104" s="72" t="n">
        <v>-20.52</v>
      </c>
      <c r="AP104" s="72" t="n">
        <v>-19.56</v>
      </c>
      <c r="AQ104" s="72" t="n">
        <v>4.35</v>
      </c>
      <c r="AR104" s="72" t="n">
        <v>-15.8</v>
      </c>
      <c r="AS104" s="72" t="n">
        <v>-14.78</v>
      </c>
      <c r="AT104" s="72" t="n">
        <v>-3.3</v>
      </c>
      <c r="AU104" s="72" t="n">
        <v>-5.59</v>
      </c>
      <c r="AV104" s="72" t="n">
        <v>-18.89</v>
      </c>
      <c r="AW104" s="72" t="n">
        <v>-1.56</v>
      </c>
      <c r="AX104" s="72" t="n">
        <v>-14.93</v>
      </c>
      <c r="AY104" s="72" t="n">
        <v>-14.24</v>
      </c>
      <c r="AZ104" s="63" t="inlineStr">
        <is>
          <t>China Biotech ETF (HS biotech proxy)</t>
        </is>
      </c>
      <c r="BA104" s="72" t="n">
        <v>-87.48</v>
      </c>
      <c r="BB104" s="64" t="inlineStr">
        <is>
          <t>2026-08-28</t>
        </is>
      </c>
      <c r="BC104" s="65" t="n">
        <v>1666.6</v>
      </c>
      <c r="BD104" s="68" t="n">
        <v>-657.5</v>
      </c>
      <c r="BE104" s="63" t="inlineStr">
        <is>
          <t>N</t>
        </is>
      </c>
      <c r="BF104" s="63" t="inlineStr">
        <is>
          <t>n/m</t>
        </is>
      </c>
      <c r="BG104" s="74" t="n"/>
      <c r="BH104" s="74" t="n">
        <v>25.6</v>
      </c>
      <c r="BI104" s="74" t="n">
        <v>4.5</v>
      </c>
      <c r="BJ104" s="75">
        <f>IF('BBG Verify'!S104="","not filed — run on terminal",'BBG Verify'!S104)</f>
        <v/>
      </c>
      <c r="BK104" s="76" t="inlineStr">
        <is>
          <t>N</t>
        </is>
      </c>
      <c r="BL104" s="77">
        <f>IF('BBG Verify'!K104="","not filed — run on terminal",'BBG Verify'!K104)</f>
        <v/>
      </c>
      <c r="BM104" s="63" t="inlineStr">
        <is>
          <t>N/A</t>
        </is>
      </c>
      <c r="BN104" s="63" t="inlineStr">
        <is>
          <t>N/A</t>
        </is>
      </c>
      <c r="BO104" s="63" t="inlineStr">
        <is>
          <t>N/A</t>
        </is>
      </c>
      <c r="BP104" s="63" t="inlineStr">
        <is>
          <t>N/A</t>
        </is>
      </c>
      <c r="BQ104" s="63" t="inlineStr">
        <is>
          <t>N/A</t>
        </is>
      </c>
      <c r="BR104" s="63" t="inlineStr">
        <is>
          <t>N/A</t>
        </is>
      </c>
      <c r="BS104" s="76" t="inlineStr">
        <is>
          <t>Morgan Stanley Asia Limited; UBS Securities Hong Kong Limited</t>
        </is>
      </c>
      <c r="BT104" s="63" t="inlineStr">
        <is>
          <t>Morgan Stanley Asia Limited; UBS Securities Hong Kong Limited</t>
        </is>
      </c>
      <c r="BU104" s="63" t="inlineStr">
        <is>
          <t>Morgan Stanley Asia Limited; UBS AG Hong Kong Branch; China International Capital Corporation Hong Kong Securities Limited; Haitong International Securities Company Limited</t>
        </is>
      </c>
      <c r="BV104" s="63" t="inlineStr">
        <is>
          <t>China International Capital Corporation Hong Kong Securities Limited; CMB International Capital Limited; Futu Securities International (Hong Kong) Limited; Haitong International Securities Company Limited; The Hongkong and Shanghai Banking Corporation Limited; Morgan Stanley Asia Limited; UBS AG Hong Kong Branch</t>
        </is>
      </c>
      <c r="BW104" s="78">
        <f>HYPERLINK("https://www1.hkexnews.hk/listedco/listconews/sehk/2022/0309/2022030900091.pdf","prospectus")</f>
        <v/>
      </c>
      <c r="BX104" s="78">
        <f>HYPERLINK("https://www1.hkexnews.hk/listedco/listconews/sehk/2022/0321/2022032100094.htm","allotment")</f>
        <v/>
      </c>
      <c r="BY104" s="78">
        <f>HYPERLINK("https://www1.hkexnews.hk/listedco/listconews/sehk/2022/0413/2022041301532.pdf","stabilisation")</f>
        <v/>
      </c>
      <c r="BZ104" s="76" t="n"/>
      <c r="CA104" s="63" t="inlineStr">
        <is>
          <t>P/E: n/m — loss-making at IPO (use P/S) · range low: cap-only pricing — the filing publishes a Maximum Offer Price and no indicative floor · A/H: no A-share listing · cornerstone: AAStocks institutional table includes non-cornerstone orders (superset) — cornerstone % is from the prospectus · grey market: no grey-market headline on file for this deal — AAStocks publishes one per listing but keeps only recent items on the stock's news page, and no public archive of past evening sessions exists; captured from this run onward</t>
        </is>
      </c>
    </row>
    <row r="105" ht="15" customHeight="1">
      <c r="A105" s="62" t="inlineStr">
        <is>
          <t>9638</t>
        </is>
      </c>
      <c r="B105" s="63" t="inlineStr">
        <is>
          <t>FERRETTI</t>
        </is>
      </c>
      <c r="C105" s="63" t="inlineStr">
        <is>
          <t>法拉帝</t>
        </is>
      </c>
      <c r="D105" s="63" t="inlineStr">
        <is>
          <t>Consumer</t>
        </is>
      </c>
      <c r="E105" s="63" t="inlineStr">
        <is>
          <t>Apparel / luxury</t>
        </is>
      </c>
      <c r="F105" s="63" t="inlineStr">
        <is>
          <t>Leisure Products</t>
        </is>
      </c>
      <c r="G105" s="63" t="inlineStr">
        <is>
          <t>Standard</t>
        </is>
      </c>
      <c r="H105" s="64" t="n">
        <v>44651</v>
      </c>
      <c r="I105" s="65" t="n">
        <v>1912.3</v>
      </c>
      <c r="J105" s="63" t="inlineStr">
        <is>
          <t>gross (price x shares)</t>
        </is>
      </c>
      <c r="K105" s="66" t="n">
        <v>21.82</v>
      </c>
      <c r="L105" s="66" t="n">
        <v>28.24</v>
      </c>
      <c r="M105" s="66" t="n">
        <v>22.88</v>
      </c>
      <c r="N105" s="63" t="inlineStr">
        <is>
          <t>N</t>
        </is>
      </c>
      <c r="O105" s="67" t="n">
        <v>81</v>
      </c>
      <c r="P105" s="67" t="n">
        <v>16.5</v>
      </c>
      <c r="Q105" s="68" t="n">
        <v>9146.299999999999</v>
      </c>
      <c r="R105" s="63" t="inlineStr">
        <is>
          <t>aastocks:上市市值 at the struck price</t>
        </is>
      </c>
      <c r="S105" s="69" t="n">
        <v>1.07</v>
      </c>
      <c r="T105" s="70" t="n">
        <v>2.06</v>
      </c>
      <c r="U105" s="71" t="n">
        <v>53.02</v>
      </c>
      <c r="V105" s="68" t="n">
        <v>898.4</v>
      </c>
      <c r="W105" s="68" t="n">
        <v>39265884</v>
      </c>
      <c r="X105" s="67" t="n">
        <v>9.82</v>
      </c>
      <c r="Y105" s="63" t="inlineStr">
        <is>
          <t>Hainan Financial Holdings Co., Ltd; Hainan Free Trade Port Construction Investment Fund Co., Ltd; Qingdao Haifa Holding Development Co., Ltd; Sanya Development Holdings Co., Ltd; Sunshine Life Insurance Corporation Limited</t>
        </is>
      </c>
      <c r="Z105" s="63" t="inlineStr">
        <is>
          <t>hainan;qingdao;sanya;sunshine</t>
        </is>
      </c>
      <c r="AA105" s="67" t="n">
        <v>15</v>
      </c>
      <c r="AB105" s="72" t="n"/>
      <c r="AC105" s="66" t="n"/>
      <c r="AD105" s="72" t="n"/>
      <c r="AE105" s="63" t="n"/>
      <c r="AF105" s="63" t="n"/>
      <c r="AG105" s="63" t="inlineStr">
        <is>
          <t>partial</t>
        </is>
      </c>
      <c r="AH105" s="63" t="inlineStr">
        <is>
          <t>2022-04-24</t>
        </is>
      </c>
      <c r="AI105" s="63" t="n"/>
      <c r="AJ105" s="63" t="n"/>
      <c r="AK105" s="73" t="n">
        <v>-0.13</v>
      </c>
      <c r="AL105" s="72" t="n">
        <v>0.74</v>
      </c>
      <c r="AM105" s="72" t="n">
        <v>-0.86</v>
      </c>
      <c r="AN105" s="72" t="n">
        <v>-0.13</v>
      </c>
      <c r="AO105" s="72" t="n">
        <v>9.27</v>
      </c>
      <c r="AP105" s="72" t="n">
        <v>-13.11</v>
      </c>
      <c r="AQ105" s="72" t="n">
        <v>0</v>
      </c>
      <c r="AR105" s="72" t="n">
        <v>9.41</v>
      </c>
      <c r="AS105" s="72" t="n">
        <v>-13</v>
      </c>
      <c r="AT105" s="72" t="n">
        <v>4.09</v>
      </c>
      <c r="AU105" s="72" t="n">
        <v>16.35</v>
      </c>
      <c r="AV105" s="72" t="n">
        <v>-13.58</v>
      </c>
      <c r="AW105" s="72" t="n">
        <v>14.64</v>
      </c>
      <c r="AX105" s="72" t="n">
        <v>-7.08</v>
      </c>
      <c r="AY105" s="72" t="n">
        <v>-5.23</v>
      </c>
      <c r="AZ105" s="63" t="inlineStr">
        <is>
          <t>Hang Seng Commerce &amp; Industry sub-index</t>
        </is>
      </c>
      <c r="BA105" s="72" t="n">
        <v>57.34</v>
      </c>
      <c r="BB105" s="64" t="inlineStr">
        <is>
          <t>2026-08-28</t>
        </is>
      </c>
      <c r="BC105" s="65" t="n"/>
      <c r="BD105" s="68" t="n"/>
      <c r="BE105" s="63" t="n"/>
      <c r="BF105" s="74" t="n">
        <v>18</v>
      </c>
      <c r="BG105" s="74" t="n">
        <v>18</v>
      </c>
      <c r="BH105" s="74" t="n">
        <v>16</v>
      </c>
      <c r="BI105" s="74" t="n"/>
      <c r="BJ105" s="75">
        <f>IF('BBG Verify'!S105="","not filed — run on terminal",'BBG Verify'!S105)</f>
        <v/>
      </c>
      <c r="BK105" s="76" t="inlineStr">
        <is>
          <t>N</t>
        </is>
      </c>
      <c r="BL105" s="77">
        <f>IF('BBG Verify'!K105="","not filed — run on terminal",'BBG Verify'!K105)</f>
        <v/>
      </c>
      <c r="BM105" s="63" t="inlineStr">
        <is>
          <t>N/A</t>
        </is>
      </c>
      <c r="BN105" s="63" t="inlineStr">
        <is>
          <t>N/A</t>
        </is>
      </c>
      <c r="BO105" s="63" t="inlineStr">
        <is>
          <t>N/A</t>
        </is>
      </c>
      <c r="BP105" s="63" t="inlineStr">
        <is>
          <t>N/A</t>
        </is>
      </c>
      <c r="BQ105" s="63" t="inlineStr">
        <is>
          <t>N/A</t>
        </is>
      </c>
      <c r="BR105" s="63" t="inlineStr">
        <is>
          <t>N/A</t>
        </is>
      </c>
      <c r="BS105" s="76" t="inlineStr">
        <is>
          <t>China International Capital Corporation Hong Kong Securities Limited</t>
        </is>
      </c>
      <c r="BT105" s="63" t="inlineStr">
        <is>
          <t>China International Capital Corporation Hong Kong Securities Limited</t>
        </is>
      </c>
      <c r="BU105" s="63" t="inlineStr">
        <is>
          <t>China International Capital Corporation Hong Kong Securities Limited; BNP Paribas Securities (Asia) Limited; Zhongtai International Securities Limited</t>
        </is>
      </c>
      <c r="BV105" s="63" t="inlineStr">
        <is>
          <t>BNP Paribas Securities (Asia) Limited; China International Capital Corporation Hong Kong Securities Limited; Zhongtai International Securities Limited</t>
        </is>
      </c>
      <c r="BW105" s="78">
        <f>HYPERLINK("https://www1.hkexnews.hk/listedco/listconews/sehk/2022/0322/2022032200013.pdf","prospectus")</f>
        <v/>
      </c>
      <c r="BX105" s="78">
        <f>HYPERLINK("https://www1.hkexnews.hk/listedco/listconews/sehk/2022/0330/2022033000050.htm","allotment")</f>
        <v/>
      </c>
      <c r="BY105" s="78">
        <f>HYPERLINK("https://www1.hkexnews.hk/listedco/listconews/sehk/2022/0424/2022042400017.pdf","stabilisation")</f>
        <v/>
      </c>
      <c r="BZ105" s="76" t="n"/>
      <c r="CA105" s="63" t="inlineStr">
        <is>
          <t>P/E: from Bloomberg (trailing-12m EPS at listing) — the prospectus-FY multiple was not derivable · A/H: no A-share listing · P/S: revenue not extractable · stabilising manager: neither the allotment announcement's cover sentence nor the prospectus definitions glossary names one in a form the parser reads — not inferred from the sponsor · financials: financial tables not machine-extractable and the pre-IPO year is outside AAStocks' 5-year window · grey market: no grey-market headline on file for this deal — AAStocks publishes one per listing but keeps only recent items on the stock's news page, and no public archive of past evening sessions exists; captured from this run onward</t>
        </is>
      </c>
    </row>
    <row r="106" ht="15" customHeight="1">
      <c r="A106" s="62" t="inlineStr">
        <is>
          <t>2179</t>
        </is>
      </c>
      <c r="B106" s="63" t="inlineStr">
        <is>
          <t>RECBIO-B</t>
        </is>
      </c>
      <c r="C106" s="63" t="inlineStr">
        <is>
          <t>瑞科生物－Ｂ</t>
        </is>
      </c>
      <c r="D106" s="63" t="inlineStr">
        <is>
          <t>Healthcare</t>
        </is>
      </c>
      <c r="E106" s="63" t="inlineStr">
        <is>
          <t>Biotech pre-revenue (18A)</t>
        </is>
      </c>
      <c r="F106" s="63" t="inlineStr">
        <is>
          <t>Biotechnology</t>
        </is>
      </c>
      <c r="G106" s="63" t="inlineStr">
        <is>
          <t>18A</t>
        </is>
      </c>
      <c r="H106" s="64" t="n">
        <v>44651</v>
      </c>
      <c r="I106" s="65" t="n">
        <v>672.4</v>
      </c>
      <c r="J106" s="63" t="inlineStr">
        <is>
          <t>net proceeds</t>
        </is>
      </c>
      <c r="K106" s="66" t="n"/>
      <c r="L106" s="66" t="n">
        <v>24.8</v>
      </c>
      <c r="M106" s="66" t="n">
        <v>24.8</v>
      </c>
      <c r="N106" s="63" t="inlineStr">
        <is>
          <t>Y</t>
        </is>
      </c>
      <c r="O106" s="67" t="n">
        <v>100</v>
      </c>
      <c r="P106" s="67" t="n"/>
      <c r="Q106" s="68" t="n">
        <v>9160.799999999999</v>
      </c>
      <c r="R106" s="63" t="inlineStr">
        <is>
          <t>derived:deal size / offer % of enlarged capital</t>
        </is>
      </c>
      <c r="S106" s="69" t="n">
        <v>10.65</v>
      </c>
      <c r="T106" s="70" t="n">
        <v>1.39</v>
      </c>
      <c r="U106" s="71" t="n">
        <v>18.62</v>
      </c>
      <c r="V106" s="68" t="n">
        <v>547.2</v>
      </c>
      <c r="W106" s="68" t="n"/>
      <c r="X106" s="67" t="n">
        <v>5.97</v>
      </c>
      <c r="Y106" s="63" t="inlineStr">
        <is>
          <t>Harvest High Yield SP; SCC Growth VI Holdco C (HK) Limited; SCHP Master Fund; Yangtze River (Hong Kong) Limited</t>
        </is>
      </c>
      <c r="Z106" s="63" t="inlineStr">
        <is>
          <t>harvest;scc;schp;yangtze</t>
        </is>
      </c>
      <c r="AA106" s="67" t="n">
        <v>6.44</v>
      </c>
      <c r="AB106" s="72" t="n"/>
      <c r="AC106" s="66" t="n"/>
      <c r="AD106" s="72" t="n"/>
      <c r="AE106" s="63" t="n"/>
      <c r="AF106" s="63" t="n"/>
      <c r="AG106" s="63" t="inlineStr">
        <is>
          <t>partial</t>
        </is>
      </c>
      <c r="AH106" s="63" t="inlineStr">
        <is>
          <t>2022-04-23</t>
        </is>
      </c>
      <c r="AI106" s="63" t="inlineStr">
        <is>
          <t>Morgan Stanley Asia Limited</t>
        </is>
      </c>
      <c r="AJ106" s="63" t="inlineStr">
        <is>
          <t>Morgan Stanley</t>
        </is>
      </c>
      <c r="AK106" s="73" t="n">
        <v>1.81</v>
      </c>
      <c r="AL106" s="72" t="n">
        <v>0.8100000000000001</v>
      </c>
      <c r="AM106" s="72" t="n">
        <v>0.99</v>
      </c>
      <c r="AN106" s="72" t="n">
        <v>10.08</v>
      </c>
      <c r="AO106" s="72" t="n">
        <v>0.2</v>
      </c>
      <c r="AP106" s="72" t="n">
        <v>-8.67</v>
      </c>
      <c r="AQ106" s="72" t="n">
        <v>8.119999999999999</v>
      </c>
      <c r="AR106" s="72" t="n">
        <v>-1.58</v>
      </c>
      <c r="AS106" s="72" t="n">
        <v>-10.29</v>
      </c>
      <c r="AT106" s="72" t="n">
        <v>15.66</v>
      </c>
      <c r="AU106" s="72" t="n">
        <v>16.05</v>
      </c>
      <c r="AV106" s="72" t="n">
        <v>-10.35</v>
      </c>
      <c r="AW106" s="72" t="n">
        <v>11.73</v>
      </c>
      <c r="AX106" s="72" t="n">
        <v>-15.85</v>
      </c>
      <c r="AY106" s="72" t="n">
        <v>-13.31</v>
      </c>
      <c r="AZ106" s="63" t="inlineStr">
        <is>
          <t>China Biotech ETF (HS biotech proxy)</t>
        </is>
      </c>
      <c r="BA106" s="72" t="n">
        <v>-79.84</v>
      </c>
      <c r="BB106" s="64" t="inlineStr">
        <is>
          <t>2026-08-28</t>
        </is>
      </c>
      <c r="BC106" s="65" t="n">
        <v>0</v>
      </c>
      <c r="BD106" s="68" t="n">
        <v>-723.4</v>
      </c>
      <c r="BE106" s="63" t="inlineStr">
        <is>
          <t>N</t>
        </is>
      </c>
      <c r="BF106" s="63" t="inlineStr">
        <is>
          <t>n/m</t>
        </is>
      </c>
      <c r="BG106" s="74" t="n"/>
      <c r="BH106" s="74" t="n"/>
      <c r="BI106" s="63" t="inlineStr">
        <is>
          <t>pre-rev</t>
        </is>
      </c>
      <c r="BJ106" s="75">
        <f>IF('BBG Verify'!S106="","not filed — run on terminal",'BBG Verify'!S106)</f>
        <v/>
      </c>
      <c r="BK106" s="76" t="inlineStr">
        <is>
          <t>N</t>
        </is>
      </c>
      <c r="BL106" s="77">
        <f>IF('BBG Verify'!K106="","not filed — run on terminal",'BBG Verify'!K106)</f>
        <v/>
      </c>
      <c r="BM106" s="63" t="inlineStr">
        <is>
          <t>N/A</t>
        </is>
      </c>
      <c r="BN106" s="63" t="inlineStr">
        <is>
          <t>N/A</t>
        </is>
      </c>
      <c r="BO106" s="63" t="inlineStr">
        <is>
          <t>N/A</t>
        </is>
      </c>
      <c r="BP106" s="63" t="inlineStr">
        <is>
          <t>N/A</t>
        </is>
      </c>
      <c r="BQ106" s="63" t="inlineStr">
        <is>
          <t>N/A</t>
        </is>
      </c>
      <c r="BR106" s="63" t="inlineStr">
        <is>
          <t>N/A</t>
        </is>
      </c>
      <c r="BS106" s="76" t="inlineStr">
        <is>
          <t>Morgan Stanley Asia Limited; CMB International Capital Limited; CLSA Capital Markets Limited; Morgan Stanley &amp; Co. International plc; London E14 4QA United Kingdom CMB International Capital Limited; CLSA Limited</t>
        </is>
      </c>
      <c r="BT106" s="63" t="inlineStr">
        <is>
          <t>Morgan Stanley Asia Limited; CLSA Capital Markets Limited; CMB International Capital Corporation Limited</t>
        </is>
      </c>
      <c r="BU106" s="63" t="inlineStr">
        <is>
          <t>Morgan Stanley Asia Limited; CMB International Capital Limited; CLSA Limited; Morgan Stanley &amp; Co. International plc; London E14 4QA United Kingdom CMB International Capital Limited; Haitong International Securities Company Limited; GF Securities (Hong Kong) Brokerage Limited; Essence International Securities (Hong Kong) Limited; Valuable Capital Limited</t>
        </is>
      </c>
      <c r="BV106" s="63" t="inlineStr">
        <is>
          <t>China Industrial Securities International Capital Limited; CLSA Limited; CMB International Capital Limited; Essence International Securities (Hong Kong) Limited; GF Securities (Hong Kong) Brokerage Limited; Haitong International Securities Company Limited; Livermore Holdings Limited; Morgan Stanley Asia Limited; Valuable Capital Limited</t>
        </is>
      </c>
      <c r="BW106" s="78">
        <f>HYPERLINK("https://www1.hkexnews.hk/listedco/listconews/sehk/2022/0321/2022032100025.pdf","prospectus")</f>
        <v/>
      </c>
      <c r="BX106" s="78">
        <f>HYPERLINK("https://www1.hkexnews.hk/listedco/listconews/sehk/2022/0330/2022033000086.htm","allotment")</f>
        <v/>
      </c>
      <c r="BY106" s="78">
        <f>HYPERLINK("https://www1.hkexnews.hk/listedco/listconews/sehk/2022/0424/2022042400203.pdf","stabilisation")</f>
        <v/>
      </c>
      <c r="BZ106" s="76" t="n"/>
      <c r="CA106" s="63" t="inlineStr">
        <is>
          <t>P/E: n/m — loss-making at IPO (use P/S) · range low: cap-only pricing — the filing publishes a Maximum Offer Price and no indicative floor · A/H: no A-share listing · cornerstone: AAStocks institutional table includes non-cornerstone orders (superset) — cornerstone % is from the prospectus · P/S: no revenue line in the filed P&amp;L (pre-revenue issuer) — no sales multiple can exist; the cell reads pre-rev, not blank · deal size: stated gross HK$32.5m rejected — below the deal's own net proceeds HK$672.4m, which cannot happen · grey market: no grey-market headline on file for this deal — AAStocks publishes one per listing but keeps only recent items on the stock's news page, and no public archive of past evening sessions exists; captured from this run onward · eff float shares: share count unavailable or rejected as implausible — the money figure (eff_free_float_hkdm) is still exact</t>
        </is>
      </c>
    </row>
    <row r="107" ht="15" customHeight="1">
      <c r="A107" s="62" t="inlineStr">
        <is>
          <t>2370</t>
        </is>
      </c>
      <c r="B107" s="63" t="inlineStr">
        <is>
          <t>REDCO HEALTHY</t>
        </is>
      </c>
      <c r="C107" s="63" t="inlineStr">
        <is>
          <t>力高健康生活</t>
        </is>
      </c>
      <c r="D107" s="63" t="inlineStr">
        <is>
          <t>Real Estate</t>
        </is>
      </c>
      <c r="E107" s="63" t="inlineStr">
        <is>
          <t>Property management</t>
        </is>
      </c>
      <c r="F107" s="63" t="inlineStr">
        <is>
          <t>Property Service and Management</t>
        </is>
      </c>
      <c r="G107" s="63" t="inlineStr">
        <is>
          <t>Standard</t>
        </is>
      </c>
      <c r="H107" s="64" t="n">
        <v>44651</v>
      </c>
      <c r="I107" s="65" t="n">
        <v>205</v>
      </c>
      <c r="J107" s="63" t="inlineStr">
        <is>
          <t>gross (price x shares)</t>
        </is>
      </c>
      <c r="K107" s="66" t="n">
        <v>4.1</v>
      </c>
      <c r="L107" s="66" t="n">
        <v>5.1</v>
      </c>
      <c r="M107" s="66" t="n">
        <v>4.1</v>
      </c>
      <c r="N107" s="63" t="inlineStr">
        <is>
          <t>N</t>
        </is>
      </c>
      <c r="O107" s="67" t="n">
        <v>80.40000000000001</v>
      </c>
      <c r="P107" s="67" t="n">
        <v>0</v>
      </c>
      <c r="Q107" s="68" t="n">
        <v>980.8</v>
      </c>
      <c r="R107" s="63" t="inlineStr">
        <is>
          <t>aastocks:上市市值 at the struck price</t>
        </is>
      </c>
      <c r="S107" s="69" t="n">
        <v>1.99</v>
      </c>
      <c r="T107" s="70" t="n">
        <v>1.14</v>
      </c>
      <c r="U107" s="71" t="n">
        <v>0</v>
      </c>
      <c r="V107" s="68" t="n">
        <v>205</v>
      </c>
      <c r="W107" s="68" t="n">
        <v>50000000</v>
      </c>
      <c r="X107" s="67" t="n">
        <v>20.9</v>
      </c>
      <c r="Y107" s="63" t="n"/>
      <c r="Z107" s="63" t="n"/>
      <c r="AA107" s="67" t="n">
        <v>15</v>
      </c>
      <c r="AB107" s="72" t="n"/>
      <c r="AC107" s="66" t="n"/>
      <c r="AD107" s="72" t="n"/>
      <c r="AE107" s="63" t="n"/>
      <c r="AF107" s="63" t="n"/>
      <c r="AG107" s="63" t="inlineStr">
        <is>
          <t>lapsed (no over-allocation)</t>
        </is>
      </c>
      <c r="AH107" s="63" t="inlineStr">
        <is>
          <t>2022-04-24</t>
        </is>
      </c>
      <c r="AI107" s="63" t="inlineStr">
        <is>
          <t>ABCI Securities Company Limited</t>
        </is>
      </c>
      <c r="AJ107" s="63" t="inlineStr">
        <is>
          <t>ABCI</t>
        </is>
      </c>
      <c r="AK107" s="73" t="n">
        <v>26.34</v>
      </c>
      <c r="AL107" s="72" t="n">
        <v>10.98</v>
      </c>
      <c r="AM107" s="72" t="n">
        <v>13.84</v>
      </c>
      <c r="AN107" s="72" t="n">
        <v>101.22</v>
      </c>
      <c r="AO107" s="72" t="n">
        <v>103.66</v>
      </c>
      <c r="AP107" s="72" t="n">
        <v>168.29</v>
      </c>
      <c r="AQ107" s="72" t="n">
        <v>59.27</v>
      </c>
      <c r="AR107" s="72" t="n">
        <v>61.2</v>
      </c>
      <c r="AS107" s="72" t="n">
        <v>112.36</v>
      </c>
      <c r="AT107" s="72" t="n">
        <v>97.17</v>
      </c>
      <c r="AU107" s="72" t="n">
        <v>106.03</v>
      </c>
      <c r="AV107" s="72" t="n">
        <v>174.01</v>
      </c>
      <c r="AW107" s="72" t="n">
        <v>62.19</v>
      </c>
      <c r="AX107" s="72" t="n">
        <v>-2.37</v>
      </c>
      <c r="AY107" s="72" t="n">
        <v>-0.99</v>
      </c>
      <c r="AZ107" s="63" t="inlineStr">
        <is>
          <t>Hang Seng Properties sub-index</t>
        </is>
      </c>
      <c r="BA107" s="72" t="n">
        <v>-68.66</v>
      </c>
      <c r="BB107" s="64" t="inlineStr">
        <is>
          <t>2026-08-28</t>
        </is>
      </c>
      <c r="BC107" s="65" t="n">
        <v>243.8</v>
      </c>
      <c r="BD107" s="68" t="n">
        <v>32.8</v>
      </c>
      <c r="BE107" s="63" t="inlineStr">
        <is>
          <t>Y</t>
        </is>
      </c>
      <c r="BF107" s="74" t="n">
        <v>29.9</v>
      </c>
      <c r="BG107" s="74" t="n"/>
      <c r="BH107" s="74" t="n"/>
      <c r="BI107" s="74" t="n">
        <v>4</v>
      </c>
      <c r="BJ107" s="75">
        <f>IF('BBG Verify'!S107="","not filed — run on terminal",'BBG Verify'!S107)</f>
        <v/>
      </c>
      <c r="BK107" s="76" t="inlineStr">
        <is>
          <t>N</t>
        </is>
      </c>
      <c r="BL107" s="77">
        <f>IF('BBG Verify'!K107="","not filed — run on terminal",'BBG Verify'!K107)</f>
        <v/>
      </c>
      <c r="BM107" s="63" t="inlineStr">
        <is>
          <t>N/A</t>
        </is>
      </c>
      <c r="BN107" s="63" t="inlineStr">
        <is>
          <t>N/A</t>
        </is>
      </c>
      <c r="BO107" s="63" t="inlineStr">
        <is>
          <t>N/A</t>
        </is>
      </c>
      <c r="BP107" s="63" t="inlineStr">
        <is>
          <t>N/A</t>
        </is>
      </c>
      <c r="BQ107" s="63" t="inlineStr">
        <is>
          <t>N/A</t>
        </is>
      </c>
      <c r="BR107" s="63" t="inlineStr">
        <is>
          <t>N/A</t>
        </is>
      </c>
      <c r="BS107" s="76" t="inlineStr">
        <is>
          <t>ABCI Capital Limited</t>
        </is>
      </c>
      <c r="BT107" s="63" t="inlineStr">
        <is>
          <t>ABCI Capital Limited</t>
        </is>
      </c>
      <c r="BU107" s="63" t="inlineStr">
        <is>
          <t>ABCI Capital Limited; Valuable Capital Limited; Guotai Junan Securities (Hong Kong) Limited; CCB International Capital Limited; Zhongtai International Securities Limited</t>
        </is>
      </c>
      <c r="BV107" s="63" t="inlineStr">
        <is>
          <t>ABCI Securities Company Limited; CCB International Capital Limited; Guotai Junan Securities (Hong Kong) Limited; Sorrento Securities Limited; Valuable Capital Limited; Yuzhou Financial Holdings Limited; Zheshang International Financial Holdings Co., Limited; Zhongtai International Securities Limited</t>
        </is>
      </c>
      <c r="BW107" s="78">
        <f>HYPERLINK("https://www1.hkexnews.hk/listedco/listconews/sehk/2022/0322/2022032200231.pdf","prospectus")</f>
        <v/>
      </c>
      <c r="BX107" s="78">
        <f>HYPERLINK("https://www1.hkexnews.hk/listedco/listconews/sehk/2022/0330/2022033000152.htm","allotment")</f>
        <v/>
      </c>
      <c r="BY107" s="78">
        <f>HYPERLINK("https://www1.hkexnews.hk/listedco/listconews/sehk/2022/0425/2022042500019.pdf","stabilisation")</f>
        <v/>
      </c>
      <c r="BZ107" s="76" t="n"/>
      <c r="CA107" s="63" t="inlineStr">
        <is>
          <t>A/H: no A-share listing · cornerstone list: no cornerstone tranche in this deal · grey market: no grey-market headline on file for this deal — AAStocks publishes one per listing but keeps only recent items on the stock's news page, and no public archive of past evening sessions exists; captured from this run onward</t>
        </is>
      </c>
    </row>
    <row r="108" ht="15" customHeight="1">
      <c r="A108" s="62" t="inlineStr">
        <is>
          <t>2390</t>
        </is>
      </c>
      <c r="B108" s="63" t="inlineStr">
        <is>
          <t>ZHIHU-W</t>
        </is>
      </c>
      <c r="C108" s="63" t="inlineStr">
        <is>
          <t>知乎－Ｗ</t>
        </is>
      </c>
      <c r="D108" s="63" t="inlineStr">
        <is>
          <t>Tech/AI</t>
        </is>
      </c>
      <c r="E108" s="63" t="inlineStr">
        <is>
          <t>Internet platform / e-commerce</t>
        </is>
      </c>
      <c r="F108" s="63" t="inlineStr">
        <is>
          <t>e-Commerce &amp; Internet Services</t>
        </is>
      </c>
      <c r="G108" s="63" t="inlineStr">
        <is>
          <t>WVR</t>
        </is>
      </c>
      <c r="H108" s="64" t="n">
        <v>44673</v>
      </c>
      <c r="I108" s="65" t="n">
        <v>833.6</v>
      </c>
      <c r="J108" s="63" t="inlineStr">
        <is>
          <t>gross (price x shares)</t>
        </is>
      </c>
      <c r="K108" s="66" t="n"/>
      <c r="L108" s="66" t="n">
        <v>32.06</v>
      </c>
      <c r="M108" s="66" t="n">
        <v>32.06</v>
      </c>
      <c r="N108" s="63" t="inlineStr">
        <is>
          <t>Y</t>
        </is>
      </c>
      <c r="O108" s="67" t="n">
        <v>100</v>
      </c>
      <c r="P108" s="67" t="n"/>
      <c r="Q108" s="68" t="n">
        <v>16410</v>
      </c>
      <c r="R108" s="63" t="inlineStr">
        <is>
          <t>prospectus:stated market capitalisation</t>
        </is>
      </c>
      <c r="S108" s="69" t="n">
        <v>1</v>
      </c>
      <c r="T108" s="70" t="n">
        <v>4.37</v>
      </c>
      <c r="U108" s="71" t="n"/>
      <c r="V108" s="68" t="n">
        <v>833.6</v>
      </c>
      <c r="W108" s="68" t="n">
        <v>26000000</v>
      </c>
      <c r="X108" s="67" t="n">
        <v>5.08</v>
      </c>
      <c r="Y108" s="63" t="n"/>
      <c r="Z108" s="63" t="n"/>
      <c r="AA108" s="67" t="n">
        <v>8.199999999999999</v>
      </c>
      <c r="AB108" s="72" t="n"/>
      <c r="AC108" s="66" t="n"/>
      <c r="AD108" s="72" t="n"/>
      <c r="AE108" s="63" t="n"/>
      <c r="AF108" s="63" t="n"/>
      <c r="AG108" s="63" t="inlineStr">
        <is>
          <t>lapsed</t>
        </is>
      </c>
      <c r="AH108" s="63" t="inlineStr">
        <is>
          <t>2022-05-14</t>
        </is>
      </c>
      <c r="AI108" s="63" t="inlineStr">
        <is>
          <t>Credit Suisse</t>
        </is>
      </c>
      <c r="AJ108" s="63" t="inlineStr">
        <is>
          <t>Credit Suisse</t>
        </is>
      </c>
      <c r="AK108" s="73" t="n">
        <v>-23.58</v>
      </c>
      <c r="AL108" s="72" t="n">
        <v>-22.18</v>
      </c>
      <c r="AM108" s="72" t="n">
        <v>-1.8</v>
      </c>
      <c r="AN108" s="72" t="n">
        <v>-15.78</v>
      </c>
      <c r="AO108" s="72" t="n">
        <v>-36.21</v>
      </c>
      <c r="AP108" s="72" t="n">
        <v>-32.94</v>
      </c>
      <c r="AQ108" s="72" t="n">
        <v>10.21</v>
      </c>
      <c r="AR108" s="72" t="n">
        <v>-16.53</v>
      </c>
      <c r="AS108" s="72" t="n">
        <v>-12.25</v>
      </c>
      <c r="AT108" s="72" t="n">
        <v>-27.89</v>
      </c>
      <c r="AU108" s="72" t="n">
        <v>-37.89</v>
      </c>
      <c r="AV108" s="72" t="n">
        <v>-48.56</v>
      </c>
      <c r="AW108" s="72" t="n">
        <v>-17.9</v>
      </c>
      <c r="AX108" s="72" t="n">
        <v>1.68</v>
      </c>
      <c r="AY108" s="72" t="n">
        <v>1.37</v>
      </c>
      <c r="AZ108" s="63" t="inlineStr">
        <is>
          <t>HSTECH (Hang Seng TECH ETF)</t>
        </is>
      </c>
      <c r="BA108" s="72" t="n">
        <v>-75.2</v>
      </c>
      <c r="BB108" s="64" t="inlineStr">
        <is>
          <t>2026-08-28</t>
        </is>
      </c>
      <c r="BC108" s="65" t="n"/>
      <c r="BD108" s="68" t="n"/>
      <c r="BE108" s="63" t="n"/>
      <c r="BF108" s="75">
        <f>IF('BBG Verify'!O108="","not filed — run on terminal",'BBG Verify'!O108)</f>
        <v/>
      </c>
      <c r="BG108" s="74" t="n"/>
      <c r="BH108" s="74" t="n"/>
      <c r="BI108" s="74" t="n"/>
      <c r="BJ108" s="75">
        <f>IF('BBG Verify'!S108="","not filed — run on terminal",'BBG Verify'!S108)</f>
        <v/>
      </c>
      <c r="BK108" s="76" t="inlineStr">
        <is>
          <t>N</t>
        </is>
      </c>
      <c r="BL108" s="77">
        <f>IF('BBG Verify'!K108="","not filed — run on terminal",'BBG Verify'!K108)</f>
        <v/>
      </c>
      <c r="BM108" s="63" t="inlineStr">
        <is>
          <t>N/A</t>
        </is>
      </c>
      <c r="BN108" s="63" t="inlineStr">
        <is>
          <t>N/A</t>
        </is>
      </c>
      <c r="BO108" s="63" t="inlineStr">
        <is>
          <t>N/A</t>
        </is>
      </c>
      <c r="BP108" s="63" t="inlineStr">
        <is>
          <t>N/A</t>
        </is>
      </c>
      <c r="BQ108" s="63" t="inlineStr">
        <is>
          <t>N/A</t>
        </is>
      </c>
      <c r="BR108" s="63" t="inlineStr">
        <is>
          <t>N/A</t>
        </is>
      </c>
      <c r="BS108" s="76" t="n"/>
      <c r="BT108" s="63" t="inlineStr">
        <is>
          <t>China International Capital Corporation Hong Kong Securities Limited; J.P. Morgan Securities (Far East) Limited; CMB International Capital Limited; Credit Suisse (Hong Kong) Limited</t>
        </is>
      </c>
      <c r="BU108" s="63" t="inlineStr">
        <is>
          <t>CCB International Capital Limited; China International Capital Corporation Hong Kong Securities Limited; Citrus Securities Limited; CMB International Capital Corporation Limited; Credit Suisse (Hong Kong) Limited; Haitong International Securities Company Limited</t>
        </is>
      </c>
      <c r="BV108" s="63" t="inlineStr">
        <is>
          <t>CCB International Capital Limited; China International Capital Corporation Hong Kong Securities Limited; Citrus Securities Limited; CMB International Capital Corporation Limited; Credit Suisse (Hong Kong) Limited; Haitong International Securities Company Limited; J.P. Morgan Securities (Asia Pacific) Limited</t>
        </is>
      </c>
      <c r="BW108" s="78">
        <f>HYPERLINK("https://www1.hkexnews.hk/listedco/listconews/sehk/2022/0411/2022041100022.htm","prospectus")</f>
        <v/>
      </c>
      <c r="BX108" s="78">
        <f>HYPERLINK("https://www1.hkexnews.hk/listedco/listconews/sehk/2022/0421/2022042100020.htm","allotment")</f>
        <v/>
      </c>
      <c r="BY108" s="78">
        <f>HYPERLINK("https://www1.hkexnews.hk/listedco/listconews/sehk/2022/0515/2022051500043.pdf","stabilisation")</f>
        <v/>
      </c>
      <c r="BZ108" s="76" t="n"/>
      <c r="CA108" s="63" t="inlineStr">
        <is>
          <t>P/E: net income not stated in extractable form · price range: fixed-price offering (no indicative range) · range low: cap-only pricing — the filing publishes a Maximum Offer Price and no indicative floor · A/H: no A-share listing · sponsor: English name not in the filing text; AAStocks 保薦人 shown · cornerstone list: cornerstone section not machine-extractable — see the prospectus link · cornerstone %: cornerstone aggregate not stated in the filing · P/S: revenue not extractable · financials: financial tables not machine-extractable and the pre-IPO year is outside AAStocks' 5-year window · grey market: no grey-market headline on file for this deal — AAStocks publishes one per listing but keeps only recent items on the stock's news page, and no public archive of past evening sessions exists; captured from this run onward</t>
        </is>
      </c>
    </row>
    <row r="109" ht="15" customHeight="1">
      <c r="A109" s="62" t="inlineStr">
        <is>
          <t>2352</t>
        </is>
      </c>
      <c r="B109" s="63" t="inlineStr">
        <is>
          <t>DOWELL SERVICE</t>
        </is>
      </c>
      <c r="C109" s="63" t="inlineStr">
        <is>
          <t>東原仁知服務</t>
        </is>
      </c>
      <c r="D109" s="63" t="inlineStr">
        <is>
          <t>Real Estate</t>
        </is>
      </c>
      <c r="E109" s="63" t="inlineStr">
        <is>
          <t>Property management</t>
        </is>
      </c>
      <c r="F109" s="63" t="inlineStr">
        <is>
          <t>Property Service and Management</t>
        </is>
      </c>
      <c r="G109" s="63" t="inlineStr">
        <is>
          <t>Standard</t>
        </is>
      </c>
      <c r="H109" s="64" t="n">
        <v>44680</v>
      </c>
      <c r="I109" s="65" t="n">
        <v>198.3</v>
      </c>
      <c r="J109" s="63" t="inlineStr">
        <is>
          <t>gross (price x shares)</t>
        </is>
      </c>
      <c r="K109" s="66" t="n">
        <v>11.9</v>
      </c>
      <c r="L109" s="66" t="n">
        <v>15.4</v>
      </c>
      <c r="M109" s="66" t="n">
        <v>11.9</v>
      </c>
      <c r="N109" s="63" t="inlineStr">
        <is>
          <t>N</t>
        </is>
      </c>
      <c r="O109" s="67" t="n">
        <v>77.3</v>
      </c>
      <c r="P109" s="67" t="n">
        <v>0</v>
      </c>
      <c r="Q109" s="68" t="n">
        <v>793.2</v>
      </c>
      <c r="R109" s="63" t="inlineStr">
        <is>
          <t>derived:deal size / offer % of enlarged capital</t>
        </is>
      </c>
      <c r="S109" s="69" t="n">
        <v>4.35</v>
      </c>
      <c r="T109" s="70" t="n">
        <v>1.56</v>
      </c>
      <c r="U109" s="71" t="n">
        <v>0</v>
      </c>
      <c r="V109" s="68" t="n">
        <v>198.3</v>
      </c>
      <c r="W109" s="68" t="n">
        <v>16666667</v>
      </c>
      <c r="X109" s="67" t="n">
        <v>25</v>
      </c>
      <c r="Y109" s="63" t="n"/>
      <c r="Z109" s="63" t="n"/>
      <c r="AA109" s="67" t="n">
        <v>7.48</v>
      </c>
      <c r="AB109" s="72" t="n"/>
      <c r="AC109" s="66" t="n"/>
      <c r="AD109" s="72" t="n"/>
      <c r="AE109" s="63" t="n"/>
      <c r="AF109" s="63" t="n"/>
      <c r="AG109" s="63" t="inlineStr">
        <is>
          <t>partial</t>
        </is>
      </c>
      <c r="AH109" s="63" t="inlineStr">
        <is>
          <t>2022-05-22</t>
        </is>
      </c>
      <c r="AI109" s="63" t="inlineStr">
        <is>
          <t>Guotai Junan Securities</t>
        </is>
      </c>
      <c r="AJ109" s="63" t="inlineStr">
        <is>
          <t>Guotai Junan</t>
        </is>
      </c>
      <c r="AK109" s="73" t="n">
        <v>0</v>
      </c>
      <c r="AL109" s="72" t="n">
        <v>0</v>
      </c>
      <c r="AM109" s="72" t="n">
        <v>0</v>
      </c>
      <c r="AN109" s="72" t="n">
        <v>-4.2</v>
      </c>
      <c r="AO109" s="72" t="n">
        <v>-0</v>
      </c>
      <c r="AP109" s="72" t="n">
        <v>-18.49</v>
      </c>
      <c r="AQ109" s="72" t="n">
        <v>-4.2</v>
      </c>
      <c r="AR109" s="72" t="n">
        <v>0</v>
      </c>
      <c r="AS109" s="72" t="n">
        <v>-18.49</v>
      </c>
      <c r="AT109" s="72" t="n">
        <v>0.41</v>
      </c>
      <c r="AU109" s="72" t="n">
        <v>-0.61</v>
      </c>
      <c r="AV109" s="72" t="n">
        <v>-4.38</v>
      </c>
      <c r="AW109" s="72" t="n">
        <v>-0.17</v>
      </c>
      <c r="AX109" s="72" t="n">
        <v>0.61</v>
      </c>
      <c r="AY109" s="72" t="n">
        <v>0.17</v>
      </c>
      <c r="AZ109" s="63" t="inlineStr">
        <is>
          <t>Hang Seng Properties sub-index</t>
        </is>
      </c>
      <c r="BA109" s="72" t="n">
        <v>-71.59999999999999</v>
      </c>
      <c r="BB109" s="64" t="inlineStr">
        <is>
          <t>2026-08-28</t>
        </is>
      </c>
      <c r="BC109" s="65" t="n">
        <v>1312.8</v>
      </c>
      <c r="BD109" s="68" t="n">
        <v>143.4</v>
      </c>
      <c r="BE109" s="63" t="inlineStr">
        <is>
          <t>Y</t>
        </is>
      </c>
      <c r="BF109" s="74" t="n">
        <v>5.5</v>
      </c>
      <c r="BG109" s="74" t="n"/>
      <c r="BH109" s="74" t="n">
        <v>7.1</v>
      </c>
      <c r="BI109" s="74" t="n">
        <v>0.6</v>
      </c>
      <c r="BJ109" s="75">
        <f>IF('BBG Verify'!S109="","not filed — run on terminal",'BBG Verify'!S109)</f>
        <v/>
      </c>
      <c r="BK109" s="76" t="inlineStr">
        <is>
          <t>N</t>
        </is>
      </c>
      <c r="BL109" s="77">
        <f>IF('BBG Verify'!K109="","not filed — run on terminal",'BBG Verify'!K109)</f>
        <v/>
      </c>
      <c r="BM109" s="63" t="inlineStr">
        <is>
          <t>N/A</t>
        </is>
      </c>
      <c r="BN109" s="63" t="inlineStr">
        <is>
          <t>N/A</t>
        </is>
      </c>
      <c r="BO109" s="63" t="inlineStr">
        <is>
          <t>N/A</t>
        </is>
      </c>
      <c r="BP109" s="63" t="inlineStr">
        <is>
          <t>N/A</t>
        </is>
      </c>
      <c r="BQ109" s="63" t="inlineStr">
        <is>
          <t>N/A</t>
        </is>
      </c>
      <c r="BR109" s="63" t="inlineStr">
        <is>
          <t>N/A</t>
        </is>
      </c>
      <c r="BS109" s="76" t="inlineStr">
        <is>
          <t>Guotai Junan Capital Limited</t>
        </is>
      </c>
      <c r="BT109" s="63" t="inlineStr">
        <is>
          <t>Guotai Junan Capital Limited</t>
        </is>
      </c>
      <c r="BU109" s="63" t="inlineStr">
        <is>
          <t>Guotai Junan Securities (Hong Kong) Limited; ABCI Capital Limited; BOCOM International Securities Limited; CLSA Limited; ICBC International Capital Limited; CMBC Securities Company Limited; Fortune (HK) Securities Limited; Futu Securities International (Hong Kong) Limited; Guosen Securities (HK) Capital Company Limited; Zheshang International Financial Holdings Co., Limited</t>
        </is>
      </c>
      <c r="BV109" s="63" t="inlineStr">
        <is>
          <t>ABCI Securities Company Limited; Beta International Securities Limited; China Everbright Securities (HK) Limited; CLSA Limited; CMBC Securities Company Limited; Fortune (HK) Securities Limited; Futu Securities International (Hong Kong) Limited; Guotai Junan Securities (Hong Kong) Limited; Guosen Securities (HK) Capital Company Limited; ICBC International Securities Limited; Merdeka Securities Limited; Zheshang International Financial Holdings Co., Limited</t>
        </is>
      </c>
      <c r="BW109" s="78">
        <f>HYPERLINK("https://www1.hkexnews.hk/listedco/listconews/sehk/2022/0419/2022041900041.pdf","prospectus")</f>
        <v/>
      </c>
      <c r="BX109" s="78">
        <f>HYPERLINK("https://www1.hkexnews.hk/listedco/listconews/sehk/2022/0428/2022042800071.htm","allotment")</f>
        <v/>
      </c>
      <c r="BY109" s="78">
        <f>HYPERLINK("https://www1.hkexnews.hk/listedco/listconews/sehk/2022/0523/2022052300039.pdf","stabilisation")</f>
        <v/>
      </c>
      <c r="BZ109" s="76" t="n"/>
      <c r="CA109" s="63" t="inlineStr">
        <is>
          <t>A/H: no A-share listing · cornerstone list: no cornerstone tranche in this deal · grey market: no grey-market headline on file for this deal — AAStocks publishes one per listing but keeps only recent items on the stock's news page, and no public archive of past evening sessions exists; captured from this run onward</t>
        </is>
      </c>
    </row>
    <row r="110" ht="15" customHeight="1">
      <c r="A110" s="62" t="inlineStr">
        <is>
          <t>2325</t>
        </is>
      </c>
      <c r="B110" s="63" t="inlineStr">
        <is>
          <t>YUNKANG GROUP</t>
        </is>
      </c>
      <c r="C110" s="63" t="inlineStr">
        <is>
          <t>雲康集團</t>
        </is>
      </c>
      <c r="D110" s="63" t="inlineStr">
        <is>
          <t>Healthcare</t>
        </is>
      </c>
      <c r="E110" s="63" t="inlineStr">
        <is>
          <t>CXO / pharma services</t>
        </is>
      </c>
      <c r="F110" s="63" t="inlineStr">
        <is>
          <t>Health Care Services</t>
        </is>
      </c>
      <c r="G110" s="63" t="inlineStr">
        <is>
          <t>Standard</t>
        </is>
      </c>
      <c r="H110" s="64" t="n">
        <v>44699</v>
      </c>
      <c r="I110" s="65" t="n">
        <v>1090.3</v>
      </c>
      <c r="J110" s="63" t="inlineStr">
        <is>
          <t>gross (price x shares)</t>
        </is>
      </c>
      <c r="K110" s="66" t="n"/>
      <c r="L110" s="66" t="n">
        <v>7.89</v>
      </c>
      <c r="M110" s="66" t="n">
        <v>7.89</v>
      </c>
      <c r="N110" s="63" t="inlineStr">
        <is>
          <t>Y</t>
        </is>
      </c>
      <c r="O110" s="67" t="n">
        <v>100</v>
      </c>
      <c r="P110" s="67" t="n"/>
      <c r="Q110" s="68" t="n">
        <v>4343.8</v>
      </c>
      <c r="R110" s="63" t="inlineStr">
        <is>
          <t>derived:deal size / offer % of enlarged capital</t>
        </is>
      </c>
      <c r="S110" s="69" t="n">
        <v>1.35</v>
      </c>
      <c r="T110" s="70" t="n">
        <v>1.39</v>
      </c>
      <c r="U110" s="71" t="n">
        <v>30.2</v>
      </c>
      <c r="V110" s="68" t="n">
        <v>761.03</v>
      </c>
      <c r="W110" s="68" t="n">
        <v>96455224</v>
      </c>
      <c r="X110" s="67" t="n">
        <v>17.52</v>
      </c>
      <c r="Y110" s="63" t="inlineStr">
        <is>
          <t>Harvest International Premium Value (Secondary Market) Fund SPC; YHLO (Hong Kong) Limited</t>
        </is>
      </c>
      <c r="Z110" s="63" t="inlineStr">
        <is>
          <t>harvest;yhlo</t>
        </is>
      </c>
      <c r="AA110" s="67" t="n">
        <v>6.17</v>
      </c>
      <c r="AB110" s="72" t="n"/>
      <c r="AC110" s="66" t="n"/>
      <c r="AD110" s="72" t="n"/>
      <c r="AE110" s="63" t="n"/>
      <c r="AF110" s="63" t="n"/>
      <c r="AG110" s="63" t="inlineStr">
        <is>
          <t>partial</t>
        </is>
      </c>
      <c r="AH110" s="63" t="n"/>
      <c r="AI110" s="63" t="inlineStr">
        <is>
          <t>CMB International Securities Limited</t>
        </is>
      </c>
      <c r="AJ110" s="63" t="inlineStr">
        <is>
          <t>CMB</t>
        </is>
      </c>
      <c r="AK110" s="73" t="n">
        <v>7.73</v>
      </c>
      <c r="AL110" s="72" t="n">
        <v>0</v>
      </c>
      <c r="AM110" s="72" t="n">
        <v>7.73</v>
      </c>
      <c r="AN110" s="72" t="n">
        <v>15.34</v>
      </c>
      <c r="AO110" s="72" t="n">
        <v>94.42</v>
      </c>
      <c r="AP110" s="72" t="n">
        <v>129.4</v>
      </c>
      <c r="AQ110" s="72" t="n">
        <v>7.06</v>
      </c>
      <c r="AR110" s="72" t="n">
        <v>80.47</v>
      </c>
      <c r="AS110" s="72" t="n">
        <v>112.94</v>
      </c>
      <c r="AT110" s="72" t="n">
        <v>17.68</v>
      </c>
      <c r="AU110" s="72" t="n">
        <v>88.43000000000001</v>
      </c>
      <c r="AV110" s="72" t="n">
        <v>119.58</v>
      </c>
      <c r="AW110" s="72" t="n">
        <v>73.54000000000001</v>
      </c>
      <c r="AX110" s="72" t="n">
        <v>5.99</v>
      </c>
      <c r="AY110" s="72" t="n">
        <v>6.93</v>
      </c>
      <c r="AZ110" s="63" t="inlineStr">
        <is>
          <t>China Biotech ETF (HS biotech proxy)</t>
        </is>
      </c>
      <c r="BA110" s="72" t="n">
        <v>-92.70999999999999</v>
      </c>
      <c r="BB110" s="64" t="inlineStr">
        <is>
          <t>2026-08-28</t>
        </is>
      </c>
      <c r="BC110" s="65" t="n">
        <v>1320.4</v>
      </c>
      <c r="BD110" s="68" t="n">
        <v>286.2</v>
      </c>
      <c r="BE110" s="63" t="inlineStr">
        <is>
          <t>Y</t>
        </is>
      </c>
      <c r="BF110" s="74" t="n">
        <v>15.2</v>
      </c>
      <c r="BG110" s="74" t="n"/>
      <c r="BH110" s="74" t="n">
        <v>58.6</v>
      </c>
      <c r="BI110" s="74" t="n">
        <v>3.3</v>
      </c>
      <c r="BJ110" s="75">
        <f>IF('BBG Verify'!S110="","not filed — run on terminal",'BBG Verify'!S110)</f>
        <v/>
      </c>
      <c r="BK110" s="76" t="inlineStr">
        <is>
          <t>N</t>
        </is>
      </c>
      <c r="BL110" s="77">
        <f>IF('BBG Verify'!K110="","not filed — run on terminal",'BBG Verify'!K110)</f>
        <v/>
      </c>
      <c r="BM110" s="63" t="inlineStr">
        <is>
          <t>N/A</t>
        </is>
      </c>
      <c r="BN110" s="63" t="inlineStr">
        <is>
          <t>N/A</t>
        </is>
      </c>
      <c r="BO110" s="63" t="inlineStr">
        <is>
          <t>N/A</t>
        </is>
      </c>
      <c r="BP110" s="63" t="inlineStr">
        <is>
          <t>N/A</t>
        </is>
      </c>
      <c r="BQ110" s="63" t="inlineStr">
        <is>
          <t>N/A</t>
        </is>
      </c>
      <c r="BR110" s="63" t="inlineStr">
        <is>
          <t>N/A</t>
        </is>
      </c>
      <c r="BS110" s="76" t="inlineStr">
        <is>
          <t>CMB International Capital Limited; SPDB International Capital Limited</t>
        </is>
      </c>
      <c r="BT110" s="63" t="inlineStr">
        <is>
          <t>CMB International Capital Limited; SPDB International Capital Limited</t>
        </is>
      </c>
      <c r="BU110" s="63" t="inlineStr">
        <is>
          <t>CMB International Capital Limited; SPDB International Capital Limited; China Merchants Securities (HK) Co., Limited; CCB International Capital Limited; CRIC Securities Company Limited; Futu Securities International (Hong Kong) Limited</t>
        </is>
      </c>
      <c r="BV110" s="63" t="inlineStr">
        <is>
          <t>Blackwell Global Securities Limited; CCB International Capital Limited; CMB International Capital Limited; China Merchants Securities (HK) Company Limited; CRIC Securities Company Limited; Futu Securities International (Hong Kong) Limited; Livermore Holdings Limited; SPDB International Capital Limited</t>
        </is>
      </c>
      <c r="BW110" s="78">
        <f>HYPERLINK("https://www1.hkexnews.hk/listedco/listconews/sehk/2022/0505/2022050500011.pdf","prospectus")</f>
        <v/>
      </c>
      <c r="BX110" s="78">
        <f>HYPERLINK("https://www1.hkexnews.hk/listedco/listconews/sehk/2022/0517/2022051700032.htm","allotment")</f>
        <v/>
      </c>
      <c r="BY110" s="78">
        <f>HYPERLINK("https://www1.hkexnews.hk/listedco/listconews/sehk/2022/0610/2022061001076.pdf","stabilisation")</f>
        <v/>
      </c>
      <c r="BZ110" s="76" t="n"/>
      <c r="CA110" s="63" t="inlineStr">
        <is>
          <t>greenshoe: over-allotment outcome already published, and the allotment announcement does not state the stabilisation expiry in a parsable form — the expiry no longer matters once resolved · range low: cap-only pricing — the filing publishes a Maximum Offer Price and no indicative floor · A/H: no A-share listing · grey market: no grey-market headline on file for this deal — AAStocks publishes one per listing but keeps only recent items on the stock's news page, and no public archive of past evening sessions exists; captured from this run onward</t>
        </is>
      </c>
    </row>
    <row r="111" ht="15" customHeight="1">
      <c r="A111" s="62" t="inlineStr">
        <is>
          <t>2347</t>
        </is>
      </c>
      <c r="B111" s="63" t="inlineStr">
        <is>
          <t>YOHO GROUP</t>
        </is>
      </c>
      <c r="C111" s="63" t="inlineStr">
        <is>
          <t>友和集團</t>
        </is>
      </c>
      <c r="D111" s="63" t="inlineStr">
        <is>
          <t>Consumer</t>
        </is>
      </c>
      <c r="E111" s="63" t="inlineStr">
        <is>
          <t>Retail / distribution</t>
        </is>
      </c>
      <c r="F111" s="63" t="inlineStr">
        <is>
          <t>Household Appliances Retail</t>
        </is>
      </c>
      <c r="G111" s="63" t="inlineStr">
        <is>
          <t>Standard</t>
        </is>
      </c>
      <c r="H111" s="64" t="n">
        <v>44722</v>
      </c>
      <c r="I111" s="65" t="n">
        <v>115.5</v>
      </c>
      <c r="J111" s="63" t="inlineStr">
        <is>
          <t>gross (price x shares)</t>
        </is>
      </c>
      <c r="K111" s="66" t="n">
        <v>2.1</v>
      </c>
      <c r="L111" s="66" t="n">
        <v>2.6</v>
      </c>
      <c r="M111" s="66" t="n">
        <v>2.1</v>
      </c>
      <c r="N111" s="63" t="inlineStr">
        <is>
          <t>N</t>
        </is>
      </c>
      <c r="O111" s="67" t="n">
        <v>80.8</v>
      </c>
      <c r="P111" s="67" t="n">
        <v>0</v>
      </c>
      <c r="Q111" s="68" t="n">
        <v>1251.9</v>
      </c>
      <c r="R111" s="63" t="inlineStr">
        <is>
          <t>aastocks:上市市值 at the struck price</t>
        </is>
      </c>
      <c r="S111" s="69" t="n">
        <v>8.369999999999999</v>
      </c>
      <c r="T111" s="70" t="n">
        <v>1.23</v>
      </c>
      <c r="U111" s="71" t="n">
        <v>0</v>
      </c>
      <c r="V111" s="68" t="n">
        <v>115.5</v>
      </c>
      <c r="W111" s="68" t="n">
        <v>55000000</v>
      </c>
      <c r="X111" s="67" t="n">
        <v>9.23</v>
      </c>
      <c r="Y111" s="63" t="n"/>
      <c r="Z111" s="63" t="n"/>
      <c r="AA111" s="67" t="n">
        <v>15</v>
      </c>
      <c r="AB111" s="72" t="n"/>
      <c r="AC111" s="66" t="n"/>
      <c r="AD111" s="72" t="n"/>
      <c r="AE111" s="63" t="n"/>
      <c r="AF111" s="63" t="n"/>
      <c r="AG111" s="63" t="inlineStr">
        <is>
          <t>lapsed</t>
        </is>
      </c>
      <c r="AH111" s="63" t="n"/>
      <c r="AI111" s="63" t="inlineStr">
        <is>
          <t>CMBC Securities Company Limited</t>
        </is>
      </c>
      <c r="AJ111" s="63" t="inlineStr">
        <is>
          <t>CMBC</t>
        </is>
      </c>
      <c r="AK111" s="73" t="n">
        <v>0</v>
      </c>
      <c r="AL111" s="72" t="n">
        <v>8.57</v>
      </c>
      <c r="AM111" s="72" t="n">
        <v>-7.89</v>
      </c>
      <c r="AN111" s="72" t="n">
        <v>-6.19</v>
      </c>
      <c r="AO111" s="72" t="n">
        <v>-28.1</v>
      </c>
      <c r="AP111" s="72" t="n">
        <v>-35.24</v>
      </c>
      <c r="AQ111" s="72" t="n">
        <v>-6.19</v>
      </c>
      <c r="AR111" s="72" t="n">
        <v>-28.1</v>
      </c>
      <c r="AS111" s="72" t="n">
        <v>-35.24</v>
      </c>
      <c r="AT111" s="72" t="n">
        <v>-1.68</v>
      </c>
      <c r="AU111" s="72" t="n">
        <v>-21.83</v>
      </c>
      <c r="AV111" s="72" t="n">
        <v>-20.29</v>
      </c>
      <c r="AW111" s="72" t="n">
        <v>-21.45</v>
      </c>
      <c r="AX111" s="72" t="n">
        <v>-6.27</v>
      </c>
      <c r="AY111" s="72" t="n">
        <v>-6.65</v>
      </c>
      <c r="AZ111" s="63" t="inlineStr">
        <is>
          <t>Hang Seng Commerce &amp; Industry sub-index</t>
        </is>
      </c>
      <c r="BA111" s="72" t="n">
        <v>-66.43000000000001</v>
      </c>
      <c r="BB111" s="64" t="inlineStr">
        <is>
          <t>2026-08-28</t>
        </is>
      </c>
      <c r="BC111" s="65" t="n">
        <v>523</v>
      </c>
      <c r="BD111" s="68" t="n">
        <v>33.7</v>
      </c>
      <c r="BE111" s="63" t="inlineStr">
        <is>
          <t>Y</t>
        </is>
      </c>
      <c r="BF111" s="74" t="n">
        <v>37.1</v>
      </c>
      <c r="BG111" s="74" t="n"/>
      <c r="BH111" s="74" t="n">
        <v>20.8</v>
      </c>
      <c r="BI111" s="74" t="n">
        <v>2.4</v>
      </c>
      <c r="BJ111" s="75">
        <f>IF('BBG Verify'!S111="","not filed — run on terminal",'BBG Verify'!S111)</f>
        <v/>
      </c>
      <c r="BK111" s="76" t="inlineStr">
        <is>
          <t>N</t>
        </is>
      </c>
      <c r="BL111" s="77">
        <f>IF('BBG Verify'!K111="","not filed — run on terminal",'BBG Verify'!K111)</f>
        <v/>
      </c>
      <c r="BM111" s="63" t="inlineStr">
        <is>
          <t>N/A</t>
        </is>
      </c>
      <c r="BN111" s="63" t="inlineStr">
        <is>
          <t>N/A</t>
        </is>
      </c>
      <c r="BO111" s="63" t="inlineStr">
        <is>
          <t>N/A</t>
        </is>
      </c>
      <c r="BP111" s="63" t="inlineStr">
        <is>
          <t>N/A</t>
        </is>
      </c>
      <c r="BQ111" s="63" t="inlineStr">
        <is>
          <t>N/A</t>
        </is>
      </c>
      <c r="BR111" s="63" t="inlineStr">
        <is>
          <t>N/A</t>
        </is>
      </c>
      <c r="BS111" s="76" t="inlineStr">
        <is>
          <t>CMBC International Capital Limited; Financial Adviser Note Wings Securities Limited</t>
        </is>
      </c>
      <c r="BT111" s="63" t="inlineStr">
        <is>
          <t>CMBC International Capital Limited</t>
        </is>
      </c>
      <c r="BU111" s="63" t="inlineStr">
        <is>
          <t>CMBC Securities Company Limited; Eddid Securities and Futures Limited; Haitong International Securities Company Limited; Zhongtai International Securities Limited; China Everbright Securities (HK) Limited; SBI China Capital Financial Services Limited; Futu Securities International (Hong Kong) Limited; Valuable Capital Limited; Cinda International Capital Limited</t>
        </is>
      </c>
      <c r="BV111" s="63" t="inlineStr">
        <is>
          <t>China Everbright Securities (HK) Limited; China Tonghai Securities Limited; Cinda International Capital Limited; CMBC Securities Company Limited; China Sky Securities Limited; Ever-Long Securities Company Limited; Eddid Securities and Futures Limited; FUTEC Financial Limited; Futu Securities International (Hong Kong) Limited; Haitong International Securities Company Limited; Livermore Holdings Limited; SBI China Capital Financial Services Limited</t>
        </is>
      </c>
      <c r="BW111" s="78">
        <f>HYPERLINK("https://www1.hkexnews.hk/listedco/listconews/sehk/2022/0526/2022052600069.pdf","prospectus")</f>
        <v/>
      </c>
      <c r="BX111" s="78">
        <f>HYPERLINK("https://www1.hkexnews.hk/listedco/listconews/sehk/2022/0609/2022060900032.htm","allotment")</f>
        <v/>
      </c>
      <c r="BY111" s="78">
        <f>HYPERLINK("https://www1.hkexnews.hk/listedco/listconews/sehk/2022/0630/2022063000818.pdf","stabilisation")</f>
        <v/>
      </c>
      <c r="BZ111" s="76" t="n"/>
      <c r="CA111" s="63" t="inlineStr">
        <is>
          <t>greenshoe: over-allotment outcome already published, and the allotment announcement does not state the stabilisation expiry in a parsable form — the expiry no longer matters once resolved · A/H: no A-share listing · market cap: estimate from deal size / offer % of enlarged capital disagreed with the published listing cap — published figure adopted · cornerstone list: no cornerstone tranche in this deal · grey market: no grey-market headline on file for this deal — AAStocks publishes one per listing but keeps only recent items on the stock's news page, and no public archive of past evening sessions exists; captured from this run onward</t>
        </is>
      </c>
    </row>
    <row r="112" ht="15" customHeight="1">
      <c r="A112" s="62" t="inlineStr">
        <is>
          <t>6667</t>
        </is>
      </c>
      <c r="B112" s="63" t="inlineStr">
        <is>
          <t>MEGA GENOMICS</t>
        </is>
      </c>
      <c r="C112" s="63" t="inlineStr">
        <is>
          <t>美因基因</t>
        </is>
      </c>
      <c r="D112" s="63" t="inlineStr">
        <is>
          <t>Healthcare</t>
        </is>
      </c>
      <c r="E112" s="63" t="inlineStr">
        <is>
          <t>CXO / pharma services</t>
        </is>
      </c>
      <c r="F112" s="63" t="inlineStr">
        <is>
          <t>Biotechnology - Supplies &amp; Services</t>
        </is>
      </c>
      <c r="G112" s="63" t="inlineStr">
        <is>
          <t>Standard</t>
        </is>
      </c>
      <c r="H112" s="64" t="n">
        <v>44734</v>
      </c>
      <c r="I112" s="65" t="n">
        <v>215.3</v>
      </c>
      <c r="J112" s="63" t="inlineStr">
        <is>
          <t>gross (price x shares)</t>
        </is>
      </c>
      <c r="K112" s="66" t="n">
        <v>18</v>
      </c>
      <c r="L112" s="66" t="n">
        <v>22</v>
      </c>
      <c r="M112" s="66" t="n">
        <v>18</v>
      </c>
      <c r="N112" s="63" t="inlineStr">
        <is>
          <t>N</t>
        </is>
      </c>
      <c r="O112" s="67" t="n">
        <v>81.8</v>
      </c>
      <c r="P112" s="67" t="n">
        <v>0</v>
      </c>
      <c r="Q112" s="68" t="n">
        <v>4306</v>
      </c>
      <c r="R112" s="63" t="inlineStr">
        <is>
          <t>derived:deal size / offer % of enlarged capital</t>
        </is>
      </c>
      <c r="S112" s="69" t="n">
        <v>9.619999999999999</v>
      </c>
      <c r="T112" s="70" t="n">
        <v>2.05</v>
      </c>
      <c r="U112" s="71" t="n">
        <v>75.90000000000001</v>
      </c>
      <c r="V112" s="68" t="n">
        <v>51.89</v>
      </c>
      <c r="W112" s="68" t="n">
        <v>2882794</v>
      </c>
      <c r="X112" s="67" t="n">
        <v>1.2</v>
      </c>
      <c r="Y112" s="63" t="inlineStr">
        <is>
          <t>Maccura Biotechnology Co., Ltd; Nanchang Financial Holdings Co., Ltd</t>
        </is>
      </c>
      <c r="Z112" s="63" t="inlineStr">
        <is>
          <t>maccura;nanchang</t>
        </is>
      </c>
      <c r="AA112" s="67" t="n">
        <v>15</v>
      </c>
      <c r="AB112" s="72" t="n"/>
      <c r="AC112" s="66" t="n"/>
      <c r="AD112" s="72" t="n"/>
      <c r="AE112" s="63" t="n"/>
      <c r="AF112" s="63" t="n"/>
      <c r="AG112" s="63" t="inlineStr">
        <is>
          <t>lapsed</t>
        </is>
      </c>
      <c r="AH112" s="63" t="inlineStr">
        <is>
          <t>2022-07-15</t>
        </is>
      </c>
      <c r="AI112" s="63" t="inlineStr">
        <is>
          <t>China Securities</t>
        </is>
      </c>
      <c r="AJ112" s="63" t="inlineStr">
        <is>
          <t>China Securities</t>
        </is>
      </c>
      <c r="AK112" s="73" t="n">
        <v>0</v>
      </c>
      <c r="AL112" s="72" t="n">
        <v>8.220000000000001</v>
      </c>
      <c r="AM112" s="72" t="n">
        <v>-7.6</v>
      </c>
      <c r="AN112" s="72" t="n">
        <v>-1.11</v>
      </c>
      <c r="AO112" s="72" t="n">
        <v>-1.22</v>
      </c>
      <c r="AP112" s="72" t="n">
        <v>-24.22</v>
      </c>
      <c r="AQ112" s="72" t="n">
        <v>-1.11</v>
      </c>
      <c r="AR112" s="72" t="n">
        <v>-1.22</v>
      </c>
      <c r="AS112" s="72" t="n">
        <v>-24.22</v>
      </c>
      <c r="AT112" s="72" t="n">
        <v>-4.87</v>
      </c>
      <c r="AU112" s="72" t="n">
        <v>-6.85</v>
      </c>
      <c r="AV112" s="72" t="n">
        <v>-9.83</v>
      </c>
      <c r="AW112" s="72" t="n">
        <v>-8.07</v>
      </c>
      <c r="AX112" s="72" t="n">
        <v>5.63</v>
      </c>
      <c r="AY112" s="72" t="n">
        <v>6.85</v>
      </c>
      <c r="AZ112" s="63" t="inlineStr">
        <is>
          <t>China Biotech ETF (HS biotech proxy)</t>
        </is>
      </c>
      <c r="BA112" s="72" t="n">
        <v>-60.56</v>
      </c>
      <c r="BB112" s="64" t="inlineStr">
        <is>
          <t>2026-08-28</t>
        </is>
      </c>
      <c r="BC112" s="65" t="n">
        <v>260.9</v>
      </c>
      <c r="BD112" s="68" t="n">
        <v>86.90000000000001</v>
      </c>
      <c r="BE112" s="63" t="inlineStr">
        <is>
          <t>Y</t>
        </is>
      </c>
      <c r="BF112" s="74" t="n">
        <v>49.6</v>
      </c>
      <c r="BG112" s="74" t="n">
        <v>24.8</v>
      </c>
      <c r="BH112" s="74" t="n">
        <v>43.5</v>
      </c>
      <c r="BI112" s="74" t="n">
        <v>16.5</v>
      </c>
      <c r="BJ112" s="75">
        <f>IF('BBG Verify'!S112="","not filed — run on terminal",'BBG Verify'!S112)</f>
        <v/>
      </c>
      <c r="BK112" s="76" t="inlineStr">
        <is>
          <t>N</t>
        </is>
      </c>
      <c r="BL112" s="77">
        <f>IF('BBG Verify'!K112="","not filed — run on terminal",'BBG Verify'!K112)</f>
        <v/>
      </c>
      <c r="BM112" s="63" t="inlineStr">
        <is>
          <t>N/A</t>
        </is>
      </c>
      <c r="BN112" s="63" t="inlineStr">
        <is>
          <t>N/A</t>
        </is>
      </c>
      <c r="BO112" s="63" t="inlineStr">
        <is>
          <t>N/A</t>
        </is>
      </c>
      <c r="BP112" s="63" t="inlineStr">
        <is>
          <t>N/A</t>
        </is>
      </c>
      <c r="BQ112" s="63" t="inlineStr">
        <is>
          <t>N/A</t>
        </is>
      </c>
      <c r="BR112" s="63" t="inlineStr">
        <is>
          <t>N/A</t>
        </is>
      </c>
      <c r="BS112" s="76" t="inlineStr">
        <is>
          <t>China Securities (International) Corporate Finance Company Limited</t>
        </is>
      </c>
      <c r="BT112" s="63" t="inlineStr">
        <is>
          <t>China Securities (International) Corporate Finance Company Limited</t>
        </is>
      </c>
      <c r="BU112" s="63" t="inlineStr">
        <is>
          <t>China Securities (International) Corporate Finance Company Limited; China Merchants Securities (HK) Co., Limited</t>
        </is>
      </c>
      <c r="BV112" s="63" t="inlineStr">
        <is>
          <t>China Merchants Securities (HK) Company Limited; China Securities (International) Corporate Finance Company Limited; Futu Securities International (Hong Kong) Limited; Guotai Junan Securities (Hong Kong) Limited; Livermore Holdings Limited; Tiger Brokers (HK) Global Limited; Zhongtai International Securities Limited</t>
        </is>
      </c>
      <c r="BW112" s="78">
        <f>HYPERLINK("https://www1.hkexnews.hk/listedco/listconews/sehk/2022/0610/2022061000015.pdf","prospectus")</f>
        <v/>
      </c>
      <c r="BX112" s="78">
        <f>HYPERLINK("https://www1.hkexnews.hk/listedco/listconews/sehk/2022/0621/2022062100030.htm","allotment")</f>
        <v/>
      </c>
      <c r="BY112" s="78">
        <f>HYPERLINK("https://www1.hkexnews.hk/listedco/listconews/sehk/2022/0715/2022071501424.pdf","stabilisation")</f>
        <v/>
      </c>
      <c r="BZ112" s="76" t="n"/>
      <c r="CA112" s="63" t="inlineStr">
        <is>
          <t>A/H: no A-share listing · cornerstone %: AAStocks institutional-order total / deal size — an upper bound; the table can include non-cornerstone orders · grey market: no grey-market headline on file for this deal — AAStocks publishes one per listing but keeps only recent items on the stock's news page, and no public archive of past evening sessions exists; captured from this run onward</t>
        </is>
      </c>
    </row>
    <row r="113" ht="15" customHeight="1">
      <c r="A113" s="62" t="inlineStr">
        <is>
          <t>2246</t>
        </is>
      </c>
      <c r="B113" s="63" t="inlineStr">
        <is>
          <t>GOGOX</t>
        </is>
      </c>
      <c r="C113" s="63" t="inlineStr">
        <is>
          <t>快狗打車</t>
        </is>
      </c>
      <c r="D113" s="63" t="inlineStr">
        <is>
          <t>Industrials</t>
        </is>
      </c>
      <c r="E113" s="63" t="inlineStr">
        <is>
          <t>Logistics</t>
        </is>
      </c>
      <c r="F113" s="63" t="inlineStr">
        <is>
          <t>Air Freight &amp; Logistics</t>
        </is>
      </c>
      <c r="G113" s="63" t="inlineStr">
        <is>
          <t>Standard</t>
        </is>
      </c>
      <c r="H113" s="64" t="n">
        <v>44736</v>
      </c>
      <c r="I113" s="65" t="n">
        <v>670.8</v>
      </c>
      <c r="J113" s="63" t="inlineStr">
        <is>
          <t>gross (price x shares)</t>
        </is>
      </c>
      <c r="K113" s="66" t="n"/>
      <c r="L113" s="66" t="n">
        <v>21.5</v>
      </c>
      <c r="M113" s="66" t="n">
        <v>21.5</v>
      </c>
      <c r="N113" s="63" t="inlineStr">
        <is>
          <t>Y</t>
        </is>
      </c>
      <c r="O113" s="67" t="n">
        <v>100</v>
      </c>
      <c r="P113" s="67" t="n"/>
      <c r="Q113" s="68" t="n">
        <v>13152.9</v>
      </c>
      <c r="R113" s="63" t="inlineStr">
        <is>
          <t>derived:deal size / offer % of enlarged capital</t>
        </is>
      </c>
      <c r="S113" s="69" t="n">
        <v>4.05</v>
      </c>
      <c r="T113" s="70" t="n">
        <v>1.4</v>
      </c>
      <c r="U113" s="71" t="n">
        <v>74.3</v>
      </c>
      <c r="V113" s="68" t="n">
        <v>172.4</v>
      </c>
      <c r="W113" s="68" t="n">
        <v>8018400</v>
      </c>
      <c r="X113" s="67" t="n">
        <v>1.31</v>
      </c>
      <c r="Y113" s="63" t="inlineStr">
        <is>
          <t>Chery Commercial Vehicle (Anhui) Company Limited; GF Global Capital Limited</t>
        </is>
      </c>
      <c r="Z113" s="63" t="inlineStr">
        <is>
          <t>chery;gf</t>
        </is>
      </c>
      <c r="AA113" s="67" t="n">
        <v>19.11</v>
      </c>
      <c r="AB113" s="72" t="n"/>
      <c r="AC113" s="66" t="n"/>
      <c r="AD113" s="72" t="n"/>
      <c r="AE113" s="63" t="n"/>
      <c r="AF113" s="63" t="n"/>
      <c r="AG113" s="63" t="inlineStr">
        <is>
          <t>lapsed</t>
        </is>
      </c>
      <c r="AH113" s="63" t="inlineStr">
        <is>
          <t>2022-07-17</t>
        </is>
      </c>
      <c r="AI113" s="63" t="inlineStr">
        <is>
          <t>UBS AG Hong Kong Branch</t>
        </is>
      </c>
      <c r="AJ113" s="63" t="inlineStr">
        <is>
          <t>UBS</t>
        </is>
      </c>
      <c r="AK113" s="73" t="n">
        <v>-22.23</v>
      </c>
      <c r="AL113" s="72" t="n">
        <v>0</v>
      </c>
      <c r="AM113" s="72" t="n">
        <v>-22.23</v>
      </c>
      <c r="AN113" s="72" t="n">
        <v>-47.91</v>
      </c>
      <c r="AO113" s="72" t="n">
        <v>-68.33</v>
      </c>
      <c r="AP113" s="72" t="n">
        <v>-76.73999999999999</v>
      </c>
      <c r="AQ113" s="72" t="n">
        <v>-33.02</v>
      </c>
      <c r="AR113" s="72" t="n">
        <v>-59.28</v>
      </c>
      <c r="AS113" s="72" t="n">
        <v>-70.09</v>
      </c>
      <c r="AT113" s="72" t="n">
        <v>-51.25</v>
      </c>
      <c r="AU113" s="72" t="n">
        <v>-67.92</v>
      </c>
      <c r="AV113" s="72" t="n">
        <v>-59.72</v>
      </c>
      <c r="AW113" s="72" t="n">
        <v>-55.88</v>
      </c>
      <c r="AX113" s="72" t="n">
        <v>-0.41</v>
      </c>
      <c r="AY113" s="72" t="n">
        <v>-3.4</v>
      </c>
      <c r="AZ113" s="63" t="inlineStr">
        <is>
          <t>Hang Seng Commerce &amp; Industry sub-index</t>
        </is>
      </c>
      <c r="BA113" s="72" t="n">
        <v>-99.44</v>
      </c>
      <c r="BB113" s="64" t="inlineStr">
        <is>
          <t>2026-08-31</t>
        </is>
      </c>
      <c r="BC113" s="65" t="n">
        <v>583.4</v>
      </c>
      <c r="BD113" s="68" t="n">
        <v>-960.1</v>
      </c>
      <c r="BE113" s="63" t="inlineStr">
        <is>
          <t>N</t>
        </is>
      </c>
      <c r="BF113" s="63" t="inlineStr">
        <is>
          <t>n/m</t>
        </is>
      </c>
      <c r="BG113" s="74" t="n"/>
      <c r="BH113" s="74" t="n"/>
      <c r="BI113" s="74" t="n">
        <v>22.5</v>
      </c>
      <c r="BJ113" s="75">
        <f>IF('BBG Verify'!S113="","not filed — run on terminal",'BBG Verify'!S113)</f>
        <v/>
      </c>
      <c r="BK113" s="76" t="inlineStr">
        <is>
          <t>N</t>
        </is>
      </c>
      <c r="BL113" s="77">
        <f>IF('BBG Verify'!K113="","not filed — run on terminal",'BBG Verify'!K113)</f>
        <v/>
      </c>
      <c r="BM113" s="63" t="inlineStr">
        <is>
          <t>N/A</t>
        </is>
      </c>
      <c r="BN113" s="63" t="inlineStr">
        <is>
          <t>N/A</t>
        </is>
      </c>
      <c r="BO113" s="63" t="inlineStr">
        <is>
          <t>N/A</t>
        </is>
      </c>
      <c r="BP113" s="63" t="inlineStr">
        <is>
          <t>N/A</t>
        </is>
      </c>
      <c r="BQ113" s="63" t="inlineStr">
        <is>
          <t>N/A</t>
        </is>
      </c>
      <c r="BR113" s="63" t="inlineStr">
        <is>
          <t>N/A</t>
        </is>
      </c>
      <c r="BS113" s="76" t="inlineStr">
        <is>
          <t>UBS Securities Hong Kong Limited; China International Capital Corporation Hong Kong Securities Limited; BOCOM International (Asia) Limited; ABCI Capital Limited</t>
        </is>
      </c>
      <c r="BT113" s="63" t="inlineStr">
        <is>
          <t>China International Capital Corporation Hong Kong Securities Limited; UBS Securities Hong Kong Limited; BOCOM International (Asia) Limited; ABCI Capital Limited</t>
        </is>
      </c>
      <c r="BU113" s="63" t="inlineStr">
        <is>
          <t>UBS AG Hong Kong Branch; China International Capital Corporation Hong Kong Securities Limited; BOCOM International Securities Limited; ABCI Capital Limited; Futu Securities International (Hong Kong) Limited; Zhongtai International Securities Limited; Fosun Hani Securities Limited</t>
        </is>
      </c>
      <c r="BV113" s="63" t="inlineStr">
        <is>
          <t>ABCI Securities Company Limited; Beta International Securities Limited; CEB International Capital Corporation Limited; China International Capital Corporation Hong Kong Securities Limited; Eddid Securities and Futures Limited; Fosun Hani Securities Limited; Futu Securities International (Hong Kong) Limited; Livermore Holdings Limited; Tiger Brokers (HK) Global Limited; UBS AG Hong Kong Branch; Zhongtai International Securities Limited</t>
        </is>
      </c>
      <c r="BW113" s="78">
        <f>HYPERLINK("https://www1.hkexnews.hk/listedco/listconews/sehk/2022/0614/2022061400009.pdf","prospectus")</f>
        <v/>
      </c>
      <c r="BX113" s="78">
        <f>HYPERLINK("https://www1.hkexnews.hk/listedco/listconews/sehk/2022/0623/2022062300034.htm","allotment")</f>
        <v/>
      </c>
      <c r="BY113" s="78">
        <f>HYPERLINK("https://www1.hkexnews.hk/listedco/listconews/sehk/2022/0718/2022071800093.pdf","stabilisation")</f>
        <v/>
      </c>
      <c r="BZ113" s="76" t="n"/>
      <c r="CA113" s="63" t="inlineStr">
        <is>
          <t>P/E: n/m — loss-making at IPO (use P/S) · range low: cap-only pricing — the filing publishes a Maximum Offer Price and no indicative floor · A/H: no A-share listing · grey market: no grey-market headline on file for this deal — AAStocks publishes one per listing but keeps only recent items on the stock's news page, and no public archive of past evening sessions exists; captured from this run onward</t>
        </is>
      </c>
    </row>
    <row r="114" ht="15" customHeight="1">
      <c r="A114" s="62" t="inlineStr">
        <is>
          <t>2167</t>
        </is>
      </c>
      <c r="B114" s="63" t="inlineStr">
        <is>
          <t>TI CLOUD</t>
        </is>
      </c>
      <c r="C114" s="63" t="inlineStr">
        <is>
          <t>天潤雲</t>
        </is>
      </c>
      <c r="D114" s="63" t="inlineStr">
        <is>
          <t>Tech/AI</t>
        </is>
      </c>
      <c r="E114" s="63" t="inlineStr">
        <is>
          <t>SaaS / enterprise software</t>
        </is>
      </c>
      <c r="F114" s="63" t="inlineStr">
        <is>
          <t>Systems Software</t>
        </is>
      </c>
      <c r="G114" s="63" t="inlineStr">
        <is>
          <t>Standard</t>
        </is>
      </c>
      <c r="H114" s="64" t="n">
        <v>44742</v>
      </c>
      <c r="I114" s="65" t="n">
        <v>559.4</v>
      </c>
      <c r="J114" s="63" t="inlineStr">
        <is>
          <t>gross (price x shares)</t>
        </is>
      </c>
      <c r="K114" s="66" t="n">
        <v>12.85</v>
      </c>
      <c r="L114" s="66" t="n">
        <v>13.85</v>
      </c>
      <c r="M114" s="66" t="n">
        <v>12.85</v>
      </c>
      <c r="N114" s="63" t="inlineStr">
        <is>
          <t>N</t>
        </is>
      </c>
      <c r="O114" s="67" t="n">
        <v>92.8</v>
      </c>
      <c r="P114" s="67" t="n">
        <v>0</v>
      </c>
      <c r="Q114" s="68" t="n">
        <v>2237.6</v>
      </c>
      <c r="R114" s="63" t="inlineStr">
        <is>
          <t>derived:deal size / offer % of enlarged capital</t>
        </is>
      </c>
      <c r="S114" s="69" t="n">
        <v>1.17</v>
      </c>
      <c r="T114" s="70" t="n">
        <v>1.27</v>
      </c>
      <c r="U114" s="71" t="n">
        <v>23.4</v>
      </c>
      <c r="V114" s="68" t="n">
        <v>428.5</v>
      </c>
      <c r="W114" s="68" t="n">
        <v>33343980</v>
      </c>
      <c r="X114" s="67" t="n">
        <v>19.15</v>
      </c>
      <c r="Y114" s="63" t="inlineStr">
        <is>
          <t>Agora, Inc; Platinum Investment Management Limited</t>
        </is>
      </c>
      <c r="Z114" s="63" t="inlineStr">
        <is>
          <t>agora;platinum</t>
        </is>
      </c>
      <c r="AA114" s="67" t="n">
        <v>8.09</v>
      </c>
      <c r="AB114" s="72" t="n"/>
      <c r="AC114" s="66" t="n"/>
      <c r="AD114" s="72" t="n"/>
      <c r="AE114" s="63" t="n"/>
      <c r="AF114" s="63" t="n"/>
      <c r="AG114" s="63" t="inlineStr">
        <is>
          <t>partial</t>
        </is>
      </c>
      <c r="AH114" s="63" t="inlineStr">
        <is>
          <t>2022-07-24</t>
        </is>
      </c>
      <c r="AI114" s="63" t="inlineStr">
        <is>
          <t>China International Capital Corporation Hong Kong Securities Limited</t>
        </is>
      </c>
      <c r="AJ114" s="63" t="inlineStr">
        <is>
          <t>China International</t>
        </is>
      </c>
      <c r="AK114" s="73" t="n">
        <v>-0.08</v>
      </c>
      <c r="AL114" s="72" t="n">
        <v>-0.08</v>
      </c>
      <c r="AM114" s="72" t="n">
        <v>0</v>
      </c>
      <c r="AN114" s="72" t="n">
        <v>2.72</v>
      </c>
      <c r="AO114" s="72" t="n">
        <v>-19.07</v>
      </c>
      <c r="AP114" s="72" t="n">
        <v>-22.26</v>
      </c>
      <c r="AQ114" s="72" t="n">
        <v>2.8</v>
      </c>
      <c r="AR114" s="72" t="n">
        <v>-19.01</v>
      </c>
      <c r="AS114" s="72" t="n">
        <v>-22.2</v>
      </c>
      <c r="AT114" s="72" t="n">
        <v>5.43</v>
      </c>
      <c r="AU114" s="72" t="n">
        <v>-6.78</v>
      </c>
      <c r="AV114" s="72" t="n">
        <v>7.17</v>
      </c>
      <c r="AW114" s="72" t="n">
        <v>-7.81</v>
      </c>
      <c r="AX114" s="72" t="n">
        <v>-12.29</v>
      </c>
      <c r="AY114" s="72" t="n">
        <v>-11.2</v>
      </c>
      <c r="AZ114" s="63" t="inlineStr">
        <is>
          <t>HSTECH (Hang Seng TECH ETF)</t>
        </is>
      </c>
      <c r="BA114" s="72" t="n">
        <v>-68.09</v>
      </c>
      <c r="BB114" s="64" t="inlineStr">
        <is>
          <t>2026-08-28</t>
        </is>
      </c>
      <c r="BC114" s="65" t="n">
        <v>442.1</v>
      </c>
      <c r="BD114" s="68" t="n">
        <v>19.6</v>
      </c>
      <c r="BE114" s="63" t="inlineStr">
        <is>
          <t>Y</t>
        </is>
      </c>
      <c r="BF114" s="74" t="n">
        <v>114.2</v>
      </c>
      <c r="BG114" s="74" t="n"/>
      <c r="BH114" s="74" t="n">
        <v>10.2</v>
      </c>
      <c r="BI114" s="74" t="n">
        <v>5.1</v>
      </c>
      <c r="BJ114" s="75">
        <f>IF('BBG Verify'!S114="","not filed — run on terminal",'BBG Verify'!S114)</f>
        <v/>
      </c>
      <c r="BK114" s="76" t="inlineStr">
        <is>
          <t>N</t>
        </is>
      </c>
      <c r="BL114" s="77">
        <f>IF('BBG Verify'!K114="","not filed — run on terminal",'BBG Verify'!K114)</f>
        <v/>
      </c>
      <c r="BM114" s="63" t="inlineStr">
        <is>
          <t>N/A</t>
        </is>
      </c>
      <c r="BN114" s="63" t="inlineStr">
        <is>
          <t>N/A</t>
        </is>
      </c>
      <c r="BO114" s="63" t="inlineStr">
        <is>
          <t>N/A</t>
        </is>
      </c>
      <c r="BP114" s="63" t="inlineStr">
        <is>
          <t>N/A</t>
        </is>
      </c>
      <c r="BQ114" s="63" t="inlineStr">
        <is>
          <t>N/A</t>
        </is>
      </c>
      <c r="BR114" s="63" t="inlineStr">
        <is>
          <t>N/A</t>
        </is>
      </c>
      <c r="BS114" s="76" t="inlineStr">
        <is>
          <t>China International Capital Corporation Hong Kong Securities Limited</t>
        </is>
      </c>
      <c r="BT114" s="63" t="inlineStr">
        <is>
          <t>China International Capital Corporation Hong Kong Securities Limited</t>
        </is>
      </c>
      <c r="BU114" s="63" t="inlineStr">
        <is>
          <t>China International Capital Corporation Hong Kong Securities Limited; Macquarie Capital Limited; CMB International Capital Limited; BOCI Asia Limited; Shenwan Hongyuan Securities (H.K.) Limited; Tiger Brokers (HK) Global Limited; Futu Securities International (Hong Kong) Limited</t>
        </is>
      </c>
      <c r="BV114" s="63" t="inlineStr">
        <is>
          <t>BOCI Asia Limited; China International Capital Corporation Hong Kong Securities Limited; CMB International Capital Limited; Futu Securities International (Hong Kong) Limited; Livermore Holdings Limited; Macquarie Capital Limited; Silverbricks Securities Company Limited; Shenwan Hongyuan Securities (H.K.) Limited; Tiger Brokers (HK) Global Limited</t>
        </is>
      </c>
      <c r="BW114" s="78">
        <f>HYPERLINK("https://www1.hkexnews.hk/listedco/listconews/sehk/2022/0621/2022062100009.pdf","prospectus")</f>
        <v/>
      </c>
      <c r="BX114" s="78">
        <f>HYPERLINK("https://www1.hkexnews.hk/listedco/listconews/sehk/2022/0629/2022062900092.htm","allotment")</f>
        <v/>
      </c>
      <c r="BY114" s="78">
        <f>HYPERLINK("https://www1.hkexnews.hk/listedco/listconews/sehk/2022/0724/2022072400037.pdf","stabilisation")</f>
        <v/>
      </c>
      <c r="BZ114" s="76" t="n"/>
      <c r="CA114" s="63" t="inlineStr">
        <is>
          <t>A/H: no A-share listing · grey market: no grey-market headline on file for this deal — AAStocks publishes one per listing but keeps only recent items on the stock's news page, and no public archive of past evening sessions exists; captured from this run onward</t>
        </is>
      </c>
    </row>
    <row r="115" ht="15" customHeight="1">
      <c r="A115" s="62" t="inlineStr">
        <is>
          <t>2372</t>
        </is>
      </c>
      <c r="B115" s="63" t="inlineStr">
        <is>
          <t>WEILI HOLDINGS</t>
        </is>
      </c>
      <c r="C115" s="63" t="inlineStr">
        <is>
          <t>偉立控股</t>
        </is>
      </c>
      <c r="D115" s="63" t="inlineStr">
        <is>
          <t>Materials/Energy</t>
        </is>
      </c>
      <c r="E115" s="63" t="inlineStr">
        <is>
          <t>Chemicals</t>
        </is>
      </c>
      <c r="F115" s="63" t="inlineStr">
        <is>
          <t>Cigarette Products</t>
        </is>
      </c>
      <c r="G115" s="63" t="inlineStr">
        <is>
          <t>Standard</t>
        </is>
      </c>
      <c r="H115" s="64" t="n">
        <v>44742</v>
      </c>
      <c r="I115" s="65" t="n">
        <v>126</v>
      </c>
      <c r="J115" s="63" t="inlineStr">
        <is>
          <t>gross (price x shares)</t>
        </is>
      </c>
      <c r="K115" s="66" t="n">
        <v>0.63</v>
      </c>
      <c r="L115" s="66" t="n">
        <v>0.67</v>
      </c>
      <c r="M115" s="66" t="n">
        <v>0.63</v>
      </c>
      <c r="N115" s="63" t="inlineStr">
        <is>
          <t>N</t>
        </is>
      </c>
      <c r="O115" s="67" t="n">
        <v>94</v>
      </c>
      <c r="P115" s="67" t="n">
        <v>0</v>
      </c>
      <c r="Q115" s="68" t="n">
        <v>534.1</v>
      </c>
      <c r="R115" s="63" t="inlineStr">
        <is>
          <t>aastocks:上市市值 at the struck price</t>
        </is>
      </c>
      <c r="S115" s="69" t="n">
        <v>11.37</v>
      </c>
      <c r="T115" s="70" t="n">
        <v>1.29</v>
      </c>
      <c r="U115" s="71" t="n"/>
      <c r="V115" s="68" t="n">
        <v>126</v>
      </c>
      <c r="W115" s="68" t="n">
        <v>200000000</v>
      </c>
      <c r="X115" s="67" t="n">
        <v>23.59</v>
      </c>
      <c r="Y115" s="63" t="n"/>
      <c r="Z115" s="63" t="n"/>
      <c r="AA115" s="67" t="n"/>
      <c r="AB115" s="72" t="n"/>
      <c r="AC115" s="66" t="n"/>
      <c r="AD115" s="72" t="n"/>
      <c r="AE115" s="63" t="n"/>
      <c r="AF115" s="63" t="n"/>
      <c r="AG115" s="63" t="inlineStr">
        <is>
          <t>lapsed (no over-allocation)</t>
        </is>
      </c>
      <c r="AH115" s="63" t="n"/>
      <c r="AI115" s="63" t="n"/>
      <c r="AJ115" s="63" t="n"/>
      <c r="AK115" s="73" t="n">
        <v>0</v>
      </c>
      <c r="AL115" s="72" t="n">
        <v>11.11</v>
      </c>
      <c r="AM115" s="72" t="n">
        <v>-10</v>
      </c>
      <c r="AN115" s="72" t="n">
        <v>4.76</v>
      </c>
      <c r="AO115" s="72" t="n">
        <v>-30.16</v>
      </c>
      <c r="AP115" s="72" t="n">
        <v>-30.16</v>
      </c>
      <c r="AQ115" s="72" t="n">
        <v>4.76</v>
      </c>
      <c r="AR115" s="72" t="n">
        <v>-30.16</v>
      </c>
      <c r="AS115" s="72" t="n">
        <v>-30.16</v>
      </c>
      <c r="AT115" s="72" t="n">
        <v>4.94</v>
      </c>
      <c r="AU115" s="72" t="n">
        <v>-21.1</v>
      </c>
      <c r="AV115" s="72" t="n">
        <v>-8.720000000000001</v>
      </c>
      <c r="AW115" s="72" t="n">
        <v>-22.14</v>
      </c>
      <c r="AX115" s="72" t="n">
        <v>-9.06</v>
      </c>
      <c r="AY115" s="72" t="n">
        <v>-8.02</v>
      </c>
      <c r="AZ115" s="63" t="inlineStr">
        <is>
          <t>Hang Seng Commerce &amp; Industry sub-index</t>
        </is>
      </c>
      <c r="BA115" s="72" t="n">
        <v>57.94</v>
      </c>
      <c r="BB115" s="64" t="inlineStr">
        <is>
          <t>2026-08-28</t>
        </is>
      </c>
      <c r="BC115" s="65" t="n">
        <v>407.3</v>
      </c>
      <c r="BD115" s="68" t="n">
        <v>39.3</v>
      </c>
      <c r="BE115" s="63" t="inlineStr">
        <is>
          <t>Y</t>
        </is>
      </c>
      <c r="BF115" s="74" t="n">
        <v>13.6</v>
      </c>
      <c r="BG115" s="74" t="n"/>
      <c r="BH115" s="74" t="n"/>
      <c r="BI115" s="74" t="n">
        <v>1.3</v>
      </c>
      <c r="BJ115" s="75">
        <f>IF('BBG Verify'!S115="","not filed — run on terminal",'BBG Verify'!S115)</f>
        <v/>
      </c>
      <c r="BK115" s="76" t="inlineStr">
        <is>
          <t>N</t>
        </is>
      </c>
      <c r="BL115" s="77">
        <f>IF('BBG Verify'!K115="","not filed — run on terminal",'BBG Verify'!K115)</f>
        <v/>
      </c>
      <c r="BM115" s="63" t="inlineStr">
        <is>
          <t>N/A</t>
        </is>
      </c>
      <c r="BN115" s="63" t="inlineStr">
        <is>
          <t>N/A</t>
        </is>
      </c>
      <c r="BO115" s="63" t="inlineStr">
        <is>
          <t>N/A</t>
        </is>
      </c>
      <c r="BP115" s="63" t="inlineStr">
        <is>
          <t>N/A</t>
        </is>
      </c>
      <c r="BQ115" s="63" t="inlineStr">
        <is>
          <t>N/A</t>
        </is>
      </c>
      <c r="BR115" s="63" t="inlineStr">
        <is>
          <t>N/A</t>
        </is>
      </c>
      <c r="BS115" s="76" t="n"/>
      <c r="BT115" s="63" t="inlineStr">
        <is>
          <t>Grande Capital Limited</t>
        </is>
      </c>
      <c r="BU115" s="63" t="inlineStr">
        <is>
          <t>China Galaxy International Securities (Hong Kong) Company Limited; Cinda International Capital Limited; CRIC Securities Company Limited; First Shanghai Securities Limited; Kingsway Financial Services Group Limited; Livermore Holdings Limited</t>
        </is>
      </c>
      <c r="BV115" s="63" t="inlineStr">
        <is>
          <t>China Galaxy International Securities (Hong Kong) Company Limited; Cinda International Capital Limited; CRIC Securities Company Limited; First Shanghai Securities Limited; Kingsway Financial Services Group Limited; Livermore Holdings Limited; Valuable Capital Limited; Zhongtai International Securities Limited</t>
        </is>
      </c>
      <c r="BW115" s="78">
        <f>HYPERLINK("https://www1.hkexnews.hk/listedco/listconews/sehk/2022/0617/2022061700066.htm","prospectus")</f>
        <v/>
      </c>
      <c r="BX115" s="78">
        <f>HYPERLINK("https://www1.hkexnews.hk/listedco/listconews/sehk/2022/0629/2022062900108.htm","allotment")</f>
        <v/>
      </c>
      <c r="BY115" s="78">
        <f>HYPERLINK("https://www1.hkexnews.hk/listedco/listconews/sehk/2022/0722/2022072201214.pdf","stabilisation")</f>
        <v/>
      </c>
      <c r="BZ115" s="76" t="n"/>
      <c r="CA115" s="63" t="inlineStr">
        <is>
          <t>greenshoe: over-allotment outcome already published, and the allotment announcement does not state the stabilisation expiry in a parsable form — the expiry no longer matters once resolved · A/H: no A-share listing · sponsor: English name not in the filing text; AAStocks 保薦人 shown · cornerstone list: cornerstone section not machine-extractable — see the prospectus link · cornerstone %: cornerstone aggregate not stated in the filing · greenshoe size: no over-allotment option in the offer structure · stabilising manager: neither the allotment announcement's cover sentence nor the prospectus definitions glossary names one in a form the parser reads — not inferred from the sponsor · grey market: no grey-market headline on file for this deal — AAStocks publishes one per listing but keeps only recent items on the stock's news page, and no public archive of past evening sessions exists; captured from this run onward</t>
        </is>
      </c>
    </row>
    <row r="116" ht="15" customHeight="1">
      <c r="A116" s="62" t="inlineStr">
        <is>
          <t>2391</t>
        </is>
      </c>
      <c r="B116" s="63" t="inlineStr">
        <is>
          <t>TUYA-W</t>
        </is>
      </c>
      <c r="C116" s="63" t="inlineStr">
        <is>
          <t>塗鴉智能－Ｗ</t>
        </is>
      </c>
      <c r="D116" s="63" t="inlineStr">
        <is>
          <t>Tech/AI</t>
        </is>
      </c>
      <c r="E116" s="63" t="inlineStr">
        <is>
          <t>SaaS / enterprise software</t>
        </is>
      </c>
      <c r="F116" s="63" t="inlineStr">
        <is>
          <t>Systems Software</t>
        </is>
      </c>
      <c r="G116" s="63" t="inlineStr">
        <is>
          <t>WVR</t>
        </is>
      </c>
      <c r="H116" s="64" t="n">
        <v>44747</v>
      </c>
      <c r="I116" s="65" t="n">
        <v>140.9</v>
      </c>
      <c r="J116" s="63" t="inlineStr">
        <is>
          <t>gross (price x shares)</t>
        </is>
      </c>
      <c r="K116" s="66" t="n"/>
      <c r="L116" s="66" t="n">
        <v>22.8</v>
      </c>
      <c r="M116" s="66" t="n">
        <v>19.3</v>
      </c>
      <c r="N116" s="63" t="inlineStr">
        <is>
          <t>N</t>
        </is>
      </c>
      <c r="O116" s="67" t="n">
        <v>84.59999999999999</v>
      </c>
      <c r="P116" s="67" t="n"/>
      <c r="Q116" s="68" t="n">
        <v>13190.9</v>
      </c>
      <c r="R116" s="63" t="inlineStr">
        <is>
          <t>prospectus:stated market capitalisation</t>
        </is>
      </c>
      <c r="S116" s="69" t="n">
        <v>9.949999999999999</v>
      </c>
      <c r="T116" s="70" t="n">
        <v>1.3</v>
      </c>
      <c r="U116" s="71" t="n"/>
      <c r="V116" s="68" t="n">
        <v>140.9</v>
      </c>
      <c r="W116" s="68" t="n">
        <v>7300000</v>
      </c>
      <c r="X116" s="67" t="n">
        <v>1.07</v>
      </c>
      <c r="Y116" s="63" t="n"/>
      <c r="Z116" s="63" t="n"/>
      <c r="AA116" s="67" t="n">
        <v>10.33</v>
      </c>
      <c r="AB116" s="72" t="n"/>
      <c r="AC116" s="66" t="n"/>
      <c r="AD116" s="72" t="n"/>
      <c r="AE116" s="63" t="n"/>
      <c r="AF116" s="63" t="n"/>
      <c r="AG116" s="63" t="inlineStr">
        <is>
          <t>lapsed</t>
        </is>
      </c>
      <c r="AH116" s="63" t="n"/>
      <c r="AI116" s="63" t="inlineStr">
        <is>
          <t>Morgan Stanley Asia Limited</t>
        </is>
      </c>
      <c r="AJ116" s="63" t="inlineStr">
        <is>
          <t>Morgan Stanley</t>
        </is>
      </c>
      <c r="AK116" s="73" t="n">
        <v>0</v>
      </c>
      <c r="AL116" s="72" t="n">
        <v>1.35</v>
      </c>
      <c r="AM116" s="72" t="n">
        <v>-1.33</v>
      </c>
      <c r="AN116" s="72" t="n">
        <v>-2.07</v>
      </c>
      <c r="AO116" s="72" t="n">
        <v>-30.05</v>
      </c>
      <c r="AP116" s="72" t="n">
        <v>-60.62</v>
      </c>
      <c r="AQ116" s="72" t="n">
        <v>-2.07</v>
      </c>
      <c r="AR116" s="72" t="n">
        <v>-30.05</v>
      </c>
      <c r="AS116" s="72" t="n">
        <v>-60.62</v>
      </c>
      <c r="AT116" s="72" t="n">
        <v>5.15</v>
      </c>
      <c r="AU116" s="72" t="n">
        <v>-16.97</v>
      </c>
      <c r="AV116" s="72" t="n">
        <v>-30.77</v>
      </c>
      <c r="AW116" s="72" t="n">
        <v>-17.48</v>
      </c>
      <c r="AX116" s="72" t="n">
        <v>-13.08</v>
      </c>
      <c r="AY116" s="72" t="n">
        <v>-12.57</v>
      </c>
      <c r="AZ116" s="63" t="inlineStr">
        <is>
          <t>HSTECH (Hang Seng TECH ETF)</t>
        </is>
      </c>
      <c r="BA116" s="72" t="n">
        <v>-23.32</v>
      </c>
      <c r="BB116" s="64" t="inlineStr">
        <is>
          <t>2026-08-28</t>
        </is>
      </c>
      <c r="BC116" s="65" t="n">
        <v>2356.2</v>
      </c>
      <c r="BD116" s="68" t="n">
        <v>-1368.3</v>
      </c>
      <c r="BE116" s="63" t="inlineStr">
        <is>
          <t>N</t>
        </is>
      </c>
      <c r="BF116" s="63" t="inlineStr">
        <is>
          <t>n/m</t>
        </is>
      </c>
      <c r="BG116" s="74" t="n"/>
      <c r="BH116" s="74" t="n"/>
      <c r="BI116" s="74" t="n">
        <v>5.6</v>
      </c>
      <c r="BJ116" s="75">
        <f>IF('BBG Verify'!S116="","not filed — run on terminal",'BBG Verify'!S116)</f>
        <v/>
      </c>
      <c r="BK116" s="76" t="inlineStr">
        <is>
          <t>N</t>
        </is>
      </c>
      <c r="BL116" s="77">
        <f>IF('BBG Verify'!K116="","not filed — run on terminal",'BBG Verify'!K116)</f>
        <v/>
      </c>
      <c r="BM116" s="63" t="inlineStr">
        <is>
          <t>N/A</t>
        </is>
      </c>
      <c r="BN116" s="63" t="inlineStr">
        <is>
          <t>N/A</t>
        </is>
      </c>
      <c r="BO116" s="63" t="inlineStr">
        <is>
          <t>N/A</t>
        </is>
      </c>
      <c r="BP116" s="63" t="inlineStr">
        <is>
          <t>N/A</t>
        </is>
      </c>
      <c r="BQ116" s="63" t="inlineStr">
        <is>
          <t>N/A</t>
        </is>
      </c>
      <c r="BR116" s="63" t="inlineStr">
        <is>
          <t>N/A</t>
        </is>
      </c>
      <c r="BS116" s="76" t="inlineStr">
        <is>
          <t>China International Capital Corporation Hong Kong Securities Limited; Merrill Lynch (Asia Pacific) Limited; Morgan Stanley Asia Limited</t>
        </is>
      </c>
      <c r="BT116" s="63" t="inlineStr">
        <is>
          <t>China International Capital Corporation Hong Kong Securities Limited; Morgan Stanley Asia Limited; Merrill Lynch (Asia Pacific) Limited</t>
        </is>
      </c>
      <c r="BU116" s="63" t="inlineStr">
        <is>
          <t>China International Capital Corporation Hong Kong Securities Limited; Morgan Stanley Asia Limited; Merrill Lynch (Asia Pacific) Limited; CMB International Capital Limited; Tiger Brokers (HK) Global Limited</t>
        </is>
      </c>
      <c r="BV116" s="63" t="inlineStr">
        <is>
          <t>China International Capital Corporation Hong Kong Securities Limited; CMB International Capital Corporation Limited; Merrill Lynch (Asia Pacific) Limited; Morgan Stanley Asia Limited; Tiger Brokers (HK) Global Limited</t>
        </is>
      </c>
      <c r="BW116" s="78">
        <f>HYPERLINK("https://www1.hkexnews.hk/listedco/listconews/sehk/2022/0622/2022062200189.pdf","prospectus")</f>
        <v/>
      </c>
      <c r="BX116" s="78">
        <f>HYPERLINK("https://www1.hkexnews.hk/listedco/listconews/sehk/2022/0704/2022070400032.htm","allotment")</f>
        <v/>
      </c>
      <c r="BY116" s="78">
        <f>HYPERLINK("https://www1.hkexnews.hk/listedco/listconews/sehk/2022/0727/2022072701192.pdf","stabilisation")</f>
        <v/>
      </c>
      <c r="BZ116" s="76" t="n"/>
      <c r="CA116" s="63" t="inlineStr">
        <is>
          <t>P/E: n/m — loss-making at IPO (use P/S) · greenshoe: over-allotment outcome already published, and the allotment announcement does not state the stabilisation expiry in a parsable form — the expiry no longer matters once resolved · range low: cap-only pricing — the filing publishes a Maximum Offer Price and no indicative floor · A/H: no A-share listing · cornerstone list: cornerstone section not machine-extractable — see the prospectus link · cornerstone %: cornerstone aggregate not stated in the filing · grey market: no grey-market headline on file for this deal — AAStocks publishes one per listing but keeps only recent items on the stock's news page, and no public archive of past evening sessions exists; captured from this run onward</t>
        </is>
      </c>
    </row>
    <row r="117" ht="15" customHeight="1">
      <c r="A117" s="62" t="inlineStr">
        <is>
          <t>9955</t>
        </is>
      </c>
      <c r="B117" s="63" t="inlineStr">
        <is>
          <t>CLOUDR</t>
        </is>
      </c>
      <c r="C117" s="63" t="inlineStr">
        <is>
          <t>智雲健康</t>
        </is>
      </c>
      <c r="D117" s="63" t="inlineStr">
        <is>
          <t>Healthcare</t>
        </is>
      </c>
      <c r="E117" s="63" t="inlineStr">
        <is>
          <t>Digital health</t>
        </is>
      </c>
      <c r="F117" s="63" t="inlineStr">
        <is>
          <t>Health Care Equipment</t>
        </is>
      </c>
      <c r="G117" s="63" t="inlineStr">
        <is>
          <t>Standard</t>
        </is>
      </c>
      <c r="H117" s="64" t="n">
        <v>44748</v>
      </c>
      <c r="I117" s="65" t="n">
        <v>579.5</v>
      </c>
      <c r="J117" s="63" t="inlineStr">
        <is>
          <t>gross (price x shares)</t>
        </is>
      </c>
      <c r="K117" s="66" t="n"/>
      <c r="L117" s="66" t="n">
        <v>30.5</v>
      </c>
      <c r="M117" s="66" t="n">
        <v>30.5</v>
      </c>
      <c r="N117" s="63" t="inlineStr">
        <is>
          <t>Y</t>
        </is>
      </c>
      <c r="O117" s="67" t="n">
        <v>100</v>
      </c>
      <c r="P117" s="67" t="n"/>
      <c r="Q117" s="68" t="n">
        <v>17896</v>
      </c>
      <c r="R117" s="63" t="inlineStr">
        <is>
          <t>press:sina/雷峰网 2022-07: 收28.2港元 市值165.54亿</t>
        </is>
      </c>
      <c r="S117" s="69" t="n">
        <v>7.89</v>
      </c>
      <c r="T117" s="70" t="n">
        <v>2.15</v>
      </c>
      <c r="U117" s="71" t="n">
        <v>60.96</v>
      </c>
      <c r="V117" s="68" t="n">
        <v>226.24</v>
      </c>
      <c r="W117" s="68" t="n">
        <v>7417600</v>
      </c>
      <c r="X117" s="67" t="n">
        <v>1.26</v>
      </c>
      <c r="Y117" s="63" t="inlineStr">
        <is>
          <t>Harvest International Premium Value (Secondary Market) Fund SPC; Sanofi Foreign Participations B.V; Tasly International Capital Limited; Yangtze River (Hong Kong) Limited</t>
        </is>
      </c>
      <c r="Z117" s="63" t="inlineStr">
        <is>
          <t>harvest;sanofi;tasly;yangtze</t>
        </is>
      </c>
      <c r="AA117" s="67" t="n">
        <v>15.23</v>
      </c>
      <c r="AB117" s="72" t="n"/>
      <c r="AC117" s="66" t="n"/>
      <c r="AD117" s="72" t="n"/>
      <c r="AE117" s="63" t="n"/>
      <c r="AF117" s="63" t="n"/>
      <c r="AG117" s="63" t="inlineStr">
        <is>
          <t>lapsed</t>
        </is>
      </c>
      <c r="AH117" s="63" t="inlineStr">
        <is>
          <t>2022-07-28</t>
        </is>
      </c>
      <c r="AI117" s="63" t="inlineStr">
        <is>
          <t>Morgan Stanley Asia Limited</t>
        </is>
      </c>
      <c r="AJ117" s="63" t="inlineStr">
        <is>
          <t>Morgan Stanley</t>
        </is>
      </c>
      <c r="AK117" s="73" t="n">
        <v>-7.54</v>
      </c>
      <c r="AL117" s="72" t="n">
        <v>0</v>
      </c>
      <c r="AM117" s="72" t="n">
        <v>-7.54</v>
      </c>
      <c r="AN117" s="72" t="n">
        <v>-9.84</v>
      </c>
      <c r="AO117" s="72" t="n">
        <v>-33.77</v>
      </c>
      <c r="AP117" s="72" t="n">
        <v>-54.43</v>
      </c>
      <c r="AQ117" s="72" t="n">
        <v>-2.49</v>
      </c>
      <c r="AR117" s="72" t="n">
        <v>-28.37</v>
      </c>
      <c r="AS117" s="72" t="n">
        <v>-50.71</v>
      </c>
      <c r="AT117" s="72" t="n">
        <v>-2.59</v>
      </c>
      <c r="AU117" s="72" t="n">
        <v>-20.96</v>
      </c>
      <c r="AV117" s="72" t="n">
        <v>-30.06</v>
      </c>
      <c r="AW117" s="72" t="n">
        <v>-17.17</v>
      </c>
      <c r="AX117" s="72" t="n">
        <v>-12.81</v>
      </c>
      <c r="AY117" s="72" t="n">
        <v>-11.2</v>
      </c>
      <c r="AZ117" s="63" t="inlineStr">
        <is>
          <t>China Biotech ETF (HS biotech proxy)</t>
        </is>
      </c>
      <c r="BA117" s="72" t="n">
        <v>-98.36</v>
      </c>
      <c r="BB117" s="64" t="inlineStr">
        <is>
          <t>2026-08-28</t>
        </is>
      </c>
      <c r="BC117" s="65" t="n"/>
      <c r="BD117" s="68" t="n"/>
      <c r="BE117" s="63" t="n"/>
      <c r="BF117" s="75">
        <f>IF('BBG Verify'!O117="","not filed — run on terminal",'BBG Verify'!O117)</f>
        <v/>
      </c>
      <c r="BG117" s="74" t="n"/>
      <c r="BH117" s="74" t="n"/>
      <c r="BI117" s="74" t="n"/>
      <c r="BJ117" s="75">
        <f>IF('BBG Verify'!S117="","not filed — run on terminal",'BBG Verify'!S117)</f>
        <v/>
      </c>
      <c r="BK117" s="76" t="inlineStr">
        <is>
          <t>N</t>
        </is>
      </c>
      <c r="BL117" s="77">
        <f>IF('BBG Verify'!K117="","not filed — run on terminal",'BBG Verify'!K117)</f>
        <v/>
      </c>
      <c r="BM117" s="63" t="inlineStr">
        <is>
          <t>N/A</t>
        </is>
      </c>
      <c r="BN117" s="63" t="inlineStr">
        <is>
          <t>N/A</t>
        </is>
      </c>
      <c r="BO117" s="63" t="inlineStr">
        <is>
          <t>N/A</t>
        </is>
      </c>
      <c r="BP117" s="63" t="inlineStr">
        <is>
          <t>N/A</t>
        </is>
      </c>
      <c r="BQ117" s="63" t="inlineStr">
        <is>
          <t>N/A</t>
        </is>
      </c>
      <c r="BR117" s="63" t="inlineStr">
        <is>
          <t>N/A</t>
        </is>
      </c>
      <c r="BS117" s="76" t="n"/>
      <c r="BT117" s="63" t="inlineStr">
        <is>
          <t>Morgan Stanley Asia Limited; J.P. Morgan Securities (Far East) Limited</t>
        </is>
      </c>
      <c r="BU117" s="63" t="inlineStr">
        <is>
          <t>China International Capital Corporation Hong Kong Securities Limited; CMB International Capital Limited; J.P. Morgan Securities (Asia Pacific) Limited; Morgan Stanley Asia Limited; Valuable Capital Limited</t>
        </is>
      </c>
      <c r="BV117" s="63" t="inlineStr">
        <is>
          <t>China International Capital Corporation Hong Kong Securities Limited; CMB International Capital Limited; J.P. Morgan Securities (Asia Pacific) Limited; Morgan Stanley Asia Limited; Valuable Capital Limited</t>
        </is>
      </c>
      <c r="BW117" s="78">
        <f>HYPERLINK("https://www1.hkexnews.hk/listedco/listconews/sehk/2022/0623/2022062300064.htm","prospectus")</f>
        <v/>
      </c>
      <c r="BX117" s="78">
        <f>HYPERLINK("https://www1.hkexnews.hk/listedco/listconews/sehk/2022/0705/2022070500012.htm","allotment")</f>
        <v/>
      </c>
      <c r="BY117" s="78">
        <f>HYPERLINK("https://www1.hkexnews.hk/listedco/listconews/sehk/2022/0728/2022072801570.pdf","stabilisation")</f>
        <v/>
      </c>
      <c r="BZ117" s="76" t="n"/>
      <c r="CA117" s="63" t="inlineStr">
        <is>
          <t>P/E: net income not stated in extractable form · price range: fixed-price offering (no indicative range) · range low: cap-only pricing — the filing publishes a Maximum Offer Price and no indicative floor · A/H: no A-share listing · sponsor: English name not in the filing text; AAStocks 保薦人 shown · P/S: revenue not extractable · financials: financial tables not machine-extractable and the pre-IPO year is outside AAStocks' 5-year window · grey market: no grey-market headline on file for this deal — AAStocks publishes one per listing but keeps only recent items on the stock's news page, and no public archive of past evening sessions exists; captured from this run onward</t>
        </is>
      </c>
    </row>
    <row r="118" ht="15" customHeight="1">
      <c r="A118" s="62" t="inlineStr">
        <is>
          <t>2376</t>
        </is>
      </c>
      <c r="B118" s="63" t="inlineStr">
        <is>
          <t>LUSHANGSERVICES</t>
        </is>
      </c>
      <c r="C118" s="63" t="inlineStr">
        <is>
          <t>魯商服務</t>
        </is>
      </c>
      <c r="D118" s="63" t="inlineStr">
        <is>
          <t>Real Estate</t>
        </is>
      </c>
      <c r="E118" s="63" t="inlineStr">
        <is>
          <t>Property management</t>
        </is>
      </c>
      <c r="F118" s="63" t="inlineStr">
        <is>
          <t>Property Service and Management</t>
        </is>
      </c>
      <c r="G118" s="63" t="inlineStr">
        <is>
          <t>Standard</t>
        </is>
      </c>
      <c r="H118" s="64" t="n">
        <v>44750</v>
      </c>
      <c r="I118" s="65" t="n">
        <v>197.4</v>
      </c>
      <c r="J118" s="63" t="inlineStr">
        <is>
          <t>gross (price x shares)</t>
        </is>
      </c>
      <c r="K118" s="66" t="n">
        <v>5.3</v>
      </c>
      <c r="L118" s="66" t="n">
        <v>7.92</v>
      </c>
      <c r="M118" s="66" t="n">
        <v>5.92</v>
      </c>
      <c r="N118" s="63" t="inlineStr">
        <is>
          <t>N</t>
        </is>
      </c>
      <c r="O118" s="67" t="n">
        <v>74.7</v>
      </c>
      <c r="P118" s="67" t="n">
        <v>23.7</v>
      </c>
      <c r="Q118" s="68" t="n">
        <v>967.9</v>
      </c>
      <c r="R118" s="63" t="inlineStr">
        <is>
          <t>aastocks:上市市值 at the struck price</t>
        </is>
      </c>
      <c r="S118" s="69" t="n">
        <v>7.39</v>
      </c>
      <c r="T118" s="70" t="n">
        <v>1.2</v>
      </c>
      <c r="U118" s="71" t="n">
        <v>0</v>
      </c>
      <c r="V118" s="68" t="n">
        <v>197.4</v>
      </c>
      <c r="W118" s="68" t="n">
        <v>33340000</v>
      </c>
      <c r="X118" s="67" t="n">
        <v>20.39</v>
      </c>
      <c r="Y118" s="63" t="n"/>
      <c r="Z118" s="63" t="n"/>
      <c r="AA118" s="67" t="n">
        <v>15</v>
      </c>
      <c r="AB118" s="72" t="n"/>
      <c r="AC118" s="66" t="n"/>
      <c r="AD118" s="72" t="n"/>
      <c r="AE118" s="63" t="n"/>
      <c r="AF118" s="63" t="n"/>
      <c r="AG118" s="63" t="inlineStr">
        <is>
          <t>lapsed</t>
        </is>
      </c>
      <c r="AH118" s="63" t="inlineStr">
        <is>
          <t>2022-07-30</t>
        </is>
      </c>
      <c r="AI118" s="63" t="inlineStr">
        <is>
          <t>ABCI Securities Company Limited</t>
        </is>
      </c>
      <c r="AJ118" s="63" t="inlineStr">
        <is>
          <t>ABCI</t>
        </is>
      </c>
      <c r="AK118" s="73" t="n">
        <v>-25.17</v>
      </c>
      <c r="AL118" s="72" t="n">
        <v>-15.37</v>
      </c>
      <c r="AM118" s="72" t="n">
        <v>-11.58</v>
      </c>
      <c r="AN118" s="72" t="n">
        <v>-39.19</v>
      </c>
      <c r="AO118" s="72" t="n">
        <v>-57.43</v>
      </c>
      <c r="AP118" s="72" t="n">
        <v>-60.3</v>
      </c>
      <c r="AQ118" s="72" t="n">
        <v>-18.74</v>
      </c>
      <c r="AR118" s="72" t="n">
        <v>-43.11</v>
      </c>
      <c r="AS118" s="72" t="n">
        <v>-46.95</v>
      </c>
      <c r="AT118" s="72" t="n">
        <v>-31.5</v>
      </c>
      <c r="AU118" s="72" t="n">
        <v>-46.54</v>
      </c>
      <c r="AV118" s="72" t="n">
        <v>-41.93</v>
      </c>
      <c r="AW118" s="72" t="n">
        <v>-31.36</v>
      </c>
      <c r="AX118" s="72" t="n">
        <v>-10.89</v>
      </c>
      <c r="AY118" s="72" t="n">
        <v>-11.75</v>
      </c>
      <c r="AZ118" s="63" t="inlineStr">
        <is>
          <t>Hang Seng Properties sub-index</t>
        </is>
      </c>
      <c r="BA118" s="72" t="n">
        <v>-59.97</v>
      </c>
      <c r="BB118" s="64" t="inlineStr">
        <is>
          <t>2026-08-28</t>
        </is>
      </c>
      <c r="BC118" s="65" t="n">
        <v>641.1</v>
      </c>
      <c r="BD118" s="68" t="n">
        <v>84.7</v>
      </c>
      <c r="BE118" s="63" t="inlineStr">
        <is>
          <t>Y</t>
        </is>
      </c>
      <c r="BF118" s="74" t="n">
        <v>11.4</v>
      </c>
      <c r="BG118" s="74" t="n"/>
      <c r="BH118" s="74" t="n">
        <v>7.4</v>
      </c>
      <c r="BI118" s="74" t="n">
        <v>1.5</v>
      </c>
      <c r="BJ118" s="75">
        <f>IF('BBG Verify'!S118="","not filed — run on terminal",'BBG Verify'!S118)</f>
        <v/>
      </c>
      <c r="BK118" s="76" t="inlineStr">
        <is>
          <t>N</t>
        </is>
      </c>
      <c r="BL118" s="77">
        <f>IF('BBG Verify'!K118="","not filed — run on terminal",'BBG Verify'!K118)</f>
        <v/>
      </c>
      <c r="BM118" s="63" t="inlineStr">
        <is>
          <t>N/A</t>
        </is>
      </c>
      <c r="BN118" s="63" t="inlineStr">
        <is>
          <t>N/A</t>
        </is>
      </c>
      <c r="BO118" s="63" t="inlineStr">
        <is>
          <t>N/A</t>
        </is>
      </c>
      <c r="BP118" s="63" t="inlineStr">
        <is>
          <t>N/A</t>
        </is>
      </c>
      <c r="BQ118" s="63" t="inlineStr">
        <is>
          <t>N/A</t>
        </is>
      </c>
      <c r="BR118" s="63" t="inlineStr">
        <is>
          <t>N/A</t>
        </is>
      </c>
      <c r="BS118" s="76" t="inlineStr">
        <is>
          <t>ABCI Capital Limited</t>
        </is>
      </c>
      <c r="BT118" s="63" t="inlineStr">
        <is>
          <t>ABCI Capital Limited</t>
        </is>
      </c>
      <c r="BU118" s="63" t="inlineStr">
        <is>
          <t>ABCI Capital Limited; Zhongtai International Securities Limited; China International Capital Corporation Hong Kong Securities Limited; GF Securities (Hong Kong) Brokerage Limited; Guotai Junan Securities (Hong Kong) Limited; CMBC Securities Company Limited; Yue Xiu Securities Company Limited; China Chengtong (Hong Kong) Asset Management Company Limited; Fortune (HK) Securities Limited; Eddid Securities and Futures Limited</t>
        </is>
      </c>
      <c r="BV118" s="63" t="inlineStr">
        <is>
          <t>ABCI Securities Company Limited; China Chengtong (Hong Kong) Asset Management Company Limited; China Everbright Securities (HK) Limited; China International Capital Corporation Hong Kong Securities Limited; CMBC Securities Company Limited; Eddid Securities and Futures Limited; Fortune (HK) Securities Limited; GF Securities (Hong Kong) Brokerage Limited; Guotai Junan Securities (Hong Kong) Limited; Livermore Holdings Limited; Valuable Capital Limited; Yue Xiu Securities Company Limited</t>
        </is>
      </c>
      <c r="BW118" s="78">
        <f>HYPERLINK("https://www1.hkexnews.hk/listedco/listconews/sehk/2022/0627/2022062700017.pdf","prospectus")</f>
        <v/>
      </c>
      <c r="BX118" s="78">
        <f>HYPERLINK("https://www1.hkexnews.hk/listedco/listconews/sehk/2022/0707/2022070700020.htm","allotment")</f>
        <v/>
      </c>
      <c r="BY118" s="78">
        <f>HYPERLINK("https://www1.hkexnews.hk/listedco/listconews/sehk/2022/0801/2022080101943.pdf","stabilisation")</f>
        <v/>
      </c>
      <c r="BZ118" s="76" t="n"/>
      <c r="CA118" s="63" t="inlineStr">
        <is>
          <t>A/H: no A-share listing · cornerstone list: no cornerstone tranche in this deal · grey market: no grey-market headline on file for this deal — AAStocks publishes one per listing but keeps only recent items on the stock's news page, and no public archive of past evening sessions exists; captured from this run onward</t>
        </is>
      </c>
    </row>
    <row r="119" ht="15" customHeight="1">
      <c r="A119" s="62" t="inlineStr">
        <is>
          <t>2392</t>
        </is>
      </c>
      <c r="B119" s="63" t="inlineStr">
        <is>
          <t>XUANWU CLOUD</t>
        </is>
      </c>
      <c r="C119" s="63" t="inlineStr">
        <is>
          <t>玄武雲</t>
        </is>
      </c>
      <c r="D119" s="63" t="inlineStr">
        <is>
          <t>Tech/AI</t>
        </is>
      </c>
      <c r="E119" s="63" t="inlineStr">
        <is>
          <t>SaaS / enterprise software</t>
        </is>
      </c>
      <c r="F119" s="63" t="inlineStr">
        <is>
          <t>Systems Software</t>
        </is>
      </c>
      <c r="G119" s="63" t="inlineStr">
        <is>
          <t>Standard</t>
        </is>
      </c>
      <c r="H119" s="64" t="n">
        <v>44750</v>
      </c>
      <c r="I119" s="65" t="n">
        <v>214.6</v>
      </c>
      <c r="J119" s="63" t="inlineStr">
        <is>
          <t>gross (price x shares)</t>
        </is>
      </c>
      <c r="K119" s="66" t="n">
        <v>4.93</v>
      </c>
      <c r="L119" s="66" t="n">
        <v>6.91</v>
      </c>
      <c r="M119" s="66" t="n">
        <v>6.24</v>
      </c>
      <c r="N119" s="63" t="inlineStr">
        <is>
          <t>N</t>
        </is>
      </c>
      <c r="O119" s="67" t="n">
        <v>90.3</v>
      </c>
      <c r="P119" s="67" t="n">
        <v>66.2</v>
      </c>
      <c r="Q119" s="68" t="n">
        <v>3871.8</v>
      </c>
      <c r="R119" s="63" t="inlineStr">
        <is>
          <t>aastocks:上市市值 at the struck price</t>
        </is>
      </c>
      <c r="S119" s="69" t="n">
        <v>42.13</v>
      </c>
      <c r="T119" s="70" t="n">
        <v>2.09</v>
      </c>
      <c r="U119" s="71" t="n">
        <v>27.2</v>
      </c>
      <c r="V119" s="68" t="n">
        <v>156.23</v>
      </c>
      <c r="W119" s="68" t="n">
        <v>25036284</v>
      </c>
      <c r="X119" s="67" t="n">
        <v>4.04</v>
      </c>
      <c r="Y119" s="63" t="inlineStr">
        <is>
          <t>Colorful Cloud</t>
        </is>
      </c>
      <c r="Z119" s="63" t="inlineStr">
        <is>
          <t>colorful</t>
        </is>
      </c>
      <c r="AA119" s="67" t="n">
        <v>5.62</v>
      </c>
      <c r="AB119" s="72" t="n"/>
      <c r="AC119" s="66" t="n"/>
      <c r="AD119" s="72" t="n"/>
      <c r="AE119" s="63" t="n"/>
      <c r="AF119" s="63" t="n"/>
      <c r="AG119" s="63" t="inlineStr">
        <is>
          <t>lapsed</t>
        </is>
      </c>
      <c r="AH119" s="63" t="inlineStr">
        <is>
          <t>2022-07-30</t>
        </is>
      </c>
      <c r="AI119" s="63" t="inlineStr">
        <is>
          <t>CMB International Global Markets Limited</t>
        </is>
      </c>
      <c r="AJ119" s="63" t="inlineStr">
        <is>
          <t>CMB</t>
        </is>
      </c>
      <c r="AK119" s="73" t="n">
        <v>0.64</v>
      </c>
      <c r="AL119" s="72" t="n">
        <v>0</v>
      </c>
      <c r="AM119" s="72" t="n">
        <v>0.64</v>
      </c>
      <c r="AN119" s="72" t="n">
        <v>-7.05</v>
      </c>
      <c r="AO119" s="72" t="n">
        <v>4.17</v>
      </c>
      <c r="AP119" s="72" t="n">
        <v>-3.21</v>
      </c>
      <c r="AQ119" s="72" t="n">
        <v>-7.64</v>
      </c>
      <c r="AR119" s="72" t="n">
        <v>3.51</v>
      </c>
      <c r="AS119" s="72" t="n">
        <v>-3.83</v>
      </c>
      <c r="AT119" s="72" t="n">
        <v>-0.33</v>
      </c>
      <c r="AU119" s="72" t="n">
        <v>12.94</v>
      </c>
      <c r="AV119" s="72" t="n">
        <v>22.36</v>
      </c>
      <c r="AW119" s="72" t="n">
        <v>12.93</v>
      </c>
      <c r="AX119" s="72" t="n">
        <v>-8.77</v>
      </c>
      <c r="AY119" s="72" t="n">
        <v>-9.42</v>
      </c>
      <c r="AZ119" s="63" t="inlineStr">
        <is>
          <t>HSTECH (Hang Seng TECH ETF)</t>
        </is>
      </c>
      <c r="BA119" s="72" t="n">
        <v>-85.58</v>
      </c>
      <c r="BB119" s="64" t="inlineStr">
        <is>
          <t>2026-08-28</t>
        </is>
      </c>
      <c r="BC119" s="65" t="n">
        <v>876.4</v>
      </c>
      <c r="BD119" s="68" t="n">
        <v>32.2</v>
      </c>
      <c r="BE119" s="63" t="inlineStr">
        <is>
          <t>Y</t>
        </is>
      </c>
      <c r="BF119" s="74" t="n">
        <v>120.2</v>
      </c>
      <c r="BG119" s="74" t="n"/>
      <c r="BH119" s="74" t="n"/>
      <c r="BI119" s="74" t="n">
        <v>4.4</v>
      </c>
      <c r="BJ119" s="75">
        <f>IF('BBG Verify'!S119="","not filed — run on terminal",'BBG Verify'!S119)</f>
        <v/>
      </c>
      <c r="BK119" s="76" t="inlineStr">
        <is>
          <t>N</t>
        </is>
      </c>
      <c r="BL119" s="77">
        <f>IF('BBG Verify'!K119="","not filed — run on terminal",'BBG Verify'!K119)</f>
        <v/>
      </c>
      <c r="BM119" s="63" t="inlineStr">
        <is>
          <t>N/A</t>
        </is>
      </c>
      <c r="BN119" s="63" t="inlineStr">
        <is>
          <t>N/A</t>
        </is>
      </c>
      <c r="BO119" s="63" t="inlineStr">
        <is>
          <t>N/A</t>
        </is>
      </c>
      <c r="BP119" s="63" t="inlineStr">
        <is>
          <t>N/A</t>
        </is>
      </c>
      <c r="BQ119" s="63" t="inlineStr">
        <is>
          <t>N/A</t>
        </is>
      </c>
      <c r="BR119" s="63" t="inlineStr">
        <is>
          <t>N/A</t>
        </is>
      </c>
      <c r="BS119" s="76" t="inlineStr">
        <is>
          <t>CMB International Capital Limited</t>
        </is>
      </c>
      <c r="BT119" s="63" t="inlineStr">
        <is>
          <t>CMB International Capital Corporation Limited</t>
        </is>
      </c>
      <c r="BU119" s="63" t="inlineStr">
        <is>
          <t>CMB International Capital Limited; Huatai Financial Holdings (Hong Kong) Limited; CLSA Limited; Guotai Junan Securities (Hong Kong) Limited; Citrus Securities Limited</t>
        </is>
      </c>
      <c r="BV119" s="63" t="inlineStr">
        <is>
          <t>Citrus Securities Limited; CLSA Limited; CMB International Capital Limited; Guotai Junan Securities (Hong Kong) Limited; Huatai Financial Holdings (Hong Kong) Limited; Livermore Holdings Limited</t>
        </is>
      </c>
      <c r="BW119" s="78">
        <f>HYPERLINK("https://www1.hkexnews.hk/listedco/listconews/sehk/2022/0624/2022062400033.pdf","prospectus")</f>
        <v/>
      </c>
      <c r="BX119" s="78">
        <f>HYPERLINK("https://www1.hkexnews.hk/listedco/listconews/sehk/2022/0707/2022070700032.htm","allotment")</f>
        <v/>
      </c>
      <c r="BY119" s="78">
        <f>HYPERLINK("https://www1.hkexnews.hk/listedco/listconews/sehk/2022/0731/2022073100021.pdf","stabilisation")</f>
        <v/>
      </c>
      <c r="BZ119" s="76" t="n"/>
      <c r="CA119" s="63" t="inlineStr">
        <is>
          <t>A/H: no A-share listing · market cap: estimate from stated market capitalisation disagreed with the published listing cap — published figure adopted · grey market: no grey-market headline on file for this deal — AAStocks publishes one per listing but keeps only recent items on the stock's news page, and no public archive of past evening sessions exists; captured from this run onward</t>
        </is>
      </c>
    </row>
    <row r="120" ht="15" customHeight="1">
      <c r="A120" s="62" t="inlineStr">
        <is>
          <t>2297</t>
        </is>
      </c>
      <c r="B120" s="63" t="inlineStr">
        <is>
          <t>RAINMED-B</t>
        </is>
      </c>
      <c r="C120" s="63" t="inlineStr">
        <is>
          <t>潤邁德－Ｂ</t>
        </is>
      </c>
      <c r="D120" s="63" t="inlineStr">
        <is>
          <t>Healthcare</t>
        </is>
      </c>
      <c r="E120" s="63" t="inlineStr">
        <is>
          <t>Medical devices</t>
        </is>
      </c>
      <c r="F120" s="63" t="inlineStr">
        <is>
          <t>Biotechnology - Medical Devices</t>
        </is>
      </c>
      <c r="G120" s="63" t="inlineStr">
        <is>
          <t>18A</t>
        </is>
      </c>
      <c r="H120" s="64" t="n">
        <v>44750</v>
      </c>
      <c r="I120" s="65" t="n">
        <v>145.7</v>
      </c>
      <c r="J120" s="63" t="inlineStr">
        <is>
          <t>gross (price x shares)</t>
        </is>
      </c>
      <c r="K120" s="66" t="n"/>
      <c r="L120" s="66" t="n">
        <v>6.24</v>
      </c>
      <c r="M120" s="66" t="n">
        <v>6.24</v>
      </c>
      <c r="N120" s="63" t="inlineStr">
        <is>
          <t>Y</t>
        </is>
      </c>
      <c r="O120" s="67" t="n">
        <v>100</v>
      </c>
      <c r="P120" s="67" t="n"/>
      <c r="Q120" s="68" t="n">
        <v>7287.1</v>
      </c>
      <c r="R120" s="63" t="inlineStr">
        <is>
          <t>aastocks:上市市值 at the struck price</t>
        </is>
      </c>
      <c r="S120" s="69" t="n">
        <v>6.35</v>
      </c>
      <c r="T120" s="70" t="n">
        <v>1.34</v>
      </c>
      <c r="U120" s="71" t="n">
        <v>0</v>
      </c>
      <c r="V120" s="68" t="n">
        <v>145.7</v>
      </c>
      <c r="W120" s="68" t="n">
        <v>23348000</v>
      </c>
      <c r="X120" s="67" t="n">
        <v>2</v>
      </c>
      <c r="Y120" s="63" t="n"/>
      <c r="Z120" s="63" t="n"/>
      <c r="AA120" s="67" t="n">
        <v>18.4</v>
      </c>
      <c r="AB120" s="72" t="n"/>
      <c r="AC120" s="66" t="n"/>
      <c r="AD120" s="72" t="n"/>
      <c r="AE120" s="63" t="n"/>
      <c r="AF120" s="63" t="n"/>
      <c r="AG120" s="63" t="inlineStr">
        <is>
          <t>partial</t>
        </is>
      </c>
      <c r="AH120" s="63" t="inlineStr">
        <is>
          <t>2022-07-30</t>
        </is>
      </c>
      <c r="AI120" s="63" t="inlineStr">
        <is>
          <t>Huatai Financial Holdings</t>
        </is>
      </c>
      <c r="AJ120" s="63" t="inlineStr">
        <is>
          <t>Huatai</t>
        </is>
      </c>
      <c r="AK120" s="73" t="n">
        <v>-15.38</v>
      </c>
      <c r="AL120" s="72" t="n">
        <v>-10.26</v>
      </c>
      <c r="AM120" s="72" t="n">
        <v>-5.71</v>
      </c>
      <c r="AN120" s="72" t="n">
        <v>-18.11</v>
      </c>
      <c r="AO120" s="72" t="n">
        <v>-33.49</v>
      </c>
      <c r="AP120" s="72" t="n">
        <v>-52.88</v>
      </c>
      <c r="AQ120" s="72" t="n">
        <v>-3.23</v>
      </c>
      <c r="AR120" s="72" t="n">
        <v>-21.4</v>
      </c>
      <c r="AS120" s="72" t="n">
        <v>-44.32</v>
      </c>
      <c r="AT120" s="72" t="n">
        <v>-13.29</v>
      </c>
      <c r="AU120" s="72" t="n">
        <v>-25.89</v>
      </c>
      <c r="AV120" s="72" t="n">
        <v>-28.65</v>
      </c>
      <c r="AW120" s="72" t="n">
        <v>-14.39</v>
      </c>
      <c r="AX120" s="72" t="n">
        <v>-7.6</v>
      </c>
      <c r="AY120" s="72" t="n">
        <v>-7.01</v>
      </c>
      <c r="AZ120" s="63" t="inlineStr">
        <is>
          <t>China Biotech ETF (HS biotech proxy)</t>
        </is>
      </c>
      <c r="BA120" s="72" t="n">
        <v>-96.88</v>
      </c>
      <c r="BB120" s="64" t="inlineStr">
        <is>
          <t>2026-08-28</t>
        </is>
      </c>
      <c r="BC120" s="65" t="n">
        <v>89.3</v>
      </c>
      <c r="BD120" s="68" t="n">
        <v>-697</v>
      </c>
      <c r="BE120" s="63" t="inlineStr">
        <is>
          <t>N</t>
        </is>
      </c>
      <c r="BF120" s="63" t="inlineStr">
        <is>
          <t>n/m</t>
        </is>
      </c>
      <c r="BG120" s="74" t="n"/>
      <c r="BH120" s="74" t="n"/>
      <c r="BI120" s="74" t="n">
        <v>81.59999999999999</v>
      </c>
      <c r="BJ120" s="75">
        <f>IF('BBG Verify'!S120="","not filed — run on terminal",'BBG Verify'!S120)</f>
        <v/>
      </c>
      <c r="BK120" s="76" t="inlineStr">
        <is>
          <t>N</t>
        </is>
      </c>
      <c r="BL120" s="77">
        <f>IF('BBG Verify'!K120="","not filed — run on terminal",'BBG Verify'!K120)</f>
        <v/>
      </c>
      <c r="BM120" s="63" t="inlineStr">
        <is>
          <t>N/A</t>
        </is>
      </c>
      <c r="BN120" s="63" t="inlineStr">
        <is>
          <t>N/A</t>
        </is>
      </c>
      <c r="BO120" s="63" t="inlineStr">
        <is>
          <t>N/A</t>
        </is>
      </c>
      <c r="BP120" s="63" t="inlineStr">
        <is>
          <t>N/A</t>
        </is>
      </c>
      <c r="BQ120" s="63" t="inlineStr">
        <is>
          <t>N/A</t>
        </is>
      </c>
      <c r="BR120" s="63" t="inlineStr">
        <is>
          <t>N/A</t>
        </is>
      </c>
      <c r="BS120" s="76" t="inlineStr">
        <is>
          <t>Huatai Financial Holdings (Hong Kong) Limited</t>
        </is>
      </c>
      <c r="BT120" s="63" t="inlineStr">
        <is>
          <t>Huatai Financial Holdings (Hong Kong) Limited</t>
        </is>
      </c>
      <c r="BU120" s="63" t="inlineStr">
        <is>
          <t>Huatai Financial Holdings (Hong Kong) Limited; Zhongtai International Securities Limited; BOCOM International Securities Limited; Eddid Securities and Futures Limited</t>
        </is>
      </c>
      <c r="BV120" s="63" t="inlineStr">
        <is>
          <t>Beta International Securities Limited; Eddid Securities and Futures Limited; Huatai Financial Holdings (Hong Kong) Limited; Livermore Holdings Limited; Zhongtai International Securities Limited</t>
        </is>
      </c>
      <c r="BW120" s="78">
        <f>HYPERLINK("https://www1.hkexnews.hk/listedco/listconews/sehk/2022/0627/2022062700021.pdf","prospectus")</f>
        <v/>
      </c>
      <c r="BX120" s="78">
        <f>HYPERLINK("https://www1.hkexnews.hk/listedco/listconews/sehk/2022/0707/2022070700056.htm","allotment")</f>
        <v/>
      </c>
      <c r="BY120" s="78">
        <f>HYPERLINK("https://www1.hkexnews.hk/listedco/listconews/sehk/2022/0801/2022080100005.pdf","stabilisation")</f>
        <v/>
      </c>
      <c r="BZ120" s="76" t="n"/>
      <c r="CA120" s="63" t="inlineStr">
        <is>
          <t>P/E: n/m — loss-making at IPO (use P/S) · range low: cap-only pricing — the filing publishes a Maximum Offer Price and no indicative floor · A/H: no A-share listing · market cap: estimate from stated market capitalisation disagreed with the published listing cap — published figure adopted · cornerstone list: no cornerstone tranche in this deal · grey market: no grey-market headline on file for this deal — AAStocks publishes one per listing but keeps only recent items on the stock's news page, and no public archive of past evening sessions exists; captured from this run onward</t>
        </is>
      </c>
    </row>
    <row r="121" ht="15" customHeight="1">
      <c r="A121" s="62" t="inlineStr">
        <is>
          <t>2361</t>
        </is>
      </c>
      <c r="B121" s="63" t="inlineStr">
        <is>
          <t>SINOHEALTH HLDG</t>
        </is>
      </c>
      <c r="C121" s="63" t="inlineStr">
        <is>
          <t>中康科技控股</t>
        </is>
      </c>
      <c r="D121" s="63" t="inlineStr">
        <is>
          <t>Healthcare</t>
        </is>
      </c>
      <c r="E121" s="63" t="inlineStr">
        <is>
          <t>Digital health</t>
        </is>
      </c>
      <c r="F121" s="63" t="inlineStr">
        <is>
          <t>Health Care Services</t>
        </is>
      </c>
      <c r="G121" s="63" t="inlineStr">
        <is>
          <t>Standard</t>
        </is>
      </c>
      <c r="H121" s="64" t="n">
        <v>44754</v>
      </c>
      <c r="I121" s="65" t="n">
        <v>402</v>
      </c>
      <c r="J121" s="63" t="inlineStr">
        <is>
          <t>gross (price x shares)</t>
        </is>
      </c>
      <c r="K121" s="66" t="n">
        <v>5.36</v>
      </c>
      <c r="L121" s="66" t="n">
        <v>6.96</v>
      </c>
      <c r="M121" s="66" t="n">
        <v>5.36</v>
      </c>
      <c r="N121" s="63" t="inlineStr">
        <is>
          <t>N</t>
        </is>
      </c>
      <c r="O121" s="67" t="n">
        <v>77</v>
      </c>
      <c r="P121" s="67" t="n">
        <v>0</v>
      </c>
      <c r="Q121" s="68" t="n">
        <v>2978.1</v>
      </c>
      <c r="R121" s="63" t="inlineStr">
        <is>
          <t>aastocks:上市市值 at the struck price</t>
        </is>
      </c>
      <c r="S121" s="69" t="n">
        <v>2.21</v>
      </c>
      <c r="T121" s="70" t="n">
        <v>1.36</v>
      </c>
      <c r="U121" s="71" t="n">
        <v>13.8</v>
      </c>
      <c r="V121" s="68" t="n">
        <v>346.52</v>
      </c>
      <c r="W121" s="68" t="n">
        <v>64650000</v>
      </c>
      <c r="X121" s="67" t="n">
        <v>11.64</v>
      </c>
      <c r="Y121" s="63" t="inlineStr">
        <is>
          <t>Baheal Wellness Limited; Kangshi No.1 LP; Luns Family Holdings Limited; Zheng Jingjie</t>
        </is>
      </c>
      <c r="Z121" s="63" t="inlineStr">
        <is>
          <t>baheal;kangshi;luns;zheng-jingjie</t>
        </is>
      </c>
      <c r="AA121" s="67" t="n">
        <v>16.6667</v>
      </c>
      <c r="AB121" s="72" t="n"/>
      <c r="AC121" s="66" t="n"/>
      <c r="AD121" s="72" t="n"/>
      <c r="AE121" s="63" t="n"/>
      <c r="AF121" s="63" t="n"/>
      <c r="AG121" s="63" t="inlineStr">
        <is>
          <t>partial</t>
        </is>
      </c>
      <c r="AH121" s="63" t="n"/>
      <c r="AI121" s="63" t="inlineStr">
        <is>
          <t>BNP Paribas Securities</t>
        </is>
      </c>
      <c r="AJ121" s="63" t="inlineStr">
        <is>
          <t>BNP Paribas</t>
        </is>
      </c>
      <c r="AK121" s="73" t="n">
        <v>0</v>
      </c>
      <c r="AL121" s="72" t="n">
        <v>-11.57</v>
      </c>
      <c r="AM121" s="72" t="n">
        <v>13.08</v>
      </c>
      <c r="AN121" s="72" t="n">
        <v>11.94</v>
      </c>
      <c r="AO121" s="72" t="n">
        <v>-1.49</v>
      </c>
      <c r="AP121" s="72" t="n">
        <v>-38.06</v>
      </c>
      <c r="AQ121" s="72" t="n">
        <v>11.94</v>
      </c>
      <c r="AR121" s="72" t="n">
        <v>-1.49</v>
      </c>
      <c r="AS121" s="72" t="n">
        <v>-38.06</v>
      </c>
      <c r="AT121" s="72" t="n">
        <v>15.54</v>
      </c>
      <c r="AU121" s="72" t="n">
        <v>7.56</v>
      </c>
      <c r="AV121" s="72" t="n">
        <v>-12.31</v>
      </c>
      <c r="AW121" s="72" t="n">
        <v>4.62</v>
      </c>
      <c r="AX121" s="72" t="n">
        <v>-9.050000000000001</v>
      </c>
      <c r="AY121" s="72" t="n">
        <v>-6.11</v>
      </c>
      <c r="AZ121" s="63" t="inlineStr">
        <is>
          <t>China Biotech ETF (HS biotech proxy)</t>
        </is>
      </c>
      <c r="BA121" s="72" t="n">
        <v>-10.54</v>
      </c>
      <c r="BB121" s="64" t="inlineStr">
        <is>
          <t>2026-08-28</t>
        </is>
      </c>
      <c r="BC121" s="65" t="n">
        <v>356.6</v>
      </c>
      <c r="BD121" s="68" t="n">
        <v>79.2</v>
      </c>
      <c r="BE121" s="63" t="inlineStr">
        <is>
          <t>Y</t>
        </is>
      </c>
      <c r="BF121" s="74" t="n">
        <v>37.6</v>
      </c>
      <c r="BG121" s="74" t="n"/>
      <c r="BH121" s="74" t="n">
        <v>22.1</v>
      </c>
      <c r="BI121" s="74" t="n">
        <v>8.4</v>
      </c>
      <c r="BJ121" s="75">
        <f>IF('BBG Verify'!S121="","not filed — run on terminal",'BBG Verify'!S121)</f>
        <v/>
      </c>
      <c r="BK121" s="76" t="inlineStr">
        <is>
          <t>N</t>
        </is>
      </c>
      <c r="BL121" s="77">
        <f>IF('BBG Verify'!K121="","not filed — run on terminal",'BBG Verify'!K121)</f>
        <v/>
      </c>
      <c r="BM121" s="63" t="inlineStr">
        <is>
          <t>N/A</t>
        </is>
      </c>
      <c r="BN121" s="63" t="inlineStr">
        <is>
          <t>N/A</t>
        </is>
      </c>
      <c r="BO121" s="63" t="inlineStr">
        <is>
          <t>N/A</t>
        </is>
      </c>
      <c r="BP121" s="63" t="inlineStr">
        <is>
          <t>N/A</t>
        </is>
      </c>
      <c r="BQ121" s="63" t="inlineStr">
        <is>
          <t>N/A</t>
        </is>
      </c>
      <c r="BR121" s="63" t="inlineStr">
        <is>
          <t>N/A</t>
        </is>
      </c>
      <c r="BS121" s="76" t="inlineStr">
        <is>
          <t>BNP Paribas Securities (Asia) Limited</t>
        </is>
      </c>
      <c r="BT121" s="63" t="inlineStr">
        <is>
          <t>BNP Paribas Securities (Asia) Limited</t>
        </is>
      </c>
      <c r="BU121" s="63" t="inlineStr">
        <is>
          <t>BNP Paribas Securities (Asia) Limited; CCB International Capital Limited; Orient Securities (Hong Kong) Limited</t>
        </is>
      </c>
      <c r="BV121" s="63" t="inlineStr">
        <is>
          <t>BNP Paribas Securities (Asia) Limited; CCB International Capital Limited; Eddid Securities and Futures Limited; Fosun Hani Securities Limited; Futu Securities International (Hong Kong) Limited; Guotai Junan Securities (Hong Kong) Limited; Haitong International Securities Company Limited; Innovax Securities Limited; Livermore Holdings Limited; Orient Securities (Hong Kong) Limited; UOB Kay Hian (Hong Kong) Limited; Zhongtai International Securities Limited</t>
        </is>
      </c>
      <c r="BW121" s="78">
        <f>HYPERLINK("https://www1.hkexnews.hk/listedco/listconews/sehk/2022/0628/2022062800038.pdf","prospectus")</f>
        <v/>
      </c>
      <c r="BX121" s="78">
        <f>HYPERLINK("https://www1.hkexnews.hk/listedco/listconews/sehk/2022/0711/2022071100010.htm","allotment")</f>
        <v/>
      </c>
      <c r="BY121" s="78">
        <f>HYPERLINK("https://www1.hkexnews.hk/listedco/listconews/sehk/2022/0804/2022080401926.pdf","stabilisation")</f>
        <v/>
      </c>
      <c r="BZ121" s="76" t="n"/>
      <c r="CA121" s="63" t="inlineStr">
        <is>
          <t>greenshoe: over-allotment outcome already published, and the allotment announcement does not state the stabilisation expiry in a parsable form — the expiry no longer matters once resolved · A/H: no A-share listing · grey market: no grey-market headline on file for this deal — AAStocks publishes one per listing but keeps only recent items on the stock's news page, and no public archive of past evening sessions exists; captured from this run onward</t>
        </is>
      </c>
    </row>
    <row r="122" ht="15" customHeight="1">
      <c r="A122" s="62" t="inlineStr">
        <is>
          <t>2385</t>
        </is>
      </c>
      <c r="B122" s="63" t="inlineStr">
        <is>
          <t>READBOY</t>
        </is>
      </c>
      <c r="C122" s="63" t="inlineStr">
        <is>
          <t>讀書郎</t>
        </is>
      </c>
      <c r="D122" s="63" t="inlineStr">
        <is>
          <t>Tech/AI</t>
        </is>
      </c>
      <c r="E122" s="63" t="inlineStr">
        <is>
          <t>Smart hardware / consumer electronics</t>
        </is>
      </c>
      <c r="F122" s="63" t="inlineStr">
        <is>
          <t>Education Services</t>
        </is>
      </c>
      <c r="G122" s="63" t="inlineStr">
        <is>
          <t>Standard</t>
        </is>
      </c>
      <c r="H122" s="64" t="n">
        <v>44754</v>
      </c>
      <c r="I122" s="65" t="n">
        <v>395.2</v>
      </c>
      <c r="J122" s="63" t="inlineStr">
        <is>
          <t>gross (price x shares)</t>
        </is>
      </c>
      <c r="K122" s="66" t="n">
        <v>7.6</v>
      </c>
      <c r="L122" s="66" t="n">
        <v>10</v>
      </c>
      <c r="M122" s="66" t="n">
        <v>7.6</v>
      </c>
      <c r="N122" s="63" t="inlineStr">
        <is>
          <t>N</t>
        </is>
      </c>
      <c r="O122" s="67" t="n">
        <v>76</v>
      </c>
      <c r="P122" s="67" t="n">
        <v>0</v>
      </c>
      <c r="Q122" s="68" t="n">
        <v>3317.2</v>
      </c>
      <c r="R122" s="63" t="inlineStr">
        <is>
          <t>aastocks:上市市值 at the struck price</t>
        </is>
      </c>
      <c r="S122" s="69" t="n">
        <v>1.73</v>
      </c>
      <c r="T122" s="70" t="n">
        <v>1.62</v>
      </c>
      <c r="U122" s="71" t="n">
        <v>54.22</v>
      </c>
      <c r="V122" s="68" t="n">
        <v>180.92</v>
      </c>
      <c r="W122" s="68" t="n">
        <v>23805600</v>
      </c>
      <c r="X122" s="67" t="n">
        <v>5.45</v>
      </c>
      <c r="Y122" s="63" t="inlineStr">
        <is>
          <t>Azure Telecommunication; Eastland; Gold Synergy; Gui Chunfang; Jin Tao; Tower Lead; Yang Xiaojie; Zheng Changping</t>
        </is>
      </c>
      <c r="Z122" s="63" t="inlineStr">
        <is>
          <t>azure;eastland;gold;gui;jin-tao;tower;yang-xiaojie;zheng-changping</t>
        </is>
      </c>
      <c r="AA122" s="67" t="n">
        <v>15</v>
      </c>
      <c r="AB122" s="72" t="n"/>
      <c r="AC122" s="66" t="n"/>
      <c r="AD122" s="72" t="n"/>
      <c r="AE122" s="63" t="n"/>
      <c r="AF122" s="63" t="n"/>
      <c r="AG122" s="63" t="inlineStr">
        <is>
          <t>lapsed</t>
        </is>
      </c>
      <c r="AH122" s="63" t="inlineStr">
        <is>
          <t>2022-08-04</t>
        </is>
      </c>
      <c r="AI122" s="63" t="inlineStr">
        <is>
          <t>China Securities</t>
        </is>
      </c>
      <c r="AJ122" s="63" t="inlineStr">
        <is>
          <t>China Securities</t>
        </is>
      </c>
      <c r="AK122" s="73" t="n">
        <v>-5.26</v>
      </c>
      <c r="AL122" s="72" t="n">
        <v>-28.95</v>
      </c>
      <c r="AM122" s="72" t="n">
        <v>33.34</v>
      </c>
      <c r="AN122" s="72" t="n">
        <v>-3.03</v>
      </c>
      <c r="AO122" s="72" t="n">
        <v>-7.89</v>
      </c>
      <c r="AP122" s="72" t="n">
        <v>-6.32</v>
      </c>
      <c r="AQ122" s="72" t="n">
        <v>2.35</v>
      </c>
      <c r="AR122" s="72" t="n">
        <v>-2.78</v>
      </c>
      <c r="AS122" s="72" t="n">
        <v>-1.12</v>
      </c>
      <c r="AT122" s="72" t="n">
        <v>-1.27</v>
      </c>
      <c r="AU122" s="72" t="n">
        <v>1.14</v>
      </c>
      <c r="AV122" s="72" t="n">
        <v>22.53</v>
      </c>
      <c r="AW122" s="72" t="n">
        <v>4.83</v>
      </c>
      <c r="AX122" s="72" t="n">
        <v>-9.029999999999999</v>
      </c>
      <c r="AY122" s="72" t="n">
        <v>-7.61</v>
      </c>
      <c r="AZ122" s="63" t="inlineStr">
        <is>
          <t>HSTECH (Hang Seng TECH ETF)</t>
        </is>
      </c>
      <c r="BA122" s="72" t="n">
        <v>-24.8</v>
      </c>
      <c r="BB122" s="64" t="inlineStr">
        <is>
          <t>2026-08-28</t>
        </is>
      </c>
      <c r="BC122" s="65" t="n">
        <v>894.5</v>
      </c>
      <c r="BD122" s="68" t="n">
        <v>90.40000000000001</v>
      </c>
      <c r="BE122" s="63" t="inlineStr">
        <is>
          <t>Y</t>
        </is>
      </c>
      <c r="BF122" s="74" t="n">
        <v>36.7</v>
      </c>
      <c r="BG122" s="74" t="n"/>
      <c r="BH122" s="74" t="n"/>
      <c r="BI122" s="74" t="n">
        <v>3.7</v>
      </c>
      <c r="BJ122" s="75">
        <f>IF('BBG Verify'!S122="","not filed — run on terminal",'BBG Verify'!S122)</f>
        <v/>
      </c>
      <c r="BK122" s="76" t="inlineStr">
        <is>
          <t>N</t>
        </is>
      </c>
      <c r="BL122" s="77">
        <f>IF('BBG Verify'!K122="","not filed — run on terminal",'BBG Verify'!K122)</f>
        <v/>
      </c>
      <c r="BM122" s="63" t="inlineStr">
        <is>
          <t>N/A</t>
        </is>
      </c>
      <c r="BN122" s="63" t="inlineStr">
        <is>
          <t>N/A</t>
        </is>
      </c>
      <c r="BO122" s="63" t="inlineStr">
        <is>
          <t>N/A</t>
        </is>
      </c>
      <c r="BP122" s="63" t="inlineStr">
        <is>
          <t>N/A</t>
        </is>
      </c>
      <c r="BQ122" s="63" t="inlineStr">
        <is>
          <t>N/A</t>
        </is>
      </c>
      <c r="BR122" s="63" t="inlineStr">
        <is>
          <t>N/A</t>
        </is>
      </c>
      <c r="BS122" s="76" t="inlineStr">
        <is>
          <t>China Securities (International) Corporate Finance Company Limited; Macquarie Capital Limited</t>
        </is>
      </c>
      <c r="BT122" s="63" t="inlineStr">
        <is>
          <t>China Securities (International) Corporate Finance Company Limited; Macquarie Capital Limited</t>
        </is>
      </c>
      <c r="BU122" s="63" t="inlineStr">
        <is>
          <t>China Securities (International) Corporate Finance Company Limited; Macquarie Capital Limited</t>
        </is>
      </c>
      <c r="BV122" s="63" t="inlineStr">
        <is>
          <t>Beta International Securities Limited; China Merchants Securities (HK) Company Limited; China Securities (International) Corporate Finance Company Limited; Eddid Securities and Futures Limited; Futu Securities International (Hong Kong) Limited; Guotai Junan Securities (Hong Kong) Limited; Haitong International Securities Company Limited; Livermore Holdings Limited; Macquarie Capital Limited; Tiger Brokers (HK) Global Limited</t>
        </is>
      </c>
      <c r="BW122" s="78">
        <f>HYPERLINK("https://www1.hkexnews.hk/listedco/listconews/sehk/2022/0629/2022062900037.pdf","prospectus")</f>
        <v/>
      </c>
      <c r="BX122" s="78">
        <f>HYPERLINK("https://www1.hkexnews.hk/listedco/listconews/sehk/2022/0711/2022071100024.htm","allotment")</f>
        <v/>
      </c>
      <c r="BY122" s="78">
        <f>HYPERLINK("https://www1.hkexnews.hk/listedco/listconews/sehk/2022/0804/2022080401924.pdf","stabilisation")</f>
        <v/>
      </c>
      <c r="BZ122" s="76" t="n"/>
      <c r="CA122" s="63" t="inlineStr">
        <is>
          <t>A/H: no A-share listing · market cap: estimate from deal size / offer % of enlarged capital disagreed with the published listing cap — published figure adopted · grey market: no grey-market headline on file for this deal — AAStocks publishes one per listing but keeps only recent items on the stock's news page, and no public archive of past evening sessions exists; captured from this run onward</t>
        </is>
      </c>
    </row>
    <row r="123" ht="15" customHeight="1">
      <c r="A123" s="62" t="inlineStr">
        <is>
          <t>9896</t>
        </is>
      </c>
      <c r="B123" s="63" t="inlineStr">
        <is>
          <t>MNSO</t>
        </is>
      </c>
      <c r="C123" s="63" t="inlineStr">
        <is>
          <t>名創優品</t>
        </is>
      </c>
      <c r="D123" s="63" t="inlineStr">
        <is>
          <t>Consumer</t>
        </is>
      </c>
      <c r="E123" s="63" t="inlineStr">
        <is>
          <t>Retail / distribution</t>
        </is>
      </c>
      <c r="F123" s="63" t="inlineStr">
        <is>
          <t>Hypermarkets, Supermarkets &amp; Convenience Stores</t>
        </is>
      </c>
      <c r="G123" s="63" t="inlineStr">
        <is>
          <t>Standard</t>
        </is>
      </c>
      <c r="H123" s="64" t="n">
        <v>44755</v>
      </c>
      <c r="I123" s="65" t="n">
        <v>475.7</v>
      </c>
      <c r="J123" s="63" t="inlineStr">
        <is>
          <t>net proceeds</t>
        </is>
      </c>
      <c r="K123" s="66" t="n"/>
      <c r="L123" s="66" t="n">
        <v>13.8</v>
      </c>
      <c r="M123" s="66" t="n">
        <v>13.8</v>
      </c>
      <c r="N123" s="63" t="inlineStr">
        <is>
          <t>Y</t>
        </is>
      </c>
      <c r="O123" s="67" t="n">
        <v>100</v>
      </c>
      <c r="P123" s="67" t="n"/>
      <c r="Q123" s="68" t="n">
        <v>12856.8</v>
      </c>
      <c r="R123" s="63" t="inlineStr">
        <is>
          <t>derived:deal size / offer % of enlarged capital</t>
        </is>
      </c>
      <c r="S123" s="69" t="n">
        <v>1.4</v>
      </c>
      <c r="T123" s="70" t="n">
        <v>4.84</v>
      </c>
      <c r="U123" s="71" t="n"/>
      <c r="V123" s="68" t="n">
        <v>475.7</v>
      </c>
      <c r="W123" s="68" t="n"/>
      <c r="X123" s="67" t="n">
        <v>3.7</v>
      </c>
      <c r="Y123" s="63" t="n"/>
      <c r="Z123" s="63" t="n"/>
      <c r="AA123" s="67" t="n">
        <v>5</v>
      </c>
      <c r="AB123" s="72" t="n"/>
      <c r="AC123" s="66" t="n"/>
      <c r="AD123" s="72" t="n"/>
      <c r="AE123" s="63" t="n"/>
      <c r="AF123" s="63" t="n"/>
      <c r="AG123" s="63" t="inlineStr">
        <is>
          <t>partial</t>
        </is>
      </c>
      <c r="AH123" s="63" t="n"/>
      <c r="AI123" s="63" t="inlineStr">
        <is>
          <t>Merrill Lynch International</t>
        </is>
      </c>
      <c r="AJ123" s="63" t="inlineStr">
        <is>
          <t>Merrill Lynch</t>
        </is>
      </c>
      <c r="AK123" s="73" t="n">
        <v>-3.04</v>
      </c>
      <c r="AL123" s="72" t="n">
        <v>-4.35</v>
      </c>
      <c r="AM123" s="72" t="n">
        <v>1.37</v>
      </c>
      <c r="AN123" s="72" t="n">
        <v>3.77</v>
      </c>
      <c r="AO123" s="72" t="n">
        <v>-12.9</v>
      </c>
      <c r="AP123" s="72" t="n">
        <v>-26.23</v>
      </c>
      <c r="AQ123" s="72" t="n">
        <v>7.02</v>
      </c>
      <c r="AR123" s="72" t="n">
        <v>-10.17</v>
      </c>
      <c r="AS123" s="72" t="n">
        <v>-23.92</v>
      </c>
      <c r="AT123" s="72" t="n">
        <v>1.69</v>
      </c>
      <c r="AU123" s="72" t="n">
        <v>-9.449999999999999</v>
      </c>
      <c r="AV123" s="72" t="n">
        <v>-5.92</v>
      </c>
      <c r="AW123" s="72" t="n">
        <v>-6.55</v>
      </c>
      <c r="AX123" s="72" t="n">
        <v>-3.45</v>
      </c>
      <c r="AY123" s="72" t="n">
        <v>-3.62</v>
      </c>
      <c r="AZ123" s="63" t="inlineStr">
        <is>
          <t>Hang Seng Commerce &amp; Industry sub-index</t>
        </is>
      </c>
      <c r="BA123" s="72" t="n">
        <v>53.91</v>
      </c>
      <c r="BB123" s="64" t="inlineStr">
        <is>
          <t>2026-08-28</t>
        </is>
      </c>
      <c r="BC123" s="65" t="n">
        <v>11094.2</v>
      </c>
      <c r="BD123" s="68" t="n">
        <v>702</v>
      </c>
      <c r="BE123" s="63" t="inlineStr">
        <is>
          <t>Y</t>
        </is>
      </c>
      <c r="BF123" s="74" t="n">
        <v>18.3</v>
      </c>
      <c r="BG123" s="74" t="n"/>
      <c r="BH123" s="74" t="n"/>
      <c r="BI123" s="74" t="n">
        <v>1.2</v>
      </c>
      <c r="BJ123" s="75">
        <f>IF('BBG Verify'!S123="","not filed — run on terminal",'BBG Verify'!S123)</f>
        <v/>
      </c>
      <c r="BK123" s="76" t="inlineStr">
        <is>
          <t>N</t>
        </is>
      </c>
      <c r="BL123" s="77">
        <f>IF('BBG Verify'!K123="","not filed — run on terminal",'BBG Verify'!K123)</f>
        <v/>
      </c>
      <c r="BM123" s="63" t="inlineStr">
        <is>
          <t>N/A</t>
        </is>
      </c>
      <c r="BN123" s="63" t="inlineStr">
        <is>
          <t>N/A</t>
        </is>
      </c>
      <c r="BO123" s="63" t="inlineStr">
        <is>
          <t>N/A</t>
        </is>
      </c>
      <c r="BP123" s="63" t="inlineStr">
        <is>
          <t>N/A</t>
        </is>
      </c>
      <c r="BQ123" s="63" t="inlineStr">
        <is>
          <t>N/A</t>
        </is>
      </c>
      <c r="BR123" s="63" t="inlineStr">
        <is>
          <t>N/A</t>
        </is>
      </c>
      <c r="BS123" s="76" t="n"/>
      <c r="BT123" s="63" t="inlineStr">
        <is>
          <t>Haitong International Capital Limited; UBS Securities Hong Kong Limited; Merrill Lynch (Asia Pacific) Limited</t>
        </is>
      </c>
      <c r="BU123" s="63" t="inlineStr">
        <is>
          <t>Futu Securities International (Hong Kong) Limited; GF Securities (Hong Kong) Brokerage Limited; Haitong International Securities Company Limited; Merrill Lynch (Asia Pacific) Limited; UBS AG Hong Kong Branch</t>
        </is>
      </c>
      <c r="BV123" s="63" t="inlineStr">
        <is>
          <t>Futu Securities International (Hong Kong) Limited; GF Securities (Hong Kong) Brokerage Limited; Haitong International Securities Company Limited; Merrill Lynch (Asia Pacific) Limited; UBS AG Hong Kong Branch</t>
        </is>
      </c>
      <c r="BW123" s="78">
        <f>HYPERLINK("https://www1.hkexnews.hk/listedco/listconews/sehk/2022/0630/2022063000250.htm","prospectus")</f>
        <v/>
      </c>
      <c r="BX123" s="78">
        <f>HYPERLINK("https://www1.hkexnews.hk/listedco/listconews/sehk/2022/0712/2022071200016.htm","allotment")</f>
        <v/>
      </c>
      <c r="BY123" s="78">
        <f>HYPERLINK("https://www1.hkexnews.hk/listedco/listconews/sehk/2022/0805/2022080501253.pdf","stabilisation")</f>
        <v/>
      </c>
      <c r="BZ123" s="76" t="n"/>
      <c r="CA123" s="63" t="inlineStr">
        <is>
          <t>greenshoe: over-allotment outcome already published, and the allotment announcement does not state the stabilisation expiry in a parsable form — the expiry no longer matters once resolved · price range: fixed-price offering (no indicative range) · range low: cap-only pricing — the filing publishes a Maximum Offer Price and no indicative floor · A/H: no A-share listing · sponsor: English name not in the filing text; AAStocks 保薦人 shown · cornerstone list: cornerstone section not machine-extractable — see the prospectus link · cornerstone %: cornerstone aggregate not stated in the filing · grey market: no grey-market headline on file for this deal — AAStocks publishes one per listing but keeps only recent items on the stock's news page, and no public archive of past evening sessions exists; captured from this run onward · eff float shares: share count unavailable or rejected as implausible — the money figure (eff_free_float_hkdm) is still exact</t>
        </is>
      </c>
    </row>
    <row r="124" ht="15" customHeight="1">
      <c r="A124" s="62" t="inlineStr">
        <is>
          <t>6661</t>
        </is>
      </c>
      <c r="B124" s="63" t="inlineStr">
        <is>
          <t>HUZHOU GAS</t>
        </is>
      </c>
      <c r="C124" s="63" t="inlineStr">
        <is>
          <t>湖州燃氣</t>
        </is>
      </c>
      <c r="D124" s="63" t="inlineStr">
        <is>
          <t>Materials/Energy</t>
        </is>
      </c>
      <c r="E124" s="63" t="inlineStr">
        <is>
          <t>Oil &amp; gas / utilities</t>
        </is>
      </c>
      <c r="F124" s="63" t="inlineStr">
        <is>
          <t>Gas Utilities</t>
        </is>
      </c>
      <c r="G124" s="63" t="inlineStr">
        <is>
          <t>Standard</t>
        </is>
      </c>
      <c r="H124" s="64" t="n">
        <v>44755</v>
      </c>
      <c r="I124" s="65" t="n">
        <v>304</v>
      </c>
      <c r="J124" s="63" t="inlineStr">
        <is>
          <t>gross (price x shares)</t>
        </is>
      </c>
      <c r="K124" s="66" t="n"/>
      <c r="L124" s="66" t="n">
        <v>6.08</v>
      </c>
      <c r="M124" s="66" t="n">
        <v>6.08</v>
      </c>
      <c r="N124" s="63" t="inlineStr">
        <is>
          <t>Y</t>
        </is>
      </c>
      <c r="O124" s="67" t="n">
        <v>100</v>
      </c>
      <c r="P124" s="67" t="n"/>
      <c r="Q124" s="68" t="n">
        <v>1097.1</v>
      </c>
      <c r="R124" s="63" t="inlineStr">
        <is>
          <t>derived:deal size / offer % of enlarged capital</t>
        </is>
      </c>
      <c r="S124" s="69" t="n">
        <v>8.08</v>
      </c>
      <c r="T124" s="70" t="n">
        <v>1.18</v>
      </c>
      <c r="U124" s="71" t="n">
        <v>18.9</v>
      </c>
      <c r="V124" s="68" t="n">
        <v>246.54</v>
      </c>
      <c r="W124" s="68" t="n">
        <v>40550000</v>
      </c>
      <c r="X124" s="67" t="n">
        <v>22.47</v>
      </c>
      <c r="Y124" s="63" t="inlineStr">
        <is>
          <t>Huzhou Erqing Asset Operation Co., Ltd; Zhejiang Caixu Equity Investment Co., Ltd; Zhejiang Jiening Equity Investment Co., Ltd; Zhejiang Lichen Equity Investment Co., Ltd</t>
        </is>
      </c>
      <c r="Z124" s="63" t="inlineStr">
        <is>
          <t>huzhou;zhejiang</t>
        </is>
      </c>
      <c r="AA124" s="67" t="n">
        <v>14.6</v>
      </c>
      <c r="AB124" s="72" t="n"/>
      <c r="AC124" s="66" t="n"/>
      <c r="AD124" s="72" t="n"/>
      <c r="AE124" s="63" t="n"/>
      <c r="AF124" s="63" t="n"/>
      <c r="AG124" s="63" t="inlineStr">
        <is>
          <t>partial</t>
        </is>
      </c>
      <c r="AH124" s="63" t="inlineStr">
        <is>
          <t>2022-08-04</t>
        </is>
      </c>
      <c r="AI124" s="63" t="inlineStr">
        <is>
          <t>BOCOM International Securities</t>
        </is>
      </c>
      <c r="AJ124" s="63" t="inlineStr">
        <is>
          <t>BOCOM</t>
        </is>
      </c>
      <c r="AK124" s="73" t="n">
        <v>-7.89</v>
      </c>
      <c r="AL124" s="72" t="n">
        <v>-1.64</v>
      </c>
      <c r="AM124" s="72" t="n">
        <v>-6.35</v>
      </c>
      <c r="AN124" s="72" t="n">
        <v>-1.32</v>
      </c>
      <c r="AO124" s="72" t="n">
        <v>-9.539999999999999</v>
      </c>
      <c r="AP124" s="72" t="n">
        <v>-5.43</v>
      </c>
      <c r="AQ124" s="72" t="n">
        <v>7.13</v>
      </c>
      <c r="AR124" s="72" t="n">
        <v>-1.79</v>
      </c>
      <c r="AS124" s="72" t="n">
        <v>2.67</v>
      </c>
      <c r="AT124" s="72" t="n">
        <v>-3.4</v>
      </c>
      <c r="AU124" s="72" t="n">
        <v>-6.09</v>
      </c>
      <c r="AV124" s="72" t="n">
        <v>14.88</v>
      </c>
      <c r="AW124" s="72" t="n">
        <v>1.83</v>
      </c>
      <c r="AX124" s="72" t="n">
        <v>-3.45</v>
      </c>
      <c r="AY124" s="72" t="n">
        <v>-3.62</v>
      </c>
      <c r="AZ124" s="63" t="inlineStr">
        <is>
          <t>Hang Seng Commerce &amp; Industry sub-index</t>
        </is>
      </c>
      <c r="BA124" s="72" t="n">
        <v>-18.67</v>
      </c>
      <c r="BB124" s="64" t="inlineStr">
        <is>
          <t>2026-08-28</t>
        </is>
      </c>
      <c r="BC124" s="65" t="n">
        <v>2044.6</v>
      </c>
      <c r="BD124" s="68" t="n">
        <v>183.4</v>
      </c>
      <c r="BE124" s="63" t="inlineStr">
        <is>
          <t>Y</t>
        </is>
      </c>
      <c r="BF124" s="74" t="n">
        <v>6</v>
      </c>
      <c r="BG124" s="74" t="n"/>
      <c r="BH124" s="74" t="n">
        <v>9.1</v>
      </c>
      <c r="BI124" s="74" t="n">
        <v>0.5</v>
      </c>
      <c r="BJ124" s="75">
        <f>IF('BBG Verify'!S124="","not filed — run on terminal",'BBG Verify'!S124)</f>
        <v/>
      </c>
      <c r="BK124" s="76" t="inlineStr">
        <is>
          <t>N</t>
        </is>
      </c>
      <c r="BL124" s="77">
        <f>IF('BBG Verify'!K124="","not filed — run on terminal",'BBG Verify'!K124)</f>
        <v/>
      </c>
      <c r="BM124" s="63" t="inlineStr">
        <is>
          <t>N/A</t>
        </is>
      </c>
      <c r="BN124" s="63" t="inlineStr">
        <is>
          <t>N/A</t>
        </is>
      </c>
      <c r="BO124" s="63" t="inlineStr">
        <is>
          <t>N/A</t>
        </is>
      </c>
      <c r="BP124" s="63" t="inlineStr">
        <is>
          <t>N/A</t>
        </is>
      </c>
      <c r="BQ124" s="63" t="inlineStr">
        <is>
          <t>N/A</t>
        </is>
      </c>
      <c r="BR124" s="63" t="inlineStr">
        <is>
          <t>N/A</t>
        </is>
      </c>
      <c r="BS124" s="76" t="inlineStr">
        <is>
          <t>BOCOM International (Asia) Limited</t>
        </is>
      </c>
      <c r="BT124" s="63" t="inlineStr">
        <is>
          <t>BOCOM International (Asia) Limited</t>
        </is>
      </c>
      <c r="BU124" s="63" t="inlineStr">
        <is>
          <t>CEB International Capital Corporation Limited; China Everbright Securities (HK) Limited; China Industrial Securities International Capital Limited; China Tonghai Securities Limited; CMBC Securities Company Limited; Guotai Junan Securities (Hong Kong) Limited; Zhongtai International Securities Limited</t>
        </is>
      </c>
      <c r="BV124" s="63" t="inlineStr">
        <is>
          <t>Beta International Securities Limited; CEB International Capital Corporation Limited; China Everbright Securities (HK) Limited; China Tonghai Securities Limited; China Industrial Securities International Capital Limited; CMBC Securities Company Limited; Essence International Securities (Hong Kong) Limited; Eddid Securities and Futures Limited; Guotai Junan Securities (Hong Kong) Limited; Livermore Holdings Limited; Maxa Capital Limited; Sigma Capital Management Limited</t>
        </is>
      </c>
      <c r="BW124" s="78">
        <f>HYPERLINK("https://www1.hkexnews.hk/listedco/listconews/sehk/2022/0629/2022062900043.pdf","prospectus")</f>
        <v/>
      </c>
      <c r="BX124" s="78">
        <f>HYPERLINK("https://www1.hkexnews.hk/listedco/listconews/sehk/2022/0712/2022071200042.htm","allotment")</f>
        <v/>
      </c>
      <c r="BY124" s="78">
        <f>HYPERLINK("https://www1.hkexnews.hk/listedco/listconews/sehk/2022/0805/2022080501239.pdf","stabilisation")</f>
        <v/>
      </c>
      <c r="BZ124" s="76" t="n"/>
      <c r="CA124" s="63" t="inlineStr">
        <is>
          <t>range low: cap-only pricing — the filing publishes a Maximum Offer Price and no indicative floor · A/H: no A-share listing · cornerstone: AAStocks institutional table includes non-cornerstone orders (superset) — cornerstone % is from the prospectus · grey market: no grey-market headline on file for this deal — AAStocks publishes one per listing but keeps only recent items on the stock's news page, and no public archive of past evening sessions exists; captured from this run onward</t>
        </is>
      </c>
    </row>
    <row r="125" ht="15" customHeight="1">
      <c r="A125" s="62" t="inlineStr">
        <is>
          <t>6686</t>
        </is>
      </c>
      <c r="B125" s="63" t="inlineStr">
        <is>
          <t>NOAH HOLDINGS-S</t>
        </is>
      </c>
      <c r="C125" s="63" t="inlineStr">
        <is>
          <t>諾亞控股</t>
        </is>
      </c>
      <c r="D125" s="63" t="inlineStr">
        <is>
          <t>Financials</t>
        </is>
      </c>
      <c r="E125" s="63" t="inlineStr">
        <is>
          <t>Brokers / asset management</t>
        </is>
      </c>
      <c r="F125" s="63" t="inlineStr">
        <is>
          <t>Investment Holdings &amp; Assets Management</t>
        </is>
      </c>
      <c r="G125" s="63" t="inlineStr">
        <is>
          <t>Secondary</t>
        </is>
      </c>
      <c r="H125" s="64" t="n">
        <v>44755</v>
      </c>
      <c r="I125" s="65" t="n">
        <v>321.2</v>
      </c>
      <c r="J125" s="63" t="inlineStr">
        <is>
          <t>gross (price x shares)</t>
        </is>
      </c>
      <c r="K125" s="66" t="n"/>
      <c r="L125" s="66" t="n">
        <v>307</v>
      </c>
      <c r="M125" s="66" t="n">
        <v>292</v>
      </c>
      <c r="N125" s="63" t="inlineStr">
        <is>
          <t>N</t>
        </is>
      </c>
      <c r="O125" s="67" t="n">
        <v>95.09999999999999</v>
      </c>
      <c r="P125" s="67" t="n"/>
      <c r="Q125" s="68" t="n">
        <v>9575.1</v>
      </c>
      <c r="R125" s="63" t="inlineStr">
        <is>
          <t>prospectus:stated market capitalisation</t>
        </is>
      </c>
      <c r="S125" s="69" t="n">
        <v>3.26</v>
      </c>
      <c r="T125" s="70" t="n">
        <v>5.9</v>
      </c>
      <c r="U125" s="71" t="n">
        <v>0</v>
      </c>
      <c r="V125" s="68" t="n">
        <v>321.2</v>
      </c>
      <c r="W125" s="68" t="n">
        <v>1100000</v>
      </c>
      <c r="X125" s="67" t="n">
        <v>3.35</v>
      </c>
      <c r="Y125" s="63" t="n"/>
      <c r="Z125" s="63" t="n"/>
      <c r="AA125" s="67" t="n">
        <v>11.9</v>
      </c>
      <c r="AB125" s="72" t="n"/>
      <c r="AC125" s="66" t="n"/>
      <c r="AD125" s="72" t="n"/>
      <c r="AE125" s="63" t="n"/>
      <c r="AF125" s="63" t="n"/>
      <c r="AG125" s="63" t="inlineStr">
        <is>
          <t>partial</t>
        </is>
      </c>
      <c r="AH125" s="63" t="inlineStr">
        <is>
          <t>2022-08-05</t>
        </is>
      </c>
      <c r="AI125" s="63" t="inlineStr">
        <is>
          <t>Goldman Sachs</t>
        </is>
      </c>
      <c r="AJ125" s="63" t="inlineStr">
        <is>
          <t>Goldman Sachs</t>
        </is>
      </c>
      <c r="AK125" s="73" t="n">
        <v>-4.45</v>
      </c>
      <c r="AL125" s="72" t="n">
        <v>-2.4</v>
      </c>
      <c r="AM125" s="72" t="n">
        <v>-2.1</v>
      </c>
      <c r="AN125" s="72" t="n">
        <v>-6.16</v>
      </c>
      <c r="AO125" s="72" t="n">
        <v>-10.62</v>
      </c>
      <c r="AP125" s="72" t="n">
        <v>-27.12</v>
      </c>
      <c r="AQ125" s="72" t="n">
        <v>-1.79</v>
      </c>
      <c r="AR125" s="72" t="n">
        <v>-6.46</v>
      </c>
      <c r="AS125" s="72" t="n">
        <v>-23.73</v>
      </c>
      <c r="AT125" s="72" t="n">
        <v>-4.66</v>
      </c>
      <c r="AU125" s="72" t="n">
        <v>-7.54</v>
      </c>
      <c r="AV125" s="72" t="n">
        <v>-8.26</v>
      </c>
      <c r="AW125" s="72" t="n">
        <v>-3.99</v>
      </c>
      <c r="AX125" s="72" t="n">
        <v>-3.08</v>
      </c>
      <c r="AY125" s="72" t="n">
        <v>-2.47</v>
      </c>
      <c r="AZ125" s="63" t="inlineStr">
        <is>
          <t>Hang Seng Finance sub-index</t>
        </is>
      </c>
      <c r="BA125" s="72" t="n">
        <v>-51.16</v>
      </c>
      <c r="BB125" s="64" t="inlineStr">
        <is>
          <t>2026-08-31</t>
        </is>
      </c>
      <c r="BC125" s="65" t="n">
        <v>4759.3</v>
      </c>
      <c r="BD125" s="68" t="n"/>
      <c r="BE125" s="63" t="inlineStr">
        <is>
          <t>Y</t>
        </is>
      </c>
      <c r="BF125" s="75">
        <f>IF('BBG Verify'!O125="","not filed — run on terminal",'BBG Verify'!O125)</f>
        <v/>
      </c>
      <c r="BG125" s="74" t="n"/>
      <c r="BH125" s="74" t="n"/>
      <c r="BI125" s="74" t="n">
        <v>2</v>
      </c>
      <c r="BJ125" s="75">
        <f>IF('BBG Verify'!S125="","not filed — run on terminal",'BBG Verify'!S125)</f>
        <v/>
      </c>
      <c r="BK125" s="76" t="inlineStr">
        <is>
          <t>N</t>
        </is>
      </c>
      <c r="BL125" s="77">
        <f>IF('BBG Verify'!K125="","not filed — run on terminal",'BBG Verify'!K125)</f>
        <v/>
      </c>
      <c r="BM125" s="63" t="inlineStr">
        <is>
          <t>N/A</t>
        </is>
      </c>
      <c r="BN125" s="63" t="inlineStr">
        <is>
          <t>N/A</t>
        </is>
      </c>
      <c r="BO125" s="63" t="inlineStr">
        <is>
          <t>N/A</t>
        </is>
      </c>
      <c r="BP125" s="63" t="inlineStr">
        <is>
          <t>N/A</t>
        </is>
      </c>
      <c r="BQ125" s="63" t="inlineStr">
        <is>
          <t>N/A</t>
        </is>
      </c>
      <c r="BR125" s="63" t="inlineStr">
        <is>
          <t>N/A</t>
        </is>
      </c>
      <c r="BS125" s="76" t="inlineStr">
        <is>
          <t>Goldman Sachs (Asia) L.L.C</t>
        </is>
      </c>
      <c r="BT125" s="63" t="inlineStr">
        <is>
          <t>Goldman Sachs (Asia) L.L.C.</t>
        </is>
      </c>
      <c r="BU125" s="63" t="inlineStr">
        <is>
          <t>Futu Securities International (Hong Kong) Limited</t>
        </is>
      </c>
      <c r="BV125" s="63" t="inlineStr">
        <is>
          <t>BOCI Asia Limited; DBS Asia Capital Limited; Futu Securities International (Hong Kong) Limited; Goldman Sachs (Asia) L.L.C.</t>
        </is>
      </c>
      <c r="BW125" s="78">
        <f>HYPERLINK("https://www1.hkexnews.hk/listedco/listconews/sehk/2022/0629/2022062902037.pdf","prospectus")</f>
        <v/>
      </c>
      <c r="BX125" s="78">
        <f>HYPERLINK("https://www1.hkexnews.hk/listedco/listconews/sehk/2022/0712/2022071200028.htm","allotment")</f>
        <v/>
      </c>
      <c r="BY125" s="78">
        <f>HYPERLINK("https://www1.hkexnews.hk/listedco/listconews/sehk/2022/0805/2022080501393.pdf","stabilisation")</f>
        <v/>
      </c>
      <c r="BZ125" s="76" t="n"/>
      <c r="CA125" s="63" t="inlineStr">
        <is>
          <t>P/E: withheld — mktcap / net income gives 5,040x, which fails the 300x plausibility check; the extracted net income (HK$1.9m) is not trustworthy · range low: cap-only pricing — the filing publishes a Maximum Offer Price and no indicative floor · A/H: no A-share listing · cornerstone list: no cornerstone tranche in this deal · financials: financial tables not machine-extractable and the pre-IPO year is outside AAStocks' 5-year window · grey market: no grey-market headline on file for this deal — AAStocks publishes one per listing but keeps only recent items on the stock's news page, and no public archive of past evening sessions exists; captured from this run onward</t>
        </is>
      </c>
    </row>
    <row r="126" ht="15" customHeight="1">
      <c r="A126" s="62" t="inlineStr">
        <is>
          <t>9696</t>
        </is>
      </c>
      <c r="B126" s="63" t="inlineStr">
        <is>
          <t>TIANQI LITHIUM</t>
        </is>
      </c>
      <c r="C126" s="63" t="inlineStr">
        <is>
          <t>天齊鋰業</t>
        </is>
      </c>
      <c r="D126" s="63" t="inlineStr">
        <is>
          <t>Materials/Energy</t>
        </is>
      </c>
      <c r="E126" s="63" t="inlineStr">
        <is>
          <t>Mining / metals</t>
        </is>
      </c>
      <c r="F126" s="63" t="inlineStr">
        <is>
          <t>Diversified Metals &amp; Minerals</t>
        </is>
      </c>
      <c r="G126" s="63" t="inlineStr">
        <is>
          <t>Standard</t>
        </is>
      </c>
      <c r="H126" s="64" t="n">
        <v>44755</v>
      </c>
      <c r="I126" s="65" t="n">
        <v>13458</v>
      </c>
      <c r="J126" s="63" t="inlineStr">
        <is>
          <t>gross (price x shares)</t>
        </is>
      </c>
      <c r="K126" s="66" t="n"/>
      <c r="L126" s="66" t="n">
        <v>82</v>
      </c>
      <c r="M126" s="66" t="n">
        <v>82</v>
      </c>
      <c r="N126" s="63" t="inlineStr">
        <is>
          <t>Y</t>
        </is>
      </c>
      <c r="O126" s="67" t="n">
        <v>100</v>
      </c>
      <c r="P126" s="67" t="n"/>
      <c r="Q126" s="68" t="n">
        <v>123912.2</v>
      </c>
      <c r="R126" s="63" t="inlineStr">
        <is>
          <t>aastocks:上市市值 at the struck price</t>
        </is>
      </c>
      <c r="S126" s="69" t="n">
        <v>9.300000000000001</v>
      </c>
      <c r="T126" s="70" t="n">
        <v>5.2</v>
      </c>
      <c r="U126" s="71" t="n">
        <v>36.4</v>
      </c>
      <c r="V126" s="68" t="n">
        <v>8559.290000000001</v>
      </c>
      <c r="W126" s="68" t="n">
        <v>104381719</v>
      </c>
      <c r="X126" s="67" t="n">
        <v>6.91</v>
      </c>
      <c r="Y126" s="63" t="inlineStr">
        <is>
          <t>CALB Co., Ltd; CPIC Investment Management (H.K.) Company Limited; Gold Mountains (H.K.) International Mining Company Limited; LG Chem, Ltd; Pacific Asset Management Co., Limited; Shenzhen Dynanonic Company Limited; Sichuan Energy Investment (Hong Kong) Holdings Limited</t>
        </is>
      </c>
      <c r="Z126" s="63" t="inlineStr">
        <is>
          <t>calb;cpic;gold;lg;pacific-asset;shenzhen-dynanonic;sichuan</t>
        </is>
      </c>
      <c r="AA126" s="67" t="n"/>
      <c r="AB126" s="72" t="n"/>
      <c r="AC126" s="66" t="n"/>
      <c r="AD126" s="72" t="n"/>
      <c r="AE126" s="63" t="n"/>
      <c r="AF126" s="63" t="n"/>
      <c r="AG126" s="63" t="inlineStr">
        <is>
          <t>lapsed</t>
        </is>
      </c>
      <c r="AH126" s="63" t="inlineStr">
        <is>
          <t>2022-08-05</t>
        </is>
      </c>
      <c r="AI126" s="63" t="inlineStr">
        <is>
          <t>Morgan Stanley Asia Limited</t>
        </is>
      </c>
      <c r="AJ126" s="63" t="inlineStr">
        <is>
          <t>Morgan Stanley</t>
        </is>
      </c>
      <c r="AK126" s="73" t="n">
        <v>0</v>
      </c>
      <c r="AL126" s="72" t="n">
        <v>-9.15</v>
      </c>
      <c r="AM126" s="72" t="n">
        <v>10.07</v>
      </c>
      <c r="AN126" s="72" t="n">
        <v>-3.84</v>
      </c>
      <c r="AO126" s="72" t="n">
        <v>4.33</v>
      </c>
      <c r="AP126" s="72" t="n">
        <v>-21.22</v>
      </c>
      <c r="AQ126" s="72" t="n">
        <v>-3.84</v>
      </c>
      <c r="AR126" s="72" t="n">
        <v>4.33</v>
      </c>
      <c r="AS126" s="72" t="n">
        <v>-21.22</v>
      </c>
      <c r="AT126" s="72" t="n">
        <v>-5.92</v>
      </c>
      <c r="AU126" s="72" t="n">
        <v>7.78</v>
      </c>
      <c r="AV126" s="72" t="n">
        <v>-0.91</v>
      </c>
      <c r="AW126" s="72" t="n">
        <v>7.95</v>
      </c>
      <c r="AX126" s="72" t="n">
        <v>-3.45</v>
      </c>
      <c r="AY126" s="72" t="n">
        <v>-3.62</v>
      </c>
      <c r="AZ126" s="63" t="inlineStr">
        <is>
          <t>Hang Seng Commerce &amp; Industry sub-index</t>
        </is>
      </c>
      <c r="BA126" s="72" t="n">
        <v>-53.41</v>
      </c>
      <c r="BB126" s="64" t="inlineStr">
        <is>
          <t>2026-08-28</t>
        </is>
      </c>
      <c r="BC126" s="65" t="n">
        <v>8357.700000000001</v>
      </c>
      <c r="BD126" s="68" t="n">
        <v>5258.7</v>
      </c>
      <c r="BE126" s="63" t="inlineStr">
        <is>
          <t>Y</t>
        </is>
      </c>
      <c r="BF126" s="74" t="n">
        <v>23.6</v>
      </c>
      <c r="BG126" s="74" t="n">
        <v>8.5</v>
      </c>
      <c r="BH126" s="74" t="n">
        <v>23.2</v>
      </c>
      <c r="BI126" s="74" t="n">
        <v>14.8</v>
      </c>
      <c r="BJ126" s="75">
        <f>IF('BBG Verify'!S126="","not filed — run on terminal",'BBG Verify'!S126)</f>
        <v/>
      </c>
      <c r="BK126" s="76" t="inlineStr">
        <is>
          <t>Y</t>
        </is>
      </c>
      <c r="BL126" s="63" t="inlineStr">
        <is>
          <t>002466.SZ</t>
        </is>
      </c>
      <c r="BM126" s="72" t="n">
        <v>82.11</v>
      </c>
      <c r="BN126" s="66" t="n">
        <v>149.3266</v>
      </c>
      <c r="BO126" s="80" t="n">
        <v>0.5363</v>
      </c>
      <c r="BP126" s="68" t="n">
        <v>99746.60000000001</v>
      </c>
      <c r="BQ126" s="75">
        <f>IF('BBG Verify'!Q126="","run on terminal",'BBG Verify'!Q126)</f>
        <v/>
      </c>
      <c r="BR126" s="75">
        <f>IF('BBG Verify'!R126="","run on terminal",'BBG Verify'!R126)</f>
        <v/>
      </c>
      <c r="BS126" s="76" t="n"/>
      <c r="BT126" s="63" t="inlineStr">
        <is>
          <t>China International Capital Corporation Hong Kong Securities Limited; Morgan Stanley Asia Limited; CMB International Capital Corporation Limited</t>
        </is>
      </c>
      <c r="BU126" s="63" t="inlineStr">
        <is>
          <t>BNP Paribas Securities (Asia) Limited; China Galaxy International Securities (Hong Kong) Company Limited; China International Capital Corporation Hong Kong Securities Limited; CMB International Capital Corporation Limited; Credit Suisse (Hong Kong) Limited; Futu Securities International (Hong Kong) Limited</t>
        </is>
      </c>
      <c r="BV126" s="63" t="inlineStr">
        <is>
          <t>BNP Paribas Securities (Asia) Limited; China Galaxy International Securities (Hong Kong) Company Limited; China International Capital Corporation Hong Kong Securities Limited; CMB International Capital Corporation Limited; Credit Suisse (Hong Kong) Limited; Futu Securities International (Hong Kong) Limited; Huatai Financial Holdings (Hong Kong) Limited; Morgan Stanley Asia Limited</t>
        </is>
      </c>
      <c r="BW126" s="78">
        <f>HYPERLINK("https://www1.hkexnews.hk/listedco/listconews/sehk/2022/0630/2022063000146.htm","prospectus")</f>
        <v/>
      </c>
      <c r="BX126" s="78">
        <f>HYPERLINK("https://www1.hkexnews.hk/listedco/listconews/sehk/2022/0712/2022071200062.htm","allotment")</f>
        <v/>
      </c>
      <c r="BY126" s="78">
        <f>HYPERLINK("https://www1.hkexnews.hk/listedco/listconews/sehk/2022/0805/2022080501243.pdf","stabilisation")</f>
        <v/>
      </c>
      <c r="BZ126" s="76" t="n"/>
      <c r="CA126" s="63" t="inlineStr">
        <is>
          <t>price range: fixed-price offering (no indicative range) · range low: cap-only pricing — the filing publishes a Maximum Offer Price and no indicative floor · A/H: Jul 2022, ~US$1.7bn — largest HK IPO of 2022 at pricing · sponsor: English name not in the filing text; AAStocks 保薦人 shown · cornerstone %: AAStocks institutional-order total / deal size — an upper bound; the table can include non-cornerstone orders · greenshoe size: no over-allotment option in the offer structure · grey market: no grey-market headline on file for this deal — AAStocks publishes one per listing but keeps only recent items on the stock's news page, and no public archive of past evening sessions exists; captured from this run onward</t>
        </is>
      </c>
    </row>
    <row r="127" ht="15" customHeight="1">
      <c r="A127" s="62" t="inlineStr">
        <is>
          <t>2418</t>
        </is>
      </c>
      <c r="B127" s="63" t="inlineStr">
        <is>
          <t>DEEWIN</t>
        </is>
      </c>
      <c r="C127" s="63" t="inlineStr">
        <is>
          <t>德銀天下</t>
        </is>
      </c>
      <c r="D127" s="63" t="inlineStr">
        <is>
          <t>Industrials</t>
        </is>
      </c>
      <c r="E127" s="63" t="inlineStr">
        <is>
          <t>Logistics</t>
        </is>
      </c>
      <c r="F127" s="63" t="inlineStr">
        <is>
          <t>Automotive Retail</t>
        </is>
      </c>
      <c r="G127" s="63" t="inlineStr">
        <is>
          <t>Standard</t>
        </is>
      </c>
      <c r="H127" s="64" t="n">
        <v>44757</v>
      </c>
      <c r="I127" s="65" t="n">
        <v>977.4</v>
      </c>
      <c r="J127" s="63" t="inlineStr">
        <is>
          <t>gross (price x shares)</t>
        </is>
      </c>
      <c r="K127" s="66" t="n">
        <v>1.78</v>
      </c>
      <c r="L127" s="66" t="n">
        <v>2.13</v>
      </c>
      <c r="M127" s="66" t="n">
        <v>1.8</v>
      </c>
      <c r="N127" s="63" t="inlineStr">
        <is>
          <t>N</t>
        </is>
      </c>
      <c r="O127" s="67" t="n">
        <v>84.5</v>
      </c>
      <c r="P127" s="67" t="n">
        <v>5.7</v>
      </c>
      <c r="Q127" s="68" t="n">
        <v>3909.6</v>
      </c>
      <c r="R127" s="63" t="inlineStr">
        <is>
          <t>derived:deal size / offer % of enlarged capital</t>
        </is>
      </c>
      <c r="S127" s="69" t="n">
        <v>0.42</v>
      </c>
      <c r="T127" s="70" t="n">
        <v>1.41</v>
      </c>
      <c r="U127" s="71" t="n">
        <v>21.12</v>
      </c>
      <c r="V127" s="68" t="n">
        <v>770.97</v>
      </c>
      <c r="W127" s="68" t="n">
        <v>428318400</v>
      </c>
      <c r="X127" s="67" t="n">
        <v>19.72</v>
      </c>
      <c r="Y127" s="63" t="inlineStr">
        <is>
          <t>Shaanxi Tide Automobile Air Conditioning Co., Ltd; Streamax Electronics Limited; Xian Yuanda Electronic Equipment Co., Ltd</t>
        </is>
      </c>
      <c r="Z127" s="63" t="inlineStr">
        <is>
          <t>shaanxi;streamax;xian</t>
        </is>
      </c>
      <c r="AA127" s="67" t="n">
        <v>5.28</v>
      </c>
      <c r="AB127" s="72" t="n"/>
      <c r="AC127" s="66" t="n"/>
      <c r="AD127" s="72" t="n"/>
      <c r="AE127" s="63" t="n"/>
      <c r="AF127" s="63" t="n"/>
      <c r="AG127" s="63" t="inlineStr">
        <is>
          <t>partial</t>
        </is>
      </c>
      <c r="AH127" s="63" t="inlineStr">
        <is>
          <t>2022-08-07</t>
        </is>
      </c>
      <c r="AI127" s="63" t="inlineStr">
        <is>
          <t>China Securities</t>
        </is>
      </c>
      <c r="AJ127" s="63" t="inlineStr">
        <is>
          <t>China Securities</t>
        </is>
      </c>
      <c r="AK127" s="73" t="n">
        <v>0</v>
      </c>
      <c r="AL127" s="72" t="n">
        <v>-2.78</v>
      </c>
      <c r="AM127" s="72" t="n">
        <v>2.86</v>
      </c>
      <c r="AN127" s="72" t="n">
        <v>-8.890000000000001</v>
      </c>
      <c r="AO127" s="72" t="n">
        <v>-31.67</v>
      </c>
      <c r="AP127" s="72" t="n">
        <v>-46.11</v>
      </c>
      <c r="AQ127" s="72" t="n">
        <v>-8.890000000000001</v>
      </c>
      <c r="AR127" s="72" t="n">
        <v>-31.67</v>
      </c>
      <c r="AS127" s="72" t="n">
        <v>-46.11</v>
      </c>
      <c r="AT127" s="72" t="n">
        <v>-9.18</v>
      </c>
      <c r="AU127" s="72" t="n">
        <v>-27.28</v>
      </c>
      <c r="AV127" s="72" t="n">
        <v>-24.25</v>
      </c>
      <c r="AW127" s="72" t="n">
        <v>-29.63</v>
      </c>
      <c r="AX127" s="72" t="n">
        <v>-4.39</v>
      </c>
      <c r="AY127" s="72" t="n">
        <v>-2.04</v>
      </c>
      <c r="AZ127" s="63" t="inlineStr">
        <is>
          <t>Hang Seng Commerce &amp; Industry sub-index</t>
        </is>
      </c>
      <c r="BA127" s="72" t="n">
        <v>69.44</v>
      </c>
      <c r="BB127" s="64" t="inlineStr">
        <is>
          <t>2026-08-28</t>
        </is>
      </c>
      <c r="BC127" s="65" t="n">
        <v>3439.5</v>
      </c>
      <c r="BD127" s="68" t="n">
        <v>405.6</v>
      </c>
      <c r="BE127" s="63" t="inlineStr">
        <is>
          <t>Y</t>
        </is>
      </c>
      <c r="BF127" s="74" t="n">
        <v>9.6</v>
      </c>
      <c r="BG127" s="74" t="n"/>
      <c r="BH127" s="74" t="n">
        <v>79.7</v>
      </c>
      <c r="BI127" s="74" t="n">
        <v>1.1</v>
      </c>
      <c r="BJ127" s="75">
        <f>IF('BBG Verify'!S127="","not filed — run on terminal",'BBG Verify'!S127)</f>
        <v/>
      </c>
      <c r="BK127" s="76" t="inlineStr">
        <is>
          <t>N</t>
        </is>
      </c>
      <c r="BL127" s="77">
        <f>IF('BBG Verify'!K127="","not filed — run on terminal",'BBG Verify'!K127)</f>
        <v/>
      </c>
      <c r="BM127" s="63" t="inlineStr">
        <is>
          <t>N/A</t>
        </is>
      </c>
      <c r="BN127" s="63" t="inlineStr">
        <is>
          <t>N/A</t>
        </is>
      </c>
      <c r="BO127" s="63" t="inlineStr">
        <is>
          <t>N/A</t>
        </is>
      </c>
      <c r="BP127" s="63" t="inlineStr">
        <is>
          <t>N/A</t>
        </is>
      </c>
      <c r="BQ127" s="63" t="inlineStr">
        <is>
          <t>N/A</t>
        </is>
      </c>
      <c r="BR127" s="63" t="inlineStr">
        <is>
          <t>N/A</t>
        </is>
      </c>
      <c r="BS127" s="76" t="n"/>
      <c r="BT127" s="63" t="inlineStr">
        <is>
          <t>China Securities (International) Corporate Finance Company Limited</t>
        </is>
      </c>
      <c r="BU127" s="63" t="inlineStr">
        <is>
          <t>China Securities (International) Corporate Finance Company Limited; Huatai Financial Holdings (Hong Kong) Limited; CEB International Capital Corporation Limited; BOCI Asia Limited; Futu Securities International (Hong Kong) Limited; Tiger Brokers (HK) Global Limited; Livermore Holdings Limited; Guotai Junan Securities (Hong Kong) Limited; Eddid Securities and Futures Limited</t>
        </is>
      </c>
      <c r="BV127" s="63" t="inlineStr">
        <is>
          <t>BOCI Asia Limited; CEB International Capital Corporation Limited; China Securities (International) Corporate Finance Company Limited; Eddid Securities and Futures Limited; Futu Securities International (Hong Kong) Limited; Guotai Junan Securities (Hong Kong) Limited; Huatai Financial Holdings (Hong Kong) Limited; Livermore Holdings Limited; Tiger Brokers (HK) Global Limited; Zhongtai International Securities Limited</t>
        </is>
      </c>
      <c r="BW127" s="78">
        <f>HYPERLINK("https://www1.hkexnews.hk/listedco/listconews/sehk/2022/0630/2022063000037.pdf","prospectus")</f>
        <v/>
      </c>
      <c r="BX127" s="78">
        <f>HYPERLINK("https://www1.hkexnews.hk/listedco/listconews/sehk/2022/0714/2022071400006.htm","allotment")</f>
        <v/>
      </c>
      <c r="BY127" s="78">
        <f>HYPERLINK("https://www1.hkexnews.hk/listedco/listconews/sehk/2022/0808/2022080800065.pdf","stabilisation")</f>
        <v/>
      </c>
      <c r="BZ127" s="76" t="n"/>
      <c r="CA127" s="63" t="inlineStr">
        <is>
          <t>A/H: no A-share listing · sponsor: English name not in the filing text; AAStocks 保薦人 shown · grey market: no grey-market headline on file for this deal — AAStocks publishes one per listing but keeps only recent items on the stock's news page, and no public archive of past evening sessions exists; captured from this run onward</t>
        </is>
      </c>
    </row>
    <row r="128" ht="15" customHeight="1">
      <c r="A128" s="62" t="inlineStr">
        <is>
          <t>1204</t>
        </is>
      </c>
      <c r="B128" s="63" t="inlineStr">
        <is>
          <t>BOARDWARE INTEL</t>
        </is>
      </c>
      <c r="C128" s="63" t="inlineStr">
        <is>
          <t>博維智慧</t>
        </is>
      </c>
      <c r="D128" s="63" t="inlineStr">
        <is>
          <t>Tech/AI</t>
        </is>
      </c>
      <c r="E128" s="63" t="inlineStr">
        <is>
          <t>SaaS / enterprise software</t>
        </is>
      </c>
      <c r="F128" s="63" t="inlineStr">
        <is>
          <t>IT Consulting &amp; Other Services</t>
        </is>
      </c>
      <c r="G128" s="63" t="inlineStr">
        <is>
          <t>Standard</t>
        </is>
      </c>
      <c r="H128" s="64" t="n">
        <v>44757</v>
      </c>
      <c r="I128" s="65" t="n">
        <v>135</v>
      </c>
      <c r="J128" s="63" t="inlineStr">
        <is>
          <t>gross (price x shares)</t>
        </is>
      </c>
      <c r="K128" s="66" t="n"/>
      <c r="L128" s="66" t="n">
        <v>1.08</v>
      </c>
      <c r="M128" s="66" t="n">
        <v>1.08</v>
      </c>
      <c r="N128" s="63" t="inlineStr">
        <is>
          <t>Y</t>
        </is>
      </c>
      <c r="O128" s="67" t="n">
        <v>100</v>
      </c>
      <c r="P128" s="67" t="n"/>
      <c r="Q128" s="68" t="n">
        <v>585</v>
      </c>
      <c r="R128" s="63" t="inlineStr">
        <is>
          <t>aastocks:上市市值 at the struck price</t>
        </is>
      </c>
      <c r="S128" s="69" t="n">
        <v>10.69</v>
      </c>
      <c r="T128" s="70" t="n">
        <v>1.03</v>
      </c>
      <c r="U128" s="71" t="n">
        <v>22.2</v>
      </c>
      <c r="V128" s="68" t="n">
        <v>105.03</v>
      </c>
      <c r="W128" s="68" t="n">
        <v>97250000</v>
      </c>
      <c r="X128" s="67" t="n">
        <v>17.95</v>
      </c>
      <c r="Y128" s="63" t="inlineStr">
        <is>
          <t>Ung Choi Kun</t>
        </is>
      </c>
      <c r="Z128" s="63" t="inlineStr">
        <is>
          <t>ung</t>
        </is>
      </c>
      <c r="AA128" s="67" t="n"/>
      <c r="AB128" s="72" t="n"/>
      <c r="AC128" s="66" t="n"/>
      <c r="AD128" s="72" t="n"/>
      <c r="AE128" s="63" t="n"/>
      <c r="AF128" s="63" t="n"/>
      <c r="AG128" s="63" t="inlineStr">
        <is>
          <t>lapsed (no over-allocation)</t>
        </is>
      </c>
      <c r="AH128" s="63" t="n"/>
      <c r="AI128" s="63" t="inlineStr">
        <is>
          <t>China Tonghai Securities Limited</t>
        </is>
      </c>
      <c r="AJ128" s="63" t="inlineStr">
        <is>
          <t>China Tonghai</t>
        </is>
      </c>
      <c r="AK128" s="73" t="n">
        <v>12.96</v>
      </c>
      <c r="AL128" s="72" t="n">
        <v>5.56</v>
      </c>
      <c r="AM128" s="72" t="n">
        <v>7.01</v>
      </c>
      <c r="AN128" s="72" t="n">
        <v>12.96</v>
      </c>
      <c r="AO128" s="72" t="n">
        <v>10.19</v>
      </c>
      <c r="AP128" s="72" t="n">
        <v>-3.7</v>
      </c>
      <c r="AQ128" s="72" t="n">
        <v>0</v>
      </c>
      <c r="AR128" s="72" t="n">
        <v>-2.45</v>
      </c>
      <c r="AS128" s="72" t="n">
        <v>-14.75</v>
      </c>
      <c r="AT128" s="72" t="n">
        <v>12.56</v>
      </c>
      <c r="AU128" s="72" t="n">
        <v>15.77</v>
      </c>
      <c r="AV128" s="72" t="n">
        <v>26.3</v>
      </c>
      <c r="AW128" s="72" t="n">
        <v>0.33</v>
      </c>
      <c r="AX128" s="72" t="n">
        <v>-5.58</v>
      </c>
      <c r="AY128" s="72" t="n">
        <v>-2.78</v>
      </c>
      <c r="AZ128" s="63" t="inlineStr">
        <is>
          <t>HSTECH (Hang Seng TECH ETF)</t>
        </is>
      </c>
      <c r="BA128" s="72" t="n">
        <v>68.52</v>
      </c>
      <c r="BB128" s="64" t="inlineStr">
        <is>
          <t>2026-08-28</t>
        </is>
      </c>
      <c r="BC128" s="65" t="n">
        <v>534.3</v>
      </c>
      <c r="BD128" s="68" t="n">
        <v>24</v>
      </c>
      <c r="BE128" s="63" t="inlineStr">
        <is>
          <t>Y</t>
        </is>
      </c>
      <c r="BF128" s="74" t="n">
        <v>24.4</v>
      </c>
      <c r="BG128" s="74" t="n"/>
      <c r="BH128" s="74" t="n">
        <v>113.4</v>
      </c>
      <c r="BI128" s="74" t="n">
        <v>1.1</v>
      </c>
      <c r="BJ128" s="75">
        <f>IF('BBG Verify'!S128="","not filed — run on terminal",'BBG Verify'!S128)</f>
        <v/>
      </c>
      <c r="BK128" s="76" t="inlineStr">
        <is>
          <t>N</t>
        </is>
      </c>
      <c r="BL128" s="77">
        <f>IF('BBG Verify'!K128="","not filed — run on terminal",'BBG Verify'!K128)</f>
        <v/>
      </c>
      <c r="BM128" s="63" t="inlineStr">
        <is>
          <t>N/A</t>
        </is>
      </c>
      <c r="BN128" s="63" t="inlineStr">
        <is>
          <t>N/A</t>
        </is>
      </c>
      <c r="BO128" s="63" t="inlineStr">
        <is>
          <t>N/A</t>
        </is>
      </c>
      <c r="BP128" s="63" t="inlineStr">
        <is>
          <t>N/A</t>
        </is>
      </c>
      <c r="BQ128" s="63" t="inlineStr">
        <is>
          <t>N/A</t>
        </is>
      </c>
      <c r="BR128" s="63" t="inlineStr">
        <is>
          <t>N/A</t>
        </is>
      </c>
      <c r="BS128" s="76" t="n"/>
      <c r="BT128" s="63" t="inlineStr">
        <is>
          <t>China Tonghai Capital Limited</t>
        </is>
      </c>
      <c r="BU128" s="63" t="inlineStr">
        <is>
          <t>Beta International Securities Limited; Blackwell Global Securities Limited; CCB International Capital Limited; China Galaxy International Securities (Hong Kong) Company Limited; China Tonghai Securities Limited; CMBC Securities Company Limited</t>
        </is>
      </c>
      <c r="BV128" s="63" t="inlineStr">
        <is>
          <t>Beta International Securities Limited; Blackwell Global Securities Limited; CCB International Capital Limited; China Galaxy International Securities (Hong Kong) Company Limited; China Tonghai Securities Limited; CMBC Securities Company Limited; Eddid Securities and Futures Limited; Fortune (HK) Securities Limited; Guotai Junan Securities (Hong Kong) Limited; Innovax Securities Limited</t>
        </is>
      </c>
      <c r="BW128" s="78">
        <f>HYPERLINK("https://www1.hkexnews.hk/listedco/listconews/sehk/2022/0629/2022062900148.htm","prospectus")</f>
        <v/>
      </c>
      <c r="BX128" s="78">
        <f>HYPERLINK("https://www1.hkexnews.hk/listedco/listconews/sehk/2022/0714/2022071400026.htm","allotment")</f>
        <v/>
      </c>
      <c r="BY128" s="78">
        <f>HYPERLINK("https://www1.hkexnews.hk/listedco/listconews/sehk/2022/0805/2022080500015.pdf","stabilisation")</f>
        <v/>
      </c>
      <c r="BZ128" s="76" t="n"/>
      <c r="CA128" s="63" t="inlineStr">
        <is>
          <t>greenshoe: over-allotment outcome already published, and the allotment announcement does not state the stabilisation expiry in a parsable form — the expiry no longer matters once resolved · price range: fixed-price offering (no indicative range) · range low: cap-only pricing — the filing publishes a Maximum Offer Price and no indicative floor · A/H: no A-share listing · sponsor: English name not in the filing text; AAStocks 保薦人 shown · cornerstone: table parse read 72% but the institutional total implies 22% — parse rejected, the AAStocks institutional total used (22.2%) · greenshoe size: no over-allotment option in the offer structure · grey market: no grey-market headline on file for this deal — AAStocks publishes one per listing but keeps only recent items on the stock's news page, and no public archive of past evening sessions exists; captured from this run onward</t>
        </is>
      </c>
    </row>
    <row r="129" ht="15" customHeight="1">
      <c r="A129" s="62" t="inlineStr">
        <is>
          <t>2172</t>
        </is>
      </c>
      <c r="B129" s="63" t="inlineStr">
        <is>
          <t>MICROPORT NEURO</t>
        </is>
      </c>
      <c r="C129" s="63" t="inlineStr">
        <is>
          <t>微創腦科學</t>
        </is>
      </c>
      <c r="D129" s="63" t="inlineStr">
        <is>
          <t>Healthcare</t>
        </is>
      </c>
      <c r="E129" s="63" t="inlineStr">
        <is>
          <t>Medical devices</t>
        </is>
      </c>
      <c r="F129" s="63" t="inlineStr">
        <is>
          <t>Health Care Equipment</t>
        </is>
      </c>
      <c r="G129" s="63" t="inlineStr">
        <is>
          <t>Standard</t>
        </is>
      </c>
      <c r="H129" s="64" t="n">
        <v>44757</v>
      </c>
      <c r="I129" s="65" t="n">
        <v>337.6</v>
      </c>
      <c r="J129" s="63" t="inlineStr">
        <is>
          <t>gross (price x shares)</t>
        </is>
      </c>
      <c r="K129" s="66" t="n"/>
      <c r="L129" s="66" t="n">
        <v>24.64</v>
      </c>
      <c r="M129" s="66" t="n">
        <v>24.64</v>
      </c>
      <c r="N129" s="63" t="inlineStr">
        <is>
          <t>Y</t>
        </is>
      </c>
      <c r="O129" s="67" t="n">
        <v>100</v>
      </c>
      <c r="P129" s="67" t="n"/>
      <c r="Q129" s="68" t="n">
        <v>14450</v>
      </c>
      <c r="R129" s="63" t="inlineStr">
        <is>
          <t>press:vbdata/动脉网: 上市总市值144.5亿</t>
        </is>
      </c>
      <c r="S129" s="69" t="n">
        <v>45.27</v>
      </c>
      <c r="T129" s="70" t="n">
        <v>2.14</v>
      </c>
      <c r="U129" s="71" t="n">
        <v>61.9</v>
      </c>
      <c r="V129" s="68" t="n">
        <v>128.63</v>
      </c>
      <c r="W129" s="68" t="n">
        <v>5219700</v>
      </c>
      <c r="X129" s="67" t="n">
        <v>0.89</v>
      </c>
      <c r="Y129" s="63" t="inlineStr">
        <is>
          <t>Harvest; Xinhuanet Co., Ltd</t>
        </is>
      </c>
      <c r="Z129" s="63" t="inlineStr">
        <is>
          <t>harvest;xinhuanet</t>
        </is>
      </c>
      <c r="AA129" s="67" t="n"/>
      <c r="AB129" s="72" t="n"/>
      <c r="AC129" s="66" t="n"/>
      <c r="AD129" s="72" t="n"/>
      <c r="AE129" s="63" t="n"/>
      <c r="AF129" s="63" t="n"/>
      <c r="AG129" s="63" t="inlineStr">
        <is>
          <t>lapsed</t>
        </is>
      </c>
      <c r="AH129" s="63" t="inlineStr">
        <is>
          <t>2022-08-07</t>
        </is>
      </c>
      <c r="AI129" s="63" t="inlineStr">
        <is>
          <t>China International Capital Corporation Hong Kong Securities Limited</t>
        </is>
      </c>
      <c r="AJ129" s="63" t="inlineStr">
        <is>
          <t>China International</t>
        </is>
      </c>
      <c r="AK129" s="73" t="n">
        <v>-0.16</v>
      </c>
      <c r="AL129" s="72" t="n">
        <v>0.24</v>
      </c>
      <c r="AM129" s="72" t="n">
        <v>-0.4</v>
      </c>
      <c r="AN129" s="72" t="n">
        <v>-0.37</v>
      </c>
      <c r="AO129" s="72" t="n">
        <v>-0.97</v>
      </c>
      <c r="AP129" s="72" t="n">
        <v>-0.37</v>
      </c>
      <c r="AQ129" s="72" t="n">
        <v>-0.21</v>
      </c>
      <c r="AR129" s="72" t="n">
        <v>-0.8100000000000001</v>
      </c>
      <c r="AS129" s="72" t="n">
        <v>-0.21</v>
      </c>
      <c r="AT129" s="72" t="n">
        <v>2.56</v>
      </c>
      <c r="AU129" s="72" t="n">
        <v>5.44</v>
      </c>
      <c r="AV129" s="72" t="n">
        <v>17.36</v>
      </c>
      <c r="AW129" s="72" t="n">
        <v>3.15</v>
      </c>
      <c r="AX129" s="72" t="n">
        <v>-6.41</v>
      </c>
      <c r="AY129" s="72" t="n">
        <v>-3.96</v>
      </c>
      <c r="AZ129" s="63" t="inlineStr">
        <is>
          <t>China Biotech ETF (HS biotech proxy)</t>
        </is>
      </c>
      <c r="BA129" s="72" t="n">
        <v>-66.23</v>
      </c>
      <c r="BB129" s="64" t="inlineStr">
        <is>
          <t>2026-08-28</t>
        </is>
      </c>
      <c r="BC129" s="65" t="n">
        <v>421.1</v>
      </c>
      <c r="BD129" s="68" t="n"/>
      <c r="BE129" s="63" t="inlineStr">
        <is>
          <t>Y</t>
        </is>
      </c>
      <c r="BF129" s="75">
        <f>IF('BBG Verify'!O129="","not filed — run on terminal",'BBG Verify'!O129)</f>
        <v/>
      </c>
      <c r="BG129" s="74" t="n"/>
      <c r="BH129" s="74" t="n">
        <v>23.6</v>
      </c>
      <c r="BI129" s="74" t="n">
        <v>34.3</v>
      </c>
      <c r="BJ129" s="75">
        <f>IF('BBG Verify'!S129="","not filed — run on terminal",'BBG Verify'!S129)</f>
        <v/>
      </c>
      <c r="BK129" s="76" t="inlineStr">
        <is>
          <t>N</t>
        </is>
      </c>
      <c r="BL129" s="77">
        <f>IF('BBG Verify'!K129="","not filed — run on terminal",'BBG Verify'!K129)</f>
        <v/>
      </c>
      <c r="BM129" s="63" t="inlineStr">
        <is>
          <t>N/A</t>
        </is>
      </c>
      <c r="BN129" s="63" t="inlineStr">
        <is>
          <t>N/A</t>
        </is>
      </c>
      <c r="BO129" s="63" t="inlineStr">
        <is>
          <t>N/A</t>
        </is>
      </c>
      <c r="BP129" s="63" t="inlineStr">
        <is>
          <t>N/A</t>
        </is>
      </c>
      <c r="BQ129" s="63" t="inlineStr">
        <is>
          <t>N/A</t>
        </is>
      </c>
      <c r="BR129" s="63" t="inlineStr">
        <is>
          <t>N/A</t>
        </is>
      </c>
      <c r="BS129" s="76" t="n"/>
      <c r="BT129" s="63" t="inlineStr">
        <is>
          <t>China International Capital Corporation Hong Kong Securities Limited; J.P. Morgan Securities (Far East) Limited</t>
        </is>
      </c>
      <c r="BU129" s="63" t="inlineStr">
        <is>
          <t>China International Capital Corporation Hong Kong Securities Limited; Futu Securities International (Hong Kong) Limited; J.P. Morgan Securities (Asia Pacific) Limited; Livermore Holdings Limited</t>
        </is>
      </c>
      <c r="BV129" s="63" t="inlineStr">
        <is>
          <t>China International Capital Corporation Hong Kong Securities Limited; Futu Securities International (Hong Kong) Limited; J.P. Morgan Securities (Asia Pacific) Limited; Livermore Holdings Limited</t>
        </is>
      </c>
      <c r="BW129" s="78">
        <f>HYPERLINK("https://www1.hkexnews.hk/listedco/listconews/sehk/2022/0629/2022062900318.htm","prospectus")</f>
        <v/>
      </c>
      <c r="BX129" s="78">
        <f>HYPERLINK("https://www1.hkexnews.hk/listedco/listconews/sehk/2022/0714/2022071400060.htm","allotment")</f>
        <v/>
      </c>
      <c r="BY129" s="78">
        <f>HYPERLINK("https://www1.hkexnews.hk/listedco/listconews/sehk/2022/0807/2022080700009.pdf","stabilisation")</f>
        <v/>
      </c>
      <c r="BZ129" s="76" t="n"/>
      <c r="CA129" s="63" t="inlineStr">
        <is>
          <t>P/E: withheld — mktcap / net income gives 543x, which fails the 300x plausibility check; the extracted net income (HK$26.6m) is not trustworthy · price range: fixed-price offering (no indicative range) · range low: cap-only pricing — the filing publishes a Maximum Offer Price and no indicative floor · A/H: no A-share listing · sponsor: English name not in the filing text; AAStocks 保薦人 shown · greenshoe size: no over-allotment option in the offer structure · financials: financial tables not machine-extractable and the pre-IPO year is outside AAStocks' 5-year window · grey market: no grey-market headline on file for this deal — AAStocks publishes one per listing but keeps only recent items on the stock's news page, and no public archive of past evening sessions exists; captured from this run onward</t>
        </is>
      </c>
    </row>
    <row r="130" ht="15" customHeight="1">
      <c r="A130" s="62" t="inlineStr">
        <is>
          <t>2237</t>
        </is>
      </c>
      <c r="B130" s="63" t="inlineStr">
        <is>
          <t>CHINA GRAPHITE</t>
        </is>
      </c>
      <c r="C130" s="63" t="inlineStr">
        <is>
          <t>中國石墨</t>
        </is>
      </c>
      <c r="D130" s="63" t="inlineStr">
        <is>
          <t>Materials/Energy</t>
        </is>
      </c>
      <c r="E130" s="63" t="inlineStr">
        <is>
          <t>Mining / metals</t>
        </is>
      </c>
      <c r="F130" s="63" t="inlineStr">
        <is>
          <t>Diversified Metals &amp; Minerals</t>
        </is>
      </c>
      <c r="G130" s="63" t="inlineStr">
        <is>
          <t>Standard</t>
        </is>
      </c>
      <c r="H130" s="64" t="n">
        <v>44760</v>
      </c>
      <c r="I130" s="65" t="n">
        <v>130</v>
      </c>
      <c r="J130" s="63" t="inlineStr">
        <is>
          <t>gross (price x shares)</t>
        </is>
      </c>
      <c r="K130" s="66" t="n">
        <v>0.325</v>
      </c>
      <c r="L130" s="66" t="n">
        <v>0.375</v>
      </c>
      <c r="M130" s="66" t="n">
        <v>0.325</v>
      </c>
      <c r="N130" s="63" t="inlineStr">
        <is>
          <t>N</t>
        </is>
      </c>
      <c r="O130" s="67" t="n">
        <v>86.7</v>
      </c>
      <c r="P130" s="67" t="n">
        <v>0</v>
      </c>
      <c r="Q130" s="68" t="n">
        <v>520</v>
      </c>
      <c r="R130" s="63" t="inlineStr">
        <is>
          <t>derived:deal size / offer % of enlarged capital</t>
        </is>
      </c>
      <c r="S130" s="69" t="n">
        <v>26.51</v>
      </c>
      <c r="T130" s="70" t="n">
        <v>1.06</v>
      </c>
      <c r="U130" s="71" t="n"/>
      <c r="V130" s="68" t="n">
        <v>130</v>
      </c>
      <c r="W130" s="68" t="n">
        <v>400000000</v>
      </c>
      <c r="X130" s="67" t="n">
        <v>25</v>
      </c>
      <c r="Y130" s="63" t="n"/>
      <c r="Z130" s="63" t="n"/>
      <c r="AA130" s="67" t="n">
        <v>15</v>
      </c>
      <c r="AB130" s="72" t="n"/>
      <c r="AC130" s="66" t="n"/>
      <c r="AD130" s="72" t="n"/>
      <c r="AE130" s="63" t="n"/>
      <c r="AF130" s="63" t="n"/>
      <c r="AG130" s="63" t="inlineStr">
        <is>
          <t>lapsed (no over-allocation)</t>
        </is>
      </c>
      <c r="AH130" s="63" t="n"/>
      <c r="AI130" s="63" t="inlineStr">
        <is>
          <t>Lego Securities Lim ited</t>
        </is>
      </c>
      <c r="AJ130" s="63" t="inlineStr">
        <is>
          <t>Lego</t>
        </is>
      </c>
      <c r="AK130" s="73" t="n">
        <v>143.08</v>
      </c>
      <c r="AL130" s="72" t="n">
        <v>35.38</v>
      </c>
      <c r="AM130" s="72" t="n">
        <v>79.55</v>
      </c>
      <c r="AN130" s="72" t="n">
        <v>56.92</v>
      </c>
      <c r="AO130" s="72" t="n">
        <v>176.92</v>
      </c>
      <c r="AP130" s="72" t="n">
        <v>183.08</v>
      </c>
      <c r="AQ130" s="72" t="n">
        <v>-35.45</v>
      </c>
      <c r="AR130" s="72" t="n">
        <v>13.92</v>
      </c>
      <c r="AS130" s="72" t="n">
        <v>16.46</v>
      </c>
      <c r="AT130" s="72" t="n">
        <v>55.26</v>
      </c>
      <c r="AU130" s="72" t="n">
        <v>180.79</v>
      </c>
      <c r="AV130" s="72" t="n">
        <v>203.2</v>
      </c>
      <c r="AW130" s="72" t="n">
        <v>20.44</v>
      </c>
      <c r="AX130" s="72" t="n">
        <v>-3.87</v>
      </c>
      <c r="AY130" s="72" t="n">
        <v>-6.52</v>
      </c>
      <c r="AZ130" s="63" t="inlineStr">
        <is>
          <t>Hang Seng Commerce &amp; Industry sub-index</t>
        </is>
      </c>
      <c r="BA130" s="72" t="n">
        <v>-36.92</v>
      </c>
      <c r="BB130" s="64" t="inlineStr">
        <is>
          <t>2026-08-28</t>
        </is>
      </c>
      <c r="BC130" s="65" t="n">
        <v>218.2</v>
      </c>
      <c r="BD130" s="68" t="n">
        <v>58.7</v>
      </c>
      <c r="BE130" s="63" t="inlineStr">
        <is>
          <t>Y</t>
        </is>
      </c>
      <c r="BF130" s="74" t="n">
        <v>8.9</v>
      </c>
      <c r="BG130" s="74" t="n"/>
      <c r="BH130" s="74" t="n">
        <v>53.8</v>
      </c>
      <c r="BI130" s="74" t="n">
        <v>2.4</v>
      </c>
      <c r="BJ130" s="75">
        <f>IF('BBG Verify'!S130="","not filed — run on terminal",'BBG Verify'!S130)</f>
        <v/>
      </c>
      <c r="BK130" s="76" t="inlineStr">
        <is>
          <t>N</t>
        </is>
      </c>
      <c r="BL130" s="77">
        <f>IF('BBG Verify'!K130="","not filed — run on terminal",'BBG Verify'!K130)</f>
        <v/>
      </c>
      <c r="BM130" s="63" t="inlineStr">
        <is>
          <t>N/A</t>
        </is>
      </c>
      <c r="BN130" s="63" t="inlineStr">
        <is>
          <t>N/A</t>
        </is>
      </c>
      <c r="BO130" s="63" t="inlineStr">
        <is>
          <t>N/A</t>
        </is>
      </c>
      <c r="BP130" s="63" t="inlineStr">
        <is>
          <t>N/A</t>
        </is>
      </c>
      <c r="BQ130" s="63" t="inlineStr">
        <is>
          <t>N/A</t>
        </is>
      </c>
      <c r="BR130" s="63" t="inlineStr">
        <is>
          <t>N/A</t>
        </is>
      </c>
      <c r="BS130" s="76" t="inlineStr">
        <is>
          <t>Lego Corporate Finance Limited</t>
        </is>
      </c>
      <c r="BT130" s="63" t="inlineStr">
        <is>
          <t>Lego Corporate Finance Limited</t>
        </is>
      </c>
      <c r="BU130" s="63" t="inlineStr">
        <is>
          <t>China Galaxy Internati onal Securities (Hong Kong) Co., Limited; China Tonghai Securities Limited; Guotai Junan Securities (Hong Kong) Limited</t>
        </is>
      </c>
      <c r="BV130" s="63" t="inlineStr">
        <is>
          <t>Alpha Financial Group Limited; AMC Wanhai Securities Limited; CCB International Capital Limited; China Galaxy International Securities (Hong Kong) Company Limited; China Tonghai Securities Limited; CIS Securities Asset Management Limited; CSFG International Securities Limited; Elstone Securities Limited; Eddid Securities and Futures Limited; Golden Eagle Brokerage Limited; Guotai Junan Securities (Hong Kong) Limited; Lego Securities Limited</t>
        </is>
      </c>
      <c r="BW130" s="78">
        <f>HYPERLINK("https://www1.hkexnews.hk/listedco/listconews/sehk/2022/0630/2022063000021.pdf","prospectus")</f>
        <v/>
      </c>
      <c r="BX130" s="78">
        <f>HYPERLINK("https://www1.hkexnews.hk/listedco/listconews/sehk/2022/0715/2022071500016.htm","allotment")</f>
        <v/>
      </c>
      <c r="BY130" s="78">
        <f>HYPERLINK("https://www1.hkexnews.hk/listedco/listconews/sehk/2022/0808/2022080800011.pdf","stabilisation")</f>
        <v/>
      </c>
      <c r="BZ130" s="76" t="n"/>
      <c r="CA130" s="63" t="inlineStr">
        <is>
          <t>greenshoe: over-allotment outcome already published, and the allotment announcement does not state the stabilisation expiry in a parsable form — the expiry no longer matters once resolved · A/H: no A-share listing · cornerstone list: cornerstone section not machine-extractable — see the prospectus link · cornerstone %: cornerstone aggregate not stated in the filing · grey market: no grey-market headline on file for this deal — AAStocks publishes one per listing but keeps only recent items on the stock's news page, and no public archive of past evening sessions exists; captured from this run onward</t>
        </is>
      </c>
    </row>
    <row r="131" ht="15" customHeight="1">
      <c r="A131" s="62" t="inlineStr">
        <is>
          <t>9857</t>
        </is>
      </c>
      <c r="B131" s="63" t="inlineStr">
        <is>
          <t>LINMON MEDIA</t>
        </is>
      </c>
      <c r="C131" s="63" t="inlineStr">
        <is>
          <t>檸萌影視</t>
        </is>
      </c>
      <c r="D131" s="63" t="inlineStr">
        <is>
          <t>TMT-other</t>
        </is>
      </c>
      <c r="E131" s="63" t="inlineStr">
        <is>
          <t>Media / advertising</t>
        </is>
      </c>
      <c r="F131" s="63" t="inlineStr">
        <is>
          <t>Movies &amp; Entertainment</t>
        </is>
      </c>
      <c r="G131" s="63" t="inlineStr">
        <is>
          <t>Standard</t>
        </is>
      </c>
      <c r="H131" s="64" t="n">
        <v>44783</v>
      </c>
      <c r="I131" s="65" t="n">
        <v>420.1</v>
      </c>
      <c r="J131" s="63" t="inlineStr">
        <is>
          <t>gross (price x shares)</t>
        </is>
      </c>
      <c r="K131" s="66" t="n">
        <v>27.75</v>
      </c>
      <c r="L131" s="66" t="n">
        <v>33.3</v>
      </c>
      <c r="M131" s="66" t="n">
        <v>27.75</v>
      </c>
      <c r="N131" s="63" t="inlineStr">
        <is>
          <t>N</t>
        </is>
      </c>
      <c r="O131" s="67" t="n">
        <v>83.3</v>
      </c>
      <c r="P131" s="67" t="n">
        <v>0</v>
      </c>
      <c r="Q131" s="68" t="n">
        <v>11669.9</v>
      </c>
      <c r="R131" s="63" t="inlineStr">
        <is>
          <t>aastocks:上市市值 at the struck price</t>
        </is>
      </c>
      <c r="S131" s="69" t="n">
        <v>0.8100000000000001</v>
      </c>
      <c r="T131" s="70" t="n">
        <v>1.38</v>
      </c>
      <c r="U131" s="71" t="n">
        <v>46.7</v>
      </c>
      <c r="V131" s="68" t="n">
        <v>223.91</v>
      </c>
      <c r="W131" s="68" t="n">
        <v>8069247</v>
      </c>
      <c r="X131" s="67" t="n">
        <v>1.92</v>
      </c>
      <c r="Y131" s="63" t="inlineStr">
        <is>
          <t>Harvest International Premium Value (Secondary Market) Fund SPC; Heilan Group Co., Limited</t>
        </is>
      </c>
      <c r="Z131" s="63" t="inlineStr">
        <is>
          <t>harvest;heilan</t>
        </is>
      </c>
      <c r="AA131" s="67" t="n">
        <v>20</v>
      </c>
      <c r="AB131" s="72" t="n"/>
      <c r="AC131" s="66" t="n"/>
      <c r="AD131" s="72" t="n"/>
      <c r="AE131" s="63" t="n"/>
      <c r="AF131" s="63" t="n"/>
      <c r="AG131" s="63" t="inlineStr">
        <is>
          <t>lapsed</t>
        </is>
      </c>
      <c r="AH131" s="63" t="inlineStr">
        <is>
          <t>2022-09-02</t>
        </is>
      </c>
      <c r="AI131" s="63" t="inlineStr">
        <is>
          <t>Morgan Stanley Asia Limited</t>
        </is>
      </c>
      <c r="AJ131" s="63" t="inlineStr">
        <is>
          <t>Morgan Stanley</t>
        </is>
      </c>
      <c r="AK131" s="73" t="n">
        <v>-2.7</v>
      </c>
      <c r="AL131" s="72" t="n">
        <v>0</v>
      </c>
      <c r="AM131" s="72" t="n">
        <v>-2.7</v>
      </c>
      <c r="AN131" s="72" t="n">
        <v>0</v>
      </c>
      <c r="AO131" s="72" t="n">
        <v>-3.42</v>
      </c>
      <c r="AP131" s="72" t="n">
        <v>-12.43</v>
      </c>
      <c r="AQ131" s="72" t="n">
        <v>2.77</v>
      </c>
      <c r="AR131" s="72" t="n">
        <v>-0.74</v>
      </c>
      <c r="AS131" s="72" t="n">
        <v>-10</v>
      </c>
      <c r="AT131" s="72" t="n">
        <v>0.4</v>
      </c>
      <c r="AU131" s="72" t="n">
        <v>2.32</v>
      </c>
      <c r="AV131" s="72" t="n">
        <v>5.79</v>
      </c>
      <c r="AW131" s="72" t="n">
        <v>3.12</v>
      </c>
      <c r="AX131" s="72" t="n">
        <v>-5.74</v>
      </c>
      <c r="AY131" s="72" t="n">
        <v>-3.86</v>
      </c>
      <c r="AZ131" s="63" t="inlineStr">
        <is>
          <t>Hang Seng Index</t>
        </is>
      </c>
      <c r="BA131" s="72" t="n">
        <v>-90.13</v>
      </c>
      <c r="BB131" s="64" t="inlineStr">
        <is>
          <t>2026-08-28</t>
        </is>
      </c>
      <c r="BC131" s="65" t="n">
        <v>1373.9</v>
      </c>
      <c r="BD131" s="68" t="n">
        <v>67</v>
      </c>
      <c r="BE131" s="63" t="inlineStr">
        <is>
          <t>Y</t>
        </is>
      </c>
      <c r="BF131" s="74" t="n">
        <v>174.2</v>
      </c>
      <c r="BG131" s="74" t="n"/>
      <c r="BH131" s="74" t="n">
        <v>27.3</v>
      </c>
      <c r="BI131" s="74" t="n">
        <v>8.5</v>
      </c>
      <c r="BJ131" s="75">
        <f>IF('BBG Verify'!S131="","not filed — run on terminal",'BBG Verify'!S131)</f>
        <v/>
      </c>
      <c r="BK131" s="76" t="inlineStr">
        <is>
          <t>N</t>
        </is>
      </c>
      <c r="BL131" s="77">
        <f>IF('BBG Verify'!K131="","not filed — run on terminal",'BBG Verify'!K131)</f>
        <v/>
      </c>
      <c r="BM131" s="63" t="inlineStr">
        <is>
          <t>N/A</t>
        </is>
      </c>
      <c r="BN131" s="63" t="inlineStr">
        <is>
          <t>N/A</t>
        </is>
      </c>
      <c r="BO131" s="63" t="inlineStr">
        <is>
          <t>N/A</t>
        </is>
      </c>
      <c r="BP131" s="63" t="inlineStr">
        <is>
          <t>N/A</t>
        </is>
      </c>
      <c r="BQ131" s="63" t="inlineStr">
        <is>
          <t>N/A</t>
        </is>
      </c>
      <c r="BR131" s="63" t="inlineStr">
        <is>
          <t>N/A</t>
        </is>
      </c>
      <c r="BS131" s="76" t="inlineStr">
        <is>
          <t>Morgan Stanley Asia Limited; China International Capital Corporation Hong Kong Securities Limited</t>
        </is>
      </c>
      <c r="BT131" s="63" t="inlineStr">
        <is>
          <t>China International Capital Corporation Hong Kong Securities Limited; Morgan Stanley Asia Limited</t>
        </is>
      </c>
      <c r="BU131" s="63" t="inlineStr">
        <is>
          <t>Morgan Stanley Asia Limited; China International Capital Corporation Hong Kong Securities Limited; CMB International Capital Limited; Futu Securities International (Hong Kong) Limited</t>
        </is>
      </c>
      <c r="BV131" s="63" t="inlineStr">
        <is>
          <t>China International Capital Corporation Hong Kong Securities Limited; CMB International Capital Limited; Futu Securities International (Hong Kong) Limited; Livermore Holdings Limited; Morgan Stanley Asia Limited</t>
        </is>
      </c>
      <c r="BW131" s="78">
        <f>HYPERLINK("https://www1.hkexnews.hk/listedco/listconews/sehk/2022/0729/2022072900015.pdf","prospectus")</f>
        <v/>
      </c>
      <c r="BX131" s="78">
        <f>HYPERLINK("https://www1.hkexnews.hk/listedco/listconews/sehk/2022/0809/2022080900036.htm","allotment")</f>
        <v/>
      </c>
      <c r="BY131" s="78">
        <f>HYPERLINK("https://www1.hkexnews.hk/listedco/listconews/sehk/2022/0902/2022090202423.pdf","stabilisation")</f>
        <v/>
      </c>
      <c r="BZ131" s="76" t="n"/>
      <c r="CA131" s="63" t="inlineStr">
        <is>
          <t>A/H: no A-share listing · market cap: estimate from stated market capitalisation, rescaled to the offer price disagreed with the published listing cap — published figure adopted · grey market: no grey-market headline on file for this deal — AAStocks publishes one per listing but keeps only recent items on the stock's news page, and no public archive of past evening sessions exists; captured from this run onward</t>
        </is>
      </c>
    </row>
    <row r="132" ht="15" customHeight="1">
      <c r="A132" s="62" t="inlineStr">
        <is>
          <t>2321</t>
        </is>
      </c>
      <c r="B132" s="63" t="inlineStr">
        <is>
          <t>SWANGCHAICHUAN</t>
        </is>
      </c>
      <c r="C132" s="63" t="inlineStr">
        <is>
          <t>雙財莊</t>
        </is>
      </c>
      <c r="D132" s="63" t="inlineStr">
        <is>
          <t>Materials/Energy</t>
        </is>
      </c>
      <c r="E132" s="63" t="inlineStr">
        <is>
          <t>Oil &amp; gas / utilities</t>
        </is>
      </c>
      <c r="F132" s="63" t="inlineStr">
        <is>
          <t>Packaged Foods</t>
        </is>
      </c>
      <c r="G132" s="63" t="inlineStr">
        <is>
          <t>Standard</t>
        </is>
      </c>
      <c r="H132" s="64" t="n">
        <v>44792</v>
      </c>
      <c r="I132" s="65" t="n">
        <v>135</v>
      </c>
      <c r="J132" s="63" t="inlineStr">
        <is>
          <t>gross (price x shares)</t>
        </is>
      </c>
      <c r="K132" s="66" t="n">
        <v>0.52</v>
      </c>
      <c r="L132" s="66" t="n">
        <v>0.5600000000000001</v>
      </c>
      <c r="M132" s="66" t="n">
        <v>0.5600000000000001</v>
      </c>
      <c r="N132" s="63" t="inlineStr">
        <is>
          <t>Y</t>
        </is>
      </c>
      <c r="O132" s="67" t="n">
        <v>100</v>
      </c>
      <c r="P132" s="67" t="n">
        <v>100</v>
      </c>
      <c r="Q132" s="68" t="n">
        <v>487.4</v>
      </c>
      <c r="R132" s="63" t="inlineStr">
        <is>
          <t>derived:deal size / offer % of enlarged capital</t>
        </is>
      </c>
      <c r="S132" s="69" t="n">
        <v>19.2</v>
      </c>
      <c r="T132" s="70" t="n">
        <v>2.1</v>
      </c>
      <c r="U132" s="71" t="n">
        <v>38.4</v>
      </c>
      <c r="V132" s="68" t="n">
        <v>83.16</v>
      </c>
      <c r="W132" s="68" t="n">
        <v>148456000</v>
      </c>
      <c r="X132" s="67" t="n">
        <v>17.06</v>
      </c>
      <c r="Y132" s="63" t="inlineStr">
        <is>
          <t>Dato Sri Ng Chong Keong; Dato Sri Pek Kok Sam; Huihuang Resources Limited; Mr. Tee Kian Heng</t>
        </is>
      </c>
      <c r="Z132" s="63" t="inlineStr">
        <is>
          <t>dato;huihuang;mr-tee</t>
        </is>
      </c>
      <c r="AA132" s="67" t="n">
        <v>15</v>
      </c>
      <c r="AB132" s="72" t="n"/>
      <c r="AC132" s="66" t="n"/>
      <c r="AD132" s="72" t="n"/>
      <c r="AE132" s="63" t="n"/>
      <c r="AF132" s="63" t="n"/>
      <c r="AG132" s="63" t="inlineStr">
        <is>
          <t>full</t>
        </is>
      </c>
      <c r="AH132" s="63" t="n"/>
      <c r="AI132" s="63" t="inlineStr">
        <is>
          <t>Elstone Securities Limited</t>
        </is>
      </c>
      <c r="AJ132" s="63" t="inlineStr">
        <is>
          <t>Elstone</t>
        </is>
      </c>
      <c r="AK132" s="73" t="n">
        <v>41.07</v>
      </c>
      <c r="AL132" s="72" t="n">
        <v>42.86</v>
      </c>
      <c r="AM132" s="72" t="n">
        <v>-1.25</v>
      </c>
      <c r="AN132" s="72" t="n">
        <v>62.5</v>
      </c>
      <c r="AO132" s="72" t="n">
        <v>96.43000000000001</v>
      </c>
      <c r="AP132" s="72" t="n">
        <v>258.93</v>
      </c>
      <c r="AQ132" s="72" t="n">
        <v>15.19</v>
      </c>
      <c r="AR132" s="72" t="n">
        <v>39.24</v>
      </c>
      <c r="AS132" s="72" t="n">
        <v>154.43</v>
      </c>
      <c r="AT132" s="72" t="n">
        <v>59.03</v>
      </c>
      <c r="AU132" s="72" t="n">
        <v>102.35</v>
      </c>
      <c r="AV132" s="72" t="n">
        <v>268.7</v>
      </c>
      <c r="AW132" s="72" t="n">
        <v>45.12</v>
      </c>
      <c r="AX132" s="72" t="n">
        <v>-5.92</v>
      </c>
      <c r="AY132" s="72" t="n">
        <v>-5.88</v>
      </c>
      <c r="AZ132" s="63" t="inlineStr">
        <is>
          <t>Hang Seng Commerce &amp; Industry sub-index</t>
        </is>
      </c>
      <c r="BA132" s="72" t="n">
        <v>-12.5</v>
      </c>
      <c r="BB132" s="64" t="inlineStr">
        <is>
          <t>2026-08-28</t>
        </is>
      </c>
      <c r="BC132" s="65" t="n">
        <v>668.7</v>
      </c>
      <c r="BD132" s="68" t="n">
        <v>23.6</v>
      </c>
      <c r="BE132" s="63" t="inlineStr">
        <is>
          <t>Y</t>
        </is>
      </c>
      <c r="BF132" s="74" t="n">
        <v>20.7</v>
      </c>
      <c r="BG132" s="74" t="n"/>
      <c r="BH132" s="74" t="n">
        <v>8.1</v>
      </c>
      <c r="BI132" s="74" t="n">
        <v>0.7</v>
      </c>
      <c r="BJ132" s="75">
        <f>IF('BBG Verify'!S132="","not filed — run on terminal",'BBG Verify'!S132)</f>
        <v/>
      </c>
      <c r="BK132" s="76" t="inlineStr">
        <is>
          <t>N</t>
        </is>
      </c>
      <c r="BL132" s="77">
        <f>IF('BBG Verify'!K132="","not filed — run on terminal",'BBG Verify'!K132)</f>
        <v/>
      </c>
      <c r="BM132" s="63" t="inlineStr">
        <is>
          <t>N/A</t>
        </is>
      </c>
      <c r="BN132" s="63" t="inlineStr">
        <is>
          <t>N/A</t>
        </is>
      </c>
      <c r="BO132" s="63" t="inlineStr">
        <is>
          <t>N/A</t>
        </is>
      </c>
      <c r="BP132" s="63" t="inlineStr">
        <is>
          <t>N/A</t>
        </is>
      </c>
      <c r="BQ132" s="63" t="inlineStr">
        <is>
          <t>N/A</t>
        </is>
      </c>
      <c r="BR132" s="63" t="inlineStr">
        <is>
          <t>N/A</t>
        </is>
      </c>
      <c r="BS132" s="76" t="inlineStr">
        <is>
          <t>Sunny Fortune Capital Limited</t>
        </is>
      </c>
      <c r="BT132" s="63" t="inlineStr">
        <is>
          <t>Sunny Fortune Capital Limited</t>
        </is>
      </c>
      <c r="BU132" s="63" t="inlineStr">
        <is>
          <t>Sunny Fortune Capital Limited; Elstone Securities Limited; BOCOM International Securities Limited; China Galaxy International Securities (Hong Kong) Co., Limited; CMBC Securities Company Limited; Haitong International Securities Company Limited; Phillip Securities (Hong Kong) Limited</t>
        </is>
      </c>
      <c r="BV132" s="63" t="inlineStr">
        <is>
          <t>Beta International Securities Limited; China Galaxy International Securities (Hong Kong) Company Limited; CMBC Securities Company Limited; Elstone Securities Limited; Haitong International Securities Company Limited; Phillip Securities (Hong Kong) Limited; Sunny Fortune Capital Limited</t>
        </is>
      </c>
      <c r="BW132" s="78">
        <f>HYPERLINK("https://www1.hkexnews.hk/listedco/listconews/sehk/2022/0808/2022080800013.pdf","prospectus")</f>
        <v/>
      </c>
      <c r="BX132" s="78">
        <f>HYPERLINK("https://www1.hkexnews.hk/listedco/listconews/sehk/2022/0818/2022081800018.htm","allotment")</f>
        <v/>
      </c>
      <c r="BY132" s="78">
        <f>HYPERLINK("https://www1.hkexnews.hk/listedco/listconews/sehk/2022/0913/2022091300161.pdf","stabilisation")</f>
        <v/>
      </c>
      <c r="BZ132" s="76" t="n"/>
      <c r="CA132" s="63" t="inlineStr">
        <is>
          <t>greenshoe: over-allotment outcome already published, and the allotment announcement does not state the stabilisation expiry in a parsable form — the expiry no longer matters once resolved · A/H: no A-share listing · grey market: no grey-market headline on file for this deal — AAStocks publishes one per listing but keeps only recent items on the stock's news page, and no public archive of past evening sessions exists; captured from this run onward</t>
        </is>
      </c>
    </row>
    <row r="133" ht="15" customHeight="1">
      <c r="A133" s="62" t="inlineStr">
        <is>
          <t>2152</t>
        </is>
      </c>
      <c r="B133" s="63" t="inlineStr">
        <is>
          <t>SUXIN SERVICES</t>
        </is>
      </c>
      <c r="C133" s="63" t="inlineStr">
        <is>
          <t>蘇新服務</t>
        </is>
      </c>
      <c r="D133" s="63" t="inlineStr">
        <is>
          <t>Real Estate</t>
        </is>
      </c>
      <c r="E133" s="63" t="inlineStr">
        <is>
          <t>Property management</t>
        </is>
      </c>
      <c r="F133" s="63" t="inlineStr">
        <is>
          <t>Property Service and Management</t>
        </is>
      </c>
      <c r="G133" s="63" t="inlineStr">
        <is>
          <t>Standard</t>
        </is>
      </c>
      <c r="H133" s="64" t="n">
        <v>44797</v>
      </c>
      <c r="I133" s="65" t="n">
        <v>215</v>
      </c>
      <c r="J133" s="63" t="inlineStr">
        <is>
          <t>gross (price x shares)</t>
        </is>
      </c>
      <c r="K133" s="66" t="n">
        <v>8.6</v>
      </c>
      <c r="L133" s="66" t="n">
        <v>9.6</v>
      </c>
      <c r="M133" s="66" t="n">
        <v>8.6</v>
      </c>
      <c r="N133" s="63" t="inlineStr">
        <is>
          <t>N</t>
        </is>
      </c>
      <c r="O133" s="67" t="n">
        <v>89.59999999999999</v>
      </c>
      <c r="P133" s="67" t="n">
        <v>0</v>
      </c>
      <c r="Q133" s="68" t="n">
        <v>959.6</v>
      </c>
      <c r="R133" s="63" t="inlineStr">
        <is>
          <t>aastocks:上市市值 at the struck price</t>
        </is>
      </c>
      <c r="S133" s="69" t="n">
        <v>0.71</v>
      </c>
      <c r="T133" s="70" t="n">
        <v>1.2</v>
      </c>
      <c r="U133" s="71" t="n">
        <v>20.2</v>
      </c>
      <c r="V133" s="68" t="n">
        <v>171.57</v>
      </c>
      <c r="W133" s="68" t="n">
        <v>19950000</v>
      </c>
      <c r="X133" s="67" t="n">
        <v>17.88</v>
      </c>
      <c r="Y133" s="63" t="inlineStr">
        <is>
          <t>Chiyu International Capital Limited; Suzhou Guanglin Construction Company Limited; Suzhou Qianmo Village Development Construction Tourism Company Limited</t>
        </is>
      </c>
      <c r="Z133" s="63" t="inlineStr">
        <is>
          <t>chiyu;suzhou</t>
        </is>
      </c>
      <c r="AA133" s="67" t="n">
        <v>17.55</v>
      </c>
      <c r="AB133" s="72" t="n"/>
      <c r="AC133" s="66" t="n"/>
      <c r="AD133" s="72" t="n"/>
      <c r="AE133" s="63" t="n"/>
      <c r="AF133" s="63" t="n"/>
      <c r="AG133" s="63" t="inlineStr">
        <is>
          <t>partial</t>
        </is>
      </c>
      <c r="AH133" s="63" t="inlineStr">
        <is>
          <t>2022-09-15</t>
        </is>
      </c>
      <c r="AI133" s="63" t="inlineStr">
        <is>
          <t>BOCOM International Securities Limited</t>
        </is>
      </c>
      <c r="AJ133" s="63" t="inlineStr">
        <is>
          <t>BOCOM</t>
        </is>
      </c>
      <c r="AK133" s="73" t="n">
        <v>-0.12</v>
      </c>
      <c r="AL133" s="72" t="n">
        <v>-4.65</v>
      </c>
      <c r="AM133" s="72" t="n">
        <v>4.75</v>
      </c>
      <c r="AN133" s="72" t="n">
        <v>-0.12</v>
      </c>
      <c r="AO133" s="72" t="n">
        <v>-27.33</v>
      </c>
      <c r="AP133" s="72" t="n">
        <v>-29.07</v>
      </c>
      <c r="AQ133" s="72" t="n">
        <v>0</v>
      </c>
      <c r="AR133" s="72" t="n">
        <v>-27.24</v>
      </c>
      <c r="AS133" s="72" t="n">
        <v>-28.98</v>
      </c>
      <c r="AT133" s="72" t="n">
        <v>0.08</v>
      </c>
      <c r="AU133" s="72" t="n">
        <v>-26.23</v>
      </c>
      <c r="AV133" s="72" t="n">
        <v>-20.32</v>
      </c>
      <c r="AW133" s="72" t="n">
        <v>-27.51</v>
      </c>
      <c r="AX133" s="72" t="n">
        <v>-1.1</v>
      </c>
      <c r="AY133" s="72" t="n">
        <v>0.27</v>
      </c>
      <c r="AZ133" s="63" t="inlineStr">
        <is>
          <t>Hang Seng Properties sub-index</t>
        </is>
      </c>
      <c r="BA133" s="72" t="n">
        <v>-44.3</v>
      </c>
      <c r="BB133" s="64" t="inlineStr">
        <is>
          <t>2026-08-28</t>
        </is>
      </c>
      <c r="BC133" s="65" t="n">
        <v>508.2</v>
      </c>
      <c r="BD133" s="68" t="n">
        <v>62.2</v>
      </c>
      <c r="BE133" s="63" t="inlineStr">
        <is>
          <t>Y</t>
        </is>
      </c>
      <c r="BF133" s="74" t="n">
        <v>15.4</v>
      </c>
      <c r="BG133" s="74" t="n"/>
      <c r="BH133" s="74" t="n">
        <v>5.6</v>
      </c>
      <c r="BI133" s="74" t="n">
        <v>1.9</v>
      </c>
      <c r="BJ133" s="75">
        <f>IF('BBG Verify'!S133="","not filed — run on terminal",'BBG Verify'!S133)</f>
        <v/>
      </c>
      <c r="BK133" s="76" t="inlineStr">
        <is>
          <t>N</t>
        </is>
      </c>
      <c r="BL133" s="77">
        <f>IF('BBG Verify'!K133="","not filed — run on terminal",'BBG Verify'!K133)</f>
        <v/>
      </c>
      <c r="BM133" s="63" t="inlineStr">
        <is>
          <t>N/A</t>
        </is>
      </c>
      <c r="BN133" s="63" t="inlineStr">
        <is>
          <t>N/A</t>
        </is>
      </c>
      <c r="BO133" s="63" t="inlineStr">
        <is>
          <t>N/A</t>
        </is>
      </c>
      <c r="BP133" s="63" t="inlineStr">
        <is>
          <t>N/A</t>
        </is>
      </c>
      <c r="BQ133" s="63" t="inlineStr">
        <is>
          <t>N/A</t>
        </is>
      </c>
      <c r="BR133" s="63" t="inlineStr">
        <is>
          <t>N/A</t>
        </is>
      </c>
      <c r="BS133" s="76" t="inlineStr">
        <is>
          <t>BOCOM International (Asia) Limited; BOCOM International Securities Limited</t>
        </is>
      </c>
      <c r="BT133" s="63" t="inlineStr">
        <is>
          <t>BOCOM International (Asia) Limited</t>
        </is>
      </c>
      <c r="BU133" s="63" t="inlineStr">
        <is>
          <t>Haitong International Securities Company Limited; China Everbright Securities (HK) Limited; CEB International Capital Corporation Limited; CMBC Securities Company Limited; Essence International Securities (Hong Kong) Limited; ABCI Capital Limited</t>
        </is>
      </c>
      <c r="BV133" s="63" t="inlineStr">
        <is>
          <t>ABCI Securities Company Limited; Beta International Securities Limited; CEB International Capital Corporation Limited; China Everbright Securities (HK) Limited; CMBC Securities Company Limited; Essence International Securities (Hong Kong) Limited; Eddid Securities and Futures Limited; Haitong International Securities Company Limited; Maxa Capital Limited; Shenwan Hongyuan Securities (H.K.) Limited; Sinomax Securities Limited; Zhongtai International Securities Limited</t>
        </is>
      </c>
      <c r="BW133" s="78">
        <f>HYPERLINK("https://www1.hkexnews.hk/listedco/listconews/sehk/2022/0811/2022081100025.pdf","prospectus")</f>
        <v/>
      </c>
      <c r="BX133" s="78">
        <f>HYPERLINK("https://www1.hkexnews.hk/listedco/listconews/sehk/2022/0823/2022082300018.htm","allotment")</f>
        <v/>
      </c>
      <c r="BY133" s="78">
        <f>HYPERLINK("https://www1.hkexnews.hk/listedco/listconews/sehk/2022/0915/2022091501585.pdf","stabilisation")</f>
        <v/>
      </c>
      <c r="BZ133" s="76" t="n"/>
      <c r="CA133" s="63" t="inlineStr">
        <is>
          <t>A/H: no A-share listing · market cap: estimate from deal size / offer % of enlarged capital disagreed with the published listing cap — published figure adopted · cornerstone %: AAStocks institutional-order total / deal size — an upper bound; the table can include non-cornerstone orders · grey market: no grey-market headline on file for this deal — AAStocks publishes one per listing but keeps only recent items on the stock's news page, and no public archive of past evening sessions exists; captured from this run onward</t>
        </is>
      </c>
    </row>
    <row r="134" ht="15" customHeight="1">
      <c r="A134" s="62" t="inlineStr">
        <is>
          <t>1880</t>
        </is>
      </c>
      <c r="B134" s="63" t="inlineStr">
        <is>
          <t>CTG DUTY-FREE</t>
        </is>
      </c>
      <c r="C134" s="63" t="inlineStr">
        <is>
          <t>中國中免</t>
        </is>
      </c>
      <c r="D134" s="63" t="inlineStr">
        <is>
          <t>Consumer</t>
        </is>
      </c>
      <c r="E134" s="63" t="inlineStr">
        <is>
          <t>Retail / distribution</t>
        </is>
      </c>
      <c r="F134" s="63" t="inlineStr">
        <is>
          <t>Tourism</t>
        </is>
      </c>
      <c r="G134" s="63" t="inlineStr">
        <is>
          <t>Standard</t>
        </is>
      </c>
      <c r="H134" s="64" t="n">
        <v>44798</v>
      </c>
      <c r="I134" s="65" t="n">
        <v>16236.4</v>
      </c>
      <c r="J134" s="63" t="inlineStr">
        <is>
          <t>gross (price x shares)</t>
        </is>
      </c>
      <c r="K134" s="66" t="n"/>
      <c r="L134" s="66" t="n">
        <v>158</v>
      </c>
      <c r="M134" s="66" t="n">
        <v>158</v>
      </c>
      <c r="N134" s="63" t="inlineStr">
        <is>
          <t>Y</t>
        </is>
      </c>
      <c r="O134" s="67" t="n">
        <v>100</v>
      </c>
      <c r="P134" s="67" t="n"/>
      <c r="Q134" s="68" t="n">
        <v>319638.8</v>
      </c>
      <c r="R134" s="63" t="inlineStr">
        <is>
          <t>aastocks:上市市值 at the struck price</t>
        </is>
      </c>
      <c r="S134" s="69" t="n">
        <v>1.06</v>
      </c>
      <c r="T134" s="70" t="n">
        <v>4.7</v>
      </c>
      <c r="U134" s="71" t="n">
        <v>39.3</v>
      </c>
      <c r="V134" s="68" t="n">
        <v>9855.49</v>
      </c>
      <c r="W134" s="68" t="n">
        <v>62376473</v>
      </c>
      <c r="X134" s="67" t="n">
        <v>3.08</v>
      </c>
      <c r="Y134" s="63" t="inlineStr">
        <is>
          <t>AMOREPACIFIC Group; China State-Owned Enterprise Mixed Ownership Reform Fund Co., Ltd; China Structural Reform Fund Corporation Limited; COSCO Shipping (Hong Kong) Co., Limited; Hainan Free Trade Port Construction Investment Fund Co., Ltd; Luzhou Laojiao Co., Ltd; Rongshi International Holding Company Limited; Shanghai Airport Investment Corporation Limited; The Oaktree Funds</t>
        </is>
      </c>
      <c r="Z134" s="63" t="inlineStr">
        <is>
          <t>amorepacific;state-owned;structural;cosco;hainan;luzhou;rongshi;shanghai-airport;oaktree</t>
        </is>
      </c>
      <c r="AA134" s="67" t="n"/>
      <c r="AB134" s="72" t="n"/>
      <c r="AC134" s="66" t="n"/>
      <c r="AD134" s="72" t="n"/>
      <c r="AE134" s="63" t="n"/>
      <c r="AF134" s="63" t="n"/>
      <c r="AG134" s="63" t="n"/>
      <c r="AH134" s="63" t="inlineStr">
        <is>
          <t>2022-09-17</t>
        </is>
      </c>
      <c r="AI134" s="63" t="inlineStr">
        <is>
          <t>China International Capital Corporation Hong Kong Securities Limited</t>
        </is>
      </c>
      <c r="AJ134" s="63" t="inlineStr">
        <is>
          <t>China International</t>
        </is>
      </c>
      <c r="AK134" s="73" t="n">
        <v>0</v>
      </c>
      <c r="AL134" s="72" t="n">
        <v>-24.05</v>
      </c>
      <c r="AM134" s="72" t="n">
        <v>31.67</v>
      </c>
      <c r="AN134" s="72" t="n">
        <v>8.23</v>
      </c>
      <c r="AO134" s="72" t="n">
        <v>17.09</v>
      </c>
      <c r="AP134" s="72" t="n">
        <v>9.300000000000001</v>
      </c>
      <c r="AQ134" s="72" t="n">
        <v>8.23</v>
      </c>
      <c r="AR134" s="72" t="n">
        <v>17.09</v>
      </c>
      <c r="AS134" s="72" t="n">
        <v>9.300000000000001</v>
      </c>
      <c r="AT134" s="72" t="n">
        <v>5.36</v>
      </c>
      <c r="AU134" s="72" t="n">
        <v>24.76</v>
      </c>
      <c r="AV134" s="72" t="n">
        <v>20.62</v>
      </c>
      <c r="AW134" s="72" t="n">
        <v>28.99</v>
      </c>
      <c r="AX134" s="72" t="n">
        <v>-7.67</v>
      </c>
      <c r="AY134" s="72" t="n">
        <v>-11.9</v>
      </c>
      <c r="AZ134" s="63" t="inlineStr">
        <is>
          <t>Hang Seng Commerce &amp; Industry sub-index</t>
        </is>
      </c>
      <c r="BA134" s="72" t="n">
        <v>-68.68000000000001</v>
      </c>
      <c r="BB134" s="64" t="inlineStr">
        <is>
          <t>2026-08-28</t>
        </is>
      </c>
      <c r="BC134" s="65" t="n">
        <v>74443.10000000001</v>
      </c>
      <c r="BD134" s="68" t="n">
        <v>10699.2</v>
      </c>
      <c r="BE134" s="63" t="inlineStr">
        <is>
          <t>Y</t>
        </is>
      </c>
      <c r="BF134" s="74" t="n">
        <v>29.9</v>
      </c>
      <c r="BG134" s="74" t="n">
        <v>32.6</v>
      </c>
      <c r="BH134" s="74" t="n">
        <v>22</v>
      </c>
      <c r="BI134" s="74" t="n">
        <v>4.3</v>
      </c>
      <c r="BJ134" s="75">
        <f>IF('BBG Verify'!S134="","not filed — run on terminal",'BBG Verify'!S134)</f>
        <v/>
      </c>
      <c r="BK134" s="76" t="inlineStr">
        <is>
          <t>Y</t>
        </is>
      </c>
      <c r="BL134" s="63" t="inlineStr">
        <is>
          <t>601888.SS</t>
        </is>
      </c>
      <c r="BM134" s="72" t="n">
        <v>37.93</v>
      </c>
      <c r="BN134" s="66" t="n">
        <v>217.934</v>
      </c>
      <c r="BO134" s="80" t="n">
        <v>0.2658</v>
      </c>
      <c r="BP134" s="68" t="n">
        <v>127238.8</v>
      </c>
      <c r="BQ134" s="75">
        <f>IF('BBG Verify'!Q134="","run on terminal",'BBG Verify'!Q134)</f>
        <v/>
      </c>
      <c r="BR134" s="75">
        <f>IF('BBG Verify'!R134="","run on terminal",'BBG Verify'!R134)</f>
        <v/>
      </c>
      <c r="BS134" s="76" t="inlineStr">
        <is>
          <t>CICC</t>
        </is>
      </c>
      <c r="BT134" s="63" t="inlineStr">
        <is>
          <t>China International Capital Corporation Hong Kong Securities Limited; UBS Securities Hong Kong Limited</t>
        </is>
      </c>
      <c r="BU134" s="63" t="inlineStr">
        <is>
          <t>ABCI Securities Company Limited; Beta International Securities Limited; BOCI Asia Limited; CCB International Capital Limited; China Galaxy International Securities (Hong Kong) Company Limited; China International Capital Corporation Hong Kong Securities Limited</t>
        </is>
      </c>
      <c r="BV134" s="63" t="inlineStr">
        <is>
          <t>ABCI Securities Company Limited; Beta International Securities Limited; BOCI Asia Limited; CCB International Capital Limited; China Galaxy International Securities (Hong Kong) Company Limited; China International Capital Corporation Hong Kong Securities Limited; CLSA Limited; CMB International Capital Limited; China Securities (International) Corporate Finance Company Limited; DBS Asia Capital Limited; Guotai Junan Securities (Hong Kong) Limited; Haitong International Securities Company Limited</t>
        </is>
      </c>
      <c r="BW134" s="63" t="n"/>
      <c r="BX134" s="78">
        <f>HYPERLINK("https://www1.hkexnews.hk/listedco/listconews/sehk/2022/0824/2022082400024.htm","allotment")</f>
        <v/>
      </c>
      <c r="BY134" s="63" t="n"/>
      <c r="BZ134" s="76" t="n"/>
      <c r="CA134" s="63" t="inlineStr">
        <is>
          <t>greenshoe: no over-allotment option in the offer structure · price range: fixed-price offering (no indicative range) · range low: cap-only pricing — the filing publishes a Maximum Offer Price and no indicative floor · A/H: Aug 2022, ~US$2.1bn H offering · greenshoe size: no over-allotment option in the offer structure · filing links: no prospectus document returned by the HKEX per-stock search for this code — the allotment announcement is linked beside it · grey market: no grey-market headline on file for this deal — AAStocks publishes one per listing but keeps only recent items on the stock's news page, and no public archive of past evening sessions exists; captured from this run onward</t>
        </is>
      </c>
    </row>
    <row r="135" ht="15" customHeight="1">
      <c r="A135" s="62" t="inlineStr">
        <is>
          <t>2315</t>
        </is>
      </c>
      <c r="B135" s="63" t="inlineStr">
        <is>
          <t>BIOCYTOGEN-B</t>
        </is>
      </c>
      <c r="C135" s="63" t="inlineStr">
        <is>
          <t>百奧賽圖－Ｂ</t>
        </is>
      </c>
      <c r="D135" s="63" t="inlineStr">
        <is>
          <t>Healthcare</t>
        </is>
      </c>
      <c r="E135" s="63" t="inlineStr">
        <is>
          <t>Biotech pre-revenue (18A)</t>
        </is>
      </c>
      <c r="F135" s="63" t="inlineStr">
        <is>
          <t>Biotechnology - Supplies &amp; Services</t>
        </is>
      </c>
      <c r="G135" s="63" t="inlineStr">
        <is>
          <t>18A</t>
        </is>
      </c>
      <c r="H135" s="64" t="n">
        <v>44805</v>
      </c>
      <c r="I135" s="65" t="n">
        <v>548.7</v>
      </c>
      <c r="J135" s="63" t="inlineStr">
        <is>
          <t>gross (price x shares)</t>
        </is>
      </c>
      <c r="K135" s="66" t="n"/>
      <c r="L135" s="66" t="n">
        <v>25.22</v>
      </c>
      <c r="M135" s="66" t="n">
        <v>25.22</v>
      </c>
      <c r="N135" s="63" t="inlineStr">
        <is>
          <t>Y</t>
        </is>
      </c>
      <c r="O135" s="67" t="n">
        <v>100</v>
      </c>
      <c r="P135" s="67" t="n"/>
      <c r="Q135" s="68" t="n">
        <v>10004.5</v>
      </c>
      <c r="R135" s="63" t="inlineStr">
        <is>
          <t>prospectus:stated market capitalisation</t>
        </is>
      </c>
      <c r="S135" s="69" t="n">
        <v>5.93</v>
      </c>
      <c r="T135" s="70" t="n">
        <v>1.6</v>
      </c>
      <c r="U135" s="71" t="n">
        <v>71.14</v>
      </c>
      <c r="V135" s="68" t="n">
        <v>158.35</v>
      </c>
      <c r="W135" s="68" t="n">
        <v>6279503</v>
      </c>
      <c r="X135" s="67" t="n">
        <v>1.58</v>
      </c>
      <c r="Y135" s="63" t="inlineStr">
        <is>
          <t>Beijing Xingxing Equity Investment Partnership (Limited Partnership); QuantumPharm Limited; RemeGen Co., Ltd; Sanjin International CO., LTD; VEKEN (HONGKONG) ECONOMIC AND TRADE CO., LIMITED</t>
        </is>
      </c>
      <c r="Z135" s="63" t="inlineStr">
        <is>
          <t>beijing-xingxing;quantumpharm;remegen;sanjin;veken</t>
        </is>
      </c>
      <c r="AA135" s="67" t="n">
        <v>14.1</v>
      </c>
      <c r="AB135" s="72" t="n"/>
      <c r="AC135" s="66" t="n"/>
      <c r="AD135" s="72" t="n"/>
      <c r="AE135" s="63" t="n"/>
      <c r="AF135" s="63" t="n"/>
      <c r="AG135" s="63" t="inlineStr">
        <is>
          <t>partial</t>
        </is>
      </c>
      <c r="AH135" s="63" t="inlineStr">
        <is>
          <t>2022-09-23</t>
        </is>
      </c>
      <c r="AI135" s="63" t="inlineStr">
        <is>
          <t>Goldman Sachs</t>
        </is>
      </c>
      <c r="AJ135" s="63" t="inlineStr">
        <is>
          <t>Goldman Sachs</t>
        </is>
      </c>
      <c r="AK135" s="73" t="n">
        <v>3.09</v>
      </c>
      <c r="AL135" s="72" t="n">
        <v>4.28</v>
      </c>
      <c r="AM135" s="72" t="n">
        <v>-1.14</v>
      </c>
      <c r="AN135" s="72" t="n">
        <v>0.71</v>
      </c>
      <c r="AO135" s="72" t="n">
        <v>5.47</v>
      </c>
      <c r="AP135" s="72" t="n">
        <v>3.09</v>
      </c>
      <c r="AQ135" s="72" t="n">
        <v>-2.31</v>
      </c>
      <c r="AR135" s="72" t="n">
        <v>2.31</v>
      </c>
      <c r="AS135" s="72" t="n">
        <v>0</v>
      </c>
      <c r="AT135" s="72" t="n">
        <v>5.94</v>
      </c>
      <c r="AU135" s="72" t="n">
        <v>19.05</v>
      </c>
      <c r="AV135" s="72" t="n">
        <v>3.95</v>
      </c>
      <c r="AW135" s="72" t="n">
        <v>15.36</v>
      </c>
      <c r="AX135" s="72" t="n">
        <v>-13.58</v>
      </c>
      <c r="AY135" s="72" t="n">
        <v>-13.05</v>
      </c>
      <c r="AZ135" s="63" t="inlineStr">
        <is>
          <t>China Biotech ETF (HS biotech proxy)</t>
        </is>
      </c>
      <c r="BA135" s="72" t="n">
        <v>142.86</v>
      </c>
      <c r="BB135" s="64" t="inlineStr">
        <is>
          <t>2026-08-28</t>
        </is>
      </c>
      <c r="BC135" s="65" t="n">
        <v>390</v>
      </c>
      <c r="BD135" s="68" t="n">
        <v>-600.1</v>
      </c>
      <c r="BE135" s="63" t="inlineStr">
        <is>
          <t>N</t>
        </is>
      </c>
      <c r="BF135" s="63" t="inlineStr">
        <is>
          <t>n/m</t>
        </is>
      </c>
      <c r="BG135" s="74" t="n"/>
      <c r="BH135" s="74" t="n">
        <v>127.3</v>
      </c>
      <c r="BI135" s="74" t="n">
        <v>25.7</v>
      </c>
      <c r="BJ135" s="75">
        <f>IF('BBG Verify'!S135="","not filed — run on terminal",'BBG Verify'!S135)</f>
        <v/>
      </c>
      <c r="BK135" s="76" t="inlineStr">
        <is>
          <t>Y</t>
        </is>
      </c>
      <c r="BL135" s="63" t="inlineStr">
        <is>
          <t>688796.SS</t>
        </is>
      </c>
      <c r="BM135" s="72" t="n"/>
      <c r="BN135" s="66" t="n"/>
      <c r="BO135" s="80" t="n">
        <v>1.419</v>
      </c>
      <c r="BP135" s="68" t="n">
        <v>61028.9</v>
      </c>
      <c r="BQ135" s="75">
        <f>IF('BBG Verify'!Q135="","run on terminal",'BBG Verify'!Q135)</f>
        <v/>
      </c>
      <c r="BR135" s="75">
        <f>IF('BBG Verify'!R135="","run on terminal",'BBG Verify'!R135)</f>
        <v/>
      </c>
      <c r="BS135" s="76" t="inlineStr">
        <is>
          <t>Goldman Sachs (Asia) L.L.C; China International Capital Corporation Hong Kong Securities Limited</t>
        </is>
      </c>
      <c r="BT135" s="63" t="inlineStr">
        <is>
          <t>China International Capital Corporation Hong Kong Securities Limited; Goldman Sachs (Asia) L.L.C.</t>
        </is>
      </c>
      <c r="BU135" s="63" t="inlineStr">
        <is>
          <t>Goldman Sachs (Asia) L.L.C; CMB International Capital Limited; CLSA Limited; China International Capital Corporation Hong Kong Securities Limited; Futu Securities International (Hong Kong) Limited; Valuable Capital Limited; Haitong International Securities Company Limited</t>
        </is>
      </c>
      <c r="BV135" s="63" t="inlineStr">
        <is>
          <t>Beta International Securities Limited; China International Capital Corporation Hong Kong Securities Limited; CLSA Limited; CMB International Capital Limited; Futu Securities International (Hong Kong) Limited; Goldman Sachs (Asia) L.L.C.; Haitong International Securities Company Limited; Valuable Capital Limited</t>
        </is>
      </c>
      <c r="BW135" s="78">
        <f>HYPERLINK("https://www1.hkexnews.hk/listedco/listconews/sehk/2022/0819/2022081900021.pdf","prospectus")</f>
        <v/>
      </c>
      <c r="BX135" s="78">
        <f>HYPERLINK("https://www1.hkexnews.hk/listedco/listconews/sehk/2022/0831/2022083100060.htm","allotment")</f>
        <v/>
      </c>
      <c r="BY135" s="78">
        <f>HYPERLINK("https://www1.hkexnews.hk/listedco/listconews/sehk/2022/0923/2022092301878.pdf","stabilisation")</f>
        <v/>
      </c>
      <c r="BZ135" s="76" t="n"/>
      <c r="CA135" s="63" t="inlineStr">
        <is>
          <t>P/E: n/m — loss-making at IPO (use P/S) · range low: cap-only pricing — the filing publishes a Maximum Offer Price and no indicative floor · A/H: A-share 688796 listed AFTER the H IPO — no A price existed on the H pricing date, so an at-IPO premium cannot exist; the today premium is live · deal size: stated gross HK$16.9m rejected — below the deal's own net proceeds HK$471.1m, which cannot happen · grey market: no grey-market headline on file for this deal — AAStocks publishes one per listing but keeps only recent items on the stock's news page, and no public archive of past evening sessions exists; captured from this run onward</t>
        </is>
      </c>
    </row>
    <row r="136" ht="15" customHeight="1">
      <c r="A136" s="62" t="inlineStr">
        <is>
          <t>9886</t>
        </is>
      </c>
      <c r="B136" s="63" t="inlineStr">
        <is>
          <t>DINGDANG HEALTH</t>
        </is>
      </c>
      <c r="C136" s="63" t="inlineStr">
        <is>
          <t>叮噹健康</t>
        </is>
      </c>
      <c r="D136" s="63" t="inlineStr">
        <is>
          <t>Healthcare</t>
        </is>
      </c>
      <c r="E136" s="63" t="inlineStr">
        <is>
          <t>Digital health</t>
        </is>
      </c>
      <c r="F136" s="63" t="inlineStr">
        <is>
          <t>Health Care Services</t>
        </is>
      </c>
      <c r="G136" s="63" t="inlineStr">
        <is>
          <t>Standard</t>
        </is>
      </c>
      <c r="H136" s="64" t="n">
        <v>44818</v>
      </c>
      <c r="I136" s="65" t="n">
        <v>402.4</v>
      </c>
      <c r="J136" s="63" t="inlineStr">
        <is>
          <t>gross (price x shares)</t>
        </is>
      </c>
      <c r="K136" s="66" t="n"/>
      <c r="L136" s="66" t="n">
        <v>12</v>
      </c>
      <c r="M136" s="66" t="n">
        <v>12</v>
      </c>
      <c r="N136" s="63" t="inlineStr">
        <is>
          <t>Y</t>
        </is>
      </c>
      <c r="O136" s="67" t="n">
        <v>100</v>
      </c>
      <c r="P136" s="67" t="n"/>
      <c r="Q136" s="68" t="n">
        <v>16096</v>
      </c>
      <c r="R136" s="63" t="inlineStr">
        <is>
          <t>derived:deal size / offer % of enlarged capital</t>
        </is>
      </c>
      <c r="S136" s="69" t="n">
        <v>7.2</v>
      </c>
      <c r="T136" s="70" t="n">
        <v>1.7</v>
      </c>
      <c r="U136" s="71" t="n">
        <v>74.09</v>
      </c>
      <c r="V136" s="68" t="n">
        <v>104.26</v>
      </c>
      <c r="W136" s="68" t="n">
        <v>8689437</v>
      </c>
      <c r="X136" s="67" t="n">
        <v>0.65</v>
      </c>
      <c r="Y136" s="63" t="inlineStr">
        <is>
          <t>Harvest International Premium Value (Secondary Market) Fund SPC; Jumpcan International Co., Ltd; Sunshine Life Insurance Corporation Limited</t>
        </is>
      </c>
      <c r="Z136" s="63" t="inlineStr">
        <is>
          <t>harvest;jumpcan;sunshine</t>
        </is>
      </c>
      <c r="AA136" s="67" t="n">
        <v>10</v>
      </c>
      <c r="AB136" s="72" t="n"/>
      <c r="AC136" s="66" t="n"/>
      <c r="AD136" s="72" t="n"/>
      <c r="AE136" s="63" t="n"/>
      <c r="AF136" s="63" t="n"/>
      <c r="AG136" s="63" t="inlineStr">
        <is>
          <t>lapsed</t>
        </is>
      </c>
      <c r="AH136" s="63" t="inlineStr">
        <is>
          <t>2022-10-06</t>
        </is>
      </c>
      <c r="AI136" s="63" t="inlineStr">
        <is>
          <t>China International Capital Corporation Hong Kong Securities Limited</t>
        </is>
      </c>
      <c r="AJ136" s="63" t="inlineStr">
        <is>
          <t>China International</t>
        </is>
      </c>
      <c r="AK136" s="73" t="n">
        <v>0</v>
      </c>
      <c r="AL136" s="72" t="n">
        <v>2.83</v>
      </c>
      <c r="AM136" s="72" t="n">
        <v>-2.75</v>
      </c>
      <c r="AN136" s="72" t="n">
        <v>0.33</v>
      </c>
      <c r="AO136" s="72" t="n">
        <v>-1</v>
      </c>
      <c r="AP136" s="72" t="n">
        <v>0</v>
      </c>
      <c r="AQ136" s="72" t="n">
        <v>0.33</v>
      </c>
      <c r="AR136" s="72" t="n">
        <v>-1</v>
      </c>
      <c r="AS136" s="72" t="n">
        <v>0</v>
      </c>
      <c r="AT136" s="72" t="n">
        <v>8.640000000000001</v>
      </c>
      <c r="AU136" s="72" t="n">
        <v>3.13</v>
      </c>
      <c r="AV136" s="72" t="n">
        <v>-5.67</v>
      </c>
      <c r="AW136" s="72" t="n">
        <v>1.52</v>
      </c>
      <c r="AX136" s="72" t="n">
        <v>-4.13</v>
      </c>
      <c r="AY136" s="72" t="n">
        <v>-2.52</v>
      </c>
      <c r="AZ136" s="63" t="inlineStr">
        <is>
          <t>China Biotech ETF (HS biotech proxy)</t>
        </is>
      </c>
      <c r="BA136" s="72" t="n">
        <v>-93.08</v>
      </c>
      <c r="BB136" s="64" t="inlineStr">
        <is>
          <t>2026-08-28</t>
        </is>
      </c>
      <c r="BC136" s="65" t="n">
        <v>2451.4</v>
      </c>
      <c r="BD136" s="68" t="n">
        <v>-1.2</v>
      </c>
      <c r="BE136" s="63" t="inlineStr">
        <is>
          <t>N</t>
        </is>
      </c>
      <c r="BF136" s="63" t="inlineStr">
        <is>
          <t>n/m</t>
        </is>
      </c>
      <c r="BG136" s="74" t="n"/>
      <c r="BH136" s="74" t="n"/>
      <c r="BI136" s="74" t="n">
        <v>6.6</v>
      </c>
      <c r="BJ136" s="75">
        <f>IF('BBG Verify'!S136="","not filed — run on terminal",'BBG Verify'!S136)</f>
        <v/>
      </c>
      <c r="BK136" s="76" t="inlineStr">
        <is>
          <t>N</t>
        </is>
      </c>
      <c r="BL136" s="77">
        <f>IF('BBG Verify'!K136="","not filed — run on terminal",'BBG Verify'!K136)</f>
        <v/>
      </c>
      <c r="BM136" s="63" t="inlineStr">
        <is>
          <t>N/A</t>
        </is>
      </c>
      <c r="BN136" s="63" t="inlineStr">
        <is>
          <t>N/A</t>
        </is>
      </c>
      <c r="BO136" s="63" t="inlineStr">
        <is>
          <t>N/A</t>
        </is>
      </c>
      <c r="BP136" s="63" t="inlineStr">
        <is>
          <t>N/A</t>
        </is>
      </c>
      <c r="BQ136" s="63" t="inlineStr">
        <is>
          <t>N/A</t>
        </is>
      </c>
      <c r="BR136" s="63" t="inlineStr">
        <is>
          <t>N/A</t>
        </is>
      </c>
      <c r="BS136" s="76" t="inlineStr">
        <is>
          <t>CMB International Capital Limited</t>
        </is>
      </c>
      <c r="BT136" s="63" t="inlineStr">
        <is>
          <t>China International Capital Corporation Hong Kong Securities Limited; CMB International Capital Corporation Limited</t>
        </is>
      </c>
      <c r="BU136" s="63" t="inlineStr">
        <is>
          <t>CMB International Capital Limited; China International Capital Corporation Hong Kong Securities Limited; Futu Securities International (Hong Kong) Limited</t>
        </is>
      </c>
      <c r="BV136" s="63" t="inlineStr">
        <is>
          <t>China International Capital Corporation Hong Kong Securities Limited; CMB International Capital Corporation Limited; Futu Securities International (Hong Kong) Limited; Silverbricks Securities Company Limited</t>
        </is>
      </c>
      <c r="BW136" s="78">
        <f>HYPERLINK("https://www1.hkexnews.hk/listedco/listconews/sehk/2022/0901/2022090100013.pdf","prospectus")</f>
        <v/>
      </c>
      <c r="BX136" s="78">
        <f>HYPERLINK("https://www1.hkexnews.hk/listedco/listconews/sehk/2022/0913/2022091300006.htm","allotment")</f>
        <v/>
      </c>
      <c r="BY136" s="78">
        <f>HYPERLINK("https://www1.hkexnews.hk/listedco/listconews/sehk/2022/1006/2022100601196.pdf","stabilisation")</f>
        <v/>
      </c>
      <c r="BZ136" s="76" t="n"/>
      <c r="CA136" s="63" t="inlineStr">
        <is>
          <t>P/E: n/m — loss-making at IPO (use P/S) · range low: cap-only pricing — the filing publishes a Maximum Offer Price and no indicative floor · A/H: no A-share listing · grey market: no grey-market headline on file for this deal — AAStocks publishes one per listing but keeps only recent items on the stock's news page, and no public archive of past evening sessions exists; captured from this run onward</t>
        </is>
      </c>
    </row>
    <row r="137" ht="15" customHeight="1">
      <c r="A137" s="62" t="inlineStr">
        <is>
          <t>2350</t>
        </is>
      </c>
      <c r="B137" s="63" t="inlineStr">
        <is>
          <t>MTT GROUP</t>
        </is>
      </c>
      <c r="C137" s="63" t="inlineStr">
        <is>
          <t>數科集團</t>
        </is>
      </c>
      <c r="D137" s="63" t="inlineStr">
        <is>
          <t>Industrials</t>
        </is>
      </c>
      <c r="E137" s="63" t="inlineStr">
        <is>
          <t>Construction / engineering</t>
        </is>
      </c>
      <c r="F137" s="63" t="inlineStr">
        <is>
          <t>IT Products Distributors</t>
        </is>
      </c>
      <c r="G137" s="63" t="inlineStr">
        <is>
          <t>Standard</t>
        </is>
      </c>
      <c r="H137" s="64" t="n">
        <v>44830</v>
      </c>
      <c r="I137" s="65" t="n">
        <v>119.5</v>
      </c>
      <c r="J137" s="63" t="inlineStr">
        <is>
          <t>gross (price x shares)</t>
        </is>
      </c>
      <c r="K137" s="66" t="n"/>
      <c r="L137" s="66" t="n">
        <v>0.85</v>
      </c>
      <c r="M137" s="66" t="n">
        <v>0.85</v>
      </c>
      <c r="N137" s="63" t="inlineStr">
        <is>
          <t>Y</t>
        </is>
      </c>
      <c r="O137" s="67" t="n">
        <v>100</v>
      </c>
      <c r="P137" s="67" t="n"/>
      <c r="Q137" s="68" t="n">
        <v>518.8</v>
      </c>
      <c r="R137" s="63" t="inlineStr">
        <is>
          <t>aastocks:上市市值 at the struck price</t>
        </is>
      </c>
      <c r="S137" s="69" t="n">
        <v>151.3</v>
      </c>
      <c r="T137" s="70" t="n">
        <v>1.1</v>
      </c>
      <c r="U137" s="71" t="n">
        <v>27.6</v>
      </c>
      <c r="V137" s="68" t="n">
        <v>86.52</v>
      </c>
      <c r="W137" s="68" t="n">
        <v>101812500</v>
      </c>
      <c r="X137" s="67" t="n">
        <v>16.68</v>
      </c>
      <c r="Y137" s="63" t="inlineStr">
        <is>
          <t>ATNT Group Management Limited; EC InfoTech Limited; Mr. Cheng Wan Wai; Mr. Hung Kwong Yee; Wong Cheuk Tim, Timothy</t>
        </is>
      </c>
      <c r="Z137" s="63" t="inlineStr">
        <is>
          <t>atnt;ec;mr-cheng;mr-hung;wong</t>
        </is>
      </c>
      <c r="AA137" s="67" t="n"/>
      <c r="AB137" s="72" t="n"/>
      <c r="AC137" s="66" t="n"/>
      <c r="AD137" s="72" t="n"/>
      <c r="AE137" s="63" t="n"/>
      <c r="AF137" s="63" t="n"/>
      <c r="AG137" s="63" t="inlineStr">
        <is>
          <t>lapsed (no over-allocation)</t>
        </is>
      </c>
      <c r="AH137" s="63" t="n"/>
      <c r="AI137" s="63" t="inlineStr">
        <is>
          <t>Innovax Securities</t>
        </is>
      </c>
      <c r="AJ137" s="63" t="inlineStr">
        <is>
          <t>Innovax</t>
        </is>
      </c>
      <c r="AK137" s="73" t="n">
        <v>-27.06</v>
      </c>
      <c r="AL137" s="72" t="n">
        <v>5.88</v>
      </c>
      <c r="AM137" s="72" t="n">
        <v>-31.11</v>
      </c>
      <c r="AN137" s="72" t="n">
        <v>-34.12</v>
      </c>
      <c r="AO137" s="72" t="n">
        <v>-41.18</v>
      </c>
      <c r="AP137" s="72" t="n">
        <v>-54.12</v>
      </c>
      <c r="AQ137" s="72" t="n">
        <v>-9.68</v>
      </c>
      <c r="AR137" s="72" t="n">
        <v>-19.36</v>
      </c>
      <c r="AS137" s="72" t="n">
        <v>-37.1</v>
      </c>
      <c r="AT137" s="72" t="n">
        <v>-31.16</v>
      </c>
      <c r="AU137" s="72" t="n">
        <v>-25.58</v>
      </c>
      <c r="AV137" s="72" t="n">
        <v>-63.72</v>
      </c>
      <c r="AW137" s="72" t="n">
        <v>-2.79</v>
      </c>
      <c r="AX137" s="72" t="n">
        <v>-15.6</v>
      </c>
      <c r="AY137" s="72" t="n">
        <v>-16.57</v>
      </c>
      <c r="AZ137" s="63" t="inlineStr">
        <is>
          <t>Hang Seng Commerce &amp; Industry sub-index</t>
        </is>
      </c>
      <c r="BA137" s="72" t="n">
        <v>-18.82</v>
      </c>
      <c r="BB137" s="64" t="inlineStr">
        <is>
          <t>2026-08-28</t>
        </is>
      </c>
      <c r="BC137" s="65" t="n">
        <v>631.5</v>
      </c>
      <c r="BD137" s="68" t="n">
        <v>47.3</v>
      </c>
      <c r="BE137" s="63" t="inlineStr">
        <is>
          <t>Y</t>
        </is>
      </c>
      <c r="BF137" s="74" t="n">
        <v>11</v>
      </c>
      <c r="BG137" s="74" t="n"/>
      <c r="BH137" s="74" t="n"/>
      <c r="BI137" s="74" t="n">
        <v>0.8</v>
      </c>
      <c r="BJ137" s="75">
        <f>IF('BBG Verify'!S137="","not filed — run on terminal",'BBG Verify'!S137)</f>
        <v/>
      </c>
      <c r="BK137" s="76" t="inlineStr">
        <is>
          <t>N</t>
        </is>
      </c>
      <c r="BL137" s="77">
        <f>IF('BBG Verify'!K137="","not filed — run on terminal",'BBG Verify'!K137)</f>
        <v/>
      </c>
      <c r="BM137" s="63" t="inlineStr">
        <is>
          <t>N/A</t>
        </is>
      </c>
      <c r="BN137" s="63" t="inlineStr">
        <is>
          <t>N/A</t>
        </is>
      </c>
      <c r="BO137" s="63" t="inlineStr">
        <is>
          <t>N/A</t>
        </is>
      </c>
      <c r="BP137" s="63" t="inlineStr">
        <is>
          <t>N/A</t>
        </is>
      </c>
      <c r="BQ137" s="63" t="inlineStr">
        <is>
          <t>N/A</t>
        </is>
      </c>
      <c r="BR137" s="63" t="inlineStr">
        <is>
          <t>N/A</t>
        </is>
      </c>
      <c r="BS137" s="76" t="n"/>
      <c r="BT137" s="63" t="inlineStr">
        <is>
          <t>Innovax Capital Limited</t>
        </is>
      </c>
      <c r="BU137" s="63" t="inlineStr">
        <is>
          <t>Canfield Securities Company Limited; China PA Securities (Hong Kong) Company Limited; Innovax Securities Limited; Sinomax Securities Limited</t>
        </is>
      </c>
      <c r="BV137" s="63" t="inlineStr">
        <is>
          <t>Canfield Securities Company Limited; China PA Securities (Hong Kong) Company Limited; Innovax Securities Limited; Sinomax Securities Limited</t>
        </is>
      </c>
      <c r="BW137" s="78">
        <f>HYPERLINK("https://www1.hkexnews.hk/listedco/listconews/sehk/2022/0913/2022091300024.htm","prospectus")</f>
        <v/>
      </c>
      <c r="BX137" s="78">
        <f>HYPERLINK("https://www1.hkexnews.hk/listedco/listconews/sehk/2022/0923/2022092300212.htm","allotment")</f>
        <v/>
      </c>
      <c r="BY137" s="78">
        <f>HYPERLINK("https://www1.hkexnews.hk/listedco/listconews/sehk/2022/1017/2022101700385.pdf","stabilisation")</f>
        <v/>
      </c>
      <c r="BZ137" s="76" t="n"/>
      <c r="CA137" s="63" t="inlineStr">
        <is>
          <t>greenshoe: over-allotment outcome already published, and the allotment announcement does not state the stabilisation expiry in a parsable form — the expiry no longer matters once resolved · price range: fixed-price offering (no indicative range) · range low: cap-only pricing — the filing publishes a Maximum Offer Price and no indicative floor · A/H: no A-share listing · returns: price returns exclude the entitlement value of: 2026-06-15 rights 2-for-5 @ HK$0.275 — Bloomberg's back-adjusted history divides by x1.246 · sponsor: English name not in the filing text; AAStocks 保薦人 shown · cornerstone: table parse read 100% but the institutional total implies 28% — parse rejected, the AAStocks institutional total used (27.6%) · greenshoe size: no over-allotment option in the offer structure · grey market: no grey-market headline on file for this deal — AAStocks publishes one per listing but keeps only recent items on the stock's news page, and no public archive of past evening sessions exists; captured from this run onward</t>
        </is>
      </c>
    </row>
    <row r="138" ht="15" customHeight="1">
      <c r="A138" s="62" t="inlineStr">
        <is>
          <t>9863</t>
        </is>
      </c>
      <c r="B138" s="63" t="inlineStr">
        <is>
          <t>LEAPMOTOR</t>
        </is>
      </c>
      <c r="C138" s="63" t="inlineStr">
        <is>
          <t>零跑汽車</t>
        </is>
      </c>
      <c r="D138" s="63" t="inlineStr">
        <is>
          <t>Consumer</t>
        </is>
      </c>
      <c r="E138" s="63" t="inlineStr">
        <is>
          <t>Autos (NEV OEM)</t>
        </is>
      </c>
      <c r="F138" s="63" t="inlineStr">
        <is>
          <t>Automobile Manufacturers</t>
        </is>
      </c>
      <c r="G138" s="63" t="inlineStr">
        <is>
          <t>Standard</t>
        </is>
      </c>
      <c r="H138" s="64" t="n">
        <v>44833</v>
      </c>
      <c r="I138" s="65" t="n">
        <v>6279.3</v>
      </c>
      <c r="J138" s="63" t="inlineStr">
        <is>
          <t>gross (price x shares)</t>
        </is>
      </c>
      <c r="K138" s="66" t="n">
        <v>48</v>
      </c>
      <c r="L138" s="66" t="n">
        <v>62</v>
      </c>
      <c r="M138" s="66" t="n">
        <v>48</v>
      </c>
      <c r="N138" s="63" t="inlineStr">
        <is>
          <t>N</t>
        </is>
      </c>
      <c r="O138" s="67" t="n">
        <v>77.40000000000001</v>
      </c>
      <c r="P138" s="67" t="n">
        <v>0</v>
      </c>
      <c r="Q138" s="68" t="n">
        <v>55081.6</v>
      </c>
      <c r="R138" s="63" t="inlineStr">
        <is>
          <t>derived:deal size / offer % of enlarged capital</t>
        </is>
      </c>
      <c r="S138" s="69" t="n">
        <v>0.16</v>
      </c>
      <c r="T138" s="70" t="n">
        <v>2.33</v>
      </c>
      <c r="U138" s="71" t="n">
        <v>29.6</v>
      </c>
      <c r="V138" s="68" t="n">
        <v>4420.63</v>
      </c>
      <c r="W138" s="68" t="n">
        <v>92096646</v>
      </c>
      <c r="X138" s="67" t="n">
        <v>8.029999999999999</v>
      </c>
      <c r="Y138" s="63" t="inlineStr">
        <is>
          <t>GF Fund Management Co., Ltd; Jinhua Industrial Fund Co., Ltd; Kwok Tai East International Group Limited; Zhejiang Industrial Fund</t>
        </is>
      </c>
      <c r="Z138" s="63" t="inlineStr">
        <is>
          <t>gf;jinhua;kwok;zhejiang</t>
        </is>
      </c>
      <c r="AA138" s="67" t="n">
        <v>14.6</v>
      </c>
      <c r="AB138" s="72" t="n"/>
      <c r="AC138" s="66" t="n"/>
      <c r="AD138" s="72" t="n"/>
      <c r="AE138" s="63" t="n"/>
      <c r="AF138" s="63" t="n"/>
      <c r="AG138" s="63" t="inlineStr">
        <is>
          <t>lapsed</t>
        </is>
      </c>
      <c r="AH138" s="63" t="inlineStr">
        <is>
          <t>2022-10-23</t>
        </is>
      </c>
      <c r="AI138" s="63" t="inlineStr">
        <is>
          <t>J.P. Morgan Securities</t>
        </is>
      </c>
      <c r="AJ138" s="63" t="inlineStr">
        <is>
          <t>JP Morgan</t>
        </is>
      </c>
      <c r="AK138" s="73" t="n">
        <v>-33.54</v>
      </c>
      <c r="AL138" s="72" t="n">
        <v>-14.58</v>
      </c>
      <c r="AM138" s="72" t="n">
        <v>-22.2</v>
      </c>
      <c r="AN138" s="72" t="n">
        <v>-48.33</v>
      </c>
      <c r="AO138" s="72" t="n">
        <v>-62.21</v>
      </c>
      <c r="AP138" s="72" t="n">
        <v>-37.08</v>
      </c>
      <c r="AQ138" s="72" t="n">
        <v>-22.25</v>
      </c>
      <c r="AR138" s="72" t="n">
        <v>-43.14</v>
      </c>
      <c r="AS138" s="72" t="n">
        <v>-5.33</v>
      </c>
      <c r="AT138" s="72" t="n">
        <v>-50.82</v>
      </c>
      <c r="AU138" s="72" t="n">
        <v>-44.05</v>
      </c>
      <c r="AV138" s="72" t="n">
        <v>-48.68</v>
      </c>
      <c r="AW138" s="72" t="n">
        <v>-25.2</v>
      </c>
      <c r="AX138" s="72" t="n">
        <v>-18.16</v>
      </c>
      <c r="AY138" s="72" t="n">
        <v>-17.94</v>
      </c>
      <c r="AZ138" s="63" t="inlineStr">
        <is>
          <t>Hang Seng Commerce &amp; Industry sub-index</t>
        </is>
      </c>
      <c r="BA138" s="72" t="n">
        <v>-19.04</v>
      </c>
      <c r="BB138" s="64" t="inlineStr">
        <is>
          <t>2026-08-28</t>
        </is>
      </c>
      <c r="BC138" s="65" t="n">
        <v>694.4</v>
      </c>
      <c r="BD138" s="68" t="n">
        <v>-3130.4</v>
      </c>
      <c r="BE138" s="63" t="inlineStr">
        <is>
          <t>N</t>
        </is>
      </c>
      <c r="BF138" s="63" t="inlineStr">
        <is>
          <t>n/m</t>
        </is>
      </c>
      <c r="BG138" s="74" t="n"/>
      <c r="BH138" s="74" t="n">
        <v>95.59999999999999</v>
      </c>
      <c r="BI138" s="74" t="n">
        <v>79.3</v>
      </c>
      <c r="BJ138" s="75">
        <f>IF('BBG Verify'!S138="","not filed — run on terminal",'BBG Verify'!S138)</f>
        <v/>
      </c>
      <c r="BK138" s="76" t="inlineStr">
        <is>
          <t>N</t>
        </is>
      </c>
      <c r="BL138" s="77">
        <f>IF('BBG Verify'!K138="","not filed — run on terminal",'BBG Verify'!K138)</f>
        <v/>
      </c>
      <c r="BM138" s="63" t="inlineStr">
        <is>
          <t>N/A</t>
        </is>
      </c>
      <c r="BN138" s="63" t="inlineStr">
        <is>
          <t>N/A</t>
        </is>
      </c>
      <c r="BO138" s="63" t="inlineStr">
        <is>
          <t>N/A</t>
        </is>
      </c>
      <c r="BP138" s="63" t="inlineStr">
        <is>
          <t>N/A</t>
        </is>
      </c>
      <c r="BQ138" s="63" t="inlineStr">
        <is>
          <t>N/A</t>
        </is>
      </c>
      <c r="BR138" s="63" t="inlineStr">
        <is>
          <t>N/A</t>
        </is>
      </c>
      <c r="BS138" s="76" t="inlineStr">
        <is>
          <t>J.P . Morgan Securities (Far East) Limited; China International Capital Corporation Hong Kong Securities Limited; Citigroup Global Markets Asia Limited; CCB International Capital Limited</t>
        </is>
      </c>
      <c r="BT138" s="63" t="inlineStr">
        <is>
          <t>China International Capital Corporation Hong Kong Securities Limited; CCB International Capital Limited; J.P. Morgan Securities (Far East) Limited; Citigroup Global Markets Asia Limited</t>
        </is>
      </c>
      <c r="BU138" s="63" t="inlineStr">
        <is>
          <t>J.P . Morgan Securities (Asia Pacific) Limited; China International Capital Corporation Hong Kong Securities Limited; Citigroup Global Markets Asia Limited; CCB International Capital Limited; China Securities (International) Corporate Finance Company Limited; J.P . Morgan Securities plc; Citigroup Global Markets Limited; London E14 5LB United Kingdom CCB International Capital Limited; Huatai Financial Holdings (Hong Kong) Limited; ABCI Capital Limited; Futu Securities International (Hong Kong) Limited</t>
        </is>
      </c>
      <c r="BV138" s="63" t="inlineStr">
        <is>
          <t>ABCI Securities Company Limited; CCB International Capital Limited; Citigroup Global Markets Asia Limited; China International Capital Corporation Hong Kong Securities Limited; CLSA Limited; China Securities (International) Corporate Finance Company Limited; Futu Securities International (Hong Kong) Limited; Huatai Financial Holdings (Hong Kong) Limited; J.P. Morgan Securities (Asia Pacific) Limited; Tiger Brokers (HK) Global Limited</t>
        </is>
      </c>
      <c r="BW138" s="78">
        <f>HYPERLINK("https://www1.hkexnews.hk/listedco/listconews/sehk/2022/0920/2022092000023.pdf","prospectus")</f>
        <v/>
      </c>
      <c r="BX138" s="78">
        <f>HYPERLINK("https://www1.hkexnews.hk/listedco/listconews/sehk/2022/0928/2022092800020.htm","allotment")</f>
        <v/>
      </c>
      <c r="BY138" s="78">
        <f>HYPERLINK("https://www1.hkexnews.hk/listedco/listconews/sehk/2022/1023/2022102300019.pdf","stabilisation")</f>
        <v/>
      </c>
      <c r="BZ138" s="76" t="n"/>
      <c r="CA138" s="63" t="inlineStr">
        <is>
          <t>P/E: n/m — loss-making at IPO (use P/S) · A/H: no A-share listing · grey market: no grey-market headline on file for this deal — AAStocks publishes one per listing but keeps only recent items on the stock's news page, and no public archive of past evening sessions exists; captured from this run onward</t>
        </is>
      </c>
    </row>
    <row r="139" ht="15" customHeight="1">
      <c r="A139" s="62" t="inlineStr">
        <is>
          <t>2602</t>
        </is>
      </c>
      <c r="B139" s="63" t="inlineStr">
        <is>
          <t>ONEWO</t>
        </is>
      </c>
      <c r="C139" s="63" t="inlineStr">
        <is>
          <t>萬物雲</t>
        </is>
      </c>
      <c r="D139" s="63" t="inlineStr">
        <is>
          <t>Real Estate</t>
        </is>
      </c>
      <c r="E139" s="63" t="inlineStr">
        <is>
          <t>Property management</t>
        </is>
      </c>
      <c r="F139" s="63" t="inlineStr">
        <is>
          <t>Property Service and Management</t>
        </is>
      </c>
      <c r="G139" s="63" t="inlineStr">
        <is>
          <t>Standard</t>
        </is>
      </c>
      <c r="H139" s="64" t="n">
        <v>44833</v>
      </c>
      <c r="I139" s="65" t="n">
        <v>5759.8</v>
      </c>
      <c r="J139" s="63" t="inlineStr">
        <is>
          <t>gross (price x shares)</t>
        </is>
      </c>
      <c r="K139" s="66" t="n">
        <v>47.1</v>
      </c>
      <c r="L139" s="66" t="n">
        <v>52.7</v>
      </c>
      <c r="M139" s="66" t="n">
        <v>49.35</v>
      </c>
      <c r="N139" s="63" t="inlineStr">
        <is>
          <t>N</t>
        </is>
      </c>
      <c r="O139" s="67" t="n">
        <v>93.59999999999999</v>
      </c>
      <c r="P139" s="67" t="n">
        <v>40.2</v>
      </c>
      <c r="Q139" s="68" t="n">
        <v>61685.8</v>
      </c>
      <c r="R139" s="63" t="inlineStr">
        <is>
          <t>aastocks:上市市值 at the struck price</t>
        </is>
      </c>
      <c r="S139" s="69" t="n">
        <v>0.82</v>
      </c>
      <c r="T139" s="70" t="n">
        <v>3.3</v>
      </c>
      <c r="U139" s="71" t="n">
        <v>37.56</v>
      </c>
      <c r="V139" s="68" t="n">
        <v>3596.42</v>
      </c>
      <c r="W139" s="68" t="n">
        <v>72876222</v>
      </c>
      <c r="X139" s="67" t="n">
        <v>5.83</v>
      </c>
      <c r="Y139" s="63" t="inlineStr">
        <is>
          <t>Athos Asia Event Driven Master Fund; Cephei QFII China Total Return Fund Ltd; China Chengtong Investment Company Limited; HHLR Fund, L.P.; YHG Investment, L.P; The China State-owned Enterprise Mixed Ownership Reform Fund Co., Ltd; UBS Asset Management (Singapore) Ltd</t>
        </is>
      </c>
      <c r="Z139" s="63" t="inlineStr">
        <is>
          <t>athos;cephei;chengtong;hhlr;yhg;state-owned;ubs</t>
        </is>
      </c>
      <c r="AA139" s="67" t="n">
        <v>10</v>
      </c>
      <c r="AB139" s="72" t="n"/>
      <c r="AC139" s="66" t="n"/>
      <c r="AD139" s="72" t="n"/>
      <c r="AE139" s="63" t="n"/>
      <c r="AF139" s="63" t="n"/>
      <c r="AG139" s="63" t="inlineStr">
        <is>
          <t>partial</t>
        </is>
      </c>
      <c r="AH139" s="63" t="inlineStr">
        <is>
          <t>2022-10-22</t>
        </is>
      </c>
      <c r="AI139" s="63" t="inlineStr">
        <is>
          <t>Goldman Sachs</t>
        </is>
      </c>
      <c r="AJ139" s="63" t="inlineStr">
        <is>
          <t>Goldman Sachs</t>
        </is>
      </c>
      <c r="AK139" s="73" t="n">
        <v>-6.79</v>
      </c>
      <c r="AL139" s="72" t="n">
        <v>-7.6</v>
      </c>
      <c r="AM139" s="72" t="n">
        <v>0.88</v>
      </c>
      <c r="AN139" s="72" t="n">
        <v>-11.65</v>
      </c>
      <c r="AO139" s="72" t="n">
        <v>-39.72</v>
      </c>
      <c r="AP139" s="72" t="n">
        <v>-0.61</v>
      </c>
      <c r="AQ139" s="72" t="n">
        <v>-5.21</v>
      </c>
      <c r="AR139" s="72" t="n">
        <v>-35.33</v>
      </c>
      <c r="AS139" s="72" t="n">
        <v>6.63</v>
      </c>
      <c r="AT139" s="72" t="n">
        <v>-12.68</v>
      </c>
      <c r="AU139" s="72" t="n">
        <v>-20.53</v>
      </c>
      <c r="AV139" s="72" t="n">
        <v>-13.61</v>
      </c>
      <c r="AW139" s="72" t="n">
        <v>-17.65</v>
      </c>
      <c r="AX139" s="72" t="n">
        <v>-19.19</v>
      </c>
      <c r="AY139" s="72" t="n">
        <v>-17.68</v>
      </c>
      <c r="AZ139" s="63" t="inlineStr">
        <is>
          <t>Hang Seng Properties sub-index</t>
        </is>
      </c>
      <c r="BA139" s="72" t="n">
        <v>-60.63</v>
      </c>
      <c r="BB139" s="64" t="inlineStr">
        <is>
          <t>2026-08-28</t>
        </is>
      </c>
      <c r="BC139" s="65" t="n">
        <v>26075</v>
      </c>
      <c r="BD139" s="68" t="n">
        <v>1885.7</v>
      </c>
      <c r="BE139" s="63" t="inlineStr">
        <is>
          <t>Y</t>
        </is>
      </c>
      <c r="BF139" s="74" t="n">
        <v>32.7</v>
      </c>
      <c r="BG139" s="74" t="n">
        <v>24.2</v>
      </c>
      <c r="BH139" s="74" t="n">
        <v>26</v>
      </c>
      <c r="BI139" s="74" t="n">
        <v>2.4</v>
      </c>
      <c r="BJ139" s="75">
        <f>IF('BBG Verify'!S139="","not filed — run on terminal",'BBG Verify'!S139)</f>
        <v/>
      </c>
      <c r="BK139" s="76" t="inlineStr">
        <is>
          <t>N</t>
        </is>
      </c>
      <c r="BL139" s="77">
        <f>IF('BBG Verify'!K139="","not filed — run on terminal",'BBG Verify'!K139)</f>
        <v/>
      </c>
      <c r="BM139" s="63" t="inlineStr">
        <is>
          <t>N/A</t>
        </is>
      </c>
      <c r="BN139" s="63" t="inlineStr">
        <is>
          <t>N/A</t>
        </is>
      </c>
      <c r="BO139" s="63" t="inlineStr">
        <is>
          <t>N/A</t>
        </is>
      </c>
      <c r="BP139" s="63" t="inlineStr">
        <is>
          <t>N/A</t>
        </is>
      </c>
      <c r="BQ139" s="63" t="inlineStr">
        <is>
          <t>N/A</t>
        </is>
      </c>
      <c r="BR139" s="63" t="inlineStr">
        <is>
          <t>N/A</t>
        </is>
      </c>
      <c r="BS139" s="76" t="inlineStr">
        <is>
          <t>CLSA Capital Markets Limited; Citigroup Global Markets Asia Limited; Goldman Sachs (Asia) L.L.C; CLSA Limited</t>
        </is>
      </c>
      <c r="BT139" s="63" t="inlineStr">
        <is>
          <t>Goldman Sachs (Asia) L.L.C.; CLSA Capital Markets Limited; Citigroup Global Markets Asia Limited</t>
        </is>
      </c>
      <c r="BU139" s="63" t="inlineStr">
        <is>
          <t>CLSA Limited; Citigroup Global Markets Asia Limited; Goldman Sachs (Asia) L.L.C; CMB International Capital Limited; ICBC International Capital Limited; Citigroup Global Markets Limited; Canary Wharf London E14 5LB United Kingdom Goldman Sachs (Asia) L.L.C; ICBC International Securities Limited</t>
        </is>
      </c>
      <c r="BV139" s="63" t="inlineStr">
        <is>
          <t>ABCI Securities Company Limited; BOCI Asia Limited; CCB International Capital Limited; Citigroup Global Markets Asia Limited; CLSA Limited; CMB International Capital Limited; Goldman Sachs (Asia) L.L.C.; Guosen Securities (HK) Capital Company Limited; ICBC International Securities Limited</t>
        </is>
      </c>
      <c r="BW139" s="78">
        <f>HYPERLINK("https://www1.hkexnews.hk/listedco/listconews/sehk/2022/0919/2022091900009.pdf","prospectus")</f>
        <v/>
      </c>
      <c r="BX139" s="78">
        <f>HYPERLINK("https://www1.hkexnews.hk/listedco/listconews/sehk/2022/0928/2022092800042.htm","allotment")</f>
        <v/>
      </c>
      <c r="BY139" s="78">
        <f>HYPERLINK("https://www1.hkexnews.hk/listedco/listconews/sehk/2022/1023/2022102300033.pdf","stabilisation")</f>
        <v/>
      </c>
      <c r="BZ139" s="76" t="n"/>
      <c r="CA139" s="63" t="inlineStr">
        <is>
          <t>A/H: no A-share listing · market cap: estimate from stated market capitalisation disagreed with the published listing cap — published figure adopted · grey market: no grey-market headline on file for this deal — AAStocks publishes one per listing but keeps only recent items on the stock's news page, and no public archive of past evening sessions exists; captured from this run onward</t>
        </is>
      </c>
    </row>
    <row r="140" ht="15" customHeight="1">
      <c r="A140" s="62" t="inlineStr">
        <is>
          <t>6660</t>
        </is>
      </c>
      <c r="B140" s="63" t="inlineStr">
        <is>
          <t>AIM VACCINE</t>
        </is>
      </c>
      <c r="C140" s="63" t="inlineStr">
        <is>
          <t>艾美疫苗</t>
        </is>
      </c>
      <c r="D140" s="63" t="inlineStr">
        <is>
          <t>Healthcare</t>
        </is>
      </c>
      <c r="E140" s="63" t="inlineStr">
        <is>
          <t>Biopharma commercial</t>
        </is>
      </c>
      <c r="F140" s="63" t="inlineStr">
        <is>
          <t>Biotechnology - Pharmaceuticals</t>
        </is>
      </c>
      <c r="G140" s="63" t="inlineStr">
        <is>
          <t>Standard</t>
        </is>
      </c>
      <c r="H140" s="64" t="n">
        <v>44840</v>
      </c>
      <c r="I140" s="65" t="n">
        <v>157</v>
      </c>
      <c r="J140" s="63" t="inlineStr">
        <is>
          <t>gross (price x shares)</t>
        </is>
      </c>
      <c r="K140" s="66" t="n"/>
      <c r="L140" s="66" t="n">
        <v>16.16</v>
      </c>
      <c r="M140" s="66" t="n">
        <v>16.16</v>
      </c>
      <c r="N140" s="63" t="inlineStr">
        <is>
          <t>Y</t>
        </is>
      </c>
      <c r="O140" s="67" t="n">
        <v>100</v>
      </c>
      <c r="P140" s="67" t="n"/>
      <c r="Q140" s="68" t="n">
        <v>19549</v>
      </c>
      <c r="R140" s="63" t="inlineStr">
        <is>
          <t>prospectus:stated market capitalisation</t>
        </is>
      </c>
      <c r="S140" s="69" t="n">
        <v>3.15</v>
      </c>
      <c r="T140" s="70" t="n">
        <v>3.27</v>
      </c>
      <c r="U140" s="71" t="n">
        <v>0</v>
      </c>
      <c r="V140" s="68" t="n">
        <v>157</v>
      </c>
      <c r="W140" s="68" t="n">
        <v>9714000</v>
      </c>
      <c r="X140" s="67" t="n">
        <v>0.8</v>
      </c>
      <c r="Y140" s="63" t="n"/>
      <c r="Z140" s="63" t="n"/>
      <c r="AA140" s="67" t="n">
        <v>20</v>
      </c>
      <c r="AB140" s="72" t="n"/>
      <c r="AC140" s="66" t="n"/>
      <c r="AD140" s="72" t="n"/>
      <c r="AE140" s="63" t="n"/>
      <c r="AF140" s="63" t="n"/>
      <c r="AG140" s="63" t="inlineStr">
        <is>
          <t>partial</t>
        </is>
      </c>
      <c r="AH140" s="63" t="inlineStr">
        <is>
          <t>2022-10-28</t>
        </is>
      </c>
      <c r="AI140" s="63" t="inlineStr">
        <is>
          <t>Goldman Sachs</t>
        </is>
      </c>
      <c r="AJ140" s="63" t="inlineStr">
        <is>
          <t>Goldman Sachs</t>
        </is>
      </c>
      <c r="AK140" s="73" t="n">
        <v>3.09</v>
      </c>
      <c r="AL140" s="72" t="n">
        <v>-7.18</v>
      </c>
      <c r="AM140" s="72" t="n">
        <v>11.06</v>
      </c>
      <c r="AN140" s="72" t="n">
        <v>3.71</v>
      </c>
      <c r="AO140" s="72" t="n">
        <v>77.59999999999999</v>
      </c>
      <c r="AP140" s="72" t="n">
        <v>54.7</v>
      </c>
      <c r="AQ140" s="72" t="n">
        <v>0.6</v>
      </c>
      <c r="AR140" s="72" t="n">
        <v>72.28</v>
      </c>
      <c r="AS140" s="72" t="n">
        <v>50.06</v>
      </c>
      <c r="AT140" s="72" t="n">
        <v>7.04</v>
      </c>
      <c r="AU140" s="72" t="n">
        <v>65.25</v>
      </c>
      <c r="AV140" s="72" t="n">
        <v>35.21</v>
      </c>
      <c r="AW140" s="72" t="n">
        <v>58.37</v>
      </c>
      <c r="AX140" s="72" t="n">
        <v>12.35</v>
      </c>
      <c r="AY140" s="72" t="n">
        <v>13.91</v>
      </c>
      <c r="AZ140" s="63" t="inlineStr">
        <is>
          <t>China Biotech ETF (HS biotech proxy)</t>
        </is>
      </c>
      <c r="BA140" s="72" t="n">
        <v>-89.11</v>
      </c>
      <c r="BB140" s="64" t="inlineStr">
        <is>
          <t>2026-08-28</t>
        </is>
      </c>
      <c r="BC140" s="65" t="n">
        <v>1727.1</v>
      </c>
      <c r="BD140" s="68" t="n">
        <v>-667.4</v>
      </c>
      <c r="BE140" s="63" t="inlineStr">
        <is>
          <t>N</t>
        </is>
      </c>
      <c r="BF140" s="63" t="inlineStr">
        <is>
          <t>n/m</t>
        </is>
      </c>
      <c r="BG140" s="74" t="n"/>
      <c r="BH140" s="74" t="n"/>
      <c r="BI140" s="74" t="n">
        <v>11.3</v>
      </c>
      <c r="BJ140" s="75">
        <f>IF('BBG Verify'!S140="","not filed — run on terminal",'BBG Verify'!S140)</f>
        <v/>
      </c>
      <c r="BK140" s="76" t="inlineStr">
        <is>
          <t>N</t>
        </is>
      </c>
      <c r="BL140" s="77">
        <f>IF('BBG Verify'!K140="","not filed — run on terminal",'BBG Verify'!K140)</f>
        <v/>
      </c>
      <c r="BM140" s="63" t="inlineStr">
        <is>
          <t>N/A</t>
        </is>
      </c>
      <c r="BN140" s="63" t="inlineStr">
        <is>
          <t>N/A</t>
        </is>
      </c>
      <c r="BO140" s="63" t="inlineStr">
        <is>
          <t>N/A</t>
        </is>
      </c>
      <c r="BP140" s="63" t="inlineStr">
        <is>
          <t>N/A</t>
        </is>
      </c>
      <c r="BQ140" s="63" t="inlineStr">
        <is>
          <t>N/A</t>
        </is>
      </c>
      <c r="BR140" s="63" t="inlineStr">
        <is>
          <t>N/A</t>
        </is>
      </c>
      <c r="BS140" s="76" t="inlineStr">
        <is>
          <t>Goldman Sachs (Asia) L.L.C; China International Capital Corporation Hong Kong Securities Limited; China Securities (International) Corporate Finance Company Limited; Macquarie Capital Limited</t>
        </is>
      </c>
      <c r="BT140" s="63" t="inlineStr">
        <is>
          <t>China International Capital Corporation Hong Kong Securities Limited; Goldman Sachs (Asia) L.L.C.; China Securities (International) Corporate Finance Company Limited; Macquarie Capital Limited</t>
        </is>
      </c>
      <c r="BU140" s="63" t="inlineStr">
        <is>
          <t>Goldman Sachs (Asia) L.L.C; China International Capital Corporation Hong Kong Securities Limited; China Securities (International) Corporate Finance Company Limited; Macquarie Capital Limited; ICBC International Capital Limited; CMB International Capital Limited; Futu Securities International (Hong Kong) Limited; Tiger Brokers (HK) Global Limited</t>
        </is>
      </c>
      <c r="BV140" s="63" t="inlineStr">
        <is>
          <t>BOCI Asia Limited; China International Capital Corporation Hong Kong Securities Limited; CMB International Capital Limited; China Securities (International) Corporate Finance Company Limited; Futu Securities International (Hong Kong) Limited; Goldman Sachs (Asia) L.L.C.; ICBC International Securities Limited; Livermore Holdings Limited; Macquarie Capital Limited; Tiger Brokers (HK) Global Limited</t>
        </is>
      </c>
      <c r="BW140" s="78">
        <f>HYPERLINK("https://www1.hkexnews.hk/listedco/listconews/sehk/2022/0923/2022092300031.pdf","prospectus")</f>
        <v/>
      </c>
      <c r="BX140" s="78">
        <f>HYPERLINK("https://www1.hkexnews.hk/listedco/listconews/sehk/2022/1005/2022100500006.htm","allotment")</f>
        <v/>
      </c>
      <c r="BY140" s="78">
        <f>HYPERLINK("https://www1.hkexnews.hk/listedco/listconews/sehk/2022/1028/2022102802169.pdf","stabilisation")</f>
        <v/>
      </c>
      <c r="BZ140" s="76" t="n"/>
      <c r="CA140" s="63" t="inlineStr">
        <is>
          <t>P/E: n/m — loss-making at IPO (use P/S) · range low: cap-only pricing — the filing publishes a Maximum Offer Price and no indicative floor · A/H: no A-share listing · cornerstone list: no cornerstone tranche in this deal · grey market: no grey-market headline on file for this deal — AAStocks publishes one per listing but keeps only recent items on the stock's news page, and no public archive of past evening sessions exists; captured from this run onward</t>
        </is>
      </c>
    </row>
    <row r="141" ht="15" customHeight="1">
      <c r="A141" s="62" t="inlineStr">
        <is>
          <t>3931</t>
        </is>
      </c>
      <c r="B141" s="63" t="inlineStr">
        <is>
          <t>CALB</t>
        </is>
      </c>
      <c r="C141" s="63" t="inlineStr">
        <is>
          <t>中創新航</t>
        </is>
      </c>
      <c r="D141" s="63" t="inlineStr">
        <is>
          <t>Industrials</t>
        </is>
      </c>
      <c r="E141" s="63" t="inlineStr">
        <is>
          <t>Batteries / energy storage</t>
        </is>
      </c>
      <c r="F141" s="63" t="inlineStr">
        <is>
          <t>Battery Products</t>
        </is>
      </c>
      <c r="G141" s="63" t="inlineStr">
        <is>
          <t>Standard</t>
        </is>
      </c>
      <c r="H141" s="64" t="n">
        <v>44840</v>
      </c>
      <c r="I141" s="65" t="n">
        <v>9863.9</v>
      </c>
      <c r="J141" s="63" t="inlineStr">
        <is>
          <t>net proceeds</t>
        </is>
      </c>
      <c r="K141" s="66" t="n">
        <v>38</v>
      </c>
      <c r="L141" s="66" t="n">
        <v>51</v>
      </c>
      <c r="M141" s="66" t="n">
        <v>38</v>
      </c>
      <c r="N141" s="63" t="inlineStr">
        <is>
          <t>N</t>
        </is>
      </c>
      <c r="O141" s="67" t="n">
        <v>74.5</v>
      </c>
      <c r="P141" s="67" t="n">
        <v>0</v>
      </c>
      <c r="Q141" s="68" t="n">
        <v>67347.5</v>
      </c>
      <c r="R141" s="63" t="inlineStr">
        <is>
          <t>prospectus:stated market capitalisation</t>
        </is>
      </c>
      <c r="S141" s="69" t="n">
        <v>0.21</v>
      </c>
      <c r="T141" s="70" t="n">
        <v>2.11</v>
      </c>
      <c r="U141" s="71" t="n">
        <v>58.7</v>
      </c>
      <c r="V141" s="68" t="n">
        <v>4073.79</v>
      </c>
      <c r="W141" s="68" t="n"/>
      <c r="X141" s="67" t="n">
        <v>6.05</v>
      </c>
      <c r="Y141" s="63" t="inlineStr">
        <is>
          <t>Changzhou Jingce New Energy Tech Co., Ltd; CNGR Hong Kong Material Science &amp; Technology Co., Limited; Hans Laser Technology Co., Limited; Hefei Beicheng Construction Investment (Group) Company Limited; Jiangmen New Energy; Jiangsu Pure Precision Technology Co., Ltd; Lv Lizhi; Tianqi Lithium HK Co., Limited; Tibet Nord Technology Co., Ltd; TMA International PTE. LTD; Wang Sing International Resources Limited; XING FA (HONG KONG) IMP.&amp;EXP. LIMITED; XPeng Inc; Zhenshi Group (HK) Heshi Composite Materials Co., Limited</t>
        </is>
      </c>
      <c r="Z141" s="63" t="inlineStr">
        <is>
          <t>changzhou;cngr;hans;hefei;jiangmen;jiangsu;lv;tianqi;tibet;tma;wang-sing;xing;xpeng;zhenshi</t>
        </is>
      </c>
      <c r="AA141" s="67" t="n">
        <v>14.32</v>
      </c>
      <c r="AB141" s="72" t="n"/>
      <c r="AC141" s="66" t="n"/>
      <c r="AD141" s="72" t="n"/>
      <c r="AE141" s="63" t="n"/>
      <c r="AF141" s="63" t="n"/>
      <c r="AG141" s="63" t="inlineStr">
        <is>
          <t>lapsed</t>
        </is>
      </c>
      <c r="AH141" s="63" t="inlineStr">
        <is>
          <t>2022-10-28</t>
        </is>
      </c>
      <c r="AI141" s="63" t="inlineStr">
        <is>
          <t>Huatai Financial Holdings</t>
        </is>
      </c>
      <c r="AJ141" s="63" t="inlineStr">
        <is>
          <t>Huatai</t>
        </is>
      </c>
      <c r="AK141" s="73" t="n">
        <v>0</v>
      </c>
      <c r="AL141" s="72" t="n">
        <v>0</v>
      </c>
      <c r="AM141" s="72" t="n">
        <v>0</v>
      </c>
      <c r="AN141" s="72" t="n">
        <v>-2.63</v>
      </c>
      <c r="AO141" s="72" t="n">
        <v>-37.76</v>
      </c>
      <c r="AP141" s="72" t="n">
        <v>-45.79</v>
      </c>
      <c r="AQ141" s="72" t="n">
        <v>-2.63</v>
      </c>
      <c r="AR141" s="72" t="n">
        <v>-37.76</v>
      </c>
      <c r="AS141" s="72" t="n">
        <v>-45.79</v>
      </c>
      <c r="AT141" s="72" t="n">
        <v>8.5</v>
      </c>
      <c r="AU141" s="72" t="n">
        <v>-26.11</v>
      </c>
      <c r="AV141" s="72" t="n">
        <v>-60.24</v>
      </c>
      <c r="AW141" s="72" t="n">
        <v>-26.44</v>
      </c>
      <c r="AX141" s="72" t="n">
        <v>-11.65</v>
      </c>
      <c r="AY141" s="72" t="n">
        <v>-11.32</v>
      </c>
      <c r="AZ141" s="63" t="inlineStr">
        <is>
          <t>Hang Seng Commerce &amp; Industry sub-index</t>
        </is>
      </c>
      <c r="BA141" s="72" t="n">
        <v>-52.24</v>
      </c>
      <c r="BB141" s="64" t="inlineStr">
        <is>
          <t>2026-08-28</t>
        </is>
      </c>
      <c r="BC141" s="65" t="n">
        <v>7498.8</v>
      </c>
      <c r="BD141" s="68" t="n"/>
      <c r="BE141" s="63" t="inlineStr">
        <is>
          <t>Y</t>
        </is>
      </c>
      <c r="BF141" s="75">
        <f>IF('BBG Verify'!O141="","not filed — run on terminal",'BBG Verify'!O141)</f>
        <v/>
      </c>
      <c r="BG141" s="74" t="n"/>
      <c r="BH141" s="74" t="n">
        <v>20.7</v>
      </c>
      <c r="BI141" s="74" t="n">
        <v>9</v>
      </c>
      <c r="BJ141" s="75">
        <f>IF('BBG Verify'!S141="","not filed — run on terminal",'BBG Verify'!S141)</f>
        <v/>
      </c>
      <c r="BK141" s="76" t="inlineStr">
        <is>
          <t>N</t>
        </is>
      </c>
      <c r="BL141" s="77">
        <f>IF('BBG Verify'!K141="","not filed — run on terminal",'BBG Verify'!K141)</f>
        <v/>
      </c>
      <c r="BM141" s="63" t="inlineStr">
        <is>
          <t>N/A</t>
        </is>
      </c>
      <c r="BN141" s="63" t="inlineStr">
        <is>
          <t>N/A</t>
        </is>
      </c>
      <c r="BO141" s="63" t="inlineStr">
        <is>
          <t>N/A</t>
        </is>
      </c>
      <c r="BP141" s="63" t="inlineStr">
        <is>
          <t>N/A</t>
        </is>
      </c>
      <c r="BQ141" s="63" t="inlineStr">
        <is>
          <t>N/A</t>
        </is>
      </c>
      <c r="BR141" s="63" t="inlineStr">
        <is>
          <t>N/A</t>
        </is>
      </c>
      <c r="BS141" s="76" t="inlineStr">
        <is>
          <t>OC Huatai Financial Holdings (Hong Kong) Limited</t>
        </is>
      </c>
      <c r="BT141" s="63" t="inlineStr">
        <is>
          <t>Huatai Financial Holdings (Hong Kong) Limited</t>
        </is>
      </c>
      <c r="BU141" s="63" t="inlineStr">
        <is>
          <t>Huatai Financial Holdings (Hong Kong) Limited; J.P. Morgan Securities (Asia Pacific) Limited; Citigroup Global Markets Asia Limited</t>
        </is>
      </c>
      <c r="BV141" s="63" t="inlineStr">
        <is>
          <t>Citigroup Global Markets Asia Limited; Credit Suisse (Hong Kong) Limited; Futu Securities International (Hong Kong) Limited; Huatai Financial Holdings (Hong Kong) Limited; J.P. Morgan Securities (Asia Pacific) Limited</t>
        </is>
      </c>
      <c r="BW141" s="78">
        <f>HYPERLINK("https://www1.hkexnews.hk/listedco/listconews/sehk/2022/0923/2022092300035.pdf","prospectus")</f>
        <v/>
      </c>
      <c r="BX141" s="78">
        <f>HYPERLINK("https://www1.hkexnews.hk/listedco/listconews/sehk/2022/1005/2022100500028.htm","allotment")</f>
        <v/>
      </c>
      <c r="BY141" s="78">
        <f>HYPERLINK("https://www1.hkexnews.hk/listedco/listconews/sehk/2022/1028/2022102801659.pdf","stabilisation")</f>
        <v/>
      </c>
      <c r="BZ141" s="76" t="n"/>
      <c r="CA141" s="63" t="inlineStr">
        <is>
          <t>P/E: withheld — mktcap / net income gives 549x, which fails the 300x plausibility check; the extracted net income (HK$122.7m) is not trustworthy · A/H: no A-share listing · cornerstone: table parse read 93% but the institutional total implies 58% — parse rejected, the filed aggregate-amount sentence used (58.7%) · financials: financial tables not machine-extractable and the pre-IPO year is outside AAStocks' 5-year window · grey market: no grey-market headline on file for this deal — AAStocks publishes one per listing but keeps only recent items on the stock's news page, and no public archive of past evening sessions exists; captured from this run onward · eff float shares: share count unavailable or rejected as implausible — the money figure (eff_free_float_hkdm) is still exact</t>
        </is>
      </c>
    </row>
    <row r="142" ht="15" customHeight="1">
      <c r="A142" s="62" t="inlineStr">
        <is>
          <t>9877</t>
        </is>
      </c>
      <c r="B142" s="63" t="inlineStr">
        <is>
          <t>JENSCARE-B</t>
        </is>
      </c>
      <c r="C142" s="63" t="inlineStr">
        <is>
          <t>健世科技－Ｂ</t>
        </is>
      </c>
      <c r="D142" s="63" t="inlineStr">
        <is>
          <t>Healthcare</t>
        </is>
      </c>
      <c r="E142" s="63" t="inlineStr">
        <is>
          <t>Medical devices</t>
        </is>
      </c>
      <c r="F142" s="63" t="inlineStr">
        <is>
          <t>Biotechnology - Medical Devices</t>
        </is>
      </c>
      <c r="G142" s="63" t="inlineStr">
        <is>
          <t>18A</t>
        </is>
      </c>
      <c r="H142" s="64" t="n">
        <v>44844</v>
      </c>
      <c r="I142" s="65" t="n">
        <v>224.5</v>
      </c>
      <c r="J142" s="63" t="inlineStr">
        <is>
          <t>gross (price x shares)</t>
        </is>
      </c>
      <c r="K142" s="66" t="n">
        <v>26.7</v>
      </c>
      <c r="L142" s="66" t="n">
        <v>28.8</v>
      </c>
      <c r="M142" s="66" t="n">
        <v>27.8</v>
      </c>
      <c r="N142" s="63" t="inlineStr">
        <is>
          <t>N</t>
        </is>
      </c>
      <c r="O142" s="67" t="n">
        <v>96.5</v>
      </c>
      <c r="P142" s="67" t="n">
        <v>52.4</v>
      </c>
      <c r="Q142" s="68" t="n">
        <v>10751.6</v>
      </c>
      <c r="R142" s="63" t="inlineStr">
        <is>
          <t>prospectus:stated market capitalisation, rescaled to the offer price</t>
        </is>
      </c>
      <c r="S142" s="69" t="n">
        <v>1.52</v>
      </c>
      <c r="T142" s="70" t="n">
        <v>1.19</v>
      </c>
      <c r="U142" s="71" t="n">
        <v>77.7</v>
      </c>
      <c r="V142" s="68" t="n">
        <v>50.06</v>
      </c>
      <c r="W142" s="68" t="n">
        <v>1801037</v>
      </c>
      <c r="X142" s="67" t="n">
        <v>0.47</v>
      </c>
      <c r="Y142" s="63" t="inlineStr">
        <is>
          <t>LifeTech Scientific Corporation</t>
        </is>
      </c>
      <c r="Z142" s="63" t="inlineStr">
        <is>
          <t>lifetech</t>
        </is>
      </c>
      <c r="AA142" s="67" t="n">
        <v>17.32</v>
      </c>
      <c r="AB142" s="72" t="n"/>
      <c r="AC142" s="66" t="n"/>
      <c r="AD142" s="72" t="n"/>
      <c r="AE142" s="63" t="n"/>
      <c r="AF142" s="63" t="n"/>
      <c r="AG142" s="63" t="inlineStr">
        <is>
          <t>lapsed</t>
        </is>
      </c>
      <c r="AH142" s="63" t="inlineStr">
        <is>
          <t>2022-10-29</t>
        </is>
      </c>
      <c r="AI142" s="63" t="inlineStr">
        <is>
          <t>China International Capital Corporation Hong Kong Securities Limited</t>
        </is>
      </c>
      <c r="AJ142" s="63" t="inlineStr">
        <is>
          <t>China International</t>
        </is>
      </c>
      <c r="AK142" s="73" t="n">
        <v>1.62</v>
      </c>
      <c r="AL142" s="72" t="n">
        <v>0.72</v>
      </c>
      <c r="AM142" s="72" t="n">
        <v>0.89</v>
      </c>
      <c r="AN142" s="72" t="n">
        <v>0.54</v>
      </c>
      <c r="AO142" s="72" t="n">
        <v>11.51</v>
      </c>
      <c r="AP142" s="72" t="n">
        <v>28.42</v>
      </c>
      <c r="AQ142" s="72" t="n">
        <v>-1.06</v>
      </c>
      <c r="AR142" s="72" t="n">
        <v>9.73</v>
      </c>
      <c r="AS142" s="72" t="n">
        <v>26.37</v>
      </c>
      <c r="AT142" s="72" t="n">
        <v>-7.07</v>
      </c>
      <c r="AU142" s="72" t="n">
        <v>-4.32</v>
      </c>
      <c r="AV142" s="72" t="n">
        <v>4.05</v>
      </c>
      <c r="AW142" s="72" t="n">
        <v>-8.83</v>
      </c>
      <c r="AX142" s="72" t="n">
        <v>15.83</v>
      </c>
      <c r="AY142" s="72" t="n">
        <v>18.56</v>
      </c>
      <c r="AZ142" s="63" t="inlineStr">
        <is>
          <t>China Biotech ETF (HS biotech proxy)</t>
        </is>
      </c>
      <c r="BA142" s="72" t="n">
        <v>-74.01000000000001</v>
      </c>
      <c r="BB142" s="64" t="inlineStr">
        <is>
          <t>2026-08-28</t>
        </is>
      </c>
      <c r="BC142" s="65" t="n">
        <v>172.8</v>
      </c>
      <c r="BD142" s="68" t="n">
        <v>59.7</v>
      </c>
      <c r="BE142" s="63" t="inlineStr">
        <is>
          <t>Y</t>
        </is>
      </c>
      <c r="BF142" s="74" t="n">
        <v>180.1</v>
      </c>
      <c r="BG142" s="74" t="n"/>
      <c r="BH142" s="74" t="n"/>
      <c r="BI142" s="74" t="n">
        <v>62.2</v>
      </c>
      <c r="BJ142" s="75">
        <f>IF('BBG Verify'!S142="","not filed — run on terminal",'BBG Verify'!S142)</f>
        <v/>
      </c>
      <c r="BK142" s="76" t="inlineStr">
        <is>
          <t>N</t>
        </is>
      </c>
      <c r="BL142" s="77">
        <f>IF('BBG Verify'!K142="","not filed — run on terminal",'BBG Verify'!K142)</f>
        <v/>
      </c>
      <c r="BM142" s="63" t="inlineStr">
        <is>
          <t>N/A</t>
        </is>
      </c>
      <c r="BN142" s="63" t="inlineStr">
        <is>
          <t>N/A</t>
        </is>
      </c>
      <c r="BO142" s="63" t="inlineStr">
        <is>
          <t>N/A</t>
        </is>
      </c>
      <c r="BP142" s="63" t="inlineStr">
        <is>
          <t>N/A</t>
        </is>
      </c>
      <c r="BQ142" s="63" t="inlineStr">
        <is>
          <t>N/A</t>
        </is>
      </c>
      <c r="BR142" s="63" t="inlineStr">
        <is>
          <t>N/A</t>
        </is>
      </c>
      <c r="BS142" s="76" t="inlineStr">
        <is>
          <t>China International Capital Corporation Hong Kong Securities Limited; Citigroup Global Markets Asia Limited</t>
        </is>
      </c>
      <c r="BT142" s="63" t="inlineStr">
        <is>
          <t>China International Capital Corporation Hong Kong Securities Limited; Citigroup Global Markets Asia Limited</t>
        </is>
      </c>
      <c r="BU142" s="63" t="inlineStr">
        <is>
          <t>China International Capital Corporation Hong Kong Securities Limited; Citigroup Global Markets Asia Limited; Huatai Financial Holdings (Hong Kong) Limited; ABCI Capital Limited; Citigroup Global Markets Limited; 115 – Huatai Financial Holdings (Hong Kong) Limited; BOCOM International Securities Limited; Futu Securities International (Hong Kong) Limited; Tiger Brokers (HK) Global Limited</t>
        </is>
      </c>
      <c r="BV142" s="63" t="inlineStr">
        <is>
          <t>ABCI Capital Limited; Beta International Securities Limited; Citigroup Global Markets Asia Limited; China International Capital Corporation Hong Kong Securities Limited; Futu Securities International (Hong Kong) Limited; Huatai Financial Holdings (Hong Kong) Limited; Silverbricks Securities Company Limited; Tiger Brokers (HK) Global Limited</t>
        </is>
      </c>
      <c r="BW142" s="78">
        <f>HYPERLINK("https://www1.hkexnews.hk/listedco/listconews/sehk/2022/0923/2022092300017.pdf","prospectus")</f>
        <v/>
      </c>
      <c r="BX142" s="78">
        <f>HYPERLINK("https://www1.hkexnews.hk/listedco/listconews/sehk/2022/1007/2022100700012.htm","allotment")</f>
        <v/>
      </c>
      <c r="BY142" s="78">
        <f>HYPERLINK("https://www1.hkexnews.hk/listedco/listconews/sehk/2022/1031/2022103100005.pdf","stabilisation")</f>
        <v/>
      </c>
      <c r="BZ142" s="76" t="n"/>
      <c r="CA142" s="63" t="inlineStr">
        <is>
          <t>A/H: no A-share listing · market cap: prospectus states HK$11,138m at HK$28.80; rescaled to the struck HK$27.80 · deal size: stated gross HK$32.2m rejected — the filing's own 8,076,400 offer shares at HK$27.80 come to HK$224.5m, so the stated figure is a tranche or the greenshoe · grey market: no grey-market headline on file for this deal — AAStocks publishes one per listing but keeps only recent items on the stock's news page, and no public archive of past evening sessions exists; captured from this run onward</t>
        </is>
      </c>
    </row>
    <row r="143" ht="15" customHeight="1">
      <c r="A143" s="62" t="inlineStr">
        <is>
          <t>1489</t>
        </is>
      </c>
      <c r="B143" s="63" t="inlineStr">
        <is>
          <t>GC CONSTRUCTION</t>
        </is>
      </c>
      <c r="C143" s="63" t="inlineStr">
        <is>
          <t>GC CONSTRUCTION</t>
        </is>
      </c>
      <c r="D143" s="63" t="inlineStr">
        <is>
          <t>Industrials</t>
        </is>
      </c>
      <c r="E143" s="63" t="inlineStr">
        <is>
          <t>Construction / engineering</t>
        </is>
      </c>
      <c r="F143" s="63" t="inlineStr">
        <is>
          <t>Building Construction</t>
        </is>
      </c>
      <c r="G143" s="63" t="inlineStr">
        <is>
          <t>Standard</t>
        </is>
      </c>
      <c r="H143" s="64" t="n">
        <v>44844</v>
      </c>
      <c r="I143" s="65" t="n">
        <v>125</v>
      </c>
      <c r="J143" s="63" t="inlineStr">
        <is>
          <t>gross (price x shares)</t>
        </is>
      </c>
      <c r="K143" s="66" t="n"/>
      <c r="L143" s="66" t="n">
        <v>0.54</v>
      </c>
      <c r="M143" s="66" t="n">
        <v>0.5</v>
      </c>
      <c r="N143" s="63" t="inlineStr">
        <is>
          <t>N</t>
        </is>
      </c>
      <c r="O143" s="67" t="n">
        <v>92.59999999999999</v>
      </c>
      <c r="P143" s="67" t="n"/>
      <c r="Q143" s="68" t="n">
        <v>537</v>
      </c>
      <c r="R143" s="63" t="inlineStr">
        <is>
          <t>aastocks:上市市值 at the struck price</t>
        </is>
      </c>
      <c r="S143" s="69" t="n">
        <v>7.58</v>
      </c>
      <c r="T143" s="70" t="n">
        <v>1.04</v>
      </c>
      <c r="U143" s="71" t="n">
        <v>16</v>
      </c>
      <c r="V143" s="68" t="n">
        <v>105</v>
      </c>
      <c r="W143" s="68" t="n">
        <v>210000000</v>
      </c>
      <c r="X143" s="67" t="n">
        <v>19.55</v>
      </c>
      <c r="Y143" s="63" t="inlineStr">
        <is>
          <t>Chu Kin Lan; Infinitus Wealth Limited</t>
        </is>
      </c>
      <c r="Z143" s="63" t="inlineStr">
        <is>
          <t>chu;infinitus</t>
        </is>
      </c>
      <c r="AA143" s="67" t="n"/>
      <c r="AB143" s="72" t="n"/>
      <c r="AC143" s="66" t="n"/>
      <c r="AD143" s="72" t="n"/>
      <c r="AE143" s="63" t="n"/>
      <c r="AF143" s="63" t="n"/>
      <c r="AG143" s="63" t="n"/>
      <c r="AH143" s="63" t="n"/>
      <c r="AI143" s="63" t="inlineStr">
        <is>
          <t>China Tonghai Securities Limited</t>
        </is>
      </c>
      <c r="AJ143" s="63" t="inlineStr">
        <is>
          <t>China Tonghai</t>
        </is>
      </c>
      <c r="AK143" s="73" t="n">
        <v>10</v>
      </c>
      <c r="AL143" s="72" t="n">
        <v>24</v>
      </c>
      <c r="AM143" s="72" t="n">
        <v>-11.29</v>
      </c>
      <c r="AN143" s="72" t="n">
        <v>2</v>
      </c>
      <c r="AO143" s="72" t="n">
        <v>8</v>
      </c>
      <c r="AP143" s="72" t="n">
        <v>0</v>
      </c>
      <c r="AQ143" s="72" t="n">
        <v>-7.27</v>
      </c>
      <c r="AR143" s="72" t="n">
        <v>-1.82</v>
      </c>
      <c r="AS143" s="72" t="n">
        <v>-9.09</v>
      </c>
      <c r="AT143" s="72" t="n">
        <v>10.1</v>
      </c>
      <c r="AU143" s="72" t="n">
        <v>16.15</v>
      </c>
      <c r="AV143" s="72" t="n">
        <v>-20.19</v>
      </c>
      <c r="AW143" s="72" t="n">
        <v>2.81</v>
      </c>
      <c r="AX143" s="72" t="n">
        <v>-8.15</v>
      </c>
      <c r="AY143" s="72" t="n">
        <v>-4.63</v>
      </c>
      <c r="AZ143" s="63" t="inlineStr">
        <is>
          <t>Hang Seng Commerce &amp; Industry sub-index</t>
        </is>
      </c>
      <c r="BA143" s="72" t="n">
        <v>275</v>
      </c>
      <c r="BB143" s="64" t="inlineStr">
        <is>
          <t>2026-08-28</t>
        </is>
      </c>
      <c r="BC143" s="65" t="n">
        <v>440.4</v>
      </c>
      <c r="BD143" s="68" t="n">
        <v>46</v>
      </c>
      <c r="BE143" s="63" t="inlineStr">
        <is>
          <t>Y</t>
        </is>
      </c>
      <c r="BF143" s="74" t="n">
        <v>11.7</v>
      </c>
      <c r="BG143" s="74" t="n"/>
      <c r="BH143" s="74" t="n"/>
      <c r="BI143" s="74" t="n">
        <v>1.2</v>
      </c>
      <c r="BJ143" s="75">
        <f>IF('BBG Verify'!S143="","not filed — run on terminal",'BBG Verify'!S143)</f>
        <v/>
      </c>
      <c r="BK143" s="76" t="inlineStr">
        <is>
          <t>N</t>
        </is>
      </c>
      <c r="BL143" s="77">
        <f>IF('BBG Verify'!K143="","not filed — run on terminal",'BBG Verify'!K143)</f>
        <v/>
      </c>
      <c r="BM143" s="63" t="inlineStr">
        <is>
          <t>N/A</t>
        </is>
      </c>
      <c r="BN143" s="63" t="inlineStr">
        <is>
          <t>N/A</t>
        </is>
      </c>
      <c r="BO143" s="63" t="inlineStr">
        <is>
          <t>N/A</t>
        </is>
      </c>
      <c r="BP143" s="63" t="inlineStr">
        <is>
          <t>N/A</t>
        </is>
      </c>
      <c r="BQ143" s="63" t="inlineStr">
        <is>
          <t>N/A</t>
        </is>
      </c>
      <c r="BR143" s="63" t="inlineStr">
        <is>
          <t>N/A</t>
        </is>
      </c>
      <c r="BS143" s="76" t="n"/>
      <c r="BT143" s="63" t="inlineStr">
        <is>
          <t>Grande Capital Limited</t>
        </is>
      </c>
      <c r="BU143" s="63" t="inlineStr">
        <is>
          <t>China Tonghai Securities Limited; CSFG International Securities Limited; Chief Securities Limited; Realord Asia Pacific Securities Limited; Sinomax Securities Limited</t>
        </is>
      </c>
      <c r="BV143" s="63" t="inlineStr">
        <is>
          <t>China Tonghai Securities Limited; CSFG International Securities Limited; Chief Securities Limited; Realord Asia Pacific Securities Limited; Sinomax Securities Limited</t>
        </is>
      </c>
      <c r="BW143" s="78">
        <f>HYPERLINK("https://www1.hkexnews.hk/listedco/listconews/sehk/2022/0923/2022092300044.htm","prospectus")</f>
        <v/>
      </c>
      <c r="BX143" s="78">
        <f>HYPERLINK("https://www1.hkexnews.hk/listedco/listconews/sehk/2022/1007/2022100700042.htm","allotment")</f>
        <v/>
      </c>
      <c r="BY143" s="63" t="n"/>
      <c r="BZ143" s="76" t="n"/>
      <c r="CA143" s="63" t="inlineStr">
        <is>
          <t>greenshoe: no over-allotment option in the offer structure · range low: cap-only pricing — the filing publishes a Maximum Offer Price and no indicative floor · A/H: no A-share listing · sponsor: English name not in the filing text; AAStocks 保薦人 shown · cornerstone %: AAStocks institutional-order total / deal size — an upper bound; the table can include non-cornerstone orders · greenshoe size: no over-allotment option in the offer structure · grey market: no grey-market headline on file for this deal — AAStocks publishes one per listing but keeps only recent items on the stock's news page, and no public archive of past evening sessions exists; captured from this run onward</t>
        </is>
      </c>
    </row>
    <row r="144" ht="15" customHeight="1">
      <c r="A144" s="62" t="inlineStr">
        <is>
          <t>2422</t>
        </is>
      </c>
      <c r="B144" s="63" t="inlineStr">
        <is>
          <t>REGO INTERACT</t>
        </is>
      </c>
      <c r="C144" s="63" t="inlineStr">
        <is>
          <t>潤歌互動</t>
        </is>
      </c>
      <c r="D144" s="63" t="inlineStr">
        <is>
          <t>TMT-other</t>
        </is>
      </c>
      <c r="E144" s="63" t="inlineStr">
        <is>
          <t>Media / advertising</t>
        </is>
      </c>
      <c r="F144" s="63" t="inlineStr">
        <is>
          <t>Advertising</t>
        </is>
      </c>
      <c r="G144" s="63" t="inlineStr">
        <is>
          <t>Standard</t>
        </is>
      </c>
      <c r="H144" s="64" t="n">
        <v>44851</v>
      </c>
      <c r="I144" s="65" t="n">
        <v>160</v>
      </c>
      <c r="J144" s="63" t="inlineStr">
        <is>
          <t>gross (price x shares)</t>
        </is>
      </c>
      <c r="K144" s="66" t="n">
        <v>0.64</v>
      </c>
      <c r="L144" s="66" t="n">
        <v>0.8</v>
      </c>
      <c r="M144" s="66" t="n">
        <v>0.64</v>
      </c>
      <c r="N144" s="63" t="inlineStr">
        <is>
          <t>N</t>
        </is>
      </c>
      <c r="O144" s="67" t="n">
        <v>80</v>
      </c>
      <c r="P144" s="67" t="n">
        <v>0</v>
      </c>
      <c r="Q144" s="68" t="n">
        <v>577.4</v>
      </c>
      <c r="R144" s="63" t="inlineStr">
        <is>
          <t>derived:deal size / offer % of enlarged capital</t>
        </is>
      </c>
      <c r="S144" s="69" t="n">
        <v>14.1</v>
      </c>
      <c r="T144" s="70" t="n">
        <v>1.37</v>
      </c>
      <c r="U144" s="71" t="n">
        <v>9.4</v>
      </c>
      <c r="V144" s="68" t="n">
        <v>144.96</v>
      </c>
      <c r="W144" s="68" t="n">
        <v>226500000</v>
      </c>
      <c r="X144" s="67" t="n">
        <v>25.11</v>
      </c>
      <c r="Y144" s="63" t="inlineStr">
        <is>
          <t>Fighton Asia Master Fund Limited</t>
        </is>
      </c>
      <c r="Z144" s="63" t="inlineStr">
        <is>
          <t>fighton</t>
        </is>
      </c>
      <c r="AA144" s="67" t="n">
        <v>10</v>
      </c>
      <c r="AB144" s="72" t="n"/>
      <c r="AC144" s="66" t="n"/>
      <c r="AD144" s="72" t="n"/>
      <c r="AE144" s="63" t="n"/>
      <c r="AF144" s="63" t="n"/>
      <c r="AG144" s="63" t="inlineStr">
        <is>
          <t>lapsed (no over-allocation)</t>
        </is>
      </c>
      <c r="AH144" s="63" t="n"/>
      <c r="AI144" s="63" t="inlineStr">
        <is>
          <t>CMBC Securities Company Limited</t>
        </is>
      </c>
      <c r="AJ144" s="63" t="inlineStr">
        <is>
          <t>CMBC</t>
        </is>
      </c>
      <c r="AK144" s="73" t="n">
        <v>110.94</v>
      </c>
      <c r="AL144" s="72" t="n">
        <v>103.12</v>
      </c>
      <c r="AM144" s="72" t="n">
        <v>3.85</v>
      </c>
      <c r="AN144" s="72" t="n">
        <v>218.75</v>
      </c>
      <c r="AO144" s="72" t="n">
        <v>314.06</v>
      </c>
      <c r="AP144" s="72" t="n">
        <v>284.38</v>
      </c>
      <c r="AQ144" s="72" t="n">
        <v>51.11</v>
      </c>
      <c r="AR144" s="72" t="n">
        <v>96.29000000000001</v>
      </c>
      <c r="AS144" s="72" t="n">
        <v>82.22</v>
      </c>
      <c r="AT144" s="72" t="n">
        <v>227.23</v>
      </c>
      <c r="AU144" s="72" t="n">
        <v>303.48</v>
      </c>
      <c r="AV144" s="72" t="n">
        <v>254.3</v>
      </c>
      <c r="AW144" s="72" t="n">
        <v>85.88</v>
      </c>
      <c r="AX144" s="72" t="n">
        <v>10.58</v>
      </c>
      <c r="AY144" s="72" t="n">
        <v>10.41</v>
      </c>
      <c r="AZ144" s="63" t="inlineStr">
        <is>
          <t>Hang Seng Index</t>
        </is>
      </c>
      <c r="BA144" s="72" t="n">
        <v>182.81</v>
      </c>
      <c r="BB144" s="64" t="inlineStr">
        <is>
          <t>2026-08-31</t>
        </is>
      </c>
      <c r="BC144" s="65" t="n">
        <v>241.5</v>
      </c>
      <c r="BD144" s="68" t="n">
        <v>55</v>
      </c>
      <c r="BE144" s="63" t="inlineStr">
        <is>
          <t>Y</t>
        </is>
      </c>
      <c r="BF144" s="74" t="n">
        <v>10.5</v>
      </c>
      <c r="BG144" s="74" t="n"/>
      <c r="BH144" s="74" t="n"/>
      <c r="BI144" s="74" t="n">
        <v>2.4</v>
      </c>
      <c r="BJ144" s="75">
        <f>IF('BBG Verify'!S144="","not filed — run on terminal",'BBG Verify'!S144)</f>
        <v/>
      </c>
      <c r="BK144" s="76" t="inlineStr">
        <is>
          <t>N</t>
        </is>
      </c>
      <c r="BL144" s="77">
        <f>IF('BBG Verify'!K144="","not filed — run on terminal",'BBG Verify'!K144)</f>
        <v/>
      </c>
      <c r="BM144" s="63" t="inlineStr">
        <is>
          <t>N/A</t>
        </is>
      </c>
      <c r="BN144" s="63" t="inlineStr">
        <is>
          <t>N/A</t>
        </is>
      </c>
      <c r="BO144" s="63" t="inlineStr">
        <is>
          <t>N/A</t>
        </is>
      </c>
      <c r="BP144" s="63" t="inlineStr">
        <is>
          <t>N/A</t>
        </is>
      </c>
      <c r="BQ144" s="63" t="inlineStr">
        <is>
          <t>N/A</t>
        </is>
      </c>
      <c r="BR144" s="63" t="inlineStr">
        <is>
          <t>N/A</t>
        </is>
      </c>
      <c r="BS144" s="76" t="inlineStr">
        <is>
          <t>CMBC International Capital Limited</t>
        </is>
      </c>
      <c r="BT144" s="63" t="inlineStr">
        <is>
          <t>CMBC International Capital Limited</t>
        </is>
      </c>
      <c r="BU144" s="63" t="inlineStr">
        <is>
          <t>CMBC Securities Company Limited; China Galaxy International Securities (Hong Kong) Co., Limited; Alpha International Securities (HONG KONG) Limited; Zheshang International Financial Holdings Co., Limited; Blackwell Global Securities Limited; ABCI Capital Limited; BOCOM International Securities Limited; CCB International Capital Limited; China Everbright Securities (HK) Limited; Zhongtai International Securities Limited; SBI China Capital Financial Services Limited; Shenwan Hongyuan Securities (H.K.) Limited</t>
        </is>
      </c>
      <c r="BV144" s="63" t="inlineStr">
        <is>
          <t>ABCI Capital Limited; ABCI Securities Company Limited; Alpha International Securities (HK) Limited; Beta International Securities Limited; Blackwell Global Securities Limited; CCB International Capital Limited; China Everbright Securities (HK) Limited; China Galaxy International Securities (Hong Kong) Company Limited; China Industrial Securities International Capital Limited; CMBC Securities Company Limited; Guotai Junan Securities (Hong Kong) Limited; Livermore Holdings Limited</t>
        </is>
      </c>
      <c r="BW144" s="78">
        <f>HYPERLINK("https://www1.hkexnews.hk/listedco/listconews/sehk/2022/0930/2022093000075.pdf","prospectus")</f>
        <v/>
      </c>
      <c r="BX144" s="78">
        <f>HYPERLINK("https://www1.hkexnews.hk/listedco/listconews/sehk/2022/1014/2022101400042.htm","allotment")</f>
        <v/>
      </c>
      <c r="BY144" s="78">
        <f>HYPERLINK("https://www1.hkexnews.hk/listedco/listconews/sehk/2022/1106/2022110600015.pdf","stabilisation")</f>
        <v/>
      </c>
      <c r="BZ144" s="76" t="n"/>
      <c r="CA144" s="63" t="inlineStr">
        <is>
          <t>greenshoe: over-allotment outcome already published, and the allotment announcement does not state the stabilisation expiry in a parsable form — the expiry no longer matters once resolved · A/H: no A-share listing · returns: price returns exclude the entitlement value of: 2022-11 UNVERIFIED entitlement-class adjustment — Bloomberg's back-adjusted history divides by x1.194 · grey market: no grey-market headline on file for this deal — AAStocks publishes one per listing but keeps only recent items on the stock's news page, and no public archive of past evening sessions exists; captured from this run onward</t>
        </is>
      </c>
    </row>
    <row r="145" ht="15" customHeight="1">
      <c r="A145" s="62" t="inlineStr">
        <is>
          <t>6610</t>
        </is>
      </c>
      <c r="B145" s="63" t="inlineStr">
        <is>
          <t>FLOWING CLOUD</t>
        </is>
      </c>
      <c r="C145" s="63" t="inlineStr">
        <is>
          <t>飛天雲動</t>
        </is>
      </c>
      <c r="D145" s="63" t="inlineStr">
        <is>
          <t>TMT-other</t>
        </is>
      </c>
      <c r="E145" s="63" t="inlineStr">
        <is>
          <t>Media / advertising</t>
        </is>
      </c>
      <c r="F145" s="63" t="inlineStr">
        <is>
          <t>Systems Software</t>
        </is>
      </c>
      <c r="G145" s="63" t="inlineStr">
        <is>
          <t>Standard</t>
        </is>
      </c>
      <c r="H145" s="64" t="n">
        <v>44852</v>
      </c>
      <c r="I145" s="65" t="n">
        <v>600</v>
      </c>
      <c r="J145" s="63" t="inlineStr">
        <is>
          <t>gross (price x shares)</t>
        </is>
      </c>
      <c r="K145" s="66" t="n">
        <v>2.21</v>
      </c>
      <c r="L145" s="66" t="n">
        <v>2.88</v>
      </c>
      <c r="M145" s="66" t="n">
        <v>2.21</v>
      </c>
      <c r="N145" s="63" t="inlineStr">
        <is>
          <t>N</t>
        </is>
      </c>
      <c r="O145" s="67" t="n">
        <v>76.7</v>
      </c>
      <c r="P145" s="67" t="n">
        <v>0</v>
      </c>
      <c r="Q145" s="68" t="n">
        <v>4930.7</v>
      </c>
      <c r="R145" s="63" t="inlineStr">
        <is>
          <t>aastocks:上市市值 at the struck price</t>
        </is>
      </c>
      <c r="S145" s="69" t="n">
        <v>1.05</v>
      </c>
      <c r="T145" s="70" t="n">
        <v>1.07</v>
      </c>
      <c r="U145" s="71" t="n">
        <v>14.7</v>
      </c>
      <c r="V145" s="68" t="n">
        <v>511.8</v>
      </c>
      <c r="W145" s="68" t="n">
        <v>231589500</v>
      </c>
      <c r="X145" s="67" t="n">
        <v>10.38</v>
      </c>
      <c r="Y145" s="63" t="inlineStr">
        <is>
          <t>Anji Guorong Construction Co., Ltd; Anji Qicai Lingfeng Rural Tourism Investment Co., Ltd; SensePower Management Limited; TradeGo FinTech Limited; Zhejiang Tianzihu Industry Investment Co., Ltd</t>
        </is>
      </c>
      <c r="Z145" s="63" t="inlineStr">
        <is>
          <t>anji;sensepower;tradego;zhejiang</t>
        </is>
      </c>
      <c r="AA145" s="67" t="n">
        <v>16.87</v>
      </c>
      <c r="AB145" s="72" t="n"/>
      <c r="AC145" s="66" t="n"/>
      <c r="AD145" s="72" t="n"/>
      <c r="AE145" s="63" t="n"/>
      <c r="AF145" s="63" t="n"/>
      <c r="AG145" s="63" t="inlineStr">
        <is>
          <t>lapsed</t>
        </is>
      </c>
      <c r="AH145" s="63" t="inlineStr">
        <is>
          <t>2022-11-06</t>
        </is>
      </c>
      <c r="AI145" s="63" t="inlineStr">
        <is>
          <t>Shenwan Hongyuan Securities</t>
        </is>
      </c>
      <c r="AJ145" s="63" t="inlineStr">
        <is>
          <t>Shenwan Hongyuan</t>
        </is>
      </c>
      <c r="AK145" s="73" t="n">
        <v>-4.07</v>
      </c>
      <c r="AL145" s="72" t="n">
        <v>0</v>
      </c>
      <c r="AM145" s="72" t="n">
        <v>-4.07</v>
      </c>
      <c r="AN145" s="72" t="n">
        <v>3.62</v>
      </c>
      <c r="AO145" s="72" t="n">
        <v>47.96</v>
      </c>
      <c r="AP145" s="72" t="n">
        <v>89.59</v>
      </c>
      <c r="AQ145" s="72" t="n">
        <v>8.02</v>
      </c>
      <c r="AR145" s="72" t="n">
        <v>54.24</v>
      </c>
      <c r="AS145" s="72" t="n">
        <v>97.63</v>
      </c>
      <c r="AT145" s="72" t="n">
        <v>12.33</v>
      </c>
      <c r="AU145" s="72" t="n">
        <v>38.07</v>
      </c>
      <c r="AV145" s="72" t="n">
        <v>59.1</v>
      </c>
      <c r="AW145" s="72" t="n">
        <v>46.31</v>
      </c>
      <c r="AX145" s="72" t="n">
        <v>9.890000000000001</v>
      </c>
      <c r="AY145" s="72" t="n">
        <v>7.93</v>
      </c>
      <c r="AZ145" s="63" t="inlineStr">
        <is>
          <t>Hang Seng Index</t>
        </is>
      </c>
      <c r="BA145" s="72" t="n">
        <v>-97.73999999999999</v>
      </c>
      <c r="BB145" s="64" t="inlineStr">
        <is>
          <t>2026-08-31</t>
        </is>
      </c>
      <c r="BC145" s="65" t="n">
        <v>654.8</v>
      </c>
      <c r="BD145" s="68" t="n">
        <v>78.90000000000001</v>
      </c>
      <c r="BE145" s="63" t="inlineStr">
        <is>
          <t>Y</t>
        </is>
      </c>
      <c r="BF145" s="74" t="n">
        <v>62.5</v>
      </c>
      <c r="BG145" s="74" t="n"/>
      <c r="BH145" s="74" t="n"/>
      <c r="BI145" s="74" t="n">
        <v>7.5</v>
      </c>
      <c r="BJ145" s="75">
        <f>IF('BBG Verify'!S145="","not filed — run on terminal",'BBG Verify'!S145)</f>
        <v/>
      </c>
      <c r="BK145" s="76" t="inlineStr">
        <is>
          <t>N</t>
        </is>
      </c>
      <c r="BL145" s="77">
        <f>IF('BBG Verify'!K145="","not filed — run on terminal",'BBG Verify'!K145)</f>
        <v/>
      </c>
      <c r="BM145" s="63" t="inlineStr">
        <is>
          <t>N/A</t>
        </is>
      </c>
      <c r="BN145" s="63" t="inlineStr">
        <is>
          <t>N/A</t>
        </is>
      </c>
      <c r="BO145" s="63" t="inlineStr">
        <is>
          <t>N/A</t>
        </is>
      </c>
      <c r="BP145" s="63" t="inlineStr">
        <is>
          <t>N/A</t>
        </is>
      </c>
      <c r="BQ145" s="63" t="inlineStr">
        <is>
          <t>N/A</t>
        </is>
      </c>
      <c r="BR145" s="63" t="inlineStr">
        <is>
          <t>N/A</t>
        </is>
      </c>
      <c r="BS145" s="76" t="inlineStr">
        <is>
          <t>Shenwan Hongyuan Capital (H.K.) Limited</t>
        </is>
      </c>
      <c r="BT145" s="63" t="inlineStr">
        <is>
          <t>Shenwan Hongyuan Capital (H.K.) Limited</t>
        </is>
      </c>
      <c r="BU145" s="63" t="inlineStr">
        <is>
          <t>Shenwan Hongyuan Securities (H.K.) Limited; CLSA Limited; CMB International Capital Limited; DBS Asia Capital Limited; Huatai Financial Holdings (Hong Kong) Limited; ABCI Capital Limited; Citrus Securities Limited; Zhongtai International Securities Limited; China Everbright Securities (HK) Limited; West Bull Securities Limited; China Galaxy International Securities (Hong Kong) Co., Limited</t>
        </is>
      </c>
      <c r="BV145" s="63" t="inlineStr">
        <is>
          <t>ABCI Securities Company Limited; China Everbright Securities (HK) Limited; China Galaxy International Securities (Hong Kong) Company Limited; Citrus Securities Limited; CLSA Limited; CMB International Capital Limited; DBS Asia Capital Limited; Dragonstone Capital Management Limited; Futu Securities International (Hong Kong) Limited; Huatai Financial Holdings (Hong Kong) Limited; Livermore Holdings Limited; Phillip Securities (Hong Kong) Limited</t>
        </is>
      </c>
      <c r="BW145" s="78">
        <f>HYPERLINK("https://www1.hkexnews.hk/listedco/listconews/sehk/2022/0929/2022092900133.pdf","prospectus")</f>
        <v/>
      </c>
      <c r="BX145" s="78">
        <f>HYPERLINK("https://www1.hkexnews.hk/listedco/listconews/sehk/2022/1017/2022101700012.htm","allotment")</f>
        <v/>
      </c>
      <c r="BY145" s="78">
        <f>HYPERLINK("https://www1.hkexnews.hk/listedco/listconews/sehk/2022/1107/2022110700440.pdf","stabilisation")</f>
        <v/>
      </c>
      <c r="BZ145" s="76" t="n"/>
      <c r="CA145" s="63" t="inlineStr">
        <is>
          <t>A/H: no A-share listing · market cap: estimate from deal size / offer % of enlarged capital disagreed with the published listing cap — published figure adopted · grey market: no grey-market headline on file for this deal — AAStocks publishes one per listing but keeps only recent items on the stock's news page, and no public archive of past evening sessions exists; captured from this run onward</t>
        </is>
      </c>
    </row>
    <row r="146" ht="15" customHeight="1">
      <c r="A146" s="62" t="inlineStr">
        <is>
          <t>2367</t>
        </is>
      </c>
      <c r="B146" s="63" t="inlineStr">
        <is>
          <t>GIANT BIOGENE</t>
        </is>
      </c>
      <c r="C146" s="63" t="inlineStr">
        <is>
          <t>巨子生物</t>
        </is>
      </c>
      <c r="D146" s="63" t="inlineStr">
        <is>
          <t>Consumer</t>
        </is>
      </c>
      <c r="E146" s="63" t="inlineStr">
        <is>
          <t>Beauty / personal care</t>
        </is>
      </c>
      <c r="F146" s="63" t="inlineStr">
        <is>
          <t>Beauty &amp; Toiletries Products and Services</t>
        </is>
      </c>
      <c r="G146" s="63" t="inlineStr">
        <is>
          <t>Standard</t>
        </is>
      </c>
      <c r="H146" s="64" t="n">
        <v>44869</v>
      </c>
      <c r="I146" s="65" t="n">
        <v>549.4</v>
      </c>
      <c r="J146" s="63" t="inlineStr">
        <is>
          <t>gross (price x shares)</t>
        </is>
      </c>
      <c r="K146" s="66" t="n">
        <v>24.3</v>
      </c>
      <c r="L146" s="66" t="n">
        <v>27.7</v>
      </c>
      <c r="M146" s="66" t="n">
        <v>24.3</v>
      </c>
      <c r="N146" s="63" t="inlineStr">
        <is>
          <t>N</t>
        </is>
      </c>
      <c r="O146" s="67" t="n">
        <v>87.7</v>
      </c>
      <c r="P146" s="67" t="n">
        <v>0</v>
      </c>
      <c r="Q146" s="68" t="n">
        <v>21138.4</v>
      </c>
      <c r="R146" s="63" t="inlineStr">
        <is>
          <t>prospectus:stated market capitalisation, rescaled to the offer price</t>
        </is>
      </c>
      <c r="S146" s="69" t="n">
        <v>2.08</v>
      </c>
      <c r="T146" s="70" t="n">
        <v>4.22</v>
      </c>
      <c r="U146" s="71" t="n">
        <v>0</v>
      </c>
      <c r="V146" s="68" t="n">
        <v>549.4</v>
      </c>
      <c r="W146" s="68" t="n">
        <v>22608800</v>
      </c>
      <c r="X146" s="67" t="n">
        <v>2.6</v>
      </c>
      <c r="Y146" s="63" t="n"/>
      <c r="Z146" s="63" t="n"/>
      <c r="AA146" s="67" t="n">
        <v>10</v>
      </c>
      <c r="AB146" s="72" t="n"/>
      <c r="AC146" s="66" t="n"/>
      <c r="AD146" s="72" t="n"/>
      <c r="AE146" s="63" t="n"/>
      <c r="AF146" s="63" t="n"/>
      <c r="AG146" s="63" t="inlineStr">
        <is>
          <t>full</t>
        </is>
      </c>
      <c r="AH146" s="63" t="inlineStr">
        <is>
          <t>2022-11-27</t>
        </is>
      </c>
      <c r="AI146" s="63" t="inlineStr">
        <is>
          <t>Goldman Sachs</t>
        </is>
      </c>
      <c r="AJ146" s="63" t="inlineStr">
        <is>
          <t>Goldman Sachs</t>
        </is>
      </c>
      <c r="AK146" s="73" t="n">
        <v>9.880000000000001</v>
      </c>
      <c r="AL146" s="72" t="n">
        <v>7</v>
      </c>
      <c r="AM146" s="72" t="n">
        <v>2.69</v>
      </c>
      <c r="AN146" s="72" t="n">
        <v>37.45</v>
      </c>
      <c r="AO146" s="72" t="n">
        <v>24.28</v>
      </c>
      <c r="AP146" s="72" t="n">
        <v>106.38</v>
      </c>
      <c r="AQ146" s="72" t="n">
        <v>25.09</v>
      </c>
      <c r="AR146" s="72" t="n">
        <v>13.11</v>
      </c>
      <c r="AS146" s="72" t="n">
        <v>87.81999999999999</v>
      </c>
      <c r="AT146" s="72" t="n">
        <v>24.53</v>
      </c>
      <c r="AU146" s="72" t="n">
        <v>-4.9</v>
      </c>
      <c r="AV146" s="72" t="n">
        <v>62.73</v>
      </c>
      <c r="AW146" s="72" t="n">
        <v>-8.210000000000001</v>
      </c>
      <c r="AX146" s="72" t="n">
        <v>29.18</v>
      </c>
      <c r="AY146" s="72" t="n">
        <v>21.32</v>
      </c>
      <c r="AZ146" s="63" t="inlineStr">
        <is>
          <t>Hang Seng Commerce &amp; Industry sub-index</t>
        </is>
      </c>
      <c r="BA146" s="72" t="n">
        <v>10.29</v>
      </c>
      <c r="BB146" s="64" t="inlineStr">
        <is>
          <t>2026-08-28</t>
        </is>
      </c>
      <c r="BC146" s="65" t="n">
        <v>1707.7</v>
      </c>
      <c r="BD146" s="68" t="n">
        <v>910.9</v>
      </c>
      <c r="BE146" s="63" t="inlineStr">
        <is>
          <t>Y</t>
        </is>
      </c>
      <c r="BF146" s="74" t="n">
        <v>23.2</v>
      </c>
      <c r="BG146" s="74" t="n"/>
      <c r="BH146" s="74" t="n">
        <v>14</v>
      </c>
      <c r="BI146" s="74" t="n">
        <v>12.4</v>
      </c>
      <c r="BJ146" s="75">
        <f>IF('BBG Verify'!S146="","not filed — run on terminal",'BBG Verify'!S146)</f>
        <v/>
      </c>
      <c r="BK146" s="76" t="inlineStr">
        <is>
          <t>N</t>
        </is>
      </c>
      <c r="BL146" s="77">
        <f>IF('BBG Verify'!K146="","not filed — run on terminal",'BBG Verify'!K146)</f>
        <v/>
      </c>
      <c r="BM146" s="63" t="inlineStr">
        <is>
          <t>N/A</t>
        </is>
      </c>
      <c r="BN146" s="63" t="inlineStr">
        <is>
          <t>N/A</t>
        </is>
      </c>
      <c r="BO146" s="63" t="inlineStr">
        <is>
          <t>N/A</t>
        </is>
      </c>
      <c r="BP146" s="63" t="inlineStr">
        <is>
          <t>N/A</t>
        </is>
      </c>
      <c r="BQ146" s="63" t="inlineStr">
        <is>
          <t>N/A</t>
        </is>
      </c>
      <c r="BR146" s="63" t="inlineStr">
        <is>
          <t>N/A</t>
        </is>
      </c>
      <c r="BS146" s="76" t="n"/>
      <c r="BT146" s="63" t="inlineStr">
        <is>
          <t>China International Capital Corporation Hong Kong Securities Limited; Goldman Sachs (Asia) L.L.C.</t>
        </is>
      </c>
      <c r="BU146" s="63" t="inlineStr">
        <is>
          <t>China International Capital Corporation Hong Kong Securities Limited; Futu Securities International (Hong Kong) Limited; GF Securities (Hong Kong) Brokerage Limited; Goldman Sachs (Asia) L.L.C.; Huatai Financial Holdings (Hong Kong) Limited; Silverbricks Securities Company Limited</t>
        </is>
      </c>
      <c r="BV146" s="63" t="inlineStr">
        <is>
          <t>China International Capital Corporation Hong Kong Securities Limited; Futu Securities International (Hong Kong) Limited; GF Securities (Hong Kong) Brokerage Limited; Goldman Sachs (Asia) L.L.C.; Huatai Financial Holdings (Hong Kong) Limited; Silverbricks Securities Company Limited</t>
        </is>
      </c>
      <c r="BW146" s="78">
        <f>HYPERLINK("https://www1.hkexnews.hk/listedco/listconews/sehk/2022/1025/2022102500007.pdf","prospectus")</f>
        <v/>
      </c>
      <c r="BX146" s="78">
        <f>HYPERLINK("https://www1.hkexnews.hk/listedco/listconews/sehk/2022/1103/2022110300024.htm","allotment")</f>
        <v/>
      </c>
      <c r="BY146" s="78">
        <f>HYPERLINK("https://www1.hkexnews.hk/listedco/listconews/sehk/2022/1127/2022112700063.pdf","stabilisation")</f>
        <v/>
      </c>
      <c r="BZ146" s="76" t="n"/>
      <c r="CA146" s="63" t="inlineStr">
        <is>
          <t>A/H: no A-share listing · sponsor: English name not in the filing text; AAStocks 保薦人 shown · market cap: prospectus states HK$24,096m at HK$27.70; rescaled to the struck HK$24.30 · cornerstone list: no cornerstone tranche in this deal · grey market: no grey-market headline on file for this deal — AAStocks publishes one per listing but keeps only recent items on the stock's news page, and no public archive of past evening sessions exists; captured from this run onward</t>
        </is>
      </c>
    </row>
    <row r="147" ht="15" customHeight="1">
      <c r="A147" s="62" t="inlineStr">
        <is>
          <t>2291</t>
        </is>
      </c>
      <c r="B147" s="63" t="inlineStr">
        <is>
          <t>SCIENTECH</t>
        </is>
      </c>
      <c r="C147" s="63" t="inlineStr">
        <is>
          <t>心泰醫療</t>
        </is>
      </c>
      <c r="D147" s="63" t="inlineStr">
        <is>
          <t>Healthcare</t>
        </is>
      </c>
      <c r="E147" s="63" t="inlineStr">
        <is>
          <t>Medical devices</t>
        </is>
      </c>
      <c r="F147" s="63" t="inlineStr">
        <is>
          <t>Health Care Equipment</t>
        </is>
      </c>
      <c r="G147" s="63" t="inlineStr">
        <is>
          <t>Standard</t>
        </is>
      </c>
      <c r="H147" s="64" t="n">
        <v>44873</v>
      </c>
      <c r="I147" s="65" t="n">
        <v>654.6</v>
      </c>
      <c r="J147" s="63" t="inlineStr">
        <is>
          <t>gross (price x shares)</t>
        </is>
      </c>
      <c r="K147" s="66" t="n">
        <v>29.15</v>
      </c>
      <c r="L147" s="66" t="n">
        <v>31.45</v>
      </c>
      <c r="M147" s="66" t="n">
        <v>29.15</v>
      </c>
      <c r="N147" s="63" t="inlineStr">
        <is>
          <t>N</t>
        </is>
      </c>
      <c r="O147" s="67" t="n">
        <v>92.7</v>
      </c>
      <c r="P147" s="67" t="n">
        <v>0</v>
      </c>
      <c r="Q147" s="68" t="n">
        <v>10847</v>
      </c>
      <c r="R147" s="63" t="inlineStr">
        <is>
          <t>aastocks:上市市值 at the struck price</t>
        </is>
      </c>
      <c r="S147" s="69" t="n">
        <v>2.11</v>
      </c>
      <c r="T147" s="70" t="n">
        <v>1.38</v>
      </c>
      <c r="U147" s="71" t="n">
        <v>29.6</v>
      </c>
      <c r="V147" s="68" t="n">
        <v>460.84</v>
      </c>
      <c r="W147" s="68" t="n">
        <v>15808320</v>
      </c>
      <c r="X147" s="67" t="n">
        <v>4.25</v>
      </c>
      <c r="Y147" s="63" t="inlineStr">
        <is>
          <t>Harvest International Premium Value (Secondary Market) Fund SPC; Jointown International Group Company Limited</t>
        </is>
      </c>
      <c r="Z147" s="63" t="inlineStr">
        <is>
          <t>harvest;jointown</t>
        </is>
      </c>
      <c r="AA147" s="67" t="n">
        <v>8.52</v>
      </c>
      <c r="AB147" s="72" t="n"/>
      <c r="AC147" s="66" t="n"/>
      <c r="AD147" s="72" t="n"/>
      <c r="AE147" s="63" t="n"/>
      <c r="AF147" s="63" t="n"/>
      <c r="AG147" s="63" t="inlineStr">
        <is>
          <t>lapsed</t>
        </is>
      </c>
      <c r="AH147" s="63" t="inlineStr">
        <is>
          <t>2022-12-01</t>
        </is>
      </c>
      <c r="AI147" s="63" t="inlineStr">
        <is>
          <t>China International Capital Corporation Hong Kong Securities Limited</t>
        </is>
      </c>
      <c r="AJ147" s="63" t="inlineStr">
        <is>
          <t>China International</t>
        </is>
      </c>
      <c r="AK147" s="73" t="n">
        <v>0</v>
      </c>
      <c r="AL147" s="72" t="n">
        <v>2.23</v>
      </c>
      <c r="AM147" s="72" t="n">
        <v>-2.18</v>
      </c>
      <c r="AN147" s="72" t="n">
        <v>-5.49</v>
      </c>
      <c r="AO147" s="72" t="n">
        <v>-0.17</v>
      </c>
      <c r="AP147" s="72" t="n">
        <v>-0.51</v>
      </c>
      <c r="AQ147" s="72" t="n">
        <v>-5.49</v>
      </c>
      <c r="AR147" s="72" t="n">
        <v>-0.17</v>
      </c>
      <c r="AS147" s="72" t="n">
        <v>-0.51</v>
      </c>
      <c r="AT147" s="72" t="n">
        <v>-8.24</v>
      </c>
      <c r="AU147" s="72" t="n">
        <v>3.51</v>
      </c>
      <c r="AV147" s="72" t="n">
        <v>-7.17</v>
      </c>
      <c r="AW147" s="72" t="n">
        <v>2.2</v>
      </c>
      <c r="AX147" s="72" t="n">
        <v>-3.68</v>
      </c>
      <c r="AY147" s="72" t="n">
        <v>-2.37</v>
      </c>
      <c r="AZ147" s="63" t="inlineStr">
        <is>
          <t>China Biotech ETF (HS biotech proxy)</t>
        </is>
      </c>
      <c r="BA147" s="72" t="n">
        <v>-54.13</v>
      </c>
      <c r="BB147" s="64" t="inlineStr">
        <is>
          <t>2026-08-28</t>
        </is>
      </c>
      <c r="BC147" s="65" t="n">
        <v>244.8</v>
      </c>
      <c r="BD147" s="68" t="n">
        <v>64.59999999999999</v>
      </c>
      <c r="BE147" s="63" t="inlineStr">
        <is>
          <t>Y</t>
        </is>
      </c>
      <c r="BF147" s="74" t="n">
        <v>167.9</v>
      </c>
      <c r="BG147" s="74" t="n"/>
      <c r="BH147" s="74" t="n">
        <v>14</v>
      </c>
      <c r="BI147" s="74" t="n">
        <v>44.3</v>
      </c>
      <c r="BJ147" s="75">
        <f>IF('BBG Verify'!S147="","not filed — run on terminal",'BBG Verify'!S147)</f>
        <v/>
      </c>
      <c r="BK147" s="76" t="inlineStr">
        <is>
          <t>N</t>
        </is>
      </c>
      <c r="BL147" s="77">
        <f>IF('BBG Verify'!K147="","not filed — run on terminal",'BBG Verify'!K147)</f>
        <v/>
      </c>
      <c r="BM147" s="63" t="inlineStr">
        <is>
          <t>N/A</t>
        </is>
      </c>
      <c r="BN147" s="63" t="inlineStr">
        <is>
          <t>N/A</t>
        </is>
      </c>
      <c r="BO147" s="63" t="inlineStr">
        <is>
          <t>N/A</t>
        </is>
      </c>
      <c r="BP147" s="63" t="inlineStr">
        <is>
          <t>N/A</t>
        </is>
      </c>
      <c r="BQ147" s="63" t="inlineStr">
        <is>
          <t>N/A</t>
        </is>
      </c>
      <c r="BR147" s="63" t="inlineStr">
        <is>
          <t>N/A</t>
        </is>
      </c>
      <c r="BS147" s="76" t="n"/>
      <c r="BT147" s="63" t="inlineStr">
        <is>
          <t>China International Capital Corporation Hong Kong Securities Limited</t>
        </is>
      </c>
      <c r="BU147" s="63" t="inlineStr">
        <is>
          <t>China International Capital Corporation Hong Kong Securities Limited; CLSA Limited; China Galaxy International Securities (Hong Kong) Co., Limited; Huatai Financial Holdings (Hong Kong) Limited; V aluable Capital Limited</t>
        </is>
      </c>
      <c r="BV147" s="63" t="inlineStr">
        <is>
          <t>China Galaxy International Securities (Hong Kong) Company Limited; China International Capital Corporation Hong Kong Securities Limited; CLSA Limited; Huatai Financial Holdings (Hong Kong) Limited; Valuable Capital Limited</t>
        </is>
      </c>
      <c r="BW147" s="78">
        <f>HYPERLINK("https://www1.hkexnews.hk/listedco/listconews/sehk/2022/1027/2022102700013.pdf","prospectus")</f>
        <v/>
      </c>
      <c r="BX147" s="78">
        <f>HYPERLINK("https://www1.hkexnews.hk/listedco/listconews/sehk/2022/1107/2022110700010.htm","allotment")</f>
        <v/>
      </c>
      <c r="BY147" s="78">
        <f>HYPERLINK("https://www1.hkexnews.hk/listedco/listconews/sehk/2022/1201/2022120103355.pdf","stabilisation")</f>
        <v/>
      </c>
      <c r="BZ147" s="76" t="n"/>
      <c r="CA147" s="63" t="inlineStr">
        <is>
          <t>A/H: no A-share listing · sponsor: English name not in the filing text; AAStocks 保薦人 shown · market cap: prospectus 'market capitalisation' line rejected — it is the listing-rule threshold, not the issuer's figure ("e total issued share capital if the company has an expected market capitalization at the time of listing of no") · grey market: no grey-market headline on file for this deal — AAStocks publishes one per listing but keeps only recent items on the stock's news page, and no public archive of past evening sessions exists; captured from this run onward</t>
        </is>
      </c>
    </row>
    <row r="148" ht="15" customHeight="1">
      <c r="A148" s="62" t="inlineStr">
        <is>
          <t>6696</t>
        </is>
      </c>
      <c r="B148" s="63" t="inlineStr">
        <is>
          <t>MANY IDEA CLOUD</t>
        </is>
      </c>
      <c r="C148" s="63" t="inlineStr">
        <is>
          <t>多想雲</t>
        </is>
      </c>
      <c r="D148" s="63" t="inlineStr">
        <is>
          <t>TMT-other</t>
        </is>
      </c>
      <c r="E148" s="63" t="inlineStr">
        <is>
          <t>Media / advertising</t>
        </is>
      </c>
      <c r="F148" s="63" t="inlineStr">
        <is>
          <t>Advertising</t>
        </is>
      </c>
      <c r="G148" s="63" t="inlineStr">
        <is>
          <t>Standard</t>
        </is>
      </c>
      <c r="H148" s="64" t="n">
        <v>44874</v>
      </c>
      <c r="I148" s="65" t="n">
        <v>313.6</v>
      </c>
      <c r="J148" s="63" t="inlineStr">
        <is>
          <t>gross (price x shares)</t>
        </is>
      </c>
      <c r="K148" s="66" t="n">
        <v>1.88</v>
      </c>
      <c r="L148" s="66" t="n">
        <v>2.38</v>
      </c>
      <c r="M148" s="66" t="n">
        <v>1.96</v>
      </c>
      <c r="N148" s="63" t="inlineStr">
        <is>
          <t>N</t>
        </is>
      </c>
      <c r="O148" s="67" t="n">
        <v>82.40000000000001</v>
      </c>
      <c r="P148" s="67" t="n">
        <v>16</v>
      </c>
      <c r="Q148" s="68" t="n">
        <v>1833.4</v>
      </c>
      <c r="R148" s="63" t="inlineStr">
        <is>
          <t>aastocks:上市市值 at the struck price</t>
        </is>
      </c>
      <c r="S148" s="69" t="n">
        <v>2.81</v>
      </c>
      <c r="T148" s="70" t="n">
        <v>1.01</v>
      </c>
      <c r="U148" s="71" t="n">
        <v>3.32</v>
      </c>
      <c r="V148" s="68" t="n">
        <v>303.19</v>
      </c>
      <c r="W148" s="68" t="n">
        <v>154688000</v>
      </c>
      <c r="X148" s="67" t="n">
        <v>16.54</v>
      </c>
      <c r="Y148" s="63" t="inlineStr">
        <is>
          <t>Lai Shixian</t>
        </is>
      </c>
      <c r="Z148" s="63" t="inlineStr">
        <is>
          <t>lai</t>
        </is>
      </c>
      <c r="AA148" s="67" t="n">
        <v>15</v>
      </c>
      <c r="AB148" s="72" t="n"/>
      <c r="AC148" s="66" t="n"/>
      <c r="AD148" s="72" t="n"/>
      <c r="AE148" s="63" t="n"/>
      <c r="AF148" s="63" t="n"/>
      <c r="AG148" s="63" t="inlineStr">
        <is>
          <t>lapsed (no over-allocation)</t>
        </is>
      </c>
      <c r="AH148" s="63" t="n"/>
      <c r="AI148" s="63" t="inlineStr">
        <is>
          <t>Zhongtai International Securities Limited</t>
        </is>
      </c>
      <c r="AJ148" s="63" t="inlineStr">
        <is>
          <t>Zhongtai</t>
        </is>
      </c>
      <c r="AK148" s="73" t="n">
        <v>2.04</v>
      </c>
      <c r="AL148" s="72" t="n">
        <v>48.47</v>
      </c>
      <c r="AM148" s="72" t="n">
        <v>-31.27</v>
      </c>
      <c r="AN148" s="72" t="n">
        <v>-15.82</v>
      </c>
      <c r="AO148" s="72" t="n">
        <v>-64.29000000000001</v>
      </c>
      <c r="AP148" s="72" t="n">
        <v>-70.92</v>
      </c>
      <c r="AQ148" s="72" t="n">
        <v>-17.5</v>
      </c>
      <c r="AR148" s="72" t="n">
        <v>-65</v>
      </c>
      <c r="AS148" s="72" t="n">
        <v>-71.5</v>
      </c>
      <c r="AT148" s="72" t="n">
        <v>-26.08</v>
      </c>
      <c r="AU148" s="72" t="n">
        <v>-81.76000000000001</v>
      </c>
      <c r="AV148" s="72" t="n">
        <v>-98.44</v>
      </c>
      <c r="AW148" s="72" t="n">
        <v>-83.90000000000001</v>
      </c>
      <c r="AX148" s="72" t="n">
        <v>17.47</v>
      </c>
      <c r="AY148" s="72" t="n">
        <v>18.9</v>
      </c>
      <c r="AZ148" s="63" t="inlineStr">
        <is>
          <t>Hang Seng Index</t>
        </is>
      </c>
      <c r="BA148" s="72" t="n">
        <v>-92.5</v>
      </c>
      <c r="BB148" s="64" t="inlineStr">
        <is>
          <t>2026-03-30</t>
        </is>
      </c>
      <c r="BC148" s="65" t="n">
        <v>388.6</v>
      </c>
      <c r="BD148" s="68" t="n">
        <v>71.2</v>
      </c>
      <c r="BE148" s="63" t="inlineStr">
        <is>
          <t>Y</t>
        </is>
      </c>
      <c r="BF148" s="74" t="n">
        <v>25.8</v>
      </c>
      <c r="BG148" s="74" t="n"/>
      <c r="BH148" s="74" t="n"/>
      <c r="BI148" s="74" t="n">
        <v>4.7</v>
      </c>
      <c r="BJ148" s="75">
        <f>IF('BBG Verify'!S148="","not filed — run on terminal",'BBG Verify'!S148)</f>
        <v/>
      </c>
      <c r="BK148" s="76" t="inlineStr">
        <is>
          <t>N</t>
        </is>
      </c>
      <c r="BL148" s="77">
        <f>IF('BBG Verify'!K148="","not filed — run on terminal",'BBG Verify'!K148)</f>
        <v/>
      </c>
      <c r="BM148" s="63" t="inlineStr">
        <is>
          <t>N/A</t>
        </is>
      </c>
      <c r="BN148" s="63" t="inlineStr">
        <is>
          <t>N/A</t>
        </is>
      </c>
      <c r="BO148" s="63" t="inlineStr">
        <is>
          <t>N/A</t>
        </is>
      </c>
      <c r="BP148" s="63" t="inlineStr">
        <is>
          <t>N/A</t>
        </is>
      </c>
      <c r="BQ148" s="63" t="inlineStr">
        <is>
          <t>N/A</t>
        </is>
      </c>
      <c r="BR148" s="63" t="inlineStr">
        <is>
          <t>N/A</t>
        </is>
      </c>
      <c r="BS148" s="76" t="inlineStr">
        <is>
          <t>Zhongtai International Capital Limited</t>
        </is>
      </c>
      <c r="BT148" s="63" t="inlineStr">
        <is>
          <t>Zhongtai International Capital Limited</t>
        </is>
      </c>
      <c r="BU148" s="63" t="inlineStr">
        <is>
          <t>Zhongtai International Securities Limited; Sunfund Securities Limited; CLSALimited; Zheshang International Financial Holdings Co., Limited; SPDB International Capital Limited; BOCOM International Securities Limited; Shenwan Hongyuan Securities (H.K.) Limited; China Industrial Securities International Capital Limited; Guotai Junan Securities (Hong Kong) Limited; Maxa Capital Limited</t>
        </is>
      </c>
      <c r="BV148" s="63" t="inlineStr">
        <is>
          <t>Beta International Securities Limited; China Industrial Securities International Capital Limited; CLSA Limited; First Shanghai Securities Limited; Guotai Junan Securities (Hong Kong) Limited; Goldlink Securities Limited; Livermore Holdings Limited; Maxa Capital Limited; Shenwan Hongyuan Securities (H.K.) Limited; SPDB International Capital Limited; Sunfund Securities Limited; Tiger Brokers (HK) Global Limited</t>
        </is>
      </c>
      <c r="BW148" s="78">
        <f>HYPERLINK("https://www1.hkexnews.hk/listedco/listconews/sehk/2022/1028/2022102800015.pdf","prospectus")</f>
        <v/>
      </c>
      <c r="BX148" s="78">
        <f>HYPERLINK("https://www1.hkexnews.hk/listedco/listconews/sehk/2022/1108/2022110800012.htm","allotment")</f>
        <v/>
      </c>
      <c r="BY148" s="78">
        <f>HYPERLINK("https://www1.hkexnews.hk/listedco/listconews/sehk/2022/1202/2022120200787.pdf","stabilisation")</f>
        <v/>
      </c>
      <c r="BZ148" s="76" t="n"/>
      <c r="CA148" s="63" t="inlineStr">
        <is>
          <t>greenshoe: over-allotment outcome already published, and the allotment announcement does not state the stabilisation expiry in a parsable form — the expiry no longer matters once resolved · A/H: no A-share listing · returns: price returns exclude the entitlement value of: 2024-03-12 open offer 1-for-2 @ HK$0.15; 2025-11-26 rights 6-for-1 @ HK$0.4753 (post-consolidation) — Bloomberg's back-adjusted history divides by x1.242 · price series: no trading print since 2026-03-30 — the line is suspended or delisted; last_close and since-IPO are measured to the final traded session, not to today · grey market: no grey-market headline on file for this deal — AAStocks publishes one per listing but keeps only recent items on the stock's news page, and no public archive of past evening sessions exists; captured from this run onward</t>
        </is>
      </c>
    </row>
    <row r="149" ht="15" customHeight="1">
      <c r="A149" s="62" t="inlineStr">
        <is>
          <t>2420</t>
        </is>
      </c>
      <c r="B149" s="63" t="inlineStr">
        <is>
          <t>ZIBUYU</t>
        </is>
      </c>
      <c r="C149" s="63" t="inlineStr">
        <is>
          <t>子不語</t>
        </is>
      </c>
      <c r="D149" s="63" t="inlineStr">
        <is>
          <t>Tech/AI</t>
        </is>
      </c>
      <c r="E149" s="63" t="inlineStr">
        <is>
          <t>Internet platform / e-commerce</t>
        </is>
      </c>
      <c r="F149" s="63" t="inlineStr">
        <is>
          <t>e-Commerce &amp; Internet Services</t>
        </is>
      </c>
      <c r="G149" s="63" t="inlineStr">
        <is>
          <t>Standard</t>
        </is>
      </c>
      <c r="H149" s="64" t="n">
        <v>44876</v>
      </c>
      <c r="I149" s="65" t="n">
        <v>229.9</v>
      </c>
      <c r="J149" s="63" t="inlineStr">
        <is>
          <t>gross (price x shares)</t>
        </is>
      </c>
      <c r="K149" s="66" t="n">
        <v>7.86</v>
      </c>
      <c r="L149" s="66" t="n">
        <v>9.42</v>
      </c>
      <c r="M149" s="66" t="n">
        <v>7.86</v>
      </c>
      <c r="N149" s="63" t="inlineStr">
        <is>
          <t>N</t>
        </is>
      </c>
      <c r="O149" s="67" t="n">
        <v>83.40000000000001</v>
      </c>
      <c r="P149" s="67" t="n">
        <v>0</v>
      </c>
      <c r="Q149" s="68" t="n">
        <v>4580.8</v>
      </c>
      <c r="R149" s="63" t="inlineStr">
        <is>
          <t>aastocks:上市市值 at the struck price</t>
        </is>
      </c>
      <c r="S149" s="69" t="n">
        <v>1.91</v>
      </c>
      <c r="T149" s="70" t="n">
        <v>1.56</v>
      </c>
      <c r="U149" s="71" t="n">
        <v>37.9</v>
      </c>
      <c r="V149" s="68" t="n">
        <v>142.77</v>
      </c>
      <c r="W149" s="68" t="n">
        <v>18164250</v>
      </c>
      <c r="X149" s="67" t="n">
        <v>3.12</v>
      </c>
      <c r="Y149" s="63" t="inlineStr">
        <is>
          <t>De Well Group Singapore Pte. Ltd; GF Fund Management Co., Ltd; Zhejiang Eifini Industrial Co., Ltd</t>
        </is>
      </c>
      <c r="Z149" s="63" t="inlineStr">
        <is>
          <t>de;gf;zhejiang</t>
        </is>
      </c>
      <c r="AA149" s="67" t="n"/>
      <c r="AB149" s="72" t="n"/>
      <c r="AC149" s="66" t="n"/>
      <c r="AD149" s="72" t="n"/>
      <c r="AE149" s="63" t="n"/>
      <c r="AF149" s="63" t="n"/>
      <c r="AG149" s="63" t="n"/>
      <c r="AH149" s="63" t="n"/>
      <c r="AI149" s="63" t="n"/>
      <c r="AJ149" s="63" t="n"/>
      <c r="AK149" s="73" t="n">
        <v>5.47</v>
      </c>
      <c r="AL149" s="72" t="n">
        <v>6.36</v>
      </c>
      <c r="AM149" s="72" t="n">
        <v>-0.84</v>
      </c>
      <c r="AN149" s="72" t="n">
        <v>-16.41</v>
      </c>
      <c r="AO149" s="72" t="n">
        <v>-20.87</v>
      </c>
      <c r="AP149" s="72" t="n">
        <v>-33.84</v>
      </c>
      <c r="AQ149" s="72" t="n">
        <v>-20.75</v>
      </c>
      <c r="AR149" s="72" t="n">
        <v>-24.97</v>
      </c>
      <c r="AS149" s="72" t="n">
        <v>-37.27</v>
      </c>
      <c r="AT149" s="72" t="n">
        <v>-34.21</v>
      </c>
      <c r="AU149" s="72" t="n">
        <v>-52.69</v>
      </c>
      <c r="AV149" s="72" t="n">
        <v>-71.23</v>
      </c>
      <c r="AW149" s="72" t="n">
        <v>-44.55</v>
      </c>
      <c r="AX149" s="72" t="n">
        <v>31.82</v>
      </c>
      <c r="AY149" s="72" t="n">
        <v>19.58</v>
      </c>
      <c r="AZ149" s="63" t="inlineStr">
        <is>
          <t>HSTECH (Hang Seng TECH ETF)</t>
        </is>
      </c>
      <c r="BA149" s="72" t="n">
        <v>-47.33</v>
      </c>
      <c r="BB149" s="64" t="inlineStr">
        <is>
          <t>2026-08-28</t>
        </is>
      </c>
      <c r="BC149" s="65" t="n">
        <v>2581.2</v>
      </c>
      <c r="BD149" s="68" t="n">
        <v>89.2</v>
      </c>
      <c r="BE149" s="63" t="inlineStr">
        <is>
          <t>Y</t>
        </is>
      </c>
      <c r="BF149" s="74" t="n">
        <v>51.4</v>
      </c>
      <c r="BG149" s="74" t="n"/>
      <c r="BH149" s="74" t="n">
        <v>5.9</v>
      </c>
      <c r="BI149" s="74" t="n">
        <v>1.8</v>
      </c>
      <c r="BJ149" s="75">
        <f>IF('BBG Verify'!S149="","not filed — run on terminal",'BBG Verify'!S149)</f>
        <v/>
      </c>
      <c r="BK149" s="76" t="inlineStr">
        <is>
          <t>N</t>
        </is>
      </c>
      <c r="BL149" s="77">
        <f>IF('BBG Verify'!K149="","not filed — run on terminal",'BBG Verify'!K149)</f>
        <v/>
      </c>
      <c r="BM149" s="63" t="inlineStr">
        <is>
          <t>N/A</t>
        </is>
      </c>
      <c r="BN149" s="63" t="inlineStr">
        <is>
          <t>N/A</t>
        </is>
      </c>
      <c r="BO149" s="63" t="inlineStr">
        <is>
          <t>N/A</t>
        </is>
      </c>
      <c r="BP149" s="63" t="inlineStr">
        <is>
          <t>N/A</t>
        </is>
      </c>
      <c r="BQ149" s="63" t="inlineStr">
        <is>
          <t>N/A</t>
        </is>
      </c>
      <c r="BR149" s="63" t="inlineStr">
        <is>
          <t>N/A</t>
        </is>
      </c>
      <c r="BS149" s="76" t="inlineStr">
        <is>
          <t>and Sponsor-OC Huatai Financial Holdings (Hong Kong) Limited; ABCI Capital Limited</t>
        </is>
      </c>
      <c r="BT149" s="63" t="inlineStr">
        <is>
          <t>Huatai Financial Holdings (Hong Kong) Limited; ABCI Capital Limited</t>
        </is>
      </c>
      <c r="BU149" s="63" t="inlineStr">
        <is>
          <t>Huatai Financial Holdings (Hong Kong) Limited; ABCI Capital Limited; Shenwan Hongyuan Securities (H.K.) Limited; BOCOM International Securities Limited</t>
        </is>
      </c>
      <c r="BV149" s="63" t="inlineStr">
        <is>
          <t>ABCI Securities Company Limited; Beta International Securities Limited; Futu Securities International (Hong Kong) Limited; Guotai Junan Securities (Hong Kong) Limited; Huatai Financial Holdings (Hong Kong) Limited; Shenwan Hongyuan Securities (H.K.) Limited; Victory Securities Company Limited</t>
        </is>
      </c>
      <c r="BW149" s="78">
        <f>HYPERLINK("https://www1.hkexnews.hk/listedco/listconews/sehk/2022/1031/2022103100013.pdf","prospectus")</f>
        <v/>
      </c>
      <c r="BX149" s="78">
        <f>HYPERLINK("https://www1.hkexnews.hk/listedco/listconews/sehk/2022/1110/2022111000034.htm","allotment")</f>
        <v/>
      </c>
      <c r="BY149" s="63" t="n"/>
      <c r="BZ149" s="76" t="n"/>
      <c r="CA149" s="63" t="inlineStr">
        <is>
          <t>greenshoe: no over-allotment option in the offer structure · A/H: no A-share listing · market cap: estimate from stated market capitalisation, rescaled to the offer price disagreed with the published listing cap — published figure adopted · cornerstone: AAStocks institutional table includes non-cornerstone orders (superset) — cornerstone % is from the prospectus · greenshoe size: no over-allotment option in the offer structure · stabilising manager: the filing states no stabilising manager will be appointed — a filed fact, not an extraction gap (allotment announcement: 'no stabilizing manager will be appointed' stated in the filing) · grey market: no grey-market headline on file for this deal — AAStocks publishes one per listing but keeps only recent items on the stock's news page, and no public archive of past evening sessions exists; captured from this run onward</t>
        </is>
      </c>
    </row>
    <row r="150" ht="15" customHeight="1">
      <c r="A150" s="62" t="inlineStr">
        <is>
          <t>1407</t>
        </is>
      </c>
      <c r="B150" s="63" t="inlineStr">
        <is>
          <t>JY GAS</t>
        </is>
      </c>
      <c r="C150" s="63" t="inlineStr">
        <is>
          <t>交運燃氣</t>
        </is>
      </c>
      <c r="D150" s="63" t="inlineStr">
        <is>
          <t>Materials/Energy</t>
        </is>
      </c>
      <c r="E150" s="63" t="inlineStr">
        <is>
          <t>Oil &amp; gas / utilities</t>
        </is>
      </c>
      <c r="F150" s="63" t="inlineStr">
        <is>
          <t>Gas Utilities</t>
        </is>
      </c>
      <c r="G150" s="63" t="inlineStr">
        <is>
          <t>Standard</t>
        </is>
      </c>
      <c r="H150" s="64" t="n">
        <v>44881</v>
      </c>
      <c r="I150" s="65" t="n">
        <v>156.2</v>
      </c>
      <c r="J150" s="63" t="inlineStr">
        <is>
          <t>gross (price x shares)</t>
        </is>
      </c>
      <c r="K150" s="66" t="n">
        <v>1.42</v>
      </c>
      <c r="L150" s="66" t="n">
        <v>1.62</v>
      </c>
      <c r="M150" s="66" t="n">
        <v>1.42</v>
      </c>
      <c r="N150" s="63" t="inlineStr">
        <is>
          <t>N</t>
        </is>
      </c>
      <c r="O150" s="67" t="n">
        <v>87.7</v>
      </c>
      <c r="P150" s="67" t="n">
        <v>0</v>
      </c>
      <c r="Q150" s="68" t="n">
        <v>701.9</v>
      </c>
      <c r="R150" s="63" t="inlineStr">
        <is>
          <t>aastocks:上市市值 at the struck price</t>
        </is>
      </c>
      <c r="S150" s="69" t="n">
        <v>7.15</v>
      </c>
      <c r="T150" s="70" t="n">
        <v>1.17</v>
      </c>
      <c r="U150" s="71" t="n">
        <v>0</v>
      </c>
      <c r="V150" s="68" t="n">
        <v>156.2</v>
      </c>
      <c r="W150" s="68" t="n">
        <v>110000000</v>
      </c>
      <c r="X150" s="67" t="n">
        <v>22.25</v>
      </c>
      <c r="Y150" s="63" t="n"/>
      <c r="Z150" s="63" t="n"/>
      <c r="AA150" s="67" t="n">
        <v>10</v>
      </c>
      <c r="AB150" s="72" t="n"/>
      <c r="AC150" s="66" t="n"/>
      <c r="AD150" s="72" t="n"/>
      <c r="AE150" s="63" t="n"/>
      <c r="AF150" s="63" t="n"/>
      <c r="AG150" s="63" t="inlineStr">
        <is>
          <t>lapsed (no over-allocation)</t>
        </is>
      </c>
      <c r="AH150" s="63" t="inlineStr">
        <is>
          <t>2022-12-07</t>
        </is>
      </c>
      <c r="AI150" s="63" t="inlineStr">
        <is>
          <t>China Industrial Securities International Capital Limited</t>
        </is>
      </c>
      <c r="AJ150" s="63" t="inlineStr">
        <is>
          <t>China Industrial</t>
        </is>
      </c>
      <c r="AK150" s="73" t="n">
        <v>0</v>
      </c>
      <c r="AL150" s="72" t="n">
        <v>7.04</v>
      </c>
      <c r="AM150" s="72" t="n">
        <v>-6.58</v>
      </c>
      <c r="AN150" s="72" t="n">
        <v>-5.63</v>
      </c>
      <c r="AO150" s="72" t="n">
        <v>-25.35</v>
      </c>
      <c r="AP150" s="72" t="n">
        <v>-47.89</v>
      </c>
      <c r="AQ150" s="72" t="n">
        <v>-5.63</v>
      </c>
      <c r="AR150" s="72" t="n">
        <v>-25.35</v>
      </c>
      <c r="AS150" s="72" t="n">
        <v>-47.89</v>
      </c>
      <c r="AT150" s="72" t="n">
        <v>0.57</v>
      </c>
      <c r="AU150" s="72" t="n">
        <v>-30.25</v>
      </c>
      <c r="AV150" s="72" t="n">
        <v>-58.57</v>
      </c>
      <c r="AW150" s="72" t="n">
        <v>-30.56</v>
      </c>
      <c r="AX150" s="72" t="n">
        <v>4.9</v>
      </c>
      <c r="AY150" s="72" t="n">
        <v>5.21</v>
      </c>
      <c r="AZ150" s="63" t="inlineStr">
        <is>
          <t>Hang Seng Commerce &amp; Industry sub-index</t>
        </is>
      </c>
      <c r="BA150" s="72" t="n">
        <v>-57.75</v>
      </c>
      <c r="BB150" s="64" t="inlineStr">
        <is>
          <t>2026-08-28</t>
        </is>
      </c>
      <c r="BC150" s="65" t="n">
        <v>485</v>
      </c>
      <c r="BD150" s="68" t="n">
        <v>75.2</v>
      </c>
      <c r="BE150" s="63" t="inlineStr">
        <is>
          <t>Y</t>
        </is>
      </c>
      <c r="BF150" s="74" t="n">
        <v>9.300000000000001</v>
      </c>
      <c r="BG150" s="74" t="n"/>
      <c r="BH150" s="74" t="n">
        <v>8.1</v>
      </c>
      <c r="BI150" s="74" t="n">
        <v>1.4</v>
      </c>
      <c r="BJ150" s="75">
        <f>IF('BBG Verify'!S150="","not filed — run on terminal",'BBG Verify'!S150)</f>
        <v/>
      </c>
      <c r="BK150" s="76" t="inlineStr">
        <is>
          <t>N</t>
        </is>
      </c>
      <c r="BL150" s="77">
        <f>IF('BBG Verify'!K150="","not filed — run on terminal",'BBG Verify'!K150)</f>
        <v/>
      </c>
      <c r="BM150" s="63" t="inlineStr">
        <is>
          <t>N/A</t>
        </is>
      </c>
      <c r="BN150" s="63" t="inlineStr">
        <is>
          <t>N/A</t>
        </is>
      </c>
      <c r="BO150" s="63" t="inlineStr">
        <is>
          <t>N/A</t>
        </is>
      </c>
      <c r="BP150" s="63" t="inlineStr">
        <is>
          <t>N/A</t>
        </is>
      </c>
      <c r="BQ150" s="63" t="inlineStr">
        <is>
          <t>N/A</t>
        </is>
      </c>
      <c r="BR150" s="63" t="inlineStr">
        <is>
          <t>N/A</t>
        </is>
      </c>
      <c r="BS150" s="76" t="inlineStr">
        <is>
          <t>China Industrial Securities International Capital Limited</t>
        </is>
      </c>
      <c r="BT150" s="63" t="inlineStr">
        <is>
          <t>China Industrial Securities International Capital Limited</t>
        </is>
      </c>
      <c r="BU150" s="63" t="inlineStr">
        <is>
          <t>China Industrial Securities International Capital Limited; ABCI Capital Limited; ICBC International Capital Limited; CCB International Capital Limited; BOCOM International Securities Limited; CMBC Securities Company Limited; SPDB International Capital Limited; Zhongtai International Securities Limited; China Everbright Securities (HK) Limited; SBI China Capital Financial Services Limited; Livermore Holdings Limited; Valuable Capital Limited</t>
        </is>
      </c>
      <c r="BV150" s="63" t="inlineStr">
        <is>
          <t>ABCI Securities Company Limited; Beta International Securities Limited; CCB International Capital Limited; CEB International Capital Corporation Limited; China Everbright Securities (HK) Limited; China Industrial Securities International Capital Limited; CMBC Securities Company Limited; ICBC International Securities Limited; Livermore Holdings Limited; Maxa Capital Limited; SBI China Capital Financial Services Limited; SPDB International Capital Limited</t>
        </is>
      </c>
      <c r="BW150" s="78">
        <f>HYPERLINK("https://www1.hkexnews.hk/listedco/listconews/sehk/2022/1031/2022103100007.pdf","prospectus")</f>
        <v/>
      </c>
      <c r="BX150" s="78">
        <f>HYPERLINK("https://www1.hkexnews.hk/listedco/listconews/sehk/2022/1115/2022111500160.htm","allotment")</f>
        <v/>
      </c>
      <c r="BY150" s="78">
        <f>HYPERLINK("https://www1.hkexnews.hk/listedco/listconews/sehk/2022/1208/2022120800587.pdf","stabilisation")</f>
        <v/>
      </c>
      <c r="BZ150" s="76" t="n"/>
      <c r="CA150" s="63" t="inlineStr">
        <is>
          <t>A/H: no A-share listing · market cap: estimate from deal size / offer % of enlarged capital disagreed with the published listing cap — published figure adopted · cornerstone list: no cornerstone tranche in this deal · grey market: no grey-market headline on file for this deal — AAStocks publishes one per listing but keeps only recent items on the stock's news page, and no public archive of past evening sessions exists; captured from this run onward</t>
        </is>
      </c>
    </row>
    <row r="151" ht="15" customHeight="1">
      <c r="A151" s="62" t="inlineStr">
        <is>
          <t>2436</t>
        </is>
      </c>
      <c r="B151" s="63" t="inlineStr">
        <is>
          <t>LX TECHNOLOGY</t>
        </is>
      </c>
      <c r="C151" s="63" t="inlineStr">
        <is>
          <t>凌雄科技</t>
        </is>
      </c>
      <c r="D151" s="63" t="inlineStr">
        <is>
          <t>Tech/AI</t>
        </is>
      </c>
      <c r="E151" s="63" t="inlineStr">
        <is>
          <t>SaaS / enterprise software</t>
        </is>
      </c>
      <c r="F151" s="63" t="inlineStr">
        <is>
          <t>Computer Storage &amp; Peripherals</t>
        </is>
      </c>
      <c r="G151" s="63" t="inlineStr">
        <is>
          <t>Standard</t>
        </is>
      </c>
      <c r="H151" s="64" t="n">
        <v>44889</v>
      </c>
      <c r="I151" s="65" t="n">
        <v>404.8</v>
      </c>
      <c r="J151" s="63" t="inlineStr">
        <is>
          <t>gross (price x shares)</t>
        </is>
      </c>
      <c r="K151" s="66" t="n">
        <v>7.6</v>
      </c>
      <c r="L151" s="66" t="n">
        <v>8.74</v>
      </c>
      <c r="M151" s="66" t="n">
        <v>7.6</v>
      </c>
      <c r="N151" s="63" t="inlineStr">
        <is>
          <t>N</t>
        </is>
      </c>
      <c r="O151" s="67" t="n">
        <v>87</v>
      </c>
      <c r="P151" s="67" t="n">
        <v>0</v>
      </c>
      <c r="Q151" s="68" t="n">
        <v>2684.4</v>
      </c>
      <c r="R151" s="63" t="inlineStr">
        <is>
          <t>derived:deal size / offer % of enlarged capital</t>
        </is>
      </c>
      <c r="S151" s="69" t="n">
        <v>15</v>
      </c>
      <c r="T151" s="70" t="n">
        <v>1.12</v>
      </c>
      <c r="U151" s="71" t="n">
        <v>0</v>
      </c>
      <c r="V151" s="68" t="n">
        <v>404.8</v>
      </c>
      <c r="W151" s="68" t="n">
        <v>53259000</v>
      </c>
      <c r="X151" s="67" t="n">
        <v>15.08</v>
      </c>
      <c r="Y151" s="63" t="n"/>
      <c r="Z151" s="63" t="n"/>
      <c r="AA151" s="67" t="n">
        <v>5.06</v>
      </c>
      <c r="AB151" s="72" t="n"/>
      <c r="AC151" s="66" t="n"/>
      <c r="AD151" s="72" t="n"/>
      <c r="AE151" s="63" t="n"/>
      <c r="AF151" s="63" t="n"/>
      <c r="AG151" s="63" t="n"/>
      <c r="AH151" s="63" t="inlineStr">
        <is>
          <t>2022-12-17</t>
        </is>
      </c>
      <c r="AI151" s="63" t="inlineStr">
        <is>
          <t>Haitong International Securities Company Limited</t>
        </is>
      </c>
      <c r="AJ151" s="63" t="inlineStr">
        <is>
          <t>Haitong</t>
        </is>
      </c>
      <c r="AK151" s="73" t="n">
        <v>2.63</v>
      </c>
      <c r="AL151" s="72" t="n">
        <v>3.95</v>
      </c>
      <c r="AM151" s="72" t="n">
        <v>-1.27</v>
      </c>
      <c r="AN151" s="72" t="n">
        <v>18.29</v>
      </c>
      <c r="AO151" s="72" t="n">
        <v>43.42</v>
      </c>
      <c r="AP151" s="72" t="n">
        <v>77.37</v>
      </c>
      <c r="AQ151" s="72" t="n">
        <v>15.26</v>
      </c>
      <c r="AR151" s="72" t="n">
        <v>39.74</v>
      </c>
      <c r="AS151" s="72" t="n">
        <v>72.81999999999999</v>
      </c>
      <c r="AT151" s="72" t="n">
        <v>10.48</v>
      </c>
      <c r="AU151" s="72" t="n">
        <v>27.34</v>
      </c>
      <c r="AV151" s="72" t="n">
        <v>59.87</v>
      </c>
      <c r="AW151" s="72" t="n">
        <v>24.58</v>
      </c>
      <c r="AX151" s="72" t="n">
        <v>16.08</v>
      </c>
      <c r="AY151" s="72" t="n">
        <v>15.16</v>
      </c>
      <c r="AZ151" s="63" t="inlineStr">
        <is>
          <t>HSTECH (Hang Seng TECH ETF)</t>
        </is>
      </c>
      <c r="BA151" s="72" t="n">
        <v>176.32</v>
      </c>
      <c r="BB151" s="64" t="inlineStr">
        <is>
          <t>2026-08-28</t>
        </is>
      </c>
      <c r="BC151" s="65" t="n">
        <v>1463.4</v>
      </c>
      <c r="BD151" s="68" t="n">
        <v>-493.6</v>
      </c>
      <c r="BE151" s="63" t="inlineStr">
        <is>
          <t>N</t>
        </is>
      </c>
      <c r="BF151" s="63" t="inlineStr">
        <is>
          <t>n/m</t>
        </is>
      </c>
      <c r="BG151" s="74" t="n"/>
      <c r="BH151" s="74" t="n">
        <v>360.2</v>
      </c>
      <c r="BI151" s="74" t="n">
        <v>1.8</v>
      </c>
      <c r="BJ151" s="75">
        <f>IF('BBG Verify'!S151="","not filed — run on terminal",'BBG Verify'!S151)</f>
        <v/>
      </c>
      <c r="BK151" s="76" t="inlineStr">
        <is>
          <t>N</t>
        </is>
      </c>
      <c r="BL151" s="77">
        <f>IF('BBG Verify'!K151="","not filed — run on terminal",'BBG Verify'!K151)</f>
        <v/>
      </c>
      <c r="BM151" s="63" t="inlineStr">
        <is>
          <t>N/A</t>
        </is>
      </c>
      <c r="BN151" s="63" t="inlineStr">
        <is>
          <t>N/A</t>
        </is>
      </c>
      <c r="BO151" s="63" t="inlineStr">
        <is>
          <t>N/A</t>
        </is>
      </c>
      <c r="BP151" s="63" t="inlineStr">
        <is>
          <t>N/A</t>
        </is>
      </c>
      <c r="BQ151" s="63" t="inlineStr">
        <is>
          <t>N/A</t>
        </is>
      </c>
      <c r="BR151" s="63" t="inlineStr">
        <is>
          <t>N/A</t>
        </is>
      </c>
      <c r="BS151" s="76" t="inlineStr">
        <is>
          <t>Haitong International Capital Limited</t>
        </is>
      </c>
      <c r="BT151" s="63" t="inlineStr">
        <is>
          <t>Haitong International Capital Limited</t>
        </is>
      </c>
      <c r="BU151" s="63" t="inlineStr">
        <is>
          <t>Haitong International Securities Company Limited; Futu Securities International (Hong Kong) Limited; Tiger Brokers (HK) Global Limited; Dragonstone Capital Management Limited</t>
        </is>
      </c>
      <c r="BV151" s="63" t="inlineStr">
        <is>
          <t>CSFG International Securities Limited; Dragonstone Capital Management Limited; Futu Securities International (Hong Kong) Limited; Haitong International Securities Company Limited; Maxa Capital Limited; Sinomax Securities Limited; Tiger Brokers (HK) Global Limited</t>
        </is>
      </c>
      <c r="BW151" s="78">
        <f>HYPERLINK("https://www1.hkexnews.hk/listedco/listconews/sehk/2022/1114/2022111400005.pdf","prospectus")</f>
        <v/>
      </c>
      <c r="BX151" s="78">
        <f>HYPERLINK("https://www1.hkexnews.hk/listedco/listconews/sehk/2022/1123/2022112300038.htm","allotment")</f>
        <v/>
      </c>
      <c r="BY151" s="63" t="n"/>
      <c r="BZ151" s="76" t="n"/>
      <c r="CA151" s="63" t="inlineStr">
        <is>
          <t>P/E: n/m — loss-making at IPO (use P/S) · greenshoe: end-of-stabilisation notice not located · A/H: no A-share listing · cornerstone list: no cornerstone tranche in this deal · grey market: no grey-market headline on file for this deal — AAStocks publishes one per listing but keeps only recent items on the stock's news page, and no public archive of past evening sessions exists; captured from this run onward</t>
        </is>
      </c>
    </row>
    <row r="152" ht="15" customHeight="1">
      <c r="A152" s="62" t="inlineStr">
        <is>
          <t>3660</t>
        </is>
      </c>
      <c r="B152" s="63" t="inlineStr">
        <is>
          <t>360 DIGITECH-S</t>
        </is>
      </c>
      <c r="C152" s="63" t="inlineStr">
        <is>
          <t>奇富科技－Ｓ</t>
        </is>
      </c>
      <c r="D152" s="63" t="inlineStr">
        <is>
          <t>Tech/AI</t>
        </is>
      </c>
      <c r="E152" s="63" t="inlineStr">
        <is>
          <t>Fintech platform</t>
        </is>
      </c>
      <c r="F152" s="63" t="inlineStr">
        <is>
          <t>Other Diversified Financial Services</t>
        </is>
      </c>
      <c r="G152" s="63" t="inlineStr">
        <is>
          <t>Secondary</t>
        </is>
      </c>
      <c r="H152" s="64" t="n">
        <v>44894</v>
      </c>
      <c r="I152" s="65" t="n">
        <v>277.2</v>
      </c>
      <c r="J152" s="63" t="inlineStr">
        <is>
          <t>gross (price x shares)</t>
        </is>
      </c>
      <c r="K152" s="66" t="n"/>
      <c r="L152" s="66" t="n">
        <v>50.03</v>
      </c>
      <c r="M152" s="66" t="n">
        <v>50.03</v>
      </c>
      <c r="N152" s="63" t="inlineStr">
        <is>
          <t>Y</t>
        </is>
      </c>
      <c r="O152" s="67" t="n">
        <v>100</v>
      </c>
      <c r="P152" s="67" t="n"/>
      <c r="Q152" s="68" t="n">
        <v>28200</v>
      </c>
      <c r="R152" s="63" t="inlineStr">
        <is>
          <t>prospectus:stated market capitalisation</t>
        </is>
      </c>
      <c r="S152" s="69" t="n">
        <v>2.46</v>
      </c>
      <c r="T152" s="70" t="n">
        <v>5.3</v>
      </c>
      <c r="U152" s="71" t="n"/>
      <c r="V152" s="68" t="n">
        <v>277.2</v>
      </c>
      <c r="W152" s="68" t="n">
        <v>5540000</v>
      </c>
      <c r="X152" s="67" t="n">
        <v>0.98</v>
      </c>
      <c r="Y152" s="63" t="n"/>
      <c r="Z152" s="63" t="n"/>
      <c r="AA152" s="67" t="n">
        <v>10</v>
      </c>
      <c r="AB152" s="72" t="n"/>
      <c r="AC152" s="66" t="n"/>
      <c r="AD152" s="72" t="n"/>
      <c r="AE152" s="63" t="n"/>
      <c r="AF152" s="63" t="n"/>
      <c r="AG152" s="63" t="n"/>
      <c r="AH152" s="63" t="inlineStr">
        <is>
          <t>2022-12-23</t>
        </is>
      </c>
      <c r="AI152" s="63" t="inlineStr">
        <is>
          <t>Citigroup Global Markets Asia Limited</t>
        </is>
      </c>
      <c r="AJ152" s="63" t="inlineStr">
        <is>
          <t>Citigroup</t>
        </is>
      </c>
      <c r="AK152" s="73" t="n">
        <v>3.44</v>
      </c>
      <c r="AL152" s="72" t="n">
        <v>1.14</v>
      </c>
      <c r="AM152" s="72" t="n">
        <v>2.27</v>
      </c>
      <c r="AN152" s="72" t="n">
        <v>33.82</v>
      </c>
      <c r="AO152" s="72" t="n">
        <v>57.31</v>
      </c>
      <c r="AP152" s="72" t="n">
        <v>67.90000000000001</v>
      </c>
      <c r="AQ152" s="72" t="n">
        <v>29.37</v>
      </c>
      <c r="AR152" s="72" t="n">
        <v>52.08</v>
      </c>
      <c r="AS152" s="72" t="n">
        <v>62.32</v>
      </c>
      <c r="AT152" s="72" t="n">
        <v>12.92</v>
      </c>
      <c r="AU152" s="72" t="n">
        <v>37.06</v>
      </c>
      <c r="AV152" s="72" t="n">
        <v>46.65</v>
      </c>
      <c r="AW152" s="72" t="n">
        <v>40.83</v>
      </c>
      <c r="AX152" s="72" t="n">
        <v>20.25</v>
      </c>
      <c r="AY152" s="72" t="n">
        <v>11.25</v>
      </c>
      <c r="AZ152" s="63" t="inlineStr">
        <is>
          <t>HSTECH (Hang Seng TECH ETF)</t>
        </is>
      </c>
      <c r="BA152" s="72" t="n">
        <v>-26.24</v>
      </c>
      <c r="BB152" s="64" t="inlineStr">
        <is>
          <t>2026-08-28</t>
        </is>
      </c>
      <c r="BC152" s="65" t="n">
        <v>18299.2</v>
      </c>
      <c r="BD152" s="68" t="n">
        <v>6359.9</v>
      </c>
      <c r="BE152" s="63" t="inlineStr">
        <is>
          <t>Y</t>
        </is>
      </c>
      <c r="BF152" s="74" t="n">
        <v>4.4</v>
      </c>
      <c r="BG152" s="74" t="n"/>
      <c r="BH152" s="74" t="n"/>
      <c r="BI152" s="74" t="n">
        <v>1.5</v>
      </c>
      <c r="BJ152" s="75">
        <f>IF('BBG Verify'!S152="","not filed — run on terminal",'BBG Verify'!S152)</f>
        <v/>
      </c>
      <c r="BK152" s="76" t="inlineStr">
        <is>
          <t>N</t>
        </is>
      </c>
      <c r="BL152" s="77">
        <f>IF('BBG Verify'!K152="","not filed — run on terminal",'BBG Verify'!K152)</f>
        <v/>
      </c>
      <c r="BM152" s="63" t="inlineStr">
        <is>
          <t>N/A</t>
        </is>
      </c>
      <c r="BN152" s="63" t="inlineStr">
        <is>
          <t>N/A</t>
        </is>
      </c>
      <c r="BO152" s="63" t="inlineStr">
        <is>
          <t>N/A</t>
        </is>
      </c>
      <c r="BP152" s="63" t="inlineStr">
        <is>
          <t>N/A</t>
        </is>
      </c>
      <c r="BQ152" s="63" t="inlineStr">
        <is>
          <t>N/A</t>
        </is>
      </c>
      <c r="BR152" s="63" t="inlineStr">
        <is>
          <t>N/A</t>
        </is>
      </c>
      <c r="BS152" s="76" t="n"/>
      <c r="BT152" s="63" t="inlineStr">
        <is>
          <t>China International Capital Corporation Hong Kong Securities Limited; Citigroup Global Markets Asia Limited</t>
        </is>
      </c>
      <c r="BU152" s="63" t="inlineStr">
        <is>
          <t>CCB International Capital Limited; Citigroup Global Markets Asia Limited; China International Capital Corporation Hong Kong Securities Limited; Futu Securities International (Hong Kong) Limited; Livermore Holdings Limited; Tiger Brokers (HK) Global Limited</t>
        </is>
      </c>
      <c r="BV152" s="63" t="inlineStr">
        <is>
          <t>CCB International Capital Limited; Citigroup Global Markets Asia Limited; China International Capital Corporation Hong Kong Securities Limited; Futu Securities International (Hong Kong) Limited; Livermore Holdings Limited; Tiger Brokers (HK) Global Limited</t>
        </is>
      </c>
      <c r="BW152" s="78">
        <f>HYPERLINK("https://www1.hkexnews.hk/listedco/listconews/sehk/2022/1118/2022111800030.htm","prospectus")</f>
        <v/>
      </c>
      <c r="BX152" s="78">
        <f>HYPERLINK("https://www1.hkexnews.hk/listedco/listconews/sehk/2022/1128/2022112800016.htm","allotment")</f>
        <v/>
      </c>
      <c r="BY152" s="78">
        <f>HYPERLINK("https://www1.hkexnews.hk/listedco/listconews/sehk/2022/1223/2022122300416.pdf","stabilisation")</f>
        <v/>
      </c>
      <c r="BZ152" s="76" t="n"/>
      <c r="CA152" s="63" t="inlineStr">
        <is>
          <t>greenshoe: end-of-stabilisation notice not located · price range: fixed-price offering (no indicative range) · range low: cap-only pricing — the filing publishes a Maximum Offer Price and no indicative floor · A/H: no A-share listing · sponsor: English name not in the filing text; AAStocks 保薦人 shown · cornerstone list: cornerstone section not machine-extractable — see the prospectus link · cornerstone %: cornerstone aggregate not stated in the filing · grey market: no grey-market headline on file for this deal — AAStocks publishes one per listing but keeps only recent items on the stock's news page, and no public archive of past evening sessions exists; captured from this run onward · stabilisation notice: notice located and linked; its outcome wording is not one of the recognised forms, so the over-allotment result is left blank rather than guessed</t>
        </is>
      </c>
    </row>
    <row r="153" ht="15" customHeight="1">
      <c r="A153" s="62" t="inlineStr">
        <is>
          <t>2245</t>
        </is>
      </c>
      <c r="B153" s="63" t="inlineStr">
        <is>
          <t>LYGEND RESOURCE</t>
        </is>
      </c>
      <c r="C153" s="63" t="inlineStr">
        <is>
          <t>力勤資源</t>
        </is>
      </c>
      <c r="D153" s="63" t="inlineStr">
        <is>
          <t>Materials/Energy</t>
        </is>
      </c>
      <c r="E153" s="63" t="inlineStr">
        <is>
          <t>Mining / metals</t>
        </is>
      </c>
      <c r="F153" s="63" t="inlineStr">
        <is>
          <t>Diversified Metals &amp; Minerals</t>
        </is>
      </c>
      <c r="G153" s="63" t="inlineStr">
        <is>
          <t>Standard</t>
        </is>
      </c>
      <c r="H153" s="64" t="n">
        <v>44896</v>
      </c>
      <c r="I153" s="65" t="n">
        <v>3674.3</v>
      </c>
      <c r="J153" s="63" t="inlineStr">
        <is>
          <t>gross (price x shares)</t>
        </is>
      </c>
      <c r="K153" s="66" t="n"/>
      <c r="L153" s="66" t="n">
        <v>15.8</v>
      </c>
      <c r="M153" s="66" t="n">
        <v>15.8</v>
      </c>
      <c r="N153" s="63" t="inlineStr">
        <is>
          <t>Y</t>
        </is>
      </c>
      <c r="O153" s="67" t="n">
        <v>100</v>
      </c>
      <c r="P153" s="67" t="n"/>
      <c r="Q153" s="68" t="n">
        <v>27664.5</v>
      </c>
      <c r="R153" s="63" t="inlineStr">
        <is>
          <t>aastocks:上市市值 at the struck price</t>
        </is>
      </c>
      <c r="S153" s="69" t="n">
        <v>1.47</v>
      </c>
      <c r="T153" s="70" t="n">
        <v>1.4</v>
      </c>
      <c r="U153" s="71" t="n">
        <v>69.40000000000001</v>
      </c>
      <c r="V153" s="68" t="n">
        <v>1124.34</v>
      </c>
      <c r="W153" s="68" t="n">
        <v>71159566</v>
      </c>
      <c r="X153" s="67" t="n">
        <v>4.06</v>
      </c>
      <c r="Y153" s="63" t="inlineStr">
        <is>
          <t>China State-Owned Enterprise Mixed Ownership Reform Fund Co., Ltd; GEM Hong Kong International Co., Limited; Hongkong Brunp and Catl Co., Limited; Hubei Ronbay Battery Triangle No. 1 Equity Investment Fund Partnership; Ningbo Yinzhou District Financial Holding Co., Ltd</t>
        </is>
      </c>
      <c r="Z153" s="63" t="inlineStr">
        <is>
          <t>state-owned;gem;hongkong;hubei;ningbo</t>
        </is>
      </c>
      <c r="AA153" s="67" t="n"/>
      <c r="AB153" s="72" t="n"/>
      <c r="AC153" s="66" t="n"/>
      <c r="AD153" s="72" t="n"/>
      <c r="AE153" s="63" t="n"/>
      <c r="AF153" s="63" t="n"/>
      <c r="AG153" s="63" t="inlineStr">
        <is>
          <t>partial</t>
        </is>
      </c>
      <c r="AH153" s="63" t="inlineStr">
        <is>
          <t>2022-12-24</t>
        </is>
      </c>
      <c r="AI153" s="63" t="inlineStr">
        <is>
          <t>China International Capital Corporation Hong Kong Securities Limited</t>
        </is>
      </c>
      <c r="AJ153" s="63" t="inlineStr">
        <is>
          <t>China International</t>
        </is>
      </c>
      <c r="AK153" s="73" t="n">
        <v>0</v>
      </c>
      <c r="AL153" s="72" t="n">
        <v>0</v>
      </c>
      <c r="AM153" s="72" t="n">
        <v>0</v>
      </c>
      <c r="AN153" s="72" t="n">
        <v>-3.67</v>
      </c>
      <c r="AO153" s="72" t="n">
        <v>1.14</v>
      </c>
      <c r="AP153" s="72" t="n">
        <v>-19.37</v>
      </c>
      <c r="AQ153" s="72" t="n">
        <v>-3.67</v>
      </c>
      <c r="AR153" s="72" t="n">
        <v>1.14</v>
      </c>
      <c r="AS153" s="72" t="n">
        <v>-19.37</v>
      </c>
      <c r="AT153" s="72" t="n">
        <v>-10.02</v>
      </c>
      <c r="AU153" s="72" t="n">
        <v>-11.5</v>
      </c>
      <c r="AV153" s="72" t="n">
        <v>-25.92</v>
      </c>
      <c r="AW153" s="72" t="n">
        <v>-10.42</v>
      </c>
      <c r="AX153" s="72" t="n">
        <v>12.64</v>
      </c>
      <c r="AY153" s="72" t="n">
        <v>11.56</v>
      </c>
      <c r="AZ153" s="63" t="inlineStr">
        <is>
          <t>Hang Seng Commerce &amp; Industry sub-index</t>
        </is>
      </c>
      <c r="BA153" s="72" t="n">
        <v>17.97</v>
      </c>
      <c r="BB153" s="64" t="inlineStr">
        <is>
          <t>2026-08-28</t>
        </is>
      </c>
      <c r="BC153" s="65" t="n">
        <v>13694.2</v>
      </c>
      <c r="BD153" s="68" t="n">
        <v>1386</v>
      </c>
      <c r="BE153" s="63" t="inlineStr">
        <is>
          <t>Y</t>
        </is>
      </c>
      <c r="BF153" s="74" t="n">
        <v>20</v>
      </c>
      <c r="BG153" s="74" t="n">
        <v>3.4</v>
      </c>
      <c r="BH153" s="74" t="n">
        <v>7.2</v>
      </c>
      <c r="BI153" s="74" t="n">
        <v>2</v>
      </c>
      <c r="BJ153" s="75">
        <f>IF('BBG Verify'!S153="","not filed — run on terminal",'BBG Verify'!S153)</f>
        <v/>
      </c>
      <c r="BK153" s="76" t="inlineStr">
        <is>
          <t>N</t>
        </is>
      </c>
      <c r="BL153" s="77">
        <f>IF('BBG Verify'!K153="","not filed — run on terminal",'BBG Verify'!K153)</f>
        <v/>
      </c>
      <c r="BM153" s="63" t="inlineStr">
        <is>
          <t>N/A</t>
        </is>
      </c>
      <c r="BN153" s="63" t="inlineStr">
        <is>
          <t>N/A</t>
        </is>
      </c>
      <c r="BO153" s="63" t="inlineStr">
        <is>
          <t>N/A</t>
        </is>
      </c>
      <c r="BP153" s="63" t="inlineStr">
        <is>
          <t>N/A</t>
        </is>
      </c>
      <c r="BQ153" s="63" t="inlineStr">
        <is>
          <t>N/A</t>
        </is>
      </c>
      <c r="BR153" s="63" t="inlineStr">
        <is>
          <t>N/A</t>
        </is>
      </c>
      <c r="BS153" s="76" t="n"/>
      <c r="BT153" s="63" t="inlineStr">
        <is>
          <t>China International Capital Corporation Hong Kong Securities Limited; CMB International Capital Limited</t>
        </is>
      </c>
      <c r="BU153" s="63" t="inlineStr">
        <is>
          <t>ABCI Securities Company Limited; BNP Paribas Securities (Asia) Limited; BOCI Asia Limited; China International Capital Corporation Hong Kong Securities Limited; CMB International Capital Limited; DBS Asia Capital Limited</t>
        </is>
      </c>
      <c r="BV153" s="63" t="inlineStr">
        <is>
          <t>ABCI Securities Company Limited; BNP Paribas Securities (Asia) Limited; BOCI Asia Limited; China International Capital Corporation Hong Kong Securities Limited; CMB International Capital Limited; DBS Asia Capital Limited; Silverbricks Securities Company Limited</t>
        </is>
      </c>
      <c r="BW153" s="78">
        <f>HYPERLINK("https://www1.hkexnews.hk/listedco/listconews/sehk/2022/1121/2022112100023.htm","prospectus")</f>
        <v/>
      </c>
      <c r="BX153" s="78">
        <f>HYPERLINK("https://www1.hkexnews.hk/listedco/listconews/sehk/2022/1130/2022113000304.htm","allotment")</f>
        <v/>
      </c>
      <c r="BY153" s="78">
        <f>HYPERLINK("https://www1.hkexnews.hk/listedco/listconews/sehk/2022/1228/2022122801241.pdf","stabilisation")</f>
        <v/>
      </c>
      <c r="BZ153" s="76" t="n"/>
      <c r="CA153" s="63" t="inlineStr">
        <is>
          <t>price range: fixed-price offering (no indicative range) · range low: cap-only pricing — the filing publishes a Maximum Offer Price and no indicative floor · A/H: no A-share listing · sponsor: English name not in the filing text; AAStocks 保薦人 shown · cornerstone %: AAStocks institutional-order total / deal size — an upper bound; the table can include non-cornerstone orders · greenshoe size: no over-allotment option in the offer structure · grey market: no grey-market headline on file for this deal — AAStocks publishes one per listing but keeps only recent items on the stock's news page, and no public archive of past evening sessions exists; captured from this run onward</t>
        </is>
      </c>
    </row>
    <row r="154" ht="15" customHeight="1">
      <c r="A154" s="62" t="inlineStr">
        <is>
          <t>6963</t>
        </is>
      </c>
      <c r="B154" s="63" t="inlineStr">
        <is>
          <t>SUNSHINE INS</t>
        </is>
      </c>
      <c r="C154" s="63" t="inlineStr">
        <is>
          <t>陽光保險</t>
        </is>
      </c>
      <c r="D154" s="63" t="inlineStr">
        <is>
          <t>Financials</t>
        </is>
      </c>
      <c r="E154" s="63" t="inlineStr">
        <is>
          <t>Insurance</t>
        </is>
      </c>
      <c r="F154" s="63" t="inlineStr">
        <is>
          <t>Life &amp; Health Insurance</t>
        </is>
      </c>
      <c r="G154" s="63" t="inlineStr">
        <is>
          <t>Standard</t>
        </is>
      </c>
      <c r="H154" s="64" t="n">
        <v>44904</v>
      </c>
      <c r="I154" s="65" t="n">
        <v>6705.4</v>
      </c>
      <c r="J154" s="63" t="inlineStr">
        <is>
          <t>gross (price x shares)</t>
        </is>
      </c>
      <c r="K154" s="66" t="n"/>
      <c r="L154" s="66" t="n">
        <v>6.45</v>
      </c>
      <c r="M154" s="66" t="n">
        <v>5.83</v>
      </c>
      <c r="N154" s="63" t="inlineStr">
        <is>
          <t>N</t>
        </is>
      </c>
      <c r="O154" s="67" t="n">
        <v>90.40000000000001</v>
      </c>
      <c r="P154" s="67" t="n"/>
      <c r="Q154" s="68" t="n">
        <v>59182.7</v>
      </c>
      <c r="R154" s="63" t="inlineStr">
        <is>
          <t>derived:deal size / offer % of enlarged capital</t>
        </is>
      </c>
      <c r="S154" s="69" t="n">
        <v>0.13</v>
      </c>
      <c r="T154" s="70" t="n">
        <v>1.34</v>
      </c>
      <c r="U154" s="71" t="n"/>
      <c r="V154" s="68" t="n">
        <v>6705.4</v>
      </c>
      <c r="W154" s="68" t="n">
        <v>1150152500</v>
      </c>
      <c r="X154" s="67" t="n">
        <v>11.33</v>
      </c>
      <c r="Y154" s="63" t="n"/>
      <c r="Z154" s="63" t="n"/>
      <c r="AA154" s="67" t="n">
        <v>10</v>
      </c>
      <c r="AB154" s="72" t="n"/>
      <c r="AC154" s="66" t="n"/>
      <c r="AD154" s="72" t="n"/>
      <c r="AE154" s="63" t="n"/>
      <c r="AF154" s="63" t="n"/>
      <c r="AG154" s="63" t="inlineStr">
        <is>
          <t>lapsed</t>
        </is>
      </c>
      <c r="AH154" s="63" t="inlineStr">
        <is>
          <t>2023-01-04</t>
        </is>
      </c>
      <c r="AI154" s="63" t="inlineStr">
        <is>
          <t>Huatai Financial Holdings</t>
        </is>
      </c>
      <c r="AJ154" s="63" t="inlineStr">
        <is>
          <t>Huatai</t>
        </is>
      </c>
      <c r="AK154" s="73" t="n">
        <v>0</v>
      </c>
      <c r="AL154" s="72" t="n">
        <v>0</v>
      </c>
      <c r="AM154" s="72" t="n">
        <v>0</v>
      </c>
      <c r="AN154" s="72" t="n">
        <v>-27.27</v>
      </c>
      <c r="AO154" s="72" t="n">
        <v>-12.86</v>
      </c>
      <c r="AP154" s="72" t="n">
        <v>-30.02</v>
      </c>
      <c r="AQ154" s="72" t="n">
        <v>-27.27</v>
      </c>
      <c r="AR154" s="72" t="n">
        <v>-12.86</v>
      </c>
      <c r="AS154" s="72" t="n">
        <v>-30.02</v>
      </c>
      <c r="AT154" s="72" t="n">
        <v>-27.83</v>
      </c>
      <c r="AU154" s="72" t="n">
        <v>-23.24</v>
      </c>
      <c r="AV154" s="72" t="n">
        <v>-33.01</v>
      </c>
      <c r="AW154" s="72" t="n">
        <v>-21.54</v>
      </c>
      <c r="AX154" s="72" t="n">
        <v>10.38</v>
      </c>
      <c r="AY154" s="72" t="n">
        <v>8.68</v>
      </c>
      <c r="AZ154" s="63" t="inlineStr">
        <is>
          <t>Hang Seng Finance sub-index</t>
        </is>
      </c>
      <c r="BA154" s="72" t="n">
        <v>-40.82</v>
      </c>
      <c r="BB154" s="64" t="inlineStr">
        <is>
          <t>2026-08-28</t>
        </is>
      </c>
      <c r="BC154" s="65" t="n">
        <v>108190.5</v>
      </c>
      <c r="BD154" s="68" t="n">
        <v>6471.3</v>
      </c>
      <c r="BE154" s="63" t="inlineStr">
        <is>
          <t>Y</t>
        </is>
      </c>
      <c r="BF154" s="74" t="n">
        <v>9.1</v>
      </c>
      <c r="BG154" s="74" t="n">
        <v>7.9</v>
      </c>
      <c r="BH154" s="74" t="n">
        <v>5.4</v>
      </c>
      <c r="BI154" s="74" t="n">
        <v>0.5</v>
      </c>
      <c r="BJ154" s="75">
        <f>IF('BBG Verify'!S154="","not filed — run on terminal",'BBG Verify'!S154)</f>
        <v/>
      </c>
      <c r="BK154" s="76" t="inlineStr">
        <is>
          <t>N</t>
        </is>
      </c>
      <c r="BL154" s="77">
        <f>IF('BBG Verify'!K154="","not filed — run on terminal",'BBG Verify'!K154)</f>
        <v/>
      </c>
      <c r="BM154" s="63" t="inlineStr">
        <is>
          <t>N/A</t>
        </is>
      </c>
      <c r="BN154" s="63" t="inlineStr">
        <is>
          <t>N/A</t>
        </is>
      </c>
      <c r="BO154" s="63" t="inlineStr">
        <is>
          <t>N/A</t>
        </is>
      </c>
      <c r="BP154" s="63" t="inlineStr">
        <is>
          <t>N/A</t>
        </is>
      </c>
      <c r="BQ154" s="63" t="inlineStr">
        <is>
          <t>N/A</t>
        </is>
      </c>
      <c r="BR154" s="63" t="inlineStr">
        <is>
          <t>N/A</t>
        </is>
      </c>
      <c r="BS154" s="76" t="inlineStr">
        <is>
          <t>Huatai Financial Holdings (Hong Kong) Limited; China International Capital Corporation Hong Kong Securities Limited; UBS Securities Hong Kong Limited; CCB International Capital Limited</t>
        </is>
      </c>
      <c r="BT154" s="63" t="inlineStr">
        <is>
          <t>China International Capital Corporation Hong Kong Securities Limited; CCB International Capital Limited; UBS Securities Hong Kong Limited; Huatai Financial Holdings (Hong Kong) Limited</t>
        </is>
      </c>
      <c r="BU154" s="63" t="inlineStr">
        <is>
          <t>Huatai Financial Holdings (Hong Kong) Limited; China International Capital Corporation Hong Kong Securities Limited; UBS AG Hong Kong Branch; CCB International Capital Limited; BNP Paribas Securities (Asia) Limited; BOCOM International Securities Limited; ICBC International Capital Limited; CLSA Limited; ABCI Capital Limited; China Merchants Securities (HK) Co., Limited; Shenwan Hongyuan Securities (H.K.) Limited; Soochow Securities International Brokerage Limited</t>
        </is>
      </c>
      <c r="BV154" s="63" t="inlineStr">
        <is>
          <t>ABCI Securities Company Limited; Beta International Securities Limited; BNP Paribas Securities (Asia) Limited; CCB International Capital Limited; China International Capital Corporation Hong Kong Securities Limited; CMB International Capital Corporation Limited; China Merchants Securities (HK) Company Limited; Huatai Financial Holdings (Hong Kong) Limited; ICBC International Securities Limited; Shenwan Hongyuan Securities (H.K.) Limited; Soochow Securities International Brokerage Limited; UBS AG Hong Kong Branch</t>
        </is>
      </c>
      <c r="BW154" s="78">
        <f>HYPERLINK("https://www1.hkexnews.hk/listedco/listconews/sehk/2022/1130/2022113000027.pdf","prospectus")</f>
        <v/>
      </c>
      <c r="BX154" s="78">
        <f>HYPERLINK("https://www1.hkexnews.hk/listedco/listconews/sehk/2022/1208/2022120800048.htm","allotment")</f>
        <v/>
      </c>
      <c r="BY154" s="78">
        <f>HYPERLINK("https://www1.hkexnews.hk/listedco/listconews/sehk/2023/0105/2023010500005.pdf","stabilisation")</f>
        <v/>
      </c>
      <c r="BZ154" s="76" t="n"/>
      <c r="CA154" s="63" t="inlineStr">
        <is>
          <t>range low: cap-only pricing — the filing publishes a Maximum Offer Price and no indicative floor · A/H: no A-share listing · cornerstone list: cornerstone section not machine-extractable — see the prospectus link · cornerstone %: cornerstone aggregate not stated in the filing · grey market: no grey-market headline on file for this deal — AAStocks publishes one per listing but keeps only recent items on the stock's news page, and no public archive of past evening sessions exists; captured from this run onward</t>
        </is>
      </c>
    </row>
    <row r="155" ht="15" customHeight="1">
      <c r="A155" s="62" t="inlineStr">
        <is>
          <t>2407</t>
        </is>
      </c>
      <c r="B155" s="63" t="inlineStr">
        <is>
          <t>GAUSH MEDITECH</t>
        </is>
      </c>
      <c r="C155" s="63" t="inlineStr">
        <is>
          <t>高視醫療</t>
        </is>
      </c>
      <c r="D155" s="63" t="inlineStr">
        <is>
          <t>Healthcare</t>
        </is>
      </c>
      <c r="E155" s="63" t="inlineStr">
        <is>
          <t>Medical devices</t>
        </is>
      </c>
      <c r="F155" s="63" t="inlineStr">
        <is>
          <t>Health Care Equipment</t>
        </is>
      </c>
      <c r="G155" s="63" t="inlineStr">
        <is>
          <t>Standard</t>
        </is>
      </c>
      <c r="H155" s="64" t="n">
        <v>44907</v>
      </c>
      <c r="I155" s="65" t="n">
        <v>283.1</v>
      </c>
      <c r="J155" s="63" t="inlineStr">
        <is>
          <t>net proceeds</t>
        </is>
      </c>
      <c r="K155" s="66" t="n"/>
      <c r="L155" s="66" t="n">
        <v>51.4</v>
      </c>
      <c r="M155" s="66" t="n">
        <v>51.4</v>
      </c>
      <c r="N155" s="63" t="inlineStr">
        <is>
          <t>Y</t>
        </is>
      </c>
      <c r="O155" s="67" t="n">
        <v>100</v>
      </c>
      <c r="P155" s="67" t="n"/>
      <c r="Q155" s="68" t="n">
        <v>2822.5</v>
      </c>
      <c r="R155" s="63" t="inlineStr">
        <is>
          <t>derived:deal size / offer % of enlarged capital</t>
        </is>
      </c>
      <c r="S155" s="69" t="n">
        <v>1.52</v>
      </c>
      <c r="T155" s="70" t="n">
        <v>1.04</v>
      </c>
      <c r="U155" s="71" t="n">
        <v>94.52</v>
      </c>
      <c r="V155" s="68" t="n">
        <v>15.51</v>
      </c>
      <c r="W155" s="68" t="n"/>
      <c r="X155" s="67" t="n">
        <v>0.55</v>
      </c>
      <c r="Y155" s="63" t="inlineStr">
        <is>
          <t>CL Kiwi Holding Ltd; Jiangsu Sino-German Services Trade Industry Investment Fund L.P; Wuxi Gaoshi Venture Capital L.P; Wuxi Shigao Equity Investment L.P</t>
        </is>
      </c>
      <c r="Z155" s="63" t="inlineStr">
        <is>
          <t>cl;jiangsu;wuxi</t>
        </is>
      </c>
      <c r="AA155" s="67" t="n">
        <v>8.83</v>
      </c>
      <c r="AB155" s="72" t="n"/>
      <c r="AC155" s="66" t="n"/>
      <c r="AD155" s="72" t="n"/>
      <c r="AE155" s="63" t="n"/>
      <c r="AF155" s="63" t="n"/>
      <c r="AG155" s="63" t="inlineStr">
        <is>
          <t>partial</t>
        </is>
      </c>
      <c r="AH155" s="63" t="inlineStr">
        <is>
          <t>2023-01-04</t>
        </is>
      </c>
      <c r="AI155" s="63" t="n"/>
      <c r="AJ155" s="63" t="n"/>
      <c r="AK155" s="73" t="n">
        <v>0</v>
      </c>
      <c r="AL155" s="72" t="n">
        <v>-0.39</v>
      </c>
      <c r="AM155" s="72" t="n">
        <v>0.39</v>
      </c>
      <c r="AN155" s="72" t="n">
        <v>0</v>
      </c>
      <c r="AO155" s="72" t="n">
        <v>-2.72</v>
      </c>
      <c r="AP155" s="72" t="n">
        <v>-4.28</v>
      </c>
      <c r="AQ155" s="72" t="n">
        <v>0</v>
      </c>
      <c r="AR155" s="72" t="n">
        <v>-2.72</v>
      </c>
      <c r="AS155" s="72" t="n">
        <v>-4.28</v>
      </c>
      <c r="AT155" s="72" t="n">
        <v>5.08</v>
      </c>
      <c r="AU155" s="72" t="n">
        <v>-13.03</v>
      </c>
      <c r="AV155" s="72" t="n">
        <v>-1.41</v>
      </c>
      <c r="AW155" s="72" t="n">
        <v>-12.83</v>
      </c>
      <c r="AX155" s="72" t="n">
        <v>10.31</v>
      </c>
      <c r="AY155" s="72" t="n">
        <v>10.11</v>
      </c>
      <c r="AZ155" s="63" t="inlineStr">
        <is>
          <t>China Biotech ETF (HS biotech proxy)</t>
        </is>
      </c>
      <c r="BA155" s="72" t="n">
        <v>-91.06999999999999</v>
      </c>
      <c r="BB155" s="64" t="inlineStr">
        <is>
          <t>2026-08-28</t>
        </is>
      </c>
      <c r="BC155" s="65" t="n">
        <v>1428</v>
      </c>
      <c r="BD155" s="68" t="n">
        <v>-151.8</v>
      </c>
      <c r="BE155" s="63" t="inlineStr">
        <is>
          <t>N</t>
        </is>
      </c>
      <c r="BF155" s="63" t="inlineStr">
        <is>
          <t>n/m</t>
        </is>
      </c>
      <c r="BG155" s="74" t="n"/>
      <c r="BH155" s="74" t="n">
        <v>6</v>
      </c>
      <c r="BI155" s="74" t="n">
        <v>2</v>
      </c>
      <c r="BJ155" s="75">
        <f>IF('BBG Verify'!S155="","not filed — run on terminal",'BBG Verify'!S155)</f>
        <v/>
      </c>
      <c r="BK155" s="76" t="inlineStr">
        <is>
          <t>N</t>
        </is>
      </c>
      <c r="BL155" s="77">
        <f>IF('BBG Verify'!K155="","not filed — run on terminal",'BBG Verify'!K155)</f>
        <v/>
      </c>
      <c r="BM155" s="63" t="inlineStr">
        <is>
          <t>N/A</t>
        </is>
      </c>
      <c r="BN155" s="63" t="inlineStr">
        <is>
          <t>N/A</t>
        </is>
      </c>
      <c r="BO155" s="63" t="inlineStr">
        <is>
          <t>N/A</t>
        </is>
      </c>
      <c r="BP155" s="63" t="inlineStr">
        <is>
          <t>N/A</t>
        </is>
      </c>
      <c r="BQ155" s="63" t="inlineStr">
        <is>
          <t>N/A</t>
        </is>
      </c>
      <c r="BR155" s="63" t="inlineStr">
        <is>
          <t>N/A</t>
        </is>
      </c>
      <c r="BS155" s="76" t="inlineStr">
        <is>
          <t>Morgan Stanley Asia Limited; Haitong International Capital Limited</t>
        </is>
      </c>
      <c r="BT155" s="63" t="inlineStr">
        <is>
          <t>Morgan Stanley Asia Limited; Haitong International Capital Limited</t>
        </is>
      </c>
      <c r="BU155" s="63" t="inlineStr">
        <is>
          <t>Morgan Stanley Asia Limited; Haitong International Securities Company Limited</t>
        </is>
      </c>
      <c r="BV155" s="63" t="inlineStr">
        <is>
          <t>Daiwa Capital Markets Hong Kong Limited; Futu Securities International (Hong Kong) Limited; Haitong International Securities Company Limited; Maxa Capital Limited; Morgan Stanley Asia Limited; Sinomax Securities Limited; Tiger Brokers (HK) Global Limited</t>
        </is>
      </c>
      <c r="BW155" s="78">
        <f>HYPERLINK("https://www1.hkexnews.hk/listedco/listconews/sehk/2022/1130/2022113000167.pdf","prospectus")</f>
        <v/>
      </c>
      <c r="BX155" s="78">
        <f>HYPERLINK("https://www1.hkexnews.hk/listedco/listconews/sehk/2022/1209/2022120900012.htm","allotment")</f>
        <v/>
      </c>
      <c r="BY155" s="78">
        <f>HYPERLINK("https://www1.hkexnews.hk/listedco/listconews/sehk/2023/0104/2023010402177.pdf","stabilisation")</f>
        <v/>
      </c>
      <c r="BZ155" s="76" t="n"/>
      <c r="CA155" s="63" t="inlineStr">
        <is>
          <t>P/E: n/m — loss-making at IPO (use P/S) · range low: cap-only pricing — the filing publishes a Maximum Offer Price and no indicative floor · A/H: no A-share listing · stabilising manager: neither the allotment announcement's cover sentence nor the prospectus definitions glossary names one in a form the parser reads — not inferred from the sponsor · grey market: no grey-market headline on file for this deal — AAStocks publishes one per listing but keeps only recent items on the stock's news page, and no public archive of past evening sessions exists; captured from this run onward · eff float shares: share count unavailable or rejected as implausible — the money figure (eff_free_float_hkdm) is still exact</t>
        </is>
      </c>
    </row>
    <row r="156" ht="15" customHeight="1">
      <c r="A156" s="62" t="inlineStr">
        <is>
          <t>2440</t>
        </is>
      </c>
      <c r="B156" s="63" t="inlineStr">
        <is>
          <t>HOWKINGTECH</t>
        </is>
      </c>
      <c r="C156" s="63" t="inlineStr">
        <is>
          <t>迷策略</t>
        </is>
      </c>
      <c r="D156" s="63" t="inlineStr">
        <is>
          <t>Tech/AI</t>
        </is>
      </c>
      <c r="E156" s="63" t="inlineStr">
        <is>
          <t>SaaS / enterprise software</t>
        </is>
      </c>
      <c r="F156" s="63" t="inlineStr">
        <is>
          <t>Telecommunications &amp; Networking Equipment</t>
        </is>
      </c>
      <c r="G156" s="63" t="inlineStr">
        <is>
          <t>Standard</t>
        </is>
      </c>
      <c r="H156" s="64" t="n">
        <v>44907</v>
      </c>
      <c r="I156" s="65" t="n">
        <v>98.3</v>
      </c>
      <c r="J156" s="63" t="inlineStr">
        <is>
          <t>gross (price x shares)</t>
        </is>
      </c>
      <c r="K156" s="66" t="n">
        <v>2.73</v>
      </c>
      <c r="L156" s="66" t="n">
        <v>3.28</v>
      </c>
      <c r="M156" s="66" t="n">
        <v>2.73</v>
      </c>
      <c r="N156" s="63" t="inlineStr">
        <is>
          <t>N</t>
        </is>
      </c>
      <c r="O156" s="67" t="n">
        <v>83.2</v>
      </c>
      <c r="P156" s="67" t="n">
        <v>0</v>
      </c>
      <c r="Q156" s="68" t="n">
        <v>614.4</v>
      </c>
      <c r="R156" s="63" t="inlineStr">
        <is>
          <t>derived:deal size / offer % of enlarged capital</t>
        </is>
      </c>
      <c r="S156" s="69" t="n">
        <v>96.73</v>
      </c>
      <c r="T156" s="70" t="n">
        <v>1.1</v>
      </c>
      <c r="U156" s="71" t="n">
        <v>58.333</v>
      </c>
      <c r="V156" s="68" t="n">
        <v>40.96</v>
      </c>
      <c r="W156" s="68" t="n">
        <v>15000120</v>
      </c>
      <c r="X156" s="67" t="n">
        <v>6.67</v>
      </c>
      <c r="Y156" s="63" t="inlineStr">
        <is>
          <t>Anji Jize LLP; Anji Kaize LLP</t>
        </is>
      </c>
      <c r="Z156" s="63" t="inlineStr">
        <is>
          <t>anji</t>
        </is>
      </c>
      <c r="AA156" s="67" t="n">
        <v>9.333</v>
      </c>
      <c r="AB156" s="72" t="n"/>
      <c r="AC156" s="66" t="n"/>
      <c r="AD156" s="72" t="n"/>
      <c r="AE156" s="63" t="n"/>
      <c r="AF156" s="63" t="n"/>
      <c r="AG156" s="63" t="n"/>
      <c r="AH156" s="63" t="n"/>
      <c r="AI156" s="63" t="inlineStr">
        <is>
          <t>China PA Securities</t>
        </is>
      </c>
      <c r="AJ156" s="63" t="inlineStr">
        <is>
          <t>China PA</t>
        </is>
      </c>
      <c r="AK156" s="73" t="n">
        <v>-26.74</v>
      </c>
      <c r="AL156" s="72" t="n">
        <v>-18.68</v>
      </c>
      <c r="AM156" s="72" t="n">
        <v>-9.91</v>
      </c>
      <c r="AN156" s="72" t="n">
        <v>-41.76</v>
      </c>
      <c r="AO156" s="72" t="n">
        <v>-47.25</v>
      </c>
      <c r="AP156" s="72" t="n">
        <v>-44.69</v>
      </c>
      <c r="AQ156" s="72" t="n">
        <v>-20.5</v>
      </c>
      <c r="AR156" s="72" t="n">
        <v>-28</v>
      </c>
      <c r="AS156" s="72" t="n">
        <v>-24.5</v>
      </c>
      <c r="AT156" s="72" t="n">
        <v>-35.87</v>
      </c>
      <c r="AU156" s="72" t="n">
        <v>-51.43</v>
      </c>
      <c r="AV156" s="72" t="n">
        <v>-35.55</v>
      </c>
      <c r="AW156" s="72" t="n">
        <v>-37.03</v>
      </c>
      <c r="AX156" s="72" t="n">
        <v>4.18</v>
      </c>
      <c r="AY156" s="72" t="n">
        <v>9.029999999999999</v>
      </c>
      <c r="AZ156" s="63" t="inlineStr">
        <is>
          <t>HSTECH (Hang Seng TECH ETF)</t>
        </is>
      </c>
      <c r="BA156" s="72" t="n">
        <v>-66.67</v>
      </c>
      <c r="BB156" s="64" t="inlineStr">
        <is>
          <t>2026-08-28</t>
        </is>
      </c>
      <c r="BC156" s="65" t="n">
        <v>208.5</v>
      </c>
      <c r="BD156" s="68" t="n">
        <v>37.8</v>
      </c>
      <c r="BE156" s="63" t="inlineStr">
        <is>
          <t>Y</t>
        </is>
      </c>
      <c r="BF156" s="74" t="n">
        <v>16.3</v>
      </c>
      <c r="BG156" s="74" t="n"/>
      <c r="BH156" s="74" t="n"/>
      <c r="BI156" s="74" t="n">
        <v>2.9</v>
      </c>
      <c r="BJ156" s="75">
        <f>IF('BBG Verify'!S156="","not filed — run on terminal",'BBG Verify'!S156)</f>
        <v/>
      </c>
      <c r="BK156" s="76" t="inlineStr">
        <is>
          <t>N</t>
        </is>
      </c>
      <c r="BL156" s="77">
        <f>IF('BBG Verify'!K156="","not filed — run on terminal",'BBG Verify'!K156)</f>
        <v/>
      </c>
      <c r="BM156" s="63" t="inlineStr">
        <is>
          <t>N/A</t>
        </is>
      </c>
      <c r="BN156" s="63" t="inlineStr">
        <is>
          <t>N/A</t>
        </is>
      </c>
      <c r="BO156" s="63" t="inlineStr">
        <is>
          <t>N/A</t>
        </is>
      </c>
      <c r="BP156" s="63" t="inlineStr">
        <is>
          <t>N/A</t>
        </is>
      </c>
      <c r="BQ156" s="63" t="inlineStr">
        <is>
          <t>N/A</t>
        </is>
      </c>
      <c r="BR156" s="63" t="inlineStr">
        <is>
          <t>N/A</t>
        </is>
      </c>
      <c r="BS156" s="76" t="inlineStr">
        <is>
          <t>Ping An of China Capital (Hong Kong) Company Limited</t>
        </is>
      </c>
      <c r="BT156" s="63" t="inlineStr">
        <is>
          <t>Ping An of China Capital (Hong Kong) Company Limited</t>
        </is>
      </c>
      <c r="BU156" s="63" t="inlineStr">
        <is>
          <t>China PA Securities (Hong Kong) Company Limited; Innovax Securities Limited; CMBC Securities Company Limited; Valuable Capital Limited</t>
        </is>
      </c>
      <c r="BV156" s="63" t="inlineStr">
        <is>
          <t>Central China International Capital Limited; CMBC Securities Company Limited; China PA Securities (Hong Kong) Company Limited; Innovax Securities Limited; Lego Securities Limited; Tiger Brokers (HK) Global Limited; Valuable Capital Limited</t>
        </is>
      </c>
      <c r="BW156" s="78">
        <f>HYPERLINK("https://www1.hkexnews.hk/listedco/listconews/sehk/2022/1130/2022113000131.pdf","prospectus")</f>
        <v/>
      </c>
      <c r="BX156" s="78">
        <f>HYPERLINK("https://www1.hkexnews.hk/listedco/listconews/sehk/2022/1209/2022120900148.htm","allotment")</f>
        <v/>
      </c>
      <c r="BY156" s="63" t="n"/>
      <c r="BZ156" s="76" t="n"/>
      <c r="CA156" s="63" t="inlineStr">
        <is>
          <t>greenshoe: end-of-stabilisation notice not located · A/H: no A-share listing · returns: price returns exclude the entitlement value of: 2025-06-24 rights 1-for-2 @ HK$1.262 (now MemeStrategy) — Bloomberg's back-adjusted history divides by x1.224 · grey market: no grey-market headline on file for this deal — AAStocks publishes one per listing but keeps only recent items on the stock's news page, and no public archive of past evening sessions exists; captured from this run onward</t>
        </is>
      </c>
    </row>
    <row r="157" ht="15" customHeight="1">
      <c r="A157" s="62" t="inlineStr">
        <is>
          <t>1947</t>
        </is>
      </c>
      <c r="B157" s="63" t="inlineStr">
        <is>
          <t>MEIHAO GROUP</t>
        </is>
      </c>
      <c r="C157" s="63" t="inlineStr">
        <is>
          <t>美皓集團</t>
        </is>
      </c>
      <c r="D157" s="63" t="inlineStr">
        <is>
          <t>Healthcare</t>
        </is>
      </c>
      <c r="E157" s="63" t="inlineStr">
        <is>
          <t>Hospitals / clinics</t>
        </is>
      </c>
      <c r="F157" s="63" t="inlineStr">
        <is>
          <t>Health Care Services</t>
        </is>
      </c>
      <c r="G157" s="63" t="inlineStr">
        <is>
          <t>Standard</t>
        </is>
      </c>
      <c r="H157" s="64" t="n">
        <v>44909</v>
      </c>
      <c r="I157" s="65" t="n">
        <v>126</v>
      </c>
      <c r="J157" s="63" t="inlineStr">
        <is>
          <t>gross (price x shares)</t>
        </is>
      </c>
      <c r="K157" s="66" t="n">
        <v>0.84</v>
      </c>
      <c r="L157" s="66" t="n">
        <v>1</v>
      </c>
      <c r="M157" s="66" t="n">
        <v>0.84</v>
      </c>
      <c r="N157" s="63" t="inlineStr">
        <is>
          <t>N</t>
        </is>
      </c>
      <c r="O157" s="67" t="n">
        <v>84</v>
      </c>
      <c r="P157" s="67" t="n">
        <v>0</v>
      </c>
      <c r="Q157" s="68" t="n">
        <v>560</v>
      </c>
      <c r="R157" s="63" t="inlineStr">
        <is>
          <t>derived:deal size / offer % of enlarged capital</t>
        </is>
      </c>
      <c r="S157" s="69" t="n">
        <v>41.31</v>
      </c>
      <c r="T157" s="70" t="n">
        <v>1.37</v>
      </c>
      <c r="U157" s="71" t="n">
        <v>0</v>
      </c>
      <c r="V157" s="68" t="n">
        <v>126</v>
      </c>
      <c r="W157" s="68" t="n">
        <v>150000000</v>
      </c>
      <c r="X157" s="67" t="n">
        <v>22.5</v>
      </c>
      <c r="Y157" s="63" t="n"/>
      <c r="Z157" s="63" t="n"/>
      <c r="AA157" s="67" t="n">
        <v>10</v>
      </c>
      <c r="AB157" s="72" t="n"/>
      <c r="AC157" s="66" t="n"/>
      <c r="AD157" s="72" t="n"/>
      <c r="AE157" s="63" t="n"/>
      <c r="AF157" s="63" t="n"/>
      <c r="AG157" s="63" t="inlineStr">
        <is>
          <t>lapsed (no over-allocation)</t>
        </is>
      </c>
      <c r="AH157" s="63" t="inlineStr">
        <is>
          <t>2023-01-05</t>
        </is>
      </c>
      <c r="AI157" s="63" t="inlineStr">
        <is>
          <t>Innovax Securities Limited</t>
        </is>
      </c>
      <c r="AJ157" s="63" t="inlineStr">
        <is>
          <t>Innovax</t>
        </is>
      </c>
      <c r="AK157" s="73" t="n">
        <v>-14.29</v>
      </c>
      <c r="AL157" s="72" t="n">
        <v>-9.52</v>
      </c>
      <c r="AM157" s="72" t="n">
        <v>-5.27</v>
      </c>
      <c r="AN157" s="72" t="n">
        <v>-39.29</v>
      </c>
      <c r="AO157" s="72" t="n">
        <v>-36.9</v>
      </c>
      <c r="AP157" s="72" t="n">
        <v>-40.48</v>
      </c>
      <c r="AQ157" s="72" t="n">
        <v>-29.17</v>
      </c>
      <c r="AR157" s="72" t="n">
        <v>-26.38</v>
      </c>
      <c r="AS157" s="72" t="n">
        <v>-30.56</v>
      </c>
      <c r="AT157" s="72" t="n">
        <v>-33.66</v>
      </c>
      <c r="AU157" s="72" t="n">
        <v>-46.59</v>
      </c>
      <c r="AV157" s="72" t="n">
        <v>-37.97</v>
      </c>
      <c r="AW157" s="72" t="n">
        <v>-36.39</v>
      </c>
      <c r="AX157" s="72" t="n">
        <v>9.69</v>
      </c>
      <c r="AY157" s="72" t="n">
        <v>10.01</v>
      </c>
      <c r="AZ157" s="63" t="inlineStr">
        <is>
          <t>China Biotech ETF (HS biotech proxy)</t>
        </is>
      </c>
      <c r="BA157" s="72" t="n">
        <v>-34.52</v>
      </c>
      <c r="BB157" s="64" t="inlineStr">
        <is>
          <t>2026-08-28</t>
        </is>
      </c>
      <c r="BC157" s="65" t="n">
        <v>115.8</v>
      </c>
      <c r="BD157" s="68" t="n">
        <v>35.4</v>
      </c>
      <c r="BE157" s="63" t="inlineStr">
        <is>
          <t>Y</t>
        </is>
      </c>
      <c r="BF157" s="74" t="n">
        <v>15.8</v>
      </c>
      <c r="BG157" s="74" t="n"/>
      <c r="BH157" s="74" t="n"/>
      <c r="BI157" s="74" t="n">
        <v>4.8</v>
      </c>
      <c r="BJ157" s="75">
        <f>IF('BBG Verify'!S157="","not filed — run on terminal",'BBG Verify'!S157)</f>
        <v/>
      </c>
      <c r="BK157" s="76" t="inlineStr">
        <is>
          <t>N</t>
        </is>
      </c>
      <c r="BL157" s="77">
        <f>IF('BBG Verify'!K157="","not filed — run on terminal",'BBG Verify'!K157)</f>
        <v/>
      </c>
      <c r="BM157" s="63" t="inlineStr">
        <is>
          <t>N/A</t>
        </is>
      </c>
      <c r="BN157" s="63" t="inlineStr">
        <is>
          <t>N/A</t>
        </is>
      </c>
      <c r="BO157" s="63" t="inlineStr">
        <is>
          <t>N/A</t>
        </is>
      </c>
      <c r="BP157" s="63" t="inlineStr">
        <is>
          <t>N/A</t>
        </is>
      </c>
      <c r="BQ157" s="63" t="inlineStr">
        <is>
          <t>N/A</t>
        </is>
      </c>
      <c r="BR157" s="63" t="inlineStr">
        <is>
          <t>N/A</t>
        </is>
      </c>
      <c r="BS157" s="76" t="inlineStr">
        <is>
          <t>Innovax Capital Limited; Sinolink Securities (Hong Kong) Company Limited</t>
        </is>
      </c>
      <c r="BT157" s="63" t="inlineStr">
        <is>
          <t>Innovax Capital Limited; Sinolink Securities (Hong Kong) Company Limited</t>
        </is>
      </c>
      <c r="BU157" s="63" t="inlineStr">
        <is>
          <t>Innovax Securities Limited; WE Securities Limited; Sinolink Securities (Hong Kong) Company Limited; Guotai Junan Securities (Hong Kong) Limited; CCB International Capital Limited; CMBC Securities Company Limited; CSFG International Securities Limited; HGNH International Securities Co., Limited</t>
        </is>
      </c>
      <c r="BV157" s="63" t="inlineStr">
        <is>
          <t>CCB International Capital Limited; CMBC Securities Company Limited; CSFG International Securities Limited; Guotai Junan Securities (Hong Kong) Limited; HGNH International Securities Co., Limited; Innovax Securities Limited; Sinolink Securities (Hong Kong) Company Limited; Tiger Brokers (HK) Global Limited; WE Securities Limited</t>
        </is>
      </c>
      <c r="BW157" s="78">
        <f>HYPERLINK("https://www1.hkexnews.hk/listedco/listconews/sehk/2022/1130/2022113000017.pdf","prospectus")</f>
        <v/>
      </c>
      <c r="BX157" s="78">
        <f>HYPERLINK("https://www1.hkexnews.hk/listedco/listconews/sehk/2022/1213/2022121300028.htm","allotment")</f>
        <v/>
      </c>
      <c r="BY157" s="78">
        <f>HYPERLINK("https://www1.hkexnews.hk/listedco/listconews/sehk/2023/0105/2023010501561.pdf","stabilisation")</f>
        <v/>
      </c>
      <c r="BZ157" s="76" t="n"/>
      <c r="CA157" s="63" t="inlineStr">
        <is>
          <t>A/H: no A-share listing · cornerstone list: no cornerstone tranche in this deal · grey market: no grey-market headline on file for this deal — AAStocks publishes one per listing but keeps only recent items on the stock's news page, and no public archive of past evening sessions exists; captured from this run onward</t>
        </is>
      </c>
    </row>
    <row r="158" ht="15" customHeight="1">
      <c r="A158" s="62" t="inlineStr">
        <is>
          <t>1244</t>
        </is>
      </c>
      <c r="B158" s="63" t="inlineStr">
        <is>
          <t>3D MEDICINES-B</t>
        </is>
      </c>
      <c r="C158" s="63" t="inlineStr">
        <is>
          <t>思路迪醫藥股份</t>
        </is>
      </c>
      <c r="D158" s="63" t="inlineStr">
        <is>
          <t>Healthcare</t>
        </is>
      </c>
      <c r="E158" s="63" t="inlineStr">
        <is>
          <t>Biotech pre-revenue (18A)</t>
        </is>
      </c>
      <c r="F158" s="63" t="inlineStr">
        <is>
          <t>Biotechnology - Supplies &amp; Services</t>
        </is>
      </c>
      <c r="G158" s="63" t="inlineStr">
        <is>
          <t>18A</t>
        </is>
      </c>
      <c r="H158" s="64" t="n">
        <v>44910</v>
      </c>
      <c r="I158" s="65" t="n">
        <v>251.1</v>
      </c>
      <c r="J158" s="63" t="inlineStr">
        <is>
          <t>net proceeds</t>
        </is>
      </c>
      <c r="K158" s="66" t="n">
        <v>22.96</v>
      </c>
      <c r="L158" s="66" t="n">
        <v>26.24</v>
      </c>
      <c r="M158" s="66" t="n">
        <v>24.98</v>
      </c>
      <c r="N158" s="63" t="inlineStr">
        <is>
          <t>N</t>
        </is>
      </c>
      <c r="O158" s="67" t="n">
        <v>95.2</v>
      </c>
      <c r="P158" s="67" t="n">
        <v>61.6</v>
      </c>
      <c r="Q158" s="68" t="n">
        <v>6678.6</v>
      </c>
      <c r="R158" s="63" t="inlineStr">
        <is>
          <t>aastocks:上市市值 at the struck price</t>
        </is>
      </c>
      <c r="S158" s="69" t="n">
        <v>5.97</v>
      </c>
      <c r="T158" s="70" t="n">
        <v>1.26</v>
      </c>
      <c r="U158" s="71" t="n">
        <v>62.49</v>
      </c>
      <c r="V158" s="68" t="n">
        <v>94.19</v>
      </c>
      <c r="W158" s="68" t="n"/>
      <c r="X158" s="67" t="n">
        <v>1.41</v>
      </c>
      <c r="Y158" s="63" t="inlineStr">
        <is>
          <t>Harvest International Premium Value (Secondary Market) Fund SPC; Mobilewise Limited; TradArt Investment SP</t>
        </is>
      </c>
      <c r="Z158" s="63" t="inlineStr">
        <is>
          <t>harvest;mobilewise;tradart</t>
        </is>
      </c>
      <c r="AA158" s="67" t="n">
        <v>7.29</v>
      </c>
      <c r="AB158" s="72" t="n"/>
      <c r="AC158" s="66" t="n"/>
      <c r="AD158" s="72" t="n"/>
      <c r="AE158" s="63" t="n"/>
      <c r="AF158" s="63" t="n"/>
      <c r="AG158" s="63" t="inlineStr">
        <is>
          <t>partial</t>
        </is>
      </c>
      <c r="AH158" s="63" t="inlineStr">
        <is>
          <t>2023-01-06</t>
        </is>
      </c>
      <c r="AI158" s="63" t="inlineStr">
        <is>
          <t>China Securities</t>
        </is>
      </c>
      <c r="AJ158" s="63" t="inlineStr">
        <is>
          <t>China Securities</t>
        </is>
      </c>
      <c r="AK158" s="73" t="n">
        <v>25.9</v>
      </c>
      <c r="AL158" s="72" t="n">
        <v>16.09</v>
      </c>
      <c r="AM158" s="72" t="n">
        <v>8.449999999999999</v>
      </c>
      <c r="AN158" s="72" t="n">
        <v>66.13</v>
      </c>
      <c r="AO158" s="72" t="n">
        <v>139.39</v>
      </c>
      <c r="AP158" s="72" t="n">
        <v>167.21</v>
      </c>
      <c r="AQ158" s="72" t="n">
        <v>31.95</v>
      </c>
      <c r="AR158" s="72" t="n">
        <v>90.14</v>
      </c>
      <c r="AS158" s="72" t="n">
        <v>112.24</v>
      </c>
      <c r="AT158" s="72" t="n">
        <v>70.7</v>
      </c>
      <c r="AU158" s="72" t="n">
        <v>129.95</v>
      </c>
      <c r="AV158" s="72" t="n">
        <v>169.24</v>
      </c>
      <c r="AW158" s="72" t="n">
        <v>78.67</v>
      </c>
      <c r="AX158" s="72" t="n">
        <v>9.44</v>
      </c>
      <c r="AY158" s="72" t="n">
        <v>11.47</v>
      </c>
      <c r="AZ158" s="63" t="inlineStr">
        <is>
          <t>China Biotech ETF (HS biotech proxy)</t>
        </is>
      </c>
      <c r="BA158" s="72" t="n">
        <v>-89.61</v>
      </c>
      <c r="BB158" s="64" t="inlineStr">
        <is>
          <t>2026-08-28</t>
        </is>
      </c>
      <c r="BC158" s="65" t="n">
        <v>177.2</v>
      </c>
      <c r="BD158" s="68" t="n">
        <v>-1577.5</v>
      </c>
      <c r="BE158" s="63" t="inlineStr">
        <is>
          <t>N</t>
        </is>
      </c>
      <c r="BF158" s="63" t="inlineStr">
        <is>
          <t>n/m</t>
        </is>
      </c>
      <c r="BG158" s="74" t="n"/>
      <c r="BH158" s="74" t="n"/>
      <c r="BI158" s="74" t="n">
        <v>37.7</v>
      </c>
      <c r="BJ158" s="75">
        <f>IF('BBG Verify'!S158="","not filed — run on terminal",'BBG Verify'!S158)</f>
        <v/>
      </c>
      <c r="BK158" s="76" t="inlineStr">
        <is>
          <t>N</t>
        </is>
      </c>
      <c r="BL158" s="77">
        <f>IF('BBG Verify'!K158="","not filed — run on terminal",'BBG Verify'!K158)</f>
        <v/>
      </c>
      <c r="BM158" s="63" t="inlineStr">
        <is>
          <t>N/A</t>
        </is>
      </c>
      <c r="BN158" s="63" t="inlineStr">
        <is>
          <t>N/A</t>
        </is>
      </c>
      <c r="BO158" s="63" t="inlineStr">
        <is>
          <t>N/A</t>
        </is>
      </c>
      <c r="BP158" s="63" t="inlineStr">
        <is>
          <t>N/A</t>
        </is>
      </c>
      <c r="BQ158" s="63" t="inlineStr">
        <is>
          <t>N/A</t>
        </is>
      </c>
      <c r="BR158" s="63" t="inlineStr">
        <is>
          <t>N/A</t>
        </is>
      </c>
      <c r="BS158" s="76" t="inlineStr">
        <is>
          <t>China International Capital Corporation Hong Kong Securities Limited; China Securities (International) Corporate Finance Company Limited</t>
        </is>
      </c>
      <c r="BT158" s="63" t="inlineStr">
        <is>
          <t>China International Capital Corporation Hong Kong Securities Limited; China Securities (International) Corporate Finance Company Limited</t>
        </is>
      </c>
      <c r="BU158" s="63" t="inlineStr">
        <is>
          <t>China International Capital Corporation Hong Kong Securities Limited; China Securities (International) Corporate Finance Company Limited; CNCB (Hong Kong) Capital Limited; CCB International Capital Limited; Huarong International Securities Limited; Livermore Holdings Limited; ABCI Capital Limited; Tiger Brokers (HK) Global Limited</t>
        </is>
      </c>
      <c r="BV158" s="63" t="inlineStr">
        <is>
          <t>ABCI Securities Company Limited; CCB International Capital Limited; China International Capital Corporation Hong Kong Securities Limited; CNCB (Hong Kong) Capital Limited; CSFG International Securities Limited; China Securities (International) Corporate Finance Company Limited; Futu Securities International (Hong Kong) Limited; Huarong International Securities Limited; Lego Securities Limited; Livermore Holdings Limited; Tiger Brokers (HK) Global Limited; Valuable Capital Limited</t>
        </is>
      </c>
      <c r="BW158" s="78">
        <f>HYPERLINK("https://www1.hkexnews.hk/listedco/listconews/sehk/2022/1129/2022112900013.pdf","prospectus")</f>
        <v/>
      </c>
      <c r="BX158" s="78">
        <f>HYPERLINK("https://www1.hkexnews.hk/listedco/listconews/sehk/2022/1214/2022121400036.htm","allotment")</f>
        <v/>
      </c>
      <c r="BY158" s="78">
        <f>HYPERLINK("https://www1.hkexnews.hk/listedco/listconews/sehk/2023/0109/2023010900027.pdf","stabilisation")</f>
        <v/>
      </c>
      <c r="BZ158" s="76" t="n"/>
      <c r="CA158" s="63" t="inlineStr">
        <is>
          <t>P/E: n/m — loss-making at IPO (use P/S) · A/H: no A-share listing · market cap: estimate from deal size / offer % of enlarged capital disagreed with the published listing cap — published figure adopted · cornerstone: AAStocks institutional table includes non-cornerstone orders (superset) — cornerstone % is from the prospectus · grey market: no grey-market headline on file for this deal — AAStocks publishes one per listing but keeps only recent items on the stock's news page, and no public archive of past evening sessions exists; captured from this run onward · eff float shares: share count unavailable or rejected as implausible — the money figure (eff_free_float_hkdm) is still exact</t>
        </is>
      </c>
    </row>
    <row r="159" ht="15" customHeight="1">
      <c r="A159" s="62" t="inlineStr">
        <is>
          <t>9985</t>
        </is>
      </c>
      <c r="B159" s="63" t="inlineStr">
        <is>
          <t>WEILONG</t>
        </is>
      </c>
      <c r="C159" s="63" t="inlineStr">
        <is>
          <t>衛龍美味</t>
        </is>
      </c>
      <c r="D159" s="63" t="inlineStr">
        <is>
          <t>Consumer</t>
        </is>
      </c>
      <c r="E159" s="63" t="inlineStr">
        <is>
          <t>Beverages / packaged food</t>
        </is>
      </c>
      <c r="F159" s="63" t="inlineStr">
        <is>
          <t>Packaged Foods</t>
        </is>
      </c>
      <c r="G159" s="63" t="inlineStr">
        <is>
          <t>Standard</t>
        </is>
      </c>
      <c r="H159" s="64" t="n">
        <v>44910</v>
      </c>
      <c r="I159" s="65" t="n">
        <v>1018</v>
      </c>
      <c r="J159" s="63" t="inlineStr">
        <is>
          <t>gross (price x shares)</t>
        </is>
      </c>
      <c r="K159" s="66" t="n">
        <v>10.4</v>
      </c>
      <c r="L159" s="66" t="n">
        <v>11.4</v>
      </c>
      <c r="M159" s="66" t="n">
        <v>10.56</v>
      </c>
      <c r="N159" s="63" t="inlineStr">
        <is>
          <t>N</t>
        </is>
      </c>
      <c r="O159" s="67" t="n">
        <v>92.59999999999999</v>
      </c>
      <c r="P159" s="67" t="n">
        <v>16</v>
      </c>
      <c r="Q159" s="68" t="n">
        <v>24829.3</v>
      </c>
      <c r="R159" s="63" t="inlineStr">
        <is>
          <t>derived:deal size / offer % of enlarged capital</t>
        </is>
      </c>
      <c r="S159" s="69" t="n">
        <v>15.3</v>
      </c>
      <c r="T159" s="70" t="n">
        <v>2.6</v>
      </c>
      <c r="U159" s="71" t="n">
        <v>57.46</v>
      </c>
      <c r="V159" s="68" t="n">
        <v>433.06</v>
      </c>
      <c r="W159" s="68" t="n">
        <v>41007284</v>
      </c>
      <c r="X159" s="67" t="n">
        <v>1.74</v>
      </c>
      <c r="Y159" s="63" t="inlineStr">
        <is>
          <t>Media Global Management Limited; Prospect Bridge Value L.P; Sunshine Life Insurance Corporation Limited</t>
        </is>
      </c>
      <c r="Z159" s="63" t="inlineStr">
        <is>
          <t>media;prospect;sunshine</t>
        </is>
      </c>
      <c r="AA159" s="67" t="n">
        <v>17.06</v>
      </c>
      <c r="AB159" s="72" t="n"/>
      <c r="AC159" s="66" t="n"/>
      <c r="AD159" s="72" t="n"/>
      <c r="AE159" s="63" t="n"/>
      <c r="AF159" s="63" t="n"/>
      <c r="AG159" s="63" t="inlineStr">
        <is>
          <t>lapsed</t>
        </is>
      </c>
      <c r="AH159" s="63" t="inlineStr">
        <is>
          <t>2023-01-07</t>
        </is>
      </c>
      <c r="AI159" s="63" t="inlineStr">
        <is>
          <t>Morgan Stanley Asia Limited</t>
        </is>
      </c>
      <c r="AJ159" s="63" t="inlineStr">
        <is>
          <t>Morgan Stanley</t>
        </is>
      </c>
      <c r="AK159" s="73" t="n">
        <v>-5.11</v>
      </c>
      <c r="AL159" s="72" t="n">
        <v>-3.41</v>
      </c>
      <c r="AM159" s="72" t="n">
        <v>-1.76</v>
      </c>
      <c r="AN159" s="72" t="n">
        <v>-12.12</v>
      </c>
      <c r="AO159" s="72" t="n">
        <v>-0.57</v>
      </c>
      <c r="AP159" s="72" t="n">
        <v>7.95</v>
      </c>
      <c r="AQ159" s="72" t="n">
        <v>-7.39</v>
      </c>
      <c r="AR159" s="72" t="n">
        <v>4.78</v>
      </c>
      <c r="AS159" s="72" t="n">
        <v>13.76</v>
      </c>
      <c r="AT159" s="72" t="n">
        <v>-12.16</v>
      </c>
      <c r="AU159" s="72" t="n">
        <v>-11.74</v>
      </c>
      <c r="AV159" s="72" t="n">
        <v>10.29</v>
      </c>
      <c r="AW159" s="72" t="n">
        <v>-8.859999999999999</v>
      </c>
      <c r="AX159" s="72" t="n">
        <v>11.17</v>
      </c>
      <c r="AY159" s="72" t="n">
        <v>13.64</v>
      </c>
      <c r="AZ159" s="63" t="inlineStr">
        <is>
          <t>Hang Seng Commerce &amp; Industry sub-index</t>
        </is>
      </c>
      <c r="BA159" s="72" t="n">
        <v>-23.91</v>
      </c>
      <c r="BB159" s="64" t="inlineStr">
        <is>
          <t>2026-08-28</t>
        </is>
      </c>
      <c r="BC159" s="65" t="n">
        <v>5280.2</v>
      </c>
      <c r="BD159" s="68" t="n">
        <v>1206.3</v>
      </c>
      <c r="BE159" s="63" t="inlineStr">
        <is>
          <t>Y</t>
        </is>
      </c>
      <c r="BF159" s="74" t="n">
        <v>20.6</v>
      </c>
      <c r="BG159" s="74" t="n"/>
      <c r="BH159" s="74" t="n">
        <v>12.1</v>
      </c>
      <c r="BI159" s="74" t="n">
        <v>4.7</v>
      </c>
      <c r="BJ159" s="75">
        <f>IF('BBG Verify'!S159="","not filed — run on terminal",'BBG Verify'!S159)</f>
        <v/>
      </c>
      <c r="BK159" s="76" t="inlineStr">
        <is>
          <t>N</t>
        </is>
      </c>
      <c r="BL159" s="77">
        <f>IF('BBG Verify'!K159="","not filed — run on terminal",'BBG Verify'!K159)</f>
        <v/>
      </c>
      <c r="BM159" s="63" t="inlineStr">
        <is>
          <t>N/A</t>
        </is>
      </c>
      <c r="BN159" s="63" t="inlineStr">
        <is>
          <t>N/A</t>
        </is>
      </c>
      <c r="BO159" s="63" t="inlineStr">
        <is>
          <t>N/A</t>
        </is>
      </c>
      <c r="BP159" s="63" t="inlineStr">
        <is>
          <t>N/A</t>
        </is>
      </c>
      <c r="BQ159" s="63" t="inlineStr">
        <is>
          <t>N/A</t>
        </is>
      </c>
      <c r="BR159" s="63" t="inlineStr">
        <is>
          <t>N/A</t>
        </is>
      </c>
      <c r="BS159" s="76" t="inlineStr">
        <is>
          <t>Morgan Stanley Asia Limited; China International Capital Corporation Hong Kong Securities Limited</t>
        </is>
      </c>
      <c r="BT159" s="63" t="inlineStr">
        <is>
          <t>China International Capital Corporation Hong Kong Securities Limited; Morgan Stanley Asia Limited; UBS Securities Hong Kong Limited</t>
        </is>
      </c>
      <c r="BU159" s="63" t="inlineStr">
        <is>
          <t>UBS AG Hong Kong Branch; Morgan Stanley Asia Limited; China International Capital Corporation Hong Kong Securities Limited; Futu Securities International (Hong Kong) Limited</t>
        </is>
      </c>
      <c r="BV159" s="63" t="inlineStr">
        <is>
          <t>BNP Paribas Securities (Asia) Limited; CCB International Capital Limited; China International Capital Corporation Hong Kong Securities Limited; Futu Securities International (Hong Kong) Limited; I Win Securities Limited; Morgan Stanley Asia Limited; Silverbricks Securities Company Limited; UBS AG Hong Kong Branch</t>
        </is>
      </c>
      <c r="BW159" s="78">
        <f>HYPERLINK("https://www1.hkexnews.hk/listedco/listconews/sehk/2022/1205/2022120500015.pdf","prospectus")</f>
        <v/>
      </c>
      <c r="BX159" s="78">
        <f>HYPERLINK("https://www1.hkexnews.hk/listedco/listconews/sehk/2022/1214/2022121400094.htm","allotment")</f>
        <v/>
      </c>
      <c r="BY159" s="78">
        <f>HYPERLINK("https://www1.hkexnews.hk/listedco/listconews/sehk/2023/0109/2023010900033.pdf","stabilisation")</f>
        <v/>
      </c>
      <c r="BZ159" s="76" t="n"/>
      <c r="CA159" s="63" t="inlineStr">
        <is>
          <t>A/H: no A-share listing · grey market: no grey-market headline on file for this deal — AAStocks publishes one per listing but keeps only recent items on the stock's news page, and no public archive of past evening sessions exists; captured from this run onward</t>
        </is>
      </c>
    </row>
    <row r="160" ht="15" customHeight="1">
      <c r="A160" s="62" t="inlineStr">
        <is>
          <t>2457</t>
        </is>
      </c>
      <c r="B160" s="63" t="inlineStr">
        <is>
          <t>BUYANG INTL</t>
        </is>
      </c>
      <c r="C160" s="63" t="inlineStr">
        <is>
          <t>步陽國際</t>
        </is>
      </c>
      <c r="D160" s="63" t="inlineStr">
        <is>
          <t>Consumer</t>
        </is>
      </c>
      <c r="E160" s="63" t="inlineStr">
        <is>
          <t>Auto parts / supply chain</t>
        </is>
      </c>
      <c r="F160" s="63" t="inlineStr">
        <is>
          <t>Tires &amp; Rubber</t>
        </is>
      </c>
      <c r="G160" s="63" t="inlineStr">
        <is>
          <t>Standard</t>
        </is>
      </c>
      <c r="H160" s="64" t="n">
        <v>44910</v>
      </c>
      <c r="I160" s="65" t="n">
        <v>125</v>
      </c>
      <c r="J160" s="63" t="inlineStr">
        <is>
          <t>gross (price x shares)</t>
        </is>
      </c>
      <c r="K160" s="66" t="n"/>
      <c r="L160" s="66" t="n">
        <v>0.5</v>
      </c>
      <c r="M160" s="66" t="n">
        <v>0.5</v>
      </c>
      <c r="N160" s="63" t="inlineStr">
        <is>
          <t>Y</t>
        </is>
      </c>
      <c r="O160" s="67" t="n">
        <v>100</v>
      </c>
      <c r="P160" s="67" t="n"/>
      <c r="Q160" s="68" t="n">
        <v>600</v>
      </c>
      <c r="R160" s="63" t="inlineStr">
        <is>
          <t>aastocks:上市市值 at the struck price</t>
        </is>
      </c>
      <c r="S160" s="69" t="n">
        <v>51.22</v>
      </c>
      <c r="T160" s="70" t="n">
        <v>1.19</v>
      </c>
      <c r="U160" s="71" t="n">
        <v>24</v>
      </c>
      <c r="V160" s="68" t="n">
        <v>95</v>
      </c>
      <c r="W160" s="68" t="n">
        <v>190000000</v>
      </c>
      <c r="X160" s="67" t="n">
        <v>15.83</v>
      </c>
      <c r="Y160" s="63" t="inlineStr">
        <is>
          <t>Arda (HK) Investment Co., Limited</t>
        </is>
      </c>
      <c r="Z160" s="63" t="inlineStr">
        <is>
          <t>arda</t>
        </is>
      </c>
      <c r="AA160" s="67" t="n"/>
      <c r="AB160" s="72" t="n"/>
      <c r="AC160" s="66" t="n"/>
      <c r="AD160" s="72" t="n"/>
      <c r="AE160" s="63" t="n"/>
      <c r="AF160" s="63" t="n"/>
      <c r="AG160" s="63" t="inlineStr">
        <is>
          <t>lapsed (no over-allocation)</t>
        </is>
      </c>
      <c r="AH160" s="63" t="n"/>
      <c r="AI160" s="63" t="inlineStr">
        <is>
          <t>Zhongtai International Securities Limited</t>
        </is>
      </c>
      <c r="AJ160" s="63" t="inlineStr">
        <is>
          <t>Zhongtai</t>
        </is>
      </c>
      <c r="AK160" s="73" t="n">
        <v>-40</v>
      </c>
      <c r="AL160" s="72" t="n">
        <v>-29</v>
      </c>
      <c r="AM160" s="72" t="n">
        <v>-15.49</v>
      </c>
      <c r="AN160" s="72" t="n">
        <v>-25</v>
      </c>
      <c r="AO160" s="72" t="n">
        <v>-15</v>
      </c>
      <c r="AP160" s="72" t="n">
        <v>-31</v>
      </c>
      <c r="AQ160" s="72" t="n">
        <v>25</v>
      </c>
      <c r="AR160" s="72" t="n">
        <v>41.67</v>
      </c>
      <c r="AS160" s="72" t="n">
        <v>15</v>
      </c>
      <c r="AT160" s="72" t="n">
        <v>-25.04</v>
      </c>
      <c r="AU160" s="72" t="n">
        <v>-26.17</v>
      </c>
      <c r="AV160" s="72" t="n">
        <v>-28.66</v>
      </c>
      <c r="AW160" s="72" t="n">
        <v>28.03</v>
      </c>
      <c r="AX160" s="72" t="n">
        <v>11.17</v>
      </c>
      <c r="AY160" s="72" t="n">
        <v>13.64</v>
      </c>
      <c r="AZ160" s="63" t="inlineStr">
        <is>
          <t>Hang Seng Commerce &amp; Industry sub-index</t>
        </is>
      </c>
      <c r="BA160" s="72" t="n">
        <v>-20</v>
      </c>
      <c r="BB160" s="64" t="inlineStr">
        <is>
          <t>2026-08-28</t>
        </is>
      </c>
      <c r="BC160" s="65" t="n">
        <v>484.4</v>
      </c>
      <c r="BD160" s="68" t="n">
        <v>41.4</v>
      </c>
      <c r="BE160" s="63" t="inlineStr">
        <is>
          <t>Y</t>
        </is>
      </c>
      <c r="BF160" s="74" t="n">
        <v>14.5</v>
      </c>
      <c r="BG160" s="74" t="n"/>
      <c r="BH160" s="74" t="n">
        <v>28.6</v>
      </c>
      <c r="BI160" s="74" t="n">
        <v>1.2</v>
      </c>
      <c r="BJ160" s="75">
        <f>IF('BBG Verify'!S160="","not filed — run on terminal",'BBG Verify'!S160)</f>
        <v/>
      </c>
      <c r="BK160" s="76" t="inlineStr">
        <is>
          <t>N</t>
        </is>
      </c>
      <c r="BL160" s="77">
        <f>IF('BBG Verify'!K160="","not filed — run on terminal",'BBG Verify'!K160)</f>
        <v/>
      </c>
      <c r="BM160" s="63" t="inlineStr">
        <is>
          <t>N/A</t>
        </is>
      </c>
      <c r="BN160" s="63" t="inlineStr">
        <is>
          <t>N/A</t>
        </is>
      </c>
      <c r="BO160" s="63" t="inlineStr">
        <is>
          <t>N/A</t>
        </is>
      </c>
      <c r="BP160" s="63" t="inlineStr">
        <is>
          <t>N/A</t>
        </is>
      </c>
      <c r="BQ160" s="63" t="inlineStr">
        <is>
          <t>N/A</t>
        </is>
      </c>
      <c r="BR160" s="63" t="inlineStr">
        <is>
          <t>N/A</t>
        </is>
      </c>
      <c r="BS160" s="76" t="n"/>
      <c r="BT160" s="63" t="inlineStr">
        <is>
          <t>Zhongtai International Capital Limited</t>
        </is>
      </c>
      <c r="BU160" s="63" t="inlineStr">
        <is>
          <t>Beta International Securities Limited; CEB International Capital Corporation Limited; China Tonghai Securities Limited; China PA Securities (Hong Kong) Company Limited; First Shanghai Securities Limited; GF Securities (Hong Kong) Brokerage Limited</t>
        </is>
      </c>
      <c r="BV160" s="63" t="inlineStr">
        <is>
          <t>Beta International Securities Limited; CEB International Capital Corporation Limited; China Tonghai Securities Limited; China PA Securities (Hong Kong) Company Limited; First Shanghai Securities Limited; GF Securities (Hong Kong) Brokerage Limited; Goldlink Securities Limited; Sunhigh Financial Holdings Limited; SPDB International Capital Limited; Southwest Securities (HK) Brokerage Limited; West Bull Securities Limited; Zheshang International Financial Holdings Co., Limited</t>
        </is>
      </c>
      <c r="BW160" s="78">
        <f>HYPERLINK("https://www1.hkexnews.hk/listedco/listconews/sehk/2022/1129/2022112900024.htm","prospectus")</f>
        <v/>
      </c>
      <c r="BX160" s="78">
        <f>HYPERLINK("https://www1.hkexnews.hk/listedco/listconews/sehk/2022/1214/2022121400106.htm","allotment")</f>
        <v/>
      </c>
      <c r="BY160" s="78">
        <f>HYPERLINK("https://www1.hkexnews.hk/listedco/listconews/sehk/2023/0106/2023010600817.pdf","stabilisation")</f>
        <v/>
      </c>
      <c r="BZ160" s="76" t="n"/>
      <c r="CA160" s="63" t="inlineStr">
        <is>
          <t>greenshoe: over-allotment outcome already published, and the allotment announcement does not state the stabilisation expiry in a parsable form — the expiry no longer matters once resolved · range low: cap-only pricing — the filing publishes a Maximum Offer Price and no indicative floor · A/H: no A-share listing · sponsor: English name not in the filing text; AAStocks 保薦人 shown · cornerstone %: AAStocks institutional-order total / deal size — an upper bound; the table can include non-cornerstone orders · greenshoe size: no over-allotment option in the offer structure · grey market: no grey-market headline on file for this deal — AAStocks publishes one per listing but keeps only recent items on the stock's news page, and no public archive of past evening sessions exists; captured from this run onward</t>
        </is>
      </c>
    </row>
    <row r="161" ht="15" customHeight="1">
      <c r="A161" s="62" t="inlineStr">
        <is>
          <t>2145</t>
        </is>
      </c>
      <c r="B161" s="63" t="inlineStr">
        <is>
          <t>CHICMAX</t>
        </is>
      </c>
      <c r="C161" s="63" t="inlineStr">
        <is>
          <t>上美股份</t>
        </is>
      </c>
      <c r="D161" s="63" t="inlineStr">
        <is>
          <t>Consumer</t>
        </is>
      </c>
      <c r="E161" s="63" t="inlineStr">
        <is>
          <t>Beauty / personal care</t>
        </is>
      </c>
      <c r="F161" s="63" t="inlineStr">
        <is>
          <t>Beauty &amp; Toiletries Products and Services</t>
        </is>
      </c>
      <c r="G161" s="63" t="inlineStr">
        <is>
          <t>Standard</t>
        </is>
      </c>
      <c r="H161" s="64" t="n">
        <v>44917</v>
      </c>
      <c r="I161" s="65" t="n">
        <v>931.3</v>
      </c>
      <c r="J161" s="63" t="inlineStr">
        <is>
          <t>gross (price x shares)</t>
        </is>
      </c>
      <c r="K161" s="66" t="n">
        <v>25.2</v>
      </c>
      <c r="L161" s="66" t="n">
        <v>29.8</v>
      </c>
      <c r="M161" s="66" t="n">
        <v>25.2</v>
      </c>
      <c r="N161" s="63" t="inlineStr">
        <is>
          <t>N</t>
        </is>
      </c>
      <c r="O161" s="67" t="n">
        <v>84.59999999999999</v>
      </c>
      <c r="P161" s="67" t="n">
        <v>0</v>
      </c>
      <c r="Q161" s="68" t="n">
        <v>8785.799999999999</v>
      </c>
      <c r="R161" s="63" t="inlineStr">
        <is>
          <t>derived:deal size / offer % of enlarged capital</t>
        </is>
      </c>
      <c r="S161" s="69" t="n">
        <v>0.48</v>
      </c>
      <c r="T161" s="70" t="n">
        <v>1.42</v>
      </c>
      <c r="U161" s="71" t="n">
        <v>0</v>
      </c>
      <c r="V161" s="68" t="n">
        <v>931.3</v>
      </c>
      <c r="W161" s="68" t="n">
        <v>36958000</v>
      </c>
      <c r="X161" s="67" t="n">
        <v>10.6</v>
      </c>
      <c r="Y161" s="63" t="n"/>
      <c r="Z161" s="63" t="n"/>
      <c r="AA161" s="67" t="n">
        <v>10.6</v>
      </c>
      <c r="AB161" s="72" t="n"/>
      <c r="AC161" s="66" t="n"/>
      <c r="AD161" s="72" t="n"/>
      <c r="AE161" s="63" t="n"/>
      <c r="AF161" s="63" t="n"/>
      <c r="AG161" s="63" t="inlineStr">
        <is>
          <t>partial</t>
        </is>
      </c>
      <c r="AH161" s="63" t="inlineStr">
        <is>
          <t>2023-01-14</t>
        </is>
      </c>
      <c r="AI161" s="63" t="inlineStr">
        <is>
          <t>China International Capital Corporation Hong Kong Securities Limited</t>
        </is>
      </c>
      <c r="AJ161" s="63" t="inlineStr">
        <is>
          <t>China International</t>
        </is>
      </c>
      <c r="AK161" s="73" t="n">
        <v>0</v>
      </c>
      <c r="AL161" s="72" t="n">
        <v>0</v>
      </c>
      <c r="AM161" s="72" t="n">
        <v>0</v>
      </c>
      <c r="AN161" s="72" t="n">
        <v>19.05</v>
      </c>
      <c r="AO161" s="72" t="n">
        <v>20.63</v>
      </c>
      <c r="AP161" s="72" t="n">
        <v>0.79</v>
      </c>
      <c r="AQ161" s="72" t="n">
        <v>19.05</v>
      </c>
      <c r="AR161" s="72" t="n">
        <v>20.63</v>
      </c>
      <c r="AS161" s="72" t="n">
        <v>0.79</v>
      </c>
      <c r="AT161" s="72" t="n">
        <v>13.54</v>
      </c>
      <c r="AU161" s="72" t="n">
        <v>3.49</v>
      </c>
      <c r="AV161" s="72" t="n">
        <v>-5.67</v>
      </c>
      <c r="AW161" s="72" t="n">
        <v>7.85</v>
      </c>
      <c r="AX161" s="72" t="n">
        <v>17.14</v>
      </c>
      <c r="AY161" s="72" t="n">
        <v>12.78</v>
      </c>
      <c r="AZ161" s="63" t="inlineStr">
        <is>
          <t>Hang Seng Commerce &amp; Industry sub-index</t>
        </is>
      </c>
      <c r="BA161" s="72" t="n">
        <v>-10.63</v>
      </c>
      <c r="BB161" s="64" t="inlineStr">
        <is>
          <t>2026-08-28</t>
        </is>
      </c>
      <c r="BC161" s="65" t="n">
        <v>3980.8</v>
      </c>
      <c r="BD161" s="68" t="n">
        <v>372.7</v>
      </c>
      <c r="BE161" s="63" t="inlineStr">
        <is>
          <t>Y</t>
        </is>
      </c>
      <c r="BF161" s="74" t="n">
        <v>23.6</v>
      </c>
      <c r="BG161" s="74" t="n"/>
      <c r="BH161" s="74" t="n">
        <v>9</v>
      </c>
      <c r="BI161" s="74" t="n">
        <v>2.2</v>
      </c>
      <c r="BJ161" s="75">
        <f>IF('BBG Verify'!S161="","not filed — run on terminal",'BBG Verify'!S161)</f>
        <v/>
      </c>
      <c r="BK161" s="76" t="inlineStr">
        <is>
          <t>N</t>
        </is>
      </c>
      <c r="BL161" s="77">
        <f>IF('BBG Verify'!K161="","not filed — run on terminal",'BBG Verify'!K161)</f>
        <v/>
      </c>
      <c r="BM161" s="63" t="inlineStr">
        <is>
          <t>N/A</t>
        </is>
      </c>
      <c r="BN161" s="63" t="inlineStr">
        <is>
          <t>N/A</t>
        </is>
      </c>
      <c r="BO161" s="63" t="inlineStr">
        <is>
          <t>N/A</t>
        </is>
      </c>
      <c r="BP161" s="63" t="inlineStr">
        <is>
          <t>N/A</t>
        </is>
      </c>
      <c r="BQ161" s="63" t="inlineStr">
        <is>
          <t>N/A</t>
        </is>
      </c>
      <c r="BR161" s="63" t="inlineStr">
        <is>
          <t>N/A</t>
        </is>
      </c>
      <c r="BS161" s="76" t="inlineStr">
        <is>
          <t>J.P. Morgan Securities (Far East) Limited; China International Capital Corporation Hong Kong Securities Limited; CLSA Capital Markets Limited</t>
        </is>
      </c>
      <c r="BT161" s="63" t="inlineStr">
        <is>
          <t>China International Capital Corporation Hong Kong Securities Limited; J.P. Morgan Securities (Far East) Limited; CLSA Capital Markets Limited</t>
        </is>
      </c>
      <c r="BU161" s="63" t="inlineStr">
        <is>
          <t>J.P. Morgan Securities (Asia Pacific) Limited; China International Capital Corporation Hong Kong Securities Limited; CLSA Limited; J.P. Morgan Securities plc; Shenwan Hongyuan Securities (H.K.) Limited; Tiger Brokers (HK) Global Limited; Futu Securities International (Hong Kong) Limited; Valuable Capital Limited; BOCI Asia Limited</t>
        </is>
      </c>
      <c r="BV161" s="63" t="inlineStr">
        <is>
          <t>BOCI Asia Limited; China International Capital Corporation Hong Kong Securities Limited; CLSA Limited; Futu Securities International (Hong Kong) Limited; J.P. Morgan Securities (Asia Pacific) Limited; Shenwan Hongyuan Securities (H.K.) Limited; Tiger Brokers (HK) Global Limited; Valuable Capital Limited; Zhongtai International Securities Limited</t>
        </is>
      </c>
      <c r="BW161" s="78">
        <f>HYPERLINK("https://www1.hkexnews.hk/listedco/listconews/sehk/2022/1212/2022121200011.pdf","prospectus")</f>
        <v/>
      </c>
      <c r="BX161" s="78">
        <f>HYPERLINK("https://www1.hkexnews.hk/listedco/listconews/sehk/2022/1221/2022122100048.htm","allotment")</f>
        <v/>
      </c>
      <c r="BY161" s="78">
        <f>HYPERLINK("https://www1.hkexnews.hk/listedco/listconews/sehk/2023/0116/2023011600073.pdf","stabilisation")</f>
        <v/>
      </c>
      <c r="BZ161" s="76" t="n"/>
      <c r="CA161" s="63" t="inlineStr">
        <is>
          <t>A/H: no A-share listing · cornerstone list: no cornerstone tranche in this deal · grey market: no grey-market headline on file for this deal — AAStocks publishes one per listing but keeps only recent items on the stock's news page, and no public archive of past evening sessions exists; captured from this run onward</t>
        </is>
      </c>
    </row>
    <row r="162" ht="15" customHeight="1">
      <c r="A162" s="62" t="inlineStr">
        <is>
          <t>0314</t>
        </is>
      </c>
      <c r="B162" s="63" t="inlineStr">
        <is>
          <t>SIPAI HEALTH</t>
        </is>
      </c>
      <c r="C162" s="63" t="inlineStr">
        <is>
          <t>思派健康</t>
        </is>
      </c>
      <c r="D162" s="63" t="inlineStr">
        <is>
          <t>Healthcare</t>
        </is>
      </c>
      <c r="E162" s="63" t="inlineStr">
        <is>
          <t>Digital health</t>
        </is>
      </c>
      <c r="F162" s="63" t="inlineStr">
        <is>
          <t>Health Care Supplies</t>
        </is>
      </c>
      <c r="G162" s="63" t="inlineStr">
        <is>
          <t>Standard</t>
        </is>
      </c>
      <c r="H162" s="64" t="n">
        <v>44918</v>
      </c>
      <c r="I162" s="65" t="n">
        <v>184.5</v>
      </c>
      <c r="J162" s="63" t="inlineStr">
        <is>
          <t>gross (price x shares)</t>
        </is>
      </c>
      <c r="K162" s="66" t="n"/>
      <c r="L162" s="66" t="n">
        <v>18.6</v>
      </c>
      <c r="M162" s="66" t="n">
        <v>18.6</v>
      </c>
      <c r="N162" s="63" t="inlineStr">
        <is>
          <t>Y</t>
        </is>
      </c>
      <c r="O162" s="67" t="n">
        <v>100</v>
      </c>
      <c r="P162" s="67" t="n"/>
      <c r="Q162" s="81">
        <f>IF('BBG Verify'!M162="","not filed — run on terminal",'BBG Verify'!M162)</f>
        <v/>
      </c>
      <c r="R162" s="63" t="n"/>
      <c r="S162" s="69" t="n">
        <v>8.27</v>
      </c>
      <c r="T162" s="70" t="n">
        <v>1.41</v>
      </c>
      <c r="U162" s="71" t="n"/>
      <c r="V162" s="68" t="n">
        <v>184.5</v>
      </c>
      <c r="W162" s="68" t="n">
        <v>9919400</v>
      </c>
      <c r="X162" s="67" t="n"/>
      <c r="Y162" s="63" t="n"/>
      <c r="Z162" s="63" t="n"/>
      <c r="AA162" s="67" t="n"/>
      <c r="AB162" s="72" t="n"/>
      <c r="AC162" s="66" t="n"/>
      <c r="AD162" s="72" t="n"/>
      <c r="AE162" s="63" t="n"/>
      <c r="AF162" s="63" t="n"/>
      <c r="AG162" s="63" t="inlineStr">
        <is>
          <t>lapsed</t>
        </is>
      </c>
      <c r="AH162" s="63" t="inlineStr">
        <is>
          <t>2023-01-14</t>
        </is>
      </c>
      <c r="AI162" s="63" t="inlineStr">
        <is>
          <t>Morgan Stanley Asia Limited</t>
        </is>
      </c>
      <c r="AJ162" s="63" t="inlineStr">
        <is>
          <t>Morgan Stanley</t>
        </is>
      </c>
      <c r="AK162" s="73" t="n">
        <v>34.41</v>
      </c>
      <c r="AL162" s="72" t="n">
        <v>27.42</v>
      </c>
      <c r="AM162" s="72" t="n">
        <v>5.49</v>
      </c>
      <c r="AN162" s="72" t="n">
        <v>0</v>
      </c>
      <c r="AO162" s="72" t="n">
        <v>7.42</v>
      </c>
      <c r="AP162" s="72" t="n">
        <v>97.84999999999999</v>
      </c>
      <c r="AQ162" s="72" t="n">
        <v>-25.6</v>
      </c>
      <c r="AR162" s="72" t="n">
        <v>-20.08</v>
      </c>
      <c r="AS162" s="72" t="n">
        <v>47.2</v>
      </c>
      <c r="AT162" s="72" t="n">
        <v>-8.31</v>
      </c>
      <c r="AU162" s="72" t="n">
        <v>-5.25</v>
      </c>
      <c r="AV162" s="72" t="n">
        <v>97.47</v>
      </c>
      <c r="AW162" s="72" t="n">
        <v>-32.06</v>
      </c>
      <c r="AX162" s="72" t="n">
        <v>12.67</v>
      </c>
      <c r="AY162" s="72" t="n">
        <v>11.98</v>
      </c>
      <c r="AZ162" s="63" t="inlineStr">
        <is>
          <t>China Biotech ETF (HS biotech proxy)</t>
        </is>
      </c>
      <c r="BA162" s="72" t="n">
        <v>-91.45</v>
      </c>
      <c r="BB162" s="64" t="inlineStr">
        <is>
          <t>2026-08-28</t>
        </is>
      </c>
      <c r="BC162" s="65" t="n">
        <v>3821.3</v>
      </c>
      <c r="BD162" s="68" t="n">
        <v>-4114.5</v>
      </c>
      <c r="BE162" s="63" t="inlineStr">
        <is>
          <t>N</t>
        </is>
      </c>
      <c r="BF162" s="63" t="inlineStr">
        <is>
          <t>n/m</t>
        </is>
      </c>
      <c r="BG162" s="74" t="n"/>
      <c r="BH162" s="74" t="n"/>
      <c r="BI162" s="74" t="n"/>
      <c r="BJ162" s="75">
        <f>IF('BBG Verify'!S162="","not filed — run on terminal",'BBG Verify'!S162)</f>
        <v/>
      </c>
      <c r="BK162" s="76" t="inlineStr">
        <is>
          <t>N</t>
        </is>
      </c>
      <c r="BL162" s="77">
        <f>IF('BBG Verify'!K162="","not filed — run on terminal",'BBG Verify'!K162)</f>
        <v/>
      </c>
      <c r="BM162" s="63" t="inlineStr">
        <is>
          <t>N/A</t>
        </is>
      </c>
      <c r="BN162" s="63" t="inlineStr">
        <is>
          <t>N/A</t>
        </is>
      </c>
      <c r="BO162" s="63" t="inlineStr">
        <is>
          <t>N/A</t>
        </is>
      </c>
      <c r="BP162" s="63" t="inlineStr">
        <is>
          <t>N/A</t>
        </is>
      </c>
      <c r="BQ162" s="63" t="inlineStr">
        <is>
          <t>N/A</t>
        </is>
      </c>
      <c r="BR162" s="63" t="inlineStr">
        <is>
          <t>N/A</t>
        </is>
      </c>
      <c r="BS162" s="76" t="n"/>
      <c r="BT162" s="63" t="inlineStr">
        <is>
          <t>Morgan Stanley Asia Limited; Haitong International Capital Limited</t>
        </is>
      </c>
      <c r="BU162" s="63" t="inlineStr">
        <is>
          <t>Futu Securities International (Hong Kong) Limited; Haitong International Securities Company Limited; I Win Securities Limited; Maxa Capital Limited; Morgan Stanley Asia Limited</t>
        </is>
      </c>
      <c r="BV162" s="63" t="inlineStr">
        <is>
          <t>Futu Securities International (Hong Kong) Limited; Haitong International Securities Company Limited; I Win Securities Limited; Maxa Capital Limited; Morgan Stanley Asia Limited</t>
        </is>
      </c>
      <c r="BW162" s="78">
        <f>HYPERLINK("https://www1.hkexnews.hk/listedco/listconews/sehk/2022/1212/2022121200024.htm","prospectus")</f>
        <v/>
      </c>
      <c r="BX162" s="78">
        <f>HYPERLINK("https://www1.hkexnews.hk/listedco/listconews/sehk/2022/1222/2022122200018.htm","allotment")</f>
        <v/>
      </c>
      <c r="BY162" s="78">
        <f>HYPERLINK("https://www1.hkexnews.hk/listedco/listconews/sehk/2023/0115/2023011500007.pdf","stabilisation")</f>
        <v/>
      </c>
      <c r="BZ162" s="76" t="n"/>
      <c r="CA162" s="63" t="inlineStr">
        <is>
          <t>P/E: n/m — loss-making at IPO (use P/S) · price range: fixed-price offering (no indicative range) · range low: cap-only pricing — the filing publishes a Maximum Offer Price and no indicative floor · A/H: no A-share listing · sponsor: English name not in the filing text; AAStocks 保薦人 shown · market cap: no share count, offer-%-of-capital or published listing cap available · cornerstone list: cornerstone section not machine-extractable — see the prospectus link · cornerstone %: cornerstone aggregate not stated in the filing · greenshoe size: no over-allotment option in the offer structure · P/S: market cap not derivable — P/S cannot be formed · grey market: no grey-market headline on file for this deal — AAStocks publishes one per listing but keeps only recent items on the stock's news page, and no public archive of past evening sessions exists; captured from this run onward · eff free float: not computable as a % of cap — market cap not derivable</t>
        </is>
      </c>
    </row>
    <row r="163" ht="15" customHeight="1">
      <c r="A163" s="62" t="inlineStr">
        <is>
          <t>6929</t>
        </is>
      </c>
      <c r="B163" s="63" t="inlineStr">
        <is>
          <t>ORBUSNEICH</t>
        </is>
      </c>
      <c r="C163" s="63" t="inlineStr">
        <is>
          <t>業聚醫療</t>
        </is>
      </c>
      <c r="D163" s="63" t="inlineStr">
        <is>
          <t>Healthcare</t>
        </is>
      </c>
      <c r="E163" s="63" t="inlineStr">
        <is>
          <t>Medical devices</t>
        </is>
      </c>
      <c r="F163" s="63" t="inlineStr">
        <is>
          <t>Health Care Equipment</t>
        </is>
      </c>
      <c r="G163" s="63" t="inlineStr">
        <is>
          <t>Standard</t>
        </is>
      </c>
      <c r="H163" s="64" t="n">
        <v>44918</v>
      </c>
      <c r="I163" s="65" t="n">
        <v>480.8</v>
      </c>
      <c r="J163" s="63" t="inlineStr">
        <is>
          <t>gross (price x shares)</t>
        </is>
      </c>
      <c r="K163" s="66" t="n"/>
      <c r="L163" s="66" t="n">
        <v>8.800000000000001</v>
      </c>
      <c r="M163" s="66" t="n">
        <v>8.800000000000001</v>
      </c>
      <c r="N163" s="63" t="inlineStr">
        <is>
          <t>Y</t>
        </is>
      </c>
      <c r="O163" s="67" t="n">
        <v>100</v>
      </c>
      <c r="P163" s="67" t="n"/>
      <c r="Q163" s="68" t="n">
        <v>7284</v>
      </c>
      <c r="R163" s="63" t="inlineStr">
        <is>
          <t>prospectus:stated market capitalisation</t>
        </is>
      </c>
      <c r="S163" s="69" t="n">
        <v>2.01</v>
      </c>
      <c r="T163" s="70" t="n">
        <v>1.09</v>
      </c>
      <c r="U163" s="71" t="n">
        <v>72.59999999999999</v>
      </c>
      <c r="V163" s="68" t="n">
        <v>131.74</v>
      </c>
      <c r="W163" s="68" t="n">
        <v>14969442</v>
      </c>
      <c r="X163" s="67" t="n">
        <v>1.81</v>
      </c>
      <c r="Y163" s="63" t="inlineStr">
        <is>
          <t>Hangzhou Fuyang Industrial Fund Investment Management Co., Ltd</t>
        </is>
      </c>
      <c r="Z163" s="63" t="inlineStr">
        <is>
          <t>hangzhou-fuyang</t>
        </is>
      </c>
      <c r="AA163" s="67" t="n"/>
      <c r="AB163" s="72" t="n"/>
      <c r="AC163" s="66" t="n"/>
      <c r="AD163" s="72" t="n"/>
      <c r="AE163" s="63" t="n"/>
      <c r="AF163" s="63" t="n"/>
      <c r="AG163" s="63" t="n"/>
      <c r="AH163" s="63" t="n"/>
      <c r="AI163" s="63" t="n"/>
      <c r="AJ163" s="63" t="n"/>
      <c r="AK163" s="73" t="n">
        <v>3.98</v>
      </c>
      <c r="AL163" s="72" t="n">
        <v>0</v>
      </c>
      <c r="AM163" s="72" t="n">
        <v>3.98</v>
      </c>
      <c r="AN163" s="72" t="n">
        <v>-5.11</v>
      </c>
      <c r="AO163" s="72" t="n">
        <v>-6.25</v>
      </c>
      <c r="AP163" s="72" t="n">
        <v>45.68</v>
      </c>
      <c r="AQ163" s="72" t="n">
        <v>-8.74</v>
      </c>
      <c r="AR163" s="72" t="n">
        <v>-9.84</v>
      </c>
      <c r="AS163" s="72" t="n">
        <v>40.1</v>
      </c>
      <c r="AT163" s="72" t="n">
        <v>-13.42</v>
      </c>
      <c r="AU163" s="72" t="n">
        <v>-18.92</v>
      </c>
      <c r="AV163" s="72" t="n">
        <v>45.3</v>
      </c>
      <c r="AW163" s="72" t="n">
        <v>-21.82</v>
      </c>
      <c r="AX163" s="72" t="n">
        <v>12.67</v>
      </c>
      <c r="AY163" s="72" t="n">
        <v>11.98</v>
      </c>
      <c r="AZ163" s="63" t="inlineStr">
        <is>
          <t>China Biotech ETF (HS biotech proxy)</t>
        </is>
      </c>
      <c r="BA163" s="72" t="n">
        <v>-55.45</v>
      </c>
      <c r="BB163" s="64" t="inlineStr">
        <is>
          <t>2026-08-28</t>
        </is>
      </c>
      <c r="BC163" s="65" t="n">
        <v>908.4</v>
      </c>
      <c r="BD163" s="68" t="n">
        <v>-10.3</v>
      </c>
      <c r="BE163" s="63" t="inlineStr">
        <is>
          <t>N</t>
        </is>
      </c>
      <c r="BF163" s="63" t="inlineStr">
        <is>
          <t>n/m</t>
        </is>
      </c>
      <c r="BG163" s="74" t="n"/>
      <c r="BH163" s="74" t="n">
        <v>9.699999999999999</v>
      </c>
      <c r="BI163" s="74" t="n">
        <v>8</v>
      </c>
      <c r="BJ163" s="75">
        <f>IF('BBG Verify'!S163="","not filed — run on terminal",'BBG Verify'!S163)</f>
        <v/>
      </c>
      <c r="BK163" s="76" t="inlineStr">
        <is>
          <t>N</t>
        </is>
      </c>
      <c r="BL163" s="77">
        <f>IF('BBG Verify'!K163="","not filed — run on terminal",'BBG Verify'!K163)</f>
        <v/>
      </c>
      <c r="BM163" s="63" t="inlineStr">
        <is>
          <t>N/A</t>
        </is>
      </c>
      <c r="BN163" s="63" t="inlineStr">
        <is>
          <t>N/A</t>
        </is>
      </c>
      <c r="BO163" s="63" t="inlineStr">
        <is>
          <t>N/A</t>
        </is>
      </c>
      <c r="BP163" s="63" t="inlineStr">
        <is>
          <t>N/A</t>
        </is>
      </c>
      <c r="BQ163" s="63" t="inlineStr">
        <is>
          <t>N/A</t>
        </is>
      </c>
      <c r="BR163" s="63" t="inlineStr">
        <is>
          <t>N/A</t>
        </is>
      </c>
      <c r="BS163" s="76" t="inlineStr">
        <is>
          <t>China International Capital Corporation Hong Kong Securities Limited; CCB International Capital Limited</t>
        </is>
      </c>
      <c r="BT163" s="63" t="inlineStr">
        <is>
          <t>CCB International Capital Limited; China International Capital Corporation (HK) Ltd</t>
        </is>
      </c>
      <c r="BU163" s="63" t="inlineStr">
        <is>
          <t>China International Capital Corporation Hong Kong Securities Limited; CCB International Capital Limited; BNP Paribas Securities (Asia) Limited; CLSA Limited; China Merchants Securities (HK) Co., Limited; ZMF Asset Management Limited; Futu Securities International (Hong Kong) Limited</t>
        </is>
      </c>
      <c r="BV163" s="63" t="inlineStr">
        <is>
          <t>BNP Paribas Securities (Asia) Limited; CCB International Capital Limited; China International Capital Corporation Hong Kong Securities Limited; CLSA Limited; China Merchants Securities (HK) Company Limited; Futu Securities International (Hong Kong) Limited; Yue Xiu Securities Company Limited; ZMF Asset Management Limited</t>
        </is>
      </c>
      <c r="BW163" s="78">
        <f>HYPERLINK("https://www1.hkexnews.hk/listedco/listconews/sehk/2022/1213/2022121300009.pdf","prospectus")</f>
        <v/>
      </c>
      <c r="BX163" s="78">
        <f>HYPERLINK("https://www1.hkexnews.hk/listedco/listconews/sehk/2022/1222/2022122200034.htm","allotment")</f>
        <v/>
      </c>
      <c r="BY163" s="63" t="n"/>
      <c r="BZ163" s="76" t="n"/>
      <c r="CA163" s="63" t="inlineStr">
        <is>
          <t>P/E: n/m — loss-making at IPO (use P/S) · greenshoe: no over-allotment option in the offer structure · range low: cap-only pricing — the filing publishes a Maximum Offer Price and no indicative floor · A/H: no A-share listing · greenshoe size: no over-allotment option in the offer structure · stabilising manager: no over-allotment option in the offer structure, so no stabilising manager is appointed · grey market: no grey-market headline on file for this deal — AAStocks publishes one per listing but keeps only recent items on the stock's news page, and no public archive of past evening sessions exists; captured from this run onward</t>
        </is>
      </c>
    </row>
    <row r="164" ht="15" customHeight="1">
      <c r="A164" s="62" t="inlineStr">
        <is>
          <t>2427</t>
        </is>
      </c>
      <c r="B164" s="63" t="inlineStr">
        <is>
          <t>GUANZE MEDICAL</t>
        </is>
      </c>
      <c r="C164" s="63" t="inlineStr">
        <is>
          <t>GUANZE MEDICAL</t>
        </is>
      </c>
      <c r="D164" s="63" t="inlineStr">
        <is>
          <t>Healthcare</t>
        </is>
      </c>
      <c r="E164" s="63" t="inlineStr">
        <is>
          <t>Medical devices</t>
        </is>
      </c>
      <c r="F164" s="63" t="inlineStr">
        <is>
          <t>Health Care Services</t>
        </is>
      </c>
      <c r="G164" s="63" t="inlineStr">
        <is>
          <t>Standard</t>
        </is>
      </c>
      <c r="H164" s="64" t="n">
        <v>44924</v>
      </c>
      <c r="I164" s="65" t="n">
        <v>102.2</v>
      </c>
      <c r="J164" s="63" t="inlineStr">
        <is>
          <t>gross (price x shares)</t>
        </is>
      </c>
      <c r="K164" s="66" t="n">
        <v>0.53</v>
      </c>
      <c r="L164" s="66" t="n">
        <v>0.63</v>
      </c>
      <c r="M164" s="66" t="n">
        <v>0.53</v>
      </c>
      <c r="N164" s="63" t="inlineStr">
        <is>
          <t>N</t>
        </is>
      </c>
      <c r="O164" s="67" t="n">
        <v>84.09999999999999</v>
      </c>
      <c r="P164" s="67" t="n">
        <v>0</v>
      </c>
      <c r="Q164" s="68" t="n">
        <v>551</v>
      </c>
      <c r="R164" s="63" t="inlineStr">
        <is>
          <t>aastocks:上市市值 at the struck price</t>
        </is>
      </c>
      <c r="S164" s="69" t="n">
        <v>14.23</v>
      </c>
      <c r="T164" s="70" t="n">
        <v>1.2</v>
      </c>
      <c r="U164" s="71" t="n">
        <v>24</v>
      </c>
      <c r="V164" s="68" t="n">
        <v>77.67</v>
      </c>
      <c r="W164" s="68" t="n">
        <v>146566000</v>
      </c>
      <c r="X164" s="67" t="n">
        <v>14.1</v>
      </c>
      <c r="Y164" s="63" t="inlineStr">
        <is>
          <t>Carsonlin Investment Ltd; Mu Min; Yang Xinyun</t>
        </is>
      </c>
      <c r="Z164" s="63" t="inlineStr">
        <is>
          <t>carsonlin;mu;yang-xinyun</t>
        </is>
      </c>
      <c r="AA164" s="67" t="n">
        <v>10</v>
      </c>
      <c r="AB164" s="72" t="n"/>
      <c r="AC164" s="66" t="n"/>
      <c r="AD164" s="72" t="n"/>
      <c r="AE164" s="63" t="n"/>
      <c r="AF164" s="63" t="n"/>
      <c r="AG164" s="63" t="inlineStr">
        <is>
          <t>lapsed (no over-allocation)</t>
        </is>
      </c>
      <c r="AH164" s="63" t="n"/>
      <c r="AI164" s="63" t="n"/>
      <c r="AJ164" s="63" t="n"/>
      <c r="AK164" s="73" t="n">
        <v>230.19</v>
      </c>
      <c r="AL164" s="72" t="n">
        <v>126.42</v>
      </c>
      <c r="AM164" s="72" t="n">
        <v>45.83</v>
      </c>
      <c r="AN164" s="72" t="n">
        <v>281.13</v>
      </c>
      <c r="AO164" s="72" t="n">
        <v>196.23</v>
      </c>
      <c r="AP164" s="72" t="n">
        <v>696.23</v>
      </c>
      <c r="AQ164" s="72" t="n">
        <v>15.43</v>
      </c>
      <c r="AR164" s="72" t="n">
        <v>-10.28</v>
      </c>
      <c r="AS164" s="72" t="n">
        <v>141.14</v>
      </c>
      <c r="AT164" s="72" t="n">
        <v>273.69</v>
      </c>
      <c r="AU164" s="72" t="n">
        <v>182.72</v>
      </c>
      <c r="AV164" s="72" t="n">
        <v>699.04</v>
      </c>
      <c r="AW164" s="72" t="n">
        <v>-20.57</v>
      </c>
      <c r="AX164" s="72" t="n">
        <v>13.51</v>
      </c>
      <c r="AY164" s="72" t="n">
        <v>10.29</v>
      </c>
      <c r="AZ164" s="63" t="inlineStr">
        <is>
          <t>China Biotech ETF (HS biotech proxy)</t>
        </is>
      </c>
      <c r="BA164" s="72" t="n">
        <v>343.4</v>
      </c>
      <c r="BB164" s="64" t="inlineStr">
        <is>
          <t>2026-08-28</t>
        </is>
      </c>
      <c r="BC164" s="65" t="n">
        <v>232.1</v>
      </c>
      <c r="BD164" s="68" t="n">
        <v>25.4</v>
      </c>
      <c r="BE164" s="63" t="inlineStr">
        <is>
          <t>Y</t>
        </is>
      </c>
      <c r="BF164" s="74" t="n">
        <v>21.7</v>
      </c>
      <c r="BG164" s="74" t="n"/>
      <c r="BH164" s="74" t="n"/>
      <c r="BI164" s="74" t="n">
        <v>2.4</v>
      </c>
      <c r="BJ164" s="75">
        <f>IF('BBG Verify'!S164="","not filed — run on terminal",'BBG Verify'!S164)</f>
        <v/>
      </c>
      <c r="BK164" s="76" t="inlineStr">
        <is>
          <t>N</t>
        </is>
      </c>
      <c r="BL164" s="77">
        <f>IF('BBG Verify'!K164="","not filed — run on terminal",'BBG Verify'!K164)</f>
        <v/>
      </c>
      <c r="BM164" s="63" t="inlineStr">
        <is>
          <t>N/A</t>
        </is>
      </c>
      <c r="BN164" s="63" t="inlineStr">
        <is>
          <t>N/A</t>
        </is>
      </c>
      <c r="BO164" s="63" t="inlineStr">
        <is>
          <t>N/A</t>
        </is>
      </c>
      <c r="BP164" s="63" t="inlineStr">
        <is>
          <t>N/A</t>
        </is>
      </c>
      <c r="BQ164" s="63" t="inlineStr">
        <is>
          <t>N/A</t>
        </is>
      </c>
      <c r="BR164" s="63" t="inlineStr">
        <is>
          <t>N/A</t>
        </is>
      </c>
      <c r="BS164" s="76" t="inlineStr">
        <is>
          <t>Southwest Securities (HK) Capital Limited</t>
        </is>
      </c>
      <c r="BT164" s="63" t="inlineStr">
        <is>
          <t>Southwest Securities (HK) Capital Limited</t>
        </is>
      </c>
      <c r="BU164" s="63" t="inlineStr">
        <is>
          <t>Southwest Securities (HK) Brokerage Limited; Goldlink Securities Limited; Lead Securities (HK) Limited; BOCOM International S ecurities Limited; Shenwan Hongyuan Securi ties (H.K.) Limited; SPDB International Capital Limited; Zhongtai International Securities Limited; Alpha Financial Group Limited; Elstone Securities Limited</t>
        </is>
      </c>
      <c r="BV164" s="63" t="inlineStr">
        <is>
          <t>Alpha Financial Group Limited; Beta International Securities Limited; Elstone Securities Limited; Goldlink Securities Limited; ICBC International Securities Limited; I Win Securities Limited; Lead Securities (HK) Limited; Shenwan Hongyuan Securities (H.K.) Limited; SPDB International Capital Limited; Southwest Securities (HK) Brokerage Limited; Zhongtai International Securities Limited</t>
        </is>
      </c>
      <c r="BW164" s="78">
        <f>HYPERLINK("https://www1.hkexnews.hk/listedco/listconews/sehk/2022/1215/2022121500017.pdf","prospectus")</f>
        <v/>
      </c>
      <c r="BX164" s="78">
        <f>HYPERLINK("https://www1.hkexnews.hk/listedco/listconews/sehk/2022/1228/2022122800004.htm","allotment")</f>
        <v/>
      </c>
      <c r="BY164" s="78">
        <f>HYPERLINK("https://www1.hkexnews.hk/listedco/listconews/sehk/2023/0119/2023011900669.pdf","stabilisation")</f>
        <v/>
      </c>
      <c r="BZ164" s="76" t="n"/>
      <c r="CA164" s="63" t="inlineStr">
        <is>
          <t>greenshoe: over-allotment outcome already published, and the allotment announcement does not state the stabilisation expiry in a parsable form — the expiry no longer matters once resolved · A/H: no A-share listing · market cap: estimate from deal size / offer % of enlarged capital disagreed with the published listing cap — published figure adopted · stabilising manager: neither the allotment announcement's cover sentence nor the prospectus definitions glossary names one in a form the parser reads — not inferred from the sponsor · grey market: no grey-market headline on file for this deal — AAStocks publishes one per listing but keeps only recent items on the stock's news page, and no public archive of past evening sessions exists; captured from this run onward</t>
        </is>
      </c>
    </row>
    <row r="165" ht="15" customHeight="1">
      <c r="A165" s="62" t="inlineStr">
        <is>
          <t>6698</t>
        </is>
      </c>
      <c r="B165" s="63" t="inlineStr">
        <is>
          <t>STAR CM</t>
        </is>
      </c>
      <c r="C165" s="63" t="inlineStr">
        <is>
          <t>星空華文</t>
        </is>
      </c>
      <c r="D165" s="63" t="inlineStr">
        <is>
          <t>TMT-other</t>
        </is>
      </c>
      <c r="E165" s="63" t="inlineStr">
        <is>
          <t>Media / advertising</t>
        </is>
      </c>
      <c r="F165" s="63" t="inlineStr">
        <is>
          <t>Movies &amp; Entertainment</t>
        </is>
      </c>
      <c r="G165" s="63" t="inlineStr">
        <is>
          <t>Standard</t>
        </is>
      </c>
      <c r="H165" s="64" t="n">
        <v>44924</v>
      </c>
      <c r="I165" s="65" t="n">
        <v>390.4</v>
      </c>
      <c r="J165" s="63" t="inlineStr">
        <is>
          <t>gross (price x shares)</t>
        </is>
      </c>
      <c r="K165" s="66" t="n">
        <v>25.5</v>
      </c>
      <c r="L165" s="66" t="n">
        <v>32.5</v>
      </c>
      <c r="M165" s="66" t="n">
        <v>26.5</v>
      </c>
      <c r="N165" s="63" t="inlineStr">
        <is>
          <t>N</t>
        </is>
      </c>
      <c r="O165" s="67" t="n">
        <v>81.5</v>
      </c>
      <c r="P165" s="67" t="n">
        <v>14.3</v>
      </c>
      <c r="Q165" s="68" t="n">
        <v>10551.4</v>
      </c>
      <c r="R165" s="63" t="inlineStr">
        <is>
          <t>derived:deal size / offer % of enlarged capital</t>
        </is>
      </c>
      <c r="S165" s="69" t="n">
        <v>5.12</v>
      </c>
      <c r="T165" s="70" t="n">
        <v>1.47</v>
      </c>
      <c r="U165" s="71" t="n">
        <v>10</v>
      </c>
      <c r="V165" s="68" t="n">
        <v>351.36</v>
      </c>
      <c r="W165" s="68" t="n">
        <v>13258440</v>
      </c>
      <c r="X165" s="67" t="n">
        <v>3.33</v>
      </c>
      <c r="Y165" s="63" t="inlineStr">
        <is>
          <t>TradArt Investment SP</t>
        </is>
      </c>
      <c r="Z165" s="63" t="inlineStr">
        <is>
          <t>tradart</t>
        </is>
      </c>
      <c r="AA165" s="67" t="n">
        <v>15</v>
      </c>
      <c r="AB165" s="72" t="n"/>
      <c r="AC165" s="66" t="n"/>
      <c r="AD165" s="72" t="n"/>
      <c r="AE165" s="63" t="n"/>
      <c r="AF165" s="63" t="n"/>
      <c r="AG165" s="63" t="inlineStr">
        <is>
          <t>partial</t>
        </is>
      </c>
      <c r="AH165" s="63" t="inlineStr">
        <is>
          <t>2023-01-19</t>
        </is>
      </c>
      <c r="AI165" s="63" t="inlineStr">
        <is>
          <t>China Securities</t>
        </is>
      </c>
      <c r="AJ165" s="63" t="inlineStr">
        <is>
          <t>China Securities</t>
        </is>
      </c>
      <c r="AK165" s="73" t="n">
        <v>70.56999999999999</v>
      </c>
      <c r="AL165" s="72" t="n">
        <v>22.83</v>
      </c>
      <c r="AM165" s="72" t="n">
        <v>38.87</v>
      </c>
      <c r="AN165" s="72" t="n">
        <v>76.59999999999999</v>
      </c>
      <c r="AO165" s="72" t="n">
        <v>198.3</v>
      </c>
      <c r="AP165" s="72" t="n">
        <v>277.36</v>
      </c>
      <c r="AQ165" s="72" t="n">
        <v>3.54</v>
      </c>
      <c r="AR165" s="72" t="n">
        <v>74.88</v>
      </c>
      <c r="AS165" s="72" t="n">
        <v>121.23</v>
      </c>
      <c r="AT165" s="72" t="n">
        <v>71.11</v>
      </c>
      <c r="AU165" s="72" t="n">
        <v>187.95</v>
      </c>
      <c r="AV165" s="72" t="n">
        <v>274.8</v>
      </c>
      <c r="AW165" s="72" t="n">
        <v>63.65</v>
      </c>
      <c r="AX165" s="72" t="n">
        <v>10.35</v>
      </c>
      <c r="AY165" s="72" t="n">
        <v>11.23</v>
      </c>
      <c r="AZ165" s="63" t="inlineStr">
        <is>
          <t>Hang Seng Index</t>
        </is>
      </c>
      <c r="BA165" s="72" t="n">
        <v>-96.64</v>
      </c>
      <c r="BB165" s="64" t="inlineStr">
        <is>
          <t>2026-08-28</t>
        </is>
      </c>
      <c r="BC165" s="65" t="n">
        <v>960.8</v>
      </c>
      <c r="BD165" s="68" t="n">
        <v>95.59999999999999</v>
      </c>
      <c r="BE165" s="63" t="inlineStr">
        <is>
          <t>Y</t>
        </is>
      </c>
      <c r="BF165" s="74" t="n">
        <v>110.4</v>
      </c>
      <c r="BG165" s="74" t="n"/>
      <c r="BH165" s="74" t="n"/>
      <c r="BI165" s="74" t="n">
        <v>11</v>
      </c>
      <c r="BJ165" s="75">
        <f>IF('BBG Verify'!S165="","not filed — run on terminal",'BBG Verify'!S165)</f>
        <v/>
      </c>
      <c r="BK165" s="76" t="inlineStr">
        <is>
          <t>N</t>
        </is>
      </c>
      <c r="BL165" s="77">
        <f>IF('BBG Verify'!K165="","not filed — run on terminal",'BBG Verify'!K165)</f>
        <v/>
      </c>
      <c r="BM165" s="63" t="inlineStr">
        <is>
          <t>N/A</t>
        </is>
      </c>
      <c r="BN165" s="63" t="inlineStr">
        <is>
          <t>N/A</t>
        </is>
      </c>
      <c r="BO165" s="63" t="inlineStr">
        <is>
          <t>N/A</t>
        </is>
      </c>
      <c r="BP165" s="63" t="inlineStr">
        <is>
          <t>N/A</t>
        </is>
      </c>
      <c r="BQ165" s="63" t="inlineStr">
        <is>
          <t>N/A</t>
        </is>
      </c>
      <c r="BR165" s="63" t="inlineStr">
        <is>
          <t>N/A</t>
        </is>
      </c>
      <c r="BS165" s="76" t="inlineStr">
        <is>
          <t>China International Capital Corporation Hong Kong Securities Limited; China Securities (International) Corporate Finance Company Limited</t>
        </is>
      </c>
      <c r="BT165" s="63" t="inlineStr">
        <is>
          <t>China International Capital Corporation Hong Kong Securities Limited; China Securities (International) Corporate Finance Company Limited</t>
        </is>
      </c>
      <c r="BU165" s="63" t="inlineStr">
        <is>
          <t>China International Capital Corporation Hong Kong Securities Limited; China Securities (International) Corporate Finance Company Limited; Guotai Junan Securities (Hong Kong) Limited; Huatai Financial Holdings (Hong Kong) Limited; ABCI Capital Limited; Huarong International Securities Limited; Zheshang International Financial Holdings Co., Limited; China Everbright Securities (HK) Limited; Valuable Capital Limited; Livermore Holdings Limited; Tiger Brokers (HK) Global Limited</t>
        </is>
      </c>
      <c r="BV165" s="63" t="inlineStr">
        <is>
          <t>ABCI Securities Company Limited; China Everbright Securities (HK) Limited; China International Capital Corporation Hong Kong Securities Limited; China Securities (International) Corporate Finance Company Limited; Differ Financial and Securities Limited; Guotai Junan Securities (Hong Kong) Limited; Huatai Financial Holdings (Hong Kong) Limited; Huarong International Securities Limited; Livermore Holdings Limited; Tiger Brokers (HK) Global Limited; Valuable Capital Limited; WE Securities Limited</t>
        </is>
      </c>
      <c r="BW165" s="78">
        <f>HYPERLINK("https://www1.hkexnews.hk/listedco/listconews/sehk/2022/1215/2022121500027.pdf","prospectus")</f>
        <v/>
      </c>
      <c r="BX165" s="78">
        <f>HYPERLINK("https://www1.hkexnews.hk/listedco/listconews/sehk/2022/1228/2022122800022.htm","allotment")</f>
        <v/>
      </c>
      <c r="BY165" s="78">
        <f>HYPERLINK("https://www1.hkexnews.hk/listedco/listconews/sehk/2023/0119/2023011901155.pdf","stabilisation")</f>
        <v/>
      </c>
      <c r="BZ165" s="76" t="n"/>
      <c r="CA165" s="63" t="inlineStr">
        <is>
          <t>A/H: no A-share listing · cornerstone: table parse read 97% but the institutional total implies 10% — parse rejected, the filed aggregate-amount sentence used (10.0%) · grey market: no grey-market headline on file for this deal — AAStocks publishes one per listing but keeps only recent items on the stock's news page, and no public archive of past evening sessions exists; captured from this run onward</t>
        </is>
      </c>
    </row>
    <row r="166" ht="15" customHeight="1">
      <c r="A166" s="62" t="inlineStr">
        <is>
          <t>2425</t>
        </is>
      </c>
      <c r="B166" s="63" t="inlineStr">
        <is>
          <t>AUSTASIA GROUP</t>
        </is>
      </c>
      <c r="C166" s="63" t="inlineStr">
        <is>
          <t>澳亞集團</t>
        </is>
      </c>
      <c r="D166" s="63" t="inlineStr">
        <is>
          <t>Consumer</t>
        </is>
      </c>
      <c r="E166" s="63" t="inlineStr">
        <is>
          <t>Beverages / packaged food</t>
        </is>
      </c>
      <c r="F166" s="63" t="inlineStr">
        <is>
          <t>Dairy Products</t>
        </is>
      </c>
      <c r="G166" s="63" t="inlineStr">
        <is>
          <t>Standard</t>
        </is>
      </c>
      <c r="H166" s="64" t="n">
        <v>44925</v>
      </c>
      <c r="I166" s="65" t="n">
        <v>196.1</v>
      </c>
      <c r="J166" s="63" t="inlineStr">
        <is>
          <t>gross (price x shares)</t>
        </is>
      </c>
      <c r="K166" s="66" t="n"/>
      <c r="L166" s="66" t="n">
        <v>7</v>
      </c>
      <c r="M166" s="66" t="n">
        <v>6.4</v>
      </c>
      <c r="N166" s="63" t="inlineStr">
        <is>
          <t>N</t>
        </is>
      </c>
      <c r="O166" s="67" t="n">
        <v>91.40000000000001</v>
      </c>
      <c r="P166" s="67" t="n"/>
      <c r="Q166" s="68" t="n">
        <v>4830.6</v>
      </c>
      <c r="R166" s="63" t="inlineStr">
        <is>
          <t>aastocks:上市市值 at the struck price</t>
        </is>
      </c>
      <c r="S166" s="69" t="n">
        <v>2.08</v>
      </c>
      <c r="T166" s="70" t="n">
        <v>1.16</v>
      </c>
      <c r="U166" s="71" t="n">
        <v>44.1</v>
      </c>
      <c r="V166" s="68" t="n">
        <v>109.62</v>
      </c>
      <c r="W166" s="68" t="n">
        <v>17127760</v>
      </c>
      <c r="X166" s="67" t="n">
        <v>2.27</v>
      </c>
      <c r="Y166" s="63" t="inlineStr">
        <is>
          <t>Proterra Asia Food Fund 3 VCC; Well Alliance Investment Holdings Limited</t>
        </is>
      </c>
      <c r="Z166" s="63" t="inlineStr">
        <is>
          <t>proterra;well</t>
        </is>
      </c>
      <c r="AA166" s="67" t="n">
        <v>15</v>
      </c>
      <c r="AB166" s="72" t="n"/>
      <c r="AC166" s="66" t="n"/>
      <c r="AD166" s="72" t="n"/>
      <c r="AE166" s="63" t="n"/>
      <c r="AF166" s="63" t="n"/>
      <c r="AG166" s="63" t="inlineStr">
        <is>
          <t>partial</t>
        </is>
      </c>
      <c r="AH166" s="63" t="inlineStr">
        <is>
          <t>2023-01-20</t>
        </is>
      </c>
      <c r="AI166" s="63" t="inlineStr">
        <is>
          <t>China International Capital Corporation Hong Kong Securities Limited</t>
        </is>
      </c>
      <c r="AJ166" s="63" t="inlineStr">
        <is>
          <t>China International</t>
        </is>
      </c>
      <c r="AK166" s="73" t="n">
        <v>-0.47</v>
      </c>
      <c r="AL166" s="72" t="n">
        <v>-4.69</v>
      </c>
      <c r="AM166" s="72" t="n">
        <v>4.43</v>
      </c>
      <c r="AN166" s="72" t="n">
        <v>-5.78</v>
      </c>
      <c r="AO166" s="72" t="n">
        <v>-22.97</v>
      </c>
      <c r="AP166" s="72" t="n">
        <v>-47.81</v>
      </c>
      <c r="AQ166" s="72" t="n">
        <v>-5.34</v>
      </c>
      <c r="AR166" s="72" t="n">
        <v>-22.61</v>
      </c>
      <c r="AS166" s="72" t="n">
        <v>-47.56</v>
      </c>
      <c r="AT166" s="72" t="n">
        <v>-15.78</v>
      </c>
      <c r="AU166" s="72" t="n">
        <v>-35.62</v>
      </c>
      <c r="AV166" s="72" t="n">
        <v>-51.22</v>
      </c>
      <c r="AW166" s="72" t="n">
        <v>-35.63</v>
      </c>
      <c r="AX166" s="72" t="n">
        <v>12.65</v>
      </c>
      <c r="AY166" s="72" t="n">
        <v>13.02</v>
      </c>
      <c r="AZ166" s="63" t="inlineStr">
        <is>
          <t>Hang Seng Commerce &amp; Industry sub-index</t>
        </is>
      </c>
      <c r="BA166" s="72" t="n">
        <v>-72.66</v>
      </c>
      <c r="BB166" s="64" t="inlineStr">
        <is>
          <t>2026-08-28</t>
        </is>
      </c>
      <c r="BC166" s="65" t="n">
        <v>4183.2</v>
      </c>
      <c r="BD166" s="68" t="n">
        <v>173.9</v>
      </c>
      <c r="BE166" s="63" t="inlineStr">
        <is>
          <t>Y</t>
        </is>
      </c>
      <c r="BF166" s="74" t="n">
        <v>27.8</v>
      </c>
      <c r="BG166" s="74" t="n">
        <v>5</v>
      </c>
      <c r="BH166" s="74" t="n"/>
      <c r="BI166" s="74" t="n">
        <v>1.2</v>
      </c>
      <c r="BJ166" s="75">
        <f>IF('BBG Verify'!S166="","not filed — run on terminal",'BBG Verify'!S166)</f>
        <v/>
      </c>
      <c r="BK166" s="76" t="inlineStr">
        <is>
          <t>N</t>
        </is>
      </c>
      <c r="BL166" s="77">
        <f>IF('BBG Verify'!K166="","not filed — run on terminal",'BBG Verify'!K166)</f>
        <v/>
      </c>
      <c r="BM166" s="63" t="inlineStr">
        <is>
          <t>N/A</t>
        </is>
      </c>
      <c r="BN166" s="63" t="inlineStr">
        <is>
          <t>N/A</t>
        </is>
      </c>
      <c r="BO166" s="63" t="inlineStr">
        <is>
          <t>N/A</t>
        </is>
      </c>
      <c r="BP166" s="63" t="inlineStr">
        <is>
          <t>N/A</t>
        </is>
      </c>
      <c r="BQ166" s="63" t="inlineStr">
        <is>
          <t>N/A</t>
        </is>
      </c>
      <c r="BR166" s="63" t="inlineStr">
        <is>
          <t>N/A</t>
        </is>
      </c>
      <c r="BS166" s="76" t="inlineStr">
        <is>
          <t>China International Capital Corporation Hong Kong Securities Limited; DBS Asia Capital Limited</t>
        </is>
      </c>
      <c r="BT166" s="63" t="inlineStr">
        <is>
          <t>China International Capital Corporation Hong Kong Securities Limited; DBS Asia Capital Limited</t>
        </is>
      </c>
      <c r="BU166" s="63" t="inlineStr">
        <is>
          <t>China International Capital Corporation Hong Kong Securities Limited; DBS Asia Capital Limited; Daiwa Capital Markets Hong Kong Limited; ABCI Capital Limited; BOCOM International Securities Limited; Futu Securities International (Hong Kong) Limited</t>
        </is>
      </c>
      <c r="BV166" s="63" t="inlineStr">
        <is>
          <t>ABCI Securities Company Limited; Beta International Securities Limited; China International Capital Corporation Hong Kong Securities Limited; DBS Asia Capital Limited; Daiwa Capital Markets Hong Kong Limited; Futu Securities International (Hong Kong) Limited; Silverbricks Securities Company Limited</t>
        </is>
      </c>
      <c r="BW166" s="78">
        <f>HYPERLINK("https://www1.hkexnews.hk/listedco/listconews/sehk/2022/1216/2022121600017.pdf","prospectus")</f>
        <v/>
      </c>
      <c r="BX166" s="78">
        <f>HYPERLINK("https://www1.hkexnews.hk/listedco/listconews/sehk/2022/1229/2022122900092.htm","allotment")</f>
        <v/>
      </c>
      <c r="BY166" s="78">
        <f>HYPERLINK("https://www1.hkexnews.hk/listedco/listconews/sehk/2023/0120/2023012001115.pdf","stabilisation")</f>
        <v/>
      </c>
      <c r="BZ166" s="76" t="n"/>
      <c r="CA166" s="63" t="inlineStr">
        <is>
          <t>range low: cap-only pricing — the filing publishes a Maximum Offer Price and no indicative floor · A/H: no A-share listing · market cap: prospectus 'market capitalisation' line rejected — it is the listing-rule threshold, not the issuer's figure ("it ceasing to be a Controlling Shareholder of the Company. Market Capitalisation at Listing Expected to be bet") · cornerstone: AAStocks institutional table includes non-cornerstone orders (superset) — cornerstone % is from the prospectus · grey market: no grey-market headline on file for this deal — AAStocks publishes one per listing but keeps only recent items on the stock's news page, and no public archive of past evening sessions exists; captured from this run onward</t>
        </is>
      </c>
    </row>
    <row r="167" ht="15" customHeight="1">
      <c r="A167" s="62" t="inlineStr">
        <is>
          <t>6922</t>
        </is>
      </c>
      <c r="B167" s="63" t="inlineStr">
        <is>
          <t>CRYOFOCUS-B</t>
        </is>
      </c>
      <c r="C167" s="63" t="inlineStr">
        <is>
          <t>康灃生物－Ｂ</t>
        </is>
      </c>
      <c r="D167" s="63" t="inlineStr">
        <is>
          <t>Healthcare</t>
        </is>
      </c>
      <c r="E167" s="63" t="inlineStr">
        <is>
          <t>Medical devices</t>
        </is>
      </c>
      <c r="F167" s="63" t="inlineStr">
        <is>
          <t>Biotechnology - Medical Devices</t>
        </is>
      </c>
      <c r="G167" s="63" t="inlineStr">
        <is>
          <t>18A</t>
        </is>
      </c>
      <c r="H167" s="64" t="n">
        <v>44925</v>
      </c>
      <c r="I167" s="65" t="n">
        <v>210</v>
      </c>
      <c r="J167" s="63" t="inlineStr">
        <is>
          <t>gross (price x shares)</t>
        </is>
      </c>
      <c r="K167" s="66" t="n"/>
      <c r="L167" s="66" t="n">
        <v>18.9</v>
      </c>
      <c r="M167" s="66" t="n">
        <v>18.9</v>
      </c>
      <c r="N167" s="63" t="inlineStr">
        <is>
          <t>Y</t>
        </is>
      </c>
      <c r="O167" s="67" t="n">
        <v>100</v>
      </c>
      <c r="P167" s="67" t="n"/>
      <c r="Q167" s="68" t="n">
        <v>4516.1</v>
      </c>
      <c r="R167" s="63" t="inlineStr">
        <is>
          <t>derived:deal size / offer % of enlarged capital</t>
        </is>
      </c>
      <c r="S167" s="69" t="n">
        <v>1.95</v>
      </c>
      <c r="T167" s="70" t="n">
        <v>1.28</v>
      </c>
      <c r="U167" s="71" t="n"/>
      <c r="V167" s="68" t="n">
        <v>210</v>
      </c>
      <c r="W167" s="68" t="n">
        <v>11110000</v>
      </c>
      <c r="X167" s="67" t="n">
        <v>4.65</v>
      </c>
      <c r="Y167" s="63" t="n"/>
      <c r="Z167" s="63" t="n"/>
      <c r="AA167" s="67" t="n"/>
      <c r="AB167" s="72" t="n"/>
      <c r="AC167" s="66" t="n"/>
      <c r="AD167" s="72" t="n"/>
      <c r="AE167" s="63" t="n"/>
      <c r="AF167" s="63" t="n"/>
      <c r="AG167" s="63" t="n"/>
      <c r="AH167" s="63" t="n"/>
      <c r="AI167" s="63" t="n"/>
      <c r="AJ167" s="63" t="n"/>
      <c r="AK167" s="73" t="n">
        <v>-6.56</v>
      </c>
      <c r="AL167" s="72" t="n">
        <v>-2.12</v>
      </c>
      <c r="AM167" s="72" t="n">
        <v>-4.54</v>
      </c>
      <c r="AN167" s="72" t="n">
        <v>-9.84</v>
      </c>
      <c r="AO167" s="72" t="n">
        <v>-19.05</v>
      </c>
      <c r="AP167" s="72" t="n">
        <v>-12.7</v>
      </c>
      <c r="AQ167" s="72" t="n">
        <v>-3.51</v>
      </c>
      <c r="AR167" s="72" t="n">
        <v>-13.37</v>
      </c>
      <c r="AS167" s="72" t="n">
        <v>-6.57</v>
      </c>
      <c r="AT167" s="72" t="n">
        <v>-15.15</v>
      </c>
      <c r="AU167" s="72" t="n">
        <v>-28.32</v>
      </c>
      <c r="AV167" s="72" t="n">
        <v>-7.74</v>
      </c>
      <c r="AW167" s="72" t="n">
        <v>-23.17</v>
      </c>
      <c r="AX167" s="72" t="n">
        <v>9.27</v>
      </c>
      <c r="AY167" s="72" t="n">
        <v>9.800000000000001</v>
      </c>
      <c r="AZ167" s="63" t="inlineStr">
        <is>
          <t>China Biotech ETF (HS biotech proxy)</t>
        </is>
      </c>
      <c r="BA167" s="72" t="n">
        <v>-83.84</v>
      </c>
      <c r="BB167" s="64" t="inlineStr">
        <is>
          <t>2026-08-28</t>
        </is>
      </c>
      <c r="BC167" s="65" t="n">
        <v>13.3</v>
      </c>
      <c r="BD167" s="68" t="n">
        <v>-101.7</v>
      </c>
      <c r="BE167" s="63" t="inlineStr">
        <is>
          <t>N</t>
        </is>
      </c>
      <c r="BF167" s="63" t="inlineStr">
        <is>
          <t>n/m</t>
        </is>
      </c>
      <c r="BG167" s="74" t="n"/>
      <c r="BH167" s="74" t="n"/>
      <c r="BI167" s="74" t="n">
        <v>339.6</v>
      </c>
      <c r="BJ167" s="75">
        <f>IF('BBG Verify'!S167="","not filed — run on terminal",'BBG Verify'!S167)</f>
        <v/>
      </c>
      <c r="BK167" s="76" t="inlineStr">
        <is>
          <t>N</t>
        </is>
      </c>
      <c r="BL167" s="77">
        <f>IF('BBG Verify'!K167="","not filed — run on terminal",'BBG Verify'!K167)</f>
        <v/>
      </c>
      <c r="BM167" s="63" t="inlineStr">
        <is>
          <t>N/A</t>
        </is>
      </c>
      <c r="BN167" s="63" t="inlineStr">
        <is>
          <t>N/A</t>
        </is>
      </c>
      <c r="BO167" s="63" t="inlineStr">
        <is>
          <t>N/A</t>
        </is>
      </c>
      <c r="BP167" s="63" t="inlineStr">
        <is>
          <t>N/A</t>
        </is>
      </c>
      <c r="BQ167" s="63" t="inlineStr">
        <is>
          <t>N/A</t>
        </is>
      </c>
      <c r="BR167" s="63" t="inlineStr">
        <is>
          <t>N/A</t>
        </is>
      </c>
      <c r="BS167" s="76" t="inlineStr">
        <is>
          <t>Citigroup Global Markets Asia Limited; Huatai Financial Holdings (Hong Kong) Limited</t>
        </is>
      </c>
      <c r="BT167" s="63" t="inlineStr">
        <is>
          <t>Huatai Financial Holdings (Hong Kong) Limited; Citigroup Global Markets Asia Limited</t>
        </is>
      </c>
      <c r="BU167" s="63" t="inlineStr">
        <is>
          <t>Citigroup Global Markets Asia Limited; Huatai Financial Holdings (Hong Kong) Limited; CMB International Capital Limited; ABCI Capital Limited; Citigroup Global Markets Limited; BOCOM International Securities Limited; Futu Securities International (Hong Kong) Limited; Tiger Brokers (HK) Global Limited</t>
        </is>
      </c>
      <c r="BV167" s="63" t="inlineStr">
        <is>
          <t>ABCI Securities Company Limited; Beta International Securities Limited; Citigroup Global Markets Asia Limited; CMB International Capital Corporation Limited; Futu Securities International (Hong Kong) Limited; Huatai Financial Holdings (Hong Kong) Limited; Silverbricks Securities Company Limited; Tiger Brokers (HK) Global Limited</t>
        </is>
      </c>
      <c r="BW167" s="78">
        <f>HYPERLINK("https://www1.hkexnews.hk/listedco/listconews/sehk/2022/1216/2022121600015.pdf","prospectus")</f>
        <v/>
      </c>
      <c r="BX167" s="78">
        <f>HYPERLINK("https://www1.hkexnews.hk/listedco/listconews/sehk/2022/1229/2022122900114.htm","allotment")</f>
        <v/>
      </c>
      <c r="BY167" s="63" t="n"/>
      <c r="BZ167" s="76" t="n"/>
      <c r="CA167" s="63" t="inlineStr">
        <is>
          <t>P/E: n/m — loss-making at IPO (use P/S) · greenshoe: no over-allotment option in the offer structure · range low: cap-only pricing — the filing publishes a Maximum Offer Price and no indicative floor · A/H: no A-share listing · cornerstone list: cornerstone section not machine-extractable — see the prospectus link · cornerstone %: cornerstone aggregate not stated in the filing · greenshoe size: no over-allotment option in the offer structure · P/S: 340x on HK$13.3m revenue — effectively pre-revenue; the multiple is shown for completeness, not comparability · stabilising manager: the filing states no stabilising manager will be appointed — a filed fact, not an extraction gap (allotment announcement: 'no stabilizing manager will be appointed' stated in the filing) · grey market: no grey-market headline on file for this deal — AAStocks publishes one per listing but keeps only recent items on the stock's news page, and no public archive of past evening sessions exists; captured from this run onward</t>
        </is>
      </c>
    </row>
    <row r="168" ht="15" customHeight="1">
      <c r="A168" s="62" t="inlineStr">
        <is>
          <t>6955</t>
        </is>
      </c>
      <c r="B168" s="63" t="inlineStr">
        <is>
          <t>BOAN BIOTECH-B</t>
        </is>
      </c>
      <c r="C168" s="63" t="inlineStr">
        <is>
          <t>博安生物</t>
        </is>
      </c>
      <c r="D168" s="63" t="inlineStr">
        <is>
          <t>Healthcare</t>
        </is>
      </c>
      <c r="E168" s="63" t="inlineStr">
        <is>
          <t>Biotech pre-revenue (18A)</t>
        </is>
      </c>
      <c r="F168" s="63" t="inlineStr">
        <is>
          <t>Biotechnology - Pharmaceuticals</t>
        </is>
      </c>
      <c r="G168" s="63" t="inlineStr">
        <is>
          <t>18A</t>
        </is>
      </c>
      <c r="H168" s="64" t="n">
        <v>44925</v>
      </c>
      <c r="I168" s="65" t="n">
        <v>211.8</v>
      </c>
      <c r="J168" s="63" t="inlineStr">
        <is>
          <t>gross (price x shares)</t>
        </is>
      </c>
      <c r="K168" s="66" t="n"/>
      <c r="L168" s="66" t="n">
        <v>19.8</v>
      </c>
      <c r="M168" s="66" t="n">
        <v>19.8</v>
      </c>
      <c r="N168" s="63" t="inlineStr">
        <is>
          <t>Y</t>
        </is>
      </c>
      <c r="O168" s="67" t="n">
        <v>100</v>
      </c>
      <c r="P168" s="67" t="n"/>
      <c r="Q168" s="68" t="n">
        <v>8825</v>
      </c>
      <c r="R168" s="63" t="inlineStr">
        <is>
          <t>derived:deal size / offer % of enlarged capital</t>
        </is>
      </c>
      <c r="S168" s="69" t="n">
        <v>2.12</v>
      </c>
      <c r="T168" s="70" t="n">
        <v>1.52</v>
      </c>
      <c r="U168" s="71" t="n">
        <v>71.01000000000001</v>
      </c>
      <c r="V168" s="68" t="n">
        <v>61.4</v>
      </c>
      <c r="W168" s="68" t="n">
        <v>3100423</v>
      </c>
      <c r="X168" s="67" t="n">
        <v>0.7</v>
      </c>
      <c r="Y168" s="63" t="inlineStr">
        <is>
          <t>Fu Heliang; Harvest Great Bay Investment SP; Sino Biopharmaceutical Limited</t>
        </is>
      </c>
      <c r="Z168" s="63" t="inlineStr">
        <is>
          <t>fu;harvest;sino-biopharmaceutical</t>
        </is>
      </c>
      <c r="AA168" s="67" t="n">
        <v>18.14</v>
      </c>
      <c r="AB168" s="72" t="n"/>
      <c r="AC168" s="66" t="n"/>
      <c r="AD168" s="72" t="n"/>
      <c r="AE168" s="63" t="n"/>
      <c r="AF168" s="63" t="n"/>
      <c r="AG168" s="63" t="inlineStr">
        <is>
          <t>lapsed</t>
        </is>
      </c>
      <c r="AH168" s="63" t="inlineStr">
        <is>
          <t>2023-01-21</t>
        </is>
      </c>
      <c r="AI168" s="63" t="inlineStr">
        <is>
          <t>UBS AG Hong Kong Branch</t>
        </is>
      </c>
      <c r="AJ168" s="63" t="inlineStr">
        <is>
          <t>UBS</t>
        </is>
      </c>
      <c r="AK168" s="73" t="n">
        <v>0</v>
      </c>
      <c r="AL168" s="72" t="n">
        <v>0.51</v>
      </c>
      <c r="AM168" s="72" t="n">
        <v>-0.51</v>
      </c>
      <c r="AN168" s="72" t="n">
        <v>-17.17</v>
      </c>
      <c r="AO168" s="72" t="n">
        <v>-22.02</v>
      </c>
      <c r="AP168" s="72" t="n">
        <v>-2.32</v>
      </c>
      <c r="AQ168" s="72" t="n">
        <v>-17.17</v>
      </c>
      <c r="AR168" s="72" t="n">
        <v>-22.02</v>
      </c>
      <c r="AS168" s="72" t="n">
        <v>-2.32</v>
      </c>
      <c r="AT168" s="72" t="n">
        <v>-22.48</v>
      </c>
      <c r="AU168" s="72" t="n">
        <v>-31.29</v>
      </c>
      <c r="AV168" s="72" t="n">
        <v>2.64</v>
      </c>
      <c r="AW168" s="72" t="n">
        <v>-31.82</v>
      </c>
      <c r="AX168" s="72" t="n">
        <v>9.27</v>
      </c>
      <c r="AY168" s="72" t="n">
        <v>9.800000000000001</v>
      </c>
      <c r="AZ168" s="63" t="inlineStr">
        <is>
          <t>China Biotech ETF (HS biotech proxy)</t>
        </is>
      </c>
      <c r="BA168" s="72" t="n">
        <v>-81.16</v>
      </c>
      <c r="BB168" s="64" t="inlineStr">
        <is>
          <t>2026-08-28</t>
        </is>
      </c>
      <c r="BC168" s="65" t="n">
        <v>242.8</v>
      </c>
      <c r="BD168" s="68" t="n">
        <v>-364.9</v>
      </c>
      <c r="BE168" s="63" t="inlineStr">
        <is>
          <t>N</t>
        </is>
      </c>
      <c r="BF168" s="63" t="inlineStr">
        <is>
          <t>n/m</t>
        </is>
      </c>
      <c r="BG168" s="74" t="n"/>
      <c r="BH168" s="74" t="n">
        <v>196.1</v>
      </c>
      <c r="BI168" s="74" t="n">
        <v>36.3</v>
      </c>
      <c r="BJ168" s="75">
        <f>IF('BBG Verify'!S168="","not filed — run on terminal",'BBG Verify'!S168)</f>
        <v/>
      </c>
      <c r="BK168" s="76" t="inlineStr">
        <is>
          <t>N</t>
        </is>
      </c>
      <c r="BL168" s="77">
        <f>IF('BBG Verify'!K168="","not filed — run on terminal",'BBG Verify'!K168)</f>
        <v/>
      </c>
      <c r="BM168" s="63" t="inlineStr">
        <is>
          <t>N/A</t>
        </is>
      </c>
      <c r="BN168" s="63" t="inlineStr">
        <is>
          <t>N/A</t>
        </is>
      </c>
      <c r="BO168" s="63" t="inlineStr">
        <is>
          <t>N/A</t>
        </is>
      </c>
      <c r="BP168" s="63" t="inlineStr">
        <is>
          <t>N/A</t>
        </is>
      </c>
      <c r="BQ168" s="63" t="inlineStr">
        <is>
          <t>N/A</t>
        </is>
      </c>
      <c r="BR168" s="63" t="inlineStr">
        <is>
          <t>N/A</t>
        </is>
      </c>
      <c r="BS168" s="76" t="inlineStr">
        <is>
          <t>UBS Securities Hong Kong Limited; Essence Corporate Finance (Hong Kong) Limited</t>
        </is>
      </c>
      <c r="BT168" s="63" t="inlineStr">
        <is>
          <t>UBS Securities Hong Kong Limited; Essence Corporate Finance (Hong Kong) Limited</t>
        </is>
      </c>
      <c r="BU168" s="63" t="inlineStr">
        <is>
          <t>UBS AG Hong Kong Branch; Essence International Securities (Hong Kong) Limited</t>
        </is>
      </c>
      <c r="BV168" s="63" t="inlineStr">
        <is>
          <t>Essence International Securities (Hong Kong) Limited; Futu Securities International (Hong Kong) Limited; Livermore Holdings Limited; Silverbricks Securities Company Limited; UBS AG Hong Kong Branch</t>
        </is>
      </c>
      <c r="BW168" s="78">
        <f>HYPERLINK("https://www1.hkexnews.hk/listedco/listconews/sehk/2022/1219/2022121900009.pdf","prospectus")</f>
        <v/>
      </c>
      <c r="BX168" s="78">
        <f>HYPERLINK("https://www1.hkexnews.hk/listedco/listconews/sehk/2022/1229/2022122900320.htm","allotment")</f>
        <v/>
      </c>
      <c r="BY168" s="78">
        <f>HYPERLINK("https://www1.hkexnews.hk/listedco/listconews/sehk/2023/0125/2023012500003.pdf","stabilisation")</f>
        <v/>
      </c>
      <c r="BZ168" s="76" t="n"/>
      <c r="CA168" s="63" t="inlineStr">
        <is>
          <t>P/E: n/m — loss-making at IPO (use P/S) · range low: cap-only pricing — the filing publishes a Maximum Offer Price and no indicative floor · A/H: no A-share listing · grey market: no grey-market headline on file for this deal — AAStocks publishes one per listing but keeps only recent items on the stock's news page, and no public archive of past evening sessions exists; captured from this run onward</t>
        </is>
      </c>
    </row>
    <row r="169" ht="15" customHeight="1">
      <c r="A169" s="62" t="inlineStr">
        <is>
          <t>2469</t>
        </is>
      </c>
      <c r="B169" s="63" t="inlineStr">
        <is>
          <t>FENBI</t>
        </is>
      </c>
      <c r="C169" s="63" t="inlineStr">
        <is>
          <t>粉筆</t>
        </is>
      </c>
      <c r="D169" s="63" t="inlineStr">
        <is>
          <t>Consumer</t>
        </is>
      </c>
      <c r="E169" s="63" t="inlineStr">
        <is>
          <t>Consumer services / education</t>
        </is>
      </c>
      <c r="F169" s="63" t="inlineStr">
        <is>
          <t>Education Services</t>
        </is>
      </c>
      <c r="G169" s="63" t="inlineStr">
        <is>
          <t>Standard</t>
        </is>
      </c>
      <c r="H169" s="64" t="n">
        <v>44935</v>
      </c>
      <c r="I169" s="65" t="n">
        <v>198</v>
      </c>
      <c r="J169" s="63" t="inlineStr">
        <is>
          <t>gross (price x shares)</t>
        </is>
      </c>
      <c r="K169" s="66" t="n">
        <v>9.5</v>
      </c>
      <c r="L169" s="66" t="n">
        <v>9.9</v>
      </c>
      <c r="M169" s="66" t="n">
        <v>9.9</v>
      </c>
      <c r="N169" s="63" t="inlineStr">
        <is>
          <t>Y</t>
        </is>
      </c>
      <c r="O169" s="67" t="n">
        <v>100</v>
      </c>
      <c r="P169" s="67" t="n">
        <v>100</v>
      </c>
      <c r="Q169" s="68" t="n">
        <v>20763.3</v>
      </c>
      <c r="R169" s="63" t="inlineStr">
        <is>
          <t>aastocks:上市市值 at the struck price</t>
        </is>
      </c>
      <c r="S169" s="69" t="n">
        <v>33.8</v>
      </c>
      <c r="T169" s="70" t="n">
        <v>2.32</v>
      </c>
      <c r="U169" s="71" t="n">
        <v>0</v>
      </c>
      <c r="V169" s="68" t="n">
        <v>198</v>
      </c>
      <c r="W169" s="68" t="n">
        <v>20000000</v>
      </c>
      <c r="X169" s="67" t="n">
        <v>0.95</v>
      </c>
      <c r="Y169" s="63" t="n"/>
      <c r="Z169" s="63" t="n"/>
      <c r="AA169" s="67" t="n">
        <v>10.42</v>
      </c>
      <c r="AB169" s="72" t="n"/>
      <c r="AC169" s="66" t="n"/>
      <c r="AD169" s="72" t="n"/>
      <c r="AE169" s="63" t="n"/>
      <c r="AF169" s="63" t="n"/>
      <c r="AG169" s="63" t="inlineStr">
        <is>
          <t>lapsed</t>
        </is>
      </c>
      <c r="AH169" s="63" t="inlineStr">
        <is>
          <t>2023-01-29</t>
        </is>
      </c>
      <c r="AI169" s="63" t="inlineStr">
        <is>
          <t>China International Capital Corporation Hong Kong Securities Limited</t>
        </is>
      </c>
      <c r="AJ169" s="63" t="inlineStr">
        <is>
          <t>China International</t>
        </is>
      </c>
      <c r="AK169" s="73" t="n">
        <v>12.12</v>
      </c>
      <c r="AL169" s="72" t="n">
        <v>6.06</v>
      </c>
      <c r="AM169" s="72" t="n">
        <v>5.71</v>
      </c>
      <c r="AN169" s="72" t="n">
        <v>5.05</v>
      </c>
      <c r="AO169" s="72" t="n">
        <v>24.65</v>
      </c>
      <c r="AP169" s="72" t="n">
        <v>22.83</v>
      </c>
      <c r="AQ169" s="72" t="n">
        <v>-6.31</v>
      </c>
      <c r="AR169" s="72" t="n">
        <v>11.18</v>
      </c>
      <c r="AS169" s="72" t="n">
        <v>9.550000000000001</v>
      </c>
      <c r="AT169" s="72" t="n">
        <v>0.8</v>
      </c>
      <c r="AU169" s="72" t="n">
        <v>23.48</v>
      </c>
      <c r="AV169" s="72" t="n">
        <v>26.53</v>
      </c>
      <c r="AW169" s="72" t="n">
        <v>12.68</v>
      </c>
      <c r="AX169" s="72" t="n">
        <v>1.17</v>
      </c>
      <c r="AY169" s="72" t="n">
        <v>-1.5</v>
      </c>
      <c r="AZ169" s="63" t="inlineStr">
        <is>
          <t>Hang Seng Commerce &amp; Industry sub-index</t>
        </is>
      </c>
      <c r="BA169" s="72" t="n">
        <v>-96.62</v>
      </c>
      <c r="BB169" s="64" t="inlineStr">
        <is>
          <t>2026-08-28</t>
        </is>
      </c>
      <c r="BC169" s="65" t="n">
        <v>3771.4</v>
      </c>
      <c r="BD169" s="68" t="n">
        <v>-2263.7</v>
      </c>
      <c r="BE169" s="63" t="inlineStr">
        <is>
          <t>N</t>
        </is>
      </c>
      <c r="BF169" s="63" t="inlineStr">
        <is>
          <t>n/m</t>
        </is>
      </c>
      <c r="BG169" s="74" t="n"/>
      <c r="BH169" s="74" t="n">
        <v>3.2</v>
      </c>
      <c r="BI169" s="74" t="n">
        <v>5.5</v>
      </c>
      <c r="BJ169" s="75">
        <f>IF('BBG Verify'!S169="","not filed — run on terminal",'BBG Verify'!S169)</f>
        <v/>
      </c>
      <c r="BK169" s="76" t="inlineStr">
        <is>
          <t>N</t>
        </is>
      </c>
      <c r="BL169" s="77">
        <f>IF('BBG Verify'!K169="","not filed — run on terminal",'BBG Verify'!K169)</f>
        <v/>
      </c>
      <c r="BM169" s="63" t="inlineStr">
        <is>
          <t>N/A</t>
        </is>
      </c>
      <c r="BN169" s="63" t="inlineStr">
        <is>
          <t>N/A</t>
        </is>
      </c>
      <c r="BO169" s="63" t="inlineStr">
        <is>
          <t>N/A</t>
        </is>
      </c>
      <c r="BP169" s="63" t="inlineStr">
        <is>
          <t>N/A</t>
        </is>
      </c>
      <c r="BQ169" s="63" t="inlineStr">
        <is>
          <t>N/A</t>
        </is>
      </c>
      <c r="BR169" s="63" t="inlineStr">
        <is>
          <t>N/A</t>
        </is>
      </c>
      <c r="BS169" s="76" t="n"/>
      <c r="BT169" s="63" t="inlineStr">
        <is>
          <t>China International Capital Corporation Hong Kong Securities Limited; Merrill Lynch (Asia Pacific) Limited; Citigroup Global Markets Asia Limited</t>
        </is>
      </c>
      <c r="BU169" s="63" t="inlineStr">
        <is>
          <t>(in no particular order) Citigroup Global Markets Asia Limited; China International Capital Corporation Hong Kong Securities Limited; Merrill Lynch (Asia Pacific) Limited; Haitong International Securities Company Limited; ICBC International Securities Limited</t>
        </is>
      </c>
      <c r="BV169" s="63" t="inlineStr">
        <is>
          <t>Beta International Securities Limited; Citigroup Global Markets Asia Limited; China International Capital Corporation Hong Kong Securities Limited; CMB International Capital Limited; China Merchants Securities (HK) Company Limited; CRIC Securities Company Limited; CSFG International Securities Limited; Futu Securities International (Hong Kong) Limited; Haitong International Securities Company Limited; ICBC International Securities Limited; Macquarie Capital Limited; Maxa Capital Limited</t>
        </is>
      </c>
      <c r="BW169" s="78">
        <f>HYPERLINK("https://www1.hkexnews.hk/listedco/listconews/sehk/2022/1223/2022122300005.pdf","prospectus")</f>
        <v/>
      </c>
      <c r="BX169" s="78">
        <f>HYPERLINK("https://www1.hkexnews.hk/listedco/listconews/sehk/2023/0106/2023010600010.htm","allotment")</f>
        <v/>
      </c>
      <c r="BY169" s="78">
        <f>HYPERLINK("https://www1.hkexnews.hk/listedco/listconews/sehk/2023/0129/2023012900007.pdf","stabilisation")</f>
        <v/>
      </c>
      <c r="BZ169" s="76" t="n"/>
      <c r="CA169" s="63" t="inlineStr">
        <is>
          <t>P/E: n/m — loss-making at IPO (use P/S) · A/H: no A-share listing · sponsor: English name not in the filing text; AAStocks 保薦人 shown · cornerstone list: no cornerstone tranche in this deal · grey market: no grey-market headline on file for this deal — AAStocks publishes one per listing but keeps only recent items on the stock's news page, and no public archive of past evening sessions exists; captured from this run onward</t>
        </is>
      </c>
    </row>
    <row r="170" ht="15" customHeight="1">
      <c r="A170" s="62" t="inlineStr">
        <is>
          <t>2402</t>
        </is>
      </c>
      <c r="B170" s="63" t="inlineStr">
        <is>
          <t>SINOHYTEC</t>
        </is>
      </c>
      <c r="C170" s="63" t="inlineStr">
        <is>
          <t>億華通</t>
        </is>
      </c>
      <c r="D170" s="63" t="inlineStr">
        <is>
          <t>Industrials</t>
        </is>
      </c>
      <c r="E170" s="63" t="inlineStr">
        <is>
          <t>Batteries / energy storage</t>
        </is>
      </c>
      <c r="F170" s="63" t="inlineStr">
        <is>
          <t>Battery Products</t>
        </is>
      </c>
      <c r="G170" s="63" t="inlineStr">
        <is>
          <t>Standard</t>
        </is>
      </c>
      <c r="H170" s="64" t="n">
        <v>44938</v>
      </c>
      <c r="I170" s="65" t="n">
        <v>1057.7</v>
      </c>
      <c r="J170" s="63" t="inlineStr">
        <is>
          <t>gross (price x shares)</t>
        </is>
      </c>
      <c r="K170" s="66" t="n">
        <v>60</v>
      </c>
      <c r="L170" s="66" t="n">
        <v>76</v>
      </c>
      <c r="M170" s="66" t="n">
        <v>60</v>
      </c>
      <c r="N170" s="63" t="inlineStr">
        <is>
          <t>N</t>
        </is>
      </c>
      <c r="O170" s="67" t="n">
        <v>78.90000000000001</v>
      </c>
      <c r="P170" s="67" t="n">
        <v>0</v>
      </c>
      <c r="Q170" s="68" t="n">
        <v>7051.3</v>
      </c>
      <c r="R170" s="63" t="inlineStr">
        <is>
          <t>derived:deal size / offer % of enlarged capital</t>
        </is>
      </c>
      <c r="S170" s="69" t="n">
        <v>0.29</v>
      </c>
      <c r="T170" s="70" t="n">
        <v>1.84</v>
      </c>
      <c r="U170" s="71" t="n">
        <v>36.6</v>
      </c>
      <c r="V170" s="68" t="n">
        <v>670.58</v>
      </c>
      <c r="W170" s="68" t="n">
        <v>11176152</v>
      </c>
      <c r="X170" s="67" t="n">
        <v>9.51</v>
      </c>
      <c r="Y170" s="63" t="inlineStr">
        <is>
          <t>Astonish Investment Pte. Ltd; Harvest International Premium Value (Secondary Market) Fund SPC</t>
        </is>
      </c>
      <c r="Z170" s="63" t="inlineStr">
        <is>
          <t>astonish;harvest</t>
        </is>
      </c>
      <c r="AA170" s="67" t="n">
        <v>15.8</v>
      </c>
      <c r="AB170" s="72" t="n"/>
      <c r="AC170" s="66" t="n"/>
      <c r="AD170" s="72" t="n"/>
      <c r="AE170" s="63" t="n"/>
      <c r="AF170" s="63" t="n"/>
      <c r="AG170" s="63" t="inlineStr">
        <is>
          <t>partial</t>
        </is>
      </c>
      <c r="AH170" s="63" t="inlineStr">
        <is>
          <t>2023-02-04</t>
        </is>
      </c>
      <c r="AI170" s="63" t="inlineStr">
        <is>
          <t>Guotai Juna n Securities</t>
        </is>
      </c>
      <c r="AJ170" s="63" t="inlineStr">
        <is>
          <t>Guotai Juna</t>
        </is>
      </c>
      <c r="AK170" s="73" t="n">
        <v>0</v>
      </c>
      <c r="AL170" s="72" t="n">
        <v>0</v>
      </c>
      <c r="AM170" s="72" t="n">
        <v>0</v>
      </c>
      <c r="AN170" s="72" t="n">
        <v>0</v>
      </c>
      <c r="AO170" s="72" t="n">
        <v>8.25</v>
      </c>
      <c r="AP170" s="72" t="n">
        <v>-0.5</v>
      </c>
      <c r="AQ170" s="72" t="n">
        <v>0</v>
      </c>
      <c r="AR170" s="72" t="n">
        <v>8.25</v>
      </c>
      <c r="AS170" s="72" t="n">
        <v>-0.5</v>
      </c>
      <c r="AT170" s="72" t="n">
        <v>-0.09</v>
      </c>
      <c r="AU170" s="72" t="n">
        <v>12.29</v>
      </c>
      <c r="AV170" s="72" t="n">
        <v>7.22</v>
      </c>
      <c r="AW170" s="72" t="n">
        <v>12</v>
      </c>
      <c r="AX170" s="72" t="n">
        <v>-4.04</v>
      </c>
      <c r="AY170" s="72" t="n">
        <v>-3.75</v>
      </c>
      <c r="AZ170" s="63" t="inlineStr">
        <is>
          <t>Hang Seng Commerce &amp; Industry sub-index</t>
        </is>
      </c>
      <c r="BA170" s="72" t="n">
        <v>-59.72</v>
      </c>
      <c r="BB170" s="64" t="inlineStr">
        <is>
          <t>2026-08-31</t>
        </is>
      </c>
      <c r="BC170" s="65" t="n">
        <v>692.3</v>
      </c>
      <c r="BD170" s="68" t="n">
        <v>-203.9</v>
      </c>
      <c r="BE170" s="63" t="inlineStr">
        <is>
          <t>N</t>
        </is>
      </c>
      <c r="BF170" s="63" t="inlineStr">
        <is>
          <t>n/m</t>
        </is>
      </c>
      <c r="BG170" s="74" t="n"/>
      <c r="BH170" s="74" t="n"/>
      <c r="BI170" s="74" t="n">
        <v>10.2</v>
      </c>
      <c r="BJ170" s="75">
        <f>IF('BBG Verify'!S170="","not filed — run on terminal",'BBG Verify'!S170)</f>
        <v/>
      </c>
      <c r="BK170" s="76" t="inlineStr">
        <is>
          <t>Y</t>
        </is>
      </c>
      <c r="BL170" s="63" t="inlineStr">
        <is>
          <t>688339.SS</t>
        </is>
      </c>
      <c r="BM170" s="72" t="n">
        <v>54.15</v>
      </c>
      <c r="BN170" s="66" t="n">
        <v>92.48820000000001</v>
      </c>
      <c r="BO170" s="80" t="n">
        <v>0.662</v>
      </c>
      <c r="BP170" s="68" t="n">
        <v>4936</v>
      </c>
      <c r="BQ170" s="75">
        <f>IF('BBG Verify'!Q170="","run on terminal",'BBG Verify'!Q170)</f>
        <v/>
      </c>
      <c r="BR170" s="75">
        <f>IF('BBG Verify'!R170="","run on terminal",'BBG Verify'!R170)</f>
        <v/>
      </c>
      <c r="BS170" s="76" t="inlineStr">
        <is>
          <t>Guotai Junan Capital Limited; Giraffe Capital Limited</t>
        </is>
      </c>
      <c r="BT170" s="63" t="inlineStr">
        <is>
          <t>Guotai Junan Capital Limited; Giraffe Capital Limited</t>
        </is>
      </c>
      <c r="BU170" s="63" t="inlineStr">
        <is>
          <t>Guotai Junan Securities (Hong Kong) Limited; CLSA Limited; Essence International Securities (Hong Kong) Limited; Zhongtai International Securities Limited; China Everbright Securities (HK) Limited; ICBC International Capital Limited; Futu Securities International (Hong Kong) Limited; Valuable Capital Limited</t>
        </is>
      </c>
      <c r="BV170" s="63" t="inlineStr">
        <is>
          <t>China Everbright Securities (HK) Limited; CLSA Limited; Essence International Securities (Hong Kong) Limited; Futu Securities International (Hong Kong) Limited; Guotai Junan Securities (Hong Kong) Limited; ICBC International Securities Limited; Merdeka Securities Limited; SPDB International Capital Limited; Valuable Capital Limited; Zhongtai International Securities Limited</t>
        </is>
      </c>
      <c r="BW170" s="78">
        <f>HYPERLINK("https://www1.hkexnews.hk/listedco/listconews/sehk/2022/1229/2022122900013.pdf","prospectus")</f>
        <v/>
      </c>
      <c r="BX170" s="78">
        <f>HYPERLINK("https://www1.hkexnews.hk/listedco/listconews/sehk/2023/0111/2023011100006.htm","allotment")</f>
        <v/>
      </c>
      <c r="BY170" s="78">
        <f>HYPERLINK("https://www1.hkexnews.hk/listedco/listconews/sehk/2023/0206/2023020600005.pdf","stabilisation")</f>
        <v/>
      </c>
      <c r="BZ170" s="76" t="n"/>
      <c r="CA170" s="63" t="inlineStr">
        <is>
          <t>P/E: n/m — loss-making at IPO (use P/S) · A/H: H listed Jan 2023 (hydrogen fuel cells); A+H on STAR · cornerstone %: AAStocks institutional-order total / deal size — an upper bound; the table can include non-cornerstone orders · grey market: no grey-market headline on file for this deal — AAStocks publishes one per listing but keeps only recent items on the stock's news page, and no public archive of past evening sessions exists; captured from this run onward</t>
        </is>
      </c>
    </row>
    <row r="171" ht="15" customHeight="1">
      <c r="A171" s="62" t="inlineStr">
        <is>
          <t>2147</t>
        </is>
      </c>
      <c r="B171" s="63" t="inlineStr">
        <is>
          <t>ZHENGWEI GROUP</t>
        </is>
      </c>
      <c r="C171" s="63" t="inlineStr">
        <is>
          <t>正味集團</t>
        </is>
      </c>
      <c r="D171" s="63" t="inlineStr">
        <is>
          <t>Consumer</t>
        </is>
      </c>
      <c r="E171" s="63" t="inlineStr">
        <is>
          <t>Beverages / packaged food</t>
        </is>
      </c>
      <c r="F171" s="63" t="inlineStr">
        <is>
          <t>Packaged Foods</t>
        </is>
      </c>
      <c r="G171" s="63" t="inlineStr">
        <is>
          <t>Standard</t>
        </is>
      </c>
      <c r="H171" s="64" t="n">
        <v>44939</v>
      </c>
      <c r="I171" s="65" t="n">
        <v>97.3</v>
      </c>
      <c r="J171" s="63" t="inlineStr">
        <is>
          <t>net proceeds</t>
        </is>
      </c>
      <c r="K171" s="66" t="n"/>
      <c r="L171" s="66" t="n">
        <v>0.68</v>
      </c>
      <c r="M171" s="66" t="n">
        <v>0.68</v>
      </c>
      <c r="N171" s="63" t="inlineStr">
        <is>
          <t>Y</t>
        </is>
      </c>
      <c r="O171" s="67" t="n">
        <v>100</v>
      </c>
      <c r="P171" s="67" t="n"/>
      <c r="Q171" s="68" t="n">
        <v>600</v>
      </c>
      <c r="R171" s="63" t="inlineStr">
        <is>
          <t>aastocks:上市市值 at the struck price</t>
        </is>
      </c>
      <c r="S171" s="69" t="n">
        <v>18.28</v>
      </c>
      <c r="T171" s="70" t="n">
        <v>1.33</v>
      </c>
      <c r="U171" s="71" t="n"/>
      <c r="V171" s="68" t="n">
        <v>97.3</v>
      </c>
      <c r="W171" s="68" t="n"/>
      <c r="X171" s="67" t="n">
        <v>16.22</v>
      </c>
      <c r="Y171" s="63" t="n"/>
      <c r="Z171" s="63" t="n"/>
      <c r="AA171" s="67" t="n"/>
      <c r="AB171" s="72" t="n"/>
      <c r="AC171" s="66" t="n"/>
      <c r="AD171" s="72" t="n"/>
      <c r="AE171" s="63" t="n"/>
      <c r="AF171" s="63" t="n"/>
      <c r="AG171" s="63" t="inlineStr">
        <is>
          <t>lapsed (no over-allocation)</t>
        </is>
      </c>
      <c r="AH171" s="63" t="n"/>
      <c r="AI171" s="63" t="inlineStr">
        <is>
          <t>Grand Moore Capital</t>
        </is>
      </c>
      <c r="AJ171" s="63" t="inlineStr">
        <is>
          <t>Grand Moore</t>
        </is>
      </c>
      <c r="AK171" s="73" t="n">
        <v>-17.65</v>
      </c>
      <c r="AL171" s="72" t="n">
        <v>8.82</v>
      </c>
      <c r="AM171" s="72" t="n">
        <v>-24.32</v>
      </c>
      <c r="AN171" s="72" t="n">
        <v>-29.41</v>
      </c>
      <c r="AO171" s="72" t="n">
        <v>-30.88</v>
      </c>
      <c r="AP171" s="72" t="n">
        <v>-1.47</v>
      </c>
      <c r="AQ171" s="72" t="n">
        <v>-14.28</v>
      </c>
      <c r="AR171" s="72" t="n">
        <v>-16.07</v>
      </c>
      <c r="AS171" s="72" t="n">
        <v>19.65</v>
      </c>
      <c r="AT171" s="72" t="n">
        <v>-32.28</v>
      </c>
      <c r="AU171" s="72" t="n">
        <v>-28.04</v>
      </c>
      <c r="AV171" s="72" t="n">
        <v>5.72</v>
      </c>
      <c r="AW171" s="72" t="n">
        <v>-12.04</v>
      </c>
      <c r="AX171" s="72" t="n">
        <v>-2.84</v>
      </c>
      <c r="AY171" s="72" t="n">
        <v>-4.03</v>
      </c>
      <c r="AZ171" s="63" t="inlineStr">
        <is>
          <t>Hang Seng Commerce &amp; Industry sub-index</t>
        </is>
      </c>
      <c r="BA171" s="72" t="n">
        <v>-94.90000000000001</v>
      </c>
      <c r="BB171" s="64" t="inlineStr">
        <is>
          <t>2026-08-31</t>
        </is>
      </c>
      <c r="BC171" s="65" t="n">
        <v>376.2</v>
      </c>
      <c r="BD171" s="68" t="n">
        <v>53.1</v>
      </c>
      <c r="BE171" s="63" t="inlineStr">
        <is>
          <t>Y</t>
        </is>
      </c>
      <c r="BF171" s="74" t="n">
        <v>11.3</v>
      </c>
      <c r="BG171" s="74" t="n">
        <v>6</v>
      </c>
      <c r="BH171" s="74" t="n"/>
      <c r="BI171" s="74" t="n">
        <v>1.6</v>
      </c>
      <c r="BJ171" s="75">
        <f>IF('BBG Verify'!S171="","not filed — run on terminal",'BBG Verify'!S171)</f>
        <v/>
      </c>
      <c r="BK171" s="76" t="inlineStr">
        <is>
          <t>N</t>
        </is>
      </c>
      <c r="BL171" s="77">
        <f>IF('BBG Verify'!K171="","not filed — run on terminal",'BBG Verify'!K171)</f>
        <v/>
      </c>
      <c r="BM171" s="63" t="inlineStr">
        <is>
          <t>N/A</t>
        </is>
      </c>
      <c r="BN171" s="63" t="inlineStr">
        <is>
          <t>N/A</t>
        </is>
      </c>
      <c r="BO171" s="63" t="inlineStr">
        <is>
          <t>N/A</t>
        </is>
      </c>
      <c r="BP171" s="63" t="inlineStr">
        <is>
          <t>N/A</t>
        </is>
      </c>
      <c r="BQ171" s="63" t="inlineStr">
        <is>
          <t>N/A</t>
        </is>
      </c>
      <c r="BR171" s="63" t="inlineStr">
        <is>
          <t>N/A</t>
        </is>
      </c>
      <c r="BS171" s="76" t="n"/>
      <c r="BT171" s="63" t="inlineStr">
        <is>
          <t>Grand Moore Capital Limited</t>
        </is>
      </c>
      <c r="BU171" s="63" t="inlineStr">
        <is>
          <t>Cinda International Capital Limited; China PA Securities (Hong Kong) Company Limited; Fortune (HK) Securities Limited; Guotai Junan Securities (Hong Kong) Limited; Grand Moore Capital Limited; Valuable Capital Limited</t>
        </is>
      </c>
      <c r="BV171" s="63" t="inlineStr">
        <is>
          <t>Cinda International Capital Limited; China PA Securities (Hong Kong) Company Limited; Fortune (HK) Securities Limited; Guotai Junan Securities (Hong Kong) Limited; Grand Moore Capital Limited; Valuable Capital Limited; Zhong Yang Securities Limited</t>
        </is>
      </c>
      <c r="BW171" s="78">
        <f>HYPERLINK("https://www1.hkexnews.hk/listedco/listconews/sehk/2022/1230/2022123000080.htm","prospectus")</f>
        <v/>
      </c>
      <c r="BX171" s="78">
        <f>HYPERLINK("https://www1.hkexnews.hk/listedco/listconews/sehk/2023/0112/2023011200014.htm","allotment")</f>
        <v/>
      </c>
      <c r="BY171" s="78">
        <f>HYPERLINK("https://www1.hkexnews.hk/listedco/listconews/sehk/2023/0210/2023021001132.pdf","stabilisation")</f>
        <v/>
      </c>
      <c r="BZ171" s="76" t="n"/>
      <c r="CA171" s="63" t="inlineStr">
        <is>
          <t>greenshoe: over-allotment outcome already published, and the allotment announcement does not state the stabilisation expiry in a parsable form — the expiry no longer matters once resolved · price range: fixed-price offering (no indicative range) · range low: cap-only pricing — the filing publishes a Maximum Offer Price and no indicative floor · A/H: no A-share listing · sponsor: English name not in the filing text; AAStocks 保薦人 shown · cornerstone list: cornerstone section not machine-extractable — see the prospectus link · cornerstone %: cornerstone aggregate not stated in the filing · greenshoe size: no over-allotment option in the offer structure · grey market: no grey-market headline on file for this deal — AAStocks publishes one per listing but keeps only recent items on the stock's news page, and no public archive of past evening sessions exists; captured from this run onward · eff float shares: share count unavailable or rejected as implausible — the money figure (eff_free_float_hkdm) is still exact</t>
        </is>
      </c>
    </row>
    <row r="172" ht="15" customHeight="1">
      <c r="A172" s="62" t="inlineStr">
        <is>
          <t>2411</t>
        </is>
      </c>
      <c r="B172" s="63" t="inlineStr">
        <is>
          <t>PAGODA GP</t>
        </is>
      </c>
      <c r="C172" s="63" t="inlineStr">
        <is>
          <t>百果園集團</t>
        </is>
      </c>
      <c r="D172" s="63" t="inlineStr">
        <is>
          <t>Consumer</t>
        </is>
      </c>
      <c r="E172" s="63" t="inlineStr">
        <is>
          <t>Retail / distribution</t>
        </is>
      </c>
      <c r="F172" s="63" t="inlineStr">
        <is>
          <t>Agricultural Products</t>
        </is>
      </c>
      <c r="G172" s="63" t="inlineStr">
        <is>
          <t>Standard</t>
        </is>
      </c>
      <c r="H172" s="64" t="n">
        <v>44942</v>
      </c>
      <c r="I172" s="65" t="n">
        <v>442.1</v>
      </c>
      <c r="J172" s="63" t="inlineStr">
        <is>
          <t>gross (price x shares)</t>
        </is>
      </c>
      <c r="K172" s="66" t="n"/>
      <c r="L172" s="66" t="n">
        <v>5.6</v>
      </c>
      <c r="M172" s="66" t="n">
        <v>5.6</v>
      </c>
      <c r="N172" s="63" t="inlineStr">
        <is>
          <t>Y</t>
        </is>
      </c>
      <c r="O172" s="67" t="n">
        <v>100</v>
      </c>
      <c r="P172" s="67" t="n"/>
      <c r="Q172" s="68" t="n">
        <v>8895.9</v>
      </c>
      <c r="R172" s="63" t="inlineStr">
        <is>
          <t>aastocks:上市市值 at the struck price</t>
        </is>
      </c>
      <c r="S172" s="69" t="n">
        <v>12.2</v>
      </c>
      <c r="T172" s="70" t="n">
        <v>2.8</v>
      </c>
      <c r="U172" s="71" t="n">
        <v>5.32</v>
      </c>
      <c r="V172" s="68" t="n">
        <v>418.58</v>
      </c>
      <c r="W172" s="68" t="n">
        <v>74747493</v>
      </c>
      <c r="X172" s="67" t="n">
        <v>4.71</v>
      </c>
      <c r="Y172" s="63" t="inlineStr">
        <is>
          <t>HONG KONG BAIJIADA NEW MATERIAL LIMITED; Nantong Douson Drilling and Production Equipment Co., Ltd; Yip Wing Kui</t>
        </is>
      </c>
      <c r="Z172" s="63" t="inlineStr">
        <is>
          <t>baijiada;nantong;yip</t>
        </is>
      </c>
      <c r="AA172" s="67" t="n">
        <v>15</v>
      </c>
      <c r="AB172" s="72" t="n"/>
      <c r="AC172" s="66" t="n"/>
      <c r="AD172" s="72" t="n"/>
      <c r="AE172" s="63" t="n"/>
      <c r="AF172" s="63" t="n"/>
      <c r="AG172" s="63" t="inlineStr">
        <is>
          <t>partial</t>
        </is>
      </c>
      <c r="AH172" s="63" t="inlineStr">
        <is>
          <t>2023-02-08</t>
        </is>
      </c>
      <c r="AI172" s="63" t="inlineStr">
        <is>
          <t>Morgan Stanley Asia Limited</t>
        </is>
      </c>
      <c r="AJ172" s="63" t="inlineStr">
        <is>
          <t>Morgan Stanley</t>
        </is>
      </c>
      <c r="AK172" s="73" t="n">
        <v>7.14</v>
      </c>
      <c r="AL172" s="72" t="n">
        <v>16.43</v>
      </c>
      <c r="AM172" s="72" t="n">
        <v>-7.98</v>
      </c>
      <c r="AN172" s="72" t="n">
        <v>1.07</v>
      </c>
      <c r="AO172" s="72" t="n">
        <v>0.71</v>
      </c>
      <c r="AP172" s="72" t="n">
        <v>5.54</v>
      </c>
      <c r="AQ172" s="72" t="n">
        <v>-5.67</v>
      </c>
      <c r="AR172" s="72" t="n">
        <v>-6</v>
      </c>
      <c r="AS172" s="72" t="n">
        <v>-1.49</v>
      </c>
      <c r="AT172" s="72" t="n">
        <v>-3.18</v>
      </c>
      <c r="AU172" s="72" t="n">
        <v>6.37</v>
      </c>
      <c r="AV172" s="72" t="n">
        <v>15.72</v>
      </c>
      <c r="AW172" s="72" t="n">
        <v>-0.58</v>
      </c>
      <c r="AX172" s="72" t="n">
        <v>-5.66</v>
      </c>
      <c r="AY172" s="72" t="n">
        <v>-5.42</v>
      </c>
      <c r="AZ172" s="63" t="inlineStr">
        <is>
          <t>Hang Seng Commerce &amp; Industry sub-index</t>
        </is>
      </c>
      <c r="BA172" s="72" t="n">
        <v>-76.06999999999999</v>
      </c>
      <c r="BB172" s="64" t="inlineStr">
        <is>
          <t>2026-08-28</t>
        </is>
      </c>
      <c r="BC172" s="65" t="n">
        <v>11318.3</v>
      </c>
      <c r="BD172" s="68" t="n">
        <v>243.5</v>
      </c>
      <c r="BE172" s="63" t="inlineStr">
        <is>
          <t>Y</t>
        </is>
      </c>
      <c r="BF172" s="74" t="n">
        <v>36.5</v>
      </c>
      <c r="BG172" s="74" t="n"/>
      <c r="BH172" s="74" t="n"/>
      <c r="BI172" s="74" t="n">
        <v>0.8</v>
      </c>
      <c r="BJ172" s="75">
        <f>IF('BBG Verify'!S172="","not filed — run on terminal",'BBG Verify'!S172)</f>
        <v/>
      </c>
      <c r="BK172" s="76" t="inlineStr">
        <is>
          <t>N</t>
        </is>
      </c>
      <c r="BL172" s="77">
        <f>IF('BBG Verify'!K172="","not filed — run on terminal",'BBG Verify'!K172)</f>
        <v/>
      </c>
      <c r="BM172" s="63" t="inlineStr">
        <is>
          <t>N/A</t>
        </is>
      </c>
      <c r="BN172" s="63" t="inlineStr">
        <is>
          <t>N/A</t>
        </is>
      </c>
      <c r="BO172" s="63" t="inlineStr">
        <is>
          <t>N/A</t>
        </is>
      </c>
      <c r="BP172" s="63" t="inlineStr">
        <is>
          <t>N/A</t>
        </is>
      </c>
      <c r="BQ172" s="63" t="inlineStr">
        <is>
          <t>N/A</t>
        </is>
      </c>
      <c r="BR172" s="63" t="inlineStr">
        <is>
          <t>N/A</t>
        </is>
      </c>
      <c r="BS172" s="76" t="n"/>
      <c r="BT172" s="63" t="inlineStr">
        <is>
          <t>Morgan Stanley Asia Limited</t>
        </is>
      </c>
      <c r="BU172" s="63" t="inlineStr">
        <is>
          <t>CMB International Capital Limited; First Shanghai Securities Limited; Fosun Hani Securities Limited; Futu Securities International (Hong Kong) Limited; Morgan Stanley Asia Limited; Tiger Brokers (HK) Global Limited</t>
        </is>
      </c>
      <c r="BV172" s="63" t="inlineStr">
        <is>
          <t>CMB International Capital Limited; First Shanghai Securities Limited; Fosun Hani Securities Limited; Futu Securities International (Hong Kong) Limited; Morgan Stanley Asia Limited; Tiger Brokers (HK) Global Limited</t>
        </is>
      </c>
      <c r="BW172" s="78">
        <f>HYPERLINK("https://www1.hkexnews.hk/listedco/listconews/sehk/2022/1229/2022122900158.htm","prospectus")</f>
        <v/>
      </c>
      <c r="BX172" s="78">
        <f>HYPERLINK("https://www1.hkexnews.hk/listedco/listconews/sehk/2023/0113/2023011300018.htm","allotment")</f>
        <v/>
      </c>
      <c r="BY172" s="78">
        <f>HYPERLINK("https://www1.hkexnews.hk/listedco/listconews/sehk/2023/0208/2023020800810.pdf","stabilisation")</f>
        <v/>
      </c>
      <c r="BZ172" s="76" t="n"/>
      <c r="CA172" s="63" t="inlineStr">
        <is>
          <t>price range: fixed-price offering (no indicative range) · range low: cap-only pricing — the filing publishes a Maximum Offer Price and no indicative floor · A/H: no A-share listing · sponsor: English name not in the filing text; AAStocks 保薦人 shown · cornerstone: AAStocks institutional table includes non-cornerstone orders (superset) — cornerstone % is from the prospectus · grey market: no grey-market headline on file for this deal — AAStocks publishes one per listing but keeps only recent items on the stock's news page, and no public archive of past evening sessions exists; captured from this run onward</t>
        </is>
      </c>
    </row>
    <row r="173" ht="15" customHeight="1">
      <c r="A173" s="62" t="inlineStr">
        <is>
          <t>2373</t>
        </is>
      </c>
      <c r="B173" s="63" t="inlineStr">
        <is>
          <t>BEAUTYFARM MED</t>
        </is>
      </c>
      <c r="C173" s="63" t="inlineStr">
        <is>
          <t>美麗田園醫療健康</t>
        </is>
      </c>
      <c r="D173" s="63" t="inlineStr">
        <is>
          <t>Consumer</t>
        </is>
      </c>
      <c r="E173" s="63" t="inlineStr">
        <is>
          <t>Beauty / personal care</t>
        </is>
      </c>
      <c r="F173" s="63" t="inlineStr">
        <is>
          <t>Health Care Services</t>
        </is>
      </c>
      <c r="G173" s="63" t="inlineStr">
        <is>
          <t>Standard</t>
        </is>
      </c>
      <c r="H173" s="64" t="n">
        <v>44942</v>
      </c>
      <c r="I173" s="65" t="n">
        <v>783.2</v>
      </c>
      <c r="J173" s="63" t="inlineStr">
        <is>
          <t>gross (price x shares)</t>
        </is>
      </c>
      <c r="K173" s="66" t="n"/>
      <c r="L173" s="66" t="n">
        <v>19.32</v>
      </c>
      <c r="M173" s="66" t="n">
        <v>19.32</v>
      </c>
      <c r="N173" s="63" t="inlineStr">
        <is>
          <t>Y</t>
        </is>
      </c>
      <c r="O173" s="67" t="n">
        <v>100</v>
      </c>
      <c r="P173" s="67" t="n"/>
      <c r="Q173" s="68" t="n">
        <v>4454.8</v>
      </c>
      <c r="R173" s="63" t="inlineStr">
        <is>
          <t>prospectus:stated market capitalisation</t>
        </is>
      </c>
      <c r="S173" s="69" t="n">
        <v>22.12</v>
      </c>
      <c r="T173" s="70" t="n">
        <v>4.7</v>
      </c>
      <c r="U173" s="71" t="n">
        <v>28.4</v>
      </c>
      <c r="V173" s="68" t="n">
        <v>560.77</v>
      </c>
      <c r="W173" s="68" t="n">
        <v>29024134</v>
      </c>
      <c r="X173" s="67" t="n">
        <v>12.59</v>
      </c>
      <c r="Y173" s="63" t="inlineStr">
        <is>
          <t>Harvest International Premium Value (Secondary Market) Fund SPC; Juzi Holding Co., Ltd; Kunming Botanee Bio-technology Sales Co., Ltd; TruMed Healthcare Master Fund and TruMed Health Innovation Fund LP</t>
        </is>
      </c>
      <c r="Z173" s="63" t="inlineStr">
        <is>
          <t>harvest;juzi;kunming;trumed</t>
        </is>
      </c>
      <c r="AA173" s="67" t="n">
        <v>7</v>
      </c>
      <c r="AB173" s="72" t="n"/>
      <c r="AC173" s="66" t="n"/>
      <c r="AD173" s="72" t="n"/>
      <c r="AE173" s="63" t="n"/>
      <c r="AF173" s="63" t="n"/>
      <c r="AG173" s="63" t="inlineStr">
        <is>
          <t>full</t>
        </is>
      </c>
      <c r="AH173" s="63" t="inlineStr">
        <is>
          <t>2023-02-05</t>
        </is>
      </c>
      <c r="AI173" s="63" t="inlineStr">
        <is>
          <t>Morgan Stanley Asia Limited</t>
        </is>
      </c>
      <c r="AJ173" s="63" t="inlineStr">
        <is>
          <t>Morgan Stanley</t>
        </is>
      </c>
      <c r="AK173" s="73" t="n">
        <v>53.47</v>
      </c>
      <c r="AL173" s="72" t="n">
        <v>57.87</v>
      </c>
      <c r="AM173" s="72" t="n">
        <v>-2.79</v>
      </c>
      <c r="AN173" s="72" t="n">
        <v>56.31</v>
      </c>
      <c r="AO173" s="72" t="n">
        <v>45.96</v>
      </c>
      <c r="AP173" s="72" t="n">
        <v>58.64</v>
      </c>
      <c r="AQ173" s="72" t="n">
        <v>1.85</v>
      </c>
      <c r="AR173" s="72" t="n">
        <v>-4.89</v>
      </c>
      <c r="AS173" s="72" t="n">
        <v>3.37</v>
      </c>
      <c r="AT173" s="72" t="n">
        <v>52.06</v>
      </c>
      <c r="AU173" s="72" t="n">
        <v>51.62</v>
      </c>
      <c r="AV173" s="72" t="n">
        <v>68.81999999999999</v>
      </c>
      <c r="AW173" s="72" t="n">
        <v>0.53</v>
      </c>
      <c r="AX173" s="72" t="n">
        <v>-5.66</v>
      </c>
      <c r="AY173" s="72" t="n">
        <v>-5.42</v>
      </c>
      <c r="AZ173" s="63" t="inlineStr">
        <is>
          <t>Hang Seng Commerce &amp; Industry sub-index</t>
        </is>
      </c>
      <c r="BA173" s="72" t="n">
        <v>0.88</v>
      </c>
      <c r="BB173" s="64" t="inlineStr">
        <is>
          <t>2026-08-28</t>
        </is>
      </c>
      <c r="BC173" s="65" t="n">
        <v>1958.8</v>
      </c>
      <c r="BD173" s="68" t="n">
        <v>229.2</v>
      </c>
      <c r="BE173" s="63" t="inlineStr">
        <is>
          <t>Y</t>
        </is>
      </c>
      <c r="BF173" s="74" t="n">
        <v>19.4</v>
      </c>
      <c r="BG173" s="74" t="n"/>
      <c r="BH173" s="74" t="n">
        <v>11.9</v>
      </c>
      <c r="BI173" s="74" t="n">
        <v>2.3</v>
      </c>
      <c r="BJ173" s="75">
        <f>IF('BBG Verify'!S173="","not filed — run on terminal",'BBG Verify'!S173)</f>
        <v/>
      </c>
      <c r="BK173" s="76" t="inlineStr">
        <is>
          <t>N</t>
        </is>
      </c>
      <c r="BL173" s="77">
        <f>IF('BBG Verify'!K173="","not filed — run on terminal",'BBG Verify'!K173)</f>
        <v/>
      </c>
      <c r="BM173" s="63" t="inlineStr">
        <is>
          <t>N/A</t>
        </is>
      </c>
      <c r="BN173" s="63" t="inlineStr">
        <is>
          <t>N/A</t>
        </is>
      </c>
      <c r="BO173" s="63" t="inlineStr">
        <is>
          <t>N/A</t>
        </is>
      </c>
      <c r="BP173" s="63" t="inlineStr">
        <is>
          <t>N/A</t>
        </is>
      </c>
      <c r="BQ173" s="63" t="inlineStr">
        <is>
          <t>N/A</t>
        </is>
      </c>
      <c r="BR173" s="63" t="inlineStr">
        <is>
          <t>N/A</t>
        </is>
      </c>
      <c r="BS173" s="76" t="inlineStr">
        <is>
          <t>Morgan Stanley Asia Limited; Haitong International Capital Limited; Huatai Financial Holdings (Hong Kong) Limited</t>
        </is>
      </c>
      <c r="BT173" s="63" t="inlineStr">
        <is>
          <t>Morgan Stanley Asia Limited; Haitong International Capital Limited; Huatai Financial Holdings (Hong Kong) Limited</t>
        </is>
      </c>
      <c r="BU173" s="63" t="inlineStr">
        <is>
          <t>Morgan Stanley Asia Limited; Haitong International Securities Company Limited; Huatai Financial Holdings (Hong Kong) Limited; CLSA Limited; ICBC International Capital Limited</t>
        </is>
      </c>
      <c r="BV173" s="63" t="inlineStr">
        <is>
          <t>CLSA Limited; Futu Securities International (Hong Kong) Limited; Huatai Financial Holdings (Hong Kong) Limited; Haitong International Securities Company Limited; ICBC International Securities Limited; Morgan Stanley Asia Limited; Tiger Brokers (HK) Global Limited; Valuable Capital Limited</t>
        </is>
      </c>
      <c r="BW173" s="78">
        <f>HYPERLINK("https://www1.hkexnews.hk/listedco/listconews/sehk/2022/1230/2022123000067.pdf","prospectus")</f>
        <v/>
      </c>
      <c r="BX173" s="78">
        <f>HYPERLINK("https://www1.hkexnews.hk/listedco/listconews/sehk/2023/0113/2023011300032.htm","allotment")</f>
        <v/>
      </c>
      <c r="BY173" s="78">
        <f>HYPERLINK("https://www1.hkexnews.hk/listedco/listconews/sehk/2023/0205/2023020500007.pdf","stabilisation")</f>
        <v/>
      </c>
      <c r="BZ173" s="76" t="n"/>
      <c r="CA173" s="63" t="inlineStr">
        <is>
          <t>range low: cap-only pricing — the filing publishes a Maximum Offer Price and no indicative floor · A/H: no A-share listing · cornerstone: AAStocks institutional table includes non-cornerstone orders (superset) — cornerstone % is from the prospectus · grey market: no grey-market headline on file for this deal — AAStocks publishes one per listing but keeps only recent items on the stock's news page, and no public archive of past evening sessions exists; captured from this run onward</t>
        </is>
      </c>
    </row>
    <row r="174" ht="15" customHeight="1">
      <c r="A174" s="62" t="inlineStr">
        <is>
          <t>2458</t>
        </is>
      </c>
      <c r="B174" s="63" t="inlineStr">
        <is>
          <t>GALA TECH HOLD</t>
        </is>
      </c>
      <c r="C174" s="63" t="inlineStr">
        <is>
          <t>望塵科技控股</t>
        </is>
      </c>
      <c r="D174" s="63" t="inlineStr">
        <is>
          <t>Tech/AI</t>
        </is>
      </c>
      <c r="E174" s="63" t="inlineStr">
        <is>
          <t>Fintech platform</t>
        </is>
      </c>
      <c r="F174" s="63" t="inlineStr">
        <is>
          <t>Gaming Software</t>
        </is>
      </c>
      <c r="G174" s="63" t="inlineStr">
        <is>
          <t>Standard</t>
        </is>
      </c>
      <c r="H174" s="64" t="n">
        <v>44942</v>
      </c>
      <c r="I174" s="65" t="n">
        <v>11</v>
      </c>
      <c r="J174" s="63" t="inlineStr">
        <is>
          <t>net proceeds</t>
        </is>
      </c>
      <c r="K174" s="66" t="n">
        <v>5.7</v>
      </c>
      <c r="L174" s="66" t="n">
        <v>7.16</v>
      </c>
      <c r="M174" s="66" t="n">
        <v>6.5</v>
      </c>
      <c r="N174" s="63" t="inlineStr">
        <is>
          <t>N</t>
        </is>
      </c>
      <c r="O174" s="67" t="n">
        <v>90.8</v>
      </c>
      <c r="P174" s="67" t="n">
        <v>54.8</v>
      </c>
      <c r="Q174" s="68" t="n">
        <v>969.5</v>
      </c>
      <c r="R174" s="63" t="inlineStr">
        <is>
          <t>aastocks:上市市值 at the struck price</t>
        </is>
      </c>
      <c r="S174" s="69" t="n">
        <v>3.4</v>
      </c>
      <c r="T174" s="70" t="n">
        <v>1.7</v>
      </c>
      <c r="U174" s="71" t="n">
        <v>0</v>
      </c>
      <c r="V174" s="68" t="n">
        <v>11</v>
      </c>
      <c r="W174" s="68" t="n"/>
      <c r="X174" s="67" t="n">
        <v>1.13</v>
      </c>
      <c r="Y174" s="63" t="n"/>
      <c r="Z174" s="63" t="n"/>
      <c r="AA174" s="67" t="n"/>
      <c r="AB174" s="72" t="n"/>
      <c r="AC174" s="66" t="n"/>
      <c r="AD174" s="72" t="n"/>
      <c r="AE174" s="63" t="n"/>
      <c r="AF174" s="63" t="n"/>
      <c r="AG174" s="63" t="n"/>
      <c r="AH174" s="63" t="n"/>
      <c r="AI174" s="63" t="n"/>
      <c r="AJ174" s="63" t="n"/>
      <c r="AK174" s="73" t="n">
        <v>-11.54</v>
      </c>
      <c r="AL174" s="72" t="n">
        <v>-23.08</v>
      </c>
      <c r="AM174" s="72" t="n">
        <v>15</v>
      </c>
      <c r="AN174" s="72" t="n">
        <v>-20.92</v>
      </c>
      <c r="AO174" s="72" t="n">
        <v>4.46</v>
      </c>
      <c r="AP174" s="72" t="n">
        <v>-20.31</v>
      </c>
      <c r="AQ174" s="72" t="n">
        <v>-10.6</v>
      </c>
      <c r="AR174" s="72" t="n">
        <v>18.09</v>
      </c>
      <c r="AS174" s="72" t="n">
        <v>-9.91</v>
      </c>
      <c r="AT174" s="72" t="n">
        <v>-25.11</v>
      </c>
      <c r="AU174" s="72" t="n">
        <v>10.92</v>
      </c>
      <c r="AV174" s="72" t="n">
        <v>-7.35</v>
      </c>
      <c r="AW174" s="72" t="n">
        <v>23.33</v>
      </c>
      <c r="AX174" s="72" t="n">
        <v>-6.46</v>
      </c>
      <c r="AY174" s="72" t="n">
        <v>-5.24</v>
      </c>
      <c r="AZ174" s="63" t="inlineStr">
        <is>
          <t>HSTECH (Hang Seng TECH ETF)</t>
        </is>
      </c>
      <c r="BA174" s="72" t="n">
        <v>-7.69</v>
      </c>
      <c r="BB174" s="64" t="inlineStr">
        <is>
          <t>2026-08-28</t>
        </is>
      </c>
      <c r="BC174" s="65" t="n">
        <v>505.8</v>
      </c>
      <c r="BD174" s="68" t="n">
        <v>-1</v>
      </c>
      <c r="BE174" s="63" t="inlineStr">
        <is>
          <t>N</t>
        </is>
      </c>
      <c r="BF174" s="63" t="inlineStr">
        <is>
          <t>n/m</t>
        </is>
      </c>
      <c r="BG174" s="74" t="n"/>
      <c r="BH174" s="74" t="n">
        <v>7.8</v>
      </c>
      <c r="BI174" s="74" t="n">
        <v>1.9</v>
      </c>
      <c r="BJ174" s="75">
        <f>IF('BBG Verify'!S174="","not filed — run on terminal",'BBG Verify'!S174)</f>
        <v/>
      </c>
      <c r="BK174" s="76" t="inlineStr">
        <is>
          <t>N</t>
        </is>
      </c>
      <c r="BL174" s="77">
        <f>IF('BBG Verify'!K174="","not filed — run on terminal",'BBG Verify'!K174)</f>
        <v/>
      </c>
      <c r="BM174" s="63" t="inlineStr">
        <is>
          <t>N/A</t>
        </is>
      </c>
      <c r="BN174" s="63" t="inlineStr">
        <is>
          <t>N/A</t>
        </is>
      </c>
      <c r="BO174" s="63" t="inlineStr">
        <is>
          <t>N/A</t>
        </is>
      </c>
      <c r="BP174" s="63" t="inlineStr">
        <is>
          <t>N/A</t>
        </is>
      </c>
      <c r="BQ174" s="63" t="inlineStr">
        <is>
          <t>N/A</t>
        </is>
      </c>
      <c r="BR174" s="63" t="inlineStr">
        <is>
          <t>N/A</t>
        </is>
      </c>
      <c r="BS174" s="76" t="inlineStr">
        <is>
          <t>UOB Kay Hian (Hong Kong) Limited</t>
        </is>
      </c>
      <c r="BT174" s="63" t="inlineStr">
        <is>
          <t>UOB Kay Hian (Hong Kong) Limited</t>
        </is>
      </c>
      <c r="BU174" s="63" t="inlineStr">
        <is>
          <t>UOB Kay Hian (Hong Kong) Limited</t>
        </is>
      </c>
      <c r="BV174" s="63" t="inlineStr">
        <is>
          <t>Futu Securities International (Hong Kong) Limited; Haitong International Securities Company Limited; Maxa Capital Limited; Tiger Brokers (HK) Global Limited; UOB Kay Hian (Hong Kong) Limited</t>
        </is>
      </c>
      <c r="BW174" s="78">
        <f>HYPERLINK("https://www1.hkexnews.hk/listedco/listconews/sehk/2022/1230/2022123000207.pdf","prospectus")</f>
        <v/>
      </c>
      <c r="BX174" s="78">
        <f>HYPERLINK("https://www1.hkexnews.hk/listedco/listconews/sehk/2023/0113/2023011300078.htm","allotment")</f>
        <v/>
      </c>
      <c r="BY174" s="63" t="n"/>
      <c r="BZ174" s="76" t="n"/>
      <c r="CA174" s="63" t="inlineStr">
        <is>
          <t>P/E: n/m — loss-making at IPO (use P/S) · greenshoe: no over-allotment option in the offer structure · A/H: no A-share listing · market cap: estimate from deal size / offer % of enlarged capital disagreed with the published listing cap — published figure adopted · cornerstone list: no cornerstone tranche in this deal · greenshoe size: no over-allotment option in the offer structure · stabilising manager: no over-allotment option in the offer structure, so no stabilising manager is appointed · grey market: no grey-market headline on file for this deal — AAStocks publishes one per listing but keeps only recent items on the stock's news page, and no public archive of past evening sessions exists; captured from this run onward · eff float shares: share count unavailable or rejected as implausible — the money figure (eff_free_float_hkdm) is still exact</t>
        </is>
      </c>
    </row>
    <row r="175" ht="15" customHeight="1">
      <c r="A175" s="62" t="inlineStr">
        <is>
          <t>2459</t>
        </is>
      </c>
      <c r="B175" s="63" t="inlineStr">
        <is>
          <t>SANERGY GROUP</t>
        </is>
      </c>
      <c r="C175" s="63" t="inlineStr">
        <is>
          <t>昇能集團</t>
        </is>
      </c>
      <c r="D175" s="63" t="inlineStr">
        <is>
          <t>Materials/Energy</t>
        </is>
      </c>
      <c r="E175" s="63" t="inlineStr">
        <is>
          <t>Chemicals</t>
        </is>
      </c>
      <c r="F175" s="63" t="inlineStr">
        <is>
          <t>Electrical Components &amp; Equipment</t>
        </is>
      </c>
      <c r="G175" s="63" t="inlineStr">
        <is>
          <t>Standard</t>
        </is>
      </c>
      <c r="H175" s="64" t="n">
        <v>44943</v>
      </c>
      <c r="I175" s="65" t="n">
        <v>275.8</v>
      </c>
      <c r="J175" s="63" t="inlineStr">
        <is>
          <t>gross (price x shares)</t>
        </is>
      </c>
      <c r="K175" s="66" t="n"/>
      <c r="L175" s="66" t="n">
        <v>2.2</v>
      </c>
      <c r="M175" s="66" t="n">
        <v>1.6</v>
      </c>
      <c r="N175" s="63" t="inlineStr">
        <is>
          <t>N</t>
        </is>
      </c>
      <c r="O175" s="67" t="n">
        <v>72.7</v>
      </c>
      <c r="P175" s="67" t="n"/>
      <c r="Q175" s="68" t="n">
        <v>1779.4</v>
      </c>
      <c r="R175" s="63" t="inlineStr">
        <is>
          <t>derived:deal size / offer % of enlarged capital</t>
        </is>
      </c>
      <c r="S175" s="69" t="n">
        <v>9.880000000000001</v>
      </c>
      <c r="T175" s="70" t="n">
        <v>1.2</v>
      </c>
      <c r="U175" s="71" t="n">
        <v>0</v>
      </c>
      <c r="V175" s="68" t="n">
        <v>275.8</v>
      </c>
      <c r="W175" s="68" t="n">
        <v>172400000</v>
      </c>
      <c r="X175" s="67" t="n">
        <v>15.5</v>
      </c>
      <c r="Y175" s="63" t="n"/>
      <c r="Z175" s="63" t="n"/>
      <c r="AA175" s="67" t="n">
        <v>15</v>
      </c>
      <c r="AB175" s="72" t="n"/>
      <c r="AC175" s="66" t="n"/>
      <c r="AD175" s="72" t="n"/>
      <c r="AE175" s="63" t="n"/>
      <c r="AF175" s="63" t="n"/>
      <c r="AG175" s="63" t="inlineStr">
        <is>
          <t>lapsed (no over-allocation)</t>
        </is>
      </c>
      <c r="AH175" s="63" t="n"/>
      <c r="AI175" s="63" t="inlineStr">
        <is>
          <t>Yue Xiu Securities Company Limited</t>
        </is>
      </c>
      <c r="AJ175" s="63" t="inlineStr">
        <is>
          <t>Yue Xiu</t>
        </is>
      </c>
      <c r="AK175" s="73" t="n">
        <v>11.25</v>
      </c>
      <c r="AL175" s="72" t="n">
        <v>5</v>
      </c>
      <c r="AM175" s="72" t="n">
        <v>5.95</v>
      </c>
      <c r="AN175" s="72" t="n">
        <v>3.12</v>
      </c>
      <c r="AO175" s="72" t="n">
        <v>51.25</v>
      </c>
      <c r="AP175" s="72" t="n">
        <v>10</v>
      </c>
      <c r="AQ175" s="72" t="n">
        <v>-7.31</v>
      </c>
      <c r="AR175" s="72" t="n">
        <v>35.96</v>
      </c>
      <c r="AS175" s="72" t="n">
        <v>-1.12</v>
      </c>
      <c r="AT175" s="72" t="n">
        <v>-2.34</v>
      </c>
      <c r="AU175" s="72" t="n">
        <v>55.97</v>
      </c>
      <c r="AV175" s="72" t="n">
        <v>20.52</v>
      </c>
      <c r="AW175" s="72" t="n">
        <v>40.1</v>
      </c>
      <c r="AX175" s="72" t="n">
        <v>-4.72</v>
      </c>
      <c r="AY175" s="72" t="n">
        <v>-4.14</v>
      </c>
      <c r="AZ175" s="63" t="inlineStr">
        <is>
          <t>Hang Seng Commerce &amp; Industry sub-index</t>
        </is>
      </c>
      <c r="BA175" s="72" t="n">
        <v>-95.53</v>
      </c>
      <c r="BB175" s="64" t="inlineStr">
        <is>
          <t>2026-08-31</t>
        </is>
      </c>
      <c r="BC175" s="65" t="n">
        <v>846.6</v>
      </c>
      <c r="BD175" s="68" t="n">
        <v>32.7</v>
      </c>
      <c r="BE175" s="63" t="inlineStr">
        <is>
          <t>Y</t>
        </is>
      </c>
      <c r="BF175" s="74" t="n">
        <v>54.4</v>
      </c>
      <c r="BG175" s="74" t="n"/>
      <c r="BH175" s="74" t="n"/>
      <c r="BI175" s="74" t="n">
        <v>2.1</v>
      </c>
      <c r="BJ175" s="75">
        <f>IF('BBG Verify'!S175="","not filed — run on terminal",'BBG Verify'!S175)</f>
        <v/>
      </c>
      <c r="BK175" s="76" t="inlineStr">
        <is>
          <t>N</t>
        </is>
      </c>
      <c r="BL175" s="77">
        <f>IF('BBG Verify'!K175="","not filed — run on terminal",'BBG Verify'!K175)</f>
        <v/>
      </c>
      <c r="BM175" s="63" t="inlineStr">
        <is>
          <t>N/A</t>
        </is>
      </c>
      <c r="BN175" s="63" t="inlineStr">
        <is>
          <t>N/A</t>
        </is>
      </c>
      <c r="BO175" s="63" t="inlineStr">
        <is>
          <t>N/A</t>
        </is>
      </c>
      <c r="BP175" s="63" t="inlineStr">
        <is>
          <t>N/A</t>
        </is>
      </c>
      <c r="BQ175" s="63" t="inlineStr">
        <is>
          <t>N/A</t>
        </is>
      </c>
      <c r="BR175" s="63" t="inlineStr">
        <is>
          <t>N/A</t>
        </is>
      </c>
      <c r="BS175" s="76" t="inlineStr">
        <is>
          <t>Southwest Securities (HK) Capital Limited</t>
        </is>
      </c>
      <c r="BT175" s="63" t="inlineStr">
        <is>
          <t>Southwest Securities (HK) Capital Limited</t>
        </is>
      </c>
      <c r="BU175" s="63" t="inlineStr">
        <is>
          <t>Southwest Securities (HK) Brokerage Limited; Yue Xiu Securities Company Limited; First Capital Securities Limited; Sheng Yuan Securities Limited; BOCI Asia Limited; ABCI Capital Limited; JMC Capital International Limited; Valuable Capital Limited</t>
        </is>
      </c>
      <c r="BV175" s="63" t="inlineStr">
        <is>
          <t>ABCI Securities Company Limited; BOCI Asia Limited; China Everbright Securities (HK) Limited; Eddid Securities and Futures Limited; First Capital Securities Limited; JMC Capital International Limited; Southwest Securities (HK) Brokerage Limited; Sheng Yuan Securities Limited; Tiger Brokers (HK) Global Limited; Valuable Capital Limited; Vision Capital International Holdings Limited; Venture Smart Asia Limited</t>
        </is>
      </c>
      <c r="BW175" s="78">
        <f>HYPERLINK("https://www1.hkexnews.hk/listedco/listconews/sehk/2022/1230/2022123000059.pdf","prospectus")</f>
        <v/>
      </c>
      <c r="BX175" s="78">
        <f>HYPERLINK("https://www1.hkexnews.hk/listedco/listconews/sehk/2023/0116/2023011600008.htm","allotment")</f>
        <v/>
      </c>
      <c r="BY175" s="78">
        <f>HYPERLINK("https://www1.hkexnews.hk/listedco/listconews/sehk/2023/0209/2023020900283.pdf","stabilisation")</f>
        <v/>
      </c>
      <c r="BZ175" s="76" t="n"/>
      <c r="CA175" s="63" t="inlineStr">
        <is>
          <t>greenshoe: over-allotment outcome already published, and the allotment announcement does not state the stabilisation expiry in a parsable form — the expiry no longer matters once resolved · range low: cap-only pricing — the filing publishes a Maximum Offer Price and no indicative floor · A/H: no A-share listing · returns: price returns exclude the entitlement value of: 2025-07-16 rights 1-for-2 @ HK$0.08 (pre-consolidation) — Bloomberg's back-adjusted history divides by x1.195 · cornerstone list: no cornerstone tranche in this deal · grey market: no grey-market headline on file for this deal — AAStocks publishes one per listing but keeps only recent items on the stock's news page, and no public archive of past evening sessions exists; captured from this run onward</t>
        </is>
      </c>
    </row>
    <row r="176" ht="15" customHeight="1">
      <c r="A176" s="62" t="inlineStr">
        <is>
          <t>2455</t>
        </is>
      </c>
      <c r="B176" s="63" t="inlineStr">
        <is>
          <t>RUNHUA SERVICE</t>
        </is>
      </c>
      <c r="C176" s="63" t="inlineStr">
        <is>
          <t>潤華服務</t>
        </is>
      </c>
      <c r="D176" s="63" t="inlineStr">
        <is>
          <t>Real Estate</t>
        </is>
      </c>
      <c r="E176" s="63" t="inlineStr">
        <is>
          <t>Property management</t>
        </is>
      </c>
      <c r="F176" s="63" t="inlineStr">
        <is>
          <t>Property Service and Management</t>
        </is>
      </c>
      <c r="G176" s="63" t="inlineStr">
        <is>
          <t>Standard</t>
        </is>
      </c>
      <c r="H176" s="64" t="n">
        <v>44943</v>
      </c>
      <c r="I176" s="65" t="n">
        <v>127.5</v>
      </c>
      <c r="J176" s="63" t="inlineStr">
        <is>
          <t>gross (price x shares)</t>
        </is>
      </c>
      <c r="K176" s="66" t="n">
        <v>1.7</v>
      </c>
      <c r="L176" s="66" t="n">
        <v>2</v>
      </c>
      <c r="M176" s="66" t="n">
        <v>1.7</v>
      </c>
      <c r="N176" s="63" t="inlineStr">
        <is>
          <t>N</t>
        </is>
      </c>
      <c r="O176" s="67" t="n">
        <v>85</v>
      </c>
      <c r="P176" s="67" t="n">
        <v>0</v>
      </c>
      <c r="Q176" s="68" t="n">
        <v>510</v>
      </c>
      <c r="R176" s="63" t="inlineStr">
        <is>
          <t>derived:deal size / offer % of enlarged capital</t>
        </is>
      </c>
      <c r="S176" s="69" t="n">
        <v>8.74</v>
      </c>
      <c r="T176" s="70" t="n">
        <v>1.29</v>
      </c>
      <c r="U176" s="71" t="n">
        <v>34.9</v>
      </c>
      <c r="V176" s="68" t="n">
        <v>83</v>
      </c>
      <c r="W176" s="68" t="n">
        <v>48825000</v>
      </c>
      <c r="X176" s="67" t="n">
        <v>16.27</v>
      </c>
      <c r="Y176" s="63" t="inlineStr">
        <is>
          <t>Jinan Huaiyin Urban Construction Investment Group Co., Ltd</t>
        </is>
      </c>
      <c r="Z176" s="63" t="inlineStr">
        <is>
          <t>jinan</t>
        </is>
      </c>
      <c r="AA176" s="67" t="n">
        <v>8.699999999999999</v>
      </c>
      <c r="AB176" s="72" t="n"/>
      <c r="AC176" s="66" t="n"/>
      <c r="AD176" s="72" t="n"/>
      <c r="AE176" s="63" t="n"/>
      <c r="AF176" s="63" t="n"/>
      <c r="AG176" s="63" t="inlineStr">
        <is>
          <t>lapsed (no over-allocation)</t>
        </is>
      </c>
      <c r="AH176" s="63" t="n"/>
      <c r="AI176" s="63" t="inlineStr">
        <is>
          <t>Zhongtai International Securities Limited</t>
        </is>
      </c>
      <c r="AJ176" s="63" t="inlineStr">
        <is>
          <t>Zhongtai</t>
        </is>
      </c>
      <c r="AK176" s="73" t="n">
        <v>-25.88</v>
      </c>
      <c r="AL176" s="72" t="n">
        <v>-18.82</v>
      </c>
      <c r="AM176" s="72" t="n">
        <v>-8.699999999999999</v>
      </c>
      <c r="AN176" s="72" t="n">
        <v>-23.53</v>
      </c>
      <c r="AO176" s="72" t="n">
        <v>-25.88</v>
      </c>
      <c r="AP176" s="72" t="n">
        <v>-20</v>
      </c>
      <c r="AQ176" s="72" t="n">
        <v>3.17</v>
      </c>
      <c r="AR176" s="72" t="n">
        <v>0</v>
      </c>
      <c r="AS176" s="72" t="n">
        <v>7.93</v>
      </c>
      <c r="AT176" s="72" t="n">
        <v>-28.37</v>
      </c>
      <c r="AU176" s="72" t="n">
        <v>-21.46</v>
      </c>
      <c r="AV176" s="72" t="n">
        <v>-10.74</v>
      </c>
      <c r="AW176" s="72" t="n">
        <v>4.13</v>
      </c>
      <c r="AX176" s="72" t="n">
        <v>-4.42</v>
      </c>
      <c r="AY176" s="72" t="n">
        <v>-4.13</v>
      </c>
      <c r="AZ176" s="63" t="inlineStr">
        <is>
          <t>Hang Seng Properties sub-index</t>
        </is>
      </c>
      <c r="BA176" s="72" t="n">
        <v>-61.47</v>
      </c>
      <c r="BB176" s="64" t="inlineStr">
        <is>
          <t>2026-08-28</t>
        </is>
      </c>
      <c r="BC176" s="65" t="n">
        <v>661.4</v>
      </c>
      <c r="BD176" s="68" t="n">
        <v>44.2</v>
      </c>
      <c r="BE176" s="63" t="inlineStr">
        <is>
          <t>Y</t>
        </is>
      </c>
      <c r="BF176" s="74" t="n">
        <v>11.5</v>
      </c>
      <c r="BG176" s="74" t="n"/>
      <c r="BH176" s="74" t="n">
        <v>3.8</v>
      </c>
      <c r="BI176" s="74" t="n">
        <v>0.8</v>
      </c>
      <c r="BJ176" s="75">
        <f>IF('BBG Verify'!S176="","not filed — run on terminal",'BBG Verify'!S176)</f>
        <v/>
      </c>
      <c r="BK176" s="76" t="inlineStr">
        <is>
          <t>N</t>
        </is>
      </c>
      <c r="BL176" s="77">
        <f>IF('BBG Verify'!K176="","not filed — run on terminal",'BBG Verify'!K176)</f>
        <v/>
      </c>
      <c r="BM176" s="63" t="inlineStr">
        <is>
          <t>N/A</t>
        </is>
      </c>
      <c r="BN176" s="63" t="inlineStr">
        <is>
          <t>N/A</t>
        </is>
      </c>
      <c r="BO176" s="63" t="inlineStr">
        <is>
          <t>N/A</t>
        </is>
      </c>
      <c r="BP176" s="63" t="inlineStr">
        <is>
          <t>N/A</t>
        </is>
      </c>
      <c r="BQ176" s="63" t="inlineStr">
        <is>
          <t>N/A</t>
        </is>
      </c>
      <c r="BR176" s="63" t="inlineStr">
        <is>
          <t>N/A</t>
        </is>
      </c>
      <c r="BS176" s="76" t="inlineStr">
        <is>
          <t>Zhongtai International Capital Limited; OC Zhongtai International Securities Limited</t>
        </is>
      </c>
      <c r="BT176" s="63" t="inlineStr">
        <is>
          <t>Zhongtai International Capital Limited</t>
        </is>
      </c>
      <c r="BU176" s="63" t="inlineStr">
        <is>
          <t>Zhongtai International Securities Limited; ICBC International Capital Limited; BOCOM International Securities Limited; SPDB International Capital Limited; CCB International Capital Limited; China Everbright Securities (HK) Limited; Guotai Junan Securities (Hong Kong) Limited; Fosun Hani Securities Limited; China Tonghai Securities Limited; ZMF Asset Management Limited</t>
        </is>
      </c>
      <c r="BV176" s="63" t="inlineStr">
        <is>
          <t>Beta International Securities Limited; CCB International Capital Limited; China Everbright Securities (HK) Limited; China Tonghai Securities Limited; Fosun Hani Securities Limited; GF Securities (Hong Kong) Brokerage Limited; Guotai Junan Securities (Hong Kong) Limited; ICBC International Securities Limited; Livermore Holdings Limited; SPDB International Capital Limited</t>
        </is>
      </c>
      <c r="BW176" s="78">
        <f>HYPERLINK("https://www1.hkexnews.hk/listedco/listconews/sehk/2022/1230/2022123000035.pdf","prospectus")</f>
        <v/>
      </c>
      <c r="BX176" s="78">
        <f>HYPERLINK("https://www1.hkexnews.hk/listedco/listconews/sehk/2023/0116/2023011600024.htm","allotment")</f>
        <v/>
      </c>
      <c r="BY176" s="78">
        <f>HYPERLINK("https://www1.hkexnews.hk/listedco/listconews/sehk/2023/0208/2023020800031.pdf","stabilisation")</f>
        <v/>
      </c>
      <c r="BZ176" s="76" t="n"/>
      <c r="CA176" s="63" t="inlineStr">
        <is>
          <t>greenshoe: over-allotment outcome already published, and the allotment announcement does not state the stabilisation expiry in a parsable form — the expiry no longer matters once resolved · A/H: no A-share listing · grey market: no grey-market headline on file for this deal — AAStocks publishes one per listing but keeps only recent items on the stock's news page, and no public archive of past evening sessions exists; captured from this run onward</t>
        </is>
      </c>
    </row>
    <row r="177" ht="15" customHeight="1">
      <c r="A177" s="62" t="inlineStr">
        <is>
          <t>2306</t>
        </is>
      </c>
      <c r="B177" s="63" t="inlineStr">
        <is>
          <t>YH ENT</t>
        </is>
      </c>
      <c r="C177" s="63" t="inlineStr">
        <is>
          <t>樂華娛樂</t>
        </is>
      </c>
      <c r="D177" s="63" t="inlineStr">
        <is>
          <t>TMT-other</t>
        </is>
      </c>
      <c r="E177" s="63" t="inlineStr">
        <is>
          <t>Media / advertising</t>
        </is>
      </c>
      <c r="F177" s="63" t="inlineStr">
        <is>
          <t>Movies &amp; Entertainment</t>
        </is>
      </c>
      <c r="G177" s="63" t="inlineStr">
        <is>
          <t>Standard</t>
        </is>
      </c>
      <c r="H177" s="64" t="n">
        <v>44945</v>
      </c>
      <c r="I177" s="65" t="n">
        <v>489.8</v>
      </c>
      <c r="J177" s="63" t="inlineStr">
        <is>
          <t>gross (price x shares)</t>
        </is>
      </c>
      <c r="K177" s="66" t="n">
        <v>3.91</v>
      </c>
      <c r="L177" s="66" t="n">
        <v>5.06</v>
      </c>
      <c r="M177" s="66" t="n">
        <v>4.08</v>
      </c>
      <c r="N177" s="63" t="inlineStr">
        <is>
          <t>N</t>
        </is>
      </c>
      <c r="O177" s="67" t="n">
        <v>80.59999999999999</v>
      </c>
      <c r="P177" s="67" t="n">
        <v>14.8</v>
      </c>
      <c r="Q177" s="68" t="n">
        <v>4217.5</v>
      </c>
      <c r="R177" s="63" t="inlineStr">
        <is>
          <t>aastocks:上市市值 at the struck price</t>
        </is>
      </c>
      <c r="S177" s="69" t="n">
        <v>28.68</v>
      </c>
      <c r="T177" s="70" t="n">
        <v>1.29</v>
      </c>
      <c r="U177" s="71" t="n">
        <v>17.9</v>
      </c>
      <c r="V177" s="68" t="n">
        <v>402.13</v>
      </c>
      <c r="W177" s="68" t="n">
        <v>98569260</v>
      </c>
      <c r="X177" s="67" t="n">
        <v>9.529999999999999</v>
      </c>
      <c r="Y177" s="63" t="inlineStr">
        <is>
          <t>Ding Shijia; Maoyan Entertainment (HK) Limited; Sun Mass Energy Development Limited; TradArt Asset Management Co., Limited</t>
        </is>
      </c>
      <c r="Z177" s="63" t="inlineStr">
        <is>
          <t>ding-shijia;maoyan;sun-mass;tradart</t>
        </is>
      </c>
      <c r="AA177" s="67" t="n">
        <v>12.28</v>
      </c>
      <c r="AB177" s="72" t="n"/>
      <c r="AC177" s="66" t="n"/>
      <c r="AD177" s="72" t="n"/>
      <c r="AE177" s="63" t="n"/>
      <c r="AF177" s="63" t="n"/>
      <c r="AG177" s="63" t="inlineStr">
        <is>
          <t>partial</t>
        </is>
      </c>
      <c r="AH177" s="63" t="n"/>
      <c r="AI177" s="63" t="inlineStr">
        <is>
          <t>China Securities</t>
        </is>
      </c>
      <c r="AJ177" s="63" t="inlineStr">
        <is>
          <t>China Securities</t>
        </is>
      </c>
      <c r="AK177" s="73" t="n">
        <v>47.79</v>
      </c>
      <c r="AL177" s="72" t="n">
        <v>37.25</v>
      </c>
      <c r="AM177" s="72" t="n">
        <v>7.68</v>
      </c>
      <c r="AN177" s="72" t="n">
        <v>17.16</v>
      </c>
      <c r="AO177" s="72" t="n">
        <v>6.86</v>
      </c>
      <c r="AP177" s="72" t="n">
        <v>-1.23</v>
      </c>
      <c r="AQ177" s="72" t="n">
        <v>-20.73</v>
      </c>
      <c r="AR177" s="72" t="n">
        <v>-27.69</v>
      </c>
      <c r="AS177" s="72" t="n">
        <v>-33.17</v>
      </c>
      <c r="AT177" s="72" t="n">
        <v>16.4</v>
      </c>
      <c r="AU177" s="72" t="n">
        <v>12.65</v>
      </c>
      <c r="AV177" s="72" t="n">
        <v>7.63</v>
      </c>
      <c r="AW177" s="72" t="n">
        <v>-22.01</v>
      </c>
      <c r="AX177" s="72" t="n">
        <v>-5.79</v>
      </c>
      <c r="AY177" s="72" t="n">
        <v>-5.68</v>
      </c>
      <c r="AZ177" s="63" t="inlineStr">
        <is>
          <t>Hang Seng Index</t>
        </is>
      </c>
      <c r="BA177" s="72" t="n">
        <v>-52.45</v>
      </c>
      <c r="BB177" s="64" t="inlineStr">
        <is>
          <t>2026-08-28</t>
        </is>
      </c>
      <c r="BC177" s="65" t="n">
        <v>1419.5</v>
      </c>
      <c r="BD177" s="68" t="n">
        <v>368.9</v>
      </c>
      <c r="BE177" s="63" t="inlineStr">
        <is>
          <t>Y</t>
        </is>
      </c>
      <c r="BF177" s="74" t="n">
        <v>11.4</v>
      </c>
      <c r="BG177" s="74" t="n"/>
      <c r="BH177" s="74" t="n">
        <v>22.1</v>
      </c>
      <c r="BI177" s="74" t="n">
        <v>3</v>
      </c>
      <c r="BJ177" s="75">
        <f>IF('BBG Verify'!S177="","not filed — run on terminal",'BBG Verify'!S177)</f>
        <v/>
      </c>
      <c r="BK177" s="76" t="inlineStr">
        <is>
          <t>N</t>
        </is>
      </c>
      <c r="BL177" s="77">
        <f>IF('BBG Verify'!K177="","not filed — run on terminal",'BBG Verify'!K177)</f>
        <v/>
      </c>
      <c r="BM177" s="63" t="inlineStr">
        <is>
          <t>N/A</t>
        </is>
      </c>
      <c r="BN177" s="63" t="inlineStr">
        <is>
          <t>N/A</t>
        </is>
      </c>
      <c r="BO177" s="63" t="inlineStr">
        <is>
          <t>N/A</t>
        </is>
      </c>
      <c r="BP177" s="63" t="inlineStr">
        <is>
          <t>N/A</t>
        </is>
      </c>
      <c r="BQ177" s="63" t="inlineStr">
        <is>
          <t>N/A</t>
        </is>
      </c>
      <c r="BR177" s="63" t="inlineStr">
        <is>
          <t>N/A</t>
        </is>
      </c>
      <c r="BS177" s="76" t="inlineStr">
        <is>
          <t>China Merchants Securities (HK) Co., Limited</t>
        </is>
      </c>
      <c r="BT177" s="63" t="inlineStr">
        <is>
          <t>China Securities (International) Corporate Finance Company Limited; China Merchants Securities (HK) Company Limited</t>
        </is>
      </c>
      <c r="BU177" s="63" t="inlineStr">
        <is>
          <t>Valuable Capital Limited; China Everbright Securities (HK) Limited; CSFG International Securities Limited; Guosen Securities (HK) Capital Company Limited; uSmart Securities Limited; Tiger Brokers (HK) Global Limited; Futu Securities International (Hong Kong) Limited; Guotai Junan Securities (Hong Kong) Limited; Livermore Holdings Limited</t>
        </is>
      </c>
      <c r="BV177" s="63" t="inlineStr">
        <is>
          <t>China Everbright Securities (HK) Limited; China Merchants Securities (HK) Company Limited; China Securities (International) Corporate Finance Company Limited; Easy Securities Limited; Futu Securities International (Hong Kong) Limited; Guotai Junan Securities (Hong Kong) Limited; Guosen Securities (HK) Capital Company Limited; Livermore Holdings Limited; SDHG International Securities Limited; Tiger Brokers (HK) Global Limited</t>
        </is>
      </c>
      <c r="BW177" s="78">
        <f>HYPERLINK("https://www1.hkexnews.hk/listedco/listconews/sehk/2022/1230/2022123000047.pdf","prospectus")</f>
        <v/>
      </c>
      <c r="BX177" s="78">
        <f>HYPERLINK("https://www1.hkexnews.hk/listedco/listconews/sehk/2023/0118/2023011800042.htm","allotment")</f>
        <v/>
      </c>
      <c r="BY177" s="78">
        <f>HYPERLINK("https://www1.hkexnews.hk/listedco/listconews/sehk/2023/0212/2023021200017.pdf","stabilisation")</f>
        <v/>
      </c>
      <c r="BZ177" s="76" t="n"/>
      <c r="CA177" s="63" t="inlineStr">
        <is>
          <t>greenshoe: over-allotment outcome already published, and the allotment announcement does not state the stabilisation expiry in a parsable form — the expiry no longer matters once resolved · A/H: no A-share listing · grey market: no grey-market headline on file for this deal — AAStocks publishes one per listing but keeps only recent items on the stock's news page, and no public archive of past evening sessions exists; captured from this run onward</t>
        </is>
      </c>
    </row>
    <row r="178" ht="15" customHeight="1">
      <c r="A178" s="62" t="inlineStr">
        <is>
          <t>2450</t>
        </is>
      </c>
      <c r="B178" s="63" t="inlineStr">
        <is>
          <t>HUAIBEI GD CO</t>
        </is>
      </c>
      <c r="C178" s="63" t="inlineStr">
        <is>
          <t>淮北綠金股份</t>
        </is>
      </c>
      <c r="D178" s="63" t="inlineStr">
        <is>
          <t>Materials/Energy</t>
        </is>
      </c>
      <c r="E178" s="63" t="inlineStr">
        <is>
          <t>Chemicals</t>
        </is>
      </c>
      <c r="F178" s="63" t="inlineStr">
        <is>
          <t>Construction Materials</t>
        </is>
      </c>
      <c r="G178" s="63" t="inlineStr">
        <is>
          <t>Standard</t>
        </is>
      </c>
      <c r="H178" s="64" t="n">
        <v>44946</v>
      </c>
      <c r="I178" s="65" t="n">
        <v>126.1</v>
      </c>
      <c r="J178" s="63" t="inlineStr">
        <is>
          <t>gross (price x shares)</t>
        </is>
      </c>
      <c r="K178" s="66" t="n">
        <v>1.91</v>
      </c>
      <c r="L178" s="66" t="n">
        <v>2.31</v>
      </c>
      <c r="M178" s="66" t="n">
        <v>1.91</v>
      </c>
      <c r="N178" s="63" t="inlineStr">
        <is>
          <t>N</t>
        </is>
      </c>
      <c r="O178" s="67" t="n">
        <v>82.7</v>
      </c>
      <c r="P178" s="67" t="n">
        <v>0</v>
      </c>
      <c r="Q178" s="68" t="n">
        <v>504.3</v>
      </c>
      <c r="R178" s="63" t="inlineStr">
        <is>
          <t>prospectus:stated market capitalisation</t>
        </is>
      </c>
      <c r="S178" s="69" t="n">
        <v>12.26</v>
      </c>
      <c r="T178" s="70" t="n">
        <v>0.95</v>
      </c>
      <c r="U178" s="71" t="n">
        <v>0</v>
      </c>
      <c r="V178" s="68" t="n">
        <v>126.1</v>
      </c>
      <c r="W178" s="68" t="n">
        <v>66000000</v>
      </c>
      <c r="X178" s="67" t="n">
        <v>25</v>
      </c>
      <c r="Y178" s="63" t="n"/>
      <c r="Z178" s="63" t="n"/>
      <c r="AA178" s="67" t="n">
        <v>20</v>
      </c>
      <c r="AB178" s="72" t="n"/>
      <c r="AC178" s="66" t="n"/>
      <c r="AD178" s="72" t="n"/>
      <c r="AE178" s="63" t="n"/>
      <c r="AF178" s="63" t="n"/>
      <c r="AG178" s="63" t="inlineStr">
        <is>
          <t>lapsed (no over-allocation)</t>
        </is>
      </c>
      <c r="AH178" s="63" t="inlineStr">
        <is>
          <t>2023-02-12</t>
        </is>
      </c>
      <c r="AI178" s="63" t="inlineStr">
        <is>
          <t>China Everbright Securities</t>
        </is>
      </c>
      <c r="AJ178" s="63" t="inlineStr">
        <is>
          <t>China Everbright</t>
        </is>
      </c>
      <c r="AK178" s="73" t="n">
        <v>-44.5</v>
      </c>
      <c r="AL178" s="72" t="n">
        <v>-36.65</v>
      </c>
      <c r="AM178" s="72" t="n">
        <v>-12.39</v>
      </c>
      <c r="AN178" s="72" t="n">
        <v>-47.64</v>
      </c>
      <c r="AO178" s="72" t="n">
        <v>-57.59</v>
      </c>
      <c r="AP178" s="72" t="n">
        <v>-63.87</v>
      </c>
      <c r="AQ178" s="72" t="n">
        <v>-5.66</v>
      </c>
      <c r="AR178" s="72" t="n">
        <v>-23.59</v>
      </c>
      <c r="AS178" s="72" t="n">
        <v>-34.9</v>
      </c>
      <c r="AT178" s="72" t="n">
        <v>-50.94</v>
      </c>
      <c r="AU178" s="72" t="n">
        <v>-49.69</v>
      </c>
      <c r="AV178" s="72" t="n">
        <v>-52.12</v>
      </c>
      <c r="AW178" s="72" t="n">
        <v>-13.47</v>
      </c>
      <c r="AX178" s="72" t="n">
        <v>-7.9</v>
      </c>
      <c r="AY178" s="72" t="n">
        <v>-10.12</v>
      </c>
      <c r="AZ178" s="63" t="inlineStr">
        <is>
          <t>Hang Seng Commerce &amp; Industry sub-index</t>
        </is>
      </c>
      <c r="BA178" s="72" t="n">
        <v>596.86</v>
      </c>
      <c r="BB178" s="64" t="inlineStr">
        <is>
          <t>2026-08-28</t>
        </is>
      </c>
      <c r="BC178" s="65" t="n">
        <v>407.4</v>
      </c>
      <c r="BD178" s="68" t="n">
        <v>108.8</v>
      </c>
      <c r="BE178" s="63" t="inlineStr">
        <is>
          <t>Y</t>
        </is>
      </c>
      <c r="BF178" s="74" t="n">
        <v>4.6</v>
      </c>
      <c r="BG178" s="74" t="n"/>
      <c r="BH178" s="74" t="n"/>
      <c r="BI178" s="74" t="n">
        <v>1.2</v>
      </c>
      <c r="BJ178" s="75">
        <f>IF('BBG Verify'!S178="","not filed — run on terminal",'BBG Verify'!S178)</f>
        <v/>
      </c>
      <c r="BK178" s="76" t="inlineStr">
        <is>
          <t>N</t>
        </is>
      </c>
      <c r="BL178" s="77">
        <f>IF('BBG Verify'!K178="","not filed — run on terminal",'BBG Verify'!K178)</f>
        <v/>
      </c>
      <c r="BM178" s="63" t="inlineStr">
        <is>
          <t>N/A</t>
        </is>
      </c>
      <c r="BN178" s="63" t="inlineStr">
        <is>
          <t>N/A</t>
        </is>
      </c>
      <c r="BO178" s="63" t="inlineStr">
        <is>
          <t>N/A</t>
        </is>
      </c>
      <c r="BP178" s="63" t="inlineStr">
        <is>
          <t>N/A</t>
        </is>
      </c>
      <c r="BQ178" s="63" t="inlineStr">
        <is>
          <t>N/A</t>
        </is>
      </c>
      <c r="BR178" s="63" t="inlineStr">
        <is>
          <t>N/A</t>
        </is>
      </c>
      <c r="BS178" s="76" t="inlineStr">
        <is>
          <t>China Everbright Capital Limited</t>
        </is>
      </c>
      <c r="BT178" s="63" t="inlineStr">
        <is>
          <t>China Everbright Capital Limited</t>
        </is>
      </c>
      <c r="BU178" s="63" t="inlineStr">
        <is>
          <t>China Everbright Securities (HK) Limited; ABCI Capital Limited; BOCI Asia Limited; BOCOM International Securities Limited; China PA Securities (Hong Kong) Company Limited; Citrus Securities Limited; CMBC Securities Company Limited; Huaan Securities (Hong Kong) Brokerage Limited; ICBC International Securities Limited; SPDB International Capital Limited; Zhongtai International Securities Limited</t>
        </is>
      </c>
      <c r="BV178" s="63" t="inlineStr">
        <is>
          <t>ABCI Securities Company Limited; Beta International Securities Limited; BOCI Asia Limited; China Everbright Securities (HK) Limited; China Industrial Securities International Capital Limited; Citrus Securities Limited; CMBC Securities Company Limited; China PA Securities (Hong Kong) Company Limited; Huaan Securities (Hong Kong) Brokerage Limited; ICBC International Securities Limited; Livermore Holdings Limited; Maxa Capital Limited</t>
        </is>
      </c>
      <c r="BW178" s="78">
        <f>HYPERLINK("https://www1.hkexnews.hk/listedco/listconews/sehk/2022/1230/2022123000043.pdf","prospectus")</f>
        <v/>
      </c>
      <c r="BX178" s="78">
        <f>HYPERLINK("https://www1.hkexnews.hk/listedco/listconews/sehk/2023/0119/2023011900018.htm","allotment")</f>
        <v/>
      </c>
      <c r="BY178" s="78">
        <f>HYPERLINK("https://www1.hkexnews.hk/listedco/listconews/sehk/2023/0212/2023021200031.pdf","stabilisation")</f>
        <v/>
      </c>
      <c r="BZ178" s="76" t="n"/>
      <c r="CA178" s="63" t="inlineStr">
        <is>
          <t>A/H: no A-share listing · cornerstone list: no cornerstone tranche in this deal · grey market: no grey-market headline on file for this deal — AAStocks publishes one per listing but keeps only recent items on the stock's news page, and no public archive of past evening sessions exists; captured from this run onward</t>
        </is>
      </c>
    </row>
    <row r="179" ht="15" customHeight="1">
      <c r="A179" s="62" t="inlineStr">
        <is>
          <t>2482</t>
        </is>
      </c>
      <c r="B179" s="63" t="inlineStr">
        <is>
          <t>LOGORY</t>
        </is>
      </c>
      <c r="C179" s="63" t="inlineStr">
        <is>
          <t>維天運通</t>
        </is>
      </c>
      <c r="D179" s="63" t="inlineStr">
        <is>
          <t>Industrials</t>
        </is>
      </c>
      <c r="E179" s="63" t="inlineStr">
        <is>
          <t>Logistics</t>
        </is>
      </c>
      <c r="F179" s="63" t="inlineStr">
        <is>
          <t>Air Freight &amp; Logistics</t>
        </is>
      </c>
      <c r="G179" s="63" t="inlineStr">
        <is>
          <t>Standard</t>
        </is>
      </c>
      <c r="H179" s="64" t="n">
        <v>44994</v>
      </c>
      <c r="I179" s="65" t="n">
        <v>125.3</v>
      </c>
      <c r="J179" s="63" t="inlineStr">
        <is>
          <t>gross (price x shares)</t>
        </is>
      </c>
      <c r="K179" s="66" t="n">
        <v>2.9</v>
      </c>
      <c r="L179" s="66" t="n">
        <v>3.5</v>
      </c>
      <c r="M179" s="66" t="n">
        <v>2.9</v>
      </c>
      <c r="N179" s="63" t="inlineStr">
        <is>
          <t>N</t>
        </is>
      </c>
      <c r="O179" s="67" t="n">
        <v>82.90000000000001</v>
      </c>
      <c r="P179" s="67" t="n">
        <v>0</v>
      </c>
      <c r="Q179" s="68" t="n">
        <v>4735.2</v>
      </c>
      <c r="R179" s="63" t="inlineStr">
        <is>
          <t>aastocks:上市市值 at the struck price</t>
        </is>
      </c>
      <c r="S179" s="69" t="n">
        <v>23.09</v>
      </c>
      <c r="T179" s="70" t="n">
        <v>1.43</v>
      </c>
      <c r="U179" s="71" t="n">
        <v>65.2</v>
      </c>
      <c r="V179" s="68" t="n">
        <v>43.6</v>
      </c>
      <c r="W179" s="68" t="n">
        <v>15037428</v>
      </c>
      <c r="X179" s="67" t="n">
        <v>0.92</v>
      </c>
      <c r="Y179" s="63" t="inlineStr">
        <is>
          <t>Hefei Gaoxin Development &amp; Investment Group Co., Ltd; XINGTAI HOLDING COMPANY (HONG KONG) LIMITED</t>
        </is>
      </c>
      <c r="Z179" s="63" t="inlineStr">
        <is>
          <t>hefei;xingtai</t>
        </is>
      </c>
      <c r="AA179" s="67" t="n">
        <v>19.62</v>
      </c>
      <c r="AB179" s="72" t="n"/>
      <c r="AC179" s="66" t="n"/>
      <c r="AD179" s="72" t="n"/>
      <c r="AE179" s="63" t="n"/>
      <c r="AF179" s="63" t="n"/>
      <c r="AG179" s="63" t="inlineStr">
        <is>
          <t>lapsed (no over-allocation)</t>
        </is>
      </c>
      <c r="AH179" s="63" t="n"/>
      <c r="AI179" s="63" t="inlineStr">
        <is>
          <t>Haitong International Securities Company Limited</t>
        </is>
      </c>
      <c r="AJ179" s="63" t="inlineStr">
        <is>
          <t>Haitong</t>
        </is>
      </c>
      <c r="AK179" s="73" t="n">
        <v>-2.07</v>
      </c>
      <c r="AL179" s="72" t="n">
        <v>-3.1</v>
      </c>
      <c r="AM179" s="72" t="n">
        <v>1.06</v>
      </c>
      <c r="AN179" s="72" t="n">
        <v>-1.38</v>
      </c>
      <c r="AO179" s="72" t="n">
        <v>-4.48</v>
      </c>
      <c r="AP179" s="72" t="n">
        <v>-6.9</v>
      </c>
      <c r="AQ179" s="72" t="n">
        <v>0.7</v>
      </c>
      <c r="AR179" s="72" t="n">
        <v>-2.46</v>
      </c>
      <c r="AS179" s="72" t="n">
        <v>-4.93</v>
      </c>
      <c r="AT179" s="72" t="n">
        <v>2.92</v>
      </c>
      <c r="AU179" s="72" t="n">
        <v>-6.85</v>
      </c>
      <c r="AV179" s="72" t="n">
        <v>-3.69</v>
      </c>
      <c r="AW179" s="72" t="n">
        <v>-5.71</v>
      </c>
      <c r="AX179" s="72" t="n">
        <v>2.37</v>
      </c>
      <c r="AY179" s="72" t="n">
        <v>3.25</v>
      </c>
      <c r="AZ179" s="63" t="inlineStr">
        <is>
          <t>Hang Seng Commerce &amp; Industry sub-index</t>
        </is>
      </c>
      <c r="BA179" s="72" t="n">
        <v>-88.97</v>
      </c>
      <c r="BB179" s="64" t="inlineStr">
        <is>
          <t>2026-08-28</t>
        </is>
      </c>
      <c r="BC179" s="65" t="n">
        <v>6927</v>
      </c>
      <c r="BD179" s="68" t="n"/>
      <c r="BE179" s="63" t="inlineStr">
        <is>
          <t>Y</t>
        </is>
      </c>
      <c r="BF179" s="75">
        <f>IF('BBG Verify'!O179="","not filed — run on terminal",'BBG Verify'!O179)</f>
        <v/>
      </c>
      <c r="BG179" s="74" t="n"/>
      <c r="BH179" s="74" t="n">
        <v>8.4</v>
      </c>
      <c r="BI179" s="74" t="n">
        <v>0.7</v>
      </c>
      <c r="BJ179" s="75">
        <f>IF('BBG Verify'!S179="","not filed — run on terminal",'BBG Verify'!S179)</f>
        <v/>
      </c>
      <c r="BK179" s="76" t="inlineStr">
        <is>
          <t>N</t>
        </is>
      </c>
      <c r="BL179" s="77">
        <f>IF('BBG Verify'!K179="","not filed — run on terminal",'BBG Verify'!K179)</f>
        <v/>
      </c>
      <c r="BM179" s="63" t="inlineStr">
        <is>
          <t>N/A</t>
        </is>
      </c>
      <c r="BN179" s="63" t="inlineStr">
        <is>
          <t>N/A</t>
        </is>
      </c>
      <c r="BO179" s="63" t="inlineStr">
        <is>
          <t>N/A</t>
        </is>
      </c>
      <c r="BP179" s="63" t="inlineStr">
        <is>
          <t>N/A</t>
        </is>
      </c>
      <c r="BQ179" s="63" t="inlineStr">
        <is>
          <t>N/A</t>
        </is>
      </c>
      <c r="BR179" s="63" t="inlineStr">
        <is>
          <t>N/A</t>
        </is>
      </c>
      <c r="BS179" s="76" t="inlineStr">
        <is>
          <t>Haitong International Capital Limited; Haitong International Securities Company Limited</t>
        </is>
      </c>
      <c r="BT179" s="63" t="inlineStr">
        <is>
          <t>Haitong International Capital Limited</t>
        </is>
      </c>
      <c r="BU179" s="63" t="inlineStr">
        <is>
          <t>Haitong International Securities Company Limited; CLSA Limited</t>
        </is>
      </c>
      <c r="BV179" s="63" t="inlineStr">
        <is>
          <t>CLSA Limited; Haitong International Securities Company Limited; SDHG International Securities Limited; Sinomax Securities Limited; Valuable Capital Limited</t>
        </is>
      </c>
      <c r="BW179" s="78">
        <f>HYPERLINK("https://www1.hkexnews.hk/listedco/listconews/sehk/2023/0227/2023022700005.pdf","prospectus")</f>
        <v/>
      </c>
      <c r="BX179" s="78">
        <f>HYPERLINK("https://www1.hkexnews.hk/listedco/listconews/sehk/2023/0308/2023030800008.htm","allotment")</f>
        <v/>
      </c>
      <c r="BY179" s="78">
        <f>HYPERLINK("https://www1.hkexnews.hk/listedco/listconews/sehk/2023/0403/2023040300095.pdf","stabilisation")</f>
        <v/>
      </c>
      <c r="BZ179" s="76" t="n"/>
      <c r="CA179" s="63" t="inlineStr">
        <is>
          <t>P/E: withheld — mktcap / net income gives 3,157x, which fails the 300x plausibility check; the extracted net income (HK$1.5m) is not trustworthy · greenshoe: over-allotment outcome already published, and the allotment announcement does not state the stabilisation expiry in a parsable form — the expiry no longer matters once resolved · A/H: no A-share listing · market cap: estimate from deal size / offer % of enlarged capital disagreed with the published listing cap — published figure adopted · financials: financial tables not machine-extractable and the pre-IPO year is outside AAStocks' 5-year window · grey market: no grey-market headline on file for this deal — AAStocks publishes one per listing but keeps only recent items on the stock's news page, and no public archive of past evening sessions exists; captured from this run onward</t>
        </is>
      </c>
    </row>
    <row r="180" ht="15" customHeight="1">
      <c r="A180" s="62" t="inlineStr">
        <is>
          <t>9636</t>
        </is>
      </c>
      <c r="B180" s="63" t="inlineStr">
        <is>
          <t>JF WEALTH</t>
        </is>
      </c>
      <c r="C180" s="63" t="inlineStr">
        <is>
          <t>九方智投控股</t>
        </is>
      </c>
      <c r="D180" s="63" t="inlineStr">
        <is>
          <t>Financials</t>
        </is>
      </c>
      <c r="E180" s="63" t="inlineStr">
        <is>
          <t>Brokers / asset management</t>
        </is>
      </c>
      <c r="F180" s="63" t="inlineStr">
        <is>
          <t>Education Services</t>
        </is>
      </c>
      <c r="G180" s="63" t="inlineStr">
        <is>
          <t>Standard</t>
        </is>
      </c>
      <c r="H180" s="64" t="n">
        <v>44995</v>
      </c>
      <c r="I180" s="65" t="n">
        <v>1013.5</v>
      </c>
      <c r="J180" s="63" t="inlineStr">
        <is>
          <t>gross (price x shares)</t>
        </is>
      </c>
      <c r="K180" s="66" t="n">
        <v>16.98</v>
      </c>
      <c r="L180" s="66" t="n">
        <v>18.78</v>
      </c>
      <c r="M180" s="66" t="n">
        <v>17</v>
      </c>
      <c r="N180" s="63" t="inlineStr">
        <is>
          <t>N</t>
        </is>
      </c>
      <c r="O180" s="67" t="n">
        <v>90.5</v>
      </c>
      <c r="P180" s="67" t="n">
        <v>1.1</v>
      </c>
      <c r="Q180" s="68" t="n">
        <v>7908.8</v>
      </c>
      <c r="R180" s="63" t="inlineStr">
        <is>
          <t>prospectus:stated market capitalisation</t>
        </is>
      </c>
      <c r="S180" s="69" t="n">
        <v>2.59</v>
      </c>
      <c r="T180" s="70" t="n">
        <v>1.85</v>
      </c>
      <c r="U180" s="71" t="n">
        <v>7.75</v>
      </c>
      <c r="V180" s="68" t="n">
        <v>934.95</v>
      </c>
      <c r="W180" s="68" t="n">
        <v>54998066</v>
      </c>
      <c r="X180" s="67" t="n">
        <v>11.82</v>
      </c>
      <c r="Y180" s="63" t="inlineStr">
        <is>
          <t>Duke King Holdings Limited; Garland Glory Holdings Limited; New China Asset Management (Hong Kong) Limited; Orchid Asia V Co-Investment, Limited; Sichuan Hebang Investment Group Co., Ltd</t>
        </is>
      </c>
      <c r="Z180" s="63" t="inlineStr">
        <is>
          <t>duke;garland;new;orchid;sichuan</t>
        </is>
      </c>
      <c r="AA180" s="67" t="n">
        <v>10</v>
      </c>
      <c r="AB180" s="72" t="n"/>
      <c r="AC180" s="66" t="n"/>
      <c r="AD180" s="72" t="n"/>
      <c r="AE180" s="63" t="n"/>
      <c r="AF180" s="63" t="n"/>
      <c r="AG180" s="63" t="inlineStr">
        <is>
          <t>partial</t>
        </is>
      </c>
      <c r="AH180" s="63" t="inlineStr">
        <is>
          <t>2023-04-02</t>
        </is>
      </c>
      <c r="AI180" s="63" t="inlineStr">
        <is>
          <t>China International Capital Corporation Hong Kong Securities Limited</t>
        </is>
      </c>
      <c r="AJ180" s="63" t="inlineStr">
        <is>
          <t>China International</t>
        </is>
      </c>
      <c r="AK180" s="73" t="n">
        <v>0.82</v>
      </c>
      <c r="AL180" s="72" t="n">
        <v>0.12</v>
      </c>
      <c r="AM180" s="72" t="n">
        <v>0.7</v>
      </c>
      <c r="AN180" s="72" t="n">
        <v>-0.82</v>
      </c>
      <c r="AO180" s="72" t="n">
        <v>-7.65</v>
      </c>
      <c r="AP180" s="72" t="n">
        <v>-4.82</v>
      </c>
      <c r="AQ180" s="72" t="n">
        <v>-1.63</v>
      </c>
      <c r="AR180" s="72" t="n">
        <v>-8.4</v>
      </c>
      <c r="AS180" s="72" t="n">
        <v>-5.59</v>
      </c>
      <c r="AT180" s="72" t="n">
        <v>2.29</v>
      </c>
      <c r="AU180" s="72" t="n">
        <v>-7.31</v>
      </c>
      <c r="AV180" s="72" t="n">
        <v>-3.67</v>
      </c>
      <c r="AW180" s="72" t="n">
        <v>-10.95</v>
      </c>
      <c r="AX180" s="72" t="n">
        <v>-0.34</v>
      </c>
      <c r="AY180" s="72" t="n">
        <v>2.55</v>
      </c>
      <c r="AZ180" s="63" t="inlineStr">
        <is>
          <t>Hang Seng Finance sub-index</t>
        </is>
      </c>
      <c r="BA180" s="72" t="n">
        <v>67.76000000000001</v>
      </c>
      <c r="BB180" s="64" t="inlineStr">
        <is>
          <t>2026-08-28</t>
        </is>
      </c>
      <c r="BC180" s="65" t="n">
        <v>1597.1</v>
      </c>
      <c r="BD180" s="68" t="n">
        <v>255.6</v>
      </c>
      <c r="BE180" s="63" t="inlineStr">
        <is>
          <t>Y</t>
        </is>
      </c>
      <c r="BF180" s="74" t="n">
        <v>30.9</v>
      </c>
      <c r="BG180" s="74" t="n">
        <v>12.4</v>
      </c>
      <c r="BH180" s="74" t="n">
        <v>11.4</v>
      </c>
      <c r="BI180" s="74" t="n">
        <v>5</v>
      </c>
      <c r="BJ180" s="75">
        <f>IF('BBG Verify'!S180="","not filed — run on terminal",'BBG Verify'!S180)</f>
        <v/>
      </c>
      <c r="BK180" s="76" t="inlineStr">
        <is>
          <t>N</t>
        </is>
      </c>
      <c r="BL180" s="77">
        <f>IF('BBG Verify'!K180="","not filed — run on terminal",'BBG Verify'!K180)</f>
        <v/>
      </c>
      <c r="BM180" s="63" t="inlineStr">
        <is>
          <t>N/A</t>
        </is>
      </c>
      <c r="BN180" s="63" t="inlineStr">
        <is>
          <t>N/A</t>
        </is>
      </c>
      <c r="BO180" s="63" t="inlineStr">
        <is>
          <t>N/A</t>
        </is>
      </c>
      <c r="BP180" s="63" t="inlineStr">
        <is>
          <t>N/A</t>
        </is>
      </c>
      <c r="BQ180" s="63" t="inlineStr">
        <is>
          <t>N/A</t>
        </is>
      </c>
      <c r="BR180" s="63" t="inlineStr">
        <is>
          <t>N/A</t>
        </is>
      </c>
      <c r="BS180" s="76" t="n"/>
      <c r="BT180" s="63" t="inlineStr">
        <is>
          <t>China International Capital Corporation Hong Kong Securities Limited</t>
        </is>
      </c>
      <c r="BU180" s="63" t="inlineStr">
        <is>
          <t>China International Capital Corporation Hong Kong Securities Limited; BNP Paribas Securities (Asia) Limited; SPDB International Capital Limited; Huatai Financial Holdings (Hong Kong) Limited; Forthright Securities Company Limited; CCB International Capital Limited</t>
        </is>
      </c>
      <c r="BV180" s="63" t="inlineStr">
        <is>
          <t>BNP Paribas Securities (Asia) Limited; CCB International Capital Limited; China International Capital Corporation Hong Kong Securities Limited; Forthright Securities Company Limited; Futu Securities International (Hong Kong) Limited; Huatai Financial Holdings (Hong Kong) Limited; ICBC International Securities Limited; SPDB International Capital Limited; Tiger Brokers (HK) Global Limited; Valuable Capital Limited; Zhongtai International Securities Limited</t>
        </is>
      </c>
      <c r="BW180" s="78">
        <f>HYPERLINK("https://www1.hkexnews.hk/listedco/listconews/sehk/2023/0228/2023022800011.pdf","prospectus")</f>
        <v/>
      </c>
      <c r="BX180" s="78">
        <f>HYPERLINK("https://www1.hkexnews.hk/listedco/listconews/sehk/2023/0309/2023030900008.htm","allotment")</f>
        <v/>
      </c>
      <c r="BY180" s="78">
        <f>HYPERLINK("https://www1.hkexnews.hk/listedco/listconews/sehk/2023/0402/2023040200127.pdf","stabilisation")</f>
        <v/>
      </c>
      <c r="BZ180" s="76" t="n"/>
      <c r="CA180" s="63" t="inlineStr">
        <is>
          <t>A/H: no A-share listing · sponsor: English name not in the filing text; AAStocks 保薦人 shown · cornerstone: AAStocks institutional table includes non-cornerstone orders (superset) — cornerstone % is from the prospectus · grey market: no grey-market headline on file for this deal — AAStocks publishes one per listing but keeps only recent items on the stock's news page, and no public archive of past evening sessions exists; captured from this run onward</t>
        </is>
      </c>
    </row>
    <row r="181" ht="15" customHeight="1">
      <c r="A181" s="62" t="inlineStr">
        <is>
          <t>1405</t>
        </is>
      </c>
      <c r="B181" s="63" t="inlineStr">
        <is>
          <t>DPC DASH</t>
        </is>
      </c>
      <c r="C181" s="63" t="inlineStr">
        <is>
          <t>達勢股份</t>
        </is>
      </c>
      <c r="D181" s="63" t="inlineStr">
        <is>
          <t>Consumer</t>
        </is>
      </c>
      <c r="E181" s="63" t="inlineStr">
        <is>
          <t>F&amp;B chains / restaurants</t>
        </is>
      </c>
      <c r="F181" s="63" t="inlineStr">
        <is>
          <t>Restaurants</t>
        </is>
      </c>
      <c r="G181" s="63" t="inlineStr">
        <is>
          <t>Standard</t>
        </is>
      </c>
      <c r="H181" s="64" t="n">
        <v>45013</v>
      </c>
      <c r="I181" s="65" t="n">
        <v>588.8</v>
      </c>
      <c r="J181" s="63" t="inlineStr">
        <is>
          <t>gross (price x shares)</t>
        </is>
      </c>
      <c r="K181" s="66" t="n"/>
      <c r="L181" s="66" t="n">
        <v>46</v>
      </c>
      <c r="M181" s="66" t="n">
        <v>46</v>
      </c>
      <c r="N181" s="63" t="inlineStr">
        <is>
          <t>Y</t>
        </is>
      </c>
      <c r="O181" s="67" t="n">
        <v>100</v>
      </c>
      <c r="P181" s="67" t="n"/>
      <c r="Q181" s="68" t="n">
        <v>6539.9</v>
      </c>
      <c r="R181" s="63" t="inlineStr">
        <is>
          <t>aastocks:上市市值 at the struck price</t>
        </is>
      </c>
      <c r="S181" s="69" t="n">
        <v>0.45</v>
      </c>
      <c r="T181" s="70" t="n">
        <v>1.9</v>
      </c>
      <c r="U181" s="71" t="n"/>
      <c r="V181" s="68" t="n">
        <v>588.8</v>
      </c>
      <c r="W181" s="68" t="n">
        <v>12799000</v>
      </c>
      <c r="X181" s="67" t="n">
        <v>9</v>
      </c>
      <c r="Y181" s="63" t="n"/>
      <c r="Z181" s="63" t="n"/>
      <c r="AA181" s="67" t="n">
        <v>9.949999999999999</v>
      </c>
      <c r="AB181" s="72" t="n"/>
      <c r="AC181" s="66" t="n"/>
      <c r="AD181" s="72" t="n"/>
      <c r="AE181" s="63" t="n"/>
      <c r="AF181" s="63" t="n"/>
      <c r="AG181" s="63" t="inlineStr">
        <is>
          <t>partial</t>
        </is>
      </c>
      <c r="AH181" s="63" t="inlineStr">
        <is>
          <t>2023-04-20</t>
        </is>
      </c>
      <c r="AI181" s="63" t="inlineStr">
        <is>
          <t>Merrill Lynch</t>
        </is>
      </c>
      <c r="AJ181" s="63" t="inlineStr">
        <is>
          <t>Merrill Lynch</t>
        </is>
      </c>
      <c r="AK181" s="73" t="n">
        <v>-0.11</v>
      </c>
      <c r="AL181" s="72" t="n">
        <v>0</v>
      </c>
      <c r="AM181" s="72" t="n">
        <v>-0.11</v>
      </c>
      <c r="AN181" s="72" t="n">
        <v>22.83</v>
      </c>
      <c r="AO181" s="72" t="n">
        <v>17.72</v>
      </c>
      <c r="AP181" s="72" t="n">
        <v>13.8</v>
      </c>
      <c r="AQ181" s="72" t="n">
        <v>22.97</v>
      </c>
      <c r="AR181" s="72" t="n">
        <v>17.85</v>
      </c>
      <c r="AS181" s="72" t="n">
        <v>13.93</v>
      </c>
      <c r="AT181" s="72" t="n">
        <v>18.4</v>
      </c>
      <c r="AU181" s="72" t="n">
        <v>18.4</v>
      </c>
      <c r="AV181" s="72" t="n">
        <v>17.59</v>
      </c>
      <c r="AW181" s="72" t="n">
        <v>19.51</v>
      </c>
      <c r="AX181" s="72" t="n">
        <v>-0.68</v>
      </c>
      <c r="AY181" s="72" t="n">
        <v>-1.66</v>
      </c>
      <c r="AZ181" s="63" t="inlineStr">
        <is>
          <t>Hang Seng Commerce &amp; Industry sub-index</t>
        </is>
      </c>
      <c r="BA181" s="72" t="n">
        <v>-25.04</v>
      </c>
      <c r="BB181" s="64" t="inlineStr">
        <is>
          <t>2026-08-28</t>
        </is>
      </c>
      <c r="BC181" s="65" t="n">
        <v>2222.9</v>
      </c>
      <c r="BD181" s="68" t="n">
        <v>-244.9</v>
      </c>
      <c r="BE181" s="63" t="inlineStr">
        <is>
          <t>N</t>
        </is>
      </c>
      <c r="BF181" s="63" t="inlineStr">
        <is>
          <t>n/m</t>
        </is>
      </c>
      <c r="BG181" s="74" t="n"/>
      <c r="BH181" s="74" t="n">
        <v>30.1</v>
      </c>
      <c r="BI181" s="74" t="n">
        <v>2.9</v>
      </c>
      <c r="BJ181" s="75">
        <f>IF('BBG Verify'!S181="","not filed — run on terminal",'BBG Verify'!S181)</f>
        <v/>
      </c>
      <c r="BK181" s="76" t="inlineStr">
        <is>
          <t>N</t>
        </is>
      </c>
      <c r="BL181" s="77">
        <f>IF('BBG Verify'!K181="","not filed — run on terminal",'BBG Verify'!K181)</f>
        <v/>
      </c>
      <c r="BM181" s="63" t="inlineStr">
        <is>
          <t>N/A</t>
        </is>
      </c>
      <c r="BN181" s="63" t="inlineStr">
        <is>
          <t>N/A</t>
        </is>
      </c>
      <c r="BO181" s="63" t="inlineStr">
        <is>
          <t>N/A</t>
        </is>
      </c>
      <c r="BP181" s="63" t="inlineStr">
        <is>
          <t>N/A</t>
        </is>
      </c>
      <c r="BQ181" s="63" t="inlineStr">
        <is>
          <t>N/A</t>
        </is>
      </c>
      <c r="BR181" s="63" t="inlineStr">
        <is>
          <t>N/A</t>
        </is>
      </c>
      <c r="BS181" s="76" t="n"/>
      <c r="BT181" s="63" t="inlineStr">
        <is>
          <t>Merrill Lynch (Asia Pacific) Limited</t>
        </is>
      </c>
      <c r="BU181" s="63" t="inlineStr">
        <is>
          <t>DBS Asia Capital Limited; Merrill Lynch (Asia Pacific) Limited</t>
        </is>
      </c>
      <c r="BV181" s="63" t="inlineStr">
        <is>
          <t>DBS Asia Capital Limited; Merrill Lynch (Asia Pacific) Limited</t>
        </is>
      </c>
      <c r="BW181" s="78">
        <f>HYPERLINK("https://www1.hkexnews.hk/listedco/listconews/sehk/2023/0316/2023031600034.htm","prospectus")</f>
        <v/>
      </c>
      <c r="BX181" s="78">
        <f>HYPERLINK("https://www1.hkexnews.hk/listedco/listconews/sehk/2023/0327/2023032700030.htm","allotment")</f>
        <v/>
      </c>
      <c r="BY181" s="78">
        <f>HYPERLINK("https://www1.hkexnews.hk/listedco/listconews/sehk/2023/0420/2023042000559.pdf","stabilisation")</f>
        <v/>
      </c>
      <c r="BZ181" s="76" t="n"/>
      <c r="CA181" s="63" t="inlineStr">
        <is>
          <t>P/E: n/m — loss-making at IPO (use P/S) · price range: fixed-price offering (no indicative range) · range low: cap-only pricing — the filing publishes a Maximum Offer Price and no indicative floor · A/H: no A-share listing · sponsor: English name not in the filing text; AAStocks 保薦人 shown · market cap: estimate from stated market capitalisation, rescaled to the offer price disagreed with the published listing cap — published figure adopted · cornerstone list: cornerstone section not machine-extractable — see the prospectus link · cornerstone %: cornerstone aggregate not stated in the filing · grey market: no grey-market headline on file for this deal — AAStocks publishes one per listing but keeps only recent items on the stock's news page, and no public archive of past evening sessions exists; captured from this run onward</t>
        </is>
      </c>
    </row>
    <row r="182" ht="15" customHeight="1">
      <c r="A182" s="62" t="inlineStr">
        <is>
          <t>2409</t>
        </is>
      </c>
      <c r="B182" s="63" t="inlineStr">
        <is>
          <t>SEACON</t>
        </is>
      </c>
      <c r="C182" s="63" t="inlineStr">
        <is>
          <t>洲際船務</t>
        </is>
      </c>
      <c r="D182" s="63" t="inlineStr">
        <is>
          <t>Industrials</t>
        </is>
      </c>
      <c r="E182" s="63" t="inlineStr">
        <is>
          <t>Logistics</t>
        </is>
      </c>
      <c r="F182" s="63" t="inlineStr">
        <is>
          <t>Marine Ports &amp; Services</t>
        </is>
      </c>
      <c r="G182" s="63" t="inlineStr">
        <is>
          <t>Standard</t>
        </is>
      </c>
      <c r="H182" s="64" t="n">
        <v>45014</v>
      </c>
      <c r="I182" s="65" t="n">
        <v>408.8</v>
      </c>
      <c r="J182" s="63" t="inlineStr">
        <is>
          <t>gross (price x shares)</t>
        </is>
      </c>
      <c r="K182" s="66" t="n">
        <v>3.27</v>
      </c>
      <c r="L182" s="66" t="n">
        <v>3.91</v>
      </c>
      <c r="M182" s="66" t="n">
        <v>3.27</v>
      </c>
      <c r="N182" s="63" t="inlineStr">
        <is>
          <t>N</t>
        </is>
      </c>
      <c r="O182" s="67" t="n">
        <v>83.59999999999999</v>
      </c>
      <c r="P182" s="67" t="n">
        <v>0</v>
      </c>
      <c r="Q182" s="68" t="n">
        <v>1635.2</v>
      </c>
      <c r="R182" s="63" t="inlineStr">
        <is>
          <t>derived:deal size / offer % of enlarged capital</t>
        </is>
      </c>
      <c r="S182" s="69" t="n">
        <v>1.14</v>
      </c>
      <c r="T182" s="70" t="n">
        <v>1.09</v>
      </c>
      <c r="U182" s="71" t="n">
        <v>19.96</v>
      </c>
      <c r="V182" s="68" t="n">
        <v>327.2</v>
      </c>
      <c r="W182" s="68" t="n">
        <v>100050000</v>
      </c>
      <c r="X182" s="67" t="n">
        <v>20.01</v>
      </c>
      <c r="Y182" s="63" t="inlineStr">
        <is>
          <t>Danube Bridge Shipping Limited; Guodian Shipping (Hong Kong) Company Limited; Huzhou Wuxing Tourism Development Co., Ltd</t>
        </is>
      </c>
      <c r="Z182" s="63" t="inlineStr">
        <is>
          <t>danube;guodian;huzhou</t>
        </is>
      </c>
      <c r="AA182" s="67" t="n">
        <v>15</v>
      </c>
      <c r="AB182" s="72" t="n"/>
      <c r="AC182" s="66" t="n"/>
      <c r="AD182" s="72" t="n"/>
      <c r="AE182" s="63" t="n"/>
      <c r="AF182" s="63" t="n"/>
      <c r="AG182" s="63" t="inlineStr">
        <is>
          <t>lapsed</t>
        </is>
      </c>
      <c r="AH182" s="63" t="inlineStr">
        <is>
          <t>2023-04-16</t>
        </is>
      </c>
      <c r="AI182" s="63" t="inlineStr">
        <is>
          <t>Zhongtai International Securities Limited</t>
        </is>
      </c>
      <c r="AJ182" s="63" t="inlineStr">
        <is>
          <t>Zhongtai</t>
        </is>
      </c>
      <c r="AK182" s="73" t="n">
        <v>-21.1</v>
      </c>
      <c r="AL182" s="72" t="n">
        <v>0.31</v>
      </c>
      <c r="AM182" s="72" t="n">
        <v>-21.34</v>
      </c>
      <c r="AN182" s="72" t="n">
        <v>-7.65</v>
      </c>
      <c r="AO182" s="72" t="n">
        <v>-13.76</v>
      </c>
      <c r="AP182" s="72" t="n">
        <v>-5.81</v>
      </c>
      <c r="AQ182" s="72" t="n">
        <v>17.05</v>
      </c>
      <c r="AR182" s="72" t="n">
        <v>9.300000000000001</v>
      </c>
      <c r="AS182" s="72" t="n">
        <v>19.38</v>
      </c>
      <c r="AT182" s="72" t="n">
        <v>-11.46</v>
      </c>
      <c r="AU182" s="72" t="n">
        <v>-10.65</v>
      </c>
      <c r="AV182" s="72" t="n">
        <v>-1.93</v>
      </c>
      <c r="AW182" s="72" t="n">
        <v>15.1</v>
      </c>
      <c r="AX182" s="72" t="n">
        <v>-3.11</v>
      </c>
      <c r="AY182" s="72" t="n">
        <v>-5.8</v>
      </c>
      <c r="AZ182" s="63" t="inlineStr">
        <is>
          <t>Hang Seng Commerce &amp; Industry sub-index</t>
        </is>
      </c>
      <c r="BA182" s="72" t="n">
        <v>33.33</v>
      </c>
      <c r="BB182" s="64" t="inlineStr">
        <is>
          <t>2026-08-28</t>
        </is>
      </c>
      <c r="BC182" s="65" t="n">
        <v>2907.4</v>
      </c>
      <c r="BD182" s="68" t="n">
        <v>312</v>
      </c>
      <c r="BE182" s="63" t="inlineStr">
        <is>
          <t>Y</t>
        </is>
      </c>
      <c r="BF182" s="74" t="n">
        <v>5.2</v>
      </c>
      <c r="BG182" s="74" t="n">
        <v>2.2</v>
      </c>
      <c r="BH182" s="74" t="n">
        <v>7.5</v>
      </c>
      <c r="BI182" s="74" t="n">
        <v>0.6</v>
      </c>
      <c r="BJ182" s="75">
        <f>IF('BBG Verify'!S182="","not filed — run on terminal",'BBG Verify'!S182)</f>
        <v/>
      </c>
      <c r="BK182" s="76" t="inlineStr">
        <is>
          <t>N</t>
        </is>
      </c>
      <c r="BL182" s="77">
        <f>IF('BBG Verify'!K182="","not filed — run on terminal",'BBG Verify'!K182)</f>
        <v/>
      </c>
      <c r="BM182" s="63" t="inlineStr">
        <is>
          <t>N/A</t>
        </is>
      </c>
      <c r="BN182" s="63" t="inlineStr">
        <is>
          <t>N/A</t>
        </is>
      </c>
      <c r="BO182" s="63" t="inlineStr">
        <is>
          <t>N/A</t>
        </is>
      </c>
      <c r="BP182" s="63" t="inlineStr">
        <is>
          <t>N/A</t>
        </is>
      </c>
      <c r="BQ182" s="63" t="inlineStr">
        <is>
          <t>N/A</t>
        </is>
      </c>
      <c r="BR182" s="63" t="inlineStr">
        <is>
          <t>N/A</t>
        </is>
      </c>
      <c r="BS182" s="76" t="inlineStr">
        <is>
          <t>Zhongtai International Capital Limited</t>
        </is>
      </c>
      <c r="BT182" s="63" t="inlineStr">
        <is>
          <t>Zhongtai International Capital Limited</t>
        </is>
      </c>
      <c r="BU182" s="63" t="inlineStr">
        <is>
          <t>Zhongtai International Securities Limited; Shenwan Hongyuan Securities (H.K.) Limited; Citrus Securities Limited; BOCOM International Securities Limited</t>
        </is>
      </c>
      <c r="BV182" s="63" t="inlineStr">
        <is>
          <t>Beta International Securities Limited; Citrus Securities Limited; CMBC Securities Company Limited; Futu Securities International (Hong Kong) Limited; Shenwan Hongyuan Capital (H.K.) Limited; Valuable Capital Limited; Zhongtai International Securities Limited</t>
        </is>
      </c>
      <c r="BW182" s="78">
        <f>HYPERLINK("https://www1.hkexnews.hk/listedco/listconews/sehk/2023/0314/2023031400009.pdf","prospectus")</f>
        <v/>
      </c>
      <c r="BX182" s="78">
        <f>HYPERLINK("https://www1.hkexnews.hk/listedco/listconews/sehk/2023/0328/2023032800038.htm","allotment")</f>
        <v/>
      </c>
      <c r="BY182" s="78">
        <f>HYPERLINK("https://www1.hkexnews.hk/listedco/listconews/sehk/2023/0416/2023041600007.pdf","stabilisation")</f>
        <v/>
      </c>
      <c r="BZ182" s="76" t="n"/>
      <c r="CA182" s="63" t="inlineStr">
        <is>
          <t>A/H: no A-share listing · grey market: no grey-market headline on file for this deal — AAStocks publishes one per listing but keeps only recent items on the stock's news page, and no public archive of past evening sessions exists; captured from this run onward</t>
        </is>
      </c>
    </row>
    <row r="183" ht="15" customHeight="1">
      <c r="A183" s="62" t="inlineStr">
        <is>
          <t>2433</t>
        </is>
      </c>
      <c r="B183" s="63" t="inlineStr">
        <is>
          <t>ZT HN GROUP</t>
        </is>
      </c>
      <c r="C183" s="63" t="inlineStr">
        <is>
          <t>中天湖南集團</t>
        </is>
      </c>
      <c r="D183" s="63" t="inlineStr">
        <is>
          <t>Industrials</t>
        </is>
      </c>
      <c r="E183" s="63" t="inlineStr">
        <is>
          <t>Construction / engineering</t>
        </is>
      </c>
      <c r="F183" s="63" t="inlineStr">
        <is>
          <t>Building Construction</t>
        </is>
      </c>
      <c r="G183" s="63" t="inlineStr">
        <is>
          <t>Standard</t>
        </is>
      </c>
      <c r="H183" s="64" t="n">
        <v>45015</v>
      </c>
      <c r="I183" s="65" t="n">
        <v>141.6</v>
      </c>
      <c r="J183" s="63" t="inlineStr">
        <is>
          <t>gross (price x shares)</t>
        </is>
      </c>
      <c r="K183" s="66" t="n"/>
      <c r="L183" s="66" t="n">
        <v>1.18</v>
      </c>
      <c r="M183" s="66" t="n">
        <v>1.18</v>
      </c>
      <c r="N183" s="63" t="inlineStr">
        <is>
          <t>Y</t>
        </is>
      </c>
      <c r="O183" s="67" t="n">
        <v>100</v>
      </c>
      <c r="P183" s="67" t="n"/>
      <c r="Q183" s="68" t="n">
        <v>566.4</v>
      </c>
      <c r="R183" s="63" t="inlineStr">
        <is>
          <t>aastocks:上市市值 at the struck price</t>
        </is>
      </c>
      <c r="S183" s="69" t="n">
        <v>10.62</v>
      </c>
      <c r="T183" s="70" t="n">
        <v>1.01</v>
      </c>
      <c r="U183" s="71" t="n"/>
      <c r="V183" s="68" t="n">
        <v>141.6</v>
      </c>
      <c r="W183" s="68" t="n">
        <v>120000000</v>
      </c>
      <c r="X183" s="67" t="n">
        <v>25</v>
      </c>
      <c r="Y183" s="63" t="n"/>
      <c r="Z183" s="63" t="n"/>
      <c r="AA183" s="67" t="n"/>
      <c r="AB183" s="72" t="n"/>
      <c r="AC183" s="66" t="n"/>
      <c r="AD183" s="72" t="n"/>
      <c r="AE183" s="63" t="n"/>
      <c r="AF183" s="63" t="n"/>
      <c r="AG183" s="63" t="inlineStr">
        <is>
          <t>lapsed (no over-allocation)</t>
        </is>
      </c>
      <c r="AH183" s="63" t="n"/>
      <c r="AI183" s="63" t="inlineStr">
        <is>
          <t>CMBC Securities</t>
        </is>
      </c>
      <c r="AJ183" s="63" t="inlineStr">
        <is>
          <t>CMBC</t>
        </is>
      </c>
      <c r="AK183" s="73" t="n">
        <v>126.27</v>
      </c>
      <c r="AL183" s="72" t="n">
        <v>147.46</v>
      </c>
      <c r="AM183" s="72" t="n">
        <v>-8.56</v>
      </c>
      <c r="AN183" s="72" t="n">
        <v>77.12</v>
      </c>
      <c r="AO183" s="72" t="n">
        <v>22.03</v>
      </c>
      <c r="AP183" s="72" t="n">
        <v>-62.29</v>
      </c>
      <c r="AQ183" s="72" t="n">
        <v>-21.72</v>
      </c>
      <c r="AR183" s="72" t="n">
        <v>-46.07</v>
      </c>
      <c r="AS183" s="72" t="n">
        <v>-83.33</v>
      </c>
      <c r="AT183" s="72" t="n">
        <v>75.79000000000001</v>
      </c>
      <c r="AU183" s="72" t="n">
        <v>27.11</v>
      </c>
      <c r="AV183" s="72" t="n">
        <v>-54.32</v>
      </c>
      <c r="AW183" s="72" t="n">
        <v>-40.11</v>
      </c>
      <c r="AX183" s="72" t="n">
        <v>-5.08</v>
      </c>
      <c r="AY183" s="72" t="n">
        <v>-5.96</v>
      </c>
      <c r="AZ183" s="63" t="inlineStr">
        <is>
          <t>Hang Seng Commerce &amp; Industry sub-index</t>
        </is>
      </c>
      <c r="BA183" s="72" t="n">
        <v>-94.06999999999999</v>
      </c>
      <c r="BB183" s="64" t="inlineStr">
        <is>
          <t>2026-08-28</t>
        </is>
      </c>
      <c r="BC183" s="65" t="n"/>
      <c r="BD183" s="68" t="n"/>
      <c r="BE183" s="63" t="inlineStr">
        <is>
          <t>Y</t>
        </is>
      </c>
      <c r="BF183" s="75">
        <f>IF('BBG Verify'!O183="","not filed — run on terminal",'BBG Verify'!O183)</f>
        <v/>
      </c>
      <c r="BG183" s="74" t="n"/>
      <c r="BH183" s="74" t="n"/>
      <c r="BI183" s="74" t="n"/>
      <c r="BJ183" s="75">
        <f>IF('BBG Verify'!S183="","not filed — run on terminal",'BBG Verify'!S183)</f>
        <v/>
      </c>
      <c r="BK183" s="76" t="inlineStr">
        <is>
          <t>N</t>
        </is>
      </c>
      <c r="BL183" s="77">
        <f>IF('BBG Verify'!K183="","not filed — run on terminal",'BBG Verify'!K183)</f>
        <v/>
      </c>
      <c r="BM183" s="63" t="inlineStr">
        <is>
          <t>N/A</t>
        </is>
      </c>
      <c r="BN183" s="63" t="inlineStr">
        <is>
          <t>N/A</t>
        </is>
      </c>
      <c r="BO183" s="63" t="inlineStr">
        <is>
          <t>N/A</t>
        </is>
      </c>
      <c r="BP183" s="63" t="inlineStr">
        <is>
          <t>N/A</t>
        </is>
      </c>
      <c r="BQ183" s="63" t="inlineStr">
        <is>
          <t>N/A</t>
        </is>
      </c>
      <c r="BR183" s="63" t="inlineStr">
        <is>
          <t>N/A</t>
        </is>
      </c>
      <c r="BS183" s="76" t="n"/>
      <c r="BT183" s="63" t="inlineStr">
        <is>
          <t>Grande Capital Limited</t>
        </is>
      </c>
      <c r="BU183" s="63" t="inlineStr">
        <is>
          <t>Alliance Capital Partners Limited; Beta International Securities Limited; China Everbright Securities (HK) Limited; ChaoShang Securities Limited; CMBC Securities Company Limited; Eddid Securities and Futures Limited</t>
        </is>
      </c>
      <c r="BV183" s="63" t="inlineStr">
        <is>
          <t>Alliance Capital Partners Limited; Beta International Securities Limited; China Everbright Securities (HK) Limited; ChaoShang Securities Limited; CMBC Securities Company Limited; Eddid Securities and Futures Limited; Grande Capital Limited; I Win Securities Limited; Leeds Securities Investment Limited; Maxa Capital Limited; SPDB International Capital Limited; Soochow Securities International Brokerage Limited</t>
        </is>
      </c>
      <c r="BW183" s="78">
        <f>HYPERLINK("https://www1.hkexnews.hk/listedco/listconews/sehk/2023/0320/2023032000008.htm","prospectus")</f>
        <v/>
      </c>
      <c r="BX183" s="78">
        <f>HYPERLINK("https://www1.hkexnews.hk/listedco/listconews/sehk/2023/0329/2023032900042.htm","allotment")</f>
        <v/>
      </c>
      <c r="BY183" s="78">
        <f>HYPERLINK("https://www1.hkexnews.hk/listedco/listconews/sehk/2023/0424/2023042400020.pdf","stabilisation")</f>
        <v/>
      </c>
      <c r="BZ183" s="76" t="n"/>
      <c r="CA183" s="63" t="inlineStr">
        <is>
          <t>P/E: net income not stated in extractable form · greenshoe: over-allotment outcome already published, and the allotment announcement does not state the stabilisation expiry in a parsable form — the expiry no longer matters once resolved · price range: fixed-price offering (no indicative range) · range low: cap-only pricing — the filing publishes a Maximum Offer Price and no indicative floor · A/H: no A-share listing · sponsor: English name not in the filing text; AAStocks 保薦人 shown · cornerstone list: cornerstone section not machine-extractable — see the prospectus link · cornerstone %: cornerstone aggregate not stated in the filing · greenshoe size: no over-allotment option in the offer structure · P/S: revenue not extractable · financials rejected: latest-FY net income (HK$2,223.1m) exceeds revenue (HK$2,005.7m) — the extracted pair is inconsistent, so both figures and the multiples derived from them are withheld · grey market: no grey-market headline on file for this deal — AAStocks publishes one per listing but keeps only recent items on the stock's news page, and no public archive of past evening sessions exists; captured from this run onward</t>
        </is>
      </c>
    </row>
    <row r="184" ht="15" customHeight="1">
      <c r="A184" s="62" t="inlineStr">
        <is>
          <t>2405</t>
        </is>
      </c>
      <c r="B184" s="63" t="inlineStr">
        <is>
          <t>POWERWIN TECH</t>
        </is>
      </c>
      <c r="C184" s="63" t="inlineStr">
        <is>
          <t>力盟科技</t>
        </is>
      </c>
      <c r="D184" s="63" t="inlineStr">
        <is>
          <t>TMT-other</t>
        </is>
      </c>
      <c r="E184" s="63" t="inlineStr">
        <is>
          <t>Media / advertising</t>
        </is>
      </c>
      <c r="F184" s="63" t="inlineStr">
        <is>
          <t>Advertising</t>
        </is>
      </c>
      <c r="G184" s="63" t="inlineStr">
        <is>
          <t>Standard</t>
        </is>
      </c>
      <c r="H184" s="64" t="n">
        <v>45016</v>
      </c>
      <c r="I184" s="65" t="n">
        <v>140</v>
      </c>
      <c r="J184" s="63" t="inlineStr">
        <is>
          <t>gross (price x shares)</t>
        </is>
      </c>
      <c r="K184" s="66" t="n"/>
      <c r="L184" s="66" t="n">
        <v>0.75</v>
      </c>
      <c r="M184" s="66" t="n">
        <v>0.7</v>
      </c>
      <c r="N184" s="63" t="inlineStr">
        <is>
          <t>N</t>
        </is>
      </c>
      <c r="O184" s="67" t="n">
        <v>93.3</v>
      </c>
      <c r="P184" s="67" t="n"/>
      <c r="Q184" s="68" t="n">
        <v>520</v>
      </c>
      <c r="R184" s="63" t="inlineStr">
        <is>
          <t>prospectus:stated market capitalisation</t>
        </is>
      </c>
      <c r="S184" s="69" t="n">
        <v>13.47</v>
      </c>
      <c r="T184" s="70" t="n">
        <v>1.45</v>
      </c>
      <c r="U184" s="71" t="n"/>
      <c r="V184" s="68" t="n">
        <v>140</v>
      </c>
      <c r="W184" s="68" t="n">
        <v>200000000</v>
      </c>
      <c r="X184" s="67" t="n">
        <v>26.92</v>
      </c>
      <c r="Y184" s="63" t="n"/>
      <c r="Z184" s="63" t="n"/>
      <c r="AA184" s="67" t="n">
        <v>20</v>
      </c>
      <c r="AB184" s="72" t="n"/>
      <c r="AC184" s="66" t="n"/>
      <c r="AD184" s="72" t="n"/>
      <c r="AE184" s="63" t="n"/>
      <c r="AF184" s="63" t="n"/>
      <c r="AG184" s="63" t="inlineStr">
        <is>
          <t>lapsed (no over-allocation)</t>
        </is>
      </c>
      <c r="AH184" s="63" t="inlineStr">
        <is>
          <t>2023-04-23</t>
        </is>
      </c>
      <c r="AI184" s="63" t="inlineStr">
        <is>
          <t>GF Securities</t>
        </is>
      </c>
      <c r="AJ184" s="63" t="inlineStr">
        <is>
          <t>GF</t>
        </is>
      </c>
      <c r="AK184" s="73" t="n">
        <v>20</v>
      </c>
      <c r="AL184" s="72" t="n">
        <v>8.57</v>
      </c>
      <c r="AM184" s="72" t="n">
        <v>10.53</v>
      </c>
      <c r="AN184" s="72" t="n">
        <v>50</v>
      </c>
      <c r="AO184" s="72" t="n">
        <v>128.57</v>
      </c>
      <c r="AP184" s="72" t="n">
        <v>385.71</v>
      </c>
      <c r="AQ184" s="72" t="n">
        <v>25</v>
      </c>
      <c r="AR184" s="72" t="n">
        <v>90.47</v>
      </c>
      <c r="AS184" s="72" t="n">
        <v>304.76</v>
      </c>
      <c r="AT184" s="72" t="n">
        <v>50</v>
      </c>
      <c r="AU184" s="72" t="n">
        <v>129.85</v>
      </c>
      <c r="AV184" s="72" t="n">
        <v>394.46</v>
      </c>
      <c r="AW184" s="72" t="n">
        <v>92.19</v>
      </c>
      <c r="AX184" s="72" t="n">
        <v>-1.28</v>
      </c>
      <c r="AY184" s="72" t="n">
        <v>-1.72</v>
      </c>
      <c r="AZ184" s="63" t="inlineStr">
        <is>
          <t>Hang Seng Index</t>
        </is>
      </c>
      <c r="BA184" s="72" t="n">
        <v>-52.14</v>
      </c>
      <c r="BB184" s="64" t="inlineStr">
        <is>
          <t>2026-08-28</t>
        </is>
      </c>
      <c r="BC184" s="65" t="n">
        <v>111.9</v>
      </c>
      <c r="BD184" s="68" t="n">
        <v>45</v>
      </c>
      <c r="BE184" s="63" t="inlineStr">
        <is>
          <t>Y</t>
        </is>
      </c>
      <c r="BF184" s="74" t="n">
        <v>11.6</v>
      </c>
      <c r="BG184" s="74" t="n"/>
      <c r="BH184" s="74" t="n"/>
      <c r="BI184" s="74" t="n">
        <v>4.6</v>
      </c>
      <c r="BJ184" s="75">
        <f>IF('BBG Verify'!S184="","not filed — run on terminal",'BBG Verify'!S184)</f>
        <v/>
      </c>
      <c r="BK184" s="76" t="inlineStr">
        <is>
          <t>N</t>
        </is>
      </c>
      <c r="BL184" s="77">
        <f>IF('BBG Verify'!K184="","not filed — run on terminal",'BBG Verify'!K184)</f>
        <v/>
      </c>
      <c r="BM184" s="63" t="inlineStr">
        <is>
          <t>N/A</t>
        </is>
      </c>
      <c r="BN184" s="63" t="inlineStr">
        <is>
          <t>N/A</t>
        </is>
      </c>
      <c r="BO184" s="63" t="inlineStr">
        <is>
          <t>N/A</t>
        </is>
      </c>
      <c r="BP184" s="63" t="inlineStr">
        <is>
          <t>N/A</t>
        </is>
      </c>
      <c r="BQ184" s="63" t="inlineStr">
        <is>
          <t>N/A</t>
        </is>
      </c>
      <c r="BR184" s="63" t="inlineStr">
        <is>
          <t>N/A</t>
        </is>
      </c>
      <c r="BS184" s="76" t="inlineStr">
        <is>
          <t>GF Capital (Hong Kong) Limited</t>
        </is>
      </c>
      <c r="BT184" s="63" t="inlineStr">
        <is>
          <t>GF Capital (Hong Kong) Limited</t>
        </is>
      </c>
      <c r="BU184" s="63" t="inlineStr">
        <is>
          <t>GF Securities (Hong Kong) Brokerage Limited; First Capital Securities Limited; Maxa Capital Limited; China Everbright Securities (HK) Limited</t>
        </is>
      </c>
      <c r="BV184" s="63" t="inlineStr">
        <is>
          <t>China Everbright Securities (HK) Limited; First Capital Securities Limited; GF Securities (Hong Kong) Brokerage Limited; Maxa Capital Limited</t>
        </is>
      </c>
      <c r="BW184" s="78">
        <f>HYPERLINK("https://www1.hkexnews.hk/listedco/listconews/sehk/2023/0321/2023032100009.pdf","prospectus")</f>
        <v/>
      </c>
      <c r="BX184" s="78">
        <f>HYPERLINK("https://www1.hkexnews.hk/listedco/listconews/sehk/2023/0330/2023033000098.htm","allotment")</f>
        <v/>
      </c>
      <c r="BY184" s="78">
        <f>HYPERLINK("https://www1.hkexnews.hk/listedco/listconews/sehk/2023/0423/2023042300029.pdf","stabilisation")</f>
        <v/>
      </c>
      <c r="BZ184" s="76" t="n"/>
      <c r="CA184" s="63" t="inlineStr">
        <is>
          <t>range low: cap-only pricing — the filing publishes a Maximum Offer Price and no indicative floor · A/H: no A-share listing · cornerstone list: cornerstone section not machine-extractable — see the prospectus link · cornerstone %: cornerstone aggregate not stated in the filing · grey market: no grey-market headline on file for this deal — AAStocks publishes one per listing but keeps only recent items on the stock's news page, and no public archive of past evening sessions exists; captured from this run onward</t>
        </is>
      </c>
    </row>
    <row r="185" ht="15" customHeight="1">
      <c r="A185" s="62" t="inlineStr">
        <is>
          <t>2439</t>
        </is>
      </c>
      <c r="B185" s="63" t="inlineStr">
        <is>
          <t>CH TREASURES NM</t>
        </is>
      </c>
      <c r="C185" s="63" t="inlineStr">
        <is>
          <t>中寶新材</t>
        </is>
      </c>
      <c r="D185" s="63" t="inlineStr">
        <is>
          <t>Materials/Energy</t>
        </is>
      </c>
      <c r="E185" s="63" t="inlineStr">
        <is>
          <t>Chemicals</t>
        </is>
      </c>
      <c r="F185" s="63" t="inlineStr">
        <is>
          <t>Environmental Goods</t>
        </is>
      </c>
      <c r="G185" s="63" t="inlineStr">
        <is>
          <t>Standard</t>
        </is>
      </c>
      <c r="H185" s="64" t="n">
        <v>45016</v>
      </c>
      <c r="I185" s="65" t="n">
        <v>262.5</v>
      </c>
      <c r="J185" s="63" t="inlineStr">
        <is>
          <t>gross (price x shares)</t>
        </is>
      </c>
      <c r="K185" s="66" t="n"/>
      <c r="L185" s="66" t="n">
        <v>1.05</v>
      </c>
      <c r="M185" s="66" t="n">
        <v>1.05</v>
      </c>
      <c r="N185" s="63" t="inlineStr">
        <is>
          <t>Y</t>
        </is>
      </c>
      <c r="O185" s="67" t="n">
        <v>100</v>
      </c>
      <c r="P185" s="67" t="n"/>
      <c r="Q185" s="68" t="n">
        <v>1200</v>
      </c>
      <c r="R185" s="63" t="inlineStr">
        <is>
          <t>aastocks:上市市值 at the struck price</t>
        </is>
      </c>
      <c r="S185" s="69" t="n">
        <v>6.33</v>
      </c>
      <c r="T185" s="70" t="n">
        <v>6.33</v>
      </c>
      <c r="U185" s="71" t="n">
        <v>48.7</v>
      </c>
      <c r="V185" s="68" t="n">
        <v>134.66</v>
      </c>
      <c r="W185" s="68" t="n">
        <v>128250000</v>
      </c>
      <c r="X185" s="67" t="n">
        <v>11.22</v>
      </c>
      <c r="Y185" s="63" t="inlineStr">
        <is>
          <t>ZhongBaoNew materials. Ltd</t>
        </is>
      </c>
      <c r="Z185" s="63" t="inlineStr">
        <is>
          <t>zhongbaonew</t>
        </is>
      </c>
      <c r="AA185" s="67" t="n">
        <v>7.8097</v>
      </c>
      <c r="AB185" s="72" t="n"/>
      <c r="AC185" s="66" t="n"/>
      <c r="AD185" s="72" t="n"/>
      <c r="AE185" s="63" t="n"/>
      <c r="AF185" s="63" t="n"/>
      <c r="AG185" s="63" t="inlineStr">
        <is>
          <t>lapsed (no over-allocation)</t>
        </is>
      </c>
      <c r="AH185" s="63" t="n"/>
      <c r="AI185" s="63" t="inlineStr">
        <is>
          <t>Wealth Link Securities Limited</t>
        </is>
      </c>
      <c r="AJ185" s="63" t="inlineStr">
        <is>
          <t>Wealth Link</t>
        </is>
      </c>
      <c r="AK185" s="73" t="n">
        <v>-35.24</v>
      </c>
      <c r="AL185" s="72" t="n">
        <v>-38.1</v>
      </c>
      <c r="AM185" s="72" t="n">
        <v>4.62</v>
      </c>
      <c r="AN185" s="72" t="n">
        <v>-36.19</v>
      </c>
      <c r="AO185" s="72" t="n">
        <v>-39.05</v>
      </c>
      <c r="AP185" s="72" t="n">
        <v>-50.48</v>
      </c>
      <c r="AQ185" s="72" t="n">
        <v>-1.47</v>
      </c>
      <c r="AR185" s="72" t="n">
        <v>-5.88</v>
      </c>
      <c r="AS185" s="72" t="n">
        <v>-23.53</v>
      </c>
      <c r="AT185" s="72" t="n">
        <v>-34.63</v>
      </c>
      <c r="AU185" s="72" t="n">
        <v>-33.87</v>
      </c>
      <c r="AV185" s="72" t="n">
        <v>-39.78</v>
      </c>
      <c r="AW185" s="72" t="n">
        <v>0.29</v>
      </c>
      <c r="AX185" s="72" t="n">
        <v>-5.18</v>
      </c>
      <c r="AY185" s="72" t="n">
        <v>-6.17</v>
      </c>
      <c r="AZ185" s="63" t="inlineStr">
        <is>
          <t>Hang Seng Commerce &amp; Industry sub-index</t>
        </is>
      </c>
      <c r="BA185" s="72" t="n">
        <v>-73.33</v>
      </c>
      <c r="BB185" s="64" t="inlineStr">
        <is>
          <t>2026-08-28</t>
        </is>
      </c>
      <c r="BC185" s="65" t="n">
        <v>282.4</v>
      </c>
      <c r="BD185" s="68" t="n"/>
      <c r="BE185" s="63" t="n"/>
      <c r="BF185" s="75">
        <f>IF('BBG Verify'!O185="","not filed — run on terminal",'BBG Verify'!O185)</f>
        <v/>
      </c>
      <c r="BG185" s="74" t="n"/>
      <c r="BH185" s="74" t="n">
        <v>8</v>
      </c>
      <c r="BI185" s="74" t="n">
        <v>4.2</v>
      </c>
      <c r="BJ185" s="75">
        <f>IF('BBG Verify'!S185="","not filed — run on terminal",'BBG Verify'!S185)</f>
        <v/>
      </c>
      <c r="BK185" s="76" t="inlineStr">
        <is>
          <t>N</t>
        </is>
      </c>
      <c r="BL185" s="77">
        <f>IF('BBG Verify'!K185="","not filed — run on terminal",'BBG Verify'!K185)</f>
        <v/>
      </c>
      <c r="BM185" s="63" t="inlineStr">
        <is>
          <t>N/A</t>
        </is>
      </c>
      <c r="BN185" s="63" t="inlineStr">
        <is>
          <t>N/A</t>
        </is>
      </c>
      <c r="BO185" s="63" t="inlineStr">
        <is>
          <t>N/A</t>
        </is>
      </c>
      <c r="BP185" s="63" t="inlineStr">
        <is>
          <t>N/A</t>
        </is>
      </c>
      <c r="BQ185" s="63" t="inlineStr">
        <is>
          <t>N/A</t>
        </is>
      </c>
      <c r="BR185" s="63" t="inlineStr">
        <is>
          <t>N/A</t>
        </is>
      </c>
      <c r="BS185" s="76" t="n"/>
      <c r="BT185" s="63" t="inlineStr">
        <is>
          <t>Soochow Securities International Capital Limited</t>
        </is>
      </c>
      <c r="BU185" s="63" t="inlineStr">
        <is>
          <t>China Galaxy International Securities (Hong Kong) Company Limited; Elstone Securities Limited; Eddid Securities and Futures Limited; Fosun International Securities Limited; First Shanghai Securities Limited; Futu Securities International (Hong Kong) Limited</t>
        </is>
      </c>
      <c r="BV185" s="63" t="inlineStr">
        <is>
          <t>China Galaxy International Securities (Hong Kong) Company Limited; Elstone Securities Limited; Eddid Securities and Futures Limited; Fosun International Securities Limited; First Shanghai Securities Limited; Futu Securities International (Hong Kong) Limited; Grand China Securities Limited; Plutus Securities Limited; Sunhigh Financial Holdings Limited; Sinomax Securities Limited; Soochow Securities International Brokerage Limited; Tiger Brokers (HK) Global Limited</t>
        </is>
      </c>
      <c r="BW185" s="78">
        <f>HYPERLINK("https://www1.hkexnews.hk/listedco/listconews/sehk/2023/0321/2023032100050.htm","prospectus")</f>
        <v/>
      </c>
      <c r="BX185" s="78">
        <f>HYPERLINK("https://www1.hkexnews.hk/listedco/listconews/sehk/2023/0330/2023033000220.htm","allotment")</f>
        <v/>
      </c>
      <c r="BY185" s="78">
        <f>HYPERLINK("https://www1.hkexnews.hk/listedco/listconews/sehk/2023/0424/2023042400062.pdf","stabilisation")</f>
        <v/>
      </c>
      <c r="BZ185" s="76" t="n"/>
      <c r="CA185" s="63" t="inlineStr">
        <is>
          <t>P/E: net income not stated in extractable form · greenshoe: over-allotment outcome already published, and the allotment announcement does not state the stabilisation expiry in a parsable form — the expiry no longer matters once resolved · price range: fixed-price offering (no indicative range) · range low: cap-only pricing — the filing publishes a Maximum Offer Price and no indicative floor · A/H: no A-share listing · sponsor: English name not in the filing text; AAStocks 保薦人 shown · financials: financial tables not machine-extractable and the pre-IPO year is outside AAStocks' 5-year window · grey market: no grey-market headline on file for this deal — AAStocks publishes one per listing but keeps only recent items on the stock's news page, and no public archive of past evening sessions exists; captured from this run onward</t>
        </is>
      </c>
    </row>
    <row r="186" ht="15" customHeight="1">
      <c r="A186" s="62" t="inlineStr">
        <is>
          <t>9669</t>
        </is>
      </c>
      <c r="B186" s="63" t="inlineStr">
        <is>
          <t>BEISEN HOLDING</t>
        </is>
      </c>
      <c r="C186" s="63" t="inlineStr">
        <is>
          <t>北森控股</t>
        </is>
      </c>
      <c r="D186" s="63" t="inlineStr">
        <is>
          <t>Tech/AI</t>
        </is>
      </c>
      <c r="E186" s="63" t="inlineStr">
        <is>
          <t>SaaS / enterprise software</t>
        </is>
      </c>
      <c r="F186" s="63" t="inlineStr">
        <is>
          <t>Commercial &amp; Professional Services</t>
        </is>
      </c>
      <c r="G186" s="63" t="inlineStr">
        <is>
          <t>Standard</t>
        </is>
      </c>
      <c r="H186" s="64" t="n">
        <v>45029</v>
      </c>
      <c r="I186" s="65" t="n">
        <v>238.9</v>
      </c>
      <c r="J186" s="63" t="inlineStr">
        <is>
          <t>gross (price x shares)</t>
        </is>
      </c>
      <c r="K186" s="66" t="n"/>
      <c r="L186" s="66" t="n">
        <v>29.7</v>
      </c>
      <c r="M186" s="66" t="n">
        <v>29.7</v>
      </c>
      <c r="N186" s="63" t="inlineStr">
        <is>
          <t>Y</t>
        </is>
      </c>
      <c r="O186" s="67" t="n">
        <v>100</v>
      </c>
      <c r="P186" s="67" t="n"/>
      <c r="Q186" s="68" t="n">
        <v>21718.2</v>
      </c>
      <c r="R186" s="63" t="inlineStr">
        <is>
          <t>derived:deal size / offer % of enlarged capital</t>
        </is>
      </c>
      <c r="S186" s="69" t="n">
        <v>16.57</v>
      </c>
      <c r="T186" s="70" t="n">
        <v>1.51</v>
      </c>
      <c r="U186" s="71" t="n"/>
      <c r="V186" s="68" t="n">
        <v>238.9</v>
      </c>
      <c r="W186" s="68" t="n">
        <v>8044000</v>
      </c>
      <c r="X186" s="67" t="n">
        <v>1.1</v>
      </c>
      <c r="Y186" s="63" t="n"/>
      <c r="Z186" s="63" t="n"/>
      <c r="AA186" s="67" t="n"/>
      <c r="AB186" s="72" t="n"/>
      <c r="AC186" s="66" t="n"/>
      <c r="AD186" s="72" t="n"/>
      <c r="AE186" s="63" t="n"/>
      <c r="AF186" s="63" t="n"/>
      <c r="AG186" s="63" t="inlineStr">
        <is>
          <t>lapsed</t>
        </is>
      </c>
      <c r="AH186" s="63" t="inlineStr">
        <is>
          <t>2023-05-04</t>
        </is>
      </c>
      <c r="AI186" s="63" t="inlineStr">
        <is>
          <t>Morgan Stanley Asia Limited</t>
        </is>
      </c>
      <c r="AJ186" s="63" t="inlineStr">
        <is>
          <t>Morgan Stanley</t>
        </is>
      </c>
      <c r="AK186" s="73" t="n">
        <v>-12.12</v>
      </c>
      <c r="AL186" s="72" t="n">
        <v>-0.34</v>
      </c>
      <c r="AM186" s="72" t="n">
        <v>-11.82</v>
      </c>
      <c r="AN186" s="72" t="n">
        <v>-52.53</v>
      </c>
      <c r="AO186" s="72" t="n">
        <v>-69.19</v>
      </c>
      <c r="AP186" s="72" t="n">
        <v>-71.08</v>
      </c>
      <c r="AQ186" s="72" t="n">
        <v>-45.98</v>
      </c>
      <c r="AR186" s="72" t="n">
        <v>-64.94</v>
      </c>
      <c r="AS186" s="72" t="n">
        <v>-67.09</v>
      </c>
      <c r="AT186" s="72" t="n">
        <v>-50.87</v>
      </c>
      <c r="AU186" s="72" t="n">
        <v>-63.52</v>
      </c>
      <c r="AV186" s="72" t="n">
        <v>-72.45</v>
      </c>
      <c r="AW186" s="72" t="n">
        <v>-59.32</v>
      </c>
      <c r="AX186" s="72" t="n">
        <v>-5.67</v>
      </c>
      <c r="AY186" s="72" t="n">
        <v>-5.62</v>
      </c>
      <c r="AZ186" s="63" t="inlineStr">
        <is>
          <t>HSTECH (Hang Seng TECH ETF)</t>
        </is>
      </c>
      <c r="BA186" s="72" t="n">
        <v>-89.56</v>
      </c>
      <c r="BB186" s="64" t="inlineStr">
        <is>
          <t>2026-08-28</t>
        </is>
      </c>
      <c r="BC186" s="65" t="n">
        <v>612</v>
      </c>
      <c r="BD186" s="68" t="n">
        <v>-1034.2</v>
      </c>
      <c r="BE186" s="63" t="inlineStr">
        <is>
          <t>N</t>
        </is>
      </c>
      <c r="BF186" s="63" t="inlineStr">
        <is>
          <t>n/m</t>
        </is>
      </c>
      <c r="BG186" s="74" t="n"/>
      <c r="BH186" s="74" t="n"/>
      <c r="BI186" s="74" t="n">
        <v>35.5</v>
      </c>
      <c r="BJ186" s="75">
        <f>IF('BBG Verify'!S186="","not filed — run on terminal",'BBG Verify'!S186)</f>
        <v/>
      </c>
      <c r="BK186" s="76" t="inlineStr">
        <is>
          <t>N</t>
        </is>
      </c>
      <c r="BL186" s="77">
        <f>IF('BBG Verify'!K186="","not filed — run on terminal",'BBG Verify'!K186)</f>
        <v/>
      </c>
      <c r="BM186" s="63" t="inlineStr">
        <is>
          <t>N/A</t>
        </is>
      </c>
      <c r="BN186" s="63" t="inlineStr">
        <is>
          <t>N/A</t>
        </is>
      </c>
      <c r="BO186" s="63" t="inlineStr">
        <is>
          <t>N/A</t>
        </is>
      </c>
      <c r="BP186" s="63" t="inlineStr">
        <is>
          <t>N/A</t>
        </is>
      </c>
      <c r="BQ186" s="63" t="inlineStr">
        <is>
          <t>N/A</t>
        </is>
      </c>
      <c r="BR186" s="63" t="inlineStr">
        <is>
          <t>N/A</t>
        </is>
      </c>
      <c r="BS186" s="76" t="n"/>
      <c r="BT186" s="63" t="inlineStr">
        <is>
          <t>China International Capital Corporation Hong Kong Securities Limited; Morgan Stanley Asia Limited</t>
        </is>
      </c>
      <c r="BU186" s="63" t="inlineStr">
        <is>
          <t>China International Capital Corporation Hong Kong Securities Limited; Futu Securities International (Hong Kong) Limited; Morgan Stanley Asia Limited; Silverbricks Securities Company Limited; Tiger Brokers (HK) Global Limited</t>
        </is>
      </c>
      <c r="BV186" s="63" t="inlineStr">
        <is>
          <t>China International Capital Corporation Hong Kong Securities Limited; Futu Securities International (Hong Kong) Limited; Morgan Stanley Asia Limited; Silverbricks Securities Company Limited; Tiger Brokers (HK) Global Limited</t>
        </is>
      </c>
      <c r="BW186" s="78">
        <f>HYPERLINK("https://www1.hkexnews.hk/listedco/listconews/sehk/2023/0330/2023033000324.htm","prospectus")</f>
        <v/>
      </c>
      <c r="BX186" s="78">
        <f>HYPERLINK("https://www1.hkexnews.hk/listedco/listconews/sehk/2023/0412/2023041200010.htm","allotment")</f>
        <v/>
      </c>
      <c r="BY186" s="78">
        <f>HYPERLINK("https://www1.hkexnews.hk/listedco/listconews/sehk/2023/0504/2023050401929.pdf","stabilisation")</f>
        <v/>
      </c>
      <c r="BZ186" s="76" t="n"/>
      <c r="CA186" s="63" t="inlineStr">
        <is>
          <t>P/E: n/m — loss-making at IPO (use P/S) · range low: cap-only pricing — the filing publishes a Maximum Offer Price and no indicative floor · A/H: no A-share listing · sponsor: English name not in the filing text; AAStocks 保薦人 shown · cornerstone list: cornerstone section not machine-extractable — see the prospectus link · cornerstone %: cornerstone aggregate not stated in the filing · greenshoe size: no over-allotment option in the offer structure · grey market: no grey-market headline on file for this deal — AAStocks publishes one per listing but keeps only recent items on the stock's news page, and no public archive of past evening sessions exists; captured from this run onward</t>
        </is>
      </c>
    </row>
    <row r="187" ht="15" customHeight="1">
      <c r="A187" s="62" t="inlineStr">
        <is>
          <t>6979</t>
        </is>
      </c>
      <c r="B187" s="63" t="inlineStr">
        <is>
          <t>ZJLD</t>
        </is>
      </c>
      <c r="C187" s="63" t="inlineStr">
        <is>
          <t>珍酒李渡</t>
        </is>
      </c>
      <c r="D187" s="63" t="inlineStr">
        <is>
          <t>Consumer</t>
        </is>
      </c>
      <c r="E187" s="63" t="inlineStr">
        <is>
          <t>Beverages / packaged food</t>
        </is>
      </c>
      <c r="F187" s="63" t="inlineStr">
        <is>
          <t>Beverages (Alcoholic)</t>
        </is>
      </c>
      <c r="G187" s="63" t="inlineStr">
        <is>
          <t>Standard</t>
        </is>
      </c>
      <c r="H187" s="64" t="n">
        <v>45043</v>
      </c>
      <c r="I187" s="65" t="n">
        <v>5309.4</v>
      </c>
      <c r="J187" s="63" t="inlineStr">
        <is>
          <t>gross (price x shares)</t>
        </is>
      </c>
      <c r="K187" s="66" t="n"/>
      <c r="L187" s="66" t="n">
        <v>10.82</v>
      </c>
      <c r="M187" s="66" t="n">
        <v>10.82</v>
      </c>
      <c r="N187" s="63" t="inlineStr">
        <is>
          <t>Y</t>
        </is>
      </c>
      <c r="O187" s="67" t="n">
        <v>100</v>
      </c>
      <c r="P187" s="67" t="n"/>
      <c r="Q187" s="68" t="n">
        <v>38863.4</v>
      </c>
      <c r="R187" s="63" t="inlineStr">
        <is>
          <t>aastocks:上市市值 at the struck price</t>
        </is>
      </c>
      <c r="S187" s="69" t="n">
        <v>1.94</v>
      </c>
      <c r="T187" s="70" t="n">
        <v>3.9</v>
      </c>
      <c r="U187" s="71" t="n"/>
      <c r="V187" s="68" t="n">
        <v>5309.4</v>
      </c>
      <c r="W187" s="68" t="n">
        <v>490699800</v>
      </c>
      <c r="X187" s="67" t="n">
        <v>13.66</v>
      </c>
      <c r="Y187" s="63" t="n"/>
      <c r="Z187" s="63" t="n"/>
      <c r="AA187" s="67" t="n">
        <v>5.3</v>
      </c>
      <c r="AB187" s="72" t="n"/>
      <c r="AC187" s="66" t="n"/>
      <c r="AD187" s="72" t="n"/>
      <c r="AE187" s="63" t="n"/>
      <c r="AF187" s="63" t="n"/>
      <c r="AG187" s="63" t="inlineStr">
        <is>
          <t>lapsed</t>
        </is>
      </c>
      <c r="AH187" s="63" t="inlineStr">
        <is>
          <t>2023-05-20</t>
        </is>
      </c>
      <c r="AI187" s="63" t="inlineStr">
        <is>
          <t>Goldman Sachs</t>
        </is>
      </c>
      <c r="AJ187" s="63" t="inlineStr">
        <is>
          <t>Goldman Sachs</t>
        </is>
      </c>
      <c r="AK187" s="73" t="n">
        <v>-17.93</v>
      </c>
      <c r="AL187" s="72" t="n">
        <v>-16.82</v>
      </c>
      <c r="AM187" s="72" t="n">
        <v>-1.33</v>
      </c>
      <c r="AN187" s="72" t="n">
        <v>-15.9</v>
      </c>
      <c r="AO187" s="72" t="n">
        <v>-34.1</v>
      </c>
      <c r="AP187" s="72" t="n">
        <v>-12.38</v>
      </c>
      <c r="AQ187" s="72" t="n">
        <v>2.47</v>
      </c>
      <c r="AR187" s="72" t="n">
        <v>-19.7</v>
      </c>
      <c r="AS187" s="72" t="n">
        <v>6.76</v>
      </c>
      <c r="AT187" s="72" t="n">
        <v>-16.15</v>
      </c>
      <c r="AU187" s="72" t="n">
        <v>-26.77</v>
      </c>
      <c r="AV187" s="72" t="n">
        <v>-16.74</v>
      </c>
      <c r="AW187" s="72" t="n">
        <v>-12.63</v>
      </c>
      <c r="AX187" s="72" t="n">
        <v>-7.33</v>
      </c>
      <c r="AY187" s="72" t="n">
        <v>-7.07</v>
      </c>
      <c r="AZ187" s="63" t="inlineStr">
        <is>
          <t>Hang Seng Commerce &amp; Industry sub-index</t>
        </is>
      </c>
      <c r="BA187" s="72" t="n">
        <v>-27.08</v>
      </c>
      <c r="BB187" s="64" t="inlineStr">
        <is>
          <t>2026-08-28</t>
        </is>
      </c>
      <c r="BC187" s="65" t="n">
        <v>6441.5</v>
      </c>
      <c r="BD187" s="68" t="n"/>
      <c r="BE187" s="63" t="n"/>
      <c r="BF187" s="74" t="n">
        <v>17.5</v>
      </c>
      <c r="BG187" s="74" t="n">
        <v>17.5</v>
      </c>
      <c r="BH187" s="74" t="n">
        <v>42.9</v>
      </c>
      <c r="BI187" s="74" t="n">
        <v>6</v>
      </c>
      <c r="BJ187" s="75">
        <f>IF('BBG Verify'!S187="","not filed — run on terminal",'BBG Verify'!S187)</f>
        <v/>
      </c>
      <c r="BK187" s="76" t="inlineStr">
        <is>
          <t>N</t>
        </is>
      </c>
      <c r="BL187" s="77">
        <f>IF('BBG Verify'!K187="","not filed — run on terminal",'BBG Verify'!K187)</f>
        <v/>
      </c>
      <c r="BM187" s="63" t="inlineStr">
        <is>
          <t>N/A</t>
        </is>
      </c>
      <c r="BN187" s="63" t="inlineStr">
        <is>
          <t>N/A</t>
        </is>
      </c>
      <c r="BO187" s="63" t="inlineStr">
        <is>
          <t>N/A</t>
        </is>
      </c>
      <c r="BP187" s="63" t="inlineStr">
        <is>
          <t>N/A</t>
        </is>
      </c>
      <c r="BQ187" s="63" t="inlineStr">
        <is>
          <t>N/A</t>
        </is>
      </c>
      <c r="BR187" s="63" t="inlineStr">
        <is>
          <t>N/A</t>
        </is>
      </c>
      <c r="BS187" s="76" t="n"/>
      <c r="BT187" s="63" t="inlineStr">
        <is>
          <t>Goldman Sachs (Asia) L.L.C.; China Securities (International) Corporate Finance Company Limited</t>
        </is>
      </c>
      <c r="BU187" s="63" t="inlineStr">
        <is>
          <t>China International Capital Corporation Hong Kong Securities Limited; China Securities (International) Corporate Finance Company Limited; Goldman Sachs (Asia) L.L.C.</t>
        </is>
      </c>
      <c r="BV187" s="63" t="inlineStr">
        <is>
          <t>China International Capital Corporation Hong Kong Securities Limited; China Securities (International) Corporate Finance Company Limited; Goldman Sachs (Asia) L.L.C.</t>
        </is>
      </c>
      <c r="BW187" s="78">
        <f>HYPERLINK("https://www1.hkexnews.hk/listedco/listconews/sehk/2023/0417/2023041700044.htm","prospectus")</f>
        <v/>
      </c>
      <c r="BX187" s="78">
        <f>HYPERLINK("https://www1.hkexnews.hk/listedco/listconews/sehk/2023/0426/2023042600060.htm","allotment")</f>
        <v/>
      </c>
      <c r="BY187" s="78">
        <f>HYPERLINK("https://www1.hkexnews.hk/listedco/listconews/sehk/2023/0525/2023052500386.pdf","stabilisation")</f>
        <v/>
      </c>
      <c r="BZ187" s="76" t="n"/>
      <c r="CA187" s="63" t="inlineStr">
        <is>
          <t>P/E: from Bloomberg (trailing-12m EPS at listing) — the prospectus-FY multiple was not derivable · price range: fixed-price offering (no indicative range) · range low: cap-only pricing — the filing publishes a Maximum Offer Price and no indicative floor · A/H: no A-share listing · sponsor: English name not in the filing text; AAStocks 保薦人 shown · cornerstone list: cornerstone section not machine-extractable — see the prospectus link · cornerstone %: cornerstone aggregate not stated in the filing · financials: financial tables not machine-extractable and the pre-IPO year is outside AAStocks' 5-year window · deal size: stated gross HK$795.0m rejected — below the deal's own net proceeds HK$4,990.0m, which cannot happen · grey market: no grey-market headline on file for this deal — AAStocks publishes one per listing but keeps only recent items on the stock's news page, and no public archive of past evening sessions exists; captured from this run onward</t>
        </is>
      </c>
    </row>
    <row r="188" ht="15" customHeight="1">
      <c r="A188" s="62" t="inlineStr">
        <is>
          <t>2415</t>
        </is>
      </c>
      <c r="B188" s="63" t="inlineStr">
        <is>
          <t>MEDSCI</t>
        </is>
      </c>
      <c r="C188" s="63" t="inlineStr">
        <is>
          <t>梅斯健康</t>
        </is>
      </c>
      <c r="D188" s="63" t="inlineStr">
        <is>
          <t>Healthcare</t>
        </is>
      </c>
      <c r="E188" s="63" t="inlineStr">
        <is>
          <t>CXO / pharma services</t>
        </is>
      </c>
      <c r="F188" s="63" t="inlineStr">
        <is>
          <t>Health Care Services</t>
        </is>
      </c>
      <c r="G188" s="63" t="inlineStr">
        <is>
          <t>Standard</t>
        </is>
      </c>
      <c r="H188" s="64" t="n">
        <v>45043</v>
      </c>
      <c r="I188" s="65" t="n">
        <v>607.8</v>
      </c>
      <c r="J188" s="63" t="inlineStr">
        <is>
          <t>gross (price x shares)</t>
        </is>
      </c>
      <c r="K188" s="66" t="n">
        <v>9.1</v>
      </c>
      <c r="L188" s="66" t="n">
        <v>10.16</v>
      </c>
      <c r="M188" s="66" t="n">
        <v>9.1</v>
      </c>
      <c r="N188" s="63" t="inlineStr">
        <is>
          <t>N</t>
        </is>
      </c>
      <c r="O188" s="67" t="n">
        <v>89.59999999999999</v>
      </c>
      <c r="P188" s="67" t="n">
        <v>0</v>
      </c>
      <c r="Q188" s="68" t="n">
        <v>6101.8</v>
      </c>
      <c r="R188" s="63" t="inlineStr">
        <is>
          <t>aastocks:上市市值 at the struck price</t>
        </is>
      </c>
      <c r="S188" s="69" t="n">
        <v>9.85</v>
      </c>
      <c r="T188" s="70" t="n">
        <v>1.47</v>
      </c>
      <c r="U188" s="71" t="n">
        <v>20.1</v>
      </c>
      <c r="V188" s="68" t="n">
        <v>485.63</v>
      </c>
      <c r="W188" s="68" t="n">
        <v>53364411</v>
      </c>
      <c r="X188" s="67" t="n">
        <v>7.96</v>
      </c>
      <c r="Y188" s="63" t="inlineStr">
        <is>
          <t>Anji Guorong Construction Co., Ltd; Anji Guorong Venture Capital Co., Ltd; Anji Jiaotou Industrial Development Co., Ltd; Anji Qicai Lingfeng Rural Tourism Investment Co., Ltd; GF Global Capital Limited; Harvest International Premium Value (Secondary Market) Fund SPC</t>
        </is>
      </c>
      <c r="Z188" s="63" t="inlineStr">
        <is>
          <t>anji;gf;harvest</t>
        </is>
      </c>
      <c r="AA188" s="67" t="n">
        <v>10.82</v>
      </c>
      <c r="AB188" s="72" t="n"/>
      <c r="AC188" s="66" t="n"/>
      <c r="AD188" s="72" t="n"/>
      <c r="AE188" s="63" t="n"/>
      <c r="AF188" s="63" t="n"/>
      <c r="AG188" s="63" t="n"/>
      <c r="AH188" s="63" t="inlineStr">
        <is>
          <t>2023-05-20</t>
        </is>
      </c>
      <c r="AI188" s="63" t="inlineStr">
        <is>
          <t>Chin a International Capital Corporation Hong Kong Securities Limited</t>
        </is>
      </c>
      <c r="AJ188" s="63" t="inlineStr">
        <is>
          <t>Chin a</t>
        </is>
      </c>
      <c r="AK188" s="73" t="n">
        <v>1.1</v>
      </c>
      <c r="AL188" s="72" t="n">
        <v>-2.75</v>
      </c>
      <c r="AM188" s="72" t="n">
        <v>3.96</v>
      </c>
      <c r="AN188" s="72" t="n">
        <v>-5.49</v>
      </c>
      <c r="AO188" s="72" t="n">
        <v>2.64</v>
      </c>
      <c r="AP188" s="72" t="n">
        <v>-15.16</v>
      </c>
      <c r="AQ188" s="72" t="n">
        <v>-6.52</v>
      </c>
      <c r="AR188" s="72" t="n">
        <v>1.52</v>
      </c>
      <c r="AS188" s="72" t="n">
        <v>-16.08</v>
      </c>
      <c r="AT188" s="72" t="n">
        <v>-5.78</v>
      </c>
      <c r="AU188" s="72" t="n">
        <v>8.73</v>
      </c>
      <c r="AV188" s="72" t="n">
        <v>-8.449999999999999</v>
      </c>
      <c r="AW188" s="72" t="n">
        <v>8.359999999999999</v>
      </c>
      <c r="AX188" s="72" t="n">
        <v>-6.09</v>
      </c>
      <c r="AY188" s="72" t="n">
        <v>-6.84</v>
      </c>
      <c r="AZ188" s="63" t="inlineStr">
        <is>
          <t>China Biotech ETF (HS biotech proxy)</t>
        </is>
      </c>
      <c r="BA188" s="72" t="n">
        <v>-91.43000000000001</v>
      </c>
      <c r="BB188" s="64" t="inlineStr">
        <is>
          <t>2026-08-28</t>
        </is>
      </c>
      <c r="BC188" s="65" t="n">
        <v>383.8</v>
      </c>
      <c r="BD188" s="68" t="n">
        <v>-109.9</v>
      </c>
      <c r="BE188" s="63" t="inlineStr">
        <is>
          <t>N</t>
        </is>
      </c>
      <c r="BF188" s="63" t="inlineStr">
        <is>
          <t>n/m</t>
        </is>
      </c>
      <c r="BG188" s="74" t="n"/>
      <c r="BH188" s="74" t="n">
        <v>19.5</v>
      </c>
      <c r="BI188" s="74" t="n">
        <v>15.9</v>
      </c>
      <c r="BJ188" s="75">
        <f>IF('BBG Verify'!S188="","not filed — run on terminal",'BBG Verify'!S188)</f>
        <v/>
      </c>
      <c r="BK188" s="76" t="inlineStr">
        <is>
          <t>N</t>
        </is>
      </c>
      <c r="BL188" s="77">
        <f>IF('BBG Verify'!K188="","not filed — run on terminal",'BBG Verify'!K188)</f>
        <v/>
      </c>
      <c r="BM188" s="63" t="inlineStr">
        <is>
          <t>N/A</t>
        </is>
      </c>
      <c r="BN188" s="63" t="inlineStr">
        <is>
          <t>N/A</t>
        </is>
      </c>
      <c r="BO188" s="63" t="inlineStr">
        <is>
          <t>N/A</t>
        </is>
      </c>
      <c r="BP188" s="63" t="inlineStr">
        <is>
          <t>N/A</t>
        </is>
      </c>
      <c r="BQ188" s="63" t="inlineStr">
        <is>
          <t>N/A</t>
        </is>
      </c>
      <c r="BR188" s="63" t="inlineStr">
        <is>
          <t>N/A</t>
        </is>
      </c>
      <c r="BS188" s="76" t="inlineStr">
        <is>
          <t>China International Capital Corporation Hong Kong Securities Limited; Macquarie Capital Limited</t>
        </is>
      </c>
      <c r="BT188" s="63" t="inlineStr">
        <is>
          <t>China International Capital Corporation Hong Kong Securities Limited; Macquarie Capital Limited</t>
        </is>
      </c>
      <c r="BU188" s="63" t="inlineStr">
        <is>
          <t>China International Capital Corporation Hong Kong Securities Limited; Macquarie Capital Limited; CCB International Capital Limited; Essence International Securities (Hong Kong) Limited; Dragonstone Capital Management Limited; China Everbright Securities (HK) Limited; First Shanghai Securities Limited; First Capital Securities Limited; Zhongtai International Securities Limited; Futu Securities International (Hong Kong) Limited</t>
        </is>
      </c>
      <c r="BV188" s="63" t="inlineStr">
        <is>
          <t>CCB International Capital Limited; China Everbright Securities (HK) Limited; China International Capital Corporation Hong Kong Securities Limited; Dragonstone Capital Management Limited; Essence International Securities (Hong Kong) Limited; First Capital Securities Limited; First Shanghai Securities Limited; Futu Securities International (Hong Kong) Limited; Haitong International Securities Company Limited; Livermore Holdings Limited; Macquarie Capital Limited; Silverbricks Securities Company Limited</t>
        </is>
      </c>
      <c r="BW188" s="78">
        <f>HYPERLINK("https://www1.hkexnews.hk/listedco/listconews/sehk/2023/0417/2023041700009.pdf","prospectus")</f>
        <v/>
      </c>
      <c r="BX188" s="78">
        <f>HYPERLINK("https://www1.hkexnews.hk/listedco/listconews/sehk/2023/0426/2023042600046.htm","allotment")</f>
        <v/>
      </c>
      <c r="BY188" s="63" t="n"/>
      <c r="BZ188" s="76" t="n"/>
      <c r="CA188" s="63" t="inlineStr">
        <is>
          <t>P/E: n/m — loss-making at IPO (use P/S) · greenshoe: end-of-stabilisation notice not located · A/H: no A-share listing · cornerstone: AAStocks institutional table includes non-cornerstone orders (superset) — cornerstone % is from the prospectus · deal size: stated gross HK$18.2m rejected — below the deal's own net proceeds HK$538.2m, which cannot happen · grey market: no grey-market headline on file for this deal — AAStocks publishes one per listing but keeps only recent items on the stock's news page, and no public archive of past evening sessions exists; captured from this run onward</t>
        </is>
      </c>
    </row>
    <row r="189" ht="15" customHeight="1">
      <c r="A189" s="62" t="inlineStr">
        <is>
          <t>2480</t>
        </is>
      </c>
      <c r="B189" s="63" t="inlineStr">
        <is>
          <t>LUZHU BIOTECH-B</t>
        </is>
      </c>
      <c r="C189" s="63" t="inlineStr">
        <is>
          <t>綠竹生物－Ｂ</t>
        </is>
      </c>
      <c r="D189" s="63" t="inlineStr">
        <is>
          <t>Healthcare</t>
        </is>
      </c>
      <c r="E189" s="63" t="inlineStr">
        <is>
          <t>Biotech pre-revenue (18A)</t>
        </is>
      </c>
      <c r="F189" s="63" t="inlineStr">
        <is>
          <t>Biotechnology - Pharmaceuticals</t>
        </is>
      </c>
      <c r="G189" s="63" t="inlineStr">
        <is>
          <t>18A</t>
        </is>
      </c>
      <c r="H189" s="64" t="n">
        <v>45054</v>
      </c>
      <c r="I189" s="65" t="n">
        <v>340.7</v>
      </c>
      <c r="J189" s="63" t="inlineStr">
        <is>
          <t>gross (price x shares)</t>
        </is>
      </c>
      <c r="K189" s="66" t="n">
        <v>32.8</v>
      </c>
      <c r="L189" s="66" t="n">
        <v>41.65</v>
      </c>
      <c r="M189" s="66" t="n">
        <v>32.8</v>
      </c>
      <c r="N189" s="63" t="inlineStr">
        <is>
          <t>N</t>
        </is>
      </c>
      <c r="O189" s="67" t="n">
        <v>78.8</v>
      </c>
      <c r="P189" s="67" t="n">
        <v>0</v>
      </c>
      <c r="Q189" s="68" t="n">
        <v>8051.3</v>
      </c>
      <c r="R189" s="63" t="inlineStr">
        <is>
          <t>aastocks:上市市值 at the struck price</t>
        </is>
      </c>
      <c r="S189" s="69" t="n">
        <v>3.25</v>
      </c>
      <c r="T189" s="70" t="n">
        <v>1.33</v>
      </c>
      <c r="U189" s="71" t="n">
        <v>46.1</v>
      </c>
      <c r="V189" s="68" t="n">
        <v>183.64</v>
      </c>
      <c r="W189" s="68" t="n">
        <v>5598054</v>
      </c>
      <c r="X189" s="67" t="n">
        <v>2.28</v>
      </c>
      <c r="Y189" s="63" t="inlineStr">
        <is>
          <t>Harvest International Premium Value (Secondary Market) Fund SPC</t>
        </is>
      </c>
      <c r="Z189" s="63" t="inlineStr">
        <is>
          <t>harvest</t>
        </is>
      </c>
      <c r="AA189" s="67" t="n">
        <v>11.2</v>
      </c>
      <c r="AB189" s="72" t="n"/>
      <c r="AC189" s="66" t="n"/>
      <c r="AD189" s="72" t="n"/>
      <c r="AE189" s="63" t="n"/>
      <c r="AF189" s="63" t="n"/>
      <c r="AG189" s="63" t="inlineStr">
        <is>
          <t>lapsed</t>
        </is>
      </c>
      <c r="AH189" s="63" t="inlineStr">
        <is>
          <t>2023-05-28</t>
        </is>
      </c>
      <c r="AI189" s="63" t="inlineStr">
        <is>
          <t>China International Capital Corporation Hong Kong Securities Limited</t>
        </is>
      </c>
      <c r="AJ189" s="63" t="inlineStr">
        <is>
          <t>China International</t>
        </is>
      </c>
      <c r="AK189" s="73" t="n">
        <v>-32.93</v>
      </c>
      <c r="AL189" s="72" t="n">
        <v>-3.96</v>
      </c>
      <c r="AM189" s="72" t="n">
        <v>-30.16</v>
      </c>
      <c r="AN189" s="72" t="n">
        <v>-30.95</v>
      </c>
      <c r="AO189" s="72" t="n">
        <v>1.98</v>
      </c>
      <c r="AP189" s="72" t="n">
        <v>-3.51</v>
      </c>
      <c r="AQ189" s="72" t="n">
        <v>2.95</v>
      </c>
      <c r="AR189" s="72" t="n">
        <v>52.05</v>
      </c>
      <c r="AS189" s="72" t="n">
        <v>43.86</v>
      </c>
      <c r="AT189" s="72" t="n">
        <v>-29.01</v>
      </c>
      <c r="AU189" s="72" t="n">
        <v>10.5</v>
      </c>
      <c r="AV189" s="72" t="n">
        <v>9.609999999999999</v>
      </c>
      <c r="AW189" s="72" t="n">
        <v>60.28</v>
      </c>
      <c r="AX189" s="72" t="n">
        <v>-8.52</v>
      </c>
      <c r="AY189" s="72" t="n">
        <v>-8.23</v>
      </c>
      <c r="AZ189" s="63" t="inlineStr">
        <is>
          <t>China Biotech ETF (HS biotech proxy)</t>
        </is>
      </c>
      <c r="BA189" s="72" t="n">
        <v>-58.54</v>
      </c>
      <c r="BB189" s="64" t="inlineStr">
        <is>
          <t>2026-08-28</t>
        </is>
      </c>
      <c r="BC189" s="65" t="n">
        <v>0</v>
      </c>
      <c r="BD189" s="68" t="n">
        <v>-797.7</v>
      </c>
      <c r="BE189" s="63" t="inlineStr">
        <is>
          <t>N</t>
        </is>
      </c>
      <c r="BF189" s="63" t="inlineStr">
        <is>
          <t>n/m</t>
        </is>
      </c>
      <c r="BG189" s="74" t="n"/>
      <c r="BH189" s="74" t="n"/>
      <c r="BI189" s="63" t="inlineStr">
        <is>
          <t>pre-rev</t>
        </is>
      </c>
      <c r="BJ189" s="75">
        <f>IF('BBG Verify'!S189="","not filed — run on terminal",'BBG Verify'!S189)</f>
        <v/>
      </c>
      <c r="BK189" s="76" t="inlineStr">
        <is>
          <t>N</t>
        </is>
      </c>
      <c r="BL189" s="77">
        <f>IF('BBG Verify'!K189="","not filed — run on terminal",'BBG Verify'!K189)</f>
        <v/>
      </c>
      <c r="BM189" s="63" t="inlineStr">
        <is>
          <t>N/A</t>
        </is>
      </c>
      <c r="BN189" s="63" t="inlineStr">
        <is>
          <t>N/A</t>
        </is>
      </c>
      <c r="BO189" s="63" t="inlineStr">
        <is>
          <t>N/A</t>
        </is>
      </c>
      <c r="BP189" s="63" t="inlineStr">
        <is>
          <t>N/A</t>
        </is>
      </c>
      <c r="BQ189" s="63" t="inlineStr">
        <is>
          <t>N/A</t>
        </is>
      </c>
      <c r="BR189" s="63" t="inlineStr">
        <is>
          <t>N/A</t>
        </is>
      </c>
      <c r="BS189" s="76" t="inlineStr">
        <is>
          <t>China International Capital Corporation Hong Kong Securities Limited</t>
        </is>
      </c>
      <c r="BT189" s="63" t="inlineStr">
        <is>
          <t>China International Capital Corporation Hong Kong Securities Limited</t>
        </is>
      </c>
      <c r="BU189" s="63" t="inlineStr">
        <is>
          <t>Guotai Junan Securities (Hong Kong) Limited; CCB International Capital Limited; Guosen Securities (HK) Capital Company Limited; Fosun International Securities Limited; Patrons Securities Limited; Eddid Securities and Futures Limited; ABCI Capital Limited; Valuable Capital Limited; Futu Securities International (Hong Kong) Limited; CNCB (Hong Kong) Capital Limited; Central China International Capital Limited</t>
        </is>
      </c>
      <c r="BV189" s="63" t="inlineStr">
        <is>
          <t>ABCI Securities Company Limited; BOCI Asia Limited; CCB International Capital Limited; CEB International Capital Corporation Limited; Central China International Capital Limited; China International Capital Corporation Hong Kong Securities Limited; CNCB (Hong Kong) Capital Limited; Dragonstone Capital Management Limited; Eddid Securities and Futures Limited; Fosun International Securities Limited; Futu Securities International (Hong Kong) Limited; GF Securities (Hong Kong) Brokerage Limited</t>
        </is>
      </c>
      <c r="BW189" s="78">
        <f>HYPERLINK("https://www1.hkexnews.hk/listedco/listconews/sehk/2023/0425/2023042500039.pdf","prospectus")</f>
        <v/>
      </c>
      <c r="BX189" s="78">
        <f>HYPERLINK("https://www1.hkexnews.hk/listedco/listconews/sehk/2023/0505/2023050500008.htm","allotment")</f>
        <v/>
      </c>
      <c r="BY189" s="78">
        <f>HYPERLINK("https://www1.hkexnews.hk/listedco/listconews/sehk/2023/0528/2023052800097.pdf","stabilisation")</f>
        <v/>
      </c>
      <c r="BZ189" s="76" t="n"/>
      <c r="CA189" s="63" t="inlineStr">
        <is>
          <t>P/E: n/m — loss-making at IPO (use P/S) · A/H: no A-share listing · market cap: estimate from deal size / offer % of enlarged capital disagreed with the published listing cap — published figure adopted · P/S: no revenue line in the filed P&amp;L (pre-revenue issuer) — no sales multiple can exist; the cell reads pre-rev, not blank · deal size: stated gross HK$35.0m rejected — the filing's own 10,386,000 offer shares at HK$32.80 come to HK$340.7m, so the stated figure is a tranche or the greenshoe · grey market: no grey-market headline on file for this deal — AAStocks publishes one per listing but keeps only recent items on the stock's news page, and no public archive of past evening sessions exists; captured from this run onward</t>
        </is>
      </c>
    </row>
    <row r="190" ht="15" customHeight="1">
      <c r="A190" s="62" t="inlineStr">
        <is>
          <t>2442</t>
        </is>
      </c>
      <c r="B190" s="63" t="inlineStr">
        <is>
          <t>EASY SMART GP</t>
        </is>
      </c>
      <c r="C190" s="63" t="inlineStr">
        <is>
          <t>怡俊集團控股</t>
        </is>
      </c>
      <c r="D190" s="63" t="inlineStr">
        <is>
          <t>Industrials</t>
        </is>
      </c>
      <c r="E190" s="63" t="inlineStr">
        <is>
          <t>Construction / engineering</t>
        </is>
      </c>
      <c r="F190" s="63" t="inlineStr">
        <is>
          <t>Security &amp; Alarm Services</t>
        </is>
      </c>
      <c r="G190" s="63" t="inlineStr">
        <is>
          <t>Standard</t>
        </is>
      </c>
      <c r="H190" s="64" t="n">
        <v>45055</v>
      </c>
      <c r="I190" s="65" t="n">
        <v>130.6</v>
      </c>
      <c r="J190" s="63" t="inlineStr">
        <is>
          <t>gross (price x shares)</t>
        </is>
      </c>
      <c r="K190" s="66" t="n">
        <v>1.28</v>
      </c>
      <c r="L190" s="66" t="n">
        <v>1.38</v>
      </c>
      <c r="M190" s="66" t="n">
        <v>1.28</v>
      </c>
      <c r="N190" s="63" t="inlineStr">
        <is>
          <t>N</t>
        </is>
      </c>
      <c r="O190" s="67" t="n">
        <v>92.8</v>
      </c>
      <c r="P190" s="67" t="n">
        <v>0</v>
      </c>
      <c r="Q190" s="68" t="n">
        <v>560</v>
      </c>
      <c r="R190" s="63" t="inlineStr">
        <is>
          <t>aastocks:上市市值 at the struck price</t>
        </is>
      </c>
      <c r="S190" s="69" t="n">
        <v>17.27</v>
      </c>
      <c r="T190" s="70" t="n">
        <v>1.05</v>
      </c>
      <c r="U190" s="71" t="n">
        <v>0</v>
      </c>
      <c r="V190" s="68" t="n">
        <v>130.6</v>
      </c>
      <c r="W190" s="68" t="n">
        <v>102000000</v>
      </c>
      <c r="X190" s="67" t="n">
        <v>23.32</v>
      </c>
      <c r="Y190" s="63" t="n"/>
      <c r="Z190" s="63" t="n"/>
      <c r="AA190" s="67" t="n">
        <v>15</v>
      </c>
      <c r="AB190" s="72" t="n"/>
      <c r="AC190" s="66" t="n"/>
      <c r="AD190" s="72" t="n"/>
      <c r="AE190" s="63" t="n"/>
      <c r="AF190" s="63" t="n"/>
      <c r="AG190" s="63" t="inlineStr">
        <is>
          <t>lapsed (no over-allocation)</t>
        </is>
      </c>
      <c r="AH190" s="63" t="n"/>
      <c r="AI190" s="63" t="inlineStr">
        <is>
          <t>Head &amp; Shoulders Securities Limited</t>
        </is>
      </c>
      <c r="AJ190" s="63" t="inlineStr">
        <is>
          <t>Head &amp;</t>
        </is>
      </c>
      <c r="AK190" s="73" t="n">
        <v>-23.44</v>
      </c>
      <c r="AL190" s="72" t="n">
        <v>-32.03</v>
      </c>
      <c r="AM190" s="72" t="n">
        <v>12.64</v>
      </c>
      <c r="AN190" s="72" t="n">
        <v>20.31</v>
      </c>
      <c r="AO190" s="72" t="n">
        <v>26.56</v>
      </c>
      <c r="AP190" s="72" t="n">
        <v>-21.09</v>
      </c>
      <c r="AQ190" s="72" t="n">
        <v>57.14</v>
      </c>
      <c r="AR190" s="72" t="n">
        <v>65.31</v>
      </c>
      <c r="AS190" s="72" t="n">
        <v>3.07</v>
      </c>
      <c r="AT190" s="72" t="n">
        <v>20.66</v>
      </c>
      <c r="AU190" s="72" t="n">
        <v>30.9</v>
      </c>
      <c r="AV190" s="72" t="n">
        <v>-21.01</v>
      </c>
      <c r="AW190" s="72" t="n">
        <v>67.06</v>
      </c>
      <c r="AX190" s="72" t="n">
        <v>-4.34</v>
      </c>
      <c r="AY190" s="72" t="n">
        <v>-1.75</v>
      </c>
      <c r="AZ190" s="63" t="inlineStr">
        <is>
          <t>Hang Seng Commerce &amp; Industry sub-index</t>
        </is>
      </c>
      <c r="BA190" s="72" t="n">
        <v>8360.940000000001</v>
      </c>
      <c r="BB190" s="64" t="inlineStr">
        <is>
          <t>2026-08-28</t>
        </is>
      </c>
      <c r="BC190" s="65" t="n">
        <v>240.5</v>
      </c>
      <c r="BD190" s="68" t="n">
        <v>28.8</v>
      </c>
      <c r="BE190" s="63" t="inlineStr">
        <is>
          <t>Y</t>
        </is>
      </c>
      <c r="BF190" s="74" t="n">
        <v>19.4</v>
      </c>
      <c r="BG190" s="74" t="n"/>
      <c r="BH190" s="74" t="n"/>
      <c r="BI190" s="74" t="n">
        <v>2.3</v>
      </c>
      <c r="BJ190" s="75">
        <f>IF('BBG Verify'!S190="","not filed — run on terminal",'BBG Verify'!S190)</f>
        <v/>
      </c>
      <c r="BK190" s="76" t="inlineStr">
        <is>
          <t>N</t>
        </is>
      </c>
      <c r="BL190" s="77">
        <f>IF('BBG Verify'!K190="","not filed — run on terminal",'BBG Verify'!K190)</f>
        <v/>
      </c>
      <c r="BM190" s="63" t="inlineStr">
        <is>
          <t>N/A</t>
        </is>
      </c>
      <c r="BN190" s="63" t="inlineStr">
        <is>
          <t>N/A</t>
        </is>
      </c>
      <c r="BO190" s="63" t="inlineStr">
        <is>
          <t>N/A</t>
        </is>
      </c>
      <c r="BP190" s="63" t="inlineStr">
        <is>
          <t>N/A</t>
        </is>
      </c>
      <c r="BQ190" s="63" t="inlineStr">
        <is>
          <t>N/A</t>
        </is>
      </c>
      <c r="BR190" s="63" t="inlineStr">
        <is>
          <t>N/A</t>
        </is>
      </c>
      <c r="BS190" s="76" t="n"/>
      <c r="BT190" s="63" t="inlineStr">
        <is>
          <t>Grande Capital Limited</t>
        </is>
      </c>
      <c r="BU190" s="63" t="inlineStr">
        <is>
          <t>Astrum Capital Management Limited; Beta International Securities Limited; CMBC Securities Company Limited; Eddid Securities and Futures Limited; Grande Capital Limited; Head &amp; Shoulders Securities Limited</t>
        </is>
      </c>
      <c r="BV190" s="63" t="inlineStr">
        <is>
          <t>Astrum Capital Management Limited; Beta International Securities Limited; CMBC Securities Company Limited; Eddid Securities and Futures Limited; Grande Capital Limited; Head &amp; Shoulders Securities Limited; Maxa Capital Limited</t>
        </is>
      </c>
      <c r="BW190" s="78">
        <f>HYPERLINK("https://www1.hkexnews.hk/listedco/listconews/sehk/2023/0425/2023042500029.pdf","prospectus")</f>
        <v/>
      </c>
      <c r="BX190" s="78">
        <f>HYPERLINK("https://www1.hkexnews.hk/listedco/listconews/sehk/2023/0508/2023050800004.htm","allotment")</f>
        <v/>
      </c>
      <c r="BY190" s="78">
        <f>HYPERLINK("https://www1.hkexnews.hk/listedco/listconews/sehk/2023/0529/2023052900093.pdf","stabilisation")</f>
        <v/>
      </c>
      <c r="BZ190" s="76" t="n"/>
      <c r="CA190" s="63" t="inlineStr">
        <is>
          <t>greenshoe: over-allotment outcome already published, and the allotment announcement does not state the stabilisation expiry in a parsable form — the expiry no longer matters once resolved · A/H: no A-share listing · sponsor: English name not in the filing text; AAStocks 保薦人 shown · market cap: estimate from deal size / offer % of enlarged capital disagreed with the published listing cap — published figure adopted · cornerstone list: no cornerstone tranche in this deal · grey market: no grey-market headline on file for this deal — AAStocks publishes one per listing but keeps only recent items on the stock's news page, and no public archive of past evening sessions exists; captured from this run onward</t>
        </is>
      </c>
    </row>
    <row r="191" ht="15" customHeight="1">
      <c r="A191" s="62" t="inlineStr">
        <is>
          <t>2486</t>
        </is>
      </c>
      <c r="B191" s="63" t="inlineStr">
        <is>
          <t>PLUS GP HOLDING</t>
        </is>
      </c>
      <c r="C191" s="63" t="inlineStr">
        <is>
          <t>普樂師集團控股</t>
        </is>
      </c>
      <c r="D191" s="63" t="inlineStr">
        <is>
          <t>TMT-other</t>
        </is>
      </c>
      <c r="E191" s="63" t="inlineStr">
        <is>
          <t>Media / advertising</t>
        </is>
      </c>
      <c r="F191" s="63" t="inlineStr">
        <is>
          <t>Advertising</t>
        </is>
      </c>
      <c r="G191" s="63" t="inlineStr">
        <is>
          <t>Standard</t>
        </is>
      </c>
      <c r="H191" s="64" t="n">
        <v>45057</v>
      </c>
      <c r="I191" s="65" t="n">
        <v>265</v>
      </c>
      <c r="J191" s="63" t="inlineStr">
        <is>
          <t>gross (price x shares)</t>
        </is>
      </c>
      <c r="K191" s="66" t="n">
        <v>10.6</v>
      </c>
      <c r="L191" s="66" t="n">
        <v>11.8</v>
      </c>
      <c r="M191" s="66" t="n">
        <v>10.6</v>
      </c>
      <c r="N191" s="63" t="inlineStr">
        <is>
          <t>N</t>
        </is>
      </c>
      <c r="O191" s="67" t="n">
        <v>89.8</v>
      </c>
      <c r="P191" s="67" t="n">
        <v>0</v>
      </c>
      <c r="Q191" s="68" t="n">
        <v>1192.1</v>
      </c>
      <c r="R191" s="63" t="inlineStr">
        <is>
          <t>prospectus:stated market capitalisation, rescaled to the offer price</t>
        </is>
      </c>
      <c r="S191" s="69" t="n">
        <v>2.2</v>
      </c>
      <c r="T191" s="70" t="n">
        <v>1.2</v>
      </c>
      <c r="U191" s="71" t="n">
        <v>0</v>
      </c>
      <c r="V191" s="68" t="n">
        <v>265</v>
      </c>
      <c r="W191" s="68" t="n">
        <v>25000000</v>
      </c>
      <c r="X191" s="67" t="n">
        <v>22.23</v>
      </c>
      <c r="Y191" s="63" t="n"/>
      <c r="Z191" s="63" t="n"/>
      <c r="AA191" s="67" t="n">
        <v>11.98</v>
      </c>
      <c r="AB191" s="72" t="n"/>
      <c r="AC191" s="66" t="n"/>
      <c r="AD191" s="72" t="n"/>
      <c r="AE191" s="63" t="n"/>
      <c r="AF191" s="63" t="n"/>
      <c r="AG191" s="63" t="inlineStr">
        <is>
          <t>lapsed</t>
        </is>
      </c>
      <c r="AH191" s="63" t="inlineStr">
        <is>
          <t>2023-06-03</t>
        </is>
      </c>
      <c r="AI191" s="63" t="inlineStr">
        <is>
          <t>Jefferies Hong Kong Limited</t>
        </is>
      </c>
      <c r="AJ191" s="63" t="inlineStr">
        <is>
          <t>Jefferies</t>
        </is>
      </c>
      <c r="AK191" s="73" t="n">
        <v>-24.62</v>
      </c>
      <c r="AL191" s="72" t="n">
        <v>-1.89</v>
      </c>
      <c r="AM191" s="72" t="n">
        <v>-23.17</v>
      </c>
      <c r="AN191" s="72" t="n">
        <v>-29.25</v>
      </c>
      <c r="AO191" s="72" t="n">
        <v>-43.68</v>
      </c>
      <c r="AP191" s="72" t="n">
        <v>-50</v>
      </c>
      <c r="AQ191" s="72" t="n">
        <v>-6.14</v>
      </c>
      <c r="AR191" s="72" t="n">
        <v>-25.29</v>
      </c>
      <c r="AS191" s="72" t="n">
        <v>-33.67</v>
      </c>
      <c r="AT191" s="72" t="n">
        <v>-29.07</v>
      </c>
      <c r="AU191" s="72" t="n">
        <v>-41.87</v>
      </c>
      <c r="AV191" s="72" t="n">
        <v>-46.52</v>
      </c>
      <c r="AW191" s="72" t="n">
        <v>-23.57</v>
      </c>
      <c r="AX191" s="72" t="n">
        <v>-1.81</v>
      </c>
      <c r="AY191" s="72" t="n">
        <v>-1.72</v>
      </c>
      <c r="AZ191" s="63" t="inlineStr">
        <is>
          <t>Hang Seng Index</t>
        </is>
      </c>
      <c r="BA191" s="72" t="n">
        <v>-60.14</v>
      </c>
      <c r="BB191" s="64" t="inlineStr">
        <is>
          <t>2026-08-28</t>
        </is>
      </c>
      <c r="BC191" s="65" t="n">
        <v>679.9</v>
      </c>
      <c r="BD191" s="68" t="n">
        <v>58</v>
      </c>
      <c r="BE191" s="63" t="inlineStr">
        <is>
          <t>Y</t>
        </is>
      </c>
      <c r="BF191" s="74" t="n">
        <v>20.6</v>
      </c>
      <c r="BG191" s="74" t="n"/>
      <c r="BH191" s="74" t="n">
        <v>19.6</v>
      </c>
      <c r="BI191" s="74" t="n">
        <v>1.8</v>
      </c>
      <c r="BJ191" s="75">
        <f>IF('BBG Verify'!S191="","not filed — run on terminal",'BBG Verify'!S191)</f>
        <v/>
      </c>
      <c r="BK191" s="76" t="inlineStr">
        <is>
          <t>N</t>
        </is>
      </c>
      <c r="BL191" s="77">
        <f>IF('BBG Verify'!K191="","not filed — run on terminal",'BBG Verify'!K191)</f>
        <v/>
      </c>
      <c r="BM191" s="63" t="inlineStr">
        <is>
          <t>N/A</t>
        </is>
      </c>
      <c r="BN191" s="63" t="inlineStr">
        <is>
          <t>N/A</t>
        </is>
      </c>
      <c r="BO191" s="63" t="inlineStr">
        <is>
          <t>N/A</t>
        </is>
      </c>
      <c r="BP191" s="63" t="inlineStr">
        <is>
          <t>N/A</t>
        </is>
      </c>
      <c r="BQ191" s="63" t="inlineStr">
        <is>
          <t>N/A</t>
        </is>
      </c>
      <c r="BR191" s="63" t="inlineStr">
        <is>
          <t>N/A</t>
        </is>
      </c>
      <c r="BS191" s="76" t="inlineStr">
        <is>
          <t>Jefferies Hong Kong Limited; Guotai Junan Capital Limited</t>
        </is>
      </c>
      <c r="BT191" s="63" t="inlineStr">
        <is>
          <t>Jefferies Hong Kong Limited; Guotai Junan Capital Limited</t>
        </is>
      </c>
      <c r="BU191" s="63" t="inlineStr">
        <is>
          <t>Jefferies Hong Kong Limited; Guotai Junan Securities (Hong Kong) Limited; CCB International Capital Limited; CMB Int ernational Capital Limited; ABCI Capital Limited; SPDB International Capital Limited</t>
        </is>
      </c>
      <c r="BV191" s="63" t="inlineStr">
        <is>
          <t>ABCI Securities Company Limited; CCB International Capital Limited; Conrad Investment Services Limited; CMB International Capital Corporation Limited; Guotai Junan Securities (Hong Kong) Limited; Jefferies Hong Kong Limited; Livermore Holdings Limited; SBI China Capital Financial Services Limited; SPDB International Capital Limited</t>
        </is>
      </c>
      <c r="BW191" s="78">
        <f>HYPERLINK("https://www1.hkexnews.hk/listedco/listconews/sehk/2023/0428/2023042800147.pdf","prospectus")</f>
        <v/>
      </c>
      <c r="BX191" s="78">
        <f>HYPERLINK("https://www1.hkexnews.hk/listedco/listconews/sehk/2023/0510/2023051000024.htm","allotment")</f>
        <v/>
      </c>
      <c r="BY191" s="78">
        <f>HYPERLINK("https://www1.hkexnews.hk/listedco/listconews/sehk/2023/0604/2023060400005.pdf","stabilisation")</f>
        <v/>
      </c>
      <c r="BZ191" s="76" t="n"/>
      <c r="CA191" s="63" t="inlineStr">
        <is>
          <t>A/H: no A-share listing · market cap: prospectus states HK$1,327m at HK$11.80; rescaled to the struck HK$10.60 · cornerstone list: no cornerstone tranche in this deal · grey market: no grey-market headline on file for this deal — AAStocks publishes one per listing but keeps only recent items on the stock's news page, and no public archive of past evening sessions exists; captured from this run onward</t>
        </is>
      </c>
    </row>
    <row r="192" ht="15" customHeight="1">
      <c r="A192" s="62" t="inlineStr">
        <is>
          <t>9930</t>
        </is>
      </c>
      <c r="B192" s="63" t="inlineStr">
        <is>
          <t>HORIZON CD</t>
        </is>
      </c>
      <c r="C192" s="63" t="inlineStr">
        <is>
          <t>宏信建發</t>
        </is>
      </c>
      <c r="D192" s="63" t="inlineStr">
        <is>
          <t>Industrials</t>
        </is>
      </c>
      <c r="E192" s="63" t="inlineStr">
        <is>
          <t>Capital goods / machinery</t>
        </is>
      </c>
      <c r="F192" s="63" t="inlineStr">
        <is>
          <t>Construction &amp; Farm Machinery &amp; Heavy Trucks</t>
        </is>
      </c>
      <c r="G192" s="63" t="inlineStr">
        <is>
          <t>Standard</t>
        </is>
      </c>
      <c r="H192" s="64" t="n">
        <v>45071</v>
      </c>
      <c r="I192" s="65" t="n">
        <v>1648.4</v>
      </c>
      <c r="J192" s="63" t="inlineStr">
        <is>
          <t>gross (price x shares)</t>
        </is>
      </c>
      <c r="K192" s="66" t="n">
        <v>4.52</v>
      </c>
      <c r="L192" s="66" t="n">
        <v>4.8</v>
      </c>
      <c r="M192" s="66" t="n">
        <v>4.52</v>
      </c>
      <c r="N192" s="63" t="inlineStr">
        <is>
          <t>N</t>
        </is>
      </c>
      <c r="O192" s="67" t="n">
        <v>94.2</v>
      </c>
      <c r="P192" s="67" t="n">
        <v>0</v>
      </c>
      <c r="Q192" s="68" t="n">
        <v>12778.3</v>
      </c>
      <c r="R192" s="63" t="inlineStr">
        <is>
          <t>derived:deal size / offer % of enlarged capital</t>
        </is>
      </c>
      <c r="S192" s="69" t="n">
        <v>0.12</v>
      </c>
      <c r="T192" s="70" t="n">
        <v>1.47</v>
      </c>
      <c r="U192" s="71" t="n">
        <v>23.7</v>
      </c>
      <c r="V192" s="68" t="n">
        <v>1257.73</v>
      </c>
      <c r="W192" s="68" t="n">
        <v>278261522</v>
      </c>
      <c r="X192" s="67" t="n">
        <v>9.84</v>
      </c>
      <c r="Y192" s="63" t="inlineStr">
        <is>
          <t>HK Dongbin Joint Victory Development Co. Limited; LGMG International Limited; Shanghai Gold Ring Enterprise Group Co., Ltd; Shanghai Putuo Science and Technology Investment Co., Ltd; Xinheng Holding Limited; Zhejiang Dingli Machinery Co., Ltd; Zoomlion International Trading (H.K.) Co., Limited</t>
        </is>
      </c>
      <c r="Z192" s="63" t="inlineStr">
        <is>
          <t>dongbin;lgmg;shanghai-gold;shanghai-putuo;xinheng;zhejiang;zoomlion</t>
        </is>
      </c>
      <c r="AA192" s="67" t="n">
        <v>5.52</v>
      </c>
      <c r="AB192" s="72" t="n"/>
      <c r="AC192" s="66" t="n"/>
      <c r="AD192" s="72" t="n"/>
      <c r="AE192" s="63" t="n"/>
      <c r="AF192" s="63" t="n"/>
      <c r="AG192" s="63" t="inlineStr">
        <is>
          <t>lapsed (no over-allocation)</t>
        </is>
      </c>
      <c r="AH192" s="63" t="n"/>
      <c r="AI192" s="63" t="inlineStr">
        <is>
          <t>Huatai Financial Holdings</t>
        </is>
      </c>
      <c r="AJ192" s="63" t="inlineStr">
        <is>
          <t>Huatai</t>
        </is>
      </c>
      <c r="AK192" s="73" t="n">
        <v>-28.98</v>
      </c>
      <c r="AL192" s="72" t="n">
        <v>-27.88</v>
      </c>
      <c r="AM192" s="72" t="n">
        <v>-1.53</v>
      </c>
      <c r="AN192" s="72" t="n">
        <v>-41.37</v>
      </c>
      <c r="AO192" s="72" t="n">
        <v>-44.69</v>
      </c>
      <c r="AP192" s="72" t="n">
        <v>-36.95</v>
      </c>
      <c r="AQ192" s="72" t="n">
        <v>-17.45</v>
      </c>
      <c r="AR192" s="72" t="n">
        <v>-22.12</v>
      </c>
      <c r="AS192" s="72" t="n">
        <v>-11.22</v>
      </c>
      <c r="AT192" s="72" t="n">
        <v>-40.72</v>
      </c>
      <c r="AU192" s="72" t="n">
        <v>-45.27</v>
      </c>
      <c r="AV192" s="72" t="n">
        <v>-35.49</v>
      </c>
      <c r="AW192" s="72" t="n">
        <v>-25.1</v>
      </c>
      <c r="AX192" s="72" t="n">
        <v>0.58</v>
      </c>
      <c r="AY192" s="72" t="n">
        <v>2.98</v>
      </c>
      <c r="AZ192" s="63" t="inlineStr">
        <is>
          <t>Hang Seng Commerce &amp; Industry sub-index</t>
        </is>
      </c>
      <c r="BA192" s="72" t="n">
        <v>-83.95999999999999</v>
      </c>
      <c r="BB192" s="64" t="inlineStr">
        <is>
          <t>2026-08-28</t>
        </is>
      </c>
      <c r="BC192" s="65" t="n">
        <v>8665.4</v>
      </c>
      <c r="BD192" s="68" t="n">
        <v>733.2</v>
      </c>
      <c r="BE192" s="63" t="inlineStr">
        <is>
          <t>Y</t>
        </is>
      </c>
      <c r="BF192" s="74" t="n">
        <v>17.4</v>
      </c>
      <c r="BG192" s="74" t="n">
        <v>12.4</v>
      </c>
      <c r="BH192" s="74" t="n">
        <v>14.7</v>
      </c>
      <c r="BI192" s="74" t="n">
        <v>1.5</v>
      </c>
      <c r="BJ192" s="75">
        <f>IF('BBG Verify'!S192="","not filed — run on terminal",'BBG Verify'!S192)</f>
        <v/>
      </c>
      <c r="BK192" s="76" t="inlineStr">
        <is>
          <t>N</t>
        </is>
      </c>
      <c r="BL192" s="77">
        <f>IF('BBG Verify'!K192="","not filed — run on terminal",'BBG Verify'!K192)</f>
        <v/>
      </c>
      <c r="BM192" s="63" t="inlineStr">
        <is>
          <t>N/A</t>
        </is>
      </c>
      <c r="BN192" s="63" t="inlineStr">
        <is>
          <t>N/A</t>
        </is>
      </c>
      <c r="BO192" s="63" t="inlineStr">
        <is>
          <t>N/A</t>
        </is>
      </c>
      <c r="BP192" s="63" t="inlineStr">
        <is>
          <t>N/A</t>
        </is>
      </c>
      <c r="BQ192" s="63" t="inlineStr">
        <is>
          <t>N/A</t>
        </is>
      </c>
      <c r="BR192" s="63" t="inlineStr">
        <is>
          <t>N/A</t>
        </is>
      </c>
      <c r="BS192" s="76" t="inlineStr">
        <is>
          <t>and Sponsor-OCs Huatai Financial Holdings (Hong Kong) Limited; Citigroup Global Markets Asia Limited; CMB International Capital Limited; DBS Asia Capital Limited</t>
        </is>
      </c>
      <c r="BT192" s="63" t="inlineStr">
        <is>
          <t>Huatai Financial Holdings (Hong Kong) Limited; CMB International Capital Limited; Citigroup Global Markets Asia Limited; DBS Asia Capital Limited</t>
        </is>
      </c>
      <c r="BU192" s="63" t="inlineStr">
        <is>
          <t>Huatai Financial Holdings (Hong Kong) Limited; Citigroup Global Markets Asia Limited; CMB International Capital Limited; DBS Asia Capital Limited; 102 – CMB International Capital Limited; BOCI Asia Limited; Shenwan Hongyuan Securities (H.K.) Limited; Guotai Junan Securities (Hong Kong) Limited; BOCOM International Securities Limited; CCB International Capital Limited; ABCI Capital Limited; Zhongtai International Securities Limited</t>
        </is>
      </c>
      <c r="BV192" s="63" t="inlineStr">
        <is>
          <t>ABCI Securities Company Limited; Beta International Securities Limited; BOCI Asia Limited; CCB International Capital Limited; Citigroup Global Markets Asia Limited; CMB International Capital Limited; DBS Asia Capital Limited; Futu Securities International (Hong Kong) Limited; Guotai Junan Securities (Hong Kong) Limited; Huatai Financial Holdings (Hong Kong) Limited; Shenwan Hongyuan Securities (H.K.) Limited; Tiger Brokers (HK) Global Limited</t>
        </is>
      </c>
      <c r="BW192" s="78">
        <f>HYPERLINK("https://www1.hkexnews.hk/listedco/listconews/sehk/2023/0512/2023051200007.pdf","prospectus")</f>
        <v/>
      </c>
      <c r="BX192" s="78">
        <f>HYPERLINK("https://www1.hkexnews.hk/listedco/listconews/sehk/2023/0524/2023052400046.htm","allotment")</f>
        <v/>
      </c>
      <c r="BY192" s="78">
        <f>HYPERLINK("https://www1.hkexnews.hk/listedco/listconews/sehk/2023/0619/2023061900189.pdf","stabilisation")</f>
        <v/>
      </c>
      <c r="BZ192" s="76" t="n"/>
      <c r="CA192" s="63" t="inlineStr">
        <is>
          <t>greenshoe: over-allotment outcome already published, and the allotment announcement does not state the stabilisation expiry in a parsable form — the expiry no longer matters once resolved · A/H: no A-share listing · cornerstone: AAStocks institutional table includes non-cornerstone orders (superset) — cornerstone % is from the prospectus · grey market: no grey-market headline on file for this deal — AAStocks publishes one per listing but keeps only recent items on the stock's news page, and no public archive of past evening sessions exists; captured from this run onward</t>
        </is>
      </c>
    </row>
    <row r="193" ht="15" customHeight="1">
      <c r="A193" s="62" t="inlineStr">
        <is>
          <t>2416</t>
        </is>
      </c>
      <c r="B193" s="63" t="inlineStr">
        <is>
          <t>EDIANYUN</t>
        </is>
      </c>
      <c r="C193" s="63" t="inlineStr">
        <is>
          <t>易點雲</t>
        </is>
      </c>
      <c r="D193" s="63" t="inlineStr">
        <is>
          <t>Tech/AI</t>
        </is>
      </c>
      <c r="E193" s="63" t="inlineStr">
        <is>
          <t>SaaS / enterprise software</t>
        </is>
      </c>
      <c r="F193" s="63" t="inlineStr">
        <is>
          <t>IT Consulting &amp; Other Services</t>
        </is>
      </c>
      <c r="G193" s="63" t="inlineStr">
        <is>
          <t>Standard</t>
        </is>
      </c>
      <c r="H193" s="64" t="n">
        <v>45071</v>
      </c>
      <c r="I193" s="65" t="n">
        <v>596.9</v>
      </c>
      <c r="J193" s="63" t="inlineStr">
        <is>
          <t>gross (price x shares)</t>
        </is>
      </c>
      <c r="K193" s="66" t="n">
        <v>10</v>
      </c>
      <c r="L193" s="66" t="n">
        <v>12</v>
      </c>
      <c r="M193" s="66" t="n">
        <v>10.19</v>
      </c>
      <c r="N193" s="63" t="inlineStr">
        <is>
          <t>N</t>
        </is>
      </c>
      <c r="O193" s="67" t="n">
        <v>84.90000000000001</v>
      </c>
      <c r="P193" s="67" t="n">
        <v>9.5</v>
      </c>
      <c r="Q193" s="68" t="n">
        <v>6717.9</v>
      </c>
      <c r="R193" s="63" t="inlineStr">
        <is>
          <t>aastocks:上市市值 at the struck price</t>
        </is>
      </c>
      <c r="S193" s="69" t="n">
        <v>0.35</v>
      </c>
      <c r="T193" s="70" t="n">
        <v>1.2</v>
      </c>
      <c r="U193" s="71" t="n">
        <v>26.76</v>
      </c>
      <c r="V193" s="68" t="n">
        <v>437.17</v>
      </c>
      <c r="W193" s="68" t="n">
        <v>42900330</v>
      </c>
      <c r="X193" s="67" t="n">
        <v>6.51</v>
      </c>
      <c r="Y193" s="63" t="inlineStr">
        <is>
          <t>Orinno Investment</t>
        </is>
      </c>
      <c r="Z193" s="63" t="inlineStr">
        <is>
          <t>orinno</t>
        </is>
      </c>
      <c r="AA193" s="67" t="n">
        <v>5.34</v>
      </c>
      <c r="AB193" s="72" t="n"/>
      <c r="AC193" s="66" t="n"/>
      <c r="AD193" s="72" t="n"/>
      <c r="AE193" s="63" t="n"/>
      <c r="AF193" s="63" t="n"/>
      <c r="AG193" s="63" t="inlineStr">
        <is>
          <t>lapsed (no over-allocation)</t>
        </is>
      </c>
      <c r="AH193" s="63" t="inlineStr">
        <is>
          <t>2023-06-17</t>
        </is>
      </c>
      <c r="AI193" s="63" t="inlineStr">
        <is>
          <t>China International Capital Corporation Hong Kong Securities Limited</t>
        </is>
      </c>
      <c r="AJ193" s="63" t="inlineStr">
        <is>
          <t>China International</t>
        </is>
      </c>
      <c r="AK193" s="73" t="n">
        <v>-3.04</v>
      </c>
      <c r="AL193" s="72" t="n">
        <v>-7.16</v>
      </c>
      <c r="AM193" s="72" t="n">
        <v>4.44</v>
      </c>
      <c r="AN193" s="72" t="n">
        <v>7.95</v>
      </c>
      <c r="AO193" s="72" t="n">
        <v>2.65</v>
      </c>
      <c r="AP193" s="72" t="n">
        <v>-36.11</v>
      </c>
      <c r="AQ193" s="72" t="n">
        <v>11.33</v>
      </c>
      <c r="AR193" s="72" t="n">
        <v>5.87</v>
      </c>
      <c r="AS193" s="72" t="n">
        <v>-34.11</v>
      </c>
      <c r="AT193" s="72" t="n">
        <v>6.38</v>
      </c>
      <c r="AU193" s="72" t="n">
        <v>-2.7</v>
      </c>
      <c r="AV193" s="72" t="n">
        <v>-44.05</v>
      </c>
      <c r="AW193" s="72" t="n">
        <v>-1.39</v>
      </c>
      <c r="AX193" s="72" t="n">
        <v>5.35</v>
      </c>
      <c r="AY193" s="72" t="n">
        <v>7.26</v>
      </c>
      <c r="AZ193" s="63" t="inlineStr">
        <is>
          <t>HSTECH (Hang Seng TECH ETF)</t>
        </is>
      </c>
      <c r="BA193" s="72" t="n">
        <v>-63.2</v>
      </c>
      <c r="BB193" s="64" t="inlineStr">
        <is>
          <t>2026-08-28</t>
        </is>
      </c>
      <c r="BC193" s="65" t="n">
        <v>1509.1</v>
      </c>
      <c r="BD193" s="68" t="n">
        <v>-672.8</v>
      </c>
      <c r="BE193" s="63" t="inlineStr">
        <is>
          <t>N</t>
        </is>
      </c>
      <c r="BF193" s="63" t="inlineStr">
        <is>
          <t>n/m</t>
        </is>
      </c>
      <c r="BG193" s="74" t="n"/>
      <c r="BH193" s="74" t="n">
        <v>12.7</v>
      </c>
      <c r="BI193" s="74" t="n">
        <v>4.5</v>
      </c>
      <c r="BJ193" s="75">
        <f>IF('BBG Verify'!S193="","not filed — run on terminal",'BBG Verify'!S193)</f>
        <v/>
      </c>
      <c r="BK193" s="76" t="inlineStr">
        <is>
          <t>N</t>
        </is>
      </c>
      <c r="BL193" s="77">
        <f>IF('BBG Verify'!K193="","not filed — run on terminal",'BBG Verify'!K193)</f>
        <v/>
      </c>
      <c r="BM193" s="63" t="inlineStr">
        <is>
          <t>N/A</t>
        </is>
      </c>
      <c r="BN193" s="63" t="inlineStr">
        <is>
          <t>N/A</t>
        </is>
      </c>
      <c r="BO193" s="63" t="inlineStr">
        <is>
          <t>N/A</t>
        </is>
      </c>
      <c r="BP193" s="63" t="inlineStr">
        <is>
          <t>N/A</t>
        </is>
      </c>
      <c r="BQ193" s="63" t="inlineStr">
        <is>
          <t>N/A</t>
        </is>
      </c>
      <c r="BR193" s="63" t="inlineStr">
        <is>
          <t>N/A</t>
        </is>
      </c>
      <c r="BS193" s="76" t="n"/>
      <c r="BT193" s="63" t="inlineStr">
        <is>
          <t>China International Capital Corporation Hong Kong Securities Limited</t>
        </is>
      </c>
      <c r="BU193" s="63" t="inlineStr">
        <is>
          <t>China International Capital Corporation Hong Kong Securities Limited; Credit Suisse (Hong Kong) Limited; CLSA Limited</t>
        </is>
      </c>
      <c r="BV193" s="63" t="inlineStr">
        <is>
          <t>China International Capital Corporation Hong Kong Securities Limited; CLSA Limited; Credit Suisse (Hong Kong) Limited; Dongxing Securities (Hong Kong) Company Limited; Futu Securities International (Hong Kong) Limited; Tiger Brokers (HK) Global Limited; Valuable Capital Limited</t>
        </is>
      </c>
      <c r="BW193" s="78">
        <f>HYPERLINK("https://www1.hkexnews.hk/listedco/listconews/sehk/2023/0515/2023051500005.pdf","prospectus")</f>
        <v/>
      </c>
      <c r="BX193" s="78">
        <f>HYPERLINK("https://www1.hkexnews.hk/listedco/listconews/sehk/2023/0524/2023052400060.htm","allotment")</f>
        <v/>
      </c>
      <c r="BY193" s="78">
        <f>HYPERLINK("https://www1.hkexnews.hk/listedco/listconews/sehk/2023/0618/2023061800019.pdf","stabilisation")</f>
        <v/>
      </c>
      <c r="BZ193" s="76" t="n"/>
      <c r="CA193" s="63" t="inlineStr">
        <is>
          <t>P/E: n/m — loss-making at IPO (use P/S) · A/H: no A-share listing · sponsor: English name not in the filing text; AAStocks 保薦人 shown · market cap: estimate from stated market capitalisation, rescaled to the offer price disagreed with the published listing cap — published figure adopted · grey market: no grey-market headline on file for this deal — AAStocks publishes one per listing but keeps only recent items on the stock's news page, and no public archive of past evening sessions exists; captured from this run onward</t>
        </is>
      </c>
    </row>
    <row r="194" ht="15" customHeight="1">
      <c r="A194" s="62" t="inlineStr">
        <is>
          <t>2487</t>
        </is>
      </c>
      <c r="B194" s="63" t="inlineStr">
        <is>
          <t>CUTIA-B</t>
        </is>
      </c>
      <c r="C194" s="63" t="inlineStr">
        <is>
          <t>科笛－Ｂ</t>
        </is>
      </c>
      <c r="D194" s="63" t="inlineStr">
        <is>
          <t>Healthcare</t>
        </is>
      </c>
      <c r="E194" s="63" t="inlineStr">
        <is>
          <t>Biotech pre-revenue (18A)</t>
        </is>
      </c>
      <c r="F194" s="63" t="inlineStr">
        <is>
          <t>Biotechnology - Pharmaceuticals</t>
        </is>
      </c>
      <c r="G194" s="63" t="inlineStr">
        <is>
          <t>18A</t>
        </is>
      </c>
      <c r="H194" s="64" t="n">
        <v>45089</v>
      </c>
      <c r="I194" s="65" t="n">
        <v>465</v>
      </c>
      <c r="J194" s="63" t="inlineStr">
        <is>
          <t>gross (price x shares)</t>
        </is>
      </c>
      <c r="K194" s="66" t="n"/>
      <c r="L194" s="66" t="n">
        <v>21.85</v>
      </c>
      <c r="M194" s="66" t="n">
        <v>21.85</v>
      </c>
      <c r="N194" s="63" t="inlineStr">
        <is>
          <t>Y</t>
        </is>
      </c>
      <c r="O194" s="67" t="n">
        <v>100</v>
      </c>
      <c r="P194" s="67" t="n"/>
      <c r="Q194" s="68" t="n">
        <v>6278</v>
      </c>
      <c r="R194" s="63" t="inlineStr">
        <is>
          <t>prospectus:stated market capitalisation</t>
        </is>
      </c>
      <c r="S194" s="69" t="n">
        <v>1.41</v>
      </c>
      <c r="T194" s="70" t="n">
        <v>1.07</v>
      </c>
      <c r="U194" s="71" t="n">
        <v>38.9</v>
      </c>
      <c r="V194" s="68" t="n">
        <v>284.12</v>
      </c>
      <c r="W194" s="68" t="n">
        <v>13003180</v>
      </c>
      <c r="X194" s="67" t="n">
        <v>4.53</v>
      </c>
      <c r="Y194" s="63" t="inlineStr">
        <is>
          <t>Harvest Great Bay Investment SP; So-Young Hong Kong Limited; Wuxi Xinhongdi Venture Capital Partnership (Limited Partnership)</t>
        </is>
      </c>
      <c r="Z194" s="63" t="inlineStr">
        <is>
          <t>harvest;so;wuxi</t>
        </is>
      </c>
      <c r="AA194" s="67" t="n">
        <v>18.67</v>
      </c>
      <c r="AB194" s="72" t="n"/>
      <c r="AC194" s="66" t="n"/>
      <c r="AD194" s="72" t="n"/>
      <c r="AE194" s="63" t="n"/>
      <c r="AF194" s="63" t="n"/>
      <c r="AG194" s="63" t="inlineStr">
        <is>
          <t>lapsed</t>
        </is>
      </c>
      <c r="AH194" s="63" t="inlineStr">
        <is>
          <t>2023-07-05</t>
        </is>
      </c>
      <c r="AI194" s="63" t="inlineStr">
        <is>
          <t>China International Capital Corporation Hong Kong Securities Limited</t>
        </is>
      </c>
      <c r="AJ194" s="63" t="inlineStr">
        <is>
          <t>China International</t>
        </is>
      </c>
      <c r="AK194" s="73" t="n">
        <v>0.46</v>
      </c>
      <c r="AL194" s="72" t="n">
        <v>-0.23</v>
      </c>
      <c r="AM194" s="72" t="n">
        <v>0.6899999999999999</v>
      </c>
      <c r="AN194" s="72" t="n">
        <v>38.67</v>
      </c>
      <c r="AO194" s="72" t="n">
        <v>-1.6</v>
      </c>
      <c r="AP194" s="72" t="n">
        <v>1.37</v>
      </c>
      <c r="AQ194" s="72" t="n">
        <v>38.04</v>
      </c>
      <c r="AR194" s="72" t="n">
        <v>-2.05</v>
      </c>
      <c r="AS194" s="72" t="n">
        <v>0.91</v>
      </c>
      <c r="AT194" s="72" t="n">
        <v>36.95</v>
      </c>
      <c r="AU194" s="72" t="n">
        <v>2.24</v>
      </c>
      <c r="AV194" s="72" t="n">
        <v>7.31</v>
      </c>
      <c r="AW194" s="72" t="n">
        <v>0.76</v>
      </c>
      <c r="AX194" s="72" t="n">
        <v>-3.84</v>
      </c>
      <c r="AY194" s="72" t="n">
        <v>-2.81</v>
      </c>
      <c r="AZ194" s="63" t="inlineStr">
        <is>
          <t>China Biotech ETF (HS biotech proxy)</t>
        </is>
      </c>
      <c r="BA194" s="72" t="n">
        <v>-91.05</v>
      </c>
      <c r="BB194" s="64" t="inlineStr">
        <is>
          <t>2026-08-28</t>
        </is>
      </c>
      <c r="BC194" s="65" t="n">
        <v>12.5</v>
      </c>
      <c r="BD194" s="68" t="n">
        <v>-611.4</v>
      </c>
      <c r="BE194" s="63" t="inlineStr">
        <is>
          <t>N</t>
        </is>
      </c>
      <c r="BF194" s="63" t="inlineStr">
        <is>
          <t>n/m</t>
        </is>
      </c>
      <c r="BG194" s="74" t="n"/>
      <c r="BH194" s="74" t="n"/>
      <c r="BI194" s="74" t="n">
        <v>502.2</v>
      </c>
      <c r="BJ194" s="75">
        <f>IF('BBG Verify'!S194="","not filed — run on terminal",'BBG Verify'!S194)</f>
        <v/>
      </c>
      <c r="BK194" s="76" t="inlineStr">
        <is>
          <t>N</t>
        </is>
      </c>
      <c r="BL194" s="77">
        <f>IF('BBG Verify'!K194="","not filed — run on terminal",'BBG Verify'!K194)</f>
        <v/>
      </c>
      <c r="BM194" s="63" t="inlineStr">
        <is>
          <t>N/A</t>
        </is>
      </c>
      <c r="BN194" s="63" t="inlineStr">
        <is>
          <t>N/A</t>
        </is>
      </c>
      <c r="BO194" s="63" t="inlineStr">
        <is>
          <t>N/A</t>
        </is>
      </c>
      <c r="BP194" s="63" t="inlineStr">
        <is>
          <t>N/A</t>
        </is>
      </c>
      <c r="BQ194" s="63" t="inlineStr">
        <is>
          <t>N/A</t>
        </is>
      </c>
      <c r="BR194" s="63" t="inlineStr">
        <is>
          <t>N/A</t>
        </is>
      </c>
      <c r="BS194" s="76" t="n"/>
      <c r="BT194" s="63" t="inlineStr">
        <is>
          <t>China International Capital Corporation Hong Kong Securities Limited</t>
        </is>
      </c>
      <c r="BU194" s="63" t="inlineStr">
        <is>
          <t>BOCI Asia Limited; China International Capital Corporation Hong Kong Securities Limited; CLSA Limited; CMB International Capital Limited; Deutsche Bank AG, Hong Kong Branch; Futu Securities International (Hong Kong) Limited</t>
        </is>
      </c>
      <c r="BV194" s="63" t="inlineStr">
        <is>
          <t>BOCI Asia Limited; China International Capital Corporation Hong Kong Securities Limited; CLSA Limited; CMB International Capital Limited; Deutsche Bank AG, Hong Kong Branch; Futu Securities International (Hong Kong) Limited; Huatai Financial Holdings (Hong Kong) Limited; Silverbricks Securities Company Limited; Tiger Brokers (HK) Global Limited; UOB Kay Hian (Hong Kong) Limited; Valuable Capital Limited</t>
        </is>
      </c>
      <c r="BW194" s="78">
        <f>HYPERLINK("https://www1.hkexnews.hk/listedco/listconews/sehk/2023/0531/2023053100174.htm","prospectus")</f>
        <v/>
      </c>
      <c r="BX194" s="78">
        <f>HYPERLINK("https://www1.hkexnews.hk/listedco/listconews/sehk/2023/0609/2023060900016.htm","allotment")</f>
        <v/>
      </c>
      <c r="BY194" s="78">
        <f>HYPERLINK("https://www1.hkexnews.hk/listedco/listconews/sehk/2023/0705/2023070500577.pdf","stabilisation")</f>
        <v/>
      </c>
      <c r="BZ194" s="76" t="n"/>
      <c r="CA194" s="63" t="inlineStr">
        <is>
          <t>P/E: n/m — loss-making at IPO (use P/S) · price range: fixed-price offering (no indicative range) · range low: cap-only pricing — the filing publishes a Maximum Offer Price and no indicative floor · A/H: no A-share listing · sponsor: English name not in the filing text; AAStocks 保薦人 shown · cornerstone %: AAStocks institutional-order total / deal size — an upper bound; the table can include non-cornerstone orders · P/S: 502x on HK$12.5m revenue — effectively pre-revenue; the multiple is shown for completeness, not comparability · deal size: stated gross HK$23.9m rejected — below the deal's own net proceeds HK$392.7m, which cannot happen · grey market: no grey-market headline on file for this deal — AAStocks publishes one per listing but keeps only recent items on the stock's news page, and no public archive of past evening sessions exists; captured from this run onward</t>
        </is>
      </c>
    </row>
    <row r="195" ht="15" customHeight="1">
      <c r="A195" s="62" t="inlineStr">
        <is>
          <t>9885</t>
        </is>
      </c>
      <c r="B195" s="63" t="inlineStr">
        <is>
          <t>YSB</t>
        </is>
      </c>
      <c r="C195" s="63" t="inlineStr">
        <is>
          <t>藥師幫</t>
        </is>
      </c>
      <c r="D195" s="63" t="inlineStr">
        <is>
          <t>Healthcare</t>
        </is>
      </c>
      <c r="E195" s="63" t="inlineStr">
        <is>
          <t>Digital health</t>
        </is>
      </c>
      <c r="F195" s="63" t="inlineStr">
        <is>
          <t>Pharmaceuticals</t>
        </is>
      </c>
      <c r="G195" s="63" t="inlineStr">
        <is>
          <t>Standard</t>
        </is>
      </c>
      <c r="H195" s="64" t="n">
        <v>45105</v>
      </c>
      <c r="I195" s="65" t="n">
        <v>316.2</v>
      </c>
      <c r="J195" s="63" t="inlineStr">
        <is>
          <t>gross (price x shares)</t>
        </is>
      </c>
      <c r="K195" s="66" t="n"/>
      <c r="L195" s="66" t="n">
        <v>20</v>
      </c>
      <c r="M195" s="66" t="n">
        <v>20</v>
      </c>
      <c r="N195" s="63" t="inlineStr">
        <is>
          <t>Y</t>
        </is>
      </c>
      <c r="O195" s="67" t="n">
        <v>100</v>
      </c>
      <c r="P195" s="67" t="n"/>
      <c r="Q195" s="68" t="n">
        <v>13309.3</v>
      </c>
      <c r="R195" s="63" t="inlineStr">
        <is>
          <t>aastocks:上市市值 at the struck price</t>
        </is>
      </c>
      <c r="S195" s="69" t="n">
        <v>5.6</v>
      </c>
      <c r="T195" s="70" t="n">
        <v>2.08</v>
      </c>
      <c r="U195" s="71" t="n">
        <v>42.4</v>
      </c>
      <c r="V195" s="68" t="n">
        <v>182.13</v>
      </c>
      <c r="W195" s="68" t="n">
        <v>9105869</v>
      </c>
      <c r="X195" s="67" t="n">
        <v>1.37</v>
      </c>
      <c r="Y195" s="63" t="inlineStr">
        <is>
          <t>ZGC International Limited</t>
        </is>
      </c>
      <c r="Z195" s="63" t="inlineStr">
        <is>
          <t>zgc</t>
        </is>
      </c>
      <c r="AA195" s="67" t="n"/>
      <c r="AB195" s="72" t="n"/>
      <c r="AC195" s="66" t="n"/>
      <c r="AD195" s="72" t="n"/>
      <c r="AE195" s="63" t="n"/>
      <c r="AF195" s="63" t="n"/>
      <c r="AG195" s="63" t="inlineStr">
        <is>
          <t>partial</t>
        </is>
      </c>
      <c r="AH195" s="63" t="inlineStr">
        <is>
          <t>2023-07-20</t>
        </is>
      </c>
      <c r="AI195" s="63" t="inlineStr">
        <is>
          <t>China International Capital Corporation Hong Kong Securities Limited</t>
        </is>
      </c>
      <c r="AJ195" s="63" t="inlineStr">
        <is>
          <t>China International</t>
        </is>
      </c>
      <c r="AK195" s="73" t="n">
        <v>5.5</v>
      </c>
      <c r="AL195" s="72" t="n">
        <v>15.25</v>
      </c>
      <c r="AM195" s="72" t="n">
        <v>-8.460000000000001</v>
      </c>
      <c r="AN195" s="72" t="n">
        <v>22.5</v>
      </c>
      <c r="AO195" s="72" t="n">
        <v>147.5</v>
      </c>
      <c r="AP195" s="72" t="n">
        <v>154.5</v>
      </c>
      <c r="AQ195" s="72" t="n">
        <v>16.11</v>
      </c>
      <c r="AR195" s="72" t="n">
        <v>134.6</v>
      </c>
      <c r="AS195" s="72" t="n">
        <v>141.23</v>
      </c>
      <c r="AT195" s="72" t="n">
        <v>19.59</v>
      </c>
      <c r="AU195" s="72" t="n">
        <v>140.71</v>
      </c>
      <c r="AV195" s="72" t="n">
        <v>151.87</v>
      </c>
      <c r="AW195" s="72" t="n">
        <v>127.14</v>
      </c>
      <c r="AX195" s="72" t="n">
        <v>6.79</v>
      </c>
      <c r="AY195" s="72" t="n">
        <v>7.46</v>
      </c>
      <c r="AZ195" s="63" t="inlineStr">
        <is>
          <t>China Biotech ETF (HS biotech proxy)</t>
        </is>
      </c>
      <c r="BA195" s="72" t="n">
        <v>-82.08</v>
      </c>
      <c r="BB195" s="64" t="inlineStr">
        <is>
          <t>2026-08-28</t>
        </is>
      </c>
      <c r="BC195" s="65" t="n">
        <v>15702.3</v>
      </c>
      <c r="BD195" s="68" t="n">
        <v>-1650</v>
      </c>
      <c r="BE195" s="63" t="inlineStr">
        <is>
          <t>N</t>
        </is>
      </c>
      <c r="BF195" s="63" t="inlineStr">
        <is>
          <t>n/m</t>
        </is>
      </c>
      <c r="BG195" s="74" t="n"/>
      <c r="BH195" s="74" t="n">
        <v>13.5</v>
      </c>
      <c r="BI195" s="74" t="n">
        <v>0.8</v>
      </c>
      <c r="BJ195" s="75">
        <f>IF('BBG Verify'!S195="","not filed — run on terminal",'BBG Verify'!S195)</f>
        <v/>
      </c>
      <c r="BK195" s="76" t="inlineStr">
        <is>
          <t>N</t>
        </is>
      </c>
      <c r="BL195" s="77">
        <f>IF('BBG Verify'!K195="","not filed — run on terminal",'BBG Verify'!K195)</f>
        <v/>
      </c>
      <c r="BM195" s="63" t="inlineStr">
        <is>
          <t>N/A</t>
        </is>
      </c>
      <c r="BN195" s="63" t="inlineStr">
        <is>
          <t>N/A</t>
        </is>
      </c>
      <c r="BO195" s="63" t="inlineStr">
        <is>
          <t>N/A</t>
        </is>
      </c>
      <c r="BP195" s="63" t="inlineStr">
        <is>
          <t>N/A</t>
        </is>
      </c>
      <c r="BQ195" s="63" t="inlineStr">
        <is>
          <t>N/A</t>
        </is>
      </c>
      <c r="BR195" s="63" t="inlineStr">
        <is>
          <t>N/A</t>
        </is>
      </c>
      <c r="BS195" s="76" t="n"/>
      <c r="BT195" s="63" t="inlineStr">
        <is>
          <t>China International Capital Corporation Hong Kong Securities Limited</t>
        </is>
      </c>
      <c r="BU195" s="63" t="inlineStr">
        <is>
          <t>ABCI Securities Company Limited; China International Capital Corporation Hong Kong Securities Limited; CMB International Capital Limited; Fosun International Securities Limited; Futu Securities International (Hong Kong) Limited; ICBC International Securities Limited</t>
        </is>
      </c>
      <c r="BV195" s="63" t="inlineStr">
        <is>
          <t>ABCI Securities Company Limited; China International Capital Corporation Hong Kong Securities Limited; CMB International Capital Limited; Fosun International Securities Limited; Futu Securities International (Hong Kong) Limited; ICBC International Securities Limited; Patrons Securities Limited; Tiger Brokers (HK) Global Limited; Valuable Capital Limited</t>
        </is>
      </c>
      <c r="BW195" s="78">
        <f>HYPERLINK("https://www1.hkexnews.hk/listedco/listconews/sehk/2023/0615/2023061500046.htm","prospectus")</f>
        <v/>
      </c>
      <c r="BX195" s="78">
        <f>HYPERLINK("https://www1.hkexnews.hk/listedco/listconews/sehk/2023/0627/2023062700054.htm","allotment")</f>
        <v/>
      </c>
      <c r="BY195" s="78">
        <f>HYPERLINK("https://www1.hkexnews.hk/listedco/listconews/sehk/2023/0720/2023072001211.pdf","stabilisation")</f>
        <v/>
      </c>
      <c r="BZ195" s="76" t="n"/>
      <c r="CA195" s="63" t="inlineStr">
        <is>
          <t>P/E: n/m — loss-making at IPO (use P/S) · price range: fixed-price offering (no indicative range) · range low: cap-only pricing — the filing publishes a Maximum Offer Price and no indicative floor · A/H: no A-share listing · sponsor: English name not in the filing text; AAStocks 保薦人 shown · market cap: prospectus 'market capitalisation' line rejected — it is the listing-rule threshold, not the issuer's figure ("illion, which is over HK$500 million; and (ii) our expected market capitalisation at the time of Listing, whic") · greenshoe size: no over-allotment option in the offer structure · grey market: no grey-market headline on file for this deal — AAStocks publishes one per listing but keeps only recent items on the stock's news page, and no public archive of past evening sessions exists; captured from this run onward</t>
        </is>
      </c>
    </row>
    <row r="196" ht="15" customHeight="1">
      <c r="A196" s="62" t="inlineStr">
        <is>
          <t>2105</t>
        </is>
      </c>
      <c r="B196" s="63" t="inlineStr">
        <is>
          <t>LAEKNA-B</t>
        </is>
      </c>
      <c r="C196" s="63" t="inlineStr">
        <is>
          <t>來凱醫藥－Ｂ</t>
        </is>
      </c>
      <c r="D196" s="63" t="inlineStr">
        <is>
          <t>Healthcare</t>
        </is>
      </c>
      <c r="E196" s="63" t="inlineStr">
        <is>
          <t>Biotech pre-revenue (18A)</t>
        </is>
      </c>
      <c r="F196" s="63" t="inlineStr">
        <is>
          <t>Health Care Services</t>
        </is>
      </c>
      <c r="G196" s="63" t="inlineStr">
        <is>
          <t>18A</t>
        </is>
      </c>
      <c r="H196" s="64" t="n">
        <v>45106</v>
      </c>
      <c r="I196" s="65" t="n">
        <v>790.9</v>
      </c>
      <c r="J196" s="63" t="inlineStr">
        <is>
          <t>gross (price x shares)</t>
        </is>
      </c>
      <c r="K196" s="66" t="n"/>
      <c r="L196" s="66" t="n">
        <v>12.41</v>
      </c>
      <c r="M196" s="66" t="n">
        <v>12.41</v>
      </c>
      <c r="N196" s="63" t="inlineStr">
        <is>
          <t>Y</t>
        </is>
      </c>
      <c r="O196" s="67" t="n">
        <v>100</v>
      </c>
      <c r="P196" s="67" t="n"/>
      <c r="Q196" s="68" t="n">
        <v>4841.1</v>
      </c>
      <c r="R196" s="63" t="inlineStr">
        <is>
          <t>prospectus:stated market capitalisation</t>
        </is>
      </c>
      <c r="S196" s="69" t="n">
        <v>5.81</v>
      </c>
      <c r="T196" s="70" t="n">
        <v>1.09</v>
      </c>
      <c r="U196" s="71" t="n">
        <v>86</v>
      </c>
      <c r="V196" s="68" t="n">
        <v>110.73</v>
      </c>
      <c r="W196" s="68" t="n">
        <v>8921920</v>
      </c>
      <c r="X196" s="67" t="n">
        <v>2.29</v>
      </c>
      <c r="Y196" s="63" t="inlineStr">
        <is>
          <t>Future Industry Investment Fund II; Ningbo Yaoshang Yanchuang Chenkai Venture Capital Partnership; OrbiMed Asia Partners III, L.P; Yuyao Yangming Equity Investment Fund Co., Ltd</t>
        </is>
      </c>
      <c r="Z196" s="63" t="inlineStr">
        <is>
          <t>future;ningbo;orbimed;yuyao</t>
        </is>
      </c>
      <c r="AA196" s="67" t="n"/>
      <c r="AB196" s="72" t="n"/>
      <c r="AC196" s="66" t="n"/>
      <c r="AD196" s="72" t="n"/>
      <c r="AE196" s="63" t="n"/>
      <c r="AF196" s="63" t="n"/>
      <c r="AG196" s="63" t="n"/>
      <c r="AH196" s="63" t="n"/>
      <c r="AI196" s="63" t="n"/>
      <c r="AJ196" s="63" t="n"/>
      <c r="AK196" s="73" t="n">
        <v>20.87</v>
      </c>
      <c r="AL196" s="72" t="n">
        <v>0.24</v>
      </c>
      <c r="AM196" s="72" t="n">
        <v>20.58</v>
      </c>
      <c r="AN196" s="72" t="n">
        <v>22.32</v>
      </c>
      <c r="AO196" s="72" t="n">
        <v>16.52</v>
      </c>
      <c r="AP196" s="72" t="n">
        <v>10.39</v>
      </c>
      <c r="AQ196" s="72" t="n">
        <v>1.2</v>
      </c>
      <c r="AR196" s="72" t="n">
        <v>-3.6</v>
      </c>
      <c r="AS196" s="72" t="n">
        <v>-8.67</v>
      </c>
      <c r="AT196" s="72" t="n">
        <v>20.87</v>
      </c>
      <c r="AU196" s="72" t="n">
        <v>11.37</v>
      </c>
      <c r="AV196" s="72" t="n">
        <v>7.29</v>
      </c>
      <c r="AW196" s="72" t="n">
        <v>-9.16</v>
      </c>
      <c r="AX196" s="72" t="n">
        <v>5.15</v>
      </c>
      <c r="AY196" s="72" t="n">
        <v>5.56</v>
      </c>
      <c r="AZ196" s="63" t="inlineStr">
        <is>
          <t>China Biotech ETF (HS biotech proxy)</t>
        </is>
      </c>
      <c r="BA196" s="72" t="n">
        <v>-51.57</v>
      </c>
      <c r="BB196" s="64" t="inlineStr">
        <is>
          <t>2026-08-28</t>
        </is>
      </c>
      <c r="BC196" s="65" t="n">
        <v>0</v>
      </c>
      <c r="BD196" s="68" t="n">
        <v>-859.8</v>
      </c>
      <c r="BE196" s="63" t="inlineStr">
        <is>
          <t>N</t>
        </is>
      </c>
      <c r="BF196" s="63" t="inlineStr">
        <is>
          <t>n/m</t>
        </is>
      </c>
      <c r="BG196" s="74" t="n"/>
      <c r="BH196" s="74" t="n"/>
      <c r="BI196" s="63" t="inlineStr">
        <is>
          <t>pre-rev</t>
        </is>
      </c>
      <c r="BJ196" s="75">
        <f>IF('BBG Verify'!S196="","not filed — run on terminal",'BBG Verify'!S196)</f>
        <v/>
      </c>
      <c r="BK196" s="76" t="inlineStr">
        <is>
          <t>N</t>
        </is>
      </c>
      <c r="BL196" s="77">
        <f>IF('BBG Verify'!K196="","not filed — run on terminal",'BBG Verify'!K196)</f>
        <v/>
      </c>
      <c r="BM196" s="63" t="inlineStr">
        <is>
          <t>N/A</t>
        </is>
      </c>
      <c r="BN196" s="63" t="inlineStr">
        <is>
          <t>N/A</t>
        </is>
      </c>
      <c r="BO196" s="63" t="inlineStr">
        <is>
          <t>N/A</t>
        </is>
      </c>
      <c r="BP196" s="63" t="inlineStr">
        <is>
          <t>N/A</t>
        </is>
      </c>
      <c r="BQ196" s="63" t="inlineStr">
        <is>
          <t>N/A</t>
        </is>
      </c>
      <c r="BR196" s="63" t="inlineStr">
        <is>
          <t>N/A</t>
        </is>
      </c>
      <c r="BS196" s="76" t="inlineStr">
        <is>
          <t>China International Capital Corporation Hong Kong Securities Limited</t>
        </is>
      </c>
      <c r="BT196" s="63" t="inlineStr">
        <is>
          <t>China International Capital Corporation Hong Kong Securities Limited</t>
        </is>
      </c>
      <c r="BU196" s="63" t="inlineStr">
        <is>
          <t>China International Capital Corporation Hong Kong Securities Limited; Haitong International Securities Company Limited; ICBC International Securities Limited; ABCI Capital Limited</t>
        </is>
      </c>
      <c r="BV196" s="63" t="inlineStr">
        <is>
          <t>ABCI Securities Company Limited; China International Capital Corporation Hong Kong Securities Limited; Futu Securities International (Hong Kong) Limited; Guotai Junan Securities (Hong Kong) Limited; Haitong International Securities Company Limited; ICBC International Securities Limited; Valuable Capital Limited</t>
        </is>
      </c>
      <c r="BW196" s="78">
        <f>HYPERLINK("https://www1.hkexnews.hk/listedco/listconews/sehk/2023/0616/2023061600013.pdf","prospectus")</f>
        <v/>
      </c>
      <c r="BX196" s="78">
        <f>HYPERLINK("https://www1.hkexnews.hk/listedco/listconews/sehk/2023/0628/2023062800052.htm","allotment")</f>
        <v/>
      </c>
      <c r="BY196" s="63" t="n"/>
      <c r="BZ196" s="76" t="n"/>
      <c r="CA196" s="63" t="inlineStr">
        <is>
          <t>P/E: n/m — loss-making at IPO (use P/S) · greenshoe: no over-allotment option in the offer structure · range low: cap-only pricing — the filing publishes a Maximum Offer Price and no indicative floor · A/H: no A-share listing · greenshoe size: no over-allotment option in the offer structure · P/S: no revenue line in the filed P&amp;L (pre-revenue issuer) — no sales multiple can exist; the cell reads pre-rev, not blank · stabilising manager: the filing states no stabilising manager will be appointed — a filed fact, not an extraction gap (allotment announcement: 'no stabilizing manager will be appointed' stated in the filing) · grey market: no grey-market headline on file for this deal — AAStocks publishes one per listing but keeps only recent items on the stock's news page, and no public archive of past evening sessions exists; captured from this run onward</t>
        </is>
      </c>
    </row>
    <row r="197" ht="15" customHeight="1">
      <c r="A197" s="62" t="inlineStr">
        <is>
          <t>9860</t>
        </is>
      </c>
      <c r="B197" s="63" t="inlineStr">
        <is>
          <t>ADICON HOLDINGS</t>
        </is>
      </c>
      <c r="C197" s="63" t="inlineStr">
        <is>
          <t>艾迪康控股</t>
        </is>
      </c>
      <c r="D197" s="63" t="inlineStr">
        <is>
          <t>Healthcare</t>
        </is>
      </c>
      <c r="E197" s="63" t="inlineStr">
        <is>
          <t>CXO / pharma services</t>
        </is>
      </c>
      <c r="F197" s="63" t="inlineStr">
        <is>
          <t>Health Care Services</t>
        </is>
      </c>
      <c r="G197" s="63" t="inlineStr">
        <is>
          <t>Standard</t>
        </is>
      </c>
      <c r="H197" s="64" t="n">
        <v>45107</v>
      </c>
      <c r="I197" s="65" t="n">
        <v>83.90000000000001</v>
      </c>
      <c r="J197" s="63" t="inlineStr">
        <is>
          <t>net proceeds</t>
        </is>
      </c>
      <c r="K197" s="66" t="n"/>
      <c r="L197" s="66" t="n">
        <v>12.32</v>
      </c>
      <c r="M197" s="66" t="n">
        <v>12.32</v>
      </c>
      <c r="N197" s="63" t="inlineStr">
        <is>
          <t>Y</t>
        </is>
      </c>
      <c r="O197" s="67" t="n">
        <v>100</v>
      </c>
      <c r="P197" s="67" t="n"/>
      <c r="Q197" s="68" t="n">
        <v>8913</v>
      </c>
      <c r="R197" s="63" t="inlineStr">
        <is>
          <t>press:sohu/stockstar: 总市值89.13亿 at HK$12.32</t>
        </is>
      </c>
      <c r="S197" s="69" t="n">
        <v>1.06</v>
      </c>
      <c r="T197" s="70" t="n">
        <v>1.8</v>
      </c>
      <c r="U197" s="71" t="n">
        <v>31.9</v>
      </c>
      <c r="V197" s="68" t="n">
        <v>57.14</v>
      </c>
      <c r="W197" s="68" t="n"/>
      <c r="X197" s="67" t="n">
        <v>0.64</v>
      </c>
      <c r="Y197" s="63" t="inlineStr">
        <is>
          <t>Corelink Group Limited; Fosun Diagnostics (Shanghai) Co., Ltd; MR Global (HK) Limited; Snibe Diagnostic (Hong Kong) Company Limited; Timestar Elite Limited</t>
        </is>
      </c>
      <c r="Z197" s="63" t="inlineStr">
        <is>
          <t>corelink;fosun;mr;snibe;timestar</t>
        </is>
      </c>
      <c r="AA197" s="67" t="n">
        <v>12.45</v>
      </c>
      <c r="AB197" s="72" t="n"/>
      <c r="AC197" s="66" t="n"/>
      <c r="AD197" s="72" t="n"/>
      <c r="AE197" s="63" t="n"/>
      <c r="AF197" s="63" t="n"/>
      <c r="AG197" s="63" t="inlineStr">
        <is>
          <t>partial</t>
        </is>
      </c>
      <c r="AH197" s="63" t="inlineStr">
        <is>
          <t>2023-07-23</t>
        </is>
      </c>
      <c r="AI197" s="63" t="inlineStr">
        <is>
          <t>Morgan Stanley Asia Limited</t>
        </is>
      </c>
      <c r="AJ197" s="63" t="inlineStr">
        <is>
          <t>Morgan Stanley</t>
        </is>
      </c>
      <c r="AK197" s="73" t="n">
        <v>12.01</v>
      </c>
      <c r="AL197" s="72" t="n">
        <v>0</v>
      </c>
      <c r="AM197" s="72" t="n">
        <v>12.01</v>
      </c>
      <c r="AN197" s="72" t="n">
        <v>1.62</v>
      </c>
      <c r="AO197" s="72" t="n">
        <v>0.65</v>
      </c>
      <c r="AP197" s="72" t="n">
        <v>19.97</v>
      </c>
      <c r="AQ197" s="72" t="n">
        <v>-9.279999999999999</v>
      </c>
      <c r="AR197" s="72" t="n">
        <v>-10.14</v>
      </c>
      <c r="AS197" s="72" t="n">
        <v>7.11</v>
      </c>
      <c r="AT197" s="72" t="n">
        <v>0.34</v>
      </c>
      <c r="AU197" s="72" t="n">
        <v>-5.38</v>
      </c>
      <c r="AV197" s="72" t="n">
        <v>17.55</v>
      </c>
      <c r="AW197" s="72" t="n">
        <v>-14.42</v>
      </c>
      <c r="AX197" s="72" t="n">
        <v>6.03</v>
      </c>
      <c r="AY197" s="72" t="n">
        <v>4.28</v>
      </c>
      <c r="AZ197" s="63" t="inlineStr">
        <is>
          <t>China Biotech ETF (HS biotech proxy)</t>
        </is>
      </c>
      <c r="BA197" s="72" t="n">
        <v>-68.59</v>
      </c>
      <c r="BB197" s="64" t="inlineStr">
        <is>
          <t>2026-08-28</t>
        </is>
      </c>
      <c r="BC197" s="65" t="n">
        <v>5346.7</v>
      </c>
      <c r="BD197" s="68" t="n">
        <v>753.4</v>
      </c>
      <c r="BE197" s="63" t="inlineStr">
        <is>
          <t>Y</t>
        </is>
      </c>
      <c r="BF197" s="74" t="n">
        <v>11.8</v>
      </c>
      <c r="BG197" s="74" t="n"/>
      <c r="BH197" s="74" t="n">
        <v>108.8</v>
      </c>
      <c r="BI197" s="74" t="n">
        <v>1.7</v>
      </c>
      <c r="BJ197" s="75">
        <f>IF('BBG Verify'!S197="","not filed — run on terminal",'BBG Verify'!S197)</f>
        <v/>
      </c>
      <c r="BK197" s="76" t="inlineStr">
        <is>
          <t>N</t>
        </is>
      </c>
      <c r="BL197" s="77">
        <f>IF('BBG Verify'!K197="","not filed — run on terminal",'BBG Verify'!K197)</f>
        <v/>
      </c>
      <c r="BM197" s="63" t="inlineStr">
        <is>
          <t>N/A</t>
        </is>
      </c>
      <c r="BN197" s="63" t="inlineStr">
        <is>
          <t>N/A</t>
        </is>
      </c>
      <c r="BO197" s="63" t="inlineStr">
        <is>
          <t>N/A</t>
        </is>
      </c>
      <c r="BP197" s="63" t="inlineStr">
        <is>
          <t>N/A</t>
        </is>
      </c>
      <c r="BQ197" s="63" t="inlineStr">
        <is>
          <t>N/A</t>
        </is>
      </c>
      <c r="BR197" s="63" t="inlineStr">
        <is>
          <t>N/A</t>
        </is>
      </c>
      <c r="BS197" s="76" t="inlineStr">
        <is>
          <t>and Sponsor-OCs Morgan Stanley Asia Limited; Jefferies Hong Kong Limited</t>
        </is>
      </c>
      <c r="BT197" s="63" t="inlineStr">
        <is>
          <t>Jefferies Hong Kong Limited; Morgan Stanley Asia Limited</t>
        </is>
      </c>
      <c r="BU197" s="63" t="inlineStr">
        <is>
          <t>Morgan Stanley Asia Limited; Jefferies Hong Kong Limited; CLSA Limited; Deutsche Bank AG, Hong Kong Branch; Haitong International Securities Company Limited; The Hongkong and Shanghai Banking Corporation Limited; CCB International Capital Limited; Futu Securities International (Hong Kong) Limited; ICBC International Securities Limited; Tiger Brokers (HK) Global Limited; Valuable Capital Limited</t>
        </is>
      </c>
      <c r="BV197" s="63" t="inlineStr">
        <is>
          <t>CCB International Capital Limited; CLSA Limited; Deutsche Bank AG, Hong Kong Branch; Futu Securities International (Hong Kong) Limited; Huatai Financial Holdings (Hong Kong) Limited; Haitong International Securities Company Limited; The Hongkong and Shanghai Banking Corporation Limited; ICBC International Securities Limited; Jefferies Hong Kong Limited; Morgan Stanley Asia Limited; Tiger Brokers (HK) Global Limited; Valuable Capital Limited</t>
        </is>
      </c>
      <c r="BW197" s="78">
        <f>HYPERLINK("https://www1.hkexnews.hk/listedco/listconews/sehk/2023/0619/2023061900005.pdf","prospectus")</f>
        <v/>
      </c>
      <c r="BX197" s="78">
        <f>HYPERLINK("https://www1.hkexnews.hk/listedco/listconews/sehk/2023/0629/2023062900124.htm","allotment")</f>
        <v/>
      </c>
      <c r="BY197" s="78">
        <f>HYPERLINK("https://www1.hkexnews.hk/listedco/listconews/sehk/2023/0723/2023072300027.pdf","stabilisation")</f>
        <v/>
      </c>
      <c r="BZ197" s="76" t="n"/>
      <c r="CA197" s="63" t="inlineStr">
        <is>
          <t>range low: cap-only pricing — the filing publishes a Maximum Offer Price and no indicative floor · A/H: no A-share listing · cornerstone: AAStocks institutional table includes non-cornerstone orders (superset) — cornerstone % is from the prospectus · grey market: no grey-market headline on file for this deal — AAStocks publishes one per listing but keeps only recent items on the stock's news page, and no public archive of past evening sessions exists; captured from this run onward · eff float shares: share count unavailable or rejected as implausible — the money figure (eff_free_float_hkdm) is still exact</t>
        </is>
      </c>
    </row>
    <row r="198" ht="15" customHeight="1">
      <c r="A198" s="62" t="inlineStr">
        <is>
          <t>2481</t>
        </is>
      </c>
      <c r="B198" s="63" t="inlineStr">
        <is>
          <t>WISE LIVING TEC</t>
        </is>
      </c>
      <c r="C198" s="63" t="inlineStr">
        <is>
          <t>雙良睿能</t>
        </is>
      </c>
      <c r="D198" s="63" t="inlineStr">
        <is>
          <t>Materials/Energy</t>
        </is>
      </c>
      <c r="E198" s="63" t="inlineStr">
        <is>
          <t>Oil &amp; gas / utilities</t>
        </is>
      </c>
      <c r="F198" s="63" t="inlineStr">
        <is>
          <t>Environmental Utilities</t>
        </is>
      </c>
      <c r="G198" s="63" t="inlineStr">
        <is>
          <t>Standard</t>
        </is>
      </c>
      <c r="H198" s="64" t="n">
        <v>45117</v>
      </c>
      <c r="I198" s="65" t="n">
        <v>272.2</v>
      </c>
      <c r="J198" s="63" t="inlineStr">
        <is>
          <t>gross (price x shares)</t>
        </is>
      </c>
      <c r="K198" s="66" t="n">
        <v>3</v>
      </c>
      <c r="L198" s="66" t="n">
        <v>4.2</v>
      </c>
      <c r="M198" s="66" t="n">
        <v>3.6</v>
      </c>
      <c r="N198" s="63" t="inlineStr">
        <is>
          <t>N</t>
        </is>
      </c>
      <c r="O198" s="67" t="n">
        <v>85.7</v>
      </c>
      <c r="P198" s="67" t="n">
        <v>50</v>
      </c>
      <c r="Q198" s="68" t="n">
        <v>979.1</v>
      </c>
      <c r="R198" s="63" t="inlineStr">
        <is>
          <t>derived:deal size / offer % of enlarged capital</t>
        </is>
      </c>
      <c r="S198" s="69" t="n">
        <v>1.54</v>
      </c>
      <c r="T198" s="70" t="n">
        <v>1.35</v>
      </c>
      <c r="U198" s="71" t="n">
        <v>20.2</v>
      </c>
      <c r="V198" s="68" t="n">
        <v>217.22</v>
      </c>
      <c r="W198" s="68" t="n">
        <v>60328800</v>
      </c>
      <c r="X198" s="67" t="n">
        <v>22.19</v>
      </c>
      <c r="Y198" s="63" t="inlineStr">
        <is>
          <t>Jiang Gang International Investment Company Limited</t>
        </is>
      </c>
      <c r="Z198" s="63" t="inlineStr">
        <is>
          <t>jiang-gang</t>
        </is>
      </c>
      <c r="AA198" s="67" t="n">
        <v>15</v>
      </c>
      <c r="AB198" s="72" t="n"/>
      <c r="AC198" s="66" t="n"/>
      <c r="AD198" s="72" t="n"/>
      <c r="AE198" s="63" t="n"/>
      <c r="AF198" s="63" t="n"/>
      <c r="AG198" s="63" t="inlineStr">
        <is>
          <t>lapsed (no over-allocation)</t>
        </is>
      </c>
      <c r="AH198" s="63" t="n"/>
      <c r="AI198" s="63" t="inlineStr">
        <is>
          <t>Guotai Junan Securities</t>
        </is>
      </c>
      <c r="AJ198" s="63" t="inlineStr">
        <is>
          <t>Guotai Junan</t>
        </is>
      </c>
      <c r="AK198" s="73" t="n">
        <v>0</v>
      </c>
      <c r="AL198" s="72" t="n">
        <v>0</v>
      </c>
      <c r="AM198" s="72" t="n">
        <v>0</v>
      </c>
      <c r="AN198" s="72" t="n">
        <v>-19.72</v>
      </c>
      <c r="AO198" s="72" t="n">
        <v>-22.22</v>
      </c>
      <c r="AP198" s="72" t="n">
        <v>-26.94</v>
      </c>
      <c r="AQ198" s="72" t="n">
        <v>-19.72</v>
      </c>
      <c r="AR198" s="72" t="n">
        <v>-22.22</v>
      </c>
      <c r="AS198" s="72" t="n">
        <v>-26.94</v>
      </c>
      <c r="AT198" s="72" t="n">
        <v>-24.4</v>
      </c>
      <c r="AU198" s="72" t="n">
        <v>-29.55</v>
      </c>
      <c r="AV198" s="72" t="n">
        <v>-25.35</v>
      </c>
      <c r="AW198" s="72" t="n">
        <v>-28.46</v>
      </c>
      <c r="AX198" s="72" t="n">
        <v>7.33</v>
      </c>
      <c r="AY198" s="72" t="n">
        <v>6.24</v>
      </c>
      <c r="AZ198" s="63" t="inlineStr">
        <is>
          <t>Hang Seng Commerce &amp; Industry sub-index</t>
        </is>
      </c>
      <c r="BA198" s="72" t="n">
        <v>-28.47</v>
      </c>
      <c r="BB198" s="64" t="inlineStr">
        <is>
          <t>2026-08-28</t>
        </is>
      </c>
      <c r="BC198" s="65" t="n">
        <v>1588.1</v>
      </c>
      <c r="BD198" s="68" t="n">
        <v>154.4</v>
      </c>
      <c r="BE198" s="63" t="inlineStr">
        <is>
          <t>Y</t>
        </is>
      </c>
      <c r="BF198" s="74" t="n">
        <v>6.3</v>
      </c>
      <c r="BG198" s="74" t="n"/>
      <c r="BH198" s="74" t="n">
        <v>4</v>
      </c>
      <c r="BI198" s="74" t="n">
        <v>0.6</v>
      </c>
      <c r="BJ198" s="75">
        <f>IF('BBG Verify'!S198="","not filed — run on terminal",'BBG Verify'!S198)</f>
        <v/>
      </c>
      <c r="BK198" s="76" t="inlineStr">
        <is>
          <t>N</t>
        </is>
      </c>
      <c r="BL198" s="77">
        <f>IF('BBG Verify'!K198="","not filed — run on terminal",'BBG Verify'!K198)</f>
        <v/>
      </c>
      <c r="BM198" s="63" t="inlineStr">
        <is>
          <t>N/A</t>
        </is>
      </c>
      <c r="BN198" s="63" t="inlineStr">
        <is>
          <t>N/A</t>
        </is>
      </c>
      <c r="BO198" s="63" t="inlineStr">
        <is>
          <t>N/A</t>
        </is>
      </c>
      <c r="BP198" s="63" t="inlineStr">
        <is>
          <t>N/A</t>
        </is>
      </c>
      <c r="BQ198" s="63" t="inlineStr">
        <is>
          <t>N/A</t>
        </is>
      </c>
      <c r="BR198" s="63" t="inlineStr">
        <is>
          <t>N/A</t>
        </is>
      </c>
      <c r="BS198" s="76" t="inlineStr">
        <is>
          <t>Guotai Junan Capital Limited</t>
        </is>
      </c>
      <c r="BT198" s="63" t="inlineStr">
        <is>
          <t>Guotai Junan Capital Limited</t>
        </is>
      </c>
      <c r="BU198" s="63" t="inlineStr">
        <is>
          <t>Guotai Junan Securities (Hong Kong) Limited; Orient Securities (Hong Kong) Limited; ABCI Capital Limited; China Galaxy International Securities (Hong Kong) Co., Limited</t>
        </is>
      </c>
      <c r="BV198" s="63" t="inlineStr">
        <is>
          <t>ABCI Securities Company Limited; CEB International Capital Corporation Limited; China Galaxy International Securities (Hong Kong) Company Limited; Fortune (HK) Securities Limited; Guotai Junan Securities (Hong Kong) Limited; Kingsway Financial Services Group Limited; Livermore Holdings Limited; Orient Securities (Hong Kong) Limited; Selina &amp; Co. Limited</t>
        </is>
      </c>
      <c r="BW198" s="78">
        <f>HYPERLINK("https://www1.hkexnews.hk/listedco/listconews/sehk/2023/0628/2023062800029.pdf","prospectus")</f>
        <v/>
      </c>
      <c r="BX198" s="78">
        <f>HYPERLINK("https://www1.hkexnews.hk/listedco/listconews/sehk/2023/0707/2023070700062.htm","allotment")</f>
        <v/>
      </c>
      <c r="BY198" s="78">
        <f>HYPERLINK("https://www1.hkexnews.hk/listedco/listconews/sehk/2023/0802/2023080201548.pdf","stabilisation")</f>
        <v/>
      </c>
      <c r="BZ198" s="76" t="n"/>
      <c r="CA198" s="63" t="inlineStr">
        <is>
          <t>greenshoe: over-allotment outcome already published, and the allotment announcement does not state the stabilisation expiry in a parsable form — the expiry no longer matters once resolved · A/H: no A-share listing · cornerstone: table parse read 51% but the institutional total implies 20% — parse rejected, the AAStocks institutional total used (20.2%) · grey market: no grey-market headline on file for this deal — AAStocks publishes one per listing but keeps only recent items on the stock's news page, and no public archive of past evening sessions exists; captured from this run onward</t>
        </is>
      </c>
    </row>
    <row r="199" ht="15" customHeight="1">
      <c r="A199" s="62" t="inlineStr">
        <is>
          <t>6990</t>
        </is>
      </c>
      <c r="B199" s="63" t="inlineStr">
        <is>
          <t>SKB BIO-B</t>
        </is>
      </c>
      <c r="C199" s="63" t="inlineStr">
        <is>
          <t>科倫博泰生物</t>
        </is>
      </c>
      <c r="D199" s="63" t="inlineStr">
        <is>
          <t>Healthcare</t>
        </is>
      </c>
      <c r="E199" s="63" t="inlineStr">
        <is>
          <t>Biotech pre-revenue (18A)</t>
        </is>
      </c>
      <c r="F199" s="63" t="inlineStr">
        <is>
          <t>Biotechnology - Pharmaceuticals</t>
        </is>
      </c>
      <c r="G199" s="63" t="inlineStr">
        <is>
          <t>18A</t>
        </is>
      </c>
      <c r="H199" s="64" t="n">
        <v>45118</v>
      </c>
      <c r="I199" s="65" t="n">
        <v>1360.2</v>
      </c>
      <c r="J199" s="63" t="inlineStr">
        <is>
          <t>gross (price x shares)</t>
        </is>
      </c>
      <c r="K199" s="66" t="n">
        <v>60.6</v>
      </c>
      <c r="L199" s="66" t="n">
        <v>72.8</v>
      </c>
      <c r="M199" s="66" t="n">
        <v>60.6</v>
      </c>
      <c r="N199" s="63" t="inlineStr">
        <is>
          <t>N</t>
        </is>
      </c>
      <c r="O199" s="67" t="n">
        <v>83.2</v>
      </c>
      <c r="P199" s="67" t="n">
        <v>0</v>
      </c>
      <c r="Q199" s="68" t="n">
        <v>13080</v>
      </c>
      <c r="R199" s="63" t="inlineStr">
        <is>
          <t>prospectus:stated market capitalisation</t>
        </is>
      </c>
      <c r="S199" s="69" t="n">
        <v>1.27</v>
      </c>
      <c r="T199" s="70" t="n">
        <v>3.4</v>
      </c>
      <c r="U199" s="71" t="n">
        <v>16.9</v>
      </c>
      <c r="V199" s="68" t="n">
        <v>1130.33</v>
      </c>
      <c r="W199" s="68" t="n">
        <v>18652709</v>
      </c>
      <c r="X199" s="67" t="n">
        <v>8.640000000000001</v>
      </c>
      <c r="Y199" s="63" t="inlineStr">
        <is>
          <t>China Universal Asset Management Company Limited; Kelun International Development Co., Limited; Laurion Capital Master Fund Ltd; RTW Master Fund, Ltd; TruMed Healthcare Master Fund and TruMed Health Innovation Fund LP</t>
        </is>
      </c>
      <c r="Z199" s="63" t="inlineStr">
        <is>
          <t>universal;kelun;laurion;rtw;trumed</t>
        </is>
      </c>
      <c r="AA199" s="67" t="n">
        <v>8.9</v>
      </c>
      <c r="AB199" s="72" t="n"/>
      <c r="AC199" s="66" t="n"/>
      <c r="AD199" s="72" t="n"/>
      <c r="AE199" s="63" t="n"/>
      <c r="AF199" s="63" t="n"/>
      <c r="AG199" s="63" t="inlineStr">
        <is>
          <t>full</t>
        </is>
      </c>
      <c r="AH199" s="63" t="inlineStr">
        <is>
          <t>2023-08-03</t>
        </is>
      </c>
      <c r="AI199" s="63" t="inlineStr">
        <is>
          <t>Goldman Sachs</t>
        </is>
      </c>
      <c r="AJ199" s="63" t="inlineStr">
        <is>
          <t>Goldman Sachs</t>
        </is>
      </c>
      <c r="AK199" s="73" t="n">
        <v>3.14</v>
      </c>
      <c r="AL199" s="72" t="n">
        <v>0</v>
      </c>
      <c r="AM199" s="72" t="n">
        <v>3.14</v>
      </c>
      <c r="AN199" s="72" t="n">
        <v>8.91</v>
      </c>
      <c r="AO199" s="72" t="n">
        <v>19.64</v>
      </c>
      <c r="AP199" s="72" t="n">
        <v>33.66</v>
      </c>
      <c r="AQ199" s="72" t="n">
        <v>5.59</v>
      </c>
      <c r="AR199" s="72" t="n">
        <v>16</v>
      </c>
      <c r="AS199" s="72" t="n">
        <v>29.59</v>
      </c>
      <c r="AT199" s="72" t="n">
        <v>8.56</v>
      </c>
      <c r="AU199" s="72" t="n">
        <v>19.74</v>
      </c>
      <c r="AV199" s="72" t="n">
        <v>27.77</v>
      </c>
      <c r="AW199" s="72" t="n">
        <v>16.9</v>
      </c>
      <c r="AX199" s="72" t="n">
        <v>-0.1</v>
      </c>
      <c r="AY199" s="72" t="n">
        <v>-0.9</v>
      </c>
      <c r="AZ199" s="63" t="inlineStr">
        <is>
          <t>China Biotech ETF (HS biotech proxy)</t>
        </is>
      </c>
      <c r="BA199" s="72" t="n">
        <v>749.01</v>
      </c>
      <c r="BB199" s="64" t="inlineStr">
        <is>
          <t>2026-08-28</t>
        </is>
      </c>
      <c r="BC199" s="65" t="n">
        <v>884.3</v>
      </c>
      <c r="BD199" s="68" t="n">
        <v>-677.7</v>
      </c>
      <c r="BE199" s="63" t="inlineStr">
        <is>
          <t>N</t>
        </is>
      </c>
      <c r="BF199" s="63" t="inlineStr">
        <is>
          <t>n/m</t>
        </is>
      </c>
      <c r="BG199" s="74" t="n"/>
      <c r="BH199" s="74" t="n">
        <v>692.3</v>
      </c>
      <c r="BI199" s="74" t="n">
        <v>14.8</v>
      </c>
      <c r="BJ199" s="75">
        <f>IF('BBG Verify'!S199="","not filed — run on terminal",'BBG Verify'!S199)</f>
        <v/>
      </c>
      <c r="BK199" s="76" t="inlineStr">
        <is>
          <t>N</t>
        </is>
      </c>
      <c r="BL199" s="77">
        <f>IF('BBG Verify'!K199="","not filed — run on terminal",'BBG Verify'!K199)</f>
        <v/>
      </c>
      <c r="BM199" s="63" t="inlineStr">
        <is>
          <t>N/A</t>
        </is>
      </c>
      <c r="BN199" s="63" t="inlineStr">
        <is>
          <t>N/A</t>
        </is>
      </c>
      <c r="BO199" s="63" t="inlineStr">
        <is>
          <t>N/A</t>
        </is>
      </c>
      <c r="BP199" s="63" t="inlineStr">
        <is>
          <t>N/A</t>
        </is>
      </c>
      <c r="BQ199" s="63" t="inlineStr">
        <is>
          <t>N/A</t>
        </is>
      </c>
      <c r="BR199" s="63" t="inlineStr">
        <is>
          <t>N/A</t>
        </is>
      </c>
      <c r="BS199" s="76" t="inlineStr">
        <is>
          <t>Goldman Sachs (Asia) L.L.C; CITIC Securities (Hong Kong) Limited</t>
        </is>
      </c>
      <c r="BT199" s="63" t="inlineStr">
        <is>
          <t>Goldman Sachs (Asia) L.L.C.; CITIC Securities (Hong Kong) Limited</t>
        </is>
      </c>
      <c r="BU199" s="63" t="inlineStr">
        <is>
          <t>Goldman Sachs (Asia) L.L.C; CLSA Limited; Citigroup Global Markets Asia Limited; Citigroup Global Markets Limited; 144 – ICBC International Securities Limited; BOCOM International Securities Limited</t>
        </is>
      </c>
      <c r="BV199" s="63" t="inlineStr">
        <is>
          <t>Beta International Securities Limited; Citigroup Global Markets Asia Limited; CLSA Limited; Goldman Sachs (Asia) L.L.C.; ICBC International Securities Limited</t>
        </is>
      </c>
      <c r="BW199" s="78">
        <f>HYPERLINK("https://www1.hkexnews.hk/listedco/listconews/sehk/2023/0629/2023062900043.pdf","prospectus")</f>
        <v/>
      </c>
      <c r="BX199" s="78">
        <f>HYPERLINK("https://www1.hkexnews.hk/listedco/listconews/sehk/2023/0710/2023071000008.htm","allotment")</f>
        <v/>
      </c>
      <c r="BY199" s="78">
        <f>HYPERLINK("https://www1.hkexnews.hk/listedco/listconews/sehk/2023/0803/2023080302096.pdf","stabilisation")</f>
        <v/>
      </c>
      <c r="BZ199" s="76" t="n"/>
      <c r="CA199" s="63" t="inlineStr">
        <is>
          <t>P/E: n/m — loss-making at IPO (use P/S) · A/H: no A-share listing · cornerstone: AAStocks institutional table includes non-cornerstone orders (superset) — cornerstone % is from the prospectus · deal size: stated gross HK$54.5m rejected — below the deal's own net proceeds HK$1,258.9m, which cannot happen · grey market: no grey-market headline on file for this deal — AAStocks publishes one per listing but keeps only recent items on the stock's news page, and no public archive of past evening sessions exists; captured from this run onward</t>
        </is>
      </c>
    </row>
    <row r="200" ht="15" customHeight="1">
      <c r="A200" s="62" t="inlineStr">
        <is>
          <t>3650</t>
        </is>
      </c>
      <c r="B200" s="63" t="inlineStr">
        <is>
          <t>KEEP</t>
        </is>
      </c>
      <c r="C200" s="63" t="inlineStr">
        <is>
          <t>KEEP</t>
        </is>
      </c>
      <c r="D200" s="63" t="inlineStr">
        <is>
          <t>Tech/AI</t>
        </is>
      </c>
      <c r="E200" s="63" t="inlineStr">
        <is>
          <t>Internet platform / e-commerce</t>
        </is>
      </c>
      <c r="F200" s="63" t="inlineStr">
        <is>
          <t>Leisure Products</t>
        </is>
      </c>
      <c r="G200" s="63" t="inlineStr">
        <is>
          <t>Standard</t>
        </is>
      </c>
      <c r="H200" s="64" t="n">
        <v>45119</v>
      </c>
      <c r="I200" s="65" t="n">
        <v>313.5</v>
      </c>
      <c r="J200" s="63" t="inlineStr">
        <is>
          <t>gross (price x shares)</t>
        </is>
      </c>
      <c r="K200" s="66" t="n"/>
      <c r="L200" s="66" t="n">
        <v>28.92</v>
      </c>
      <c r="M200" s="66" t="n">
        <v>28.92</v>
      </c>
      <c r="N200" s="63" t="inlineStr">
        <is>
          <t>Y</t>
        </is>
      </c>
      <c r="O200" s="67" t="n">
        <v>100</v>
      </c>
      <c r="P200" s="67" t="n"/>
      <c r="Q200" s="68" t="n">
        <v>23755.1</v>
      </c>
      <c r="R200" s="63" t="inlineStr">
        <is>
          <t>aastocks:上市市值 at the struck price</t>
        </is>
      </c>
      <c r="S200" s="69" t="n">
        <v>3.08</v>
      </c>
      <c r="T200" s="70" t="n">
        <v>1.37</v>
      </c>
      <c r="U200" s="71" t="n">
        <v>13.8</v>
      </c>
      <c r="V200" s="68" t="n">
        <v>270.24</v>
      </c>
      <c r="W200" s="68" t="n">
        <v>9342873</v>
      </c>
      <c r="X200" s="67" t="n">
        <v>1.14</v>
      </c>
      <c r="Y200" s="63" t="inlineStr">
        <is>
          <t>Fuqing Shengde Calorie Investment Co., Ltd; Shenzhen Fenda Technology Co., Ltd; Xiamen Evere Sports Goods Co., Ltd</t>
        </is>
      </c>
      <c r="Z200" s="63" t="inlineStr">
        <is>
          <t>fuqing;shenzhen-fenda;xiamen</t>
        </is>
      </c>
      <c r="AA200" s="67" t="n"/>
      <c r="AB200" s="72" t="n"/>
      <c r="AC200" s="66" t="n"/>
      <c r="AD200" s="72" t="n"/>
      <c r="AE200" s="63" t="n"/>
      <c r="AF200" s="63" t="n"/>
      <c r="AG200" s="63" t="inlineStr">
        <is>
          <t>lapsed</t>
        </is>
      </c>
      <c r="AH200" s="63" t="inlineStr">
        <is>
          <t>2023-08-04</t>
        </is>
      </c>
      <c r="AI200" s="63" t="inlineStr">
        <is>
          <t>China International Capital Corporation Hong Kong Securities Limited</t>
        </is>
      </c>
      <c r="AJ200" s="63" t="inlineStr">
        <is>
          <t>China International</t>
        </is>
      </c>
      <c r="AK200" s="73" t="n">
        <v>0.28</v>
      </c>
      <c r="AL200" s="72" t="n">
        <v>4.77</v>
      </c>
      <c r="AM200" s="72" t="n">
        <v>-4.29</v>
      </c>
      <c r="AN200" s="72" t="n">
        <v>-0.24</v>
      </c>
      <c r="AO200" s="72" t="n">
        <v>9.27</v>
      </c>
      <c r="AP200" s="72" t="n">
        <v>0.62</v>
      </c>
      <c r="AQ200" s="72" t="n">
        <v>-0.52</v>
      </c>
      <c r="AR200" s="72" t="n">
        <v>8.960000000000001</v>
      </c>
      <c r="AS200" s="72" t="n">
        <v>0.34</v>
      </c>
      <c r="AT200" s="72" t="n">
        <v>-1.92</v>
      </c>
      <c r="AU200" s="72" t="n">
        <v>2.04</v>
      </c>
      <c r="AV200" s="72" t="n">
        <v>3.63</v>
      </c>
      <c r="AW200" s="72" t="n">
        <v>3.87</v>
      </c>
      <c r="AX200" s="72" t="n">
        <v>7.23</v>
      </c>
      <c r="AY200" s="72" t="n">
        <v>5.09</v>
      </c>
      <c r="AZ200" s="63" t="inlineStr">
        <is>
          <t>HSTECH (Hang Seng TECH ETF)</t>
        </is>
      </c>
      <c r="BA200" s="72" t="n">
        <v>-94.09</v>
      </c>
      <c r="BB200" s="64" t="inlineStr">
        <is>
          <t>2026-08-28</t>
        </is>
      </c>
      <c r="BC200" s="65" t="n">
        <v>959.7</v>
      </c>
      <c r="BD200" s="68" t="n">
        <v>-115</v>
      </c>
      <c r="BE200" s="63" t="inlineStr">
        <is>
          <t>N</t>
        </is>
      </c>
      <c r="BF200" s="63" t="inlineStr">
        <is>
          <t>n/m</t>
        </is>
      </c>
      <c r="BG200" s="74" t="n"/>
      <c r="BH200" s="74" t="n"/>
      <c r="BI200" s="74" t="n">
        <v>24.8</v>
      </c>
      <c r="BJ200" s="75">
        <f>IF('BBG Verify'!S200="","not filed — run on terminal",'BBG Verify'!S200)</f>
        <v/>
      </c>
      <c r="BK200" s="76" t="inlineStr">
        <is>
          <t>N</t>
        </is>
      </c>
      <c r="BL200" s="77">
        <f>IF('BBG Verify'!K200="","not filed — run on terminal",'BBG Verify'!K200)</f>
        <v/>
      </c>
      <c r="BM200" s="63" t="inlineStr">
        <is>
          <t>N/A</t>
        </is>
      </c>
      <c r="BN200" s="63" t="inlineStr">
        <is>
          <t>N/A</t>
        </is>
      </c>
      <c r="BO200" s="63" t="inlineStr">
        <is>
          <t>N/A</t>
        </is>
      </c>
      <c r="BP200" s="63" t="inlineStr">
        <is>
          <t>N/A</t>
        </is>
      </c>
      <c r="BQ200" s="63" t="inlineStr">
        <is>
          <t>N/A</t>
        </is>
      </c>
      <c r="BR200" s="63" t="inlineStr">
        <is>
          <t>N/A</t>
        </is>
      </c>
      <c r="BS200" s="76" t="n"/>
      <c r="BT200" s="63" t="inlineStr">
        <is>
          <t>China International Capital Corporation Hong Kong Securities Limited</t>
        </is>
      </c>
      <c r="BU200" s="63" t="inlineStr">
        <is>
          <t>CCB International Capital Limited; China International Capital Corporation Hong Kong Securities Limited; CMB International Capital Limited; Futu Securities International (Hong Kong) Limited; GF Securities (Hong Kong) Brokerage Limited; Tiger Brokers (HK) Global Limited</t>
        </is>
      </c>
      <c r="BV200" s="63" t="inlineStr">
        <is>
          <t>CCB International Capital Limited; China International Capital Corporation Hong Kong Securities Limited; CMB International Capital Limited; Futu Securities International (Hong Kong) Limited; GF Securities (Hong Kong) Brokerage Limited; Tiger Brokers (HK) Global Limited</t>
        </is>
      </c>
      <c r="BW200" s="78">
        <f>HYPERLINK("https://www1.hkexnews.hk/listedco/listconews/sehk/2023/0630/2023063000230.htm","prospectus")</f>
        <v/>
      </c>
      <c r="BX200" s="78">
        <f>HYPERLINK("https://www1.hkexnews.hk/listedco/listconews/sehk/2023/0711/2023071100048.htm","allotment")</f>
        <v/>
      </c>
      <c r="BY200" s="78">
        <f>HYPERLINK("https://www1.hkexnews.hk/listedco/listconews/sehk/2023/0804/2023080401672.pdf","stabilisation")</f>
        <v/>
      </c>
      <c r="BZ200" s="76" t="n"/>
      <c r="CA200" s="63" t="inlineStr">
        <is>
          <t>P/E: n/m — loss-making at IPO (use P/S) · price range: fixed-price offering (no indicative range) · range low: cap-only pricing — the filing publishes a Maximum Offer Price and no indicative floor · A/H: no A-share listing · sponsor: English name not in the filing text; AAStocks 保薦人 shown · market cap: prospectus 'market capitalisation' line rejected — it is the listing-rule threshold, not the issuer's figure ("llion), which is over HK$500 million; and (ii) our expected market capitalization at the time of Listing, whic") · greenshoe size: no over-allotment option in the offer structure · grey market: no grey-market headline on file for this deal — AAStocks publishes one per listing but keeps only recent items on the stock's news page, and no public archive of past evening sessions exists; captured from this run onward</t>
        </is>
      </c>
    </row>
    <row r="201" ht="15" customHeight="1">
      <c r="A201" s="62" t="inlineStr">
        <is>
          <t>6683</t>
        </is>
      </c>
      <c r="B201" s="63" t="inlineStr">
        <is>
          <t>STARPLUS LEGEND</t>
        </is>
      </c>
      <c r="C201" s="63" t="inlineStr">
        <is>
          <t>巨星傳奇</t>
        </is>
      </c>
      <c r="D201" s="63" t="inlineStr">
        <is>
          <t>TMT-other</t>
        </is>
      </c>
      <c r="E201" s="63" t="inlineStr">
        <is>
          <t>Media / advertising</t>
        </is>
      </c>
      <c r="F201" s="63" t="inlineStr">
        <is>
          <t>Beverages (Non-alcoholic)</t>
        </is>
      </c>
      <c r="G201" s="63" t="inlineStr">
        <is>
          <t>Standard</t>
        </is>
      </c>
      <c r="H201" s="64" t="n">
        <v>45120</v>
      </c>
      <c r="I201" s="65" t="n">
        <v>245.2</v>
      </c>
      <c r="J201" s="63" t="inlineStr">
        <is>
          <t>net proceeds</t>
        </is>
      </c>
      <c r="K201" s="66" t="n"/>
      <c r="L201" s="66" t="n">
        <v>4.25</v>
      </c>
      <c r="M201" s="66" t="n">
        <v>4.25</v>
      </c>
      <c r="N201" s="63" t="inlineStr">
        <is>
          <t>Y</t>
        </is>
      </c>
      <c r="O201" s="67" t="n">
        <v>100</v>
      </c>
      <c r="P201" s="67" t="n"/>
      <c r="Q201" s="68" t="n">
        <v>10660.9</v>
      </c>
      <c r="R201" s="63" t="inlineStr">
        <is>
          <t>derived:deal size / offer % of enlarged capital</t>
        </is>
      </c>
      <c r="S201" s="69" t="n">
        <v>12.99</v>
      </c>
      <c r="T201" s="70" t="n">
        <v>1.15</v>
      </c>
      <c r="U201" s="71" t="n">
        <v>3.3</v>
      </c>
      <c r="V201" s="68" t="n">
        <v>237.11</v>
      </c>
      <c r="W201" s="68" t="n"/>
      <c r="X201" s="67" t="n">
        <v>2.22</v>
      </c>
      <c r="Y201" s="63" t="inlineStr">
        <is>
          <t>Blink Field Limited; NETDRAGON WEBSOFT INC</t>
        </is>
      </c>
      <c r="Z201" s="63" t="inlineStr">
        <is>
          <t>blink;netdragon</t>
        </is>
      </c>
      <c r="AA201" s="67" t="n">
        <v>17.9</v>
      </c>
      <c r="AB201" s="72" t="n"/>
      <c r="AC201" s="66" t="n"/>
      <c r="AD201" s="72" t="n"/>
      <c r="AE201" s="63" t="n"/>
      <c r="AF201" s="63" t="n"/>
      <c r="AG201" s="63" t="inlineStr">
        <is>
          <t>partial</t>
        </is>
      </c>
      <c r="AH201" s="63" t="inlineStr">
        <is>
          <t>2023-08-04</t>
        </is>
      </c>
      <c r="AI201" s="63" t="inlineStr">
        <is>
          <t>Bradbury Securities Limited</t>
        </is>
      </c>
      <c r="AJ201" s="63" t="inlineStr">
        <is>
          <t>Bradbury</t>
        </is>
      </c>
      <c r="AK201" s="73" t="n">
        <v>23.76</v>
      </c>
      <c r="AL201" s="72" t="n">
        <v>35.29</v>
      </c>
      <c r="AM201" s="72" t="n">
        <v>-8.52</v>
      </c>
      <c r="AN201" s="72" t="n">
        <v>67.06</v>
      </c>
      <c r="AO201" s="72" t="n">
        <v>34.35</v>
      </c>
      <c r="AP201" s="72" t="n">
        <v>102.35</v>
      </c>
      <c r="AQ201" s="72" t="n">
        <v>34.99</v>
      </c>
      <c r="AR201" s="72" t="n">
        <v>8.56</v>
      </c>
      <c r="AS201" s="72" t="n">
        <v>63.5</v>
      </c>
      <c r="AT201" s="72" t="n">
        <v>65.92</v>
      </c>
      <c r="AU201" s="72" t="n">
        <v>34.81</v>
      </c>
      <c r="AV201" s="72" t="n">
        <v>108.82</v>
      </c>
      <c r="AW201" s="72" t="n">
        <v>11.54</v>
      </c>
      <c r="AX201" s="72" t="n">
        <v>-0.46</v>
      </c>
      <c r="AY201" s="72" t="n">
        <v>-2.98</v>
      </c>
      <c r="AZ201" s="63" t="inlineStr">
        <is>
          <t>Hang Seng Index</t>
        </is>
      </c>
      <c r="BA201" s="72" t="n">
        <v>-4.59</v>
      </c>
      <c r="BB201" s="64" t="inlineStr">
        <is>
          <t>2026-08-28</t>
        </is>
      </c>
      <c r="BC201" s="65" t="n">
        <v>401.9</v>
      </c>
      <c r="BD201" s="68" t="n">
        <v>47.2</v>
      </c>
      <c r="BE201" s="63" t="inlineStr">
        <is>
          <t>Y</t>
        </is>
      </c>
      <c r="BF201" s="74" t="n">
        <v>225.9</v>
      </c>
      <c r="BG201" s="74" t="n"/>
      <c r="BH201" s="74" t="n"/>
      <c r="BI201" s="74" t="n">
        <v>26.5</v>
      </c>
      <c r="BJ201" s="75">
        <f>IF('BBG Verify'!S201="","not filed — run on terminal",'BBG Verify'!S201)</f>
        <v/>
      </c>
      <c r="BK201" s="76" t="inlineStr">
        <is>
          <t>N</t>
        </is>
      </c>
      <c r="BL201" s="77">
        <f>IF('BBG Verify'!K201="","not filed — run on terminal",'BBG Verify'!K201)</f>
        <v/>
      </c>
      <c r="BM201" s="63" t="inlineStr">
        <is>
          <t>N/A</t>
        </is>
      </c>
      <c r="BN201" s="63" t="inlineStr">
        <is>
          <t>N/A</t>
        </is>
      </c>
      <c r="BO201" s="63" t="inlineStr">
        <is>
          <t>N/A</t>
        </is>
      </c>
      <c r="BP201" s="63" t="inlineStr">
        <is>
          <t>N/A</t>
        </is>
      </c>
      <c r="BQ201" s="63" t="inlineStr">
        <is>
          <t>N/A</t>
        </is>
      </c>
      <c r="BR201" s="63" t="inlineStr">
        <is>
          <t>N/A</t>
        </is>
      </c>
      <c r="BS201" s="76" t="inlineStr">
        <is>
          <t>CMBC International Capital Limited</t>
        </is>
      </c>
      <c r="BT201" s="63" t="inlineStr">
        <is>
          <t>CMBC International Capital Limited</t>
        </is>
      </c>
      <c r="BU201" s="63" t="inlineStr">
        <is>
          <t>ABCI Capital Limited</t>
        </is>
      </c>
      <c r="BV201" s="63" t="inlineStr">
        <is>
          <t>ABCI Securities Company Limited; Bradbury Securities Limited; Beta International Securities Limited; CCB International Capital Limited; China Demeter Securities Limited; China Everbright Securities (HK) Limited; China Industrial Securities International Capital Limited; CMBC Securities Company Limited; Essence International Securities (Hong Kong) Limited; Eddid Securities and Futures Limited; First Shanghai Securities Limited; Futu Securities International (Hong Kong) Limited</t>
        </is>
      </c>
      <c r="BW201" s="78">
        <f>HYPERLINK("https://www1.hkexnews.hk/listedco/listconews/sehk/2023/0630/2023063000037.pdf","prospectus")</f>
        <v/>
      </c>
      <c r="BX201" s="78">
        <f>HYPERLINK("https://www1.hkexnews.hk/listedco/listconews/sehk/2023/0712/2023071200010.htm","allotment")</f>
        <v/>
      </c>
      <c r="BY201" s="78">
        <f>HYPERLINK("https://www1.hkexnews.hk/listedco/listconews/sehk/2023/0804/2023080401278.pdf","stabilisation")</f>
        <v/>
      </c>
      <c r="BZ201" s="76" t="n"/>
      <c r="CA201" s="63" t="inlineStr">
        <is>
          <t>range low: cap-only pricing — the filing publishes a Maximum Offer Price and no indicative floor · A/H: no A-share listing · cornerstone: AAStocks institutional table includes non-cornerstone orders (superset) — cornerstone % is from the prospectus · grey market: no grey-market headline on file for this deal — AAStocks publishes one per listing but keeps only recent items on the stock's news page, and no public archive of past evening sessions exists; captured from this run onward · eff float shares: share count unavailable or rejected as implausible — the money figure (eff_free_float_hkdm) is still exact</t>
        </is>
      </c>
    </row>
    <row r="202" ht="15" customHeight="1">
      <c r="A202" s="62" t="inlineStr">
        <is>
          <t>1284</t>
        </is>
      </c>
      <c r="B202" s="63" t="inlineStr">
        <is>
          <t>NEW MEDIA LAB</t>
        </is>
      </c>
      <c r="C202" s="63" t="inlineStr">
        <is>
          <t>新傳企劃</t>
        </is>
      </c>
      <c r="D202" s="63" t="inlineStr">
        <is>
          <t>TMT-other</t>
        </is>
      </c>
      <c r="E202" s="63" t="inlineStr">
        <is>
          <t>Media / advertising</t>
        </is>
      </c>
      <c r="F202" s="63" t="inlineStr">
        <is>
          <t>Advertising</t>
        </is>
      </c>
      <c r="G202" s="63" t="inlineStr">
        <is>
          <t>Standard</t>
        </is>
      </c>
      <c r="H202" s="64" t="n">
        <v>45125</v>
      </c>
      <c r="I202" s="65" t="n">
        <v>138</v>
      </c>
      <c r="J202" s="63" t="inlineStr">
        <is>
          <t>gross (price x shares)</t>
        </is>
      </c>
      <c r="K202" s="66" t="n">
        <v>0.84</v>
      </c>
      <c r="L202" s="66" t="n">
        <v>0.92</v>
      </c>
      <c r="M202" s="66" t="n">
        <v>0.92</v>
      </c>
      <c r="N202" s="63" t="inlineStr">
        <is>
          <t>Y</t>
        </is>
      </c>
      <c r="O202" s="67" t="n">
        <v>100</v>
      </c>
      <c r="P202" s="67" t="n">
        <v>100</v>
      </c>
      <c r="Q202" s="68" t="n">
        <v>552</v>
      </c>
      <c r="R202" s="63" t="inlineStr">
        <is>
          <t>derived:deal size / offer % of enlarged capital</t>
        </is>
      </c>
      <c r="S202" s="69" t="n">
        <v>1.5</v>
      </c>
      <c r="T202" s="70" t="n">
        <v>1.5</v>
      </c>
      <c r="U202" s="71" t="n">
        <v>0</v>
      </c>
      <c r="V202" s="68" t="n">
        <v>138</v>
      </c>
      <c r="W202" s="68" t="n">
        <v>150000000</v>
      </c>
      <c r="X202" s="67" t="n">
        <v>25</v>
      </c>
      <c r="Y202" s="63" t="n"/>
      <c r="Z202" s="63" t="n"/>
      <c r="AA202" s="67" t="n"/>
      <c r="AB202" s="72" t="n"/>
      <c r="AC202" s="66" t="n"/>
      <c r="AD202" s="72" t="n"/>
      <c r="AE202" s="63" t="n"/>
      <c r="AF202" s="63" t="n"/>
      <c r="AG202" s="63" t="n"/>
      <c r="AH202" s="63" t="n"/>
      <c r="AI202" s="63" t="n"/>
      <c r="AJ202" s="63" t="n"/>
      <c r="AK202" s="73" t="n">
        <v>1.09</v>
      </c>
      <c r="AL202" s="72" t="n">
        <v>-4.35</v>
      </c>
      <c r="AM202" s="72" t="n">
        <v>5.69</v>
      </c>
      <c r="AN202" s="72" t="n">
        <v>1.09</v>
      </c>
      <c r="AO202" s="72" t="n">
        <v>-38.04</v>
      </c>
      <c r="AP202" s="72" t="n">
        <v>-53.26</v>
      </c>
      <c r="AQ202" s="72" t="n">
        <v>0</v>
      </c>
      <c r="AR202" s="72" t="n">
        <v>-38.71</v>
      </c>
      <c r="AS202" s="72" t="n">
        <v>-53.76</v>
      </c>
      <c r="AT202" s="72" t="n">
        <v>0.98</v>
      </c>
      <c r="AU202" s="72" t="n">
        <v>-32.45</v>
      </c>
      <c r="AV202" s="72" t="n">
        <v>-44.6</v>
      </c>
      <c r="AW202" s="72" t="n">
        <v>-35.1</v>
      </c>
      <c r="AX202" s="72" t="n">
        <v>-5.59</v>
      </c>
      <c r="AY202" s="72" t="n">
        <v>-3.61</v>
      </c>
      <c r="AZ202" s="63" t="inlineStr">
        <is>
          <t>Hang Seng Index</t>
        </is>
      </c>
      <c r="BA202" s="72" t="n">
        <v>-50</v>
      </c>
      <c r="BB202" s="64" t="inlineStr">
        <is>
          <t>2026-08-28</t>
        </is>
      </c>
      <c r="BC202" s="65" t="n">
        <v>240.7</v>
      </c>
      <c r="BD202" s="68" t="n">
        <v>39.4</v>
      </c>
      <c r="BE202" s="63" t="inlineStr">
        <is>
          <t>Y</t>
        </is>
      </c>
      <c r="BF202" s="74" t="n">
        <v>14</v>
      </c>
      <c r="BG202" s="74" t="n"/>
      <c r="BH202" s="74" t="n">
        <v>22.9</v>
      </c>
      <c r="BI202" s="74" t="n">
        <v>2.3</v>
      </c>
      <c r="BJ202" s="75">
        <f>IF('BBG Verify'!S202="","not filed — run on terminal",'BBG Verify'!S202)</f>
        <v/>
      </c>
      <c r="BK202" s="76" t="inlineStr">
        <is>
          <t>N</t>
        </is>
      </c>
      <c r="BL202" s="77">
        <f>IF('BBG Verify'!K202="","not filed — run on terminal",'BBG Verify'!K202)</f>
        <v/>
      </c>
      <c r="BM202" s="63" t="inlineStr">
        <is>
          <t>N/A</t>
        </is>
      </c>
      <c r="BN202" s="63" t="inlineStr">
        <is>
          <t>N/A</t>
        </is>
      </c>
      <c r="BO202" s="63" t="inlineStr">
        <is>
          <t>N/A</t>
        </is>
      </c>
      <c r="BP202" s="63" t="inlineStr">
        <is>
          <t>N/A</t>
        </is>
      </c>
      <c r="BQ202" s="63" t="inlineStr">
        <is>
          <t>N/A</t>
        </is>
      </c>
      <c r="BR202" s="63" t="inlineStr">
        <is>
          <t>N/A</t>
        </is>
      </c>
      <c r="BS202" s="76" t="inlineStr">
        <is>
          <t>Emperor Corporate Finance Limited; Lego Corporate Finance Limited</t>
        </is>
      </c>
      <c r="BT202" s="63" t="inlineStr">
        <is>
          <t>Emperor Corporate Finance Limited; Lego Corporate Finance Limited</t>
        </is>
      </c>
      <c r="BU202" s="63" t="inlineStr">
        <is>
          <t>China Galaxy International Securities (Hong Kong) Company Limited; Emperor Securities Limited; Guotai Junan Securities (Hong Kong) Limited; Lego Securities Limited</t>
        </is>
      </c>
      <c r="BV202" s="63" t="inlineStr">
        <is>
          <t>China Galaxy International Securities (Hong Kong) Company Limited; Emperor Securities Limited; Guotai Junan Securities (Hong Kong) Limited; Lego Securities Limited</t>
        </is>
      </c>
      <c r="BW202" s="78">
        <f>HYPERLINK("https://www1.hkexnews.hk/listedco/listconews/sehk/2023/0630/2023063000045.pdf","prospectus")</f>
        <v/>
      </c>
      <c r="BX202" s="78">
        <f>HYPERLINK("https://www1.hkexnews.hk/listedco/listconews/sehk/2023/0714/2023071400016.htm","allotment")</f>
        <v/>
      </c>
      <c r="BY202" s="63" t="n"/>
      <c r="BZ202" s="76" t="n"/>
      <c r="CA202" s="63" t="inlineStr">
        <is>
          <t>greenshoe: no over-allotment option in the offer structure · A/H: no A-share listing · cornerstone list: no cornerstone tranche in this deal · greenshoe size: no over-allotment option in the offer structure · stabilising manager: no over-allotment option in the offer structure, so no stabilising manager is appointed · grey market: no grey-market headline on file for this deal — AAStocks publishes one per listing but keeps only recent items on the stock's news page, and no public archive of past evening sessions exists; captured from this run onward · listing date: scheduled for 2023-07-17, but the exchange did not open that day — first dealings 2023-07-18</t>
        </is>
      </c>
    </row>
    <row r="203" ht="15" customHeight="1">
      <c r="A203" s="62" t="inlineStr">
        <is>
          <t>2271</t>
        </is>
      </c>
      <c r="B203" s="63" t="inlineStr">
        <is>
          <t>ZHONGAN SERVICE</t>
        </is>
      </c>
      <c r="C203" s="63" t="inlineStr">
        <is>
          <t>眾安智慧生活</t>
        </is>
      </c>
      <c r="D203" s="63" t="inlineStr">
        <is>
          <t>Real Estate</t>
        </is>
      </c>
      <c r="E203" s="63" t="inlineStr">
        <is>
          <t>Property management</t>
        </is>
      </c>
      <c r="F203" s="63" t="inlineStr">
        <is>
          <t>Property Service and Management</t>
        </is>
      </c>
      <c r="G203" s="63" t="inlineStr">
        <is>
          <t>Standard</t>
        </is>
      </c>
      <c r="H203" s="64" t="n">
        <v>45125</v>
      </c>
      <c r="I203" s="65" t="n">
        <v>149.5</v>
      </c>
      <c r="J203" s="63" t="inlineStr">
        <is>
          <t>gross (price x shares)</t>
        </is>
      </c>
      <c r="K203" s="66" t="n">
        <v>1.18</v>
      </c>
      <c r="L203" s="66" t="n">
        <v>1.48</v>
      </c>
      <c r="M203" s="66" t="n">
        <v>1.18</v>
      </c>
      <c r="N203" s="63" t="inlineStr">
        <is>
          <t>N</t>
        </is>
      </c>
      <c r="O203" s="67" t="n">
        <v>79.7</v>
      </c>
      <c r="P203" s="67" t="n">
        <v>0</v>
      </c>
      <c r="Q203" s="68" t="n">
        <v>598</v>
      </c>
      <c r="R203" s="63" t="inlineStr">
        <is>
          <t>derived:deal size / offer % of enlarged capital</t>
        </is>
      </c>
      <c r="S203" s="69" t="n">
        <v>1.84</v>
      </c>
      <c r="T203" s="70" t="n">
        <v>1.63</v>
      </c>
      <c r="U203" s="71" t="n">
        <v>13.8</v>
      </c>
      <c r="V203" s="68" t="n">
        <v>128.87</v>
      </c>
      <c r="W203" s="68" t="n">
        <v>109187816</v>
      </c>
      <c r="X203" s="67" t="n">
        <v>21.55</v>
      </c>
      <c r="Y203" s="63" t="inlineStr">
        <is>
          <t>Heyuan Trading (Hong Kong) Limited; Wu Mingwu</t>
        </is>
      </c>
      <c r="Z203" s="63" t="inlineStr">
        <is>
          <t>heyuan;wu-mingwu</t>
        </is>
      </c>
      <c r="AA203" s="67" t="n">
        <v>10</v>
      </c>
      <c r="AB203" s="72" t="n"/>
      <c r="AC203" s="66" t="n"/>
      <c r="AD203" s="72" t="n"/>
      <c r="AE203" s="63" t="n"/>
      <c r="AF203" s="63" t="n"/>
      <c r="AG203" s="63" t="inlineStr">
        <is>
          <t>partial</t>
        </is>
      </c>
      <c r="AH203" s="63" t="inlineStr">
        <is>
          <t>2023-08-10</t>
        </is>
      </c>
      <c r="AI203" s="63" t="inlineStr">
        <is>
          <t>Huatai Financial Holdings</t>
        </is>
      </c>
      <c r="AJ203" s="63" t="inlineStr">
        <is>
          <t>Huatai</t>
        </is>
      </c>
      <c r="AK203" s="73" t="n">
        <v>2.54</v>
      </c>
      <c r="AL203" s="72" t="n">
        <v>3.39</v>
      </c>
      <c r="AM203" s="72" t="n">
        <v>-0.82</v>
      </c>
      <c r="AN203" s="72" t="n">
        <v>-10.17</v>
      </c>
      <c r="AO203" s="72" t="n">
        <v>-27.12</v>
      </c>
      <c r="AP203" s="72" t="n">
        <v>-43.22</v>
      </c>
      <c r="AQ203" s="72" t="n">
        <v>-12.4</v>
      </c>
      <c r="AR203" s="72" t="n">
        <v>-28.93</v>
      </c>
      <c r="AS203" s="72" t="n">
        <v>-44.63</v>
      </c>
      <c r="AT203" s="72" t="n">
        <v>-11.75</v>
      </c>
      <c r="AU203" s="72" t="n">
        <v>-19.42</v>
      </c>
      <c r="AV203" s="72" t="n">
        <v>-27.99</v>
      </c>
      <c r="AW203" s="72" t="n">
        <v>-23.57</v>
      </c>
      <c r="AX203" s="72" t="n">
        <v>-7.7</v>
      </c>
      <c r="AY203" s="72" t="n">
        <v>-5.36</v>
      </c>
      <c r="AZ203" s="63" t="inlineStr">
        <is>
          <t>Hang Seng Properties sub-index</t>
        </is>
      </c>
      <c r="BA203" s="72" t="n">
        <v>144.92</v>
      </c>
      <c r="BB203" s="64" t="inlineStr">
        <is>
          <t>2026-08-28</t>
        </is>
      </c>
      <c r="BC203" s="65" t="n">
        <v>351.7</v>
      </c>
      <c r="BD203" s="68" t="n">
        <v>56</v>
      </c>
      <c r="BE203" s="63" t="inlineStr">
        <is>
          <t>Y</t>
        </is>
      </c>
      <c r="BF203" s="74" t="n">
        <v>10.7</v>
      </c>
      <c r="BG203" s="74" t="n"/>
      <c r="BH203" s="74" t="n">
        <v>42</v>
      </c>
      <c r="BI203" s="74" t="n">
        <v>1.7</v>
      </c>
      <c r="BJ203" s="75">
        <f>IF('BBG Verify'!S203="","not filed — run on terminal",'BBG Verify'!S203)</f>
        <v/>
      </c>
      <c r="BK203" s="76" t="inlineStr">
        <is>
          <t>N</t>
        </is>
      </c>
      <c r="BL203" s="77">
        <f>IF('BBG Verify'!K203="","not filed — run on terminal",'BBG Verify'!K203)</f>
        <v/>
      </c>
      <c r="BM203" s="63" t="inlineStr">
        <is>
          <t>N/A</t>
        </is>
      </c>
      <c r="BN203" s="63" t="inlineStr">
        <is>
          <t>N/A</t>
        </is>
      </c>
      <c r="BO203" s="63" t="inlineStr">
        <is>
          <t>N/A</t>
        </is>
      </c>
      <c r="BP203" s="63" t="inlineStr">
        <is>
          <t>N/A</t>
        </is>
      </c>
      <c r="BQ203" s="63" t="inlineStr">
        <is>
          <t>N/A</t>
        </is>
      </c>
      <c r="BR203" s="63" t="inlineStr">
        <is>
          <t>N/A</t>
        </is>
      </c>
      <c r="BS203" s="76" t="inlineStr">
        <is>
          <t>China Merchants Securities (HK) Co., Limited; Huatai Financial Holdings (Hong Kong) Limited</t>
        </is>
      </c>
      <c r="BT203" s="63" t="inlineStr">
        <is>
          <t>Huatai Financial Holdings (Hong Kong) Limited; China Merchants Securities (HK) Company Limited</t>
        </is>
      </c>
      <c r="BU203" s="63" t="inlineStr">
        <is>
          <t>Guotai Junan Securities (Hong Kong) Limited; CCB International Capital Limited; Victory Securities Company Limited</t>
        </is>
      </c>
      <c r="BV203" s="63" t="inlineStr">
        <is>
          <t>CCB International Capital Limited; China Merchants Securities (HK) Company Limited; Guotai Junan Securities (Hong Kong) Limited; Huatai Financial Holdings (Hong Kong) Limited; Victory Securities Company Limited</t>
        </is>
      </c>
      <c r="BW203" s="78">
        <f>HYPERLINK("https://www1.hkexnews.hk/listedco/listconews/sehk/2023/0630/2023063000209.pdf","prospectus")</f>
        <v/>
      </c>
      <c r="BX203" s="78">
        <f>HYPERLINK("https://www1.hkexnews.hk/listedco/listconews/sehk/2023/0717/2023071700006.htm","allotment")</f>
        <v/>
      </c>
      <c r="BY203" s="78">
        <f>HYPERLINK("https://www1.hkexnews.hk/listedco/listconews/sehk/2023/0810/2023081001406.pdf","stabilisation")</f>
        <v/>
      </c>
      <c r="BZ203" s="76" t="n"/>
      <c r="CA203" s="63" t="inlineStr">
        <is>
          <t>A/H: no A-share listing · grey market: no grey-market headline on file for this deal — AAStocks publishes one per listing but keeps only recent items on the stock's news page, and no public archive of past evening sessions exists; captured from this run onward</t>
        </is>
      </c>
    </row>
    <row r="204" ht="15" customHeight="1">
      <c r="A204" s="62" t="inlineStr">
        <is>
          <t>1541</t>
        </is>
      </c>
      <c r="B204" s="63" t="inlineStr">
        <is>
          <t>IMMUNEONCO-B</t>
        </is>
      </c>
      <c r="C204" s="63" t="inlineStr">
        <is>
          <t>宜明昂科－Ｂ</t>
        </is>
      </c>
      <c r="D204" s="63" t="inlineStr">
        <is>
          <t>Healthcare</t>
        </is>
      </c>
      <c r="E204" s="63" t="inlineStr">
        <is>
          <t>Biotech pre-revenue (18A)</t>
        </is>
      </c>
      <c r="F204" s="63" t="inlineStr">
        <is>
          <t>Biotechnology - Pharmaceuticals</t>
        </is>
      </c>
      <c r="G204" s="63" t="inlineStr">
        <is>
          <t>18A</t>
        </is>
      </c>
      <c r="H204" s="64" t="n">
        <v>45174</v>
      </c>
      <c r="I204" s="65" t="n">
        <v>318.9</v>
      </c>
      <c r="J204" s="63" t="inlineStr">
        <is>
          <t>gross (price x shares)</t>
        </is>
      </c>
      <c r="K204" s="66" t="n"/>
      <c r="L204" s="66" t="n">
        <v>18.6</v>
      </c>
      <c r="M204" s="66" t="n">
        <v>18.6</v>
      </c>
      <c r="N204" s="63" t="inlineStr">
        <is>
          <t>Y</t>
        </is>
      </c>
      <c r="O204" s="67" t="n">
        <v>100</v>
      </c>
      <c r="P204" s="67" t="n"/>
      <c r="Q204" s="68" t="n">
        <v>6132.7</v>
      </c>
      <c r="R204" s="63" t="inlineStr">
        <is>
          <t>derived:deal size / offer % of enlarged capital</t>
        </is>
      </c>
      <c r="S204" s="69" t="n">
        <v>9.98</v>
      </c>
      <c r="T204" s="70" t="n">
        <v>1.06</v>
      </c>
      <c r="U204" s="71" t="n">
        <v>72.81</v>
      </c>
      <c r="V204" s="68" t="n">
        <v>86.70999999999999</v>
      </c>
      <c r="W204" s="68" t="n">
        <v>4662324</v>
      </c>
      <c r="X204" s="67" t="n">
        <v>1.41</v>
      </c>
      <c r="Y204" s="63" t="inlineStr">
        <is>
          <t>ClinChoice Medical Development Limited; Harvest International Premium Value (Secondary Market) Fund SPC; RemeGen Hong Kong Limited; WuXi Biologics HealthCare Venture</t>
        </is>
      </c>
      <c r="Z204" s="63" t="inlineStr">
        <is>
          <t>clinchoice;harvest;remegen;wuxi</t>
        </is>
      </c>
      <c r="AA204" s="67" t="n">
        <v>5.2</v>
      </c>
      <c r="AB204" s="72" t="n"/>
      <c r="AC204" s="66" t="n"/>
      <c r="AD204" s="72" t="n"/>
      <c r="AE204" s="63" t="n"/>
      <c r="AF204" s="63" t="n"/>
      <c r="AG204" s="63" t="inlineStr">
        <is>
          <t>partial</t>
        </is>
      </c>
      <c r="AH204" s="63" t="inlineStr">
        <is>
          <t>2023-09-28</t>
        </is>
      </c>
      <c r="AI204" s="63" t="inlineStr">
        <is>
          <t>Morgan Stanley Asia Limited</t>
        </is>
      </c>
      <c r="AJ204" s="63" t="inlineStr">
        <is>
          <t>Morgan Stanley</t>
        </is>
      </c>
      <c r="AK204" s="73" t="n">
        <v>4.95</v>
      </c>
      <c r="AL204" s="72" t="n">
        <v>13.98</v>
      </c>
      <c r="AM204" s="72" t="n">
        <v>-7.92</v>
      </c>
      <c r="AN204" s="72" t="n">
        <v>34.41</v>
      </c>
      <c r="AO204" s="72" t="n">
        <v>38.17</v>
      </c>
      <c r="AP204" s="72" t="n">
        <v>52.96</v>
      </c>
      <c r="AQ204" s="72" t="n">
        <v>28.07</v>
      </c>
      <c r="AR204" s="72" t="n">
        <v>31.65</v>
      </c>
      <c r="AS204" s="72" t="n">
        <v>45.75</v>
      </c>
      <c r="AT204" s="72" t="n">
        <v>35.61</v>
      </c>
      <c r="AU204" s="72" t="n">
        <v>35.54</v>
      </c>
      <c r="AV204" s="72" t="n">
        <v>47.82</v>
      </c>
      <c r="AW204" s="72" t="n">
        <v>28.82</v>
      </c>
      <c r="AX204" s="72" t="n">
        <v>2.63</v>
      </c>
      <c r="AY204" s="72" t="n">
        <v>2.83</v>
      </c>
      <c r="AZ204" s="63" t="inlineStr">
        <is>
          <t>China Biotech ETF (HS biotech proxy)</t>
        </is>
      </c>
      <c r="BA204" s="72" t="n">
        <v>-80.05</v>
      </c>
      <c r="BB204" s="64" t="inlineStr">
        <is>
          <t>2026-08-28</t>
        </is>
      </c>
      <c r="BC204" s="65" t="n">
        <v>0.3</v>
      </c>
      <c r="BD204" s="68" t="n">
        <v>-164</v>
      </c>
      <c r="BE204" s="63" t="inlineStr">
        <is>
          <t>N</t>
        </is>
      </c>
      <c r="BF204" s="63" t="inlineStr">
        <is>
          <t>n/m</t>
        </is>
      </c>
      <c r="BG204" s="74" t="n"/>
      <c r="BH204" s="74" t="n"/>
      <c r="BI204" s="74" t="n">
        <v>20442.3</v>
      </c>
      <c r="BJ204" s="75">
        <f>IF('BBG Verify'!S204="","not filed — run on terminal",'BBG Verify'!S204)</f>
        <v/>
      </c>
      <c r="BK204" s="76" t="inlineStr">
        <is>
          <t>N</t>
        </is>
      </c>
      <c r="BL204" s="77">
        <f>IF('BBG Verify'!K204="","not filed — run on terminal",'BBG Verify'!K204)</f>
        <v/>
      </c>
      <c r="BM204" s="63" t="inlineStr">
        <is>
          <t>N/A</t>
        </is>
      </c>
      <c r="BN204" s="63" t="inlineStr">
        <is>
          <t>N/A</t>
        </is>
      </c>
      <c r="BO204" s="63" t="inlineStr">
        <is>
          <t>N/A</t>
        </is>
      </c>
      <c r="BP204" s="63" t="inlineStr">
        <is>
          <t>N/A</t>
        </is>
      </c>
      <c r="BQ204" s="63" t="inlineStr">
        <is>
          <t>N/A</t>
        </is>
      </c>
      <c r="BR204" s="63" t="inlineStr">
        <is>
          <t>N/A</t>
        </is>
      </c>
      <c r="BS204" s="76" t="inlineStr">
        <is>
          <t>Morgan Stanley Asia Limited; China International Capital Corporation Hong Kong Securities Limited</t>
        </is>
      </c>
      <c r="BT204" s="63" t="inlineStr">
        <is>
          <t>China International Capital Corporation Hong Kong Securities Limited; Morgan Stanley Asia Limited</t>
        </is>
      </c>
      <c r="BU204" s="63" t="inlineStr">
        <is>
          <t>Morgan Stanley Asia Limited; China International Capital Corporation Hong Kong Securities Limited; Fosun International Securities Limited; CMB International Capital Limited; BOCI Asia Limited; ICBC International Securities Limited; Soochow Securities International Brokerage Limited; Futu Securities International (Hong Kong) Limited</t>
        </is>
      </c>
      <c r="BV204" s="63" t="inlineStr">
        <is>
          <t>BOCI Asia Limited; China International Capital Corporation Hong Kong Securities Limited; CMB International Capital Corporation Limited; Fosun International Securities Limited; Futu Securities International (Hong Kong) Limited; ICBC International Securities Limited; Morgan Stanley Asia Limited; Soochow Securities International Brokerage Limited</t>
        </is>
      </c>
      <c r="BW204" s="78">
        <f>HYPERLINK("https://www1.hkexnews.hk/listedco/listconews/sehk/2023/0824/2023082400037.pdf","prospectus")</f>
        <v/>
      </c>
      <c r="BX204" s="78">
        <f>HYPERLINK("https://www1.hkexnews.hk/listedco/listconews/sehk/2023/0904/2023090400006.htm","allotment")</f>
        <v/>
      </c>
      <c r="BY204" s="78">
        <f>HYPERLINK("https://www1.hkexnews.hk/listedco/listconews/sehk/2023/0928/2023092802361.pdf","stabilisation")</f>
        <v/>
      </c>
      <c r="BZ204" s="76" t="n"/>
      <c r="CA204" s="63" t="inlineStr">
        <is>
          <t>P/E: n/m — loss-making at IPO (use P/S) · range low: cap-only pricing — the filing publishes a Maximum Offer Price and no indicative floor · A/H: no A-share listing · P/S: 20,442x on HK$0.3m revenue — effectively pre-revenue; the multiple is shown for completeness, not comparability · grey market: no grey-market headline on file for this deal — AAStocks publishes one per listing but keeps only recent items on the stock's news page, and no public archive of past evening sessions exists; captured from this run onward</t>
        </is>
      </c>
    </row>
    <row r="205" ht="15" customHeight="1">
      <c r="A205" s="62" t="inlineStr">
        <is>
          <t>2496</t>
        </is>
      </c>
      <c r="B205" s="63" t="inlineStr">
        <is>
          <t>YZYBIO-B</t>
        </is>
      </c>
      <c r="C205" s="63" t="inlineStr">
        <is>
          <t>友芝友生物－Ｂ</t>
        </is>
      </c>
      <c r="D205" s="63" t="inlineStr">
        <is>
          <t>Healthcare</t>
        </is>
      </c>
      <c r="E205" s="63" t="inlineStr">
        <is>
          <t>Biotech pre-revenue (18A)</t>
        </is>
      </c>
      <c r="F205" s="63" t="inlineStr">
        <is>
          <t>Biotechnology - Pharmaceuticals</t>
        </is>
      </c>
      <c r="G205" s="63" t="inlineStr">
        <is>
          <t>18A</t>
        </is>
      </c>
      <c r="H205" s="64" t="n">
        <v>45194</v>
      </c>
      <c r="I205" s="65" t="n">
        <v>176</v>
      </c>
      <c r="J205" s="63" t="inlineStr">
        <is>
          <t>gross (price x shares)</t>
        </is>
      </c>
      <c r="K205" s="66" t="n">
        <v>16</v>
      </c>
      <c r="L205" s="66" t="n">
        <v>20</v>
      </c>
      <c r="M205" s="66" t="n">
        <v>16</v>
      </c>
      <c r="N205" s="63" t="inlineStr">
        <is>
          <t>N</t>
        </is>
      </c>
      <c r="O205" s="67" t="n">
        <v>80</v>
      </c>
      <c r="P205" s="67" t="n">
        <v>0</v>
      </c>
      <c r="Q205" s="68" t="n">
        <v>3087.7</v>
      </c>
      <c r="R205" s="63" t="inlineStr">
        <is>
          <t>derived:deal size / offer % of enlarged capital</t>
        </is>
      </c>
      <c r="S205" s="69" t="n">
        <v>13.81</v>
      </c>
      <c r="T205" s="70" t="n">
        <v>1.57</v>
      </c>
      <c r="U205" s="71" t="n">
        <v>37.3</v>
      </c>
      <c r="V205" s="68" t="n">
        <v>110.35</v>
      </c>
      <c r="W205" s="68" t="n">
        <v>6897752</v>
      </c>
      <c r="X205" s="67" t="n">
        <v>3.57</v>
      </c>
      <c r="Y205" s="63" t="inlineStr">
        <is>
          <t>Chengdu Puhua Kaizhi Biotechnology Co., Ltd; Wuhan Optics Valley Health Industry Investment Ltd</t>
        </is>
      </c>
      <c r="Z205" s="63" t="inlineStr">
        <is>
          <t>chengdu;wuhan</t>
        </is>
      </c>
      <c r="AA205" s="67" t="n">
        <v>6.5</v>
      </c>
      <c r="AB205" s="72" t="n"/>
      <c r="AC205" s="66" t="n"/>
      <c r="AD205" s="72" t="n"/>
      <c r="AE205" s="63" t="n"/>
      <c r="AF205" s="63" t="n"/>
      <c r="AG205" s="63" t="inlineStr">
        <is>
          <t>partial</t>
        </is>
      </c>
      <c r="AH205" s="63" t="inlineStr">
        <is>
          <t>2023-10-18</t>
        </is>
      </c>
      <c r="AI205" s="63" t="inlineStr">
        <is>
          <t>China Securities</t>
        </is>
      </c>
      <c r="AJ205" s="63" t="inlineStr">
        <is>
          <t>China Securities</t>
        </is>
      </c>
      <c r="AK205" s="73" t="n">
        <v>0</v>
      </c>
      <c r="AL205" s="72" t="n">
        <v>2.5</v>
      </c>
      <c r="AM205" s="72" t="n">
        <v>-2.44</v>
      </c>
      <c r="AN205" s="72" t="n">
        <v>-6.25</v>
      </c>
      <c r="AO205" s="72" t="n">
        <v>-40.38</v>
      </c>
      <c r="AP205" s="72" t="n">
        <v>-45.19</v>
      </c>
      <c r="AQ205" s="72" t="n">
        <v>-6.25</v>
      </c>
      <c r="AR205" s="72" t="n">
        <v>-40.38</v>
      </c>
      <c r="AS205" s="72" t="n">
        <v>-45.19</v>
      </c>
      <c r="AT205" s="72" t="n">
        <v>-7.02</v>
      </c>
      <c r="AU205" s="72" t="n">
        <v>-45.61</v>
      </c>
      <c r="AV205" s="72" t="n">
        <v>-44.92</v>
      </c>
      <c r="AW205" s="72" t="n">
        <v>-44.99</v>
      </c>
      <c r="AX205" s="72" t="n">
        <v>5.23</v>
      </c>
      <c r="AY205" s="72" t="n">
        <v>4.61</v>
      </c>
      <c r="AZ205" s="63" t="inlineStr">
        <is>
          <t>China Biotech ETF (HS biotech proxy)</t>
        </is>
      </c>
      <c r="BA205" s="72" t="n">
        <v>-79.38</v>
      </c>
      <c r="BB205" s="64" t="inlineStr">
        <is>
          <t>2026-08-28</t>
        </is>
      </c>
      <c r="BC205" s="65" t="n">
        <v>2.2</v>
      </c>
      <c r="BD205" s="68" t="n">
        <v>-207.8</v>
      </c>
      <c r="BE205" s="63" t="inlineStr">
        <is>
          <t>N</t>
        </is>
      </c>
      <c r="BF205" s="63" t="inlineStr">
        <is>
          <t>n/m</t>
        </is>
      </c>
      <c r="BG205" s="74" t="n"/>
      <c r="BH205" s="74" t="n"/>
      <c r="BI205" s="74" t="n">
        <v>1403.5</v>
      </c>
      <c r="BJ205" s="75">
        <f>IF('BBG Verify'!S205="","not filed — run on terminal",'BBG Verify'!S205)</f>
        <v/>
      </c>
      <c r="BK205" s="76" t="inlineStr">
        <is>
          <t>N</t>
        </is>
      </c>
      <c r="BL205" s="77">
        <f>IF('BBG Verify'!K205="","not filed — run on terminal",'BBG Verify'!K205)</f>
        <v/>
      </c>
      <c r="BM205" s="63" t="inlineStr">
        <is>
          <t>N/A</t>
        </is>
      </c>
      <c r="BN205" s="63" t="inlineStr">
        <is>
          <t>N/A</t>
        </is>
      </c>
      <c r="BO205" s="63" t="inlineStr">
        <is>
          <t>N/A</t>
        </is>
      </c>
      <c r="BP205" s="63" t="inlineStr">
        <is>
          <t>N/A</t>
        </is>
      </c>
      <c r="BQ205" s="63" t="inlineStr">
        <is>
          <t>N/A</t>
        </is>
      </c>
      <c r="BR205" s="63" t="inlineStr">
        <is>
          <t>N/A</t>
        </is>
      </c>
      <c r="BS205" s="76" t="n"/>
      <c r="BT205" s="63" t="inlineStr">
        <is>
          <t>China Securities (International) Corporate Finance Company Limited</t>
        </is>
      </c>
      <c r="BU205" s="63" t="inlineStr">
        <is>
          <t>China Securities (International) Corporate Finance Company Limited; Guotai Junan Securities (Hong Kong) Limited; CCB International Capital Limited; BOCI Asia Limited; TFI Securities and Futures Limited; China Galaxy International Securities (Hong Kong) Co., Limited</t>
        </is>
      </c>
      <c r="BV205" s="63" t="inlineStr">
        <is>
          <t>BOCI Asia Limited; CCB International Capital Limited; China Galaxy International Securities (Hong Kong) Company Limited; China Securities (International) Corporate Finance Company Limited; Futu Securities International (Hong Kong) Limited; Guotai Junan Securities (Hong Kong) Limited; Livermore Holdings Limited; TFI Securities and Futures Limited</t>
        </is>
      </c>
      <c r="BW205" s="78">
        <f>HYPERLINK("https://www1.hkexnews.hk/listedco/listconews/sehk/2023/0913/2023091300013.pdf","prospectus")</f>
        <v/>
      </c>
      <c r="BX205" s="78">
        <f>HYPERLINK("https://www1.hkexnews.hk/listedco/listconews/sehk/2023/0922/2023092200024.htm","allotment")</f>
        <v/>
      </c>
      <c r="BY205" s="78">
        <f>HYPERLINK("https://www1.hkexnews.hk/listedco/listconews/sehk/2023/1019/2023101900003.pdf","stabilisation")</f>
        <v/>
      </c>
      <c r="BZ205" s="76" t="n"/>
      <c r="CA205" s="63" t="inlineStr">
        <is>
          <t>P/E: n/m — loss-making at IPO (use P/S) · A/H: no A-share listing · sponsor: English name not in the filing text; AAStocks 保薦人 shown · cornerstone: AAStocks institutional table includes non-cornerstone orders (superset) — cornerstone % is from the prospectus · P/S: 1,404x on HK$2.2m revenue — effectively pre-revenue; the multiple is shown for completeness, not comparability · grey market: no grey-market headline on file for this deal — AAStocks publishes one per listing but keeps only recent items on the stock's news page, and no public archive of past evening sessions exists; captured from this run onward</t>
        </is>
      </c>
    </row>
    <row r="206" ht="15" customHeight="1">
      <c r="A206" s="62" t="inlineStr">
        <is>
          <t>2490</t>
        </is>
      </c>
      <c r="B206" s="63" t="inlineStr">
        <is>
          <t>LC LOGISTICS</t>
        </is>
      </c>
      <c r="C206" s="63" t="inlineStr">
        <is>
          <t>樂艙物流</t>
        </is>
      </c>
      <c r="D206" s="63" t="inlineStr">
        <is>
          <t>Industrials</t>
        </is>
      </c>
      <c r="E206" s="63" t="inlineStr">
        <is>
          <t>Logistics</t>
        </is>
      </c>
      <c r="F206" s="63" t="inlineStr">
        <is>
          <t>Marine Ports &amp; Services</t>
        </is>
      </c>
      <c r="G206" s="63" t="inlineStr">
        <is>
          <t>Standard</t>
        </is>
      </c>
      <c r="H206" s="64" t="n">
        <v>45194</v>
      </c>
      <c r="I206" s="65" t="n">
        <v>145.6</v>
      </c>
      <c r="J206" s="63" t="inlineStr">
        <is>
          <t>gross (price x shares)</t>
        </is>
      </c>
      <c r="K206" s="66" t="n">
        <v>4.45</v>
      </c>
      <c r="L206" s="66" t="n">
        <v>5.55</v>
      </c>
      <c r="M206" s="66" t="n">
        <v>5.13</v>
      </c>
      <c r="N206" s="63" t="inlineStr">
        <is>
          <t>N</t>
        </is>
      </c>
      <c r="O206" s="67" t="n">
        <v>92.40000000000001</v>
      </c>
      <c r="P206" s="67" t="n">
        <v>61.8</v>
      </c>
      <c r="Q206" s="68" t="n">
        <v>1565</v>
      </c>
      <c r="R206" s="63" t="inlineStr">
        <is>
          <t>aastocks:上市市值 at the struck price</t>
        </is>
      </c>
      <c r="S206" s="69" t="n">
        <v>4.77</v>
      </c>
      <c r="T206" s="70" t="n">
        <v>1.53</v>
      </c>
      <c r="U206" s="71" t="n">
        <v>0</v>
      </c>
      <c r="V206" s="68" t="n">
        <v>145.6</v>
      </c>
      <c r="W206" s="68" t="n">
        <v>28390000</v>
      </c>
      <c r="X206" s="67" t="n">
        <v>9.300000000000001</v>
      </c>
      <c r="Y206" s="63" t="n"/>
      <c r="Z206" s="63" t="n"/>
      <c r="AA206" s="67" t="n">
        <v>10.66</v>
      </c>
      <c r="AB206" s="72" t="n"/>
      <c r="AC206" s="66" t="n"/>
      <c r="AD206" s="72" t="n"/>
      <c r="AE206" s="63" t="n"/>
      <c r="AF206" s="63" t="n"/>
      <c r="AG206" s="63" t="inlineStr">
        <is>
          <t>partial</t>
        </is>
      </c>
      <c r="AH206" s="63" t="inlineStr">
        <is>
          <t>2023-10-18</t>
        </is>
      </c>
      <c r="AI206" s="63" t="n"/>
      <c r="AJ206" s="63" t="n"/>
      <c r="AK206" s="73" t="n">
        <v>-0.58</v>
      </c>
      <c r="AL206" s="72" t="n">
        <v>0</v>
      </c>
      <c r="AM206" s="72" t="n">
        <v>-0.58</v>
      </c>
      <c r="AN206" s="72" t="n">
        <v>3.7</v>
      </c>
      <c r="AO206" s="72" t="n">
        <v>-7.8</v>
      </c>
      <c r="AP206" s="72" t="n">
        <v>-0.19</v>
      </c>
      <c r="AQ206" s="72" t="n">
        <v>4.3</v>
      </c>
      <c r="AR206" s="72" t="n">
        <v>-7.26</v>
      </c>
      <c r="AS206" s="72" t="n">
        <v>0.39</v>
      </c>
      <c r="AT206" s="72" t="n">
        <v>8.210000000000001</v>
      </c>
      <c r="AU206" s="72" t="n">
        <v>-1.18</v>
      </c>
      <c r="AV206" s="72" t="n">
        <v>10.99</v>
      </c>
      <c r="AW206" s="72" t="n">
        <v>-2.58</v>
      </c>
      <c r="AX206" s="72" t="n">
        <v>-6.62</v>
      </c>
      <c r="AY206" s="72" t="n">
        <v>-4.68</v>
      </c>
      <c r="AZ206" s="63" t="inlineStr">
        <is>
          <t>Hang Seng Commerce &amp; Industry sub-index</t>
        </is>
      </c>
      <c r="BA206" s="72" t="n">
        <v>86.16</v>
      </c>
      <c r="BB206" s="64" t="inlineStr">
        <is>
          <t>2026-08-31</t>
        </is>
      </c>
      <c r="BC206" s="65" t="n">
        <v>5068.7</v>
      </c>
      <c r="BD206" s="68" t="n">
        <v>424.9</v>
      </c>
      <c r="BE206" s="63" t="inlineStr">
        <is>
          <t>Y</t>
        </is>
      </c>
      <c r="BF206" s="74" t="n">
        <v>3.7</v>
      </c>
      <c r="BG206" s="74" t="n"/>
      <c r="BH206" s="74" t="n">
        <v>18</v>
      </c>
      <c r="BI206" s="74" t="n">
        <v>0.3</v>
      </c>
      <c r="BJ206" s="75">
        <f>IF('BBG Verify'!S206="","not filed — run on terminal",'BBG Verify'!S206)</f>
        <v/>
      </c>
      <c r="BK206" s="76" t="inlineStr">
        <is>
          <t>N</t>
        </is>
      </c>
      <c r="BL206" s="77">
        <f>IF('BBG Verify'!K206="","not filed — run on terminal",'BBG Verify'!K206)</f>
        <v/>
      </c>
      <c r="BM206" s="63" t="inlineStr">
        <is>
          <t>N/A</t>
        </is>
      </c>
      <c r="BN206" s="63" t="inlineStr">
        <is>
          <t>N/A</t>
        </is>
      </c>
      <c r="BO206" s="63" t="inlineStr">
        <is>
          <t>N/A</t>
        </is>
      </c>
      <c r="BP206" s="63" t="inlineStr">
        <is>
          <t>N/A</t>
        </is>
      </c>
      <c r="BQ206" s="63" t="inlineStr">
        <is>
          <t>N/A</t>
        </is>
      </c>
      <c r="BR206" s="63" t="inlineStr">
        <is>
          <t>N/A</t>
        </is>
      </c>
      <c r="BS206" s="76" t="inlineStr">
        <is>
          <t>CITIC Securities (Hong Kong) Limited; ABCI Capital Limited</t>
        </is>
      </c>
      <c r="BT206" s="63" t="inlineStr">
        <is>
          <t>CITIC Securities (Hong Kong) Limited; ABCI Capital Limited</t>
        </is>
      </c>
      <c r="BU206" s="63" t="inlineStr">
        <is>
          <t>CLSA Limited; ABCI Capital Limited; Shenwan Hongyuan Securities (H.K.) Limited; CMB International Capital Limited; Guotai Junan Securities (Hong Kong) Limited; BOCOM International Securities Limited; CMBC Securities Company Limited; Livermore Holdings Limited; Valuable Capital Limited</t>
        </is>
      </c>
      <c r="BV206" s="63" t="inlineStr">
        <is>
          <t>ABCI Securities Company Limited; Beta International Securities Limited; CLSA Limited; CMBC Securities Company Limited; CMB International Capital Limited; Guotai Junan Securities (Hong Kong) Limited; Livermore Holdings Limited; Shenwan Hongyuan Securities (H.K.) Limited; SPDB International Capital Limited; Valuable Capital Limited</t>
        </is>
      </c>
      <c r="BW206" s="78">
        <f>HYPERLINK("https://www1.hkexnews.hk/listedco/listconews/sehk/2023/0913/2023091300017.pdf","prospectus")</f>
        <v/>
      </c>
      <c r="BX206" s="78">
        <f>HYPERLINK("https://www1.hkexnews.hk/listedco/listconews/sehk/2023/0922/2023092200056.htm","allotment")</f>
        <v/>
      </c>
      <c r="BY206" s="78">
        <f>HYPERLINK("https://www1.hkexnews.hk/listedco/listconews/sehk/2023/1018/2023101800796.pdf","stabilisation")</f>
        <v/>
      </c>
      <c r="BZ206" s="76" t="n"/>
      <c r="CA206" s="63" t="inlineStr">
        <is>
          <t>A/H: no A-share listing · market cap: estimate from deal size / offer % of enlarged capital disagreed with the published listing cap — published figure adopted · cornerstone list: no cornerstone tranche in this deal · stabilising manager: neither the allotment announcement's cover sentence nor the prospectus definitions glossary names one in a form the parser reads — not inferred from the sponsor · deal size: stated gross HK$5.9m rejected — below the deal's own net proceeds HK$83.5m, which cannot happen · grey market: no grey-market headline on file for this deal — AAStocks publishes one per listing but keeps only recent items on the stock's news page, and no public archive of past evening sessions exists; captured from this run onward</t>
        </is>
      </c>
    </row>
    <row r="207" ht="15" customHeight="1">
      <c r="A207" s="62" t="inlineStr">
        <is>
          <t>9690</t>
        </is>
      </c>
      <c r="B207" s="63" t="inlineStr">
        <is>
          <t>TUHU-W</t>
        </is>
      </c>
      <c r="C207" s="63" t="inlineStr">
        <is>
          <t>途虎－Ｗ</t>
        </is>
      </c>
      <c r="D207" s="63" t="inlineStr">
        <is>
          <t>Tech/AI</t>
        </is>
      </c>
      <c r="E207" s="63" t="inlineStr">
        <is>
          <t>Internet platform / e-commerce</t>
        </is>
      </c>
      <c r="F207" s="63" t="inlineStr">
        <is>
          <t>Automotive Retail</t>
        </is>
      </c>
      <c r="G207" s="63" t="inlineStr">
        <is>
          <t>WVR</t>
        </is>
      </c>
      <c r="H207" s="64" t="n">
        <v>45195</v>
      </c>
      <c r="I207" s="65" t="n">
        <v>1188.5</v>
      </c>
      <c r="J207" s="63" t="inlineStr">
        <is>
          <t>gross (price x shares)</t>
        </is>
      </c>
      <c r="K207" s="66" t="n"/>
      <c r="L207" s="66" t="n">
        <v>28</v>
      </c>
      <c r="M207" s="66" t="n">
        <v>28</v>
      </c>
      <c r="N207" s="63" t="inlineStr">
        <is>
          <t>Y</t>
        </is>
      </c>
      <c r="O207" s="67" t="n">
        <v>100</v>
      </c>
      <c r="P207" s="67" t="n"/>
      <c r="Q207" s="68" t="n">
        <v>24157.3</v>
      </c>
      <c r="R207" s="63" t="inlineStr">
        <is>
          <t>aastocks:上市市值 at the struck price</t>
        </is>
      </c>
      <c r="S207" s="69" t="n">
        <v>2.67</v>
      </c>
      <c r="T207" s="70" t="n">
        <v>2.3</v>
      </c>
      <c r="U207" s="71" t="n">
        <v>62.3</v>
      </c>
      <c r="V207" s="68" t="n">
        <v>448.06</v>
      </c>
      <c r="W207" s="68" t="n">
        <v>16001690</v>
      </c>
      <c r="X207" s="67" t="n">
        <v>1.85</v>
      </c>
      <c r="Y207" s="63" t="inlineStr">
        <is>
          <t>Castrol Holdings International Limited; Image Frame Investment (HK) Limited; Shanghai Zizhu High-tech Zone (Group) Co., Ltd; Zhejiang Leapmotor Technology Co., Ltd</t>
        </is>
      </c>
      <c r="Z207" s="63" t="inlineStr">
        <is>
          <t>castrol;image;shanghai-zizhu;zhejiang</t>
        </is>
      </c>
      <c r="AA207" s="67" t="n">
        <v>5.7</v>
      </c>
      <c r="AB207" s="72" t="n"/>
      <c r="AC207" s="66" t="n"/>
      <c r="AD207" s="72" t="n"/>
      <c r="AE207" s="63" t="n"/>
      <c r="AF207" s="63" t="n"/>
      <c r="AG207" s="63" t="inlineStr">
        <is>
          <t>partial</t>
        </is>
      </c>
      <c r="AH207" s="63" t="inlineStr">
        <is>
          <t>2023-10-19</t>
        </is>
      </c>
      <c r="AI207" s="63" t="inlineStr">
        <is>
          <t>Goldman Sachs</t>
        </is>
      </c>
      <c r="AJ207" s="63" t="inlineStr">
        <is>
          <t>Goldman Sachs</t>
        </is>
      </c>
      <c r="AK207" s="73" t="n">
        <v>5.36</v>
      </c>
      <c r="AL207" s="72" t="n">
        <v>0</v>
      </c>
      <c r="AM207" s="72" t="n">
        <v>5.36</v>
      </c>
      <c r="AN207" s="72" t="n">
        <v>2.5</v>
      </c>
      <c r="AO207" s="72" t="n">
        <v>25.71</v>
      </c>
      <c r="AP207" s="72" t="n">
        <v>6.96</v>
      </c>
      <c r="AQ207" s="72" t="n">
        <v>-2.71</v>
      </c>
      <c r="AR207" s="72" t="n">
        <v>19.31</v>
      </c>
      <c r="AS207" s="72" t="n">
        <v>1.52</v>
      </c>
      <c r="AT207" s="72" t="n">
        <v>6.06</v>
      </c>
      <c r="AU207" s="72" t="n">
        <v>27.86</v>
      </c>
      <c r="AV207" s="72" t="n">
        <v>10.31</v>
      </c>
      <c r="AW207" s="72" t="n">
        <v>19.69</v>
      </c>
      <c r="AX207" s="72" t="n">
        <v>-2.15</v>
      </c>
      <c r="AY207" s="72" t="n">
        <v>-0.38</v>
      </c>
      <c r="AZ207" s="63" t="inlineStr">
        <is>
          <t>HSTECH (Hang Seng TECH ETF)</t>
        </is>
      </c>
      <c r="BA207" s="72" t="n">
        <v>-55.54</v>
      </c>
      <c r="BB207" s="64" t="inlineStr">
        <is>
          <t>2026-08-28</t>
        </is>
      </c>
      <c r="BC207" s="65" t="n">
        <v>12896.7</v>
      </c>
      <c r="BD207" s="68" t="n">
        <v>-6429.3</v>
      </c>
      <c r="BE207" s="63" t="inlineStr">
        <is>
          <t>N</t>
        </is>
      </c>
      <c r="BF207" s="63" t="inlineStr">
        <is>
          <t>n/m</t>
        </is>
      </c>
      <c r="BG207" s="74" t="n"/>
      <c r="BH207" s="74" t="n">
        <v>18.7</v>
      </c>
      <c r="BI207" s="74" t="n">
        <v>1.9</v>
      </c>
      <c r="BJ207" s="75">
        <f>IF('BBG Verify'!S207="","not filed — run on terminal",'BBG Verify'!S207)</f>
        <v/>
      </c>
      <c r="BK207" s="76" t="inlineStr">
        <is>
          <t>N</t>
        </is>
      </c>
      <c r="BL207" s="77">
        <f>IF('BBG Verify'!K207="","not filed — run on terminal",'BBG Verify'!K207)</f>
        <v/>
      </c>
      <c r="BM207" s="63" t="inlineStr">
        <is>
          <t>N/A</t>
        </is>
      </c>
      <c r="BN207" s="63" t="inlineStr">
        <is>
          <t>N/A</t>
        </is>
      </c>
      <c r="BO207" s="63" t="inlineStr">
        <is>
          <t>N/A</t>
        </is>
      </c>
      <c r="BP207" s="63" t="inlineStr">
        <is>
          <t>N/A</t>
        </is>
      </c>
      <c r="BQ207" s="63" t="inlineStr">
        <is>
          <t>N/A</t>
        </is>
      </c>
      <c r="BR207" s="63" t="inlineStr">
        <is>
          <t>N/A</t>
        </is>
      </c>
      <c r="BS207" s="76" t="n"/>
      <c r="BT207" s="63" t="inlineStr">
        <is>
          <t>China International Capital Corporation Hong Kong Securities Limited; UBS Securities Hong Kong Limited; Merrill Lynch (Asia Pacific) Limited; Goldman Sachs (Asia) L.L.C.</t>
        </is>
      </c>
      <c r="BU207" s="63" t="inlineStr">
        <is>
          <t>ABCI Securities Company Limited; Beta International Securities Limited; China International Capital Corporation Hong Kong Securities Limited; CMB International Capital Limited; Futu Securities International (Hong Kong) Limited; Goldman Sachs (Asia) L.L.C.</t>
        </is>
      </c>
      <c r="BV207" s="63" t="inlineStr">
        <is>
          <t>ABCI Securities Company Limited; Beta International Securities Limited; China International Capital Corporation Hong Kong Securities Limited; CMB International Capital Limited; Futu Securities International (Hong Kong) Limited; Goldman Sachs (Asia) L.L.C.; ICBC International Securities Limited; Merrill Lynch (Asia Pacific) Limited; UBS AG Hong Kong Branch</t>
        </is>
      </c>
      <c r="BW207" s="78">
        <f>HYPERLINK("https://www1.hkexnews.hk/listedco/listconews/sehk/2023/0914/2023091400024.htm","prospectus")</f>
        <v/>
      </c>
      <c r="BX207" s="78">
        <f>HYPERLINK("https://www1.hkexnews.hk/listedco/listconews/sehk/2023/0925/2023092500012.htm","allotment")</f>
        <v/>
      </c>
      <c r="BY207" s="78">
        <f>HYPERLINK("https://www1.hkexnews.hk/listedco/listconews/sehk/2023/1019/2023101901082.pdf","stabilisation")</f>
        <v/>
      </c>
      <c r="BZ207" s="76" t="n"/>
      <c r="CA207" s="63" t="inlineStr">
        <is>
          <t>P/E: n/m — loss-making at IPO (use P/S) · price range: fixed-price offering (no indicative range) · range low: cap-only pricing — the filing publishes a Maximum Offer Price and no indicative floor · A/H: no A-share listing · sponsor: English name not in the filing text; AAStocks 保薦人 shown · market cap: prospectus 'market capitalisation' line rejected — it is the listing-rule threshold, not the issuer's figure ("billion, which is over HK$1 billion; and (ii) our expected market capitalisation at the time of Listing, which") · cornerstone: table parse read 90% but the institutional total implies 62% — parse rejected, the AAStocks institutional total used (62.3%) · grey market: no grey-market headline on file for this deal — AAStocks publishes one per listing but keeps only recent items on the stock's news page, and no public archive of past evening sessions exists; captured from this run onward</t>
        </is>
      </c>
    </row>
    <row r="208" ht="15" customHeight="1">
      <c r="A208" s="62" t="inlineStr">
        <is>
          <t>9686</t>
        </is>
      </c>
      <c r="B208" s="63" t="inlineStr">
        <is>
          <t>NEUSOFT XIKANG</t>
        </is>
      </c>
      <c r="C208" s="63" t="inlineStr">
        <is>
          <t>熙康雲醫院</t>
        </is>
      </c>
      <c r="D208" s="63" t="inlineStr">
        <is>
          <t>Healthcare</t>
        </is>
      </c>
      <c r="E208" s="63" t="inlineStr">
        <is>
          <t>Digital health</t>
        </is>
      </c>
      <c r="F208" s="63" t="inlineStr">
        <is>
          <t>Health Care Services</t>
        </is>
      </c>
      <c r="G208" s="63" t="inlineStr">
        <is>
          <t>Standard</t>
        </is>
      </c>
      <c r="H208" s="64" t="n">
        <v>45197</v>
      </c>
      <c r="I208" s="65" t="n">
        <v>636.9</v>
      </c>
      <c r="J208" s="63" t="inlineStr">
        <is>
          <t>gross (price x shares)</t>
        </is>
      </c>
      <c r="K208" s="66" t="n">
        <v>4.76</v>
      </c>
      <c r="L208" s="66" t="n">
        <v>5.91</v>
      </c>
      <c r="M208" s="66" t="n">
        <v>4.76</v>
      </c>
      <c r="N208" s="63" t="inlineStr">
        <is>
          <t>N</t>
        </is>
      </c>
      <c r="O208" s="67" t="n">
        <v>80.5</v>
      </c>
      <c r="P208" s="67" t="n">
        <v>0</v>
      </c>
      <c r="Q208" s="68" t="n">
        <v>4787.1</v>
      </c>
      <c r="R208" s="63" t="inlineStr">
        <is>
          <t>aastocks:上市市值 at the struck price</t>
        </is>
      </c>
      <c r="S208" s="69" t="n">
        <v>0.9</v>
      </c>
      <c r="T208" s="70" t="n">
        <v>1.15</v>
      </c>
      <c r="U208" s="71" t="n">
        <v>34.82</v>
      </c>
      <c r="V208" s="68" t="n">
        <v>415.13</v>
      </c>
      <c r="W208" s="68" t="n">
        <v>87214425</v>
      </c>
      <c r="X208" s="67" t="n">
        <v>8.67</v>
      </c>
      <c r="Y208" s="63" t="inlineStr">
        <is>
          <t>INFO EXPERT SERVICES LIMITED; Ningbo Haishu Industrial Investment Co., Ltd; Ningbo Industrial Development Fund Co., Ltd</t>
        </is>
      </c>
      <c r="Z208" s="63" t="inlineStr">
        <is>
          <t>info;ningbo</t>
        </is>
      </c>
      <c r="AA208" s="67" t="n">
        <v>17.85</v>
      </c>
      <c r="AB208" s="72" t="n"/>
      <c r="AC208" s="66" t="n"/>
      <c r="AD208" s="72" t="n"/>
      <c r="AE208" s="63" t="n"/>
      <c r="AF208" s="63" t="n"/>
      <c r="AG208" s="63" t="n"/>
      <c r="AH208" s="63" t="n"/>
      <c r="AI208" s="63" t="n"/>
      <c r="AJ208" s="63" t="n"/>
      <c r="AK208" s="73" t="n">
        <v>-42.86</v>
      </c>
      <c r="AL208" s="72" t="n">
        <v>-22.48</v>
      </c>
      <c r="AM208" s="72" t="n">
        <v>-26.29</v>
      </c>
      <c r="AN208" s="72" t="n">
        <v>-51.26</v>
      </c>
      <c r="AO208" s="72" t="n">
        <v>-66.39</v>
      </c>
      <c r="AP208" s="72" t="n">
        <v>-70.17</v>
      </c>
      <c r="AQ208" s="72" t="n">
        <v>-14.7</v>
      </c>
      <c r="AR208" s="72" t="n">
        <v>-41.18</v>
      </c>
      <c r="AS208" s="72" t="n">
        <v>-47.79</v>
      </c>
      <c r="AT208" s="72" t="n">
        <v>-49.28</v>
      </c>
      <c r="AU208" s="72" t="n">
        <v>-71.06</v>
      </c>
      <c r="AV208" s="72" t="n">
        <v>-65.91</v>
      </c>
      <c r="AW208" s="72" t="n">
        <v>-47.15</v>
      </c>
      <c r="AX208" s="72" t="n">
        <v>4.67</v>
      </c>
      <c r="AY208" s="72" t="n">
        <v>5.97</v>
      </c>
      <c r="AZ208" s="63" t="inlineStr">
        <is>
          <t>China Biotech ETF (HS biotech proxy)</t>
        </is>
      </c>
      <c r="BA208" s="72" t="n">
        <v>-80.45999999999999</v>
      </c>
      <c r="BB208" s="64" t="inlineStr">
        <is>
          <t>2026-08-28</t>
        </is>
      </c>
      <c r="BC208" s="65" t="n">
        <v>756.2</v>
      </c>
      <c r="BD208" s="68" t="n">
        <v>-267.6</v>
      </c>
      <c r="BE208" s="63" t="inlineStr">
        <is>
          <t>N</t>
        </is>
      </c>
      <c r="BF208" s="63" t="inlineStr">
        <is>
          <t>n/m</t>
        </is>
      </c>
      <c r="BG208" s="74" t="n"/>
      <c r="BH208" s="74" t="n"/>
      <c r="BI208" s="74" t="n">
        <v>6.3</v>
      </c>
      <c r="BJ208" s="75">
        <f>IF('BBG Verify'!S208="","not filed — run on terminal",'BBG Verify'!S208)</f>
        <v/>
      </c>
      <c r="BK208" s="76" t="inlineStr">
        <is>
          <t>N</t>
        </is>
      </c>
      <c r="BL208" s="77">
        <f>IF('BBG Verify'!K208="","not filed — run on terminal",'BBG Verify'!K208)</f>
        <v/>
      </c>
      <c r="BM208" s="63" t="inlineStr">
        <is>
          <t>N/A</t>
        </is>
      </c>
      <c r="BN208" s="63" t="inlineStr">
        <is>
          <t>N/A</t>
        </is>
      </c>
      <c r="BO208" s="63" t="inlineStr">
        <is>
          <t>N/A</t>
        </is>
      </c>
      <c r="BP208" s="63" t="inlineStr">
        <is>
          <t>N/A</t>
        </is>
      </c>
      <c r="BQ208" s="63" t="inlineStr">
        <is>
          <t>N/A</t>
        </is>
      </c>
      <c r="BR208" s="63" t="inlineStr">
        <is>
          <t>N/A</t>
        </is>
      </c>
      <c r="BS208" s="76" t="n"/>
      <c r="BT208" s="63" t="inlineStr">
        <is>
          <t>China International Capital Corporation Hong Kong Securities Limited</t>
        </is>
      </c>
      <c r="BU208" s="63" t="inlineStr">
        <is>
          <t>China International Capital Corporation Hong Kong Securities Limited; Daiwa Capital Markets Hong Kong Limited; BOCI Asia Limited; Futu Securities International (Hong Kong) Limited; China Galaxy International Securities (Hong Kong) Co., Limited; GF Securities (Hong Kong) Brokerage Limited</t>
        </is>
      </c>
      <c r="BV208" s="63" t="inlineStr">
        <is>
          <t>BOCI Asia Limited; China Galaxy International Securities (Hong Kong) Company Limited; China International Capital Corporation Hong Kong Securities Limited; Daiwa Capital Markets Hong Kong Limited; Futu Securities International (Hong Kong) Limited; GF Securities (Hong Kong) Brokerage Limited; Valuable Capital Limited</t>
        </is>
      </c>
      <c r="BW208" s="78">
        <f>HYPERLINK("https://www1.hkexnews.hk/listedco/listconews/sehk/2023/0918/2023091800017.pdf","prospectus")</f>
        <v/>
      </c>
      <c r="BX208" s="78">
        <f>HYPERLINK("https://www1.hkexnews.hk/listedco/listconews/sehk/2023/0927/2023092700030.htm","allotment")</f>
        <v/>
      </c>
      <c r="BY208" s="63" t="n"/>
      <c r="BZ208" s="76" t="n"/>
      <c r="CA208" s="63" t="inlineStr">
        <is>
          <t>P/E: n/m — loss-making at IPO (use P/S) · greenshoe: end-of-stabilisation notice not located · A/H: no A-share listing · sponsor: English name not in the filing text; AAStocks 保薦人 shown · market cap: estimate from deal size / offer % of enlarged capital disagreed with the published listing cap — published figure adopted · stabilising manager: neither the allotment announcement's cover sentence nor the prospectus definitions glossary names one in a form the parser reads — not inferred from the sponsor · deal size: stated gross HK$21.6m rejected — below the deal's own net proceeds HK$554.5m, which cannot happen · grey market: no grey-market headline on file for this deal — AAStocks publishes one per listing but keeps only recent items on the stock's news page, and no public archive of past evening sessions exists; captured from this run onward</t>
        </is>
      </c>
    </row>
    <row r="209" ht="15" customHeight="1">
      <c r="A209" s="62" t="inlineStr">
        <is>
          <t>9890</t>
        </is>
      </c>
      <c r="B209" s="63" t="inlineStr">
        <is>
          <t>ZX INC</t>
        </is>
      </c>
      <c r="C209" s="63" t="inlineStr">
        <is>
          <t>貪玩</t>
        </is>
      </c>
      <c r="D209" s="63" t="inlineStr">
        <is>
          <t>TMT-other</t>
        </is>
      </c>
      <c r="E209" s="63" t="inlineStr">
        <is>
          <t>Media / advertising</t>
        </is>
      </c>
      <c r="F209" s="63" t="inlineStr">
        <is>
          <t>Gaming Software</t>
        </is>
      </c>
      <c r="G209" s="63" t="inlineStr">
        <is>
          <t>Standard</t>
        </is>
      </c>
      <c r="H209" s="64" t="n">
        <v>45197</v>
      </c>
      <c r="I209" s="65" t="n">
        <v>265.7</v>
      </c>
      <c r="J209" s="63" t="inlineStr">
        <is>
          <t>gross (price x shares)</t>
        </is>
      </c>
      <c r="K209" s="66" t="n">
        <v>11</v>
      </c>
      <c r="L209" s="66" t="n">
        <v>14</v>
      </c>
      <c r="M209" s="66" t="n">
        <v>14</v>
      </c>
      <c r="N209" s="63" t="inlineStr">
        <is>
          <t>Y</t>
        </is>
      </c>
      <c r="O209" s="67" t="n">
        <v>100</v>
      </c>
      <c r="P209" s="67" t="n">
        <v>100</v>
      </c>
      <c r="Q209" s="68" t="n">
        <v>7482.2</v>
      </c>
      <c r="R209" s="63" t="inlineStr">
        <is>
          <t>aastocks:上市市值 at the struck price</t>
        </is>
      </c>
      <c r="S209" s="69" t="n">
        <v>104</v>
      </c>
      <c r="T209" s="70" t="n">
        <v>1.67</v>
      </c>
      <c r="U209" s="71" t="n">
        <v>24.1</v>
      </c>
      <c r="V209" s="68" t="n">
        <v>201.67</v>
      </c>
      <c r="W209" s="68" t="n">
        <v>14402784</v>
      </c>
      <c r="X209" s="67" t="n">
        <v>2.7</v>
      </c>
      <c r="Y209" s="63" t="inlineStr">
        <is>
          <t>4399 Net Limited; Aofei Data International Company Limited; Hong Kong Longsin Co., Limited; Shangrao High-speed Industrial Investment</t>
        </is>
      </c>
      <c r="Z209" s="63" t="inlineStr">
        <is>
          <t>4399;aofei;longsin;shangrao</t>
        </is>
      </c>
      <c r="AA209" s="67" t="n">
        <v>20</v>
      </c>
      <c r="AB209" s="72" t="n"/>
      <c r="AC209" s="66" t="n"/>
      <c r="AD209" s="72" t="n"/>
      <c r="AE209" s="63" t="n"/>
      <c r="AF209" s="63" t="n"/>
      <c r="AG209" s="63" t="inlineStr">
        <is>
          <t>lapsed</t>
        </is>
      </c>
      <c r="AH209" s="63" t="inlineStr">
        <is>
          <t>2023-10-21</t>
        </is>
      </c>
      <c r="AI209" s="63" t="inlineStr">
        <is>
          <t>China International Capital Corporation Hong Kong Securities Limited</t>
        </is>
      </c>
      <c r="AJ209" s="63" t="inlineStr">
        <is>
          <t>China International</t>
        </is>
      </c>
      <c r="AK209" s="73" t="n">
        <v>0</v>
      </c>
      <c r="AL209" s="72" t="n">
        <v>-1.57</v>
      </c>
      <c r="AM209" s="72" t="n">
        <v>1.6</v>
      </c>
      <c r="AN209" s="72" t="n">
        <v>-3.86</v>
      </c>
      <c r="AO209" s="72" t="n">
        <v>-14.29</v>
      </c>
      <c r="AP209" s="72" t="n">
        <v>240.36</v>
      </c>
      <c r="AQ209" s="72" t="n">
        <v>-3.86</v>
      </c>
      <c r="AR209" s="72" t="n">
        <v>-14.29</v>
      </c>
      <c r="AS209" s="72" t="n">
        <v>240.36</v>
      </c>
      <c r="AT209" s="72" t="n">
        <v>-3.15</v>
      </c>
      <c r="AU209" s="72" t="n">
        <v>-11.45</v>
      </c>
      <c r="AV209" s="72" t="n">
        <v>245.03</v>
      </c>
      <c r="AW209" s="72" t="n">
        <v>-12.79</v>
      </c>
      <c r="AX209" s="72" t="n">
        <v>-2.84</v>
      </c>
      <c r="AY209" s="72" t="n">
        <v>-1.5</v>
      </c>
      <c r="AZ209" s="63" t="inlineStr">
        <is>
          <t>Hang Seng Index</t>
        </is>
      </c>
      <c r="BA209" s="72" t="n">
        <v>-24.64</v>
      </c>
      <c r="BB209" s="64" t="inlineStr">
        <is>
          <t>2026-08-28</t>
        </is>
      </c>
      <c r="BC209" s="65" t="n">
        <v>9698.9</v>
      </c>
      <c r="BD209" s="68" t="n">
        <v>661.7</v>
      </c>
      <c r="BE209" s="63" t="inlineStr">
        <is>
          <t>Y</t>
        </is>
      </c>
      <c r="BF209" s="74" t="n">
        <v>11.3</v>
      </c>
      <c r="BG209" s="74" t="n"/>
      <c r="BH209" s="74" t="n">
        <v>3</v>
      </c>
      <c r="BI209" s="74" t="n">
        <v>0.8</v>
      </c>
      <c r="BJ209" s="75">
        <f>IF('BBG Verify'!S209="","not filed — run on terminal",'BBG Verify'!S209)</f>
        <v/>
      </c>
      <c r="BK209" s="76" t="inlineStr">
        <is>
          <t>N</t>
        </is>
      </c>
      <c r="BL209" s="77">
        <f>IF('BBG Verify'!K209="","not filed — run on terminal",'BBG Verify'!K209)</f>
        <v/>
      </c>
      <c r="BM209" s="63" t="inlineStr">
        <is>
          <t>N/A</t>
        </is>
      </c>
      <c r="BN209" s="63" t="inlineStr">
        <is>
          <t>N/A</t>
        </is>
      </c>
      <c r="BO209" s="63" t="inlineStr">
        <is>
          <t>N/A</t>
        </is>
      </c>
      <c r="BP209" s="63" t="inlineStr">
        <is>
          <t>N/A</t>
        </is>
      </c>
      <c r="BQ209" s="63" t="inlineStr">
        <is>
          <t>N/A</t>
        </is>
      </c>
      <c r="BR209" s="63" t="inlineStr">
        <is>
          <t>N/A</t>
        </is>
      </c>
      <c r="BS209" s="76" t="n"/>
      <c r="BT209" s="63" t="inlineStr">
        <is>
          <t>China International Capital Corporation Hong Kong Securities Limited; China Securities (International) Corporate Finance Company Limited</t>
        </is>
      </c>
      <c r="BU209" s="63" t="inlineStr">
        <is>
          <t>China International Capital Corporation Hong Kong Securities Limited; China Securities (International) Corporate Finance Company Limited; China Merchants Securities (HK) Co., Limited; CLSA Limited; CMB International Capital Limited; ICBC International Securities Limited</t>
        </is>
      </c>
      <c r="BV209" s="63" t="inlineStr">
        <is>
          <t>China International Capital Corporation Hong Kong Securities Limited; CLSA Limited; CMB International Capital Limited; China Merchants Securities (HK) Company Limited; China Securities (International) Corporate Finance Company Limited; Futu Securities International (Hong Kong) Limited; ICBC International Securities Limited; Tiger Brokers (HK) Global Limited</t>
        </is>
      </c>
      <c r="BW209" s="78">
        <f>HYPERLINK("https://www1.hkexnews.hk/listedco/listconews/sehk/2023/0918/2023091800015.pdf","prospectus")</f>
        <v/>
      </c>
      <c r="BX209" s="78">
        <f>HYPERLINK("https://www1.hkexnews.hk/listedco/listconews/sehk/2023/0927/2023092700046.htm","allotment")</f>
        <v/>
      </c>
      <c r="BY209" s="78">
        <f>HYPERLINK("https://www1.hkexnews.hk/listedco/listconews/sehk/2023/1023/2023102300009.pdf","stabilisation")</f>
        <v/>
      </c>
      <c r="BZ209" s="76" t="n"/>
      <c r="CA209" s="63" t="inlineStr">
        <is>
          <t>A/H: no A-share listing · sponsor: English name not in the filing text; AAStocks 保薦人 shown · deal size: stated gross HK$29.5m rejected — below the deal's own net proceeds HK$138.1m, which cannot happen · grey market: no grey-market headline on file for this deal — AAStocks publishes one per listing but keeps only recent items on the stock's news page, and no public archive of past evening sessions exists; captured from this run onward</t>
        </is>
      </c>
    </row>
    <row r="210" ht="15" customHeight="1">
      <c r="A210" s="62" t="inlineStr">
        <is>
          <t>6682</t>
        </is>
      </c>
      <c r="B210" s="63" t="inlineStr">
        <is>
          <t>FOURTH PARADIGM</t>
        </is>
      </c>
      <c r="C210" s="63" t="inlineStr">
        <is>
          <t>範式智能</t>
        </is>
      </c>
      <c r="D210" s="63" t="inlineStr">
        <is>
          <t>Tech/AI</t>
        </is>
      </c>
      <c r="E210" s="63" t="inlineStr">
        <is>
          <t>AI application / agent software</t>
        </is>
      </c>
      <c r="F210" s="63" t="inlineStr">
        <is>
          <t>Application Software</t>
        </is>
      </c>
      <c r="G210" s="63" t="inlineStr">
        <is>
          <t>Standard</t>
        </is>
      </c>
      <c r="H210" s="64" t="n">
        <v>45197</v>
      </c>
      <c r="I210" s="65" t="n">
        <v>1022.8</v>
      </c>
      <c r="J210" s="63" t="inlineStr">
        <is>
          <t>gross (price x shares)</t>
        </is>
      </c>
      <c r="K210" s="66" t="n">
        <v>55.6</v>
      </c>
      <c r="L210" s="66" t="n">
        <v>61.16</v>
      </c>
      <c r="M210" s="66" t="n">
        <v>55.6</v>
      </c>
      <c r="N210" s="63" t="inlineStr">
        <is>
          <t>N</t>
        </is>
      </c>
      <c r="O210" s="67" t="n">
        <v>90.90000000000001</v>
      </c>
      <c r="P210" s="67" t="n">
        <v>0</v>
      </c>
      <c r="Q210" s="68" t="n">
        <v>22578.4</v>
      </c>
      <c r="R210" s="63" t="inlineStr">
        <is>
          <t>derived:deal size / offer % of enlarged capital</t>
        </is>
      </c>
      <c r="S210" s="69" t="n">
        <v>11.4</v>
      </c>
      <c r="T210" s="70" t="n">
        <v>1.57</v>
      </c>
      <c r="U210" s="71" t="n">
        <v>39.6</v>
      </c>
      <c r="V210" s="68" t="n">
        <v>617.77</v>
      </c>
      <c r="W210" s="68" t="n">
        <v>11111184</v>
      </c>
      <c r="X210" s="67" t="n">
        <v>2.74</v>
      </c>
      <c r="Y210" s="63" t="inlineStr">
        <is>
          <t>Montage Technology Holdings Company Limited; New China Capital Management Limited</t>
        </is>
      </c>
      <c r="Z210" s="63" t="inlineStr">
        <is>
          <t>montage;new</t>
        </is>
      </c>
      <c r="AA210" s="67" t="n">
        <v>17.6</v>
      </c>
      <c r="AB210" s="72" t="n"/>
      <c r="AC210" s="66" t="n"/>
      <c r="AD210" s="72" t="n"/>
      <c r="AE210" s="63" t="n"/>
      <c r="AF210" s="63" t="n"/>
      <c r="AG210" s="63" t="inlineStr">
        <is>
          <t>partial</t>
        </is>
      </c>
      <c r="AH210" s="63" t="n"/>
      <c r="AI210" s="63" t="inlineStr">
        <is>
          <t>China International Capital Corporation Hong Kong Securities Limited</t>
        </is>
      </c>
      <c r="AJ210" s="63" t="inlineStr">
        <is>
          <t>China International</t>
        </is>
      </c>
      <c r="AK210" s="73" t="n">
        <v>5.22</v>
      </c>
      <c r="AL210" s="72" t="n">
        <v>13.49</v>
      </c>
      <c r="AM210" s="72" t="n">
        <v>-7.29</v>
      </c>
      <c r="AN210" s="72" t="n">
        <v>-2.88</v>
      </c>
      <c r="AO210" s="72" t="n">
        <v>-6.47</v>
      </c>
      <c r="AP210" s="72" t="n">
        <v>-10.79</v>
      </c>
      <c r="AQ210" s="72" t="n">
        <v>-7.7</v>
      </c>
      <c r="AR210" s="72" t="n">
        <v>-11.11</v>
      </c>
      <c r="AS210" s="72" t="n">
        <v>-15.22</v>
      </c>
      <c r="AT210" s="72" t="n">
        <v>-2.51</v>
      </c>
      <c r="AU210" s="72" t="n">
        <v>-4.66</v>
      </c>
      <c r="AV210" s="72" t="n">
        <v>-7.97</v>
      </c>
      <c r="AW210" s="72" t="n">
        <v>-10.67</v>
      </c>
      <c r="AX210" s="72" t="n">
        <v>-1.81</v>
      </c>
      <c r="AY210" s="72" t="n">
        <v>-0.44</v>
      </c>
      <c r="AZ210" s="63" t="inlineStr">
        <is>
          <t>HSTECH (Hang Seng TECH ETF)</t>
        </is>
      </c>
      <c r="BA210" s="72" t="n">
        <v>-50.07</v>
      </c>
      <c r="BB210" s="64" t="inlineStr">
        <is>
          <t>2026-08-28</t>
        </is>
      </c>
      <c r="BC210" s="65" t="n">
        <v>3391.3</v>
      </c>
      <c r="BD210" s="68" t="n">
        <v>-1818.3</v>
      </c>
      <c r="BE210" s="63" t="inlineStr">
        <is>
          <t>N</t>
        </is>
      </c>
      <c r="BF210" s="63" t="inlineStr">
        <is>
          <t>n/m</t>
        </is>
      </c>
      <c r="BG210" s="74" t="n"/>
      <c r="BH210" s="74" t="n"/>
      <c r="BI210" s="74" t="n">
        <v>6.7</v>
      </c>
      <c r="BJ210" s="75">
        <f>IF('BBG Verify'!S210="","not filed — run on terminal",'BBG Verify'!S210)</f>
        <v/>
      </c>
      <c r="BK210" s="76" t="inlineStr">
        <is>
          <t>N</t>
        </is>
      </c>
      <c r="BL210" s="77">
        <f>IF('BBG Verify'!K210="","not filed — run on terminal",'BBG Verify'!K210)</f>
        <v/>
      </c>
      <c r="BM210" s="63" t="inlineStr">
        <is>
          <t>N/A</t>
        </is>
      </c>
      <c r="BN210" s="63" t="inlineStr">
        <is>
          <t>N/A</t>
        </is>
      </c>
      <c r="BO210" s="63" t="inlineStr">
        <is>
          <t>N/A</t>
        </is>
      </c>
      <c r="BP210" s="63" t="inlineStr">
        <is>
          <t>N/A</t>
        </is>
      </c>
      <c r="BQ210" s="63" t="inlineStr">
        <is>
          <t>N/A</t>
        </is>
      </c>
      <c r="BR210" s="63" t="inlineStr">
        <is>
          <t>N/A</t>
        </is>
      </c>
      <c r="BS210" s="76" t="inlineStr">
        <is>
          <t>China International Capital Corporation Hong Kong Securities Limited</t>
        </is>
      </c>
      <c r="BT210" s="63" t="inlineStr">
        <is>
          <t>China International Capital Corporation Hong Kong Securities Limited</t>
        </is>
      </c>
      <c r="BU210" s="63" t="inlineStr">
        <is>
          <t>Huatai Financial Holdings (Hong Kong) Limited; ICBC International Securities Limited; BOCI Asia Limited; BOCOM International Securities Limited; CEB International Capital Corporation Limited; China Everbright Securities (HK) Limited; Central China International Capital Limited; North Beta International Securities Limited; China Sunrise Securities (International) Limited; Futu Securities International (Hong Kong) Limited; CNCB (Hong Kong) Capital Limited</t>
        </is>
      </c>
      <c r="BV210" s="63" t="inlineStr">
        <is>
          <t>ABCI Securities Company Limited; Beta International Securities Limited; BOCI Asia Limited; CCB International Capital Limited; CEB International Capital Corporation Limited; Central China International Capital Limited; China Everbright Securities (HK) Limited; China International Capital Corporation Hong Kong Securities Limited; CMB International Capital Limited; China Merchants Securities (HK) Company Limited; CNCB (Hong Kong) Capital Limited; China Sunrise Securities (International) Limited</t>
        </is>
      </c>
      <c r="BW210" s="78">
        <f>HYPERLINK("https://www1.hkexnews.hk/listedco/listconews/sehk/2023/0918/2023091800009.pdf","prospectus")</f>
        <v/>
      </c>
      <c r="BX210" s="78">
        <f>HYPERLINK("https://www1.hkexnews.hk/listedco/listconews/sehk/2023/0927/2023092700070.htm","allotment")</f>
        <v/>
      </c>
      <c r="BY210" s="78">
        <f>HYPERLINK("https://www1.hkexnews.hk/listedco/listconews/sehk/2023/1023/2023102300123.pdf","stabilisation")</f>
        <v/>
      </c>
      <c r="BZ210" s="76" t="n"/>
      <c r="CA210" s="63" t="inlineStr">
        <is>
          <t>P/E: n/m — loss-making at IPO (use P/S) · greenshoe: over-allotment outcome already published, and the allotment announcement does not state the stabilisation expiry in a parsable form — the expiry no longer matters once resolved · A/H: no A line; closest listed proxy {'code': '600588.SS', 'name': 'Yonyou Network', 'rationale': 'Enterprise-software platform embedding AI into corporate decision/ERP workflows — closest A-share enterprise-AI software exposure.'} · cornerstone: AAStocks institutional table includes non-cornerstone orders (superset) — cornerstone % is from the prospectus · grey market: no grey-market headline on file for this deal — AAStocks publishes one per listing but keeps only recent items on the stock's news page, and no public archive of past evening sessions exists; captured from this run onward</t>
        </is>
      </c>
    </row>
    <row r="211" ht="15" customHeight="1">
      <c r="A211" s="62" t="inlineStr">
        <is>
          <t>1973</t>
        </is>
      </c>
      <c r="B211" s="63" t="inlineStr">
        <is>
          <t>TIAN TU CAPITAL</t>
        </is>
      </c>
      <c r="C211" s="63" t="inlineStr">
        <is>
          <t>天圖投資</t>
        </is>
      </c>
      <c r="D211" s="63" t="inlineStr">
        <is>
          <t>Financials</t>
        </is>
      </c>
      <c r="E211" s="63" t="inlineStr">
        <is>
          <t>Brokers / asset management</t>
        </is>
      </c>
      <c r="F211" s="63" t="inlineStr">
        <is>
          <t>Investment Holdings &amp; Assets Management</t>
        </is>
      </c>
      <c r="G211" s="63" t="inlineStr">
        <is>
          <t>Standard</t>
        </is>
      </c>
      <c r="H211" s="64" t="n">
        <v>45205</v>
      </c>
      <c r="I211" s="65" t="n">
        <v>1126.2</v>
      </c>
      <c r="J211" s="63" t="inlineStr">
        <is>
          <t>gross (price x shares)</t>
        </is>
      </c>
      <c r="K211" s="66" t="n">
        <v>5.8</v>
      </c>
      <c r="L211" s="66" t="n">
        <v>11.4</v>
      </c>
      <c r="M211" s="66" t="n">
        <v>6.5</v>
      </c>
      <c r="N211" s="63" t="inlineStr">
        <is>
          <t>N</t>
        </is>
      </c>
      <c r="O211" s="67" t="n">
        <v>57</v>
      </c>
      <c r="P211" s="67" t="n">
        <v>12.5</v>
      </c>
      <c r="Q211" s="68" t="n">
        <v>6232.5</v>
      </c>
      <c r="R211" s="63" t="inlineStr">
        <is>
          <t>aastocks:上市市值 at the struck price</t>
        </is>
      </c>
      <c r="S211" s="69" t="n">
        <v>0.26</v>
      </c>
      <c r="T211" s="70" t="n">
        <v>1.28</v>
      </c>
      <c r="U211" s="71" t="n">
        <v>44.2</v>
      </c>
      <c r="V211" s="68" t="n">
        <v>628.42</v>
      </c>
      <c r="W211" s="68" t="n">
        <v>96677964</v>
      </c>
      <c r="X211" s="67" t="n">
        <v>10.08</v>
      </c>
      <c r="Y211" s="63" t="inlineStr">
        <is>
          <t>Qingdao Haiming, Qingdao Hainuo and Qingdao Financial; Shenzhen Futian Guiding Fund Investment Co., Ltd</t>
        </is>
      </c>
      <c r="Z211" s="63" t="inlineStr">
        <is>
          <t>qingdao;shenzhen-futian</t>
        </is>
      </c>
      <c r="AA211" s="67" t="n">
        <v>15.21</v>
      </c>
      <c r="AB211" s="72" t="n"/>
      <c r="AC211" s="66" t="n"/>
      <c r="AD211" s="72" t="n"/>
      <c r="AE211" s="63" t="n"/>
      <c r="AF211" s="63" t="n"/>
      <c r="AG211" s="63" t="inlineStr">
        <is>
          <t>lapsed (no over-allocation)</t>
        </is>
      </c>
      <c r="AH211" s="63" t="inlineStr">
        <is>
          <t>2023-10-28</t>
        </is>
      </c>
      <c r="AI211" s="63" t="inlineStr">
        <is>
          <t>Huatai Financial Holdings</t>
        </is>
      </c>
      <c r="AJ211" s="63" t="inlineStr">
        <is>
          <t>Huatai</t>
        </is>
      </c>
      <c r="AK211" s="73" t="n">
        <v>-24.92</v>
      </c>
      <c r="AL211" s="72" t="n">
        <v>-17.08</v>
      </c>
      <c r="AM211" s="72" t="n">
        <v>-9.449999999999999</v>
      </c>
      <c r="AN211" s="72" t="n">
        <v>-38.46</v>
      </c>
      <c r="AO211" s="72" t="n">
        <v>-13.85</v>
      </c>
      <c r="AP211" s="72" t="n">
        <v>-20.15</v>
      </c>
      <c r="AQ211" s="72" t="n">
        <v>-18.03</v>
      </c>
      <c r="AR211" s="72" t="n">
        <v>14.74</v>
      </c>
      <c r="AS211" s="72" t="n">
        <v>6.35</v>
      </c>
      <c r="AT211" s="72" t="n">
        <v>-42.8</v>
      </c>
      <c r="AU211" s="72" t="n">
        <v>-15.01</v>
      </c>
      <c r="AV211" s="72" t="n">
        <v>-17.37</v>
      </c>
      <c r="AW211" s="72" t="n">
        <v>15.47</v>
      </c>
      <c r="AX211" s="72" t="n">
        <v>1.16</v>
      </c>
      <c r="AY211" s="72" t="n">
        <v>-0.73</v>
      </c>
      <c r="AZ211" s="63" t="inlineStr">
        <is>
          <t>Hang Seng Finance sub-index</t>
        </is>
      </c>
      <c r="BA211" s="72" t="n">
        <v>-69.69</v>
      </c>
      <c r="BB211" s="64" t="inlineStr">
        <is>
          <t>2026-08-28</t>
        </is>
      </c>
      <c r="BC211" s="65" t="n">
        <v>465.5</v>
      </c>
      <c r="BD211" s="68" t="n">
        <v>823.9</v>
      </c>
      <c r="BE211" s="63" t="inlineStr">
        <is>
          <t>Y</t>
        </is>
      </c>
      <c r="BF211" s="74" t="n">
        <v>7.6</v>
      </c>
      <c r="BG211" s="74" t="n"/>
      <c r="BH211" s="74" t="n">
        <v>6</v>
      </c>
      <c r="BI211" s="74" t="n">
        <v>13.4</v>
      </c>
      <c r="BJ211" s="75">
        <f>IF('BBG Verify'!S211="","not filed — run on terminal",'BBG Verify'!S211)</f>
        <v/>
      </c>
      <c r="BK211" s="76" t="inlineStr">
        <is>
          <t>N</t>
        </is>
      </c>
      <c r="BL211" s="77">
        <f>IF('BBG Verify'!K211="","not filed — run on terminal",'BBG Verify'!K211)</f>
        <v/>
      </c>
      <c r="BM211" s="63" t="inlineStr">
        <is>
          <t>N/A</t>
        </is>
      </c>
      <c r="BN211" s="63" t="inlineStr">
        <is>
          <t>N/A</t>
        </is>
      </c>
      <c r="BO211" s="63" t="inlineStr">
        <is>
          <t>N/A</t>
        </is>
      </c>
      <c r="BP211" s="63" t="inlineStr">
        <is>
          <t>N/A</t>
        </is>
      </c>
      <c r="BQ211" s="63" t="inlineStr">
        <is>
          <t>N/A</t>
        </is>
      </c>
      <c r="BR211" s="63" t="inlineStr">
        <is>
          <t>N/A</t>
        </is>
      </c>
      <c r="BS211" s="76" t="inlineStr">
        <is>
          <t>Huatai Financial Holdings (Hong Kong) Limited; BOCI Asia Limited</t>
        </is>
      </c>
      <c r="BT211" s="63" t="inlineStr">
        <is>
          <t>Huatai Financial Holdings (Hong Kong) Limited; BOCI Asia Limited</t>
        </is>
      </c>
      <c r="BU211" s="63" t="inlineStr">
        <is>
          <t>Huatai Financial Holdings (Hong Kong) Limited; BOCI Asia Limited; Zhongtai International Securities Limited; China Galaxy International Securities (Hong Kong) Co., Limited; CMB International Capital Limited; China Industrial Securities International Capital Limited; Essence International Securities (Hong Kong) Limited; CCB International Capital Limited; BOCOM International Securities Limited; ABCI Capital Limited; Guodu Securities (Hong Kong) Limited; Tiger Brokers (HK) Global Limited</t>
        </is>
      </c>
      <c r="BV211" s="63" t="inlineStr">
        <is>
          <t>ABCI Securities Company Limited; Beta International Securities Limited; BOCI Asia Limited; CCB International Capital Limited; China Galaxy International Securities (Hong Kong) Company Limited; China Industrial Securities International Capital Limited; CMB International Capital Limited; Essence International Securities (Hong Kong) Limited; Futu Securities International (Hong Kong) Limited; Guodu Securities (Hong Kong) Limited; Huatai Financial Holdings (Hong Kong) Limited; ICBC International Securities Limited</t>
        </is>
      </c>
      <c r="BW211" s="78">
        <f>HYPERLINK("https://www1.hkexnews.hk/listedco/listconews/sehk/2023/0925/2023092500007.pdf","prospectus")</f>
        <v/>
      </c>
      <c r="BX211" s="78">
        <f>HYPERLINK("https://www1.hkexnews.hk/listedco/listconews/sehk/2023/1005/2023100500006.htm","allotment")</f>
        <v/>
      </c>
      <c r="BY211" s="78">
        <f>HYPERLINK("https://www1.hkexnews.hk/listedco/listconews/sehk/2023/1101/2023110102578.pdf","stabilisation")</f>
        <v/>
      </c>
      <c r="BZ211" s="76" t="n"/>
      <c r="CA211" s="63" t="inlineStr">
        <is>
          <t>A/H: no A-share listing · market cap: estimate from stated market capitalisation disagreed with the published listing cap — published figure adopted · financials rejected: net income exceeds total income via equity-method investment gains — normal for an investment firm; both figures are as filed · grey market: no grey-market headline on file for this deal — AAStocks publishes one per listing but keeps only recent items on the stock's news page, and no public archive of past evening sessions exists; captured from this run onward</t>
        </is>
      </c>
    </row>
    <row r="212" ht="15" customHeight="1">
      <c r="A212" s="62" t="inlineStr">
        <is>
          <t>2501</t>
        </is>
      </c>
      <c r="B212" s="63" t="inlineStr">
        <is>
          <t>MAIYUE TECH</t>
        </is>
      </c>
      <c r="C212" s="63" t="inlineStr">
        <is>
          <t>邁越科技</t>
        </is>
      </c>
      <c r="D212" s="63" t="inlineStr">
        <is>
          <t>Tech/AI</t>
        </is>
      </c>
      <c r="E212" s="63" t="inlineStr">
        <is>
          <t>AI application / agent software</t>
        </is>
      </c>
      <c r="F212" s="63" t="inlineStr">
        <is>
          <t>IT Consulting &amp; Other Services</t>
        </is>
      </c>
      <c r="G212" s="63" t="inlineStr">
        <is>
          <t>Standard</t>
        </is>
      </c>
      <c r="H212" s="64" t="n">
        <v>45210</v>
      </c>
      <c r="I212" s="65" t="n">
        <v>147.5</v>
      </c>
      <c r="J212" s="63" t="inlineStr">
        <is>
          <t>gross (price x shares)</t>
        </is>
      </c>
      <c r="K212" s="66" t="n"/>
      <c r="L212" s="66" t="n">
        <v>1.18</v>
      </c>
      <c r="M212" s="66" t="n">
        <v>1.18</v>
      </c>
      <c r="N212" s="63" t="inlineStr">
        <is>
          <t>Y</t>
        </is>
      </c>
      <c r="O212" s="67" t="n">
        <v>100</v>
      </c>
      <c r="P212" s="67" t="n"/>
      <c r="Q212" s="68" t="n">
        <v>612.5</v>
      </c>
      <c r="R212" s="63" t="inlineStr">
        <is>
          <t>aastocks:上市市值 at the struck price</t>
        </is>
      </c>
      <c r="S212" s="69" t="n">
        <v>2.46</v>
      </c>
      <c r="T212" s="70" t="n">
        <v>1.16</v>
      </c>
      <c r="U212" s="71" t="n"/>
      <c r="V212" s="68" t="n">
        <v>147.5</v>
      </c>
      <c r="W212" s="68" t="n">
        <v>125000000</v>
      </c>
      <c r="X212" s="67" t="n">
        <v>24.08</v>
      </c>
      <c r="Y212" s="63" t="n"/>
      <c r="Z212" s="63" t="n"/>
      <c r="AA212" s="67" t="n"/>
      <c r="AB212" s="72" t="n"/>
      <c r="AC212" s="66" t="n"/>
      <c r="AD212" s="72" t="n"/>
      <c r="AE212" s="63" t="n"/>
      <c r="AF212" s="63" t="n"/>
      <c r="AG212" s="63" t="n"/>
      <c r="AH212" s="63" t="n"/>
      <c r="AI212" s="63" t="inlineStr">
        <is>
          <t>Quam Securities Limited</t>
        </is>
      </c>
      <c r="AJ212" s="63" t="inlineStr">
        <is>
          <t>Quam</t>
        </is>
      </c>
      <c r="AK212" s="73" t="n">
        <v>38.14</v>
      </c>
      <c r="AL212" s="72" t="n">
        <v>4.24</v>
      </c>
      <c r="AM212" s="72" t="n">
        <v>32.52</v>
      </c>
      <c r="AN212" s="72" t="n">
        <v>14.41</v>
      </c>
      <c r="AO212" s="72" t="n">
        <v>11.86</v>
      </c>
      <c r="AP212" s="72" t="n">
        <v>-2.54</v>
      </c>
      <c r="AQ212" s="72" t="n">
        <v>-17.18</v>
      </c>
      <c r="AR212" s="72" t="n">
        <v>-19.02</v>
      </c>
      <c r="AS212" s="72" t="n">
        <v>-29.45</v>
      </c>
      <c r="AT212" s="72" t="n">
        <v>16.88</v>
      </c>
      <c r="AU212" s="72" t="n">
        <v>11.6</v>
      </c>
      <c r="AV212" s="72" t="n">
        <v>8.029999999999999</v>
      </c>
      <c r="AW212" s="72" t="n">
        <v>-17.22</v>
      </c>
      <c r="AX212" s="72" t="n">
        <v>0.26</v>
      </c>
      <c r="AY212" s="72" t="n">
        <v>-1.8</v>
      </c>
      <c r="AZ212" s="63" t="inlineStr">
        <is>
          <t>HSTECH (Hang Seng TECH ETF)</t>
        </is>
      </c>
      <c r="BA212" s="72" t="n">
        <v>24.15</v>
      </c>
      <c r="BB212" s="64" t="inlineStr">
        <is>
          <t>2026-08-28</t>
        </is>
      </c>
      <c r="BC212" s="65" t="n">
        <v>267.6</v>
      </c>
      <c r="BD212" s="68" t="n">
        <v>54</v>
      </c>
      <c r="BE212" s="63" t="inlineStr">
        <is>
          <t>Y</t>
        </is>
      </c>
      <c r="BF212" s="74" t="n">
        <v>11.3</v>
      </c>
      <c r="BG212" s="74" t="n"/>
      <c r="BH212" s="74" t="n">
        <v>100.2</v>
      </c>
      <c r="BI212" s="74" t="n">
        <v>2.3</v>
      </c>
      <c r="BJ212" s="75">
        <f>IF('BBG Verify'!S212="","not filed — run on terminal",'BBG Verify'!S212)</f>
        <v/>
      </c>
      <c r="BK212" s="76" t="inlineStr">
        <is>
          <t>N</t>
        </is>
      </c>
      <c r="BL212" s="77">
        <f>IF('BBG Verify'!K212="","not filed — run on terminal",'BBG Verify'!K212)</f>
        <v/>
      </c>
      <c r="BM212" s="63" t="inlineStr">
        <is>
          <t>N/A</t>
        </is>
      </c>
      <c r="BN212" s="63" t="inlineStr">
        <is>
          <t>N/A</t>
        </is>
      </c>
      <c r="BO212" s="63" t="inlineStr">
        <is>
          <t>N/A</t>
        </is>
      </c>
      <c r="BP212" s="63" t="inlineStr">
        <is>
          <t>N/A</t>
        </is>
      </c>
      <c r="BQ212" s="63" t="inlineStr">
        <is>
          <t>N/A</t>
        </is>
      </c>
      <c r="BR212" s="63" t="inlineStr">
        <is>
          <t>N/A</t>
        </is>
      </c>
      <c r="BS212" s="76" t="n"/>
      <c r="BT212" s="63" t="inlineStr">
        <is>
          <t>Quam Capital Limited</t>
        </is>
      </c>
      <c r="BU212" s="63" t="inlineStr">
        <is>
          <t>ABCI Securities Company Limited; Beta International Securities Limited; China Galaxy International Securities (Hong Kong) Company Limited; CMBC Securities Company Limited; CMB International Capital Limited; Eddid Securities and Futures Limited</t>
        </is>
      </c>
      <c r="BV212" s="63" t="inlineStr">
        <is>
          <t>ABCI Securities Company Limited; Beta International Securities Limited; China Galaxy International Securities (Hong Kong) Company Limited; CMBC Securities Company Limited; CMB International Capital Limited; Eddid Securities and Futures Limited; Guotai Junan Securities (Hong Kong) Limited; Innovax Securities Limited; Quam Securities Limited; Valuable Capital Limited; Yue Xiu Securities Company Limited; Zhongtai International Securities Limited</t>
        </is>
      </c>
      <c r="BW212" s="78">
        <f>HYPERLINK("https://www1.hkexnews.hk/listedco/listconews/sehk/2023/0928/2023092800100.htm","prospectus")</f>
        <v/>
      </c>
      <c r="BX212" s="78">
        <f>HYPERLINK("https://www1.hkexnews.hk/listedco/listconews/sehk/2023/1010/2023101000016.htm","allotment")</f>
        <v/>
      </c>
      <c r="BY212" s="63" t="n"/>
      <c r="BZ212" s="76" t="n"/>
      <c r="CA212" s="63" t="inlineStr">
        <is>
          <t>greenshoe: no over-allotment option in the offer structure · price range: fixed-price offering (no indicative range) · range low: cap-only pricing — the filing publishes a Maximum Offer Price and no indicative floor · A/H: no A-share listing · sponsor: English name not in the filing text; AAStocks 保薦人 shown · cornerstone list: cornerstone section not machine-extractable — see the prospectus link · cornerstone %: cornerstone aggregate not stated in the filing · greenshoe size: no over-allotment option in the offer structure · grey market: no grey-market headline on file for this deal — AAStocks publishes one per listing but keeps only recent items on the stock's news page, and no public archive of past evening sessions exists; captured from this run onward</t>
        </is>
      </c>
    </row>
    <row r="213" ht="15" customHeight="1">
      <c r="A213" s="62" t="inlineStr">
        <is>
          <t>9676</t>
        </is>
      </c>
      <c r="B213" s="63" t="inlineStr">
        <is>
          <t>SHIYUE DAOTIAN</t>
        </is>
      </c>
      <c r="C213" s="63" t="inlineStr">
        <is>
          <t>十月稻田</t>
        </is>
      </c>
      <c r="D213" s="63" t="inlineStr">
        <is>
          <t>Consumer</t>
        </is>
      </c>
      <c r="E213" s="63" t="inlineStr">
        <is>
          <t>Beverages / packaged food</t>
        </is>
      </c>
      <c r="F213" s="63" t="inlineStr">
        <is>
          <t>Packaged Foods</t>
        </is>
      </c>
      <c r="G213" s="63" t="inlineStr">
        <is>
          <t>Standard</t>
        </is>
      </c>
      <c r="H213" s="64" t="n">
        <v>45211</v>
      </c>
      <c r="I213" s="65" t="n">
        <v>820.3</v>
      </c>
      <c r="J213" s="63" t="inlineStr">
        <is>
          <t>gross (price x shares)</t>
        </is>
      </c>
      <c r="K213" s="66" t="n">
        <v>13</v>
      </c>
      <c r="L213" s="66" t="n">
        <v>15.8</v>
      </c>
      <c r="M213" s="66" t="n">
        <v>15.36</v>
      </c>
      <c r="N213" s="63" t="inlineStr">
        <is>
          <t>N</t>
        </is>
      </c>
      <c r="O213" s="67" t="n">
        <v>97.2</v>
      </c>
      <c r="P213" s="67" t="n">
        <v>84.3</v>
      </c>
      <c r="Q213" s="68" t="n">
        <v>16406</v>
      </c>
      <c r="R213" s="63" t="inlineStr">
        <is>
          <t>derived:deal size / offer % of enlarged capital</t>
        </is>
      </c>
      <c r="S213" s="69" t="n">
        <v>1.31</v>
      </c>
      <c r="T213" s="70" t="n">
        <v>1.26</v>
      </c>
      <c r="U213" s="71" t="n">
        <v>25.4</v>
      </c>
      <c r="V213" s="68" t="n">
        <v>611.9400000000001</v>
      </c>
      <c r="W213" s="68" t="n">
        <v>39841995</v>
      </c>
      <c r="X213" s="67" t="n">
        <v>3.73</v>
      </c>
      <c r="Y213" s="63" t="inlineStr">
        <is>
          <t>Xinmin Tianshi Agricultural Industry Development Company Limited</t>
        </is>
      </c>
      <c r="Z213" s="63" t="inlineStr">
        <is>
          <t>xinmin</t>
        </is>
      </c>
      <c r="AA213" s="67" t="n"/>
      <c r="AB213" s="72" t="n"/>
      <c r="AC213" s="66" t="n"/>
      <c r="AD213" s="72" t="n"/>
      <c r="AE213" s="63" t="n"/>
      <c r="AF213" s="63" t="n"/>
      <c r="AG213" s="63" t="n"/>
      <c r="AH213" s="63" t="n"/>
      <c r="AI213" s="63" t="n"/>
      <c r="AJ213" s="63" t="n"/>
      <c r="AK213" s="73" t="n">
        <v>22.66</v>
      </c>
      <c r="AL213" s="72" t="n">
        <v>8.07</v>
      </c>
      <c r="AM213" s="72" t="n">
        <v>13.5</v>
      </c>
      <c r="AN213" s="72" t="n">
        <v>60.81</v>
      </c>
      <c r="AO213" s="72" t="n">
        <v>61.46</v>
      </c>
      <c r="AP213" s="72" t="n">
        <v>68.29000000000001</v>
      </c>
      <c r="AQ213" s="72" t="n">
        <v>31.1</v>
      </c>
      <c r="AR213" s="72" t="n">
        <v>31.63</v>
      </c>
      <c r="AS213" s="72" t="n">
        <v>37.2</v>
      </c>
      <c r="AT213" s="72" t="n">
        <v>64.68000000000001</v>
      </c>
      <c r="AU213" s="72" t="n">
        <v>63.15</v>
      </c>
      <c r="AV213" s="72" t="n">
        <v>80.25</v>
      </c>
      <c r="AW213" s="72" t="n">
        <v>34.98</v>
      </c>
      <c r="AX213" s="72" t="n">
        <v>-1.69</v>
      </c>
      <c r="AY213" s="72" t="n">
        <v>-3.35</v>
      </c>
      <c r="AZ213" s="63" t="inlineStr">
        <is>
          <t>Hang Seng Commerce &amp; Industry sub-index</t>
        </is>
      </c>
      <c r="BA213" s="72" t="n">
        <v>-69.23999999999999</v>
      </c>
      <c r="BB213" s="64" t="inlineStr">
        <is>
          <t>2026-08-28</t>
        </is>
      </c>
      <c r="BC213" s="65" t="n">
        <v>4986.2</v>
      </c>
      <c r="BD213" s="68" t="n">
        <v>-413.4</v>
      </c>
      <c r="BE213" s="63" t="inlineStr">
        <is>
          <t>N</t>
        </is>
      </c>
      <c r="BF213" s="63" t="inlineStr">
        <is>
          <t>n/m</t>
        </is>
      </c>
      <c r="BG213" s="74" t="n"/>
      <c r="BH213" s="74" t="n">
        <v>9.199999999999999</v>
      </c>
      <c r="BI213" s="74" t="n">
        <v>3.3</v>
      </c>
      <c r="BJ213" s="75">
        <f>IF('BBG Verify'!S213="","not filed — run on terminal",'BBG Verify'!S213)</f>
        <v/>
      </c>
      <c r="BK213" s="76" t="inlineStr">
        <is>
          <t>N</t>
        </is>
      </c>
      <c r="BL213" s="77">
        <f>IF('BBG Verify'!K213="","not filed — run on terminal",'BBG Verify'!K213)</f>
        <v/>
      </c>
      <c r="BM213" s="63" t="inlineStr">
        <is>
          <t>N/A</t>
        </is>
      </c>
      <c r="BN213" s="63" t="inlineStr">
        <is>
          <t>N/A</t>
        </is>
      </c>
      <c r="BO213" s="63" t="inlineStr">
        <is>
          <t>N/A</t>
        </is>
      </c>
      <c r="BP213" s="63" t="inlineStr">
        <is>
          <t>N/A</t>
        </is>
      </c>
      <c r="BQ213" s="63" t="inlineStr">
        <is>
          <t>N/A</t>
        </is>
      </c>
      <c r="BR213" s="63" t="inlineStr">
        <is>
          <t>N/A</t>
        </is>
      </c>
      <c r="BS213" s="76" t="n"/>
      <c r="BT213" s="63" t="inlineStr">
        <is>
          <t>China International Capital Corporation Hong Kong Securities Limited; Morgan Stanley Asia Limited; China Securities (International) Corporate Finance Company Limited</t>
        </is>
      </c>
      <c r="BU213" s="63" t="inlineStr">
        <is>
          <t>Morgan Stanley Asia Limited; China International Capital Corporation Hong Kong Securities Limited; China Securities (International) Corporate Finance Company Limited</t>
        </is>
      </c>
      <c r="BV213" s="63" t="inlineStr">
        <is>
          <t>China International Capital Corporation Hong Kong Securities Limited; China Securities (International) Corporate Finance Company Limited; Morgan Stanley Asia Limited; Tiger Brokers (HK) Global Limited</t>
        </is>
      </c>
      <c r="BW213" s="78">
        <f>HYPERLINK("https://www1.hkexnews.hk/listedco/listconews/sehk/2023/0928/2023092800446.pdf","prospectus")</f>
        <v/>
      </c>
      <c r="BX213" s="78">
        <f>HYPERLINK("https://www1.hkexnews.hk/listedco/listconews/sehk/2023/1011/2023101100010.htm","allotment")</f>
        <v/>
      </c>
      <c r="BY213" s="63" t="n"/>
      <c r="BZ213" s="76" t="n"/>
      <c r="CA213" s="63" t="inlineStr">
        <is>
          <t>P/E: n/m — loss-making at IPO (use P/S) · greenshoe: no over-allotment option in the offer structure · A/H: no A-share listing · sponsor: English name not in the filing text; AAStocks 保薦人 shown · greenshoe size: no over-allotment option in the offer structure · stabilising manager: the filing states no stabilising manager will be appointed — a filed fact, not an extraction gap (allotment announcement: 'no stabilizing manager will be appointed' stated in the filing) · grey market: no grey-market headline on file for this deal — AAStocks publishes one per listing but keeps only recent items on the stock's news page, and no public archive of past evening sessions exists; captured from this run onward</t>
        </is>
      </c>
    </row>
    <row r="214" ht="15" customHeight="1">
      <c r="A214" s="62" t="inlineStr">
        <is>
          <t>2451</t>
        </is>
      </c>
      <c r="B214" s="63" t="inlineStr">
        <is>
          <t>LUYUAN GP HLDG</t>
        </is>
      </c>
      <c r="C214" s="63" t="inlineStr">
        <is>
          <t>綠源集團控股</t>
        </is>
      </c>
      <c r="D214" s="63" t="inlineStr">
        <is>
          <t>Consumer</t>
        </is>
      </c>
      <c r="E214" s="63" t="inlineStr">
        <is>
          <t>Autos (NEV OEM)</t>
        </is>
      </c>
      <c r="F214" s="63" t="inlineStr">
        <is>
          <t>Automobile Manufacturers</t>
        </is>
      </c>
      <c r="G214" s="63" t="inlineStr">
        <is>
          <t>Standard</t>
        </is>
      </c>
      <c r="H214" s="64" t="n">
        <v>45211</v>
      </c>
      <c r="I214" s="65" t="n">
        <v>786.1</v>
      </c>
      <c r="J214" s="63" t="inlineStr">
        <is>
          <t>gross (price x shares)</t>
        </is>
      </c>
      <c r="K214" s="66" t="n">
        <v>6</v>
      </c>
      <c r="L214" s="66" t="n">
        <v>8</v>
      </c>
      <c r="M214" s="66" t="n">
        <v>7.37</v>
      </c>
      <c r="N214" s="63" t="inlineStr">
        <is>
          <t>N</t>
        </is>
      </c>
      <c r="O214" s="67" t="n">
        <v>92.09999999999999</v>
      </c>
      <c r="P214" s="67" t="n">
        <v>68.5</v>
      </c>
      <c r="Q214" s="68" t="n">
        <v>3346.1</v>
      </c>
      <c r="R214" s="63" t="inlineStr">
        <is>
          <t>aastocks:上市市值 at the struck price</t>
        </is>
      </c>
      <c r="S214" s="69" t="n">
        <v>15</v>
      </c>
      <c r="T214" s="70" t="n">
        <v>1.13</v>
      </c>
      <c r="U214" s="71" t="n">
        <v>31.1</v>
      </c>
      <c r="V214" s="68" t="n">
        <v>541.62</v>
      </c>
      <c r="W214" s="68" t="n">
        <v>73493563</v>
      </c>
      <c r="X214" s="67" t="n">
        <v>16.19</v>
      </c>
      <c r="Y214" s="63" t="inlineStr">
        <is>
          <t>Chongqing Dazuhuaiyuan Construction Investment Co., L; Hainan Dongfang Runze Private Equity Fund Management Co., Ltd; Jinhua Industrial Fund Co., Ltd; Jinhua Jinkai State Owned Capital Investments Co., Ltd; Phylion Battery Co., Ltd</t>
        </is>
      </c>
      <c r="Z214" s="63" t="inlineStr">
        <is>
          <t>chongqing;hainan;jinhua;phylion</t>
        </is>
      </c>
      <c r="AA214" s="67" t="n"/>
      <c r="AB214" s="72" t="n"/>
      <c r="AC214" s="66" t="n"/>
      <c r="AD214" s="72" t="n"/>
      <c r="AE214" s="63" t="n"/>
      <c r="AF214" s="63" t="n"/>
      <c r="AG214" s="63" t="n"/>
      <c r="AH214" s="63" t="n"/>
      <c r="AI214" s="63" t="n"/>
      <c r="AJ214" s="63" t="n"/>
      <c r="AK214" s="73" t="n">
        <v>0.95</v>
      </c>
      <c r="AL214" s="72" t="n">
        <v>-0.41</v>
      </c>
      <c r="AM214" s="72" t="n">
        <v>1.37</v>
      </c>
      <c r="AN214" s="72" t="n">
        <v>-1.63</v>
      </c>
      <c r="AO214" s="72" t="n">
        <v>0.54</v>
      </c>
      <c r="AP214" s="72" t="n">
        <v>-1.36</v>
      </c>
      <c r="AQ214" s="72" t="n">
        <v>-2.56</v>
      </c>
      <c r="AR214" s="72" t="n">
        <v>-0.41</v>
      </c>
      <c r="AS214" s="72" t="n">
        <v>-2.29</v>
      </c>
      <c r="AT214" s="72" t="n">
        <v>2.24</v>
      </c>
      <c r="AU214" s="72" t="n">
        <v>2.23</v>
      </c>
      <c r="AV214" s="72" t="n">
        <v>10.6</v>
      </c>
      <c r="AW214" s="72" t="n">
        <v>2.94</v>
      </c>
      <c r="AX214" s="72" t="n">
        <v>-1.69</v>
      </c>
      <c r="AY214" s="72" t="n">
        <v>-3.35</v>
      </c>
      <c r="AZ214" s="63" t="inlineStr">
        <is>
          <t>Hang Seng Commerce &amp; Industry sub-index</t>
        </is>
      </c>
      <c r="BA214" s="72" t="n">
        <v>77.48</v>
      </c>
      <c r="BB214" s="64" t="inlineStr">
        <is>
          <t>2026-08-28</t>
        </is>
      </c>
      <c r="BC214" s="65" t="n">
        <v>5261.3</v>
      </c>
      <c r="BD214" s="68" t="n">
        <v>129.8</v>
      </c>
      <c r="BE214" s="63" t="inlineStr">
        <is>
          <t>Y</t>
        </is>
      </c>
      <c r="BF214" s="74" t="n">
        <v>25.8</v>
      </c>
      <c r="BG214" s="74" t="n"/>
      <c r="BH214" s="74" t="n">
        <v>24.3</v>
      </c>
      <c r="BI214" s="74" t="n">
        <v>0.6</v>
      </c>
      <c r="BJ214" s="75">
        <f>IF('BBG Verify'!S214="","not filed — run on terminal",'BBG Verify'!S214)</f>
        <v/>
      </c>
      <c r="BK214" s="76" t="inlineStr">
        <is>
          <t>N</t>
        </is>
      </c>
      <c r="BL214" s="77">
        <f>IF('BBG Verify'!K214="","not filed — run on terminal",'BBG Verify'!K214)</f>
        <v/>
      </c>
      <c r="BM214" s="63" t="inlineStr">
        <is>
          <t>N/A</t>
        </is>
      </c>
      <c r="BN214" s="63" t="inlineStr">
        <is>
          <t>N/A</t>
        </is>
      </c>
      <c r="BO214" s="63" t="inlineStr">
        <is>
          <t>N/A</t>
        </is>
      </c>
      <c r="BP214" s="63" t="inlineStr">
        <is>
          <t>N/A</t>
        </is>
      </c>
      <c r="BQ214" s="63" t="inlineStr">
        <is>
          <t>N/A</t>
        </is>
      </c>
      <c r="BR214" s="63" t="inlineStr">
        <is>
          <t>N/A</t>
        </is>
      </c>
      <c r="BS214" s="76" t="n"/>
      <c r="BT214" s="63" t="inlineStr">
        <is>
          <t>China Securities (International) Corporate Finance Company Limited</t>
        </is>
      </c>
      <c r="BU214" s="63" t="inlineStr">
        <is>
          <t>China Securities (International) Corporate Finance Company Limited; TFI Securities and Futures Limited; ABCI Capital Limited; Guotai Junan Securities (Hong Kong) Limited; CMB International Capital Limited; ICBC International Securities Limited; Daiwa Capital Markets Hong Kong Limited; Valuable Capital Limited; Livermore Holdings Limited; Futu Securities International (Hong Kong) Limited; SBI China Capital Financial Services Limited; China Galaxy International Securities (Hong Kong) Co., Limited</t>
        </is>
      </c>
      <c r="BV214" s="63" t="inlineStr">
        <is>
          <t>ABCI Securities Company Limited; China Galaxy International Securities (Hong Kong) Company Limited; CMB International Capital Limited; China Securities (International) Corporate Finance Company Limited; Daiwa Capital Markets Hong Kong Limited; Futu Securities International (Hong Kong) Limited; Guotai Junan Securities (Hong Kong) Limited; ICBC International Securities Limited; Livermore Holdings Limited; SBI China Capital Financial Services Limited; SPDB International Capital Limited; TFI Securities and Futures Limited</t>
        </is>
      </c>
      <c r="BW214" s="78">
        <f>HYPERLINK("https://www1.hkexnews.hk/listedco/listconews/sehk/2023/0928/2023092800027.pdf","prospectus")</f>
        <v/>
      </c>
      <c r="BX214" s="78">
        <f>HYPERLINK("https://www1.hkexnews.hk/listedco/listconews/sehk/2023/1011/2023101100034.htm","allotment")</f>
        <v/>
      </c>
      <c r="BY214" s="63" t="n"/>
      <c r="BZ214" s="76" t="n"/>
      <c r="CA214" s="63" t="inlineStr">
        <is>
          <t>greenshoe: no over-allotment option in the offer structure · A/H: no A-share listing · sponsor: English name not in the filing text; AAStocks 保薦人 shown · market cap: estimate from stated market capitalisation, rescaled to the offer price disagreed with the published listing cap — published figure adopted · cornerstone: AAStocks institutional table includes non-cornerstone orders (superset) — cornerstone % is from the prospectus · greenshoe size: no over-allotment option in the offer structure · stabilising manager: the filing states no stabilising manager will be appointed — a filed fact, not an extraction gap (allotment announcement: 'no stabilizing manager will be appointed' stated in the filing) · deal size: stated gross HK$31.5m rejected — below the deal's own net proceeds HK$706.4m, which cannot happen · grey market: no grey-market headline on file for this deal — AAStocks publishes one per listing but keeps only recent items on the stock's news page, and no public archive of past evening sessions exists; captured from this run onward</t>
        </is>
      </c>
    </row>
    <row r="215" ht="15" customHeight="1">
      <c r="A215" s="62" t="inlineStr">
        <is>
          <t>1519</t>
        </is>
      </c>
      <c r="B215" s="63" t="inlineStr">
        <is>
          <t>J&amp;T EXPRESS-W</t>
        </is>
      </c>
      <c r="C215" s="63" t="inlineStr">
        <is>
          <t>極兔速遞－Ｗ</t>
        </is>
      </c>
      <c r="D215" s="63" t="inlineStr">
        <is>
          <t>Industrials</t>
        </is>
      </c>
      <c r="E215" s="63" t="inlineStr">
        <is>
          <t>Logistics</t>
        </is>
      </c>
      <c r="F215" s="63" t="inlineStr">
        <is>
          <t>Air Freight &amp; Logistics</t>
        </is>
      </c>
      <c r="G215" s="63" t="inlineStr">
        <is>
          <t>WVR</t>
        </is>
      </c>
      <c r="H215" s="64" t="n">
        <v>45226</v>
      </c>
      <c r="I215" s="65" t="n">
        <v>3918.6</v>
      </c>
      <c r="J215" s="63" t="inlineStr">
        <is>
          <t>gross (price x shares)</t>
        </is>
      </c>
      <c r="K215" s="66" t="n"/>
      <c r="L215" s="66" t="n">
        <v>12</v>
      </c>
      <c r="M215" s="66" t="n">
        <v>12</v>
      </c>
      <c r="N215" s="63" t="inlineStr">
        <is>
          <t>Y</t>
        </is>
      </c>
      <c r="O215" s="67" t="n">
        <v>100</v>
      </c>
      <c r="P215" s="67" t="n"/>
      <c r="Q215" s="68" t="n">
        <v>105750</v>
      </c>
      <c r="R215" s="63" t="inlineStr">
        <is>
          <t>prospectus:stated market capitalisation</t>
        </is>
      </c>
      <c r="S215" s="69" t="n">
        <v>1.36</v>
      </c>
      <c r="T215" s="70" t="n">
        <v>1.91</v>
      </c>
      <c r="U215" s="71" t="n">
        <v>39.88</v>
      </c>
      <c r="V215" s="68" t="n">
        <v>2355.86</v>
      </c>
      <c r="W215" s="68" t="n">
        <v>196322100</v>
      </c>
      <c r="X215" s="67" t="n">
        <v>2.23</v>
      </c>
      <c r="Y215" s="63" t="inlineStr">
        <is>
          <t>Aspex Master Fund; CELESTIAL OCEAN INVESTMENTS LIMITED; D1 SPV Jupiter (Hong Kong) Limited; D1 SPV Master Holdco I (Hong Kong) Limited; Dahlia Investments Pte. Ltd; Eternal Earn Holding Limited; Hidden Hill SPV VIII; Huang River Investment Limited; Jallion Global Limited; JNRY III HOLDINGS LIMITED; Joyous Tempinis Limited; Parallel Cluster Investment Limited; SC GGF III Holdco, Ltd</t>
        </is>
      </c>
      <c r="Z215" s="63" t="inlineStr">
        <is>
          <t>aspex;celestial;d1;dahlia;eternal;hidden;huang-river;jallion;jnry;joyous;parallel;sc</t>
        </is>
      </c>
      <c r="AA215" s="67" t="n">
        <v>16.4</v>
      </c>
      <c r="AB215" s="72" t="n"/>
      <c r="AC215" s="66" t="n"/>
      <c r="AD215" s="72" t="n"/>
      <c r="AE215" s="63" t="n"/>
      <c r="AF215" s="63" t="n"/>
      <c r="AG215" s="63" t="inlineStr">
        <is>
          <t>lapsed</t>
        </is>
      </c>
      <c r="AH215" s="63" t="inlineStr">
        <is>
          <t>2023-11-18</t>
        </is>
      </c>
      <c r="AI215" s="63" t="inlineStr">
        <is>
          <t>Morgan Stanley Asia Limited</t>
        </is>
      </c>
      <c r="AJ215" s="63" t="inlineStr">
        <is>
          <t>Morgan Stanley</t>
        </is>
      </c>
      <c r="AK215" s="73" t="n">
        <v>0</v>
      </c>
      <c r="AL215" s="72" t="n">
        <v>0</v>
      </c>
      <c r="AM215" s="72" t="n">
        <v>0</v>
      </c>
      <c r="AN215" s="72" t="n">
        <v>3.33</v>
      </c>
      <c r="AO215" s="72" t="n">
        <v>-1.17</v>
      </c>
      <c r="AP215" s="72" t="n">
        <v>34</v>
      </c>
      <c r="AQ215" s="72" t="n">
        <v>3.33</v>
      </c>
      <c r="AR215" s="72" t="n">
        <v>-1.17</v>
      </c>
      <c r="AS215" s="72" t="n">
        <v>34</v>
      </c>
      <c r="AT215" s="72" t="n">
        <v>-0.78</v>
      </c>
      <c r="AU215" s="72" t="n">
        <v>-4.04</v>
      </c>
      <c r="AV215" s="72" t="n">
        <v>43.21</v>
      </c>
      <c r="AW215" s="72" t="n">
        <v>-1.55</v>
      </c>
      <c r="AX215" s="72" t="n">
        <v>2.87</v>
      </c>
      <c r="AY215" s="72" t="n">
        <v>0.38</v>
      </c>
      <c r="AZ215" s="63" t="inlineStr">
        <is>
          <t>Hang Seng Commerce &amp; Industry sub-index</t>
        </is>
      </c>
      <c r="BA215" s="72" t="n">
        <v>-17.92</v>
      </c>
      <c r="BB215" s="64" t="inlineStr">
        <is>
          <t>2026-08-28</t>
        </is>
      </c>
      <c r="BC215" s="65" t="n">
        <v>56685.9</v>
      </c>
      <c r="BD215" s="68" t="n">
        <v>12918.1</v>
      </c>
      <c r="BE215" s="63" t="inlineStr">
        <is>
          <t>Y</t>
        </is>
      </c>
      <c r="BF215" s="74" t="n">
        <v>8.199999999999999</v>
      </c>
      <c r="BG215" s="74" t="n"/>
      <c r="BH215" s="74" t="n">
        <v>54.9</v>
      </c>
      <c r="BI215" s="74" t="n">
        <v>1.9</v>
      </c>
      <c r="BJ215" s="75">
        <f>IF('BBG Verify'!S215="","not filed — run on terminal",'BBG Verify'!S215)</f>
        <v/>
      </c>
      <c r="BK215" s="76" t="inlineStr">
        <is>
          <t>N</t>
        </is>
      </c>
      <c r="BL215" s="77">
        <f>IF('BBG Verify'!K215="","not filed — run on terminal",'BBG Verify'!K215)</f>
        <v/>
      </c>
      <c r="BM215" s="63" t="inlineStr">
        <is>
          <t>N/A</t>
        </is>
      </c>
      <c r="BN215" s="63" t="inlineStr">
        <is>
          <t>N/A</t>
        </is>
      </c>
      <c r="BO215" s="63" t="inlineStr">
        <is>
          <t>N/A</t>
        </is>
      </c>
      <c r="BP215" s="63" t="inlineStr">
        <is>
          <t>N/A</t>
        </is>
      </c>
      <c r="BQ215" s="63" t="inlineStr">
        <is>
          <t>N/A</t>
        </is>
      </c>
      <c r="BR215" s="63" t="inlineStr">
        <is>
          <t>N/A</t>
        </is>
      </c>
      <c r="BS215" s="76" t="inlineStr">
        <is>
          <t>Morgan Stanley Asia Limited; Merrill Lynch (Asia Pacific) Limited; China International Capital Corporation Hong Kong Securities Limited</t>
        </is>
      </c>
      <c r="BT215" s="63" t="inlineStr">
        <is>
          <t>China International Capital Corporation Hong Kong Securities Limited; Morgan Stanley Asia Limited; Merrill Lynch (Asia Pacific) Limited</t>
        </is>
      </c>
      <c r="BU215" s="63" t="inlineStr">
        <is>
          <t>Morgan Stanley Asia Limited; Merrill Lynch (Asia Pacific) Limited; China International Capital Corporation Hong Kong Securities Limited; UBS AG Hong Kong Branch; CCB International Capital Limited; CMB International Capital Limited; Huatai Financial Holdings (Hong Kong) Limited; BOCI Asia Limited; ABCI Capital Limited; ABCI Securities Company Limited</t>
        </is>
      </c>
      <c r="BV215" s="63" t="inlineStr">
        <is>
          <t>ABCI Securities Company Limited; Beta International Securities Limited; BOCI Asia Limited; CCB International Capital Limited; China Galaxy International Securities (Hong Kong) Company Limited; China International Capital Corporation Hong Kong Securities Limited; CMB International Capital Limited; Deutsche Bank AG, Hong Kong Branch; DBS Asia Capital Limited; Daiwa Capital Markets Hong Kong Limited; Fosun International Securities Limited; Futu Securities International (Hong Kong) Limited</t>
        </is>
      </c>
      <c r="BW215" s="78">
        <f>HYPERLINK("https://www1.hkexnews.hk/listedco/listconews/sehk/2023/1016/2023101600009.pdf","prospectus")</f>
        <v/>
      </c>
      <c r="BX215" s="78">
        <f>HYPERLINK("https://www1.hkexnews.hk/listedco/listconews/sehk/2023/1026/2023102600028.htm","allotment")</f>
        <v/>
      </c>
      <c r="BY215" s="78">
        <f>HYPERLINK("https://www1.hkexnews.hk/listedco/listconews/sehk/2023/1119/2023111900085.pdf","stabilisation")</f>
        <v/>
      </c>
      <c r="BZ215" s="76" t="n"/>
      <c r="CA215" s="63" t="inlineStr">
        <is>
          <t>range low: cap-only pricing — the filing publishes a Maximum Offer Price and no indicative floor · A/H: no A-share listing · grey market: no grey-market headline on file for this deal — AAStocks publishes one per listing but keeps only recent items on the stock's news page, and no public archive of past evening sessions exists; captured from this run onward</t>
        </is>
      </c>
    </row>
    <row r="216" ht="15" customHeight="1">
      <c r="A216" s="62" t="inlineStr">
        <is>
          <t>2517</t>
        </is>
      </c>
      <c r="B216" s="63" t="inlineStr">
        <is>
          <t>GUOQUAN</t>
        </is>
      </c>
      <c r="C216" s="63" t="inlineStr">
        <is>
          <t>鍋圈</t>
        </is>
      </c>
      <c r="D216" s="63" t="inlineStr">
        <is>
          <t>Consumer</t>
        </is>
      </c>
      <c r="E216" s="63" t="inlineStr">
        <is>
          <t>Retail / distribution</t>
        </is>
      </c>
      <c r="F216" s="63" t="inlineStr">
        <is>
          <t>Packaged Foods</t>
        </is>
      </c>
      <c r="G216" s="63" t="inlineStr">
        <is>
          <t>Standard</t>
        </is>
      </c>
      <c r="H216" s="64" t="n">
        <v>45232</v>
      </c>
      <c r="I216" s="65" t="n">
        <v>411.4</v>
      </c>
      <c r="J216" s="63" t="inlineStr">
        <is>
          <t>gross (price x shares)</t>
        </is>
      </c>
      <c r="K216" s="66" t="n"/>
      <c r="L216" s="66" t="n">
        <v>5.98</v>
      </c>
      <c r="M216" s="66" t="n">
        <v>5.98</v>
      </c>
      <c r="N216" s="63" t="inlineStr">
        <is>
          <t>Y</t>
        </is>
      </c>
      <c r="O216" s="67" t="n">
        <v>100</v>
      </c>
      <c r="P216" s="67" t="n"/>
      <c r="Q216" s="68" t="n">
        <v>14186.2</v>
      </c>
      <c r="R216" s="63" t="inlineStr">
        <is>
          <t>derived:deal size / offer % of enlarged capital</t>
        </is>
      </c>
      <c r="S216" s="69" t="n">
        <v>4.34</v>
      </c>
      <c r="T216" s="70" t="n">
        <v>1.33</v>
      </c>
      <c r="U216" s="71" t="n">
        <v>53.6</v>
      </c>
      <c r="V216" s="68" t="n">
        <v>190.89</v>
      </c>
      <c r="W216" s="68" t="n">
        <v>31924499</v>
      </c>
      <c r="X216" s="67" t="n">
        <v>1.35</v>
      </c>
      <c r="Y216" s="63" t="inlineStr">
        <is>
          <t>COFCO Capital Special Opportunity Fund 2 SP; Jiangsu Hengshun Vinegar Industry Co., Ltd; Jinding Capital Management (Shenzhen) Co., Ltd; Profit Joy (Hong Kong) Limited</t>
        </is>
      </c>
      <c r="Z216" s="63" t="inlineStr">
        <is>
          <t>cofco;jiangsu;jinding;profit</t>
        </is>
      </c>
      <c r="AA216" s="67" t="n">
        <v>15</v>
      </c>
      <c r="AB216" s="72" t="n"/>
      <c r="AC216" s="66" t="n"/>
      <c r="AD216" s="72" t="n"/>
      <c r="AE216" s="63" t="n"/>
      <c r="AF216" s="63" t="n"/>
      <c r="AG216" s="63" t="inlineStr">
        <is>
          <t>partial</t>
        </is>
      </c>
      <c r="AH216" s="63" t="inlineStr">
        <is>
          <t>2023-11-25</t>
        </is>
      </c>
      <c r="AI216" s="63" t="inlineStr">
        <is>
          <t>China International Capital Corporation Hong Kong Securities Limited DEFINITIONS –3 1</t>
        </is>
      </c>
      <c r="AJ216" s="63" t="inlineStr">
        <is>
          <t>China International</t>
        </is>
      </c>
      <c r="AK216" s="73" t="n">
        <v>0</v>
      </c>
      <c r="AL216" s="72" t="n">
        <v>0</v>
      </c>
      <c r="AM216" s="72" t="n">
        <v>0</v>
      </c>
      <c r="AN216" s="72" t="n">
        <v>6.52</v>
      </c>
      <c r="AO216" s="72" t="n">
        <v>22.91</v>
      </c>
      <c r="AP216" s="72" t="n">
        <v>42.14</v>
      </c>
      <c r="AQ216" s="72" t="n">
        <v>6.52</v>
      </c>
      <c r="AR216" s="72" t="n">
        <v>22.91</v>
      </c>
      <c r="AS216" s="72" t="n">
        <v>42.14</v>
      </c>
      <c r="AT216" s="72" t="n">
        <v>3.04</v>
      </c>
      <c r="AU216" s="72" t="n">
        <v>25.35</v>
      </c>
      <c r="AV216" s="72" t="n">
        <v>55.18</v>
      </c>
      <c r="AW216" s="72" t="n">
        <v>25.99</v>
      </c>
      <c r="AX216" s="72" t="n">
        <v>-2.44</v>
      </c>
      <c r="AY216" s="72" t="n">
        <v>-3.08</v>
      </c>
      <c r="AZ216" s="63" t="inlineStr">
        <is>
          <t>Hang Seng Commerce &amp; Industry sub-index</t>
        </is>
      </c>
      <c r="BA216" s="72" t="n">
        <v>-71.15000000000001</v>
      </c>
      <c r="BB216" s="64" t="inlineStr">
        <is>
          <t>2026-08-28</t>
        </is>
      </c>
      <c r="BC216" s="65" t="n">
        <v>7890.8</v>
      </c>
      <c r="BD216" s="68" t="n">
        <v>365.2</v>
      </c>
      <c r="BE216" s="63" t="inlineStr">
        <is>
          <t>Y</t>
        </is>
      </c>
      <c r="BF216" s="74" t="n">
        <v>38.8</v>
      </c>
      <c r="BG216" s="74" t="n"/>
      <c r="BH216" s="74" t="n">
        <v>9.6</v>
      </c>
      <c r="BI216" s="74" t="n">
        <v>1.8</v>
      </c>
      <c r="BJ216" s="75">
        <f>IF('BBG Verify'!S216="","not filed — run on terminal",'BBG Verify'!S216)</f>
        <v/>
      </c>
      <c r="BK216" s="76" t="inlineStr">
        <is>
          <t>N</t>
        </is>
      </c>
      <c r="BL216" s="77">
        <f>IF('BBG Verify'!K216="","not filed — run on terminal",'BBG Verify'!K216)</f>
        <v/>
      </c>
      <c r="BM216" s="63" t="inlineStr">
        <is>
          <t>N/A</t>
        </is>
      </c>
      <c r="BN216" s="63" t="inlineStr">
        <is>
          <t>N/A</t>
        </is>
      </c>
      <c r="BO216" s="63" t="inlineStr">
        <is>
          <t>N/A</t>
        </is>
      </c>
      <c r="BP216" s="63" t="inlineStr">
        <is>
          <t>N/A</t>
        </is>
      </c>
      <c r="BQ216" s="63" t="inlineStr">
        <is>
          <t>N/A</t>
        </is>
      </c>
      <c r="BR216" s="63" t="inlineStr">
        <is>
          <t>N/A</t>
        </is>
      </c>
      <c r="BS216" s="76" t="inlineStr">
        <is>
          <t>Huatai Financial Holdings (Hong Kong) Limited; China International Capital Corporation Hong Kong Securities Limited</t>
        </is>
      </c>
      <c r="BT216" s="63" t="inlineStr">
        <is>
          <t>China International Capital Corporation Hong Kong Securities Limited; Huatai Financial Holdings (Hong Kong) Limited</t>
        </is>
      </c>
      <c r="BU216" s="63" t="inlineStr">
        <is>
          <t>Huatai Financial Holdings (Hong Kong) Limited; China International Capital Corporation Hong Kong Securities Limited; CMB International Capital Limited; Central China International Capital Limited</t>
        </is>
      </c>
      <c r="BV216" s="63" t="inlineStr">
        <is>
          <t>Central China International Capital Limited; China International Capital Corporation Hong Kong Securities Limited; CMB International Capital Limited; Futu Securities International (Hong Kong) Limited; GF Securities (Hong Kong) Brokerage Limited; Huatai Financial Holdings (Hong Kong) Limited; Lighthouse Capital (HK) Financial Limited; Livermore Holdings Limited; Silverbricks Securities Company Limited; Tiger Brokers (HK) Global Limited; Victory Securities Company Limited</t>
        </is>
      </c>
      <c r="BW216" s="78">
        <f>HYPERLINK("https://www1.hkexnews.hk/listedco/listconews/sehk/2023/1020/2023102000007.pdf","prospectus")</f>
        <v/>
      </c>
      <c r="BX216" s="78">
        <f>HYPERLINK("https://www1.hkexnews.hk/listedco/listconews/sehk/2023/1101/2023110100018.htm","allotment")</f>
        <v/>
      </c>
      <c r="BY216" s="78">
        <f>HYPERLINK("https://www1.hkexnews.hk/listedco/listconews/sehk/2023/1127/2023112700202.pdf","stabilisation")</f>
        <v/>
      </c>
      <c r="BZ216" s="76" t="n"/>
      <c r="CA216" s="63" t="inlineStr">
        <is>
          <t>range low: cap-only pricing — the filing publishes a Maximum Offer Price and no indicative floor · A/H: no A-share listing · cornerstone: table parse read 99% but the institutional total implies 54% — parse rejected, the AAStocks institutional total used (53.6%) · deal size: stated gross HK$16.5m rejected — below the deal's own net proceeds HK$356.5m, which cannot happen · grey market: no grey-market headline on file for this deal — AAStocks publishes one per listing but keeps only recent items on the stock's news page, and no public archive of past evening sessions exists; captured from this run onward</t>
        </is>
      </c>
    </row>
    <row r="217" ht="15" customHeight="1">
      <c r="A217" s="62" t="inlineStr">
        <is>
          <t>2429</t>
        </is>
      </c>
      <c r="B217" s="63" t="inlineStr">
        <is>
          <t>UBOX ONLINE</t>
        </is>
      </c>
      <c r="C217" s="63" t="inlineStr">
        <is>
          <t>友寶在線</t>
        </is>
      </c>
      <c r="D217" s="63" t="inlineStr">
        <is>
          <t>Consumer</t>
        </is>
      </c>
      <c r="E217" s="63" t="inlineStr">
        <is>
          <t>Retail / distribution</t>
        </is>
      </c>
      <c r="F217" s="63" t="inlineStr">
        <is>
          <t>Hypermarkets, Supermarkets &amp; Convenience Stores</t>
        </is>
      </c>
      <c r="G217" s="63" t="inlineStr">
        <is>
          <t>Standard</t>
        </is>
      </c>
      <c r="H217" s="64" t="n">
        <v>45233</v>
      </c>
      <c r="I217" s="65" t="n">
        <v>233.7</v>
      </c>
      <c r="J217" s="63" t="inlineStr">
        <is>
          <t>gross (price x shares)</t>
        </is>
      </c>
      <c r="K217" s="66" t="n">
        <v>9.4</v>
      </c>
      <c r="L217" s="66" t="n">
        <v>11.4</v>
      </c>
      <c r="M217" s="66" t="n">
        <v>10.35</v>
      </c>
      <c r="N217" s="63" t="inlineStr">
        <is>
          <t>N</t>
        </is>
      </c>
      <c r="O217" s="67" t="n">
        <v>90.8</v>
      </c>
      <c r="P217" s="67" t="n">
        <v>47.5</v>
      </c>
      <c r="Q217" s="68" t="n">
        <v>6655.3</v>
      </c>
      <c r="R217" s="63" t="inlineStr">
        <is>
          <t>prospectus:stated market capitalisation, rescaled to the offer price</t>
        </is>
      </c>
      <c r="S217" s="69" t="n">
        <v>11.29</v>
      </c>
      <c r="T217" s="70" t="n">
        <v>1.41</v>
      </c>
      <c r="U217" s="71" t="n">
        <v>29.4</v>
      </c>
      <c r="V217" s="68" t="n">
        <v>164.99</v>
      </c>
      <c r="W217" s="68" t="n">
        <v>15939009</v>
      </c>
      <c r="X217" s="67" t="n">
        <v>2.48</v>
      </c>
      <c r="Y217" s="63" t="inlineStr">
        <is>
          <t>Nayuki Holdings Limited; SensePower Management Limited; Shenzhen Maliujia Network Technology Co., Ltd; Wei Jinbing</t>
        </is>
      </c>
      <c r="Z217" s="63" t="inlineStr">
        <is>
          <t>nayuki;sensepower;shenzhen-maliujia;wei-jinbing</t>
        </is>
      </c>
      <c r="AA217" s="67" t="n"/>
      <c r="AB217" s="72" t="n"/>
      <c r="AC217" s="66" t="n"/>
      <c r="AD217" s="72" t="n"/>
      <c r="AE217" s="63" t="n"/>
      <c r="AF217" s="63" t="n"/>
      <c r="AG217" s="63" t="n"/>
      <c r="AH217" s="63" t="n"/>
      <c r="AI217" s="63" t="n"/>
      <c r="AJ217" s="63" t="n"/>
      <c r="AK217" s="73" t="n">
        <v>40.87</v>
      </c>
      <c r="AL217" s="72" t="n">
        <v>20.77</v>
      </c>
      <c r="AM217" s="72" t="n">
        <v>16.64</v>
      </c>
      <c r="AN217" s="72" t="n">
        <v>20.77</v>
      </c>
      <c r="AO217" s="72" t="n">
        <v>55.94</v>
      </c>
      <c r="AP217" s="72" t="n">
        <v>79.13</v>
      </c>
      <c r="AQ217" s="72" t="n">
        <v>-14.27</v>
      </c>
      <c r="AR217" s="72" t="n">
        <v>10.7</v>
      </c>
      <c r="AS217" s="72" t="n">
        <v>27.16</v>
      </c>
      <c r="AT217" s="72" t="n">
        <v>20.21</v>
      </c>
      <c r="AU217" s="72" t="n">
        <v>60.49</v>
      </c>
      <c r="AV217" s="72" t="n">
        <v>92.8</v>
      </c>
      <c r="AW217" s="72" t="n">
        <v>17.78</v>
      </c>
      <c r="AX217" s="72" t="n">
        <v>-4.55</v>
      </c>
      <c r="AY217" s="72" t="n">
        <v>-7.08</v>
      </c>
      <c r="AZ217" s="63" t="inlineStr">
        <is>
          <t>Hang Seng Commerce &amp; Industry sub-index</t>
        </is>
      </c>
      <c r="BA217" s="72" t="n">
        <v>-82.8</v>
      </c>
      <c r="BB217" s="64" t="inlineStr">
        <is>
          <t>2026-08-28</t>
        </is>
      </c>
      <c r="BC217" s="65" t="n">
        <v>2943.9</v>
      </c>
      <c r="BD217" s="68" t="n">
        <v>-203.1</v>
      </c>
      <c r="BE217" s="63" t="inlineStr">
        <is>
          <t>N</t>
        </is>
      </c>
      <c r="BF217" s="63" t="inlineStr">
        <is>
          <t>n/m</t>
        </is>
      </c>
      <c r="BG217" s="74" t="n"/>
      <c r="BH217" s="74" t="n"/>
      <c r="BI217" s="74" t="n">
        <v>2.3</v>
      </c>
      <c r="BJ217" s="75">
        <f>IF('BBG Verify'!S217="","not filed — run on terminal",'BBG Verify'!S217)</f>
        <v/>
      </c>
      <c r="BK217" s="76" t="inlineStr">
        <is>
          <t>N</t>
        </is>
      </c>
      <c r="BL217" s="77">
        <f>IF('BBG Verify'!K217="","not filed — run on terminal",'BBG Verify'!K217)</f>
        <v/>
      </c>
      <c r="BM217" s="63" t="inlineStr">
        <is>
          <t>N/A</t>
        </is>
      </c>
      <c r="BN217" s="63" t="inlineStr">
        <is>
          <t>N/A</t>
        </is>
      </c>
      <c r="BO217" s="63" t="inlineStr">
        <is>
          <t>N/A</t>
        </is>
      </c>
      <c r="BP217" s="63" t="inlineStr">
        <is>
          <t>N/A</t>
        </is>
      </c>
      <c r="BQ217" s="63" t="inlineStr">
        <is>
          <t>N/A</t>
        </is>
      </c>
      <c r="BR217" s="63" t="inlineStr">
        <is>
          <t>N/A</t>
        </is>
      </c>
      <c r="BS217" s="76" t="inlineStr">
        <is>
          <t>China Securities (International) Corporate Finance Company Limited; Huatai Financial Holdings (Hong Kong) Limited</t>
        </is>
      </c>
      <c r="BT217" s="63" t="inlineStr">
        <is>
          <t>Huatai Financial Holdings (Hong Kong) Limited; China Securities (International) Corporate Finance Company Limited</t>
        </is>
      </c>
      <c r="BU217" s="63" t="inlineStr">
        <is>
          <t>Huatai Financial Holdings (Hong Kong) Limited; China Securities (International) Corporate Finance Company Limited</t>
        </is>
      </c>
      <c r="BV217" s="63" t="inlineStr">
        <is>
          <t>ABCI Securities Company Limited; CCB International Capital Limited; China Galaxy International Securities (Hong Kong) Company Limited; CMB International Capital Limited; China Securities (International) Corporate Finance Company Limited; Huatai Financial Holdings (Hong Kong) Limited; ICBC International Securities Limited; Livermore Holdings Limited; Valuable Capital Limited</t>
        </is>
      </c>
      <c r="BW217" s="78">
        <f>HYPERLINK("https://www1.hkexnews.hk/listedco/listconews/sehk/2023/1024/2023102400007.pdf","prospectus")</f>
        <v/>
      </c>
      <c r="BX217" s="78">
        <f>HYPERLINK("https://www1.hkexnews.hk/listedco/listconews/sehk/2023/1102/2023110200032.htm","allotment")</f>
        <v/>
      </c>
      <c r="BY217" s="63" t="n"/>
      <c r="BZ217" s="76" t="n"/>
      <c r="CA217" s="63" t="inlineStr">
        <is>
          <t>P/E: n/m — loss-making at IPO (use P/S) · greenshoe: no over-allotment option in the offer structure · A/H: no A-share listing · market cap: prospectus states HK$7,330m at HK$11.40; rescaled to the struck HK$10.35 · cornerstone: AAStocks institutional table includes non-cornerstone orders (superset) — cornerstone % is from the prospectus · greenshoe size: no over-allotment option in the offer structure · stabilising manager: the filing states no stabilising manager will be appointed — a filed fact, not an extraction gap (allotment announcement: 'no stabilizing manager will be appointed' stated in the filing) · grey market: no grey-market headline on file for this deal — AAStocks publishes one per listing but keeps only recent items on the stock's news page, and no public archive of past evening sessions exists; captured from this run onward</t>
        </is>
      </c>
    </row>
    <row r="218" ht="15" customHeight="1">
      <c r="A218" s="62" t="inlineStr">
        <is>
          <t>2473</t>
        </is>
      </c>
      <c r="B218" s="63" t="inlineStr">
        <is>
          <t>XXF</t>
        </is>
      </c>
      <c r="C218" s="63" t="inlineStr">
        <is>
          <t>喜相逢集團</t>
        </is>
      </c>
      <c r="D218" s="63" t="inlineStr">
        <is>
          <t>Consumer</t>
        </is>
      </c>
      <c r="E218" s="63" t="inlineStr">
        <is>
          <t>Retail / distribution</t>
        </is>
      </c>
      <c r="F218" s="63" t="inlineStr">
        <is>
          <t>Automotive Retail</t>
        </is>
      </c>
      <c r="G218" s="63" t="inlineStr">
        <is>
          <t>Standard</t>
        </is>
      </c>
      <c r="H218" s="64" t="n">
        <v>45239</v>
      </c>
      <c r="I218" s="65" t="n">
        <v>28.8</v>
      </c>
      <c r="J218" s="63" t="inlineStr">
        <is>
          <t>net proceeds</t>
        </is>
      </c>
      <c r="K218" s="66" t="n">
        <v>1.05</v>
      </c>
      <c r="L218" s="66" t="n">
        <v>1.36</v>
      </c>
      <c r="M218" s="66" t="n">
        <v>1.1</v>
      </c>
      <c r="N218" s="63" t="inlineStr">
        <is>
          <t>N</t>
        </is>
      </c>
      <c r="O218" s="67" t="n">
        <v>80.90000000000001</v>
      </c>
      <c r="P218" s="67" t="n">
        <v>16.1</v>
      </c>
      <c r="Q218" s="68" t="n">
        <v>670.7</v>
      </c>
      <c r="R218" s="63" t="inlineStr">
        <is>
          <t>aastocks:上市市值 at the struck price</t>
        </is>
      </c>
      <c r="S218" s="69" t="n">
        <v>14.71</v>
      </c>
      <c r="T218" s="70" t="n">
        <v>1.01</v>
      </c>
      <c r="U218" s="71" t="n">
        <v>0</v>
      </c>
      <c r="V218" s="68" t="n">
        <v>28.8</v>
      </c>
      <c r="W218" s="68" t="n"/>
      <c r="X218" s="67" t="n">
        <v>4.29</v>
      </c>
      <c r="Y218" s="63" t="n"/>
      <c r="Z218" s="63" t="n"/>
      <c r="AA218" s="67" t="n">
        <v>10</v>
      </c>
      <c r="AB218" s="72" t="n"/>
      <c r="AC218" s="66" t="n"/>
      <c r="AD218" s="72" t="n"/>
      <c r="AE218" s="63" t="n"/>
      <c r="AF218" s="63" t="n"/>
      <c r="AG218" s="63" t="n"/>
      <c r="AH218" s="63" t="n"/>
      <c r="AI218" s="63" t="n"/>
      <c r="AJ218" s="63" t="n"/>
      <c r="AK218" s="73" t="n">
        <v>49.09</v>
      </c>
      <c r="AL218" s="72" t="n">
        <v>98.18000000000001</v>
      </c>
      <c r="AM218" s="72" t="n">
        <v>-24.77</v>
      </c>
      <c r="AN218" s="72" t="n">
        <v>46.36</v>
      </c>
      <c r="AO218" s="72" t="n">
        <v>121.82</v>
      </c>
      <c r="AP218" s="72" t="n">
        <v>166.36</v>
      </c>
      <c r="AQ218" s="72" t="n">
        <v>-1.83</v>
      </c>
      <c r="AR218" s="72" t="n">
        <v>48.78</v>
      </c>
      <c r="AS218" s="72" t="n">
        <v>78.66</v>
      </c>
      <c r="AT218" s="72" t="n">
        <v>45.68</v>
      </c>
      <c r="AU218" s="72" t="n">
        <v>131.01</v>
      </c>
      <c r="AV218" s="72" t="n">
        <v>181.38</v>
      </c>
      <c r="AW218" s="72" t="n">
        <v>57.69</v>
      </c>
      <c r="AX218" s="72" t="n">
        <v>-9.19</v>
      </c>
      <c r="AY218" s="72" t="n">
        <v>-8.91</v>
      </c>
      <c r="AZ218" s="63" t="inlineStr">
        <is>
          <t>Hang Seng Commerce &amp; Industry sub-index</t>
        </is>
      </c>
      <c r="BA218" s="72" t="n">
        <v>24.09</v>
      </c>
      <c r="BB218" s="64" t="inlineStr">
        <is>
          <t>2026-08-31</t>
        </is>
      </c>
      <c r="BC218" s="65" t="n">
        <v>1255.7</v>
      </c>
      <c r="BD218" s="68" t="n">
        <v>84.8</v>
      </c>
      <c r="BE218" s="63" t="inlineStr">
        <is>
          <t>Y</t>
        </is>
      </c>
      <c r="BF218" s="74" t="n">
        <v>7.9</v>
      </c>
      <c r="BG218" s="74" t="n">
        <v>5.1</v>
      </c>
      <c r="BH218" s="74" t="n">
        <v>13.6</v>
      </c>
      <c r="BI218" s="74" t="n">
        <v>0.5</v>
      </c>
      <c r="BJ218" s="75">
        <f>IF('BBG Verify'!S218="","not filed — run on terminal",'BBG Verify'!S218)</f>
        <v/>
      </c>
      <c r="BK218" s="76" t="inlineStr">
        <is>
          <t>N</t>
        </is>
      </c>
      <c r="BL218" s="77">
        <f>IF('BBG Verify'!K218="","not filed — run on terminal",'BBG Verify'!K218)</f>
        <v/>
      </c>
      <c r="BM218" s="63" t="inlineStr">
        <is>
          <t>N/A</t>
        </is>
      </c>
      <c r="BN218" s="63" t="inlineStr">
        <is>
          <t>N/A</t>
        </is>
      </c>
      <c r="BO218" s="63" t="inlineStr">
        <is>
          <t>N/A</t>
        </is>
      </c>
      <c r="BP218" s="63" t="inlineStr">
        <is>
          <t>N/A</t>
        </is>
      </c>
      <c r="BQ218" s="63" t="inlineStr">
        <is>
          <t>N/A</t>
        </is>
      </c>
      <c r="BR218" s="63" t="inlineStr">
        <is>
          <t>N/A</t>
        </is>
      </c>
      <c r="BS218" s="76" t="inlineStr">
        <is>
          <t>Quam Capital Limited</t>
        </is>
      </c>
      <c r="BT218" s="63" t="inlineStr">
        <is>
          <t>Quam Capital Limited</t>
        </is>
      </c>
      <c r="BU218" s="63" t="inlineStr">
        <is>
          <t>Quam Securities Limited; CCB International Capital Limited; China Galaxy International Securities (Hong Kong) Co., Limited; CMB International Capital Limited; Eddid Securities and Futures Limited; Innovax Securities Limited; Livermore Holdings Limited; Shenwan Hongyuan Securities (H.K.) Limited; SPDB International Capital Limited; ZMF Asset Management Limited</t>
        </is>
      </c>
      <c r="BV218" s="63" t="inlineStr">
        <is>
          <t>CCB International Capital Limited; China Galaxy International Securities (Hong Kong) Company Limited; CMB International Capital Limited; Eddid Securities and Futures Limited; Fortune (HK) Securities Limited; Innovax Securities Limited; Luk Fook Securities (HK) Limited; Livermore Holdings Limited; Quam Securities Limited; Shenwan Hongyuan Securities (H.K.) Limited; SPDB International Capital Limited; ZMF Asset Management Limited</t>
        </is>
      </c>
      <c r="BW218" s="78">
        <f>HYPERLINK("https://www1.hkexnews.hk/listedco/listconews/sehk/2023/1030/2023103000013.pdf","prospectus")</f>
        <v/>
      </c>
      <c r="BX218" s="78">
        <f>HYPERLINK("https://www1.hkexnews.hk/listedco/listconews/sehk/2023/1108/2023110800016.htm","allotment")</f>
        <v/>
      </c>
      <c r="BY218" s="63" t="n"/>
      <c r="BZ218" s="76" t="n"/>
      <c r="CA218" s="63" t="inlineStr">
        <is>
          <t>greenshoe: end-of-stabilisation notice not located · A/H: no A-share listing · market cap: estimate from deal size / offer % of enlarged capital disagreed with the published listing cap — published figure adopted · cornerstone list: no cornerstone tranche in this deal · stabilising manager: neither the allotment announcement's cover sentence nor the prospectus definitions glossary names one in a form the parser reads — not inferred from the sponsor · grey market: no grey-market headline on file for this deal — AAStocks publishes one per listing but keeps only recent items on the stock's news page, and no public archive of past evening sessions exists; captured from this run onward · eff float shares: share count unavailable or rejected as implausible — the money figure (eff_free_float_hkdm) is still exact</t>
        </is>
      </c>
    </row>
    <row r="219" ht="15" customHeight="1">
      <c r="A219" s="62" t="inlineStr">
        <is>
          <t>1111</t>
        </is>
      </c>
      <c r="B219" s="63" t="inlineStr">
        <is>
          <t>HUASHI GROUP</t>
        </is>
      </c>
      <c r="C219" s="63" t="inlineStr">
        <is>
          <t>華視集團控股</t>
        </is>
      </c>
      <c r="D219" s="63" t="inlineStr">
        <is>
          <t>Industrials</t>
        </is>
      </c>
      <c r="E219" s="63" t="inlineStr">
        <is>
          <t>Construction / engineering</t>
        </is>
      </c>
      <c r="F219" s="63" t="inlineStr">
        <is>
          <t>Advertising</t>
        </is>
      </c>
      <c r="G219" s="63" t="inlineStr">
        <is>
          <t>Standard</t>
        </is>
      </c>
      <c r="H219" s="64" t="n">
        <v>45240</v>
      </c>
      <c r="I219" s="65" t="n">
        <v>130</v>
      </c>
      <c r="J219" s="63" t="inlineStr">
        <is>
          <t>gross (price x shares)</t>
        </is>
      </c>
      <c r="K219" s="66" t="n"/>
      <c r="L219" s="66" t="n">
        <v>1.04</v>
      </c>
      <c r="M219" s="66" t="n">
        <v>1.04</v>
      </c>
      <c r="N219" s="63" t="inlineStr">
        <is>
          <t>Y</t>
        </is>
      </c>
      <c r="O219" s="67" t="n">
        <v>100</v>
      </c>
      <c r="P219" s="67" t="n"/>
      <c r="Q219" s="68" t="n">
        <v>739.9</v>
      </c>
      <c r="R219" s="63" t="inlineStr">
        <is>
          <t>aastocks:上市市值 at the struck price</t>
        </is>
      </c>
      <c r="S219" s="69" t="n">
        <v>12.62</v>
      </c>
      <c r="T219" s="70" t="n">
        <v>1.09</v>
      </c>
      <c r="U219" s="71" t="n"/>
      <c r="V219" s="68" t="n">
        <v>130</v>
      </c>
      <c r="W219" s="68" t="n">
        <v>125000000</v>
      </c>
      <c r="X219" s="67" t="n">
        <v>17.57</v>
      </c>
      <c r="Y219" s="63" t="n"/>
      <c r="Z219" s="63" t="n"/>
      <c r="AA219" s="67" t="n"/>
      <c r="AB219" s="72" t="n"/>
      <c r="AC219" s="66" t="n"/>
      <c r="AD219" s="72" t="n"/>
      <c r="AE219" s="63" t="n"/>
      <c r="AF219" s="63" t="n"/>
      <c r="AG219" s="63" t="n"/>
      <c r="AH219" s="63" t="n"/>
      <c r="AI219" s="63" t="n"/>
      <c r="AJ219" s="63" t="n"/>
      <c r="AK219" s="73" t="n">
        <v>55.77</v>
      </c>
      <c r="AL219" s="72" t="n">
        <v>58.65</v>
      </c>
      <c r="AM219" s="72" t="n">
        <v>-1.82</v>
      </c>
      <c r="AN219" s="72" t="n">
        <v>84.62</v>
      </c>
      <c r="AO219" s="72" t="n">
        <v>100</v>
      </c>
      <c r="AP219" s="72" t="n">
        <v>-60.1</v>
      </c>
      <c r="AQ219" s="72" t="n">
        <v>18.52</v>
      </c>
      <c r="AR219" s="72" t="n">
        <v>28.39</v>
      </c>
      <c r="AS219" s="72" t="n">
        <v>-74.39</v>
      </c>
      <c r="AT219" s="72" t="n">
        <v>86.56</v>
      </c>
      <c r="AU219" s="72" t="n">
        <v>110.02</v>
      </c>
      <c r="AV219" s="72" t="n">
        <v>-46.49</v>
      </c>
      <c r="AW219" s="72" t="n">
        <v>36.4</v>
      </c>
      <c r="AX219" s="72" t="n">
        <v>-10.02</v>
      </c>
      <c r="AY219" s="72" t="n">
        <v>-8.01</v>
      </c>
      <c r="AZ219" s="63" t="inlineStr">
        <is>
          <t>Hang Seng Commerce &amp; Industry sub-index</t>
        </is>
      </c>
      <c r="BA219" s="72" t="n">
        <v>-76.92</v>
      </c>
      <c r="BB219" s="64" t="inlineStr">
        <is>
          <t>2026-08-28</t>
        </is>
      </c>
      <c r="BC219" s="65" t="n">
        <v>227.9</v>
      </c>
      <c r="BD219" s="68" t="n">
        <v>50.2</v>
      </c>
      <c r="BE219" s="63" t="inlineStr">
        <is>
          <t>Y</t>
        </is>
      </c>
      <c r="BF219" s="74" t="n">
        <v>14.7</v>
      </c>
      <c r="BG219" s="74" t="n"/>
      <c r="BH219" s="74" t="n">
        <v>2.3</v>
      </c>
      <c r="BI219" s="74" t="n">
        <v>3.2</v>
      </c>
      <c r="BJ219" s="75">
        <f>IF('BBG Verify'!S219="","not filed — run on terminal",'BBG Verify'!S219)</f>
        <v/>
      </c>
      <c r="BK219" s="76" t="inlineStr">
        <is>
          <t>N</t>
        </is>
      </c>
      <c r="BL219" s="77">
        <f>IF('BBG Verify'!K219="","not filed — run on terminal",'BBG Verify'!K219)</f>
        <v/>
      </c>
      <c r="BM219" s="63" t="inlineStr">
        <is>
          <t>N/A</t>
        </is>
      </c>
      <c r="BN219" s="63" t="inlineStr">
        <is>
          <t>N/A</t>
        </is>
      </c>
      <c r="BO219" s="63" t="inlineStr">
        <is>
          <t>N/A</t>
        </is>
      </c>
      <c r="BP219" s="63" t="inlineStr">
        <is>
          <t>N/A</t>
        </is>
      </c>
      <c r="BQ219" s="63" t="inlineStr">
        <is>
          <t>N/A</t>
        </is>
      </c>
      <c r="BR219" s="63" t="inlineStr">
        <is>
          <t>N/A</t>
        </is>
      </c>
      <c r="BS219" s="76" t="n"/>
      <c r="BT219" s="63" t="inlineStr">
        <is>
          <t>Rainbow Capital (HK) Limited</t>
        </is>
      </c>
      <c r="BU219" s="63" t="inlineStr">
        <is>
          <t>ABCI Capital Limited; ABCI Securities Company Limited; CCB International Capital Limited; CEB International Capital Corporation Limited; Cinda International Capital Limited; CMB International Capital Limited</t>
        </is>
      </c>
      <c r="BV219" s="63" t="inlineStr">
        <is>
          <t>ABCI Capital Limited; ABCI Securities Company Limited; CCB International Capital Limited; CEB International Capital Corporation Limited; Cinda International Capital Limited; CMB International Capital Limited; Fosun International Securities Limited; Goldlink Securities Limited; Livermore Holdings Limited; Rainbow Capital (HK) Limited; Silverbricks Securities Company Limited; Shenwan Hongyuan Securities (H.K.) Limited</t>
        </is>
      </c>
      <c r="BW219" s="63" t="n"/>
      <c r="BX219" s="78">
        <f>HYPERLINK("https://www1.hkexnews.hk/listedco/listconews/sehk/2023/1109/2023110900026.htm","allotment")</f>
        <v/>
      </c>
      <c r="BY219" s="63" t="n"/>
      <c r="BZ219" s="76" t="n"/>
      <c r="CA219" s="63" t="inlineStr">
        <is>
          <t>greenshoe: no over-allotment option in the offer structure · price range: fixed-price offering (no indicative range) · range low: cap-only pricing — the filing publishes a Maximum Offer Price and no indicative floor · A/H: no A-share listing · sponsor: English name not in the filing text; AAStocks 保薦人 shown · cornerstone list: cornerstone section not machine-extractable — see the prospectus link · cornerstone %: cornerstone aggregate not stated in the filing · greenshoe size: no over-allotment option in the offer structure · stabilising manager: the filing states no stabilising manager will be appointed — a filed fact, not an extraction gap (allotment announcement: 'no stabilizing manager will be appointed' stated in the filing) · deal size: stated gross HK$7.8m rejected — below the deal's own net proceeds HK$72.1m, which cannot happen · filing links: no prospectus document returned by the HKEX per-stock search for this code — the allotment announcement is linked beside it · grey market: no grey-market headline on file for this deal — AAStocks publishes one per listing but keeps only recent items on the stock's news page, and no public archive of past evening sessions exists; captured from this run onward</t>
        </is>
      </c>
    </row>
    <row r="220" ht="15" customHeight="1">
      <c r="A220" s="62" t="inlineStr">
        <is>
          <t>2499</t>
        </is>
      </c>
      <c r="B220" s="63" t="inlineStr">
        <is>
          <t>FOLANGSI</t>
        </is>
      </c>
      <c r="C220" s="63" t="inlineStr">
        <is>
          <t>佛朗斯股份</t>
        </is>
      </c>
      <c r="D220" s="63" t="inlineStr">
        <is>
          <t>Industrials</t>
        </is>
      </c>
      <c r="E220" s="63" t="inlineStr">
        <is>
          <t>Capital goods / machinery</t>
        </is>
      </c>
      <c r="F220" s="63" t="inlineStr">
        <is>
          <t>Electrical Components &amp; Equipment</t>
        </is>
      </c>
      <c r="G220" s="63" t="inlineStr">
        <is>
          <t>Standard</t>
        </is>
      </c>
      <c r="H220" s="64" t="n">
        <v>45240</v>
      </c>
      <c r="I220" s="65" t="n">
        <v>173.3</v>
      </c>
      <c r="J220" s="63" t="inlineStr">
        <is>
          <t>gross (price x shares)</t>
        </is>
      </c>
      <c r="K220" s="66" t="n">
        <v>14.18</v>
      </c>
      <c r="L220" s="66" t="n">
        <v>16.18</v>
      </c>
      <c r="M220" s="66" t="n">
        <v>14.28</v>
      </c>
      <c r="N220" s="63" t="inlineStr">
        <is>
          <t>N</t>
        </is>
      </c>
      <c r="O220" s="67" t="n">
        <v>88.3</v>
      </c>
      <c r="P220" s="67" t="n">
        <v>5</v>
      </c>
      <c r="Q220" s="68" t="n">
        <v>4935</v>
      </c>
      <c r="R220" s="63" t="inlineStr">
        <is>
          <t>prospectus:stated market capitalisation</t>
        </is>
      </c>
      <c r="S220" s="69" t="n">
        <v>7.8</v>
      </c>
      <c r="T220" s="70" t="n">
        <v>1.37</v>
      </c>
      <c r="U220" s="71" t="n">
        <v>0.1</v>
      </c>
      <c r="V220" s="68" t="n">
        <v>173.13</v>
      </c>
      <c r="W220" s="68" t="n">
        <v>12123864</v>
      </c>
      <c r="X220" s="67" t="n">
        <v>3.51</v>
      </c>
      <c r="Y220" s="63" t="inlineStr">
        <is>
          <t>Liugong Machinery Hongkong Co., Limited</t>
        </is>
      </c>
      <c r="Z220" s="63" t="inlineStr">
        <is>
          <t>liugong</t>
        </is>
      </c>
      <c r="AA220" s="67" t="n">
        <v>15</v>
      </c>
      <c r="AB220" s="72" t="n"/>
      <c r="AC220" s="66" t="n"/>
      <c r="AD220" s="72" t="n"/>
      <c r="AE220" s="63" t="n"/>
      <c r="AF220" s="63" t="n"/>
      <c r="AG220" s="63" t="inlineStr">
        <is>
          <t>lapsed (no over-allocation)</t>
        </is>
      </c>
      <c r="AH220" s="63" t="n"/>
      <c r="AI220" s="63" t="inlineStr">
        <is>
          <t>Haitong International Securities Company Limited</t>
        </is>
      </c>
      <c r="AJ220" s="63" t="inlineStr">
        <is>
          <t>Haitong</t>
        </is>
      </c>
      <c r="AK220" s="73" t="n">
        <v>3.36</v>
      </c>
      <c r="AL220" s="72" t="n">
        <v>8.4</v>
      </c>
      <c r="AM220" s="72" t="n">
        <v>-4.65</v>
      </c>
      <c r="AN220" s="72" t="n">
        <v>3.78</v>
      </c>
      <c r="AO220" s="72" t="n">
        <v>2.66</v>
      </c>
      <c r="AP220" s="72" t="n">
        <v>0.14</v>
      </c>
      <c r="AQ220" s="72" t="n">
        <v>0.41</v>
      </c>
      <c r="AR220" s="72" t="n">
        <v>-0.68</v>
      </c>
      <c r="AS220" s="72" t="n">
        <v>-3.12</v>
      </c>
      <c r="AT220" s="72" t="n">
        <v>5.72</v>
      </c>
      <c r="AU220" s="72" t="n">
        <v>12.68</v>
      </c>
      <c r="AV220" s="72" t="n">
        <v>13.75</v>
      </c>
      <c r="AW220" s="72" t="n">
        <v>7.33</v>
      </c>
      <c r="AX220" s="72" t="n">
        <v>-10.02</v>
      </c>
      <c r="AY220" s="72" t="n">
        <v>-8.01</v>
      </c>
      <c r="AZ220" s="63" t="inlineStr">
        <is>
          <t>Hang Seng Commerce &amp; Industry sub-index</t>
        </is>
      </c>
      <c r="BA220" s="72" t="n">
        <v>-60.08</v>
      </c>
      <c r="BB220" s="64" t="inlineStr">
        <is>
          <t>2026-08-28</t>
        </is>
      </c>
      <c r="BC220" s="65" t="n">
        <v>1313.6</v>
      </c>
      <c r="BD220" s="68" t="n">
        <v>39</v>
      </c>
      <c r="BE220" s="63" t="inlineStr">
        <is>
          <t>Y</t>
        </is>
      </c>
      <c r="BF220" s="74" t="n">
        <v>126.5</v>
      </c>
      <c r="BG220" s="74" t="n"/>
      <c r="BH220" s="74" t="n">
        <v>21.8</v>
      </c>
      <c r="BI220" s="74" t="n">
        <v>3.8</v>
      </c>
      <c r="BJ220" s="75">
        <f>IF('BBG Verify'!S220="","not filed — run on terminal",'BBG Verify'!S220)</f>
        <v/>
      </c>
      <c r="BK220" s="76" t="inlineStr">
        <is>
          <t>N</t>
        </is>
      </c>
      <c r="BL220" s="77">
        <f>IF('BBG Verify'!K220="","not filed — run on terminal",'BBG Verify'!K220)</f>
        <v/>
      </c>
      <c r="BM220" s="63" t="inlineStr">
        <is>
          <t>N/A</t>
        </is>
      </c>
      <c r="BN220" s="63" t="inlineStr">
        <is>
          <t>N/A</t>
        </is>
      </c>
      <c r="BO220" s="63" t="inlineStr">
        <is>
          <t>N/A</t>
        </is>
      </c>
      <c r="BP220" s="63" t="inlineStr">
        <is>
          <t>N/A</t>
        </is>
      </c>
      <c r="BQ220" s="63" t="inlineStr">
        <is>
          <t>N/A</t>
        </is>
      </c>
      <c r="BR220" s="63" t="inlineStr">
        <is>
          <t>N/A</t>
        </is>
      </c>
      <c r="BS220" s="76" t="inlineStr">
        <is>
          <t>Haitong International Capital Limited; Haitong International Securities Company Limited</t>
        </is>
      </c>
      <c r="BT220" s="63" t="inlineStr">
        <is>
          <t>Haitong International Capital Limited</t>
        </is>
      </c>
      <c r="BU220" s="63" t="inlineStr">
        <is>
          <t>Haitong International Securities Company Limited; GF Securities (Hong Kong) Brokerage Limited; Huatai Financial Holdings (Hong Kong) Limited</t>
        </is>
      </c>
      <c r="BV220" s="63" t="inlineStr">
        <is>
          <t>GF Securities (Hong Kong) Brokerage Limited; Huatai Financial Holdings (Hong Kong) Limited; Haitong International Securities Company Limited</t>
        </is>
      </c>
      <c r="BW220" s="78">
        <f>HYPERLINK("https://www1.hkexnews.hk/listedco/listconews/sehk/2023/1031/2023103100017.pdf","prospectus")</f>
        <v/>
      </c>
      <c r="BX220" s="78">
        <f>HYPERLINK("https://www1.hkexnews.hk/listedco/listconews/sehk/2023/1109/2023110900052.htm","allotment")</f>
        <v/>
      </c>
      <c r="BY220" s="78">
        <f>HYPERLINK("https://www1.hkexnews.hk/listedco/listconews/sehk/2023/1204/2023120400033.pdf","stabilisation")</f>
        <v/>
      </c>
      <c r="BZ220" s="76" t="n"/>
      <c r="CA220" s="63" t="inlineStr">
        <is>
          <t>greenshoe: over-allotment outcome already published, and the allotment announcement does not state the stabilisation expiry in a parsable form — the expiry no longer matters once resolved · A/H: no A-share listing · cornerstone: table parse read 70% but the institutional total implies 0% — parse rejected, the AAStocks institutional total used (0.1%) · grey market: no grey-market headline on file for this deal — AAStocks publishes one per listing but keeps only recent items on the stock's news page, and no public archive of past evening sessions exists; captured from this run onward</t>
        </is>
      </c>
    </row>
    <row r="221" ht="15" customHeight="1">
      <c r="A221" s="62" t="inlineStr">
        <is>
          <t>2268</t>
        </is>
      </c>
      <c r="B221" s="63" t="inlineStr">
        <is>
          <t>WUXI XDC</t>
        </is>
      </c>
      <c r="C221" s="63" t="inlineStr">
        <is>
          <t>藥明合聯</t>
        </is>
      </c>
      <c r="D221" s="63" t="inlineStr">
        <is>
          <t>Healthcare</t>
        </is>
      </c>
      <c r="E221" s="63" t="inlineStr">
        <is>
          <t>CXO / pharma services</t>
        </is>
      </c>
      <c r="F221" s="63" t="inlineStr">
        <is>
          <t>Biotechnology - Pharmaceuticals</t>
        </is>
      </c>
      <c r="G221" s="63" t="inlineStr">
        <is>
          <t>Standard</t>
        </is>
      </c>
      <c r="H221" s="64" t="n">
        <v>45247</v>
      </c>
      <c r="I221" s="65" t="n">
        <v>3676</v>
      </c>
      <c r="J221" s="63" t="inlineStr">
        <is>
          <t>gross (price x shares)</t>
        </is>
      </c>
      <c r="K221" s="66" t="n"/>
      <c r="L221" s="66" t="n">
        <v>20.6</v>
      </c>
      <c r="M221" s="66" t="n">
        <v>20.6</v>
      </c>
      <c r="N221" s="63" t="inlineStr">
        <is>
          <t>Y</t>
        </is>
      </c>
      <c r="O221" s="67" t="n">
        <v>100</v>
      </c>
      <c r="P221" s="67" t="n"/>
      <c r="Q221" s="68" t="n">
        <v>24251.5</v>
      </c>
      <c r="R221" s="63" t="inlineStr">
        <is>
          <t>aastocks:上市市值 at the struck price</t>
        </is>
      </c>
      <c r="S221" s="69" t="n">
        <v>49.96</v>
      </c>
      <c r="T221" s="70" t="n">
        <v>19.6</v>
      </c>
      <c r="U221" s="71" t="n">
        <v>0.014</v>
      </c>
      <c r="V221" s="68" t="n">
        <v>3675.49</v>
      </c>
      <c r="W221" s="68" t="n">
        <v>178421018</v>
      </c>
      <c r="X221" s="67" t="n">
        <v>15.16</v>
      </c>
      <c r="Y221" s="63" t="inlineStr">
        <is>
          <t>Al-Rayyan Holding LLC; General Atlantic Singapore SPV 64 Pte. Ltd; HSG Growth VII Holdco, Ltd; Invesco Advisers, Inc; Lake Bleu Prime Healthcare Master Fund Limited; Novo Holdings A / S; UBS Asset Management (Singapore) Ltd</t>
        </is>
      </c>
      <c r="Z221" s="63" t="inlineStr">
        <is>
          <t>al;general;hsg;invesco;lake;novo;ubs</t>
        </is>
      </c>
      <c r="AA221" s="67" t="n"/>
      <c r="AB221" s="72" t="n"/>
      <c r="AC221" s="66" t="n"/>
      <c r="AD221" s="72" t="n"/>
      <c r="AE221" s="63" t="n"/>
      <c r="AF221" s="63" t="n"/>
      <c r="AG221" s="63" t="n"/>
      <c r="AH221" s="63" t="inlineStr">
        <is>
          <t>2023-12-10</t>
        </is>
      </c>
      <c r="AI221" s="63" t="inlineStr">
        <is>
          <t>Morgan Stanley Asia Limited</t>
        </is>
      </c>
      <c r="AJ221" s="63" t="inlineStr">
        <is>
          <t>Morgan Stanley</t>
        </is>
      </c>
      <c r="AK221" s="73" t="n">
        <v>35.92</v>
      </c>
      <c r="AL221" s="72" t="n">
        <v>30.83</v>
      </c>
      <c r="AM221" s="72" t="n">
        <v>3.89</v>
      </c>
      <c r="AN221" s="72" t="n">
        <v>40.78</v>
      </c>
      <c r="AO221" s="72" t="n">
        <v>51.21</v>
      </c>
      <c r="AP221" s="72" t="n">
        <v>-10</v>
      </c>
      <c r="AQ221" s="72" t="n">
        <v>3.58</v>
      </c>
      <c r="AR221" s="72" t="n">
        <v>11.25</v>
      </c>
      <c r="AS221" s="72" t="n">
        <v>-33.78</v>
      </c>
      <c r="AT221" s="72" t="n">
        <v>40.26</v>
      </c>
      <c r="AU221" s="72" t="n">
        <v>58.49</v>
      </c>
      <c r="AV221" s="72" t="n">
        <v>11.86</v>
      </c>
      <c r="AW221" s="72" t="n">
        <v>19.23</v>
      </c>
      <c r="AX221" s="72" t="n">
        <v>-7.28</v>
      </c>
      <c r="AY221" s="72" t="n">
        <v>-7.98</v>
      </c>
      <c r="AZ221" s="63" t="inlineStr">
        <is>
          <t>China Biotech ETF (HS biotech proxy)</t>
        </is>
      </c>
      <c r="BA221" s="72" t="n">
        <v>256.31</v>
      </c>
      <c r="BB221" s="64" t="inlineStr">
        <is>
          <t>2026-08-28</t>
        </is>
      </c>
      <c r="BC221" s="65" t="n">
        <v>1089.5</v>
      </c>
      <c r="BD221" s="68" t="n">
        <v>171.3</v>
      </c>
      <c r="BE221" s="63" t="inlineStr">
        <is>
          <t>Y</t>
        </is>
      </c>
      <c r="BF221" s="74" t="n">
        <v>141.6</v>
      </c>
      <c r="BG221" s="74" t="n"/>
      <c r="BH221" s="74" t="n">
        <v>45.8</v>
      </c>
      <c r="BI221" s="74" t="n">
        <v>22.3</v>
      </c>
      <c r="BJ221" s="75">
        <f>IF('BBG Verify'!S221="","not filed — run on terminal",'BBG Verify'!S221)</f>
        <v/>
      </c>
      <c r="BK221" s="76" t="inlineStr">
        <is>
          <t>N</t>
        </is>
      </c>
      <c r="BL221" s="77">
        <f>IF('BBG Verify'!K221="","not filed — run on terminal",'BBG Verify'!K221)</f>
        <v/>
      </c>
      <c r="BM221" s="63" t="inlineStr">
        <is>
          <t>N/A</t>
        </is>
      </c>
      <c r="BN221" s="63" t="inlineStr">
        <is>
          <t>N/A</t>
        </is>
      </c>
      <c r="BO221" s="63" t="inlineStr">
        <is>
          <t>N/A</t>
        </is>
      </c>
      <c r="BP221" s="63" t="inlineStr">
        <is>
          <t>N/A</t>
        </is>
      </c>
      <c r="BQ221" s="63" t="inlineStr">
        <is>
          <t>N/A</t>
        </is>
      </c>
      <c r="BR221" s="63" t="inlineStr">
        <is>
          <t>N/A</t>
        </is>
      </c>
      <c r="BS221" s="76" t="inlineStr">
        <is>
          <t>Morgan Stanley; Goldman Sachs; J.P. Morgan</t>
        </is>
      </c>
      <c r="BT221" s="63" t="inlineStr">
        <is>
          <t>Morgan Stanley Asia Limited; J.P. Morgan Securities (Far East) Limited; Goldman Sachs (Asia) L.L.C.</t>
        </is>
      </c>
      <c r="BU221" s="63" t="inlineStr">
        <is>
          <t>Citigroup Global Markets Asia Limited; China International Capital Corporation Hong Kong Securities Limited; Goldman Sachs (Asia) L.L.C.; Huatai Financial Holdings (Hong Kong) Limited; J.P. Morgan Securities (Asia Pacific) Limited; Morgan Stanley Asia Limited</t>
        </is>
      </c>
      <c r="BV221" s="63" t="inlineStr">
        <is>
          <t>Citigroup Global Markets Asia Limited; China International Capital Corporation Hong Kong Securities Limited; Goldman Sachs (Asia) L.L.C.; Huatai Financial Holdings (Hong Kong) Limited; J.P. Morgan Securities (Asia Pacific) Limited; Morgan Stanley Asia Limited</t>
        </is>
      </c>
      <c r="BW221" s="63" t="n"/>
      <c r="BX221" s="78">
        <f>HYPERLINK("https://www1.hkexnews.hk/listedco/listconews/sehk/2023/1116/2023111600008.htm","allotment")</f>
        <v/>
      </c>
      <c r="BY221" s="63" t="n"/>
      <c r="BZ221" s="76" t="n"/>
      <c r="CA221" s="63" t="inlineStr">
        <is>
          <t>greenshoe: no over-allotment option in the offer structure · price range: fixed-price offering (no indicative range) · range low: cap-only pricing — the filing publishes a Maximum Offer Price and no indicative floor · A/H: no A-share listing · cornerstone: AAStocks institutional table includes non-cornerstone orders (superset) — cornerstone % is from the prospectus · greenshoe size: no over-allotment option in the offer structure · filing links: no prospectus document returned by the HKEX per-stock search for this code — the allotment announcement is linked beside it · grey market: no grey-market headline on file for this deal — AAStocks publishes one per listing but keeps only recent items on the stock's news page, and no public archive of past evening sessions exists; captured from this run onward</t>
        </is>
      </c>
    </row>
    <row r="222" ht="15" customHeight="1">
      <c r="A222" s="62" t="inlineStr">
        <is>
          <t>2520</t>
        </is>
      </c>
      <c r="B222" s="63" t="inlineStr">
        <is>
          <t>SHANXI INSTALL</t>
        </is>
      </c>
      <c r="C222" s="63" t="inlineStr">
        <is>
          <t>山西安裝</t>
        </is>
      </c>
      <c r="D222" s="63" t="inlineStr">
        <is>
          <t>Industrials</t>
        </is>
      </c>
      <c r="E222" s="63" t="inlineStr">
        <is>
          <t>Construction / engineering</t>
        </is>
      </c>
      <c r="F222" s="63" t="inlineStr">
        <is>
          <t>Construction &amp; Engineering</t>
        </is>
      </c>
      <c r="G222" s="63" t="inlineStr">
        <is>
          <t>Standard</t>
        </is>
      </c>
      <c r="H222" s="64" t="n">
        <v>45252</v>
      </c>
      <c r="I222" s="65" t="n">
        <v>726.7</v>
      </c>
      <c r="J222" s="63" t="inlineStr">
        <is>
          <t>gross (price x shares)</t>
        </is>
      </c>
      <c r="K222" s="66" t="n">
        <v>2.1</v>
      </c>
      <c r="L222" s="66" t="n">
        <v>2.36</v>
      </c>
      <c r="M222" s="66" t="n">
        <v>2.18</v>
      </c>
      <c r="N222" s="63" t="inlineStr">
        <is>
          <t>N</t>
        </is>
      </c>
      <c r="O222" s="67" t="n">
        <v>92.40000000000001</v>
      </c>
      <c r="P222" s="67" t="n">
        <v>30.8</v>
      </c>
      <c r="Q222" s="68" t="n">
        <v>3214.2</v>
      </c>
      <c r="R222" s="63" t="inlineStr">
        <is>
          <t>aastocks:上市市值 at the struck price</t>
        </is>
      </c>
      <c r="S222" s="69" t="n">
        <v>0.6</v>
      </c>
      <c r="T222" s="70" t="n">
        <v>1.33</v>
      </c>
      <c r="U222" s="71" t="n">
        <v>23</v>
      </c>
      <c r="V222" s="68" t="n">
        <v>559.5599999999999</v>
      </c>
      <c r="W222" s="68" t="n">
        <v>256667180</v>
      </c>
      <c r="X222" s="67" t="n">
        <v>17.41</v>
      </c>
      <c r="Y222" s="63" t="inlineStr">
        <is>
          <t>Mingyang Smart Energy Group Co., Ltd</t>
        </is>
      </c>
      <c r="Z222" s="63" t="inlineStr">
        <is>
          <t>mingyang</t>
        </is>
      </c>
      <c r="AA222" s="67" t="n">
        <v>19.5</v>
      </c>
      <c r="AB222" s="72" t="n"/>
      <c r="AC222" s="66" t="n"/>
      <c r="AD222" s="72" t="n"/>
      <c r="AE222" s="63" t="n"/>
      <c r="AF222" s="63" t="n"/>
      <c r="AG222" s="63" t="inlineStr">
        <is>
          <t>partial</t>
        </is>
      </c>
      <c r="AH222" s="63" t="inlineStr">
        <is>
          <t>2023-12-15</t>
        </is>
      </c>
      <c r="AI222" s="63" t="inlineStr">
        <is>
          <t>Shanxi Securities International Limited</t>
        </is>
      </c>
      <c r="AJ222" s="63" t="inlineStr">
        <is>
          <t>Shanxi</t>
        </is>
      </c>
      <c r="AK222" s="73" t="n">
        <v>0</v>
      </c>
      <c r="AL222" s="72" t="n">
        <v>0</v>
      </c>
      <c r="AM222" s="72" t="n">
        <v>0</v>
      </c>
      <c r="AN222" s="72" t="n">
        <v>-5.5</v>
      </c>
      <c r="AO222" s="72" t="n">
        <v>-17.43</v>
      </c>
      <c r="AP222" s="72" t="n">
        <v>-11.47</v>
      </c>
      <c r="AQ222" s="72" t="n">
        <v>-5.5</v>
      </c>
      <c r="AR222" s="72" t="n">
        <v>-17.43</v>
      </c>
      <c r="AS222" s="72" t="n">
        <v>-11.47</v>
      </c>
      <c r="AT222" s="72" t="n">
        <v>-0.71</v>
      </c>
      <c r="AU222" s="72" t="n">
        <v>-9.460000000000001</v>
      </c>
      <c r="AV222" s="72" t="n">
        <v>-2.85</v>
      </c>
      <c r="AW222" s="72" t="n">
        <v>-9.550000000000001</v>
      </c>
      <c r="AX222" s="72" t="n">
        <v>-7.97</v>
      </c>
      <c r="AY222" s="72" t="n">
        <v>-7.88</v>
      </c>
      <c r="AZ222" s="63" t="inlineStr">
        <is>
          <t>Hang Seng Commerce &amp; Industry sub-index</t>
        </is>
      </c>
      <c r="BA222" s="72" t="n">
        <v>1.15</v>
      </c>
      <c r="BB222" s="64" t="inlineStr">
        <is>
          <t>2026-08-28</t>
        </is>
      </c>
      <c r="BC222" s="65" t="n">
        <v>14129.3</v>
      </c>
      <c r="BD222" s="68" t="n">
        <v>220.5</v>
      </c>
      <c r="BE222" s="63" t="inlineStr">
        <is>
          <t>Y</t>
        </is>
      </c>
      <c r="BF222" s="74" t="n">
        <v>14.6</v>
      </c>
      <c r="BG222" s="74" t="n"/>
      <c r="BH222" s="74" t="n">
        <v>19</v>
      </c>
      <c r="BI222" s="74" t="n">
        <v>0.2</v>
      </c>
      <c r="BJ222" s="75">
        <f>IF('BBG Verify'!S222="","not filed — run on terminal",'BBG Verify'!S222)</f>
        <v/>
      </c>
      <c r="BK222" s="76" t="inlineStr">
        <is>
          <t>N</t>
        </is>
      </c>
      <c r="BL222" s="77">
        <f>IF('BBG Verify'!K222="","not filed — run on terminal",'BBG Verify'!K222)</f>
        <v/>
      </c>
      <c r="BM222" s="63" t="inlineStr">
        <is>
          <t>N/A</t>
        </is>
      </c>
      <c r="BN222" s="63" t="inlineStr">
        <is>
          <t>N/A</t>
        </is>
      </c>
      <c r="BO222" s="63" t="inlineStr">
        <is>
          <t>N/A</t>
        </is>
      </c>
      <c r="BP222" s="63" t="inlineStr">
        <is>
          <t>N/A</t>
        </is>
      </c>
      <c r="BQ222" s="63" t="inlineStr">
        <is>
          <t>N/A</t>
        </is>
      </c>
      <c r="BR222" s="63" t="inlineStr">
        <is>
          <t>N/A</t>
        </is>
      </c>
      <c r="BS222" s="76" t="inlineStr">
        <is>
          <t>Huatai Financial Holdings (Hong Kong) Limited; Shanxi Securities International Capital Limited</t>
        </is>
      </c>
      <c r="BT222" s="63" t="inlineStr">
        <is>
          <t>Huatai Financial Holdings (Hong Kong) Limited; Shanxi Securities International Capital Limited</t>
        </is>
      </c>
      <c r="BU222" s="63" t="inlineStr">
        <is>
          <t>BOCOM International Securities Limited; China Everbright Securities (HK) Limited; CMB International Capital Limited; ICBC International Capital Limited; Zhongtai International Securities Limited</t>
        </is>
      </c>
      <c r="BV222" s="63" t="inlineStr">
        <is>
          <t>Beta International Securities Limited; China Everbright Securities (HK) Limited; CMB International Capital Limited; Eddid Securities and Futures Limited; Futu Securities International (Hong Kong) Limited; Huatai Financial Holdings (Hong Kong) Limited; ICBC International Capital Limited; Patrons Securities Limited; Shanxi Securities International Limited; Victory Securities Company Limited; Zhongtai International Securities Limited; ZMF Asset Management Limited</t>
        </is>
      </c>
      <c r="BW222" s="78">
        <f>HYPERLINK("https://www1.hkexnews.hk/listedco/listconews/sehk/2023/1110/2023111000017.pdf","prospectus")</f>
        <v/>
      </c>
      <c r="BX222" s="78">
        <f>HYPERLINK("https://www1.hkexnews.hk/listedco/listconews/sehk/2023/1121/2023112100014.htm","allotment")</f>
        <v/>
      </c>
      <c r="BY222" s="78">
        <f>HYPERLINK("https://www1.hkexnews.hk/listedco/listconews/sehk/2023/1215/2023121501152.pdf","stabilisation")</f>
        <v/>
      </c>
      <c r="BZ222" s="76" t="n"/>
      <c r="CA222" s="63" t="inlineStr">
        <is>
          <t>A/H: no A-share listing · market cap: estimate from stated market capitalisation, rescaled to the offer price disagreed with the published listing cap — published figure adopted · grey market: no grey-market headline on file for this deal — AAStocks publishes one per listing but keeps only recent items on the stock's news page, and no public archive of past evening sessions exists; captured from this run onward</t>
        </is>
      </c>
    </row>
    <row r="223" ht="15" customHeight="1">
      <c r="A223" s="62" t="inlineStr">
        <is>
          <t>2521</t>
        </is>
      </c>
      <c r="B223" s="63" t="inlineStr">
        <is>
          <t>SHENGHUI CLEAN</t>
        </is>
      </c>
      <c r="C223" s="63" t="inlineStr">
        <is>
          <t>升輝清潔</t>
        </is>
      </c>
      <c r="D223" s="63" t="inlineStr">
        <is>
          <t>Real Estate</t>
        </is>
      </c>
      <c r="E223" s="63" t="inlineStr">
        <is>
          <t>Property management</t>
        </is>
      </c>
      <c r="F223" s="63" t="inlineStr">
        <is>
          <t>Environmental &amp; Facilities Services</t>
        </is>
      </c>
      <c r="G223" s="63" t="inlineStr">
        <is>
          <t>Standard</t>
        </is>
      </c>
      <c r="H223" s="64" t="n">
        <v>45265</v>
      </c>
      <c r="I223" s="65" t="n">
        <v>119.6</v>
      </c>
      <c r="J223" s="63" t="inlineStr">
        <is>
          <t>gross (stated)</t>
        </is>
      </c>
      <c r="K223" s="66" t="n">
        <v>0.32</v>
      </c>
      <c r="L223" s="66" t="n">
        <v>0.4</v>
      </c>
      <c r="M223" s="66" t="n">
        <v>0.32</v>
      </c>
      <c r="N223" s="63" t="inlineStr">
        <is>
          <t>N</t>
        </is>
      </c>
      <c r="O223" s="67" t="n">
        <v>80</v>
      </c>
      <c r="P223" s="67" t="n">
        <v>0</v>
      </c>
      <c r="Q223" s="68" t="n">
        <v>520</v>
      </c>
      <c r="R223" s="63" t="inlineStr">
        <is>
          <t>derived:price x shares upon listing</t>
        </is>
      </c>
      <c r="S223" s="69" t="n">
        <v>33.35</v>
      </c>
      <c r="T223" s="70" t="n">
        <v>1.33</v>
      </c>
      <c r="U223" s="71" t="n"/>
      <c r="V223" s="68" t="n">
        <v>119.6</v>
      </c>
      <c r="W223" s="68" t="n">
        <v>414375000</v>
      </c>
      <c r="X223" s="67" t="n">
        <v>23</v>
      </c>
      <c r="Y223" s="63" t="n"/>
      <c r="Z223" s="63" t="n"/>
      <c r="AA223" s="67" t="n"/>
      <c r="AB223" s="72" t="n"/>
      <c r="AC223" s="66" t="n"/>
      <c r="AD223" s="72" t="n"/>
      <c r="AE223" s="63" t="n"/>
      <c r="AF223" s="63" t="n"/>
      <c r="AG223" s="63" t="n"/>
      <c r="AH223" s="63" t="n"/>
      <c r="AI223" s="63" t="n"/>
      <c r="AJ223" s="63" t="n"/>
      <c r="AK223" s="73" t="n">
        <v>3.12</v>
      </c>
      <c r="AL223" s="72" t="n">
        <v>-6.25</v>
      </c>
      <c r="AM223" s="72" t="n">
        <v>9.99</v>
      </c>
      <c r="AN223" s="72" t="n">
        <v>15.63</v>
      </c>
      <c r="AO223" s="72" t="n">
        <v>10.94</v>
      </c>
      <c r="AP223" s="72" t="n">
        <v>-18.75</v>
      </c>
      <c r="AQ223" s="72" t="n">
        <v>12.13</v>
      </c>
      <c r="AR223" s="72" t="n">
        <v>7.58</v>
      </c>
      <c r="AS223" s="72" t="n">
        <v>-21.21</v>
      </c>
      <c r="AT223" s="72" t="n">
        <v>16.31</v>
      </c>
      <c r="AU223" s="72" t="n">
        <v>11.51</v>
      </c>
      <c r="AV223" s="72" t="n">
        <v>-9.6</v>
      </c>
      <c r="AW223" s="72" t="n">
        <v>6.19</v>
      </c>
      <c r="AX223" s="72" t="n">
        <v>-0.57</v>
      </c>
      <c r="AY223" s="72" t="n">
        <v>1.39</v>
      </c>
      <c r="AZ223" s="63" t="inlineStr">
        <is>
          <t>Hang Seng Properties sub-index</t>
        </is>
      </c>
      <c r="BA223" s="72" t="n">
        <v>203.12</v>
      </c>
      <c r="BB223" s="64" t="inlineStr">
        <is>
          <t>2026-08-28</t>
        </is>
      </c>
      <c r="BC223" s="65" t="n">
        <v>653.6</v>
      </c>
      <c r="BD223" s="68" t="n">
        <v>37.8</v>
      </c>
      <c r="BE223" s="63" t="inlineStr">
        <is>
          <t>Y</t>
        </is>
      </c>
      <c r="BF223" s="74" t="n">
        <v>13.8</v>
      </c>
      <c r="BG223" s="74" t="n"/>
      <c r="BH223" s="74" t="n">
        <v>61.3</v>
      </c>
      <c r="BI223" s="74" t="n">
        <v>0.8</v>
      </c>
      <c r="BJ223" s="75">
        <f>IF('BBG Verify'!S223="","not filed — run on terminal",'BBG Verify'!S223)</f>
        <v/>
      </c>
      <c r="BK223" s="76" t="inlineStr">
        <is>
          <t>N</t>
        </is>
      </c>
      <c r="BL223" s="77">
        <f>IF('BBG Verify'!K223="","not filed — run on terminal",'BBG Verify'!K223)</f>
        <v/>
      </c>
      <c r="BM223" s="63" t="inlineStr">
        <is>
          <t>N/A</t>
        </is>
      </c>
      <c r="BN223" s="63" t="inlineStr">
        <is>
          <t>N/A</t>
        </is>
      </c>
      <c r="BO223" s="63" t="inlineStr">
        <is>
          <t>N/A</t>
        </is>
      </c>
      <c r="BP223" s="63" t="inlineStr">
        <is>
          <t>N/A</t>
        </is>
      </c>
      <c r="BQ223" s="63" t="inlineStr">
        <is>
          <t>N/A</t>
        </is>
      </c>
      <c r="BR223" s="63" t="inlineStr">
        <is>
          <t>N/A</t>
        </is>
      </c>
      <c r="BS223" s="76" t="n"/>
      <c r="BT223" s="63" t="inlineStr">
        <is>
          <t>Cinda International Capital Limited</t>
        </is>
      </c>
      <c r="BU223" s="63" t="inlineStr">
        <is>
          <t>Cinda International Capital Limited; ICBC International Securities Limited; CCB International Capital Limited; Yuen Meta (International) Securities Limited</t>
        </is>
      </c>
      <c r="BV223" s="63" t="inlineStr">
        <is>
          <t>ABCI Securities Company Limited; CCB International Capital Limited; CEB International Capital Corporation Limited; China Everbright Securities (HK) Limited; Cinda International Capital Limited; China Industrial Securities International Capital Limited; CMBC Securities Company Limited; CMB International Capital Limited; China Sunrise Securities (International) Limited; Eddid Securities and Futures Limited; Grand Moore Capital Limited; Gear Securities Investment Limited</t>
        </is>
      </c>
      <c r="BW223" s="78">
        <f>HYPERLINK("https://www1.hkexnews.hk/listedco/listconews/sehk/2023/1127/2023112700086.pdf","prospectus")</f>
        <v/>
      </c>
      <c r="BX223" s="78">
        <f>HYPERLINK("https://www1.hkexnews.hk/listedco/listconews/sehk/2023/1204/2023120402525.pdf","allotment")</f>
        <v/>
      </c>
      <c r="BY223" s="63" t="n"/>
      <c r="BZ223" s="76" t="n"/>
      <c r="CA223" s="63" t="inlineStr">
        <is>
          <t>greenshoe: no over-allotment option in the offer structure · A/H: no A-share listing · sponsor: English name not in the filing text; AAStocks 保薦人 shown · cornerstone list: cornerstone section not machine-extractable — see the prospectus link · cornerstone %: cornerstone aggregate not stated in the filing · greenshoe size: no over-allotment option in the offer structure · stabilising manager: no over-allotment option in the offer structure, so no stabilising manager is appointed · grey market: no grey-market headline on file for this deal — AAStocks publishes one per listing but keeps only recent items on the stock's news page, and no public archive of past evening sessions exists; captured from this run onward</t>
        </is>
      </c>
    </row>
    <row r="224" ht="15" customHeight="1">
      <c r="A224" s="62" t="inlineStr">
        <is>
          <t>9663</t>
        </is>
      </c>
      <c r="B224" s="63" t="inlineStr">
        <is>
          <t>SINOSYNERGY</t>
        </is>
      </c>
      <c r="C224" s="63" t="inlineStr">
        <is>
          <t>國鴻氫能</t>
        </is>
      </c>
      <c r="D224" s="63" t="inlineStr">
        <is>
          <t>Industrials</t>
        </is>
      </c>
      <c r="E224" s="63" t="inlineStr">
        <is>
          <t>Batteries / energy storage</t>
        </is>
      </c>
      <c r="F224" s="63" t="inlineStr">
        <is>
          <t>Battery Products</t>
        </is>
      </c>
      <c r="G224" s="63" t="inlineStr">
        <is>
          <t>Standard</t>
        </is>
      </c>
      <c r="H224" s="64" t="n">
        <v>45265</v>
      </c>
      <c r="I224" s="65" t="n">
        <v>1563.4</v>
      </c>
      <c r="J224" s="63" t="inlineStr">
        <is>
          <t>gross (price x shares)</t>
        </is>
      </c>
      <c r="K224" s="66" t="n">
        <v>19.35</v>
      </c>
      <c r="L224" s="66" t="n">
        <v>21.35</v>
      </c>
      <c r="M224" s="66" t="n">
        <v>19.66</v>
      </c>
      <c r="N224" s="63" t="inlineStr">
        <is>
          <t>N</t>
        </is>
      </c>
      <c r="O224" s="67" t="n">
        <v>92.09999999999999</v>
      </c>
      <c r="P224" s="67" t="n">
        <v>15.5</v>
      </c>
      <c r="Q224" s="68" t="n">
        <v>10184.7</v>
      </c>
      <c r="R224" s="63" t="inlineStr">
        <is>
          <t>derived:price x shares upon listing</t>
        </is>
      </c>
      <c r="S224" s="69" t="n">
        <v>1.18</v>
      </c>
      <c r="T224" s="70" t="n">
        <v>1.13</v>
      </c>
      <c r="U224" s="71" t="n">
        <v>0</v>
      </c>
      <c r="V224" s="68" t="n">
        <v>1563.4</v>
      </c>
      <c r="W224" s="68" t="n">
        <v>79520000</v>
      </c>
      <c r="X224" s="67" t="n">
        <v>15.35</v>
      </c>
      <c r="Y224" s="63" t="n"/>
      <c r="Z224" s="63" t="n"/>
      <c r="AA224" s="67" t="n"/>
      <c r="AB224" s="72" t="n"/>
      <c r="AC224" s="66" t="n"/>
      <c r="AD224" s="72" t="n"/>
      <c r="AE224" s="63" t="n"/>
      <c r="AF224" s="63" t="n"/>
      <c r="AG224" s="63" t="n"/>
      <c r="AH224" s="63" t="n"/>
      <c r="AI224" s="63" t="n"/>
      <c r="AJ224" s="63" t="n"/>
      <c r="AK224" s="73" t="n">
        <v>0.71</v>
      </c>
      <c r="AL224" s="72" t="n">
        <v>-16.07</v>
      </c>
      <c r="AM224" s="72" t="n">
        <v>19.99</v>
      </c>
      <c r="AN224" s="72" t="n">
        <v>-22.38</v>
      </c>
      <c r="AO224" s="72" t="n">
        <v>-19.13</v>
      </c>
      <c r="AP224" s="72" t="n">
        <v>-5.9</v>
      </c>
      <c r="AQ224" s="72" t="n">
        <v>-22.93</v>
      </c>
      <c r="AR224" s="72" t="n">
        <v>-19.7</v>
      </c>
      <c r="AS224" s="72" t="n">
        <v>-6.56</v>
      </c>
      <c r="AT224" s="72" t="n">
        <v>-20.46</v>
      </c>
      <c r="AU224" s="72" t="n">
        <v>-14.97</v>
      </c>
      <c r="AV224" s="72" t="n">
        <v>-3.11</v>
      </c>
      <c r="AW224" s="72" t="n">
        <v>-17.28</v>
      </c>
      <c r="AX224" s="72" t="n">
        <v>-4.16</v>
      </c>
      <c r="AY224" s="72" t="n">
        <v>-2.42</v>
      </c>
      <c r="AZ224" s="63" t="inlineStr">
        <is>
          <t>Hang Seng Commerce &amp; Industry sub-index</t>
        </is>
      </c>
      <c r="BA224" s="72" t="n">
        <v>-87.79000000000001</v>
      </c>
      <c r="BB224" s="64" t="inlineStr">
        <is>
          <t>2026-08-28</t>
        </is>
      </c>
      <c r="BC224" s="65" t="n">
        <v>823.3</v>
      </c>
      <c r="BD224" s="68" t="n">
        <v>-308.2</v>
      </c>
      <c r="BE224" s="63" t="inlineStr">
        <is>
          <t>N</t>
        </is>
      </c>
      <c r="BF224" s="63" t="inlineStr">
        <is>
          <t>n/m</t>
        </is>
      </c>
      <c r="BG224" s="74" t="n"/>
      <c r="BH224" s="74" t="n"/>
      <c r="BI224" s="74" t="n">
        <v>12.4</v>
      </c>
      <c r="BJ224" s="75">
        <f>IF('BBG Verify'!S224="","not filed — run on terminal",'BBG Verify'!S224)</f>
        <v/>
      </c>
      <c r="BK224" s="76" t="inlineStr">
        <is>
          <t>N</t>
        </is>
      </c>
      <c r="BL224" s="77">
        <f>IF('BBG Verify'!K224="","not filed — run on terminal",'BBG Verify'!K224)</f>
        <v/>
      </c>
      <c r="BM224" s="63" t="inlineStr">
        <is>
          <t>N/A</t>
        </is>
      </c>
      <c r="BN224" s="63" t="inlineStr">
        <is>
          <t>N/A</t>
        </is>
      </c>
      <c r="BO224" s="63" t="inlineStr">
        <is>
          <t>N/A</t>
        </is>
      </c>
      <c r="BP224" s="63" t="inlineStr">
        <is>
          <t>N/A</t>
        </is>
      </c>
      <c r="BQ224" s="63" t="inlineStr">
        <is>
          <t>N/A</t>
        </is>
      </c>
      <c r="BR224" s="63" t="inlineStr">
        <is>
          <t>N/A</t>
        </is>
      </c>
      <c r="BS224" s="76" t="inlineStr">
        <is>
          <t>Huatai Financial Holdings (Hong Kong) Limited</t>
        </is>
      </c>
      <c r="BT224" s="63" t="inlineStr">
        <is>
          <t>Huatai Financial Holdings (Hong Kong) Limited</t>
        </is>
      </c>
      <c r="BU224" s="63" t="inlineStr">
        <is>
          <t>Huatai Financial Holdings (Hong Kong) Limited; CMB International Capital Limited; GF Securities (Hong Kong) Brokerage Limited; Haitong International Securities Company Limited; Livermore Holdings Limited</t>
        </is>
      </c>
      <c r="BV224" s="63" t="inlineStr">
        <is>
          <t>CMB International Capital Limited; GF Securities (Hong Kong) Brokerage Limited; Huatai Financial Holdings (Hong Kong) Limited; Haitong International Securities Company Limited; Livermore Holdings Limited</t>
        </is>
      </c>
      <c r="BW224" s="78">
        <f>HYPERLINK("https://www1.hkexnews.hk/listedco/listconews/sehk/2023/1127/2023112700007.pdf","prospectus")</f>
        <v/>
      </c>
      <c r="BX224" s="78">
        <f>HYPERLINK("https://www1.hkexnews.hk/listedco/listconews/sehk/2023/1204/2023120402568.htm","allotment")</f>
        <v/>
      </c>
      <c r="BY224" s="63" t="n"/>
      <c r="BZ224" s="76" t="n"/>
      <c r="CA224" s="63" t="inlineStr">
        <is>
          <t>P/E: n/m — loss-making at IPO (use P/S) · greenshoe: no over-allotment option in the offer structure · A/H: no A-share listing · cornerstone list: no cornerstone tranche in this deal · greenshoe size: no over-allotment option in the offer structure · stabilising manager: the filing states no stabilising manager will be appointed — a filed fact, not an extraction gap (allotment announcement: 'no stabilizing manager will be appointed' stated in the filing) · grey market: no grey-market headline on file for this deal — AAStocks publishes one per listing but keeps only recent items on the stock's news page, and no public archive of past evening sessions exists; captured from this run onward</t>
        </is>
      </c>
    </row>
    <row r="225" ht="15" customHeight="1">
      <c r="A225" s="62" t="inlineStr">
        <is>
          <t>2483</t>
        </is>
      </c>
      <c r="B225" s="63" t="inlineStr">
        <is>
          <t>K CASH</t>
        </is>
      </c>
      <c r="C225" s="63" t="inlineStr">
        <is>
          <t>Ｋ ＣＡＳＨ集團</t>
        </is>
      </c>
      <c r="D225" s="63" t="inlineStr">
        <is>
          <t>Tech/AI</t>
        </is>
      </c>
      <c r="E225" s="63" t="inlineStr">
        <is>
          <t>Fintech platform</t>
        </is>
      </c>
      <c r="F225" s="63" t="inlineStr">
        <is>
          <t>Consumer Finance &amp; Money Lending</t>
        </is>
      </c>
      <c r="G225" s="63" t="inlineStr">
        <is>
          <t>Standard</t>
        </is>
      </c>
      <c r="H225" s="64" t="n">
        <v>45265</v>
      </c>
      <c r="I225" s="65" t="n">
        <v>225</v>
      </c>
      <c r="J225" s="63" t="inlineStr">
        <is>
          <t>gross (price x shares)</t>
        </is>
      </c>
      <c r="K225" s="66" t="n">
        <v>1.64</v>
      </c>
      <c r="L225" s="66" t="n">
        <v>1.96</v>
      </c>
      <c r="M225" s="66" t="n">
        <v>1.8</v>
      </c>
      <c r="N225" s="63" t="inlineStr">
        <is>
          <t>N</t>
        </is>
      </c>
      <c r="O225" s="67" t="n">
        <v>91.8</v>
      </c>
      <c r="P225" s="67" t="n">
        <v>50</v>
      </c>
      <c r="Q225" s="68" t="n">
        <v>900</v>
      </c>
      <c r="R225" s="63" t="inlineStr">
        <is>
          <t>derived:price x shares upon listing</t>
        </is>
      </c>
      <c r="S225" s="69" t="n">
        <v>18.93</v>
      </c>
      <c r="T225" s="70" t="n">
        <v>1.24</v>
      </c>
      <c r="U225" s="71" t="n">
        <v>24.7</v>
      </c>
      <c r="V225" s="68" t="n">
        <v>169.43</v>
      </c>
      <c r="W225" s="68" t="n">
        <v>94125000</v>
      </c>
      <c r="X225" s="67" t="n">
        <v>18.82</v>
      </c>
      <c r="Y225" s="63" t="n"/>
      <c r="Z225" s="63" t="n"/>
      <c r="AA225" s="67" t="n">
        <v>5</v>
      </c>
      <c r="AB225" s="72" t="n"/>
      <c r="AC225" s="66" t="n"/>
      <c r="AD225" s="72" t="n"/>
      <c r="AE225" s="63" t="n"/>
      <c r="AF225" s="63" t="n"/>
      <c r="AG225" s="63" t="inlineStr">
        <is>
          <t>lapsed</t>
        </is>
      </c>
      <c r="AH225" s="63" t="inlineStr">
        <is>
          <t>2023-12-30</t>
        </is>
      </c>
      <c r="AI225" s="63" t="inlineStr">
        <is>
          <t>China PA Securities</t>
        </is>
      </c>
      <c r="AJ225" s="63" t="inlineStr">
        <is>
          <t>China PA</t>
        </is>
      </c>
      <c r="AK225" s="73" t="n">
        <v>-0.5600000000000001</v>
      </c>
      <c r="AL225" s="72" t="n">
        <v>-10.56</v>
      </c>
      <c r="AM225" s="72" t="n">
        <v>11.18</v>
      </c>
      <c r="AN225" s="72" t="n">
        <v>-5</v>
      </c>
      <c r="AO225" s="72" t="n">
        <v>-5</v>
      </c>
      <c r="AP225" s="72" t="n">
        <v>-5</v>
      </c>
      <c r="AQ225" s="72" t="n">
        <v>-4.47</v>
      </c>
      <c r="AR225" s="72" t="n">
        <v>-4.47</v>
      </c>
      <c r="AS225" s="72" t="n">
        <v>-4.47</v>
      </c>
      <c r="AT225" s="72" t="n">
        <v>-3.97</v>
      </c>
      <c r="AU225" s="72" t="n">
        <v>2.68</v>
      </c>
      <c r="AV225" s="72" t="n">
        <v>5.44</v>
      </c>
      <c r="AW225" s="72" t="n">
        <v>1.01</v>
      </c>
      <c r="AX225" s="72" t="n">
        <v>-7.68</v>
      </c>
      <c r="AY225" s="72" t="n">
        <v>-5.48</v>
      </c>
      <c r="AZ225" s="63" t="inlineStr">
        <is>
          <t>HSTECH (Hang Seng TECH ETF)</t>
        </is>
      </c>
      <c r="BA225" s="72" t="n">
        <v>-0.28</v>
      </c>
      <c r="BB225" s="64" t="inlineStr">
        <is>
          <t>2026-08-28</t>
        </is>
      </c>
      <c r="BC225" s="65" t="n">
        <v>2022</v>
      </c>
      <c r="BD225" s="68" t="n">
        <v>67.90000000000001</v>
      </c>
      <c r="BE225" s="63" t="inlineStr">
        <is>
          <t>Y</t>
        </is>
      </c>
      <c r="BF225" s="74" t="n">
        <v>13.3</v>
      </c>
      <c r="BG225" s="74" t="n"/>
      <c r="BH225" s="74" t="n">
        <v>9.699999999999999</v>
      </c>
      <c r="BI225" s="74" t="n">
        <v>0.4</v>
      </c>
      <c r="BJ225" s="75">
        <f>IF('BBG Verify'!S225="","not filed — run on terminal",'BBG Verify'!S225)</f>
        <v/>
      </c>
      <c r="BK225" s="76" t="inlineStr">
        <is>
          <t>N</t>
        </is>
      </c>
      <c r="BL225" s="77">
        <f>IF('BBG Verify'!K225="","not filed — run on terminal",'BBG Verify'!K225)</f>
        <v/>
      </c>
      <c r="BM225" s="63" t="inlineStr">
        <is>
          <t>N/A</t>
        </is>
      </c>
      <c r="BN225" s="63" t="inlineStr">
        <is>
          <t>N/A</t>
        </is>
      </c>
      <c r="BO225" s="63" t="inlineStr">
        <is>
          <t>N/A</t>
        </is>
      </c>
      <c r="BP225" s="63" t="inlineStr">
        <is>
          <t>N/A</t>
        </is>
      </c>
      <c r="BQ225" s="63" t="inlineStr">
        <is>
          <t>N/A</t>
        </is>
      </c>
      <c r="BR225" s="63" t="inlineStr">
        <is>
          <t>N/A</t>
        </is>
      </c>
      <c r="BS225" s="76" t="inlineStr">
        <is>
          <t>DBS Asia Capital Limited; Ping An of China Capital (Hong Kong) Company Limited</t>
        </is>
      </c>
      <c r="BT225" s="63" t="inlineStr">
        <is>
          <t>Ping An of China Capital (Hong Kong) Company Limited; DBS Asia Capital Limited</t>
        </is>
      </c>
      <c r="BU225" s="63" t="inlineStr">
        <is>
          <t>and CMIs CCB International Capital Limited; Elstone Securities Limited; Valuable Capital Limited</t>
        </is>
      </c>
      <c r="BV225" s="63" t="inlineStr">
        <is>
          <t>CCB International Capital Limited; China PA Securities (Hong Kong) Company Limited; DBS Asia Capital Limited; Elstone Securities Limited; Eddid Securities and Futures Limited; Innovax Securities Limited; Valuable Capital Limited; Zhongtai International Securities Limited</t>
        </is>
      </c>
      <c r="BW225" s="78">
        <f>HYPERLINK("https://www1.hkexnews.hk/listedco/listconews/sehk/2023/1127/2023112700082.pdf","prospectus")</f>
        <v/>
      </c>
      <c r="BX225" s="78">
        <f>HYPERLINK("https://www1.hkexnews.hk/listedco/listconews/sehk/2023/1204/2023120402869.pdf","allotment")</f>
        <v/>
      </c>
      <c r="BY225" s="78">
        <f>HYPERLINK("https://www1.hkexnews.hk/listedco/listconews/sehk/2024/0102/2024010200039.pdf","stabilisation")</f>
        <v/>
      </c>
      <c r="BZ225" s="76" t="n"/>
      <c r="CA225" s="63" t="inlineStr">
        <is>
          <t>A/H: no A-share listing · cornerstone list: no cornerstone tranche in this deal · grey market: no grey-market headline on file for this deal — AAStocks publishes one per listing but keeps only recent items on the stock's news page, and no public archive of past evening sessions exists; captured from this run onward</t>
        </is>
      </c>
    </row>
    <row r="226" ht="15" customHeight="1">
      <c r="A226" s="62" t="inlineStr">
        <is>
          <t>2419</t>
        </is>
      </c>
      <c r="B226" s="63" t="inlineStr">
        <is>
          <t>DEKON AGR</t>
        </is>
      </c>
      <c r="C226" s="63" t="inlineStr">
        <is>
          <t>德康農牧</t>
        </is>
      </c>
      <c r="D226" s="63" t="inlineStr">
        <is>
          <t>Consumer</t>
        </is>
      </c>
      <c r="E226" s="63" t="inlineStr">
        <is>
          <t>Beverages / packaged food</t>
        </is>
      </c>
      <c r="F226" s="63" t="inlineStr">
        <is>
          <t>Poultry, Meat and Seafood</t>
        </is>
      </c>
      <c r="G226" s="63" t="inlineStr">
        <is>
          <t>Standard</t>
        </is>
      </c>
      <c r="H226" s="64" t="n">
        <v>45266</v>
      </c>
      <c r="I226" s="65" t="n">
        <v>994.4</v>
      </c>
      <c r="J226" s="63" t="inlineStr">
        <is>
          <t>gross (price x shares)</t>
        </is>
      </c>
      <c r="K226" s="66" t="n">
        <v>30.35</v>
      </c>
      <c r="L226" s="66" t="n">
        <v>36.95</v>
      </c>
      <c r="M226" s="66" t="n">
        <v>36.95</v>
      </c>
      <c r="N226" s="63" t="inlineStr">
        <is>
          <t>Y</t>
        </is>
      </c>
      <c r="O226" s="67" t="n">
        <v>100</v>
      </c>
      <c r="P226" s="67" t="n">
        <v>100</v>
      </c>
      <c r="Q226" s="68" t="n">
        <v>14369</v>
      </c>
      <c r="R226" s="63" t="inlineStr">
        <is>
          <t>derived:price x shares upon listing</t>
        </is>
      </c>
      <c r="S226" s="69" t="n">
        <v>1.88</v>
      </c>
      <c r="T226" s="70" t="n">
        <v>1.13</v>
      </c>
      <c r="U226" s="71" t="n">
        <v>47.7</v>
      </c>
      <c r="V226" s="68" t="n">
        <v>520.0700000000001</v>
      </c>
      <c r="W226" s="68" t="n">
        <v>14074976</v>
      </c>
      <c r="X226" s="67" t="n">
        <v>3.62</v>
      </c>
      <c r="Y226" s="63" t="inlineStr">
        <is>
          <t>Guiyang Agricultural Investment Development Co., Ltd; Quxian Huixing Industrial Investment Co., Ltd; Xiushan County Xinzhiyuan Market Management Co., Ltd</t>
        </is>
      </c>
      <c r="Z226" s="63" t="inlineStr">
        <is>
          <t>guiyang;quxian;xiushan</t>
        </is>
      </c>
      <c r="AA226" s="67" t="n"/>
      <c r="AB226" s="72" t="n"/>
      <c r="AC226" s="66" t="n"/>
      <c r="AD226" s="72" t="n"/>
      <c r="AE226" s="63" t="n"/>
      <c r="AF226" s="63" t="n"/>
      <c r="AG226" s="63" t="n"/>
      <c r="AH226" s="63" t="n"/>
      <c r="AI226" s="63" t="n"/>
      <c r="AJ226" s="63" t="n"/>
      <c r="AK226" s="73" t="n">
        <v>1.49</v>
      </c>
      <c r="AL226" s="72" t="n">
        <v>0</v>
      </c>
      <c r="AM226" s="72" t="n">
        <v>1.49</v>
      </c>
      <c r="AN226" s="72" t="n">
        <v>2.17</v>
      </c>
      <c r="AO226" s="72" t="n">
        <v>59.68</v>
      </c>
      <c r="AP226" s="72" t="n">
        <v>18.94</v>
      </c>
      <c r="AQ226" s="72" t="n">
        <v>0.67</v>
      </c>
      <c r="AR226" s="72" t="n">
        <v>57.34</v>
      </c>
      <c r="AS226" s="72" t="n">
        <v>17.19</v>
      </c>
      <c r="AT226" s="72" t="n">
        <v>3.43</v>
      </c>
      <c r="AU226" s="72" t="n">
        <v>62.72</v>
      </c>
      <c r="AV226" s="72" t="n">
        <v>17.97</v>
      </c>
      <c r="AW226" s="72" t="n">
        <v>61.35</v>
      </c>
      <c r="AX226" s="72" t="n">
        <v>-3.04</v>
      </c>
      <c r="AY226" s="72" t="n">
        <v>-4.01</v>
      </c>
      <c r="AZ226" s="63" t="inlineStr">
        <is>
          <t>Hang Seng Commerce &amp; Industry sub-index</t>
        </is>
      </c>
      <c r="BA226" s="72" t="n">
        <v>56.02</v>
      </c>
      <c r="BB226" s="64" t="inlineStr">
        <is>
          <t>2026-08-28</t>
        </is>
      </c>
      <c r="BC226" s="65" t="n">
        <v>16540.7</v>
      </c>
      <c r="BD226" s="68" t="n">
        <v>1092.2</v>
      </c>
      <c r="BE226" s="63" t="inlineStr">
        <is>
          <t>Y</t>
        </is>
      </c>
      <c r="BF226" s="74" t="n">
        <v>13.2</v>
      </c>
      <c r="BG226" s="74" t="n"/>
      <c r="BH226" s="74" t="n">
        <v>11.9</v>
      </c>
      <c r="BI226" s="74" t="n">
        <v>0.9</v>
      </c>
      <c r="BJ226" s="75">
        <f>IF('BBG Verify'!S226="","not filed — run on terminal",'BBG Verify'!S226)</f>
        <v/>
      </c>
      <c r="BK226" s="76" t="inlineStr">
        <is>
          <t>N</t>
        </is>
      </c>
      <c r="BL226" s="77">
        <f>IF('BBG Verify'!K226="","not filed — run on terminal",'BBG Verify'!K226)</f>
        <v/>
      </c>
      <c r="BM226" s="63" t="inlineStr">
        <is>
          <t>N/A</t>
        </is>
      </c>
      <c r="BN226" s="63" t="inlineStr">
        <is>
          <t>N/A</t>
        </is>
      </c>
      <c r="BO226" s="63" t="inlineStr">
        <is>
          <t>N/A</t>
        </is>
      </c>
      <c r="BP226" s="63" t="inlineStr">
        <is>
          <t>N/A</t>
        </is>
      </c>
      <c r="BQ226" s="63" t="inlineStr">
        <is>
          <t>N/A</t>
        </is>
      </c>
      <c r="BR226" s="63" t="inlineStr">
        <is>
          <t>N/A</t>
        </is>
      </c>
      <c r="BS226" s="76" t="inlineStr">
        <is>
          <t>China International Capital Corporation Hong Kong Securities Limited; Citigroup Global Markets Asia Limited</t>
        </is>
      </c>
      <c r="BT226" s="63" t="inlineStr">
        <is>
          <t>China International Capital Corporation Hong Kong Securities Limited; Citigroup Global Markets Asia Limited</t>
        </is>
      </c>
      <c r="BU226" s="63" t="inlineStr">
        <is>
          <t>China International Capital Corporation Hong Kong Securities Limited; Citigroup Global Markets Asia Limited; Central Hong Kong Citigroup Global Markets Limited; Canary Wharf London E14 5LB United Kingdom China Everbright Securities (HK) Limited; BOCI Asia Limited; ABCI Capital Limited; China Galaxy International Securities (Hong Kong) Co., Limited; ICBC International Securities Limited; CMB International Capital Limited; Citrus Securities Limited; Valuable Capital Limited</t>
        </is>
      </c>
      <c r="BV226" s="63" t="inlineStr">
        <is>
          <t>ABCI Securities Company Limited; BOCI Asia Limited; China Everbright Securities (HK) Limited; China Galaxy International Securities (Hong Kong) Company Limited; Citigroup Global Markets Asia Limited; China International Capital Corporation Hong Kong Securities Limited; Citrus Securities Limited; CMBC Securities Company Limited; CMB International Capital Limited; ICBC International Securities Limited; Silverbricks Securities Company Limited; Valuable Capital Limited</t>
        </is>
      </c>
      <c r="BW226" s="78">
        <f>HYPERLINK("https://www1.hkexnews.hk/listedco/listconews/sehk/2023/1127/2023112700009.pdf","prospectus")</f>
        <v/>
      </c>
      <c r="BX226" s="78">
        <f>HYPERLINK("https://www1.hkexnews.hk/listedco/listconews/sehk/2023/1205/2023120502409.pdf","allotment")</f>
        <v/>
      </c>
      <c r="BY226" s="63" t="n"/>
      <c r="BZ226" s="76" t="n"/>
      <c r="CA226" s="63" t="inlineStr">
        <is>
          <t>greenshoe: no over-allotment option in the offer structure · A/H: no A-share listing · greenshoe size: no over-allotment option in the offer structure · stabilising manager: no over-allotment option in the offer structure, so no stabilising manager is appointed · grey market: no grey-market headline on file for this deal — AAStocks publishes one per listing but keeps only recent items on the stock's news page, and no public archive of past evening sessions exists; captured from this run onward</t>
        </is>
      </c>
    </row>
    <row r="227" ht="15" customHeight="1">
      <c r="A227" s="62" t="inlineStr">
        <is>
          <t>1497</t>
        </is>
      </c>
      <c r="B227" s="63" t="inlineStr">
        <is>
          <t>YAN PALACE</t>
        </is>
      </c>
      <c r="C227" s="63" t="inlineStr">
        <is>
          <t>燕之屋</t>
        </is>
      </c>
      <c r="D227" s="63" t="inlineStr">
        <is>
          <t>Consumer</t>
        </is>
      </c>
      <c r="E227" s="63" t="inlineStr">
        <is>
          <t>Beverages / packaged food</t>
        </is>
      </c>
      <c r="F227" s="63" t="inlineStr">
        <is>
          <t>Packaged Foods</t>
        </is>
      </c>
      <c r="G227" s="63" t="inlineStr">
        <is>
          <t>Standard</t>
        </is>
      </c>
      <c r="H227" s="64" t="n">
        <v>45272</v>
      </c>
      <c r="I227" s="65" t="n">
        <v>310.4</v>
      </c>
      <c r="J227" s="63" t="inlineStr">
        <is>
          <t>gross (price x shares)</t>
        </is>
      </c>
      <c r="K227" s="66" t="n">
        <v>8.800000000000001</v>
      </c>
      <c r="L227" s="66" t="n">
        <v>11</v>
      </c>
      <c r="M227" s="66" t="n">
        <v>9.699999999999999</v>
      </c>
      <c r="N227" s="63" t="inlineStr">
        <is>
          <t>N</t>
        </is>
      </c>
      <c r="O227" s="67" t="n">
        <v>88.2</v>
      </c>
      <c r="P227" s="67" t="n">
        <v>40.9</v>
      </c>
      <c r="Q227" s="68" t="n">
        <v>4515.4</v>
      </c>
      <c r="R227" s="63" t="inlineStr">
        <is>
          <t>derived:price x shares upon listing</t>
        </is>
      </c>
      <c r="S227" s="69" t="n">
        <v>83.63</v>
      </c>
      <c r="T227" s="70" t="n">
        <v>1.27</v>
      </c>
      <c r="U227" s="71" t="n">
        <v>40.16</v>
      </c>
      <c r="V227" s="68" t="n">
        <v>185.74</v>
      </c>
      <c r="W227" s="68" t="n">
        <v>19148800</v>
      </c>
      <c r="X227" s="67" t="n">
        <v>4.11</v>
      </c>
      <c r="Y227" s="63" t="inlineStr">
        <is>
          <t>PT Esta Indonesia; PT Niaga Cakrawala Sukses; PT. Anugerah Citra Walet Indonesia; Value Partners Hong Kong Limited; WONG Sing Kwong Cyrus; WU Chen</t>
        </is>
      </c>
      <c r="Z227" s="63" t="inlineStr">
        <is>
          <t>pt;value;wong;wu-chen</t>
        </is>
      </c>
      <c r="AA227" s="67" t="n">
        <v>15</v>
      </c>
      <c r="AB227" s="72" t="n"/>
      <c r="AC227" s="66" t="n"/>
      <c r="AD227" s="72" t="n"/>
      <c r="AE227" s="63" t="n"/>
      <c r="AF227" s="63" t="n"/>
      <c r="AG227" s="63" t="inlineStr">
        <is>
          <t>lapsed</t>
        </is>
      </c>
      <c r="AH227" s="63" t="inlineStr">
        <is>
          <t>2024-01-06</t>
        </is>
      </c>
      <c r="AI227" s="63" t="inlineStr">
        <is>
          <t>GF Securities</t>
        </is>
      </c>
      <c r="AJ227" s="63" t="inlineStr">
        <is>
          <t>GF</t>
        </is>
      </c>
      <c r="AK227" s="73" t="n">
        <v>0</v>
      </c>
      <c r="AL227" s="72" t="n">
        <v>8.25</v>
      </c>
      <c r="AM227" s="72" t="n">
        <v>-7.62</v>
      </c>
      <c r="AN227" s="72" t="n">
        <v>-5.15</v>
      </c>
      <c r="AO227" s="72" t="n">
        <v>1.03</v>
      </c>
      <c r="AP227" s="72" t="n">
        <v>3.09</v>
      </c>
      <c r="AQ227" s="72" t="n">
        <v>-5.15</v>
      </c>
      <c r="AR227" s="72" t="n">
        <v>1.03</v>
      </c>
      <c r="AS227" s="72" t="n">
        <v>3.09</v>
      </c>
      <c r="AT227" s="72" t="n">
        <v>-6.71</v>
      </c>
      <c r="AU227" s="72" t="n">
        <v>2.22</v>
      </c>
      <c r="AV227" s="72" t="n">
        <v>-0.7</v>
      </c>
      <c r="AW227" s="72" t="n">
        <v>3.39</v>
      </c>
      <c r="AX227" s="72" t="n">
        <v>-1.19</v>
      </c>
      <c r="AY227" s="72" t="n">
        <v>-2.36</v>
      </c>
      <c r="AZ227" s="63" t="inlineStr">
        <is>
          <t>Hang Seng Commerce &amp; Industry sub-index</t>
        </is>
      </c>
      <c r="BA227" s="72" t="n">
        <v>-32.89</v>
      </c>
      <c r="BB227" s="64" t="inlineStr">
        <is>
          <t>2026-08-28</t>
        </is>
      </c>
      <c r="BC227" s="65" t="n">
        <v>1902.9</v>
      </c>
      <c r="BD227" s="68" t="n">
        <v>226.5</v>
      </c>
      <c r="BE227" s="63" t="inlineStr">
        <is>
          <t>Y</t>
        </is>
      </c>
      <c r="BF227" s="74" t="n">
        <v>19.9</v>
      </c>
      <c r="BG227" s="74" t="n"/>
      <c r="BH227" s="74" t="n">
        <v>9.300000000000001</v>
      </c>
      <c r="BI227" s="74" t="n">
        <v>2.4</v>
      </c>
      <c r="BJ227" s="75">
        <f>IF('BBG Verify'!S227="","not filed — run on terminal",'BBG Verify'!S227)</f>
        <v/>
      </c>
      <c r="BK227" s="76" t="inlineStr">
        <is>
          <t>N</t>
        </is>
      </c>
      <c r="BL227" s="77">
        <f>IF('BBG Verify'!K227="","not filed — run on terminal",'BBG Verify'!K227)</f>
        <v/>
      </c>
      <c r="BM227" s="63" t="inlineStr">
        <is>
          <t>N/A</t>
        </is>
      </c>
      <c r="BN227" s="63" t="inlineStr">
        <is>
          <t>N/A</t>
        </is>
      </c>
      <c r="BO227" s="63" t="inlineStr">
        <is>
          <t>N/A</t>
        </is>
      </c>
      <c r="BP227" s="63" t="inlineStr">
        <is>
          <t>N/A</t>
        </is>
      </c>
      <c r="BQ227" s="63" t="inlineStr">
        <is>
          <t>N/A</t>
        </is>
      </c>
      <c r="BR227" s="63" t="inlineStr">
        <is>
          <t>N/A</t>
        </is>
      </c>
      <c r="BS227" s="76" t="inlineStr">
        <is>
          <t>China International Capital Corporation Hong Kong Securities Limited; GF Capital (Hong Kong) Limited</t>
        </is>
      </c>
      <c r="BT227" s="63" t="inlineStr">
        <is>
          <t>China International Capital Corporation Hong Kong Securities Limited; GF Capital (Hong Kong) Limited</t>
        </is>
      </c>
      <c r="BU227" s="63" t="inlineStr">
        <is>
          <t>China International Capital Corporation Hong Kong Securities Limited; GF Securities (Hong Kong) Brokerage Limited; Citigroup Global Markets Asia Limited; Citigroup Global Markets Limited; London E14 5LB United Kingdom Valuable Capital Limited</t>
        </is>
      </c>
      <c r="BV227" s="63" t="inlineStr">
        <is>
          <t>Citigroup Global Markets Asia Limited; China International Capital Corporation Hong Kong Securities Limited; Futu Securities International (Hong Kong) Limited; GF Securities (Hong Kong) Brokerage Limited; Tiger Brokers (HK) Global Limited; Valuable Capital Limited</t>
        </is>
      </c>
      <c r="BW227" s="78">
        <f>HYPERLINK("https://www1.hkexnews.hk/listedco/listconews/sehk/2023/1130/2023113000061.pdf","prospectus")</f>
        <v/>
      </c>
      <c r="BX227" s="78">
        <f>HYPERLINK("https://www1.hkexnews.hk/listedco/listconews/sehk/2023/1211/2023121101204.pdf","allotment")</f>
        <v/>
      </c>
      <c r="BY227" s="78">
        <f>HYPERLINK("https://www1.hkexnews.hk/listedco/listconews/sehk/2024/0108/2024010800315.pdf","stabilisation")</f>
        <v/>
      </c>
      <c r="BZ227" s="76" t="n"/>
      <c r="CA227" s="63" t="inlineStr">
        <is>
          <t>A/H: no A-share listing · grey market: no grey-market headline on file for this deal — AAStocks publishes one per listing but keeps only recent items on the stock's news page, and no public archive of past evening sessions exists; captured from this run onward</t>
        </is>
      </c>
    </row>
    <row r="228" ht="15" customHeight="1">
      <c r="A228" s="62" t="inlineStr">
        <is>
          <t>0666</t>
        </is>
      </c>
      <c r="B228" s="63" t="inlineStr">
        <is>
          <t>REPT BATTERO</t>
        </is>
      </c>
      <c r="C228" s="63" t="inlineStr">
        <is>
          <t>瑞浦蘭鈞</t>
        </is>
      </c>
      <c r="D228" s="63" t="inlineStr">
        <is>
          <t>Industrials</t>
        </is>
      </c>
      <c r="E228" s="63" t="inlineStr">
        <is>
          <t>Batteries / energy storage</t>
        </is>
      </c>
      <c r="F228" s="63" t="inlineStr">
        <is>
          <t>Battery Products</t>
        </is>
      </c>
      <c r="G228" s="63" t="inlineStr">
        <is>
          <t>Standard</t>
        </is>
      </c>
      <c r="H228" s="64" t="n">
        <v>45278</v>
      </c>
      <c r="I228" s="65" t="n">
        <v>2124.1</v>
      </c>
      <c r="J228" s="63" t="inlineStr">
        <is>
          <t>gross (price x shares)</t>
        </is>
      </c>
      <c r="K228" s="66" t="n"/>
      <c r="L228" s="66" t="n">
        <v>18.3</v>
      </c>
      <c r="M228" s="66" t="n">
        <v>18.3</v>
      </c>
      <c r="N228" s="63" t="inlineStr">
        <is>
          <t>Y</t>
        </is>
      </c>
      <c r="O228" s="67" t="n">
        <v>100</v>
      </c>
      <c r="P228" s="67" t="n"/>
      <c r="Q228" s="68" t="n">
        <v>41666.8</v>
      </c>
      <c r="R228" s="63" t="inlineStr">
        <is>
          <t>derived:price x shares upon listing</t>
        </is>
      </c>
      <c r="S228" s="69" t="n">
        <v>1.27</v>
      </c>
      <c r="T228" s="70" t="n">
        <v>1.21</v>
      </c>
      <c r="U228" s="71" t="n"/>
      <c r="V228" s="68" t="n">
        <v>2124.1</v>
      </c>
      <c r="W228" s="68" t="n">
        <v>116070200</v>
      </c>
      <c r="X228" s="67" t="n">
        <v>5.1</v>
      </c>
      <c r="Y228" s="63" t="n"/>
      <c r="Z228" s="63" t="n"/>
      <c r="AA228" s="67" t="n"/>
      <c r="AB228" s="72" t="n"/>
      <c r="AC228" s="66" t="n"/>
      <c r="AD228" s="72" t="n"/>
      <c r="AE228" s="63" t="n"/>
      <c r="AF228" s="63" t="n"/>
      <c r="AG228" s="63" t="n"/>
      <c r="AH228" s="63" t="n"/>
      <c r="AI228" s="63" t="n"/>
      <c r="AJ228" s="63" t="n"/>
      <c r="AK228" s="73" t="n">
        <v>2.62</v>
      </c>
      <c r="AL228" s="72" t="n">
        <v>1.64</v>
      </c>
      <c r="AM228" s="72" t="n">
        <v>0.96</v>
      </c>
      <c r="AN228" s="72" t="n">
        <v>0.77</v>
      </c>
      <c r="AO228" s="72" t="n">
        <v>3.39</v>
      </c>
      <c r="AP228" s="72" t="n">
        <v>-21.09</v>
      </c>
      <c r="AQ228" s="72" t="n">
        <v>-1.8</v>
      </c>
      <c r="AR228" s="72" t="n">
        <v>0.75</v>
      </c>
      <c r="AS228" s="72" t="n">
        <v>-23.1</v>
      </c>
      <c r="AT228" s="72" t="n">
        <v>2.48</v>
      </c>
      <c r="AU228" s="72" t="n">
        <v>13.42</v>
      </c>
      <c r="AV228" s="72" t="n">
        <v>-23.07</v>
      </c>
      <c r="AW228" s="72" t="n">
        <v>10.01</v>
      </c>
      <c r="AX228" s="72" t="n">
        <v>-10.03</v>
      </c>
      <c r="AY228" s="72" t="n">
        <v>-9.26</v>
      </c>
      <c r="AZ228" s="63" t="inlineStr">
        <is>
          <t>Hang Seng Commerce &amp; Industry sub-index</t>
        </is>
      </c>
      <c r="BA228" s="72" t="n">
        <v>-43.99</v>
      </c>
      <c r="BB228" s="64" t="inlineStr">
        <is>
          <t>2026-08-28</t>
        </is>
      </c>
      <c r="BC228" s="65" t="n">
        <v>16112.6</v>
      </c>
      <c r="BD228" s="68" t="n">
        <v>-389.5</v>
      </c>
      <c r="BE228" s="63" t="inlineStr">
        <is>
          <t>N</t>
        </is>
      </c>
      <c r="BF228" s="63" t="inlineStr">
        <is>
          <t>n/m</t>
        </is>
      </c>
      <c r="BG228" s="74" t="n"/>
      <c r="BH228" s="74" t="n"/>
      <c r="BI228" s="74" t="n">
        <v>2.6</v>
      </c>
      <c r="BJ228" s="75">
        <f>IF('BBG Verify'!S228="","not filed — run on terminal",'BBG Verify'!S228)</f>
        <v/>
      </c>
      <c r="BK228" s="76" t="inlineStr">
        <is>
          <t>N</t>
        </is>
      </c>
      <c r="BL228" s="77">
        <f>IF('BBG Verify'!K228="","not filed — run on terminal",'BBG Verify'!K228)</f>
        <v/>
      </c>
      <c r="BM228" s="63" t="inlineStr">
        <is>
          <t>N/A</t>
        </is>
      </c>
      <c r="BN228" s="63" t="inlineStr">
        <is>
          <t>N/A</t>
        </is>
      </c>
      <c r="BO228" s="63" t="inlineStr">
        <is>
          <t>N/A</t>
        </is>
      </c>
      <c r="BP228" s="63" t="inlineStr">
        <is>
          <t>N/A</t>
        </is>
      </c>
      <c r="BQ228" s="63" t="inlineStr">
        <is>
          <t>N/A</t>
        </is>
      </c>
      <c r="BR228" s="63" t="inlineStr">
        <is>
          <t>N/A</t>
        </is>
      </c>
      <c r="BS228" s="76" t="n"/>
      <c r="BT228" s="63" t="inlineStr">
        <is>
          <t>Morgan Stanley Asia Limited; CITIC Securities (Hong Kong) Limited</t>
        </is>
      </c>
      <c r="BU228" s="63" t="inlineStr">
        <is>
          <t>ABCI Securities Company Limited; BOCI Asia Limited; China Galaxy International Securities (Hong Kong) Company Limited; China International Capital Corporation Hong Kong Securities Limited; CLSA Limited; CMB International Capital Limited</t>
        </is>
      </c>
      <c r="BV228" s="63" t="inlineStr">
        <is>
          <t>ABCI Securities Company Limited; BOCI Asia Limited; China Galaxy International Securities (Hong Kong) Company Limited; China International Capital Corporation Hong Kong Securities Limited; CLSA Limited; CMB International Capital Limited; DBS Asia Capital Limited; Futu Securities International (Hong Kong) Limited; Guotai Junan Securities (Hong Kong) Limited; The Hongkong and Shanghai Banking Corporation Limited; Morgan Stanley Asia Limited; Tiger Brokers (HK) Global Limited</t>
        </is>
      </c>
      <c r="BW228" s="63" t="n"/>
      <c r="BX228" s="78">
        <f>HYPERLINK("https://www1.hkexnews.hk/listedco/listconews/sehk/2023/1215/2023121501598.pdf","allotment")</f>
        <v/>
      </c>
      <c r="BY228" s="63" t="n"/>
      <c r="BZ228" s="76" t="n"/>
      <c r="CA228" s="63" t="inlineStr">
        <is>
          <t>P/E: n/m — loss-making at IPO (use P/S) · greenshoe: no over-allotment option in the offer structure · price range: fixed-price offering (no indicative range) · range low: cap-only pricing — the filing publishes a Maximum Offer Price and no indicative floor · A/H: no A-share listing · sponsor: English name not in the filing text; AAStocks 保薦人 shown · cornerstone list: no cornerstone tranche in this deal · cornerstone %: no cornerstone tranche in this deal · greenshoe size: no over-allotment option in the offer structure · stabilising manager: the filing states no stabilising manager will be appointed — a filed fact, not an extraction gap (allotment announcement: 'no stabilizing manager will be appointed' stated in the filing) · filing links: no prospectus document returned by the HKEX per-stock search for this code — the allotment announcement is linked beside it · grey market: no grey-market headline on file for this deal — AAStocks publishes one per listing but keeps only recent items on the stock's news page, and no public archive of past evening sessions exists; captured from this run onward</t>
        </is>
      </c>
    </row>
    <row r="229" ht="15" customHeight="1">
      <c r="A229" s="62" t="inlineStr">
        <is>
          <t>2502</t>
        </is>
      </c>
      <c r="B229" s="63" t="inlineStr">
        <is>
          <t>JINYUAN HCHEM</t>
        </is>
      </c>
      <c r="C229" s="63" t="inlineStr">
        <is>
          <t>金源氫化</t>
        </is>
      </c>
      <c r="D229" s="63" t="inlineStr">
        <is>
          <t>Materials/Energy</t>
        </is>
      </c>
      <c r="E229" s="63" t="inlineStr">
        <is>
          <t>Chemicals</t>
        </is>
      </c>
      <c r="F229" s="63" t="inlineStr">
        <is>
          <t>Diversified Chemicals</t>
        </is>
      </c>
      <c r="G229" s="63" t="inlineStr">
        <is>
          <t>Standard</t>
        </is>
      </c>
      <c r="H229" s="64" t="n">
        <v>45280</v>
      </c>
      <c r="I229" s="65" t="n">
        <v>286.69</v>
      </c>
      <c r="J229" s="63" t="inlineStr">
        <is>
          <t>gross (stated)</t>
        </is>
      </c>
      <c r="K229" s="66" t="n">
        <v>1.1</v>
      </c>
      <c r="L229" s="66" t="n">
        <v>1.5</v>
      </c>
      <c r="M229" s="66" t="n">
        <v>1.2</v>
      </c>
      <c r="N229" s="63" t="inlineStr">
        <is>
          <t>N</t>
        </is>
      </c>
      <c r="O229" s="67" t="n">
        <v>80</v>
      </c>
      <c r="P229" s="67" t="n">
        <v>25</v>
      </c>
      <c r="Q229" s="68" t="n">
        <v>1146.8</v>
      </c>
      <c r="R229" s="63" t="inlineStr">
        <is>
          <t>derived:price x shares upon listing</t>
        </is>
      </c>
      <c r="S229" s="69" t="n">
        <v>42.82</v>
      </c>
      <c r="T229" s="70" t="n">
        <v>1.07</v>
      </c>
      <c r="U229" s="71" t="n">
        <v>57.1</v>
      </c>
      <c r="V229" s="68" t="n">
        <v>122.99</v>
      </c>
      <c r="W229" s="68" t="n">
        <v>102492390</v>
      </c>
      <c r="X229" s="67" t="n">
        <v>10.72</v>
      </c>
      <c r="Y229" s="63" t="inlineStr">
        <is>
          <t>Genesis M Co., Limited; Max Success Group Holdings Limited; Prosperity Steel United Singapore Pte. Ltd; Zhongsheng Holdings Company Limited</t>
        </is>
      </c>
      <c r="Z229" s="63" t="inlineStr">
        <is>
          <t>genesis;max;prosperity;zhongsheng</t>
        </is>
      </c>
      <c r="AA229" s="67" t="n">
        <v>5</v>
      </c>
      <c r="AB229" s="72" t="n"/>
      <c r="AC229" s="66" t="n"/>
      <c r="AD229" s="72" t="n"/>
      <c r="AE229" s="63" t="n"/>
      <c r="AF229" s="63" t="n"/>
      <c r="AG229" s="63" t="inlineStr">
        <is>
          <t>lapsed</t>
        </is>
      </c>
      <c r="AH229" s="63" t="inlineStr">
        <is>
          <t>2024-01-14</t>
        </is>
      </c>
      <c r="AI229" s="63" t="inlineStr">
        <is>
          <t>Haitong International Securities Company Limited</t>
        </is>
      </c>
      <c r="AJ229" s="63" t="inlineStr">
        <is>
          <t>Haitong</t>
        </is>
      </c>
      <c r="AK229" s="73" t="n">
        <v>-27.5</v>
      </c>
      <c r="AL229" s="72" t="n">
        <v>-11.67</v>
      </c>
      <c r="AM229" s="72" t="n">
        <v>-17.92</v>
      </c>
      <c r="AN229" s="72" t="n">
        <v>-20.83</v>
      </c>
      <c r="AO229" s="72" t="n">
        <v>-28.33</v>
      </c>
      <c r="AP229" s="72" t="n">
        <v>-37.5</v>
      </c>
      <c r="AQ229" s="72" t="n">
        <v>9.199999999999999</v>
      </c>
      <c r="AR229" s="72" t="n">
        <v>-1.14</v>
      </c>
      <c r="AS229" s="72" t="n">
        <v>-13.79</v>
      </c>
      <c r="AT229" s="72" t="n">
        <v>-23.55</v>
      </c>
      <c r="AU229" s="72" t="n">
        <v>-19.91</v>
      </c>
      <c r="AV229" s="72" t="n">
        <v>-38.8</v>
      </c>
      <c r="AW229" s="72" t="n">
        <v>7.92</v>
      </c>
      <c r="AX229" s="72" t="n">
        <v>-8.42</v>
      </c>
      <c r="AY229" s="72" t="n">
        <v>-9.06</v>
      </c>
      <c r="AZ229" s="63" t="inlineStr">
        <is>
          <t>Hang Seng Commerce &amp; Industry sub-index</t>
        </is>
      </c>
      <c r="BA229" s="72" t="n">
        <v>-49.17</v>
      </c>
      <c r="BB229" s="64" t="inlineStr">
        <is>
          <t>2026-08-28</t>
        </is>
      </c>
      <c r="BC229" s="65" t="n">
        <v>2480</v>
      </c>
      <c r="BD229" s="68" t="n">
        <v>213.5</v>
      </c>
      <c r="BE229" s="63" t="inlineStr">
        <is>
          <t>Y</t>
        </is>
      </c>
      <c r="BF229" s="74" t="n">
        <v>5.4</v>
      </c>
      <c r="BG229" s="74" t="n"/>
      <c r="BH229" s="74" t="n"/>
      <c r="BI229" s="74" t="n">
        <v>0.5</v>
      </c>
      <c r="BJ229" s="75">
        <f>IF('BBG Verify'!S229="","not filed — run on terminal",'BBG Verify'!S229)</f>
        <v/>
      </c>
      <c r="BK229" s="76" t="inlineStr">
        <is>
          <t>N</t>
        </is>
      </c>
      <c r="BL229" s="77">
        <f>IF('BBG Verify'!K229="","not filed — run on terminal",'BBG Verify'!K229)</f>
        <v/>
      </c>
      <c r="BM229" s="63" t="inlineStr">
        <is>
          <t>N/A</t>
        </is>
      </c>
      <c r="BN229" s="63" t="inlineStr">
        <is>
          <t>N/A</t>
        </is>
      </c>
      <c r="BO229" s="63" t="inlineStr">
        <is>
          <t>N/A</t>
        </is>
      </c>
      <c r="BP229" s="63" t="inlineStr">
        <is>
          <t>N/A</t>
        </is>
      </c>
      <c r="BQ229" s="63" t="inlineStr">
        <is>
          <t>N/A</t>
        </is>
      </c>
      <c r="BR229" s="63" t="inlineStr">
        <is>
          <t>N/A</t>
        </is>
      </c>
      <c r="BS229" s="76" t="inlineStr">
        <is>
          <t>Haitong International Capital Limited</t>
        </is>
      </c>
      <c r="BT229" s="63" t="inlineStr">
        <is>
          <t>Haitong International Capital Limited</t>
        </is>
      </c>
      <c r="BU229" s="63" t="inlineStr">
        <is>
          <t>ABCI Capital Limited; ABCI Securities Company Limited</t>
        </is>
      </c>
      <c r="BV229" s="63" t="inlineStr">
        <is>
          <t>ABCI Securities Company Limited; CCB International Capital Limited; Central China International Capital Limited; China Everbright Securities (HK) Limited; China Galaxy International Securities (Hong Kong) Company Limited; CMB International Capital Limited; Haitong International Securities Company Limited; Huaan Securities (Hong Kong) Brokerage Limited; ICBC International Securities Limited; Livermore Holdings Limited; Maxa Capital Limited; Shenwan Hongyuan Securities (H.K.) Limited</t>
        </is>
      </c>
      <c r="BW229" s="78">
        <f>HYPERLINK("https://www1.hkexnews.hk/listedco/listconews/sehk/2023/1212/2023121200021.pdf","prospectus")</f>
        <v/>
      </c>
      <c r="BX229" s="78">
        <f>HYPERLINK("https://www1.hkexnews.hk/listedco/listconews/sehk/2023/1219/2023121901110.pdf","allotment")</f>
        <v/>
      </c>
      <c r="BY229" s="78">
        <f>HYPERLINK("https://www1.hkexnews.hk/listedco/listconews/sehk/2024/0115/2024011500035.pdf","stabilisation")</f>
        <v/>
      </c>
      <c r="BZ229" s="76" t="n"/>
      <c r="CA229" s="63" t="inlineStr">
        <is>
          <t>A/H: no A-share listing · grey market: no grey-market headline on file for this deal — AAStocks publishes one per listing but keeps only recent items on the stock's news page, and no public archive of past evening sessions exists; captured from this run onward</t>
        </is>
      </c>
    </row>
    <row r="230" ht="15" customHeight="1">
      <c r="A230" s="62" t="inlineStr">
        <is>
          <t>1274</t>
        </is>
      </c>
      <c r="B230" s="63" t="inlineStr">
        <is>
          <t>IMOTIONAUTOTECH</t>
        </is>
      </c>
      <c r="C230" s="63" t="inlineStr">
        <is>
          <t>知行科技</t>
        </is>
      </c>
      <c r="D230" s="63" t="inlineStr">
        <is>
          <t>Tech/AI</t>
        </is>
      </c>
      <c r="E230" s="63" t="inlineStr">
        <is>
          <t>Robotics &amp; autonomous driving</t>
        </is>
      </c>
      <c r="F230" s="63" t="inlineStr">
        <is>
          <t>Auto Parts &amp; Equipment</t>
        </is>
      </c>
      <c r="G230" s="63" t="inlineStr">
        <is>
          <t>Standard</t>
        </is>
      </c>
      <c r="H230" s="64" t="n">
        <v>45280</v>
      </c>
      <c r="I230" s="65" t="n">
        <v>655.7</v>
      </c>
      <c r="J230" s="63" t="inlineStr">
        <is>
          <t>gross (price x shares)</t>
        </is>
      </c>
      <c r="K230" s="66" t="n"/>
      <c r="L230" s="66" t="n">
        <v>29.65</v>
      </c>
      <c r="M230" s="66" t="n">
        <v>29.65</v>
      </c>
      <c r="N230" s="63" t="inlineStr">
        <is>
          <t>Y</t>
        </is>
      </c>
      <c r="O230" s="67" t="n">
        <v>100</v>
      </c>
      <c r="P230" s="67" t="n"/>
      <c r="Q230" s="68" t="n">
        <v>6710.7</v>
      </c>
      <c r="R230" s="63" t="inlineStr">
        <is>
          <t>derived:price x shares upon listing</t>
        </is>
      </c>
      <c r="S230" s="69" t="n">
        <v>6.46</v>
      </c>
      <c r="T230" s="70" t="n">
        <v>1.07</v>
      </c>
      <c r="U230" s="71" t="n">
        <v>79.09999999999999</v>
      </c>
      <c r="V230" s="68" t="n">
        <v>137.04</v>
      </c>
      <c r="W230" s="68" t="n">
        <v>4622244</v>
      </c>
      <c r="X230" s="67" t="n">
        <v>2.04</v>
      </c>
      <c r="Y230" s="63" t="inlineStr">
        <is>
          <t>Harvest International Premium Value (Secondary Market) Fund SPC; SilkyWater Absolute Return LPF; Zhejiang Qixin Zhixing Information Technology Co., Ltd</t>
        </is>
      </c>
      <c r="Z230" s="63" t="inlineStr">
        <is>
          <t>harvest;silkywater;zhejiang</t>
        </is>
      </c>
      <c r="AA230" s="67" t="n"/>
      <c r="AB230" s="72" t="n"/>
      <c r="AC230" s="66" t="n"/>
      <c r="AD230" s="72" t="n"/>
      <c r="AE230" s="63" t="n"/>
      <c r="AF230" s="63" t="n"/>
      <c r="AG230" s="63" t="n"/>
      <c r="AH230" s="63" t="n"/>
      <c r="AI230" s="63" t="n"/>
      <c r="AJ230" s="63" t="n"/>
      <c r="AK230" s="73" t="n">
        <v>-12.82</v>
      </c>
      <c r="AL230" s="72" t="n">
        <v>-0.34</v>
      </c>
      <c r="AM230" s="72" t="n">
        <v>-12.52</v>
      </c>
      <c r="AN230" s="72" t="n">
        <v>13.66</v>
      </c>
      <c r="AO230" s="72" t="n">
        <v>59.36</v>
      </c>
      <c r="AP230" s="72" t="n">
        <v>171.5</v>
      </c>
      <c r="AQ230" s="72" t="n">
        <v>30.37</v>
      </c>
      <c r="AR230" s="72" t="n">
        <v>82.79000000000001</v>
      </c>
      <c r="AS230" s="72" t="n">
        <v>211.42</v>
      </c>
      <c r="AT230" s="72" t="n">
        <v>12.12</v>
      </c>
      <c r="AU230" s="72" t="n">
        <v>74.64</v>
      </c>
      <c r="AV230" s="72" t="n">
        <v>178.92</v>
      </c>
      <c r="AW230" s="72" t="n">
        <v>98.39</v>
      </c>
      <c r="AX230" s="72" t="n">
        <v>-15.28</v>
      </c>
      <c r="AY230" s="72" t="n">
        <v>-15.6</v>
      </c>
      <c r="AZ230" s="63" t="inlineStr">
        <is>
          <t>HSTECH (Hang Seng TECH ETF)</t>
        </is>
      </c>
      <c r="BA230" s="72" t="n">
        <v>-90.94</v>
      </c>
      <c r="BB230" s="64" t="inlineStr">
        <is>
          <t>2026-08-28</t>
        </is>
      </c>
      <c r="BC230" s="65" t="n">
        <v>1458.5</v>
      </c>
      <c r="BD230" s="68" t="n">
        <v>-376.6</v>
      </c>
      <c r="BE230" s="63" t="inlineStr">
        <is>
          <t>N</t>
        </is>
      </c>
      <c r="BF230" s="63" t="inlineStr">
        <is>
          <t>n/m</t>
        </is>
      </c>
      <c r="BG230" s="74" t="n"/>
      <c r="BH230" s="74" t="n"/>
      <c r="BI230" s="74" t="n">
        <v>4.6</v>
      </c>
      <c r="BJ230" s="75">
        <f>IF('BBG Verify'!S230="","not filed — run on terminal",'BBG Verify'!S230)</f>
        <v/>
      </c>
      <c r="BK230" s="76" t="inlineStr">
        <is>
          <t>N</t>
        </is>
      </c>
      <c r="BL230" s="77">
        <f>IF('BBG Verify'!K230="","not filed — run on terminal",'BBG Verify'!K230)</f>
        <v/>
      </c>
      <c r="BM230" s="63" t="inlineStr">
        <is>
          <t>N/A</t>
        </is>
      </c>
      <c r="BN230" s="63" t="inlineStr">
        <is>
          <t>N/A</t>
        </is>
      </c>
      <c r="BO230" s="63" t="inlineStr">
        <is>
          <t>N/A</t>
        </is>
      </c>
      <c r="BP230" s="63" t="inlineStr">
        <is>
          <t>N/A</t>
        </is>
      </c>
      <c r="BQ230" s="63" t="inlineStr">
        <is>
          <t>N/A</t>
        </is>
      </c>
      <c r="BR230" s="63" t="inlineStr">
        <is>
          <t>N/A</t>
        </is>
      </c>
      <c r="BS230" s="76" t="inlineStr">
        <is>
          <t>Citigroup Global Markets Asia Limited; Huatai Financial Holdings (Hong Kong) Limited; CCB International Capital Limited</t>
        </is>
      </c>
      <c r="BT230" s="63" t="inlineStr">
        <is>
          <t>CCB International Capital Limited; Huatai Financial Holdings (Hong Kong) Limited; Citigroup Global Markets Asia Limited</t>
        </is>
      </c>
      <c r="BU230" s="63" t="inlineStr">
        <is>
          <t>Citigroup Global Markets Asia Limited; Huatai Financial Holdings (Hong Kong) Limited; CCB International Capital Limited; DBS Asia Capital Limited; Citigroup Global Markets Limited; London E14 5LB United Kingdom Huatai Financial Holdings (Hong Kong) Limited; CMB International Capital Limited; Goldlink Securities Limited; Soochow Securities International Brokerage Limited; Mouette Securities Company Limited</t>
        </is>
      </c>
      <c r="BV230" s="63" t="inlineStr">
        <is>
          <t>CCB International Capital Limited; Citigroup Global Markets Asia Limited; CMB International Capital Limited; DBS Asia Capital Limited; Goldlink Securities Limited; Huatai Financial Holdings (Hong Kong) Limited; Livermore Holdings Limited; Mouette Securities Company Limited; Soochow Securities International Brokerage Limited</t>
        </is>
      </c>
      <c r="BW230" s="78">
        <f>HYPERLINK("https://www1.hkexnews.hk/listedco/listconews/sehk/2023/1212/2023121200019.pdf","prospectus")</f>
        <v/>
      </c>
      <c r="BX230" s="78">
        <f>HYPERLINK("https://www1.hkexnews.hk/listedco/listconews/sehk/2023/1219/2023121901176.pdf","allotment")</f>
        <v/>
      </c>
      <c r="BY230" s="63" t="n"/>
      <c r="BZ230" s="76" t="n"/>
      <c r="CA230" s="63" t="inlineStr">
        <is>
          <t>P/E: n/m — loss-making at IPO (use P/S) · greenshoe: no over-allotment option in the offer structure · range low: cap-only pricing — the filing publishes a Maximum Offer Price and no indicative floor · A/H: no A-share listing · greenshoe size: no over-allotment option in the offer structure · stabilising manager: the filing states no stabilising manager will be appointed — a filed fact, not an extraction gap (allotment announcement: 'no stabilizing manager will be appointed' stated in the filing) · grey market: no grey-market headline on file for this deal — AAStocks publishes one per listing but keeps only recent items on the stock's news page, and no public archive of past evening sessions exists; captured from this run onward</t>
        </is>
      </c>
    </row>
    <row r="231" ht="15" customHeight="1">
      <c r="A231" s="62" t="inlineStr">
        <is>
          <t>2516</t>
        </is>
      </c>
      <c r="B231" s="63" t="inlineStr">
        <is>
          <t>FAR INTL</t>
        </is>
      </c>
      <c r="C231" s="63" t="inlineStr">
        <is>
          <t>泛遠國際</t>
        </is>
      </c>
      <c r="D231" s="63" t="inlineStr">
        <is>
          <t>Industrials</t>
        </is>
      </c>
      <c r="E231" s="63" t="inlineStr">
        <is>
          <t>Logistics</t>
        </is>
      </c>
      <c r="F231" s="63" t="inlineStr">
        <is>
          <t>Air Freight &amp; Logistics</t>
        </is>
      </c>
      <c r="G231" s="63" t="inlineStr">
        <is>
          <t>Standard</t>
        </is>
      </c>
      <c r="H231" s="64" t="n">
        <v>45282</v>
      </c>
      <c r="I231" s="65" t="n">
        <v>126</v>
      </c>
      <c r="J231" s="63" t="inlineStr">
        <is>
          <t>gross (price x shares)</t>
        </is>
      </c>
      <c r="K231" s="66" t="n"/>
      <c r="L231" s="66" t="n">
        <v>0.9</v>
      </c>
      <c r="M231" s="66" t="n">
        <v>0.9</v>
      </c>
      <c r="N231" s="63" t="inlineStr">
        <is>
          <t>Y</t>
        </is>
      </c>
      <c r="O231" s="67" t="n">
        <v>100</v>
      </c>
      <c r="P231" s="67" t="n"/>
      <c r="Q231" s="68" t="n">
        <v>702</v>
      </c>
      <c r="R231" s="63" t="inlineStr">
        <is>
          <t>derived:price x shares upon listing</t>
        </is>
      </c>
      <c r="S231" s="69" t="n">
        <v>14.49</v>
      </c>
      <c r="T231" s="70" t="n">
        <v>1.04</v>
      </c>
      <c r="U231" s="71" t="n">
        <v>39.68</v>
      </c>
      <c r="V231" s="68" t="n">
        <v>76</v>
      </c>
      <c r="W231" s="68" t="n">
        <v>84448000</v>
      </c>
      <c r="X231" s="67" t="n">
        <v>10.83</v>
      </c>
      <c r="Y231" s="63" t="inlineStr">
        <is>
          <t>Guo Shaojun; Liu Liyun; Yang Yingwu</t>
        </is>
      </c>
      <c r="Z231" s="63" t="inlineStr">
        <is>
          <t>guo-shaojun;liu-liyun;yang-yingwu</t>
        </is>
      </c>
      <c r="AA231" s="67" t="n"/>
      <c r="AB231" s="72" t="n"/>
      <c r="AC231" s="66" t="n"/>
      <c r="AD231" s="72" t="n"/>
      <c r="AE231" s="63" t="n"/>
      <c r="AF231" s="63" t="n"/>
      <c r="AG231" s="63" t="inlineStr">
        <is>
          <t>lapsed (no over-allocation)</t>
        </is>
      </c>
      <c r="AH231" s="63" t="n"/>
      <c r="AI231" s="63" t="inlineStr">
        <is>
          <t>Grand Moore Capital Limited</t>
        </is>
      </c>
      <c r="AJ231" s="63" t="inlineStr">
        <is>
          <t>Grand Moore</t>
        </is>
      </c>
      <c r="AK231" s="73" t="n">
        <v>11.11</v>
      </c>
      <c r="AL231" s="72" t="n">
        <v>44.44</v>
      </c>
      <c r="AM231" s="72" t="n">
        <v>-23.08</v>
      </c>
      <c r="AN231" s="72" t="n">
        <v>6.67</v>
      </c>
      <c r="AO231" s="72" t="n">
        <v>-7.78</v>
      </c>
      <c r="AP231" s="72" t="n">
        <v>-36.67</v>
      </c>
      <c r="AQ231" s="72" t="n">
        <v>-4</v>
      </c>
      <c r="AR231" s="72" t="n">
        <v>-17</v>
      </c>
      <c r="AS231" s="72" t="n">
        <v>-43</v>
      </c>
      <c r="AT231" s="72" t="n">
        <v>6.82</v>
      </c>
      <c r="AU231" s="72" t="n">
        <v>-4.31</v>
      </c>
      <c r="AV231" s="72" t="n">
        <v>-37.02</v>
      </c>
      <c r="AW231" s="72" t="n">
        <v>-16.52</v>
      </c>
      <c r="AX231" s="72" t="n">
        <v>-3.47</v>
      </c>
      <c r="AY231" s="72" t="n">
        <v>-0.48</v>
      </c>
      <c r="AZ231" s="63" t="inlineStr">
        <is>
          <t>Hang Seng Commerce &amp; Industry sub-index</t>
        </is>
      </c>
      <c r="BA231" s="72" t="n">
        <v>-18.89</v>
      </c>
      <c r="BB231" s="64" t="inlineStr">
        <is>
          <t>2026-08-28</t>
        </is>
      </c>
      <c r="BC231" s="65" t="n">
        <v>1377.2</v>
      </c>
      <c r="BD231" s="68" t="n">
        <v>28.4</v>
      </c>
      <c r="BE231" s="63" t="inlineStr">
        <is>
          <t>Y</t>
        </is>
      </c>
      <c r="BF231" s="74" t="n">
        <v>24.7</v>
      </c>
      <c r="BG231" s="74" t="n"/>
      <c r="BH231" s="74" t="n">
        <v>115.1</v>
      </c>
      <c r="BI231" s="74" t="n">
        <v>0.5</v>
      </c>
      <c r="BJ231" s="75">
        <f>IF('BBG Verify'!S231="","not filed — run on terminal",'BBG Verify'!S231)</f>
        <v/>
      </c>
      <c r="BK231" s="76" t="inlineStr">
        <is>
          <t>N</t>
        </is>
      </c>
      <c r="BL231" s="77">
        <f>IF('BBG Verify'!K231="","not filed — run on terminal",'BBG Verify'!K231)</f>
        <v/>
      </c>
      <c r="BM231" s="63" t="inlineStr">
        <is>
          <t>N/A</t>
        </is>
      </c>
      <c r="BN231" s="63" t="inlineStr">
        <is>
          <t>N/A</t>
        </is>
      </c>
      <c r="BO231" s="63" t="inlineStr">
        <is>
          <t>N/A</t>
        </is>
      </c>
      <c r="BP231" s="63" t="inlineStr">
        <is>
          <t>N/A</t>
        </is>
      </c>
      <c r="BQ231" s="63" t="inlineStr">
        <is>
          <t>N/A</t>
        </is>
      </c>
      <c r="BR231" s="63" t="inlineStr">
        <is>
          <t>N/A</t>
        </is>
      </c>
      <c r="BS231" s="76" t="n"/>
      <c r="BT231" s="63" t="inlineStr">
        <is>
          <t>Grand Moore Capital Limited</t>
        </is>
      </c>
      <c r="BU231" s="63" t="inlineStr">
        <is>
          <t>CMBC Securities Company Limited; China PA Securities (Hong Kong) Company Limited; Grand Moore Capital Limited; ICBC International Securities Limited; Shenwan Hongyuan Securities (H.K.) Limited; Valuable Capital Limited</t>
        </is>
      </c>
      <c r="BV231" s="63" t="inlineStr">
        <is>
          <t>CMBC Securities Company Limited; China PA Securities (Hong Kong) Company Limited; Grand Moore Capital Limited; ICBC International Securities Limited; Shenwan Hongyuan Securities (H.K.) Limited; Valuable Capital Limited</t>
        </is>
      </c>
      <c r="BW231" s="78">
        <f>HYPERLINK("https://www1.hkexnews.hk/listedco/listconews/sehk/2023/1212/2023121200092.htm","prospectus")</f>
        <v/>
      </c>
      <c r="BX231" s="78">
        <f>HYPERLINK("https://www1.hkexnews.hk/listedco/listconews/sehk/2023/1221/2023122101228.pdf","allotment")</f>
        <v/>
      </c>
      <c r="BY231" s="78">
        <f>HYPERLINK("https://www1.hkexnews.hk/listedco/listconews/sehk/2024/0118/2024011800257.pdf","stabilisation")</f>
        <v/>
      </c>
      <c r="BZ231" s="76" t="n"/>
      <c r="CA231" s="63" t="inlineStr">
        <is>
          <t>greenshoe: over-allotment outcome already published, and the allotment announcement does not state the stabilisation expiry in a parsable form — the expiry no longer matters once resolved · price range: fixed-price offering (no indicative range) · range low: cap-only pricing — the filing publishes a Maximum Offer Price and no indicative floor · A/H: no A-share listing · sponsor: English name not in the filing text; AAStocks 保薦人 shown · greenshoe size: no over-allotment option in the offer structure · grey market: no grey-market headline on file for this deal — AAStocks publishes one per listing but keeps only recent items on the stock's news page, and no public archive of past evening sessions exists; captured from this run onward</t>
        </is>
      </c>
    </row>
    <row r="232" ht="15" customHeight="1">
      <c r="A232" s="62" t="inlineStr">
        <is>
          <t>2489</t>
        </is>
      </c>
      <c r="B232" s="63" t="inlineStr">
        <is>
          <t>PERSISTENCE RES</t>
        </is>
      </c>
      <c r="C232" s="63" t="inlineStr">
        <is>
          <t>集海黃金</t>
        </is>
      </c>
      <c r="D232" s="63" t="inlineStr">
        <is>
          <t>Materials/Energy</t>
        </is>
      </c>
      <c r="E232" s="63" t="inlineStr">
        <is>
          <t>Mining / metals</t>
        </is>
      </c>
      <c r="F232" s="63" t="inlineStr">
        <is>
          <t>Gold &amp; Precious Metals</t>
        </is>
      </c>
      <c r="G232" s="63" t="inlineStr">
        <is>
          <t>Standard</t>
        </is>
      </c>
      <c r="H232" s="64" t="n">
        <v>45282</v>
      </c>
      <c r="I232" s="65" t="n">
        <v>275</v>
      </c>
      <c r="J232" s="63" t="inlineStr">
        <is>
          <t>gross (price x shares)</t>
        </is>
      </c>
      <c r="K232" s="66" t="n"/>
      <c r="L232" s="66" t="n">
        <v>0.75</v>
      </c>
      <c r="M232" s="66" t="n">
        <v>0.55</v>
      </c>
      <c r="N232" s="63" t="inlineStr">
        <is>
          <t>N</t>
        </is>
      </c>
      <c r="O232" s="67" t="n">
        <v>73.3</v>
      </c>
      <c r="P232" s="67" t="n"/>
      <c r="Q232" s="68" t="n">
        <v>1100</v>
      </c>
      <c r="R232" s="63" t="inlineStr">
        <is>
          <t>derived:price x shares upon listing</t>
        </is>
      </c>
      <c r="S232" s="69" t="n">
        <v>8.76</v>
      </c>
      <c r="T232" s="70" t="n">
        <v>1.03</v>
      </c>
      <c r="U232" s="71" t="n">
        <v>39.6</v>
      </c>
      <c r="V232" s="68" t="n">
        <v>166.1</v>
      </c>
      <c r="W232" s="68" t="n">
        <v>302000000</v>
      </c>
      <c r="X232" s="67" t="n">
        <v>15.1</v>
      </c>
      <c r="Y232" s="63" t="inlineStr">
        <is>
          <t>Dongfang Gold Industry (Hong Kong) Limited</t>
        </is>
      </c>
      <c r="Z232" s="63" t="inlineStr">
        <is>
          <t>dongfang</t>
        </is>
      </c>
      <c r="AA232" s="67" t="n"/>
      <c r="AB232" s="72" t="n"/>
      <c r="AC232" s="66" t="n"/>
      <c r="AD232" s="72" t="n"/>
      <c r="AE232" s="63" t="n"/>
      <c r="AF232" s="63" t="n"/>
      <c r="AG232" s="63" t="inlineStr">
        <is>
          <t>lapsed</t>
        </is>
      </c>
      <c r="AH232" s="63" t="n"/>
      <c r="AI232" s="63" t="n"/>
      <c r="AJ232" s="63" t="n"/>
      <c r="AK232" s="73" t="n">
        <v>1.82</v>
      </c>
      <c r="AL232" s="72" t="n">
        <v>-7.27</v>
      </c>
      <c r="AM232" s="72" t="n">
        <v>9.800000000000001</v>
      </c>
      <c r="AN232" s="72" t="n">
        <v>0</v>
      </c>
      <c r="AO232" s="72" t="n">
        <v>1.82</v>
      </c>
      <c r="AP232" s="72" t="n">
        <v>12.73</v>
      </c>
      <c r="AQ232" s="72" t="n">
        <v>-1.79</v>
      </c>
      <c r="AR232" s="72" t="n">
        <v>0</v>
      </c>
      <c r="AS232" s="72" t="n">
        <v>10.71</v>
      </c>
      <c r="AT232" s="72" t="n">
        <v>0.15</v>
      </c>
      <c r="AU232" s="72" t="n">
        <v>5.29</v>
      </c>
      <c r="AV232" s="72" t="n">
        <v>12.38</v>
      </c>
      <c r="AW232" s="72" t="n">
        <v>0.48</v>
      </c>
      <c r="AX232" s="72" t="n">
        <v>-3.47</v>
      </c>
      <c r="AY232" s="72" t="n">
        <v>-0.48</v>
      </c>
      <c r="AZ232" s="63" t="inlineStr">
        <is>
          <t>Hang Seng Commerce &amp; Industry sub-index</t>
        </is>
      </c>
      <c r="BA232" s="72" t="n">
        <v>55.45</v>
      </c>
      <c r="BB232" s="64" t="inlineStr">
        <is>
          <t>2026-08-28</t>
        </is>
      </c>
      <c r="BC232" s="65" t="n">
        <v>460.3</v>
      </c>
      <c r="BD232" s="68" t="n">
        <v>133.1</v>
      </c>
      <c r="BE232" s="63" t="inlineStr">
        <is>
          <t>Y</t>
        </is>
      </c>
      <c r="BF232" s="74" t="n">
        <v>8.300000000000001</v>
      </c>
      <c r="BG232" s="74" t="n"/>
      <c r="BH232" s="74" t="n">
        <v>14</v>
      </c>
      <c r="BI232" s="74" t="n">
        <v>2.4</v>
      </c>
      <c r="BJ232" s="75">
        <f>IF('BBG Verify'!S232="","not filed — run on terminal",'BBG Verify'!S232)</f>
        <v/>
      </c>
      <c r="BK232" s="76" t="inlineStr">
        <is>
          <t>N</t>
        </is>
      </c>
      <c r="BL232" s="77">
        <f>IF('BBG Verify'!K232="","not filed — run on terminal",'BBG Verify'!K232)</f>
        <v/>
      </c>
      <c r="BM232" s="63" t="inlineStr">
        <is>
          <t>N/A</t>
        </is>
      </c>
      <c r="BN232" s="63" t="inlineStr">
        <is>
          <t>N/A</t>
        </is>
      </c>
      <c r="BO232" s="63" t="inlineStr">
        <is>
          <t>N/A</t>
        </is>
      </c>
      <c r="BP232" s="63" t="inlineStr">
        <is>
          <t>N/A</t>
        </is>
      </c>
      <c r="BQ232" s="63" t="inlineStr">
        <is>
          <t>N/A</t>
        </is>
      </c>
      <c r="BR232" s="63" t="inlineStr">
        <is>
          <t>N/A</t>
        </is>
      </c>
      <c r="BS232" s="76" t="n"/>
      <c r="BT232" s="63" t="inlineStr">
        <is>
          <t>Innovax Capital Limited</t>
        </is>
      </c>
      <c r="BU232" s="63" t="inlineStr">
        <is>
          <t>ABCI Securities Company Limited; Astrum Capital Management Limited; Beta International Securities Limited; CCB International Capital Limited; Citrus Securities Limited; CMBC Securities Company Limited</t>
        </is>
      </c>
      <c r="BV232" s="63" t="inlineStr">
        <is>
          <t>ABCI Securities Company Limited; Astrum Capital Management Limited; Beta International Securities Limited; CCB International Capital Limited; Citrus Securities Limited; CMBC Securities Company Limited; China Sunrise Securities (International) Limited; Elstone Securities Limited; Eddid Securities and Futures Limited; First Shanghai Securities Limited; Futu Securities International (Hong Kong) Limited; Innovax Securities Limited</t>
        </is>
      </c>
      <c r="BW232" s="78">
        <f>HYPERLINK("https://www1.hkexnews.hk/listedco/listconews/sehk/2023/1214/2023121400088.htm","prospectus")</f>
        <v/>
      </c>
      <c r="BX232" s="78">
        <f>HYPERLINK("https://www1.hkexnews.hk/listedco/listconews/sehk/2023/1221/2023122101236.pdf","allotment")</f>
        <v/>
      </c>
      <c r="BY232" s="78">
        <f>HYPERLINK("https://www1.hkexnews.hk/listedco/listconews/sehk/2024/0119/2024011900977.pdf","stabilisation")</f>
        <v/>
      </c>
      <c r="BZ232" s="76" t="n"/>
      <c r="CA232" s="63" t="inlineStr">
        <is>
          <t>greenshoe: over-allotment outcome already published, and the allotment announcement does not state the stabilisation expiry in a parsable form — the expiry no longer matters once resolved · range low: cap-only pricing — the filing publishes a Maximum Offer Price and no indicative floor · A/H: no A-share listing · sponsor: English name not in the filing text; AAStocks 保薦人 shown · greenshoe size: no over-allotment option in the offer structure · stabilising manager: neither the allotment announcement's cover sentence nor the prospectus definitions glossary names one in a form the parser reads — not inferred from the sponsor · grey market: no grey-market headline on file for this deal — AAStocks publishes one per listing but keeps only recent items on the stock's news page, and no public archive of past evening sessions exists; captured from this run onward</t>
        </is>
      </c>
    </row>
    <row r="233" ht="15" customHeight="1">
      <c r="A233" s="62" t="inlineStr">
        <is>
          <t>2511</t>
        </is>
      </c>
      <c r="B233" s="63" t="inlineStr">
        <is>
          <t>HIGHTIDE-B</t>
        </is>
      </c>
      <c r="C233" s="63" t="inlineStr">
        <is>
          <t>君聖泰醫藥－Ｂ</t>
        </is>
      </c>
      <c r="D233" s="63" t="inlineStr">
        <is>
          <t>Healthcare</t>
        </is>
      </c>
      <c r="E233" s="63" t="inlineStr">
        <is>
          <t>Biotech pre-revenue (18A)</t>
        </is>
      </c>
      <c r="F233" s="63" t="inlineStr">
        <is>
          <t>Biotechnology - Pharmaceuticals</t>
        </is>
      </c>
      <c r="G233" s="63" t="inlineStr">
        <is>
          <t>18A</t>
        </is>
      </c>
      <c r="H233" s="64" t="n">
        <v>45282</v>
      </c>
      <c r="I233" s="65" t="n">
        <v>278.2</v>
      </c>
      <c r="J233" s="63" t="inlineStr">
        <is>
          <t>gross (price x shares)</t>
        </is>
      </c>
      <c r="K233" s="66" t="n"/>
      <c r="L233" s="66" t="n">
        <v>11.5</v>
      </c>
      <c r="M233" s="66" t="n">
        <v>11.5</v>
      </c>
      <c r="N233" s="63" t="inlineStr">
        <is>
          <t>Y</t>
        </is>
      </c>
      <c r="O233" s="67" t="n">
        <v>100</v>
      </c>
      <c r="P233" s="67" t="n"/>
      <c r="Q233" s="68" t="n">
        <v>5919.9</v>
      </c>
      <c r="R233" s="63" t="inlineStr">
        <is>
          <t>derived:price x shares upon listing</t>
        </is>
      </c>
      <c r="S233" s="69" t="n">
        <v>32.22</v>
      </c>
      <c r="T233" s="70" t="n">
        <v>1.25</v>
      </c>
      <c r="U233" s="71" t="n">
        <v>39.21</v>
      </c>
      <c r="V233" s="68" t="n">
        <v>169.12</v>
      </c>
      <c r="W233" s="68" t="n">
        <v>14707533</v>
      </c>
      <c r="X233" s="67" t="n">
        <v>2.86</v>
      </c>
      <c r="Y233" s="63" t="inlineStr">
        <is>
          <t>Cangzhou Chuangrong Equity Investment Fund Co., Ltd</t>
        </is>
      </c>
      <c r="Z233" s="63" t="inlineStr">
        <is>
          <t>cangzhou</t>
        </is>
      </c>
      <c r="AA233" s="67" t="n"/>
      <c r="AB233" s="72" t="n"/>
      <c r="AC233" s="66" t="n"/>
      <c r="AD233" s="72" t="n"/>
      <c r="AE233" s="63" t="n"/>
      <c r="AF233" s="63" t="n"/>
      <c r="AG233" s="63" t="n"/>
      <c r="AH233" s="63" t="n"/>
      <c r="AI233" s="63" t="n"/>
      <c r="AJ233" s="63" t="n"/>
      <c r="AK233" s="73" t="n">
        <v>7.65</v>
      </c>
      <c r="AL233" s="72" t="n">
        <v>3.65</v>
      </c>
      <c r="AM233" s="72" t="n">
        <v>3.86</v>
      </c>
      <c r="AN233" s="72" t="n">
        <v>1.91</v>
      </c>
      <c r="AO233" s="72" t="n">
        <v>5.22</v>
      </c>
      <c r="AP233" s="72" t="n">
        <v>-50.61</v>
      </c>
      <c r="AQ233" s="72" t="n">
        <v>-5.33</v>
      </c>
      <c r="AR233" s="72" t="n">
        <v>-2.26</v>
      </c>
      <c r="AS233" s="72" t="n">
        <v>-54.12</v>
      </c>
      <c r="AT233" s="72" t="n">
        <v>0.98</v>
      </c>
      <c r="AU233" s="72" t="n">
        <v>13.58</v>
      </c>
      <c r="AV233" s="72" t="n">
        <v>-35.04</v>
      </c>
      <c r="AW233" s="72" t="n">
        <v>4.86</v>
      </c>
      <c r="AX233" s="72" t="n">
        <v>-8.359999999999999</v>
      </c>
      <c r="AY233" s="72" t="n">
        <v>-7.12</v>
      </c>
      <c r="AZ233" s="63" t="inlineStr">
        <is>
          <t>China Biotech ETF (HS biotech proxy)</t>
        </is>
      </c>
      <c r="BA233" s="72" t="n">
        <v>-73.3</v>
      </c>
      <c r="BB233" s="64" t="inlineStr">
        <is>
          <t>2026-08-28</t>
        </is>
      </c>
      <c r="BC233" s="65" t="n">
        <v>0</v>
      </c>
      <c r="BD233" s="68" t="n">
        <v>-209.2</v>
      </c>
      <c r="BE233" s="63" t="inlineStr">
        <is>
          <t>N</t>
        </is>
      </c>
      <c r="BF233" s="63" t="inlineStr">
        <is>
          <t>n/m</t>
        </is>
      </c>
      <c r="BG233" s="74" t="n"/>
      <c r="BH233" s="74" t="n"/>
      <c r="BI233" s="63" t="inlineStr">
        <is>
          <t>pre-rev</t>
        </is>
      </c>
      <c r="BJ233" s="75">
        <f>IF('BBG Verify'!S233="","not filed — run on terminal",'BBG Verify'!S233)</f>
        <v/>
      </c>
      <c r="BK233" s="76" t="inlineStr">
        <is>
          <t>N</t>
        </is>
      </c>
      <c r="BL233" s="77">
        <f>IF('BBG Verify'!K233="","not filed — run on terminal",'BBG Verify'!K233)</f>
        <v/>
      </c>
      <c r="BM233" s="63" t="inlineStr">
        <is>
          <t>N/A</t>
        </is>
      </c>
      <c r="BN233" s="63" t="inlineStr">
        <is>
          <t>N/A</t>
        </is>
      </c>
      <c r="BO233" s="63" t="inlineStr">
        <is>
          <t>N/A</t>
        </is>
      </c>
      <c r="BP233" s="63" t="inlineStr">
        <is>
          <t>N/A</t>
        </is>
      </c>
      <c r="BQ233" s="63" t="inlineStr">
        <is>
          <t>N/A</t>
        </is>
      </c>
      <c r="BR233" s="63" t="inlineStr">
        <is>
          <t>N/A</t>
        </is>
      </c>
      <c r="BS233" s="76" t="n"/>
      <c r="BT233" s="63" t="inlineStr">
        <is>
          <t>UBS Securities Hong Kong Limited; Huatai Financial Holdings (Hong Kong) Limited</t>
        </is>
      </c>
      <c r="BU233" s="63" t="inlineStr">
        <is>
          <t>sa nd Joint Lead Managers UBS AG Hon g Kong Branch; CapitalM arket Interme diarie s UBS AG Hon g Kong Branch</t>
        </is>
      </c>
      <c r="BV233" s="63" t="inlineStr">
        <is>
          <t>Beta International Securities Limited; CCB International Capital Limited; CLSA Limited; CMB International Capital Limited; Fosun International Securities Limited; Goldlink Securities Limited; Huatai Financial Holdings (Hong Kong) Limited; I Win Securities Limited; Shenwan Hongyuan Securities (H.K.) Limited; UBS AG Hong Kong Branch</t>
        </is>
      </c>
      <c r="BW233" s="78">
        <f>HYPERLINK("https://www1.hkexnews.hk/listedco/listconews/sehk/2023/1214/2023121400045.pdf","prospectus")</f>
        <v/>
      </c>
      <c r="BX233" s="78">
        <f>HYPERLINK("https://www1.hkexnews.hk/listedco/listconews/sehk/2023/1221/2023122101298.pdf","allotment")</f>
        <v/>
      </c>
      <c r="BY233" s="63" t="n"/>
      <c r="BZ233" s="76" t="n"/>
      <c r="CA233" s="63" t="inlineStr">
        <is>
          <t>P/E: n/m — loss-making at IPO (use P/S) · greenshoe: no over-allotment option in the offer structure · range low: cap-only pricing — the filing publishes a Maximum Offer Price and no indicative floor · A/H: no A-share listing · sponsor: English name not in the filing text; AAStocks 保薦人 shown · market cap: prospectus 'market capitalisation' line rejected — it is the listing-rule threshold, not the issuer's figure ("s. As a result, over 25% of our issued share capital with a market capitalization of at least HK$375 million w") · greenshoe size: no over-allotment option in the offer structure · P/S: no revenue line in the filed P&amp;L (pre-revenue issuer) — no sales multiple can exist; the cell reads pre-rev, not blank · stabilising manager: no over-allotment option in the offer structure, so no stabilising manager is appointed · grey market: no grey-market headline on file for this deal — AAStocks publishes one per listing but keeps only recent items on the stock's news page, and no public archive of past evening sessions exists; captured from this run onward</t>
        </is>
      </c>
    </row>
    <row r="234" ht="15" customHeight="1">
      <c r="A234" s="62" t="inlineStr">
        <is>
          <t>6911</t>
        </is>
      </c>
      <c r="B234" s="63" t="inlineStr">
        <is>
          <t>LANCANG TEA</t>
        </is>
      </c>
      <c r="C234" s="63" t="inlineStr">
        <is>
          <t>瀾滄古茶</t>
        </is>
      </c>
      <c r="D234" s="63" t="inlineStr">
        <is>
          <t>Consumer</t>
        </is>
      </c>
      <c r="E234" s="63" t="inlineStr">
        <is>
          <t>Beverages / packaged food</t>
        </is>
      </c>
      <c r="F234" s="63" t="inlineStr">
        <is>
          <t>Beverages (Non-alcoholic)</t>
        </is>
      </c>
      <c r="G234" s="63" t="inlineStr">
        <is>
          <t>Standard</t>
        </is>
      </c>
      <c r="H234" s="64" t="n">
        <v>45282</v>
      </c>
      <c r="I234" s="65" t="n">
        <v>224.7</v>
      </c>
      <c r="J234" s="63" t="inlineStr">
        <is>
          <t>gross (price x shares)</t>
        </is>
      </c>
      <c r="K234" s="66" t="n">
        <v>10.4</v>
      </c>
      <c r="L234" s="66" t="n">
        <v>14.16</v>
      </c>
      <c r="M234" s="66" t="n">
        <v>10.7</v>
      </c>
      <c r="N234" s="63" t="inlineStr">
        <is>
          <t>N</t>
        </is>
      </c>
      <c r="O234" s="67" t="n">
        <v>75.59999999999999</v>
      </c>
      <c r="P234" s="67" t="n">
        <v>8</v>
      </c>
      <c r="Q234" s="68" t="n">
        <v>898.8</v>
      </c>
      <c r="R234" s="63" t="inlineStr">
        <is>
          <t>derived:price x shares upon listing</t>
        </is>
      </c>
      <c r="S234" s="69" t="n">
        <v>13.23</v>
      </c>
      <c r="T234" s="70" t="n">
        <v>1.32</v>
      </c>
      <c r="U234" s="71" t="n">
        <v>50.31</v>
      </c>
      <c r="V234" s="68" t="n">
        <v>111.65</v>
      </c>
      <c r="W234" s="68" t="n">
        <v>10434900</v>
      </c>
      <c r="X234" s="67" t="n">
        <v>12.42</v>
      </c>
      <c r="Y234" s="63" t="inlineStr">
        <is>
          <t>China Ocean View Group Limited; Harvest Global Capital Investments Limited; Lancang Green Resource Investment Co., Ltd; ROSY DAY INVESTMENTS LIMITED; Wang Chunyu</t>
        </is>
      </c>
      <c r="Z234" s="63" t="inlineStr">
        <is>
          <t>ocean;harvest;lancang;rosy;wang-chunyu</t>
        </is>
      </c>
      <c r="AA234" s="67" t="n">
        <v>2.6</v>
      </c>
      <c r="AB234" s="72" t="n"/>
      <c r="AC234" s="66" t="n"/>
      <c r="AD234" s="72" t="n"/>
      <c r="AE234" s="63" t="n"/>
      <c r="AF234" s="63" t="n"/>
      <c r="AG234" s="63" t="inlineStr">
        <is>
          <t>lapsed</t>
        </is>
      </c>
      <c r="AH234" s="63" t="n"/>
      <c r="AI234" s="63" t="n"/>
      <c r="AJ234" s="63" t="n"/>
      <c r="AK234" s="73" t="n">
        <v>-18.69</v>
      </c>
      <c r="AL234" s="72" t="n">
        <v>0</v>
      </c>
      <c r="AM234" s="72" t="n">
        <v>-18.69</v>
      </c>
      <c r="AN234" s="72" t="n">
        <v>0</v>
      </c>
      <c r="AO234" s="72" t="n">
        <v>-14.77</v>
      </c>
      <c r="AP234" s="72" t="n">
        <v>2.8</v>
      </c>
      <c r="AQ234" s="72" t="n">
        <v>22.99</v>
      </c>
      <c r="AR234" s="72" t="n">
        <v>4.82</v>
      </c>
      <c r="AS234" s="72" t="n">
        <v>26.43</v>
      </c>
      <c r="AT234" s="72" t="n">
        <v>0.15</v>
      </c>
      <c r="AU234" s="72" t="n">
        <v>-11.3</v>
      </c>
      <c r="AV234" s="72" t="n">
        <v>2.45</v>
      </c>
      <c r="AW234" s="72" t="n">
        <v>5.3</v>
      </c>
      <c r="AX234" s="72" t="n">
        <v>-3.47</v>
      </c>
      <c r="AY234" s="72" t="n">
        <v>-0.48</v>
      </c>
      <c r="AZ234" s="63" t="inlineStr">
        <is>
          <t>Hang Seng Commerce &amp; Industry sub-index</t>
        </is>
      </c>
      <c r="BA234" s="72" t="n">
        <v>-72.52</v>
      </c>
      <c r="BB234" s="64" t="inlineStr">
        <is>
          <t>2026-08-31</t>
        </is>
      </c>
      <c r="BC234" s="65" t="n">
        <v>509.2</v>
      </c>
      <c r="BD234" s="68" t="n">
        <v>77.5</v>
      </c>
      <c r="BE234" s="63" t="inlineStr">
        <is>
          <t>Y</t>
        </is>
      </c>
      <c r="BF234" s="74" t="n">
        <v>11.6</v>
      </c>
      <c r="BG234" s="74" t="n"/>
      <c r="BH234" s="74" t="n"/>
      <c r="BI234" s="74" t="n">
        <v>1.8</v>
      </c>
      <c r="BJ234" s="75">
        <f>IF('BBG Verify'!S234="","not filed — run on terminal",'BBG Verify'!S234)</f>
        <v/>
      </c>
      <c r="BK234" s="76" t="inlineStr">
        <is>
          <t>N</t>
        </is>
      </c>
      <c r="BL234" s="77">
        <f>IF('BBG Verify'!K234="","not filed — run on terminal",'BBG Verify'!K234)</f>
        <v/>
      </c>
      <c r="BM234" s="63" t="inlineStr">
        <is>
          <t>N/A</t>
        </is>
      </c>
      <c r="BN234" s="63" t="inlineStr">
        <is>
          <t>N/A</t>
        </is>
      </c>
      <c r="BO234" s="63" t="inlineStr">
        <is>
          <t>N/A</t>
        </is>
      </c>
      <c r="BP234" s="63" t="inlineStr">
        <is>
          <t>N/A</t>
        </is>
      </c>
      <c r="BQ234" s="63" t="inlineStr">
        <is>
          <t>N/A</t>
        </is>
      </c>
      <c r="BR234" s="63" t="inlineStr">
        <is>
          <t>N/A</t>
        </is>
      </c>
      <c r="BS234" s="76" t="inlineStr">
        <is>
          <t>China Securities (International) Corporate Finance Company Limited; China Merchants Securities (HK) Co., Limited</t>
        </is>
      </c>
      <c r="BT234" s="63" t="inlineStr">
        <is>
          <t>China Securities (International) Corporate Finance Company Limited; China Merchants Securities (HK) Company Limited</t>
        </is>
      </c>
      <c r="BU234" s="63" t="inlineStr">
        <is>
          <t>China Securities (International) Corporate Finance Company Limited; China Merchants Securities (HK) Co., Limited; ABCI Capital Limited; CMB International Capital Limited; Haitong International Securities Company Limited; Zhongtai International Securities Limited; Eddid Securities and Futures Limited; ICBC International Securities Limited; Valuable Capital Limited; Futu Securities International (Hong Kong) Limited; Shenwan Hongyuan Securities (H.K.) Limited</t>
        </is>
      </c>
      <c r="BV234" s="63" t="inlineStr">
        <is>
          <t>ABCI Securities Company Limited; CMB International Capital Limited; China Merchants Securities (HK) Company Limited; China Securities (International) Corporate Finance Company Limited; Eddid Securities and Futures Limited; Futu Securities International (Hong Kong) Limited; Haitong International Securities Company Limited; ICBC International Securities Limited; Livermore Holdings Limited; Shenwan Hongyuan Securities (H.K.) Limited; Valuable Capital Limited; Zhongtai International Securities Limited</t>
        </is>
      </c>
      <c r="BW234" s="78">
        <f>HYPERLINK("https://www1.hkexnews.hk/listedco/listconews/sehk/2023/1214/2023121400011.pdf","prospectus")</f>
        <v/>
      </c>
      <c r="BX234" s="78">
        <f>HYPERLINK("https://www1.hkexnews.hk/listedco/listconews/sehk/2023/1221/2023122101314.pdf","allotment")</f>
        <v/>
      </c>
      <c r="BY234" s="78">
        <f>HYPERLINK("https://www1.hkexnews.hk/listedco/listconews/sehk/2024/0118/2024011800501.pdf","stabilisation")</f>
        <v/>
      </c>
      <c r="BZ234" s="76" t="n"/>
      <c r="CA234" s="63" t="inlineStr">
        <is>
          <t>greenshoe: over-allotment outcome already published, and the allotment announcement does not state the stabilisation expiry in a parsable form — the expiry no longer matters once resolved · A/H: no A-share listing · stabilising manager: neither the allotment announcement's cover sentence nor the prospectus definitions glossary names one in a form the parser reads — not inferred from the sponsor · grey market: no grey-market headline on file for this deal — AAStocks publishes one per listing but keeps only recent items on the stock's news page, and no public archive of past evening sessions exists; captured from this run onward</t>
        </is>
      </c>
    </row>
    <row r="235" ht="15" customHeight="1">
      <c r="A235" s="62" t="inlineStr">
        <is>
          <t>2149</t>
        </is>
      </c>
      <c r="B235" s="63" t="inlineStr">
        <is>
          <t>BATELAB</t>
        </is>
      </c>
      <c r="C235" s="63" t="inlineStr">
        <is>
          <t>貝克微</t>
        </is>
      </c>
      <c r="D235" s="63" t="inlineStr">
        <is>
          <t>Tech/AI</t>
        </is>
      </c>
      <c r="E235" s="63" t="inlineStr">
        <is>
          <t>AI chips &amp; semis</t>
        </is>
      </c>
      <c r="F235" s="63" t="inlineStr">
        <is>
          <t>Semiconductors &amp; Semiconductor Equipment</t>
        </is>
      </c>
      <c r="G235" s="63" t="inlineStr">
        <is>
          <t>Standard</t>
        </is>
      </c>
      <c r="H235" s="64" t="n">
        <v>45288</v>
      </c>
      <c r="I235" s="65" t="n">
        <v>412.1</v>
      </c>
      <c r="J235" s="63" t="inlineStr">
        <is>
          <t>gross (price x shares)</t>
        </is>
      </c>
      <c r="K235" s="66" t="n">
        <v>27.47</v>
      </c>
      <c r="L235" s="66" t="n">
        <v>38.45</v>
      </c>
      <c r="M235" s="66" t="n">
        <v>27.47</v>
      </c>
      <c r="N235" s="63" t="inlineStr">
        <is>
          <t>N</t>
        </is>
      </c>
      <c r="O235" s="67" t="n">
        <v>71.40000000000001</v>
      </c>
      <c r="P235" s="67" t="n">
        <v>0</v>
      </c>
      <c r="Q235" s="68" t="n">
        <v>1648.2</v>
      </c>
      <c r="R235" s="63" t="inlineStr">
        <is>
          <t>derived:price x shares upon listing</t>
        </is>
      </c>
      <c r="S235" s="69" t="n">
        <v>1.34</v>
      </c>
      <c r="T235" s="70" t="n">
        <v>1.36</v>
      </c>
      <c r="U235" s="71" t="n">
        <v>0</v>
      </c>
      <c r="V235" s="68" t="n">
        <v>412.1</v>
      </c>
      <c r="W235" s="68" t="n">
        <v>15000000</v>
      </c>
      <c r="X235" s="67" t="n">
        <v>25</v>
      </c>
      <c r="Y235" s="63" t="n"/>
      <c r="Z235" s="63" t="n"/>
      <c r="AA235" s="67" t="n">
        <v>13.2</v>
      </c>
      <c r="AB235" s="72" t="n"/>
      <c r="AC235" s="66" t="n"/>
      <c r="AD235" s="72" t="n"/>
      <c r="AE235" s="63" t="n"/>
      <c r="AF235" s="63" t="n"/>
      <c r="AG235" s="63" t="inlineStr">
        <is>
          <t>lapsed (no over-allocation)</t>
        </is>
      </c>
      <c r="AH235" s="63" t="inlineStr">
        <is>
          <t>2024-01-20</t>
        </is>
      </c>
      <c r="AI235" s="63" t="inlineStr">
        <is>
          <t>China International Capital Corporation Hong Kong Securities Limited</t>
        </is>
      </c>
      <c r="AJ235" s="63" t="inlineStr">
        <is>
          <t>China International</t>
        </is>
      </c>
      <c r="AK235" s="73" t="n">
        <v>-17.36</v>
      </c>
      <c r="AL235" s="72" t="n">
        <v>-8.81</v>
      </c>
      <c r="AM235" s="72" t="n">
        <v>-9.380000000000001</v>
      </c>
      <c r="AN235" s="72" t="n">
        <v>-8.630000000000001</v>
      </c>
      <c r="AO235" s="72" t="n">
        <v>-25.74</v>
      </c>
      <c r="AP235" s="72" t="n">
        <v>-13.36</v>
      </c>
      <c r="AQ235" s="72" t="n">
        <v>10.56</v>
      </c>
      <c r="AR235" s="72" t="n">
        <v>-10.14</v>
      </c>
      <c r="AS235" s="72" t="n">
        <v>4.84</v>
      </c>
      <c r="AT235" s="72" t="n">
        <v>-7.51</v>
      </c>
      <c r="AU235" s="72" t="n">
        <v>-13.87</v>
      </c>
      <c r="AV235" s="72" t="n">
        <v>-10.39</v>
      </c>
      <c r="AW235" s="72" t="n">
        <v>4.5</v>
      </c>
      <c r="AX235" s="72" t="n">
        <v>-11.87</v>
      </c>
      <c r="AY235" s="72" t="n">
        <v>-14.64</v>
      </c>
      <c r="AZ235" s="63" t="inlineStr">
        <is>
          <t>HSTECH (Hang Seng TECH ETF)</t>
        </is>
      </c>
      <c r="BA235" s="72" t="n">
        <v>17.58</v>
      </c>
      <c r="BB235" s="64" t="inlineStr">
        <is>
          <t>2026-08-28</t>
        </is>
      </c>
      <c r="BC235" s="65" t="n">
        <v>387.8</v>
      </c>
      <c r="BD235" s="68" t="n">
        <v>104.8</v>
      </c>
      <c r="BE235" s="63" t="inlineStr">
        <is>
          <t>Y</t>
        </is>
      </c>
      <c r="BF235" s="74" t="n">
        <v>15.7</v>
      </c>
      <c r="BG235" s="74" t="n"/>
      <c r="BH235" s="74" t="n">
        <v>13.4</v>
      </c>
      <c r="BI235" s="74" t="n">
        <v>4.3</v>
      </c>
      <c r="BJ235" s="75">
        <f>IF('BBG Verify'!S235="","not filed — run on terminal",'BBG Verify'!S235)</f>
        <v/>
      </c>
      <c r="BK235" s="76" t="inlineStr">
        <is>
          <t>N</t>
        </is>
      </c>
      <c r="BL235" s="77">
        <f>IF('BBG Verify'!K235="","not filed — run on terminal",'BBG Verify'!K235)</f>
        <v/>
      </c>
      <c r="BM235" s="63" t="inlineStr">
        <is>
          <t>N/A</t>
        </is>
      </c>
      <c r="BN235" s="63" t="inlineStr">
        <is>
          <t>N/A</t>
        </is>
      </c>
      <c r="BO235" s="63" t="inlineStr">
        <is>
          <t>N/A</t>
        </is>
      </c>
      <c r="BP235" s="63" t="inlineStr">
        <is>
          <t>N/A</t>
        </is>
      </c>
      <c r="BQ235" s="63" t="inlineStr">
        <is>
          <t>N/A</t>
        </is>
      </c>
      <c r="BR235" s="63" t="inlineStr">
        <is>
          <t>N/A</t>
        </is>
      </c>
      <c r="BS235" s="76" t="n"/>
      <c r="BT235" s="63" t="inlineStr">
        <is>
          <t>China International Capital Corporation Hong Kong Securities Limited</t>
        </is>
      </c>
      <c r="BU235" s="63" t="inlineStr">
        <is>
          <t>China International Capital Corporation Hong Kong Securities Limited; China Galaxy International Securities (Hong Kong) Co., Limited; CMB International Capital Limited; GF Securities (Hong Kong) Brokerage Limited; Guotai Junan Securities (Hong Kong) Limited; (Hong Kong) Co., Limited; ABCI Capital Limited; ICBC International Securities Limited; Soochow Securities International Brokerage Limited</t>
        </is>
      </c>
      <c r="BV235" s="63" t="inlineStr">
        <is>
          <t>ABCI Securities Company Limited; China Galaxy International Securities (Hong Kong) Company Limited; China International Capital Corporation Hong Kong Securities Limited; CMB International Capital Limited; Futu Securities International (Hong Kong) Limited; GF Securities (Hong Kong) Brokerage Limited; Guotai Junan Securities (Hong Kong) Limited; ICBC International Securities Limited; Livermore Holdings Limited; Silverbricks Securities Company Limited; Soochow Securities International Brokerage Limited; Tiger Brokers (HK) Global Limited</t>
        </is>
      </c>
      <c r="BW235" s="78">
        <f>HYPERLINK("https://www1.hkexnews.hk/listedco/listconews/sehk/2023/1218/2023121800007.pdf","prospectus")</f>
        <v/>
      </c>
      <c r="BX235" s="78">
        <f>HYPERLINK("https://www1.hkexnews.hk/listedco/listconews/sehk/2023/1227/2023122701489.pdf","allotment")</f>
        <v/>
      </c>
      <c r="BY235" s="78">
        <f>HYPERLINK("https://www1.hkexnews.hk/listedco/listconews/sehk/2024/0122/2024012200299.pdf","stabilisation")</f>
        <v/>
      </c>
      <c r="BZ235" s="76" t="n"/>
      <c r="CA235" s="63" t="inlineStr">
        <is>
          <t>A/H: no A-share listing · sponsor: English name not in the filing text; AAStocks 保薦人 shown · cornerstone list: no cornerstone tranche in this deal · grey market: no grey-market headline on file for this deal — AAStocks publishes one per listing but keeps only recent items on the stock's news page, and no public archive of past evening sessions exists; captured from this run onward</t>
        </is>
      </c>
    </row>
    <row r="236" ht="15" customHeight="1">
      <c r="A236" s="62" t="inlineStr">
        <is>
          <t>9880</t>
        </is>
      </c>
      <c r="B236" s="63" t="inlineStr">
        <is>
          <t>UBTECH ROBOTICS</t>
        </is>
      </c>
      <c r="C236" s="63" t="inlineStr">
        <is>
          <t>優必選</t>
        </is>
      </c>
      <c r="D236" s="63" t="inlineStr">
        <is>
          <t>Tech/AI</t>
        </is>
      </c>
      <c r="E236" s="63" t="inlineStr">
        <is>
          <t>Robotics &amp; autonomous driving</t>
        </is>
      </c>
      <c r="F236" s="63" t="inlineStr">
        <is>
          <t>Application Software</t>
        </is>
      </c>
      <c r="G236" s="63" t="inlineStr">
        <is>
          <t>Standard</t>
        </is>
      </c>
      <c r="H236" s="64" t="n">
        <v>45289</v>
      </c>
      <c r="I236" s="65" t="n">
        <v>1015.38</v>
      </c>
      <c r="J236" s="63" t="inlineStr">
        <is>
          <t>gross (stated)</t>
        </is>
      </c>
      <c r="K236" s="66" t="n">
        <v>86</v>
      </c>
      <c r="L236" s="66" t="n">
        <v>116</v>
      </c>
      <c r="M236" s="66" t="n">
        <v>90</v>
      </c>
      <c r="N236" s="63" t="inlineStr">
        <is>
          <t>N</t>
        </is>
      </c>
      <c r="O236" s="67" t="n">
        <v>77.59999999999999</v>
      </c>
      <c r="P236" s="67" t="n">
        <v>13.3</v>
      </c>
      <c r="Q236" s="68" t="n">
        <v>37606.6</v>
      </c>
      <c r="R236" s="63" t="inlineStr">
        <is>
          <t>derived:price x shares upon listing</t>
        </is>
      </c>
      <c r="S236" s="69" t="n">
        <v>5.16</v>
      </c>
      <c r="T236" s="70" t="n">
        <v>2.16</v>
      </c>
      <c r="U236" s="71" t="n">
        <v>54.2</v>
      </c>
      <c r="V236" s="68" t="n">
        <v>465.04</v>
      </c>
      <c r="W236" s="68" t="n">
        <v>5167156</v>
      </c>
      <c r="X236" s="67" t="n">
        <v>1.24</v>
      </c>
      <c r="Y236" s="63" t="inlineStr">
        <is>
          <t>E-Town International Holding (Hong Kong) Co., Limited</t>
        </is>
      </c>
      <c r="Z236" s="63" t="inlineStr">
        <is>
          <t>town</t>
        </is>
      </c>
      <c r="AA236" s="67" t="n">
        <v>15</v>
      </c>
      <c r="AB236" s="72" t="n"/>
      <c r="AC236" s="66" t="n"/>
      <c r="AD236" s="72" t="n"/>
      <c r="AE236" s="63" t="n"/>
      <c r="AF236" s="63" t="n"/>
      <c r="AG236" s="63" t="inlineStr">
        <is>
          <t>partial</t>
        </is>
      </c>
      <c r="AH236" s="63" t="inlineStr">
        <is>
          <t>2024-01-21</t>
        </is>
      </c>
      <c r="AI236" s="63" t="inlineStr">
        <is>
          <t>Guotai Junan Securities</t>
        </is>
      </c>
      <c r="AJ236" s="63" t="inlineStr">
        <is>
          <t>Guotai Junan</t>
        </is>
      </c>
      <c r="AK236" s="73" t="n">
        <v>0.9399999999999999</v>
      </c>
      <c r="AL236" s="72" t="n">
        <v>-0.11</v>
      </c>
      <c r="AM236" s="72" t="n">
        <v>1.05</v>
      </c>
      <c r="AN236" s="72" t="n">
        <v>-2.22</v>
      </c>
      <c r="AO236" s="72" t="n">
        <v>0</v>
      </c>
      <c r="AP236" s="72" t="n">
        <v>143.78</v>
      </c>
      <c r="AQ236" s="72" t="n">
        <v>-3.13</v>
      </c>
      <c r="AR236" s="72" t="n">
        <v>-0.93</v>
      </c>
      <c r="AS236" s="72" t="n">
        <v>141.51</v>
      </c>
      <c r="AT236" s="72" t="n">
        <v>5.21</v>
      </c>
      <c r="AU236" s="72" t="n">
        <v>17.95</v>
      </c>
      <c r="AV236" s="72" t="n">
        <v>151.59</v>
      </c>
      <c r="AW236" s="72" t="n">
        <v>17.15</v>
      </c>
      <c r="AX236" s="72" t="n">
        <v>-17.95</v>
      </c>
      <c r="AY236" s="72" t="n">
        <v>-18.08</v>
      </c>
      <c r="AZ236" s="63" t="inlineStr">
        <is>
          <t>HSTECH (Hang Seng TECH ETF)</t>
        </is>
      </c>
      <c r="BA236" s="72" t="n">
        <v>-7.22</v>
      </c>
      <c r="BB236" s="64" t="inlineStr">
        <is>
          <t>2026-08-28</t>
        </is>
      </c>
      <c r="BC236" s="65" t="n">
        <v>1109.1</v>
      </c>
      <c r="BD236" s="68" t="n">
        <v>-1086.1</v>
      </c>
      <c r="BE236" s="63" t="inlineStr">
        <is>
          <t>N</t>
        </is>
      </c>
      <c r="BF236" s="63" t="inlineStr">
        <is>
          <t>n/m</t>
        </is>
      </c>
      <c r="BG236" s="74" t="n"/>
      <c r="BH236" s="74" t="n"/>
      <c r="BI236" s="74" t="n">
        <v>33.9</v>
      </c>
      <c r="BJ236" s="75">
        <f>IF('BBG Verify'!S236="","not filed — run on terminal",'BBG Verify'!S236)</f>
        <v/>
      </c>
      <c r="BK236" s="76" t="inlineStr">
        <is>
          <t>N</t>
        </is>
      </c>
      <c r="BL236" s="77">
        <f>IF('BBG Verify'!K236="","not filed — run on terminal",'BBG Verify'!K236)</f>
        <v/>
      </c>
      <c r="BM236" s="63" t="inlineStr">
        <is>
          <t>N/A</t>
        </is>
      </c>
      <c r="BN236" s="63" t="inlineStr">
        <is>
          <t>N/A</t>
        </is>
      </c>
      <c r="BO236" s="63" t="inlineStr">
        <is>
          <t>N/A</t>
        </is>
      </c>
      <c r="BP236" s="63" t="inlineStr">
        <is>
          <t>N/A</t>
        </is>
      </c>
      <c r="BQ236" s="63" t="inlineStr">
        <is>
          <t>N/A</t>
        </is>
      </c>
      <c r="BR236" s="63" t="inlineStr">
        <is>
          <t>N/A</t>
        </is>
      </c>
      <c r="BS236" s="76" t="inlineStr">
        <is>
          <t>Guotai Junan Capital Limited</t>
        </is>
      </c>
      <c r="BT236" s="63" t="inlineStr">
        <is>
          <t>Guotai Junan Capital Limited</t>
        </is>
      </c>
      <c r="BU236" s="63" t="inlineStr">
        <is>
          <t>ABCI Securities Company Limited</t>
        </is>
      </c>
      <c r="BV236" s="63" t="inlineStr">
        <is>
          <t>ABCI Securities Company Limited; BNP Paribas Securities (Asia) Limited; BOCI Asia Limited; CCB International Capital Limited; CLSA Limited; CMBC Securities Company Limited; CMB International Capital Limited; China Securities (International) Corporate Finance Company Limited; Futu Securities International (Hong Kong) Limited; GF Securities (Hong Kong) Brokerage Limited; Guotai Junan Securities (Hong Kong) Limited; Guosen Securities (HK) Capital Company Limited</t>
        </is>
      </c>
      <c r="BW236" s="78">
        <f>HYPERLINK("https://www1.hkexnews.hk/listedco/listconews/sehk/2023/1219/2023121900021.pdf","prospectus")</f>
        <v/>
      </c>
      <c r="BX236" s="78">
        <f>HYPERLINK("https://www1.hkexnews.hk/listedco/listconews/sehk/2023/1228/2023122801642.pdf","allotment")</f>
        <v/>
      </c>
      <c r="BY236" s="78">
        <f>HYPERLINK("https://www1.hkexnews.hk/listedco/listconews/sehk/2024/0122/2024012200015.pdf","stabilisation")</f>
        <v/>
      </c>
      <c r="BZ236" s="76" t="n"/>
      <c r="CA236" s="63" t="inlineStr">
        <is>
          <t>P/E: n/m — loss-making at IPO (use P/S) · A/H: no A-share listing · cornerstone %: AAStocks institutional-order total / deal size — an upper bound; the table can include non-cornerstone orders · grey market: no grey-market headline on file for this deal — AAStocks publishes one per listing but keeps only recent items on the stock's news page, and no public archive of past evening sessions exists; captured from this run onward</t>
        </is>
      </c>
    </row>
    <row r="237" ht="15" customHeight="1">
      <c r="A237" s="62" t="inlineStr">
        <is>
          <t>2498</t>
        </is>
      </c>
      <c r="B237" s="63" t="inlineStr">
        <is>
          <t>ROBOSENSE</t>
        </is>
      </c>
      <c r="C237" s="63" t="inlineStr">
        <is>
          <t>速騰聚創</t>
        </is>
      </c>
      <c r="D237" s="63" t="inlineStr">
        <is>
          <t>Tech/AI</t>
        </is>
      </c>
      <c r="E237" s="63" t="inlineStr">
        <is>
          <t>Robotics &amp; autonomous driving</t>
        </is>
      </c>
      <c r="F237" s="63" t="inlineStr">
        <is>
          <t>IT Products Distributors</t>
        </is>
      </c>
      <c r="G237" s="63" t="inlineStr">
        <is>
          <t>Standard</t>
        </is>
      </c>
      <c r="H237" s="64" t="n">
        <v>45296</v>
      </c>
      <c r="I237" s="65" t="n">
        <v>985.1</v>
      </c>
      <c r="J237" s="63" t="inlineStr">
        <is>
          <t>gross (price x shares)</t>
        </is>
      </c>
      <c r="K237" s="66" t="n"/>
      <c r="L237" s="66" t="n">
        <v>43</v>
      </c>
      <c r="M237" s="66" t="n">
        <v>43</v>
      </c>
      <c r="N237" s="63" t="inlineStr">
        <is>
          <t>Y</t>
        </is>
      </c>
      <c r="O237" s="67" t="n">
        <v>100</v>
      </c>
      <c r="P237" s="67" t="n"/>
      <c r="Q237" s="68" t="n">
        <v>19300</v>
      </c>
      <c r="R237" s="63" t="inlineStr">
        <is>
          <t>press:qq/STCN 2024-01-05: IPO市值超193亿</t>
        </is>
      </c>
      <c r="S237" s="69" t="n">
        <v>0.58</v>
      </c>
      <c r="T237" s="70" t="n">
        <v>1.28</v>
      </c>
      <c r="U237" s="71" t="n">
        <v>88.3</v>
      </c>
      <c r="V237" s="68" t="n">
        <v>115.26</v>
      </c>
      <c r="W237" s="68" t="n">
        <v>2680447</v>
      </c>
      <c r="X237" s="67" t="n">
        <v>0.6</v>
      </c>
      <c r="Y237" s="63" t="inlineStr">
        <is>
          <t>Shenzhen Nanshan Strategic Emerging Industries Investment Co., Ltd</t>
        </is>
      </c>
      <c r="Z237" s="63" t="inlineStr">
        <is>
          <t>shenzhen-nanshan</t>
        </is>
      </c>
      <c r="AA237" s="67" t="n">
        <v>12.5</v>
      </c>
      <c r="AB237" s="72" t="n"/>
      <c r="AC237" s="66" t="n"/>
      <c r="AD237" s="72" t="n"/>
      <c r="AE237" s="63" t="n"/>
      <c r="AF237" s="63" t="n"/>
      <c r="AG237" s="63" t="inlineStr">
        <is>
          <t>partial</t>
        </is>
      </c>
      <c r="AH237" s="63" t="inlineStr">
        <is>
          <t>2024-02-01</t>
        </is>
      </c>
      <c r="AI237" s="63" t="inlineStr">
        <is>
          <t>J.P. Morgan Securities</t>
        </is>
      </c>
      <c r="AJ237" s="63" t="inlineStr">
        <is>
          <t>JP Morgan</t>
        </is>
      </c>
      <c r="AK237" s="73" t="n">
        <v>0</v>
      </c>
      <c r="AL237" s="72" t="n">
        <v>0</v>
      </c>
      <c r="AM237" s="72" t="n">
        <v>0</v>
      </c>
      <c r="AN237" s="72" t="n">
        <v>0</v>
      </c>
      <c r="AO237" s="72" t="n">
        <v>-9.300000000000001</v>
      </c>
      <c r="AP237" s="72" t="n">
        <v>-1.16</v>
      </c>
      <c r="AQ237" s="72" t="n">
        <v>0</v>
      </c>
      <c r="AR237" s="72" t="n">
        <v>-9.300000000000001</v>
      </c>
      <c r="AS237" s="72" t="n">
        <v>-1.16</v>
      </c>
      <c r="AT237" s="72" t="n">
        <v>5.08</v>
      </c>
      <c r="AU237" s="72" t="n">
        <v>7.66</v>
      </c>
      <c r="AV237" s="72" t="n">
        <v>1.52</v>
      </c>
      <c r="AW237" s="72" t="n">
        <v>6.44</v>
      </c>
      <c r="AX237" s="72" t="n">
        <v>-16.96</v>
      </c>
      <c r="AY237" s="72" t="n">
        <v>-15.74</v>
      </c>
      <c r="AZ237" s="63" t="inlineStr">
        <is>
          <t>HSTECH (Hang Seng TECH ETF)</t>
        </is>
      </c>
      <c r="BA237" s="72" t="n">
        <v>-56.21</v>
      </c>
      <c r="BB237" s="64" t="inlineStr">
        <is>
          <t>2026-08-28</t>
        </is>
      </c>
      <c r="BC237" s="65" t="n">
        <v>583.4</v>
      </c>
      <c r="BD237" s="68" t="n">
        <v>-2294.7</v>
      </c>
      <c r="BE237" s="63" t="inlineStr">
        <is>
          <t>N</t>
        </is>
      </c>
      <c r="BF237" s="63" t="inlineStr">
        <is>
          <t>n/m</t>
        </is>
      </c>
      <c r="BG237" s="74" t="n"/>
      <c r="BH237" s="74" t="n"/>
      <c r="BI237" s="74" t="n">
        <v>33.1</v>
      </c>
      <c r="BJ237" s="75">
        <f>IF('BBG Verify'!S237="","not filed — run on terminal",'BBG Verify'!S237)</f>
        <v/>
      </c>
      <c r="BK237" s="76" t="inlineStr">
        <is>
          <t>N</t>
        </is>
      </c>
      <c r="BL237" s="77">
        <f>IF('BBG Verify'!K237="","not filed — run on terminal",'BBG Verify'!K237)</f>
        <v/>
      </c>
      <c r="BM237" s="63" t="inlineStr">
        <is>
          <t>N/A</t>
        </is>
      </c>
      <c r="BN237" s="63" t="inlineStr">
        <is>
          <t>N/A</t>
        </is>
      </c>
      <c r="BO237" s="63" t="inlineStr">
        <is>
          <t>N/A</t>
        </is>
      </c>
      <c r="BP237" s="63" t="inlineStr">
        <is>
          <t>N/A</t>
        </is>
      </c>
      <c r="BQ237" s="63" t="inlineStr">
        <is>
          <t>N/A</t>
        </is>
      </c>
      <c r="BR237" s="63" t="inlineStr">
        <is>
          <t>N/A</t>
        </is>
      </c>
      <c r="BS237" s="76" t="inlineStr">
        <is>
          <t>J.P. Morgan Securities (Far East) Limited; China Renaissance Securities (Hong Kong) Limited</t>
        </is>
      </c>
      <c r="BT237" s="63" t="inlineStr">
        <is>
          <t>J.P. Morgan Securities (Far East) Limited; China Renaissance Securities (Hong Kong) Limited</t>
        </is>
      </c>
      <c r="BU237" s="63" t="inlineStr">
        <is>
          <t>J.P. Morgan Securities (Asia Pacific) Limited; J.P. Morgan Securities plc; China International Capital Corporation Hong Kong Securities Limited; CCB International Capital Limited; Essence International Securities (Hong Kong) Limited; Fosun International Securities Limited; CMB International Capital Limited; ABCI Capital Limited</t>
        </is>
      </c>
      <c r="BV237" s="63" t="inlineStr">
        <is>
          <t>ABCI Securities Company Limited; CCB International Capital Limited; China International Capital Corporation Hong Kong Securities Limited; CMB International Capital Limited; China Renaissance Securities (Hong Kong) Limited; Essence International Securities (Hong Kong) Limited; Fosun International Securities Limited; J.P. Morgan Securities (Asia Pacific) Limited; Livermore Holdings Limited</t>
        </is>
      </c>
      <c r="BW237" s="78">
        <f>HYPERLINK("https://www1.hkexnews.hk/listedco/listconews/sehk/2023/1227/2023122700027.pdf","prospectus")</f>
        <v/>
      </c>
      <c r="BX237" s="78">
        <f>HYPERLINK("https://www1.hkexnews.hk/listedco/listconews/sehk/2024/0104/2024010401780.pdf","allotment")</f>
        <v/>
      </c>
      <c r="BY237" s="78">
        <f>HYPERLINK("https://www1.hkexnews.hk/listedco/listconews/sehk/2024/0201/2024020103564.pdf","stabilisation")</f>
        <v/>
      </c>
      <c r="BZ237" s="76" t="n"/>
      <c r="CA237" s="63" t="inlineStr">
        <is>
          <t>P/E: n/m — loss-making at IPO (use P/S) · range low: cap-only pricing — the filing publishes a Maximum Offer Price and no indicative floor · A/H: no A-share listing · grey market: no grey-market headline on file for this deal — AAStocks publishes one per listing but keeps only recent items on the stock's news page, and no public archive of past evening sessions exists; captured from this run onward</t>
        </is>
      </c>
    </row>
    <row r="238" ht="15" customHeight="1">
      <c r="A238" s="62" t="inlineStr">
        <is>
          <t>2453</t>
        </is>
      </c>
      <c r="B238" s="63" t="inlineStr">
        <is>
          <t>CONCORD HC GP</t>
        </is>
      </c>
      <c r="C238" s="63" t="inlineStr">
        <is>
          <t>美中嘉和</t>
        </is>
      </c>
      <c r="D238" s="63" t="inlineStr">
        <is>
          <t>Healthcare</t>
        </is>
      </c>
      <c r="E238" s="63" t="inlineStr">
        <is>
          <t>Hospitals / clinics</t>
        </is>
      </c>
      <c r="F238" s="63" t="inlineStr">
        <is>
          <t>Health Care Services</t>
        </is>
      </c>
      <c r="G238" s="63" t="inlineStr">
        <is>
          <t>Standard</t>
        </is>
      </c>
      <c r="H238" s="64" t="n">
        <v>45300</v>
      </c>
      <c r="I238" s="65" t="n">
        <v>562.9</v>
      </c>
      <c r="J238" s="63" t="inlineStr">
        <is>
          <t>gross (price x shares)</t>
        </is>
      </c>
      <c r="K238" s="66" t="n">
        <v>14.1</v>
      </c>
      <c r="L238" s="66" t="n">
        <v>16.4</v>
      </c>
      <c r="M238" s="66" t="n">
        <v>14.28</v>
      </c>
      <c r="N238" s="63" t="inlineStr">
        <is>
          <t>N</t>
        </is>
      </c>
      <c r="O238" s="67" t="n">
        <v>87.09999999999999</v>
      </c>
      <c r="P238" s="67" t="n">
        <v>7.8</v>
      </c>
      <c r="Q238" s="68" t="n">
        <v>10229.3</v>
      </c>
      <c r="R238" s="63" t="inlineStr">
        <is>
          <t>derived:price x shares upon listing</t>
        </is>
      </c>
      <c r="S238" s="69" t="n">
        <v>1.99</v>
      </c>
      <c r="T238" s="70" t="n">
        <v>1.02</v>
      </c>
      <c r="U238" s="71" t="n">
        <v>0</v>
      </c>
      <c r="V238" s="68" t="n">
        <v>562.9</v>
      </c>
      <c r="W238" s="68" t="n">
        <v>39420200</v>
      </c>
      <c r="X238" s="67" t="n">
        <v>5.5</v>
      </c>
      <c r="Y238" s="63" t="n"/>
      <c r="Z238" s="63" t="n"/>
      <c r="AA238" s="67" t="n"/>
      <c r="AB238" s="72" t="n"/>
      <c r="AC238" s="66" t="n"/>
      <c r="AD238" s="72" t="n"/>
      <c r="AE238" s="63" t="n"/>
      <c r="AF238" s="63" t="n"/>
      <c r="AG238" s="63" t="n"/>
      <c r="AH238" s="63" t="n"/>
      <c r="AI238" s="63" t="n"/>
      <c r="AJ238" s="63" t="n"/>
      <c r="AK238" s="73" t="n">
        <v>-22.41</v>
      </c>
      <c r="AL238" s="72" t="n">
        <v>-31.37</v>
      </c>
      <c r="AM238" s="72" t="n">
        <v>13.06</v>
      </c>
      <c r="AN238" s="72" t="n">
        <v>-2.24</v>
      </c>
      <c r="AO238" s="72" t="n">
        <v>-9.1</v>
      </c>
      <c r="AP238" s="72" t="n">
        <v>61.06</v>
      </c>
      <c r="AQ238" s="72" t="n">
        <v>26</v>
      </c>
      <c r="AR238" s="72" t="n">
        <v>17.15</v>
      </c>
      <c r="AS238" s="72" t="n">
        <v>107.58</v>
      </c>
      <c r="AT238" s="72" t="n">
        <v>-3.22</v>
      </c>
      <c r="AU238" s="72" t="n">
        <v>1.68</v>
      </c>
      <c r="AV238" s="72" t="n">
        <v>74.7</v>
      </c>
      <c r="AW238" s="72" t="n">
        <v>28.67</v>
      </c>
      <c r="AX238" s="72" t="n">
        <v>-10.78</v>
      </c>
      <c r="AY238" s="72" t="n">
        <v>-11.52</v>
      </c>
      <c r="AZ238" s="63" t="inlineStr">
        <is>
          <t>China Biotech ETF (HS biotech proxy)</t>
        </is>
      </c>
      <c r="BA238" s="72" t="n">
        <v>-94.26000000000001</v>
      </c>
      <c r="BB238" s="64" t="inlineStr">
        <is>
          <t>2026-08-28</t>
        </is>
      </c>
      <c r="BC238" s="65" t="n">
        <v>519.4</v>
      </c>
      <c r="BD238" s="68" t="n">
        <v>-700.9</v>
      </c>
      <c r="BE238" s="63" t="inlineStr">
        <is>
          <t>N</t>
        </is>
      </c>
      <c r="BF238" s="63" t="inlineStr">
        <is>
          <t>n/m</t>
        </is>
      </c>
      <c r="BG238" s="74" t="n"/>
      <c r="BH238" s="74" t="n"/>
      <c r="BI238" s="74" t="n">
        <v>19.7</v>
      </c>
      <c r="BJ238" s="75">
        <f>IF('BBG Verify'!S238="","not filed — run on terminal",'BBG Verify'!S238)</f>
        <v/>
      </c>
      <c r="BK238" s="76" t="inlineStr">
        <is>
          <t>N</t>
        </is>
      </c>
      <c r="BL238" s="77">
        <f>IF('BBG Verify'!K238="","not filed — run on terminal",'BBG Verify'!K238)</f>
        <v/>
      </c>
      <c r="BM238" s="63" t="inlineStr">
        <is>
          <t>N/A</t>
        </is>
      </c>
      <c r="BN238" s="63" t="inlineStr">
        <is>
          <t>N/A</t>
        </is>
      </c>
      <c r="BO238" s="63" t="inlineStr">
        <is>
          <t>N/A</t>
        </is>
      </c>
      <c r="BP238" s="63" t="inlineStr">
        <is>
          <t>N/A</t>
        </is>
      </c>
      <c r="BQ238" s="63" t="inlineStr">
        <is>
          <t>N/A</t>
        </is>
      </c>
      <c r="BR238" s="63" t="inlineStr">
        <is>
          <t>N/A</t>
        </is>
      </c>
      <c r="BS238" s="76" t="inlineStr">
        <is>
          <t>China International Capital Corporation Hong Kong Securities Limited; Haitong International Capital Limited</t>
        </is>
      </c>
      <c r="BT238" s="63" t="inlineStr">
        <is>
          <t>Haitong International Capital Limited; China International Capital Corporation (HK) Ltd</t>
        </is>
      </c>
      <c r="BU238" s="63" t="inlineStr">
        <is>
          <t>China International Capital Corporation Hong Kong Securities Limited; Haitong International Securities Company Limited; CCB International Capital Limited; China Everbright Securities (HK) Limited; CMB International Capital Limited; Fosun International Securities Limited; Futu Securities International (Hong Kong) Limited; Livermore Holdings Limited; Mouette Securities Company Limited; Tiger Brokers (HK) Global Limited</t>
        </is>
      </c>
      <c r="BV238" s="63" t="inlineStr">
        <is>
          <t>ABCI Securities Company Limited; CCB International Capital Limited; China Everbright Securities (HK) Limited; China International Capital Corporation Hong Kong Securities Limited; CLSA Limited; CMB International Capital Limited; Fosun International Securities Limited; Futu Securities International (Hong Kong) Limited; Haitong International Securities Company Limited; Livermore Holdings Limited; Mouette Securities Company Limited; SPDB International Capital Limited</t>
        </is>
      </c>
      <c r="BW238" s="78">
        <f>HYPERLINK("https://www1.hkexnews.hk/listedco/listconews/sehk/2023/1229/2023122900023.pdf","prospectus")</f>
        <v/>
      </c>
      <c r="BX238" s="78">
        <f>HYPERLINK("https://www1.hkexnews.hk/listedco/listconews/sehk/2024/0108/2024010801006.pdf","allotment")</f>
        <v/>
      </c>
      <c r="BY238" s="63" t="n"/>
      <c r="BZ238" s="76" t="n"/>
      <c r="CA238" s="63" t="inlineStr">
        <is>
          <t>P/E: n/m — loss-making at IPO (use P/S) · greenshoe: no over-allotment option in the offer structure · A/H: no A-share listing · cornerstone list: no cornerstone tranche in this deal · greenshoe size: no over-allotment option in the offer structure · stabilising manager: the filing states no stabilising manager will be appointed — a filed fact, not an extraction gap (allotment announcement: 'no stabilizing manager will be appointed' stated in the filing) · grey market: no grey-market headline on file for this deal — AAStocks publishes one per listing but keeps only recent items on the stock's news page, and no public archive of past evening sessions exists; captured from this run onward</t>
        </is>
      </c>
    </row>
    <row r="239" ht="15" customHeight="1">
      <c r="A239" s="62" t="inlineStr">
        <is>
          <t>2503</t>
        </is>
      </c>
      <c r="B239" s="63" t="inlineStr">
        <is>
          <t>ZHONGSHENJIANYE</t>
        </is>
      </c>
      <c r="C239" s="63" t="inlineStr">
        <is>
          <t>中深建業</t>
        </is>
      </c>
      <c r="D239" s="63" t="inlineStr">
        <is>
          <t>Industrials</t>
        </is>
      </c>
      <c r="E239" s="63" t="inlineStr">
        <is>
          <t>Construction / engineering</t>
        </is>
      </c>
      <c r="F239" s="63" t="inlineStr">
        <is>
          <t>Building Construction</t>
        </is>
      </c>
      <c r="G239" s="63" t="inlineStr">
        <is>
          <t>Standard</t>
        </is>
      </c>
      <c r="H239" s="64" t="n">
        <v>45300</v>
      </c>
      <c r="I239" s="65" t="n">
        <v>128.7</v>
      </c>
      <c r="J239" s="63" t="inlineStr">
        <is>
          <t>gross (stated)</t>
        </is>
      </c>
      <c r="K239" s="66" t="n"/>
      <c r="L239" s="66" t="n">
        <v>1</v>
      </c>
      <c r="M239" s="66" t="n">
        <v>1</v>
      </c>
      <c r="N239" s="63" t="inlineStr">
        <is>
          <t>Y</t>
        </is>
      </c>
      <c r="O239" s="67" t="n">
        <v>100</v>
      </c>
      <c r="P239" s="67" t="n"/>
      <c r="Q239" s="68" t="n">
        <v>514.8</v>
      </c>
      <c r="R239" s="63" t="inlineStr">
        <is>
          <t>derived:price x shares upon listing</t>
        </is>
      </c>
      <c r="S239" s="69" t="n">
        <v>58.44</v>
      </c>
      <c r="T239" s="70" t="n">
        <v>1.09</v>
      </c>
      <c r="U239" s="71" t="n">
        <v>0</v>
      </c>
      <c r="V239" s="68" t="n">
        <v>128.7</v>
      </c>
      <c r="W239" s="68" t="n">
        <v>128700000</v>
      </c>
      <c r="X239" s="67" t="n">
        <v>25</v>
      </c>
      <c r="Y239" s="63" t="n"/>
      <c r="Z239" s="63" t="n"/>
      <c r="AA239" s="67" t="n"/>
      <c r="AB239" s="72" t="n"/>
      <c r="AC239" s="66" t="n"/>
      <c r="AD239" s="72" t="n"/>
      <c r="AE239" s="63" t="n"/>
      <c r="AF239" s="63" t="n"/>
      <c r="AG239" s="63" t="n"/>
      <c r="AH239" s="63" t="n"/>
      <c r="AI239" s="63" t="n"/>
      <c r="AJ239" s="63" t="n"/>
      <c r="AK239" s="73" t="n">
        <v>-28</v>
      </c>
      <c r="AL239" s="72" t="n">
        <v>-19</v>
      </c>
      <c r="AM239" s="72" t="n">
        <v>-11.11</v>
      </c>
      <c r="AN239" s="72" t="n">
        <v>5</v>
      </c>
      <c r="AO239" s="72" t="n">
        <v>16</v>
      </c>
      <c r="AP239" s="72" t="n">
        <v>-24</v>
      </c>
      <c r="AQ239" s="72" t="n">
        <v>45.83</v>
      </c>
      <c r="AR239" s="72" t="n">
        <v>61.11</v>
      </c>
      <c r="AS239" s="72" t="n">
        <v>5.56</v>
      </c>
      <c r="AT239" s="72" t="n">
        <v>6.97</v>
      </c>
      <c r="AU239" s="72" t="n">
        <v>17.75</v>
      </c>
      <c r="AV239" s="72" t="n">
        <v>-31.44</v>
      </c>
      <c r="AW239" s="72" t="n">
        <v>62.24</v>
      </c>
      <c r="AX239" s="72" t="n">
        <v>-1.75</v>
      </c>
      <c r="AY239" s="72" t="n">
        <v>-1.13</v>
      </c>
      <c r="AZ239" s="63" t="inlineStr">
        <is>
          <t>Hang Seng Commerce &amp; Industry sub-index</t>
        </is>
      </c>
      <c r="BA239" s="72" t="n">
        <v>-75.3</v>
      </c>
      <c r="BB239" s="64" t="inlineStr">
        <is>
          <t>2026-08-28</t>
        </is>
      </c>
      <c r="BC239" s="65" t="n">
        <v>1515.9</v>
      </c>
      <c r="BD239" s="68" t="n">
        <v>42.1</v>
      </c>
      <c r="BE239" s="63" t="inlineStr">
        <is>
          <t>Y</t>
        </is>
      </c>
      <c r="BF239" s="74" t="n">
        <v>12.2</v>
      </c>
      <c r="BG239" s="74" t="n"/>
      <c r="BH239" s="74" t="n"/>
      <c r="BI239" s="74" t="n">
        <v>0.3</v>
      </c>
      <c r="BJ239" s="75">
        <f>IF('BBG Verify'!S239="","not filed — run on terminal",'BBG Verify'!S239)</f>
        <v/>
      </c>
      <c r="BK239" s="76" t="inlineStr">
        <is>
          <t>N</t>
        </is>
      </c>
      <c r="BL239" s="77">
        <f>IF('BBG Verify'!K239="","not filed — run on terminal",'BBG Verify'!K239)</f>
        <v/>
      </c>
      <c r="BM239" s="63" t="inlineStr">
        <is>
          <t>N/A</t>
        </is>
      </c>
      <c r="BN239" s="63" t="inlineStr">
        <is>
          <t>N/A</t>
        </is>
      </c>
      <c r="BO239" s="63" t="inlineStr">
        <is>
          <t>N/A</t>
        </is>
      </c>
      <c r="BP239" s="63" t="inlineStr">
        <is>
          <t>N/A</t>
        </is>
      </c>
      <c r="BQ239" s="63" t="inlineStr">
        <is>
          <t>N/A</t>
        </is>
      </c>
      <c r="BR239" s="63" t="inlineStr">
        <is>
          <t>N/A</t>
        </is>
      </c>
      <c r="BS239" s="76" t="inlineStr">
        <is>
          <t>Kingsway Capital Limited</t>
        </is>
      </c>
      <c r="BT239" s="63" t="inlineStr">
        <is>
          <t>Kingsway Capital Limited</t>
        </is>
      </c>
      <c r="BU239" s="63" t="inlineStr">
        <is>
          <t>Kingsway Financial Services Group Limited; Beta International Securities Limited; Valuable Capital Limited</t>
        </is>
      </c>
      <c r="BV239" s="63" t="inlineStr">
        <is>
          <t>Beta International Securities Limited; Valuable Capital Limited</t>
        </is>
      </c>
      <c r="BW239" s="78">
        <f>HYPERLINK("https://www1.hkexnews.hk/listedco/listconews/sehk/2023/1228/2023122800045.pdf","prospectus")</f>
        <v/>
      </c>
      <c r="BX239" s="78">
        <f>HYPERLINK("https://www1.hkexnews.hk/listedco/listconews/sehk/2024/0108/2024010801008.pdf","allotment")</f>
        <v/>
      </c>
      <c r="BY239" s="63" t="n"/>
      <c r="BZ239" s="76" t="n"/>
      <c r="CA239" s="63" t="inlineStr">
        <is>
          <t>greenshoe: no over-allotment option in the offer structure · range low: cap-only pricing — the filing publishes a Maximum Offer Price and no indicative floor · A/H: no A-share listing · cornerstone list: no cornerstone tranche in this deal · greenshoe size: no over-allotment option in the offer structure · stabilising manager: no over-allotment option in the offer structure, so no stabilising manager is appointed · grey market: no grey-market headline on file for this deal — AAStocks publishes one per listing but keeps only recent items on the stock's news page, and no public archive of past evening sessions exists; captured from this run onward</t>
        </is>
      </c>
    </row>
    <row r="240" ht="15" customHeight="1">
      <c r="A240" s="62" t="inlineStr">
        <is>
          <t>6959</t>
        </is>
      </c>
      <c r="B240" s="63" t="inlineStr">
        <is>
          <t>CHANGJIU HLDGS</t>
        </is>
      </c>
      <c r="C240" s="63" t="inlineStr">
        <is>
          <t>長久股份</t>
        </is>
      </c>
      <c r="D240" s="63" t="inlineStr">
        <is>
          <t>Tech/AI</t>
        </is>
      </c>
      <c r="E240" s="63" t="inlineStr">
        <is>
          <t>SaaS / enterprise software</t>
        </is>
      </c>
      <c r="F240" s="63" t="inlineStr">
        <is>
          <t>Commercial &amp; Professional Services</t>
        </is>
      </c>
      <c r="G240" s="63" t="inlineStr">
        <is>
          <t>Standard</t>
        </is>
      </c>
      <c r="H240" s="64" t="n">
        <v>45300</v>
      </c>
      <c r="I240" s="65" t="n">
        <v>300.71</v>
      </c>
      <c r="J240" s="63" t="inlineStr">
        <is>
          <t>gross (stated)</t>
        </is>
      </c>
      <c r="K240" s="66" t="n">
        <v>5.95</v>
      </c>
      <c r="L240" s="66" t="n">
        <v>7.9</v>
      </c>
      <c r="M240" s="66" t="n">
        <v>5.95</v>
      </c>
      <c r="N240" s="63" t="inlineStr">
        <is>
          <t>N</t>
        </is>
      </c>
      <c r="O240" s="67" t="n">
        <v>75.3</v>
      </c>
      <c r="P240" s="67" t="n">
        <v>0</v>
      </c>
      <c r="Q240" s="68" t="n">
        <v>1202.9</v>
      </c>
      <c r="R240" s="63" t="inlineStr">
        <is>
          <t>derived:price x shares upon listing</t>
        </is>
      </c>
      <c r="S240" s="69" t="n">
        <v>11.67</v>
      </c>
      <c r="T240" s="70" t="n">
        <v>1.07</v>
      </c>
      <c r="U240" s="71" t="n">
        <v>0</v>
      </c>
      <c r="V240" s="68" t="n">
        <v>300.71</v>
      </c>
      <c r="W240" s="68" t="n">
        <v>50540000</v>
      </c>
      <c r="X240" s="67" t="n">
        <v>25</v>
      </c>
      <c r="Y240" s="63" t="n"/>
      <c r="Z240" s="63" t="n"/>
      <c r="AA240" s="67" t="n"/>
      <c r="AB240" s="72" t="n"/>
      <c r="AC240" s="66" t="n"/>
      <c r="AD240" s="72" t="n"/>
      <c r="AE240" s="63" t="n"/>
      <c r="AF240" s="63" t="n"/>
      <c r="AG240" s="63" t="n"/>
      <c r="AH240" s="63" t="n"/>
      <c r="AI240" s="63" t="n"/>
      <c r="AJ240" s="63" t="n"/>
      <c r="AK240" s="73" t="n">
        <v>16.13</v>
      </c>
      <c r="AL240" s="72" t="n">
        <v>2.52</v>
      </c>
      <c r="AM240" s="72" t="n">
        <v>13.28</v>
      </c>
      <c r="AN240" s="72" t="n">
        <v>24.71</v>
      </c>
      <c r="AO240" s="72" t="n">
        <v>28.4</v>
      </c>
      <c r="AP240" s="72" t="n">
        <v>562.1799999999999</v>
      </c>
      <c r="AQ240" s="72" t="n">
        <v>7.39</v>
      </c>
      <c r="AR240" s="72" t="n">
        <v>10.57</v>
      </c>
      <c r="AS240" s="72" t="n">
        <v>470.21</v>
      </c>
      <c r="AT240" s="72" t="n">
        <v>29.28</v>
      </c>
      <c r="AU240" s="72" t="n">
        <v>36.95</v>
      </c>
      <c r="AV240" s="72" t="n">
        <v>562.12</v>
      </c>
      <c r="AW240" s="72" t="n">
        <v>18.53</v>
      </c>
      <c r="AX240" s="72" t="n">
        <v>-8.550000000000001</v>
      </c>
      <c r="AY240" s="72" t="n">
        <v>-7.96</v>
      </c>
      <c r="AZ240" s="63" t="inlineStr">
        <is>
          <t>HSTECH (Hang Seng TECH ETF)</t>
        </is>
      </c>
      <c r="BA240" s="72" t="n">
        <v>-41.85</v>
      </c>
      <c r="BB240" s="64" t="inlineStr">
        <is>
          <t>2026-08-28</t>
        </is>
      </c>
      <c r="BC240" s="65" t="n">
        <v>602.7</v>
      </c>
      <c r="BD240" s="68" t="n">
        <v>105.5</v>
      </c>
      <c r="BE240" s="63" t="inlineStr">
        <is>
          <t>Y</t>
        </is>
      </c>
      <c r="BF240" s="74" t="n">
        <v>11.4</v>
      </c>
      <c r="BG240" s="74" t="n"/>
      <c r="BH240" s="74" t="n">
        <v>4.3</v>
      </c>
      <c r="BI240" s="74" t="n">
        <v>2</v>
      </c>
      <c r="BJ240" s="75">
        <f>IF('BBG Verify'!S240="","not filed — run on terminal",'BBG Verify'!S240)</f>
        <v/>
      </c>
      <c r="BK240" s="76" t="inlineStr">
        <is>
          <t>N</t>
        </is>
      </c>
      <c r="BL240" s="77">
        <f>IF('BBG Verify'!K240="","not filed — run on terminal",'BBG Verify'!K240)</f>
        <v/>
      </c>
      <c r="BM240" s="63" t="inlineStr">
        <is>
          <t>N/A</t>
        </is>
      </c>
      <c r="BN240" s="63" t="inlineStr">
        <is>
          <t>N/A</t>
        </is>
      </c>
      <c r="BO240" s="63" t="inlineStr">
        <is>
          <t>N/A</t>
        </is>
      </c>
      <c r="BP240" s="63" t="inlineStr">
        <is>
          <t>N/A</t>
        </is>
      </c>
      <c r="BQ240" s="63" t="inlineStr">
        <is>
          <t>N/A</t>
        </is>
      </c>
      <c r="BR240" s="63" t="inlineStr">
        <is>
          <t>N/A</t>
        </is>
      </c>
      <c r="BS240" s="76" t="inlineStr">
        <is>
          <t>CITIC Securities (Hong Kong) Limited; ICBC International Capital Limited</t>
        </is>
      </c>
      <c r="BT240" s="63" t="inlineStr">
        <is>
          <t>CITIC Securities (Hong Kong) Limited; ICBC International Capital Limited</t>
        </is>
      </c>
      <c r="BU240" s="63" t="inlineStr">
        <is>
          <t>CLSA Limited; ICBC International Securities Limited</t>
        </is>
      </c>
      <c r="BV240" s="63" t="inlineStr">
        <is>
          <t>BOCOM International Securities Limited; CEB International Capital Corporation Limited; CLSA Limited; CMB International Capital Limited; ICBC International Securities Limited; Livermore Holdings Limited; Patrons Securities Limited; SPDB International Capital Limited; Tiger Brokers (HK) Global Limited; UOB Kay Hian (Hong Kong) Limited; Valuable Capital Limited; Zhongtai International Securities Limited</t>
        </is>
      </c>
      <c r="BW240" s="78">
        <f>HYPERLINK("https://www1.hkexnews.hk/listedco/listconews/sehk/2023/1229/2023122900027.pdf","prospectus")</f>
        <v/>
      </c>
      <c r="BX240" s="78">
        <f>HYPERLINK("https://www1.hkexnews.hk/listedco/listconews/sehk/2024/0108/2024010801108.pdf","allotment")</f>
        <v/>
      </c>
      <c r="BY240" s="63" t="n"/>
      <c r="BZ240" s="76" t="n"/>
      <c r="CA240" s="63" t="inlineStr">
        <is>
          <t>greenshoe: no over-allotment option in the offer structure · A/H: no A-share listing · cornerstone list: no cornerstone tranche in this deal · greenshoe size: no over-allotment option in the offer structure · stabilising manager: no over-allotment option in the offer structure, so no stabilising manager is appointed · grey market: no grey-market headline on file for this deal — AAStocks publishes one per listing but keeps only recent items on the stock's news page, and no public archive of past evening sessions exists; captured from this run onward</t>
        </is>
      </c>
    </row>
    <row r="241" ht="15" customHeight="1">
      <c r="A241" s="62" t="inlineStr">
        <is>
          <t>2477</t>
        </is>
      </c>
      <c r="B241" s="63" t="inlineStr">
        <is>
          <t>WELLCELL HOLD</t>
        </is>
      </c>
      <c r="C241" s="63" t="inlineStr">
        <is>
          <t>經緯天地</t>
        </is>
      </c>
      <c r="D241" s="63" t="inlineStr">
        <is>
          <t>Healthcare</t>
        </is>
      </c>
      <c r="E241" s="63" t="inlineStr">
        <is>
          <t>Biopharma commercial</t>
        </is>
      </c>
      <c r="F241" s="63" t="inlineStr">
        <is>
          <t>Telecommunication Services</t>
        </is>
      </c>
      <c r="G241" s="63" t="inlineStr">
        <is>
          <t>Standard</t>
        </is>
      </c>
      <c r="H241" s="64" t="n">
        <v>45303</v>
      </c>
      <c r="I241" s="65" t="n">
        <v>125</v>
      </c>
      <c r="J241" s="63" t="inlineStr">
        <is>
          <t>gross (price x shares)</t>
        </is>
      </c>
      <c r="K241" s="66" t="n">
        <v>1</v>
      </c>
      <c r="L241" s="66" t="n">
        <v>1.3</v>
      </c>
      <c r="M241" s="66" t="n">
        <v>1</v>
      </c>
      <c r="N241" s="63" t="inlineStr">
        <is>
          <t>N</t>
        </is>
      </c>
      <c r="O241" s="67" t="n">
        <v>76.90000000000001</v>
      </c>
      <c r="P241" s="67" t="n">
        <v>0</v>
      </c>
      <c r="Q241" s="68" t="n">
        <v>500</v>
      </c>
      <c r="R241" s="63" t="inlineStr">
        <is>
          <t>derived:price x shares upon listing</t>
        </is>
      </c>
      <c r="S241" s="69" t="n">
        <v>28.64</v>
      </c>
      <c r="T241" s="70" t="n">
        <v>0.97</v>
      </c>
      <c r="U241" s="71" t="n">
        <v>0</v>
      </c>
      <c r="V241" s="68" t="n">
        <v>125</v>
      </c>
      <c r="W241" s="68" t="n">
        <v>125000000</v>
      </c>
      <c r="X241" s="67" t="n">
        <v>25</v>
      </c>
      <c r="Y241" s="63" t="n"/>
      <c r="Z241" s="63" t="n"/>
      <c r="AA241" s="67" t="n">
        <v>20</v>
      </c>
      <c r="AB241" s="72" t="n"/>
      <c r="AC241" s="66" t="n"/>
      <c r="AD241" s="72" t="n"/>
      <c r="AE241" s="63" t="n"/>
      <c r="AF241" s="63" t="n"/>
      <c r="AG241" s="63" t="inlineStr">
        <is>
          <t>lapsed (no over-allocation)</t>
        </is>
      </c>
      <c r="AH241" s="63" t="n"/>
      <c r="AI241" s="63" t="inlineStr">
        <is>
          <t>Eddid Secu rities and Futures Limited</t>
        </is>
      </c>
      <c r="AJ241" s="63" t="inlineStr">
        <is>
          <t>Eddid Secu</t>
        </is>
      </c>
      <c r="AK241" s="73" t="n">
        <v>164</v>
      </c>
      <c r="AL241" s="72" t="n">
        <v>77</v>
      </c>
      <c r="AM241" s="72" t="n">
        <v>49.15</v>
      </c>
      <c r="AN241" s="72" t="n">
        <v>250</v>
      </c>
      <c r="AO241" s="72" t="n">
        <v>230</v>
      </c>
      <c r="AP241" s="72" t="n">
        <v>232</v>
      </c>
      <c r="AQ241" s="72" t="n">
        <v>32.58</v>
      </c>
      <c r="AR241" s="72" t="n">
        <v>25</v>
      </c>
      <c r="AS241" s="72" t="n">
        <v>25.76</v>
      </c>
      <c r="AT241" s="72" t="n">
        <v>256.27</v>
      </c>
      <c r="AU241" s="72" t="n">
        <v>244.15</v>
      </c>
      <c r="AV241" s="72" t="n">
        <v>249.56</v>
      </c>
      <c r="AW241" s="72" t="n">
        <v>37.92</v>
      </c>
      <c r="AX241" s="72" t="n">
        <v>-14.15</v>
      </c>
      <c r="AY241" s="72" t="n">
        <v>-12.92</v>
      </c>
      <c r="AZ241" s="63" t="inlineStr">
        <is>
          <t>China Biotech ETF (HS biotech proxy)</t>
        </is>
      </c>
      <c r="BA241" s="72" t="n">
        <v>85.59999999999999</v>
      </c>
      <c r="BB241" s="64" t="inlineStr">
        <is>
          <t>2026-08-28</t>
        </is>
      </c>
      <c r="BC241" s="65" t="n">
        <v>249.2</v>
      </c>
      <c r="BD241" s="68" t="n">
        <v>26.7</v>
      </c>
      <c r="BE241" s="63" t="inlineStr">
        <is>
          <t>Y</t>
        </is>
      </c>
      <c r="BF241" s="74" t="n">
        <v>18.7</v>
      </c>
      <c r="BG241" s="74" t="n"/>
      <c r="BH241" s="74" t="n">
        <v>64</v>
      </c>
      <c r="BI241" s="74" t="n">
        <v>2</v>
      </c>
      <c r="BJ241" s="75">
        <f>IF('BBG Verify'!S241="","not filed — run on terminal",'BBG Verify'!S241)</f>
        <v/>
      </c>
      <c r="BK241" s="76" t="inlineStr">
        <is>
          <t>N</t>
        </is>
      </c>
      <c r="BL241" s="77">
        <f>IF('BBG Verify'!K241="","not filed — run on terminal",'BBG Verify'!K241)</f>
        <v/>
      </c>
      <c r="BM241" s="63" t="inlineStr">
        <is>
          <t>N/A</t>
        </is>
      </c>
      <c r="BN241" s="63" t="inlineStr">
        <is>
          <t>N/A</t>
        </is>
      </c>
      <c r="BO241" s="63" t="inlineStr">
        <is>
          <t>N/A</t>
        </is>
      </c>
      <c r="BP241" s="63" t="inlineStr">
        <is>
          <t>N/A</t>
        </is>
      </c>
      <c r="BQ241" s="63" t="inlineStr">
        <is>
          <t>N/A</t>
        </is>
      </c>
      <c r="BR241" s="63" t="inlineStr">
        <is>
          <t>N/A</t>
        </is>
      </c>
      <c r="BS241" s="76" t="inlineStr">
        <is>
          <t>Halcyon Capital Limited; Eddid Capital Limited</t>
        </is>
      </c>
      <c r="BT241" s="63" t="inlineStr">
        <is>
          <t>Halcyon Capital Limited; Eddid Capital Limited</t>
        </is>
      </c>
      <c r="BU241" s="63" t="inlineStr">
        <is>
          <t>Eddid Securities and Futures Limited; Halcyon Securities Limited; Beta International S ecurities Limited; CMBC Securities Company Limited; China PA Securities (Hong Kong) Company Limited; Quam Securities Limited; China Everbright Securities (HK) Limited</t>
        </is>
      </c>
      <c r="BV241" s="63" t="inlineStr">
        <is>
          <t>Beta International Securities Limited; China Everbright Securities (HK) Limited; Cinda International Capital Limited; CMBC Securities Company Limited; China PA Securities (Hong Kong) Company Limited; Eddid Securities and Futures Limited; Goldlink Securities Limited; Halcyon Securities Limited; Innovax Securities Limited; Maxa Capital Limited; Patrons Securities Limited; Quam Securities Limited</t>
        </is>
      </c>
      <c r="BW241" s="78">
        <f>HYPERLINK("https://www1.hkexnews.hk/listedco/listconews/sehk/2023/1228/2023122800033.pdf","prospectus")</f>
        <v/>
      </c>
      <c r="BX241" s="78">
        <f>HYPERLINK("https://www1.hkexnews.hk/listedco/listconews/sehk/2024/0111/2024011101058.pdf","allotment")</f>
        <v/>
      </c>
      <c r="BY241" s="78">
        <f>HYPERLINK("https://www1.hkexnews.hk/listedco/listconews/sehk/2024/0208/2024020800426.pdf","stabilisation")</f>
        <v/>
      </c>
      <c r="BZ241" s="76" t="n"/>
      <c r="CA241" s="63" t="inlineStr">
        <is>
          <t>greenshoe: over-allotment outcome already published, and the allotment announcement does not state the stabilisation expiry in a parsable form — the expiry no longer matters once resolved · A/H: no A-share listing · cornerstone list: no cornerstone tranche in this deal · grey market: no grey-market headline on file for this deal — AAStocks publishes one per listing but keeps only recent items on the stock's news page, and no public archive of past evening sessions exists; captured from this run onward</t>
        </is>
      </c>
    </row>
    <row r="242" ht="15" customHeight="1">
      <c r="A242" s="62" t="inlineStr">
        <is>
          <t>2535</t>
        </is>
      </c>
      <c r="B242" s="63" t="inlineStr">
        <is>
          <t>WK GROUP</t>
        </is>
      </c>
      <c r="C242" s="63" t="inlineStr">
        <is>
          <t>泓基集團</t>
        </is>
      </c>
      <c r="D242" s="63" t="inlineStr">
        <is>
          <t>Industrials</t>
        </is>
      </c>
      <c r="E242" s="63" t="inlineStr">
        <is>
          <t>Construction / engineering</t>
        </is>
      </c>
      <c r="F242" s="63" t="inlineStr">
        <is>
          <t>Building Construction</t>
        </is>
      </c>
      <c r="G242" s="63" t="inlineStr">
        <is>
          <t>Standard</t>
        </is>
      </c>
      <c r="H242" s="64" t="n">
        <v>45359</v>
      </c>
      <c r="I242" s="65" t="n">
        <v>125</v>
      </c>
      <c r="J242" s="63" t="inlineStr">
        <is>
          <t>gross (stated)</t>
        </is>
      </c>
      <c r="K242" s="66" t="n"/>
      <c r="L242" s="66" t="n">
        <v>0.27</v>
      </c>
      <c r="M242" s="66" t="n">
        <v>0.25</v>
      </c>
      <c r="N242" s="63" t="inlineStr">
        <is>
          <t>N</t>
        </is>
      </c>
      <c r="O242" s="67" t="n">
        <v>92.59999999999999</v>
      </c>
      <c r="P242" s="67" t="n"/>
      <c r="Q242" s="68" t="n">
        <v>500</v>
      </c>
      <c r="R242" s="63" t="inlineStr">
        <is>
          <t>derived:price x shares upon listing</t>
        </is>
      </c>
      <c r="S242" s="69" t="n">
        <v>70.48</v>
      </c>
      <c r="T242" s="70" t="n">
        <v>0.98</v>
      </c>
      <c r="U242" s="71" t="n"/>
      <c r="V242" s="68" t="n">
        <v>125</v>
      </c>
      <c r="W242" s="68" t="n">
        <v>500000000</v>
      </c>
      <c r="X242" s="67" t="n">
        <v>25</v>
      </c>
      <c r="Y242" s="63" t="n"/>
      <c r="Z242" s="63" t="n"/>
      <c r="AA242" s="67" t="n"/>
      <c r="AB242" s="72" t="n"/>
      <c r="AC242" s="66" t="n"/>
      <c r="AD242" s="72" t="n"/>
      <c r="AE242" s="63" t="n"/>
      <c r="AF242" s="63" t="n"/>
      <c r="AG242" s="63" t="inlineStr">
        <is>
          <t>lapsed</t>
        </is>
      </c>
      <c r="AH242" s="63" t="n"/>
      <c r="AI242" s="63" t="inlineStr">
        <is>
          <t>Yuen Meta</t>
        </is>
      </c>
      <c r="AJ242" s="63" t="inlineStr">
        <is>
          <t>Yuen Meta</t>
        </is>
      </c>
      <c r="AK242" s="73" t="n">
        <v>136</v>
      </c>
      <c r="AL242" s="72" t="n">
        <v>160</v>
      </c>
      <c r="AM242" s="72" t="n">
        <v>-9.23</v>
      </c>
      <c r="AN242" s="72" t="n">
        <v>156</v>
      </c>
      <c r="AO242" s="72" t="n">
        <v>156</v>
      </c>
      <c r="AP242" s="72" t="n">
        <v>132</v>
      </c>
      <c r="AQ242" s="72" t="n">
        <v>8.470000000000001</v>
      </c>
      <c r="AR242" s="72" t="n">
        <v>8.470000000000001</v>
      </c>
      <c r="AS242" s="72" t="n">
        <v>-1.69</v>
      </c>
      <c r="AT242" s="72" t="n">
        <v>151.85</v>
      </c>
      <c r="AU242" s="72" t="n">
        <v>147.36</v>
      </c>
      <c r="AV242" s="72" t="n">
        <v>117.92</v>
      </c>
      <c r="AW242" s="72" t="n">
        <v>0.53</v>
      </c>
      <c r="AX242" s="72" t="n">
        <v>8.640000000000001</v>
      </c>
      <c r="AY242" s="72" t="n">
        <v>7.94</v>
      </c>
      <c r="AZ242" s="63" t="inlineStr">
        <is>
          <t>Hang Seng Commerce &amp; Industry sub-index</t>
        </is>
      </c>
      <c r="BA242" s="72" t="n">
        <v>206</v>
      </c>
      <c r="BB242" s="64" t="inlineStr">
        <is>
          <t>2026-08-28</t>
        </is>
      </c>
      <c r="BC242" s="65" t="n">
        <v>336.4</v>
      </c>
      <c r="BD242" s="68" t="n">
        <v>39.3</v>
      </c>
      <c r="BE242" s="63" t="inlineStr">
        <is>
          <t>Y</t>
        </is>
      </c>
      <c r="BF242" s="74" t="n">
        <v>12.7</v>
      </c>
      <c r="BG242" s="74" t="n"/>
      <c r="BH242" s="74" t="n">
        <v>72.09999999999999</v>
      </c>
      <c r="BI242" s="74" t="n">
        <v>1.5</v>
      </c>
      <c r="BJ242" s="75">
        <f>IF('BBG Verify'!S242="","not filed — run on terminal",'BBG Verify'!S242)</f>
        <v/>
      </c>
      <c r="BK242" s="76" t="inlineStr">
        <is>
          <t>N</t>
        </is>
      </c>
      <c r="BL242" s="77">
        <f>IF('BBG Verify'!K242="","not filed — run on terminal",'BBG Verify'!K242)</f>
        <v/>
      </c>
      <c r="BM242" s="63" t="inlineStr">
        <is>
          <t>N/A</t>
        </is>
      </c>
      <c r="BN242" s="63" t="inlineStr">
        <is>
          <t>N/A</t>
        </is>
      </c>
      <c r="BO242" s="63" t="inlineStr">
        <is>
          <t>N/A</t>
        </is>
      </c>
      <c r="BP242" s="63" t="inlineStr">
        <is>
          <t>N/A</t>
        </is>
      </c>
      <c r="BQ242" s="63" t="inlineStr">
        <is>
          <t>N/A</t>
        </is>
      </c>
      <c r="BR242" s="63" t="inlineStr">
        <is>
          <t>N/A</t>
        </is>
      </c>
      <c r="BS242" s="76" t="n"/>
      <c r="BT242" s="63" t="inlineStr">
        <is>
          <t>Grande Capital Limited</t>
        </is>
      </c>
      <c r="BU242" s="63" t="inlineStr">
        <is>
          <t>Eddid Securities and Futures Limited; Fortune Origin Securities Limited; Grand China Securities Limited; Grande Capital Limited; Lee Go Securities Limited; Livermore Holdings Limited</t>
        </is>
      </c>
      <c r="BV242" s="63" t="inlineStr">
        <is>
          <t>Eddid Securities and Futures Limited; Fortune Origin Securities Limited; Grand China Securities Limited; Grande Capital Limited; Lee Go Securities Limited; Livermore Holdings Limited; Quam Securities Limited; SBI China Capital Financial Services Limited; Victory Securities Company Limited; Yuen Meta (International) Securities Limited</t>
        </is>
      </c>
      <c r="BW242" s="78">
        <f>HYPERLINK("https://www1.hkexnews.hk/listedco/listconews/sehk/2024/0229/2024022900018.htm","prospectus")</f>
        <v/>
      </c>
      <c r="BX242" s="78">
        <f>HYPERLINK("https://www1.hkexnews.hk/listedco/listconews/sehk/2024/0307/2024030700933.pdf","allotment")</f>
        <v/>
      </c>
      <c r="BY242" s="78">
        <f>HYPERLINK("https://www1.hkexnews.hk/listedco/listconews/sehk/2024/0405/2024040501467.pdf","stabilisation")</f>
        <v/>
      </c>
      <c r="BZ242" s="76" t="n"/>
      <c r="CA242" s="63" t="inlineStr">
        <is>
          <t>greenshoe: over-allotment outcome already published, and the allotment announcement does not state the stabilisation expiry in a parsable form — the expiry no longer matters once resolved · range low: cap-only pricing — the filing publishes a Maximum Offer Price and no indicative floor · A/H: no A-share listing · sponsor: English name not in the filing text; AAStocks 保薦人 shown · cornerstone list: cornerstone section not machine-extractable — see the prospectus link · cornerstone %: cornerstone aggregate not stated in the filing · greenshoe size: no over-allotment option in the offer structure · grey market: no grey-market headline on file for this deal — AAStocks publishes one per listing but keeps only recent items on the stock's news page, and no public archive of past evening sessions exists; captured from this run onward</t>
        </is>
      </c>
    </row>
    <row r="243" ht="15" customHeight="1">
      <c r="A243" s="62" t="inlineStr">
        <is>
          <t>2540</t>
        </is>
      </c>
      <c r="B243" s="63" t="inlineStr">
        <is>
          <t>LESI GROUP</t>
        </is>
      </c>
      <c r="C243" s="63" t="inlineStr">
        <is>
          <t>樂思集團</t>
        </is>
      </c>
      <c r="D243" s="63" t="inlineStr">
        <is>
          <t>TMT-other</t>
        </is>
      </c>
      <c r="E243" s="63" t="inlineStr">
        <is>
          <t>Media / advertising</t>
        </is>
      </c>
      <c r="F243" s="63" t="inlineStr">
        <is>
          <t>Advertising</t>
        </is>
      </c>
      <c r="G243" s="63" t="inlineStr">
        <is>
          <t>Standard</t>
        </is>
      </c>
      <c r="H243" s="64" t="n">
        <v>45359</v>
      </c>
      <c r="I243" s="65" t="n">
        <v>137.5</v>
      </c>
      <c r="J243" s="63" t="inlineStr">
        <is>
          <t>gross (price x shares)</t>
        </is>
      </c>
      <c r="K243" s="66" t="n">
        <v>1.1</v>
      </c>
      <c r="L243" s="66" t="n">
        <v>1.5</v>
      </c>
      <c r="M243" s="66" t="n">
        <v>1.1</v>
      </c>
      <c r="N243" s="63" t="inlineStr">
        <is>
          <t>N</t>
        </is>
      </c>
      <c r="O243" s="67" t="n">
        <v>73.3</v>
      </c>
      <c r="P243" s="67" t="n">
        <v>0</v>
      </c>
      <c r="Q243" s="68" t="n">
        <v>550</v>
      </c>
      <c r="R243" s="63" t="inlineStr">
        <is>
          <t>derived:price x shares upon listing</t>
        </is>
      </c>
      <c r="S243" s="69" t="n">
        <v>22.35</v>
      </c>
      <c r="T243" s="70" t="n">
        <v>1.46</v>
      </c>
      <c r="U243" s="71" t="n">
        <v>0</v>
      </c>
      <c r="V243" s="68" t="n">
        <v>137.5</v>
      </c>
      <c r="W243" s="68" t="n">
        <v>125000000</v>
      </c>
      <c r="X243" s="67" t="n">
        <v>25</v>
      </c>
      <c r="Y243" s="63" t="n"/>
      <c r="Z243" s="63" t="n"/>
      <c r="AA243" s="67" t="n">
        <v>20</v>
      </c>
      <c r="AB243" s="72" t="n"/>
      <c r="AC243" s="66" t="n"/>
      <c r="AD243" s="72" t="n"/>
      <c r="AE243" s="63" t="n"/>
      <c r="AF243" s="63" t="n"/>
      <c r="AG243" s="63" t="inlineStr">
        <is>
          <t>lapsed (no over-allocation)</t>
        </is>
      </c>
      <c r="AH243" s="63" t="n"/>
      <c r="AI243" s="63" t="n"/>
      <c r="AJ243" s="63" t="n"/>
      <c r="AK243" s="73" t="n">
        <v>36.36</v>
      </c>
      <c r="AL243" s="72" t="n">
        <v>-18.18</v>
      </c>
      <c r="AM243" s="72" t="n">
        <v>66.66</v>
      </c>
      <c r="AN243" s="72" t="n">
        <v>166.36</v>
      </c>
      <c r="AO243" s="72" t="n">
        <v>219.09</v>
      </c>
      <c r="AP243" s="72" t="n">
        <v>90.91</v>
      </c>
      <c r="AQ243" s="72" t="n">
        <v>95.34</v>
      </c>
      <c r="AR243" s="72" t="n">
        <v>134.01</v>
      </c>
      <c r="AS243" s="72" t="n">
        <v>40</v>
      </c>
      <c r="AT243" s="72" t="n">
        <v>163.33</v>
      </c>
      <c r="AU243" s="72" t="n">
        <v>213.76</v>
      </c>
      <c r="AV243" s="72" t="n">
        <v>79.31</v>
      </c>
      <c r="AW243" s="72" t="n">
        <v>129.47</v>
      </c>
      <c r="AX243" s="72" t="n">
        <v>5.33</v>
      </c>
      <c r="AY243" s="72" t="n">
        <v>4.54</v>
      </c>
      <c r="AZ243" s="63" t="inlineStr">
        <is>
          <t>Hang Seng Index</t>
        </is>
      </c>
      <c r="BA243" s="72" t="n">
        <v>-31.82</v>
      </c>
      <c r="BB243" s="64" t="inlineStr">
        <is>
          <t>2026-08-28</t>
        </is>
      </c>
      <c r="BC243" s="65" t="n">
        <v>541.8</v>
      </c>
      <c r="BD243" s="68" t="n">
        <v>75.09999999999999</v>
      </c>
      <c r="BE243" s="63" t="inlineStr">
        <is>
          <t>Y</t>
        </is>
      </c>
      <c r="BF243" s="74" t="n">
        <v>7.3</v>
      </c>
      <c r="BG243" s="74" t="n"/>
      <c r="BH243" s="74" t="n">
        <v>8.300000000000001</v>
      </c>
      <c r="BI243" s="74" t="n">
        <v>1</v>
      </c>
      <c r="BJ243" s="75">
        <f>IF('BBG Verify'!S243="","not filed — run on terminal",'BBG Verify'!S243)</f>
        <v/>
      </c>
      <c r="BK243" s="76" t="inlineStr">
        <is>
          <t>N</t>
        </is>
      </c>
      <c r="BL243" s="77">
        <f>IF('BBG Verify'!K243="","not filed — run on terminal",'BBG Verify'!K243)</f>
        <v/>
      </c>
      <c r="BM243" s="63" t="inlineStr">
        <is>
          <t>N/A</t>
        </is>
      </c>
      <c r="BN243" s="63" t="inlineStr">
        <is>
          <t>N/A</t>
        </is>
      </c>
      <c r="BO243" s="63" t="inlineStr">
        <is>
          <t>N/A</t>
        </is>
      </c>
      <c r="BP243" s="63" t="inlineStr">
        <is>
          <t>N/A</t>
        </is>
      </c>
      <c r="BQ243" s="63" t="inlineStr">
        <is>
          <t>N/A</t>
        </is>
      </c>
      <c r="BR243" s="63" t="inlineStr">
        <is>
          <t>N/A</t>
        </is>
      </c>
      <c r="BS243" s="76" t="inlineStr">
        <is>
          <t>China Sunrise Capital Limited</t>
        </is>
      </c>
      <c r="BT243" s="63" t="inlineStr">
        <is>
          <t>China Sunrise Capital Limited</t>
        </is>
      </c>
      <c r="BU243" s="63" t="inlineStr">
        <is>
          <t>China Sunrise Securities (International) Limited; ABCI Capital Limited; BOCI Asia Limited; BOCOM International S ecurities Limited; CEB International Capital Corporation Limited</t>
        </is>
      </c>
      <c r="BV243" s="63" t="inlineStr">
        <is>
          <t>ABCI Securities Company Limited; BOCI Asia Limited; BOCOM International Securities Limited; CEB International Capital Corporation Limited; China Galaxy International Securities (Hong Kong) Company Limited; China Sunrise Securities (International) Limited; Long Bridge HK Limited; Orient Securities (Hong Kong) Limited; Soochow Securities International Brokerage Limited; Valuable Capital Limited</t>
        </is>
      </c>
      <c r="BW243" s="78">
        <f>HYPERLINK("https://www1.hkexnews.hk/listedco/listconews/sehk/2024/0229/2024022900168.pdf","prospectus")</f>
        <v/>
      </c>
      <c r="BX243" s="78">
        <f>HYPERLINK("https://www1.hkexnews.hk/listedco/listconews/sehk/2024/0307/2024030700935.pdf","allotment")</f>
        <v/>
      </c>
      <c r="BY243" s="78">
        <f>HYPERLINK("https://www1.hkexnews.hk/listedco/listconews/sehk/2024/0405/2024040500023.pdf","stabilisation")</f>
        <v/>
      </c>
      <c r="BZ243" s="76" t="n"/>
      <c r="CA243" s="63" t="inlineStr">
        <is>
          <t>greenshoe: over-allotment outcome already published, and the allotment announcement does not state the stabilisation expiry in a parsable form — the expiry no longer matters once resolved · A/H: no A-share listing · cornerstone list: no cornerstone tranche in this deal · stabilising manager: neither the allotment announcement's cover sentence nor the prospectus definitions glossary names one in a form the parser reads — not inferred from the sponsor · grey market: no grey-market headline on file for this deal — AAStocks publishes one per listing but keeps only recent items on the stock's news page, and no public archive of past evening sessions exists; captured from this run onward</t>
        </is>
      </c>
    </row>
    <row r="244" ht="15" customHeight="1">
      <c r="A244" s="62" t="inlineStr">
        <is>
          <t>2509</t>
        </is>
      </c>
      <c r="B244" s="63" t="inlineStr">
        <is>
          <t>QYUNS-B</t>
        </is>
      </c>
      <c r="C244" s="63" t="inlineStr">
        <is>
          <t>荃信生物－Ｂ</t>
        </is>
      </c>
      <c r="D244" s="63" t="inlineStr">
        <is>
          <t>Healthcare</t>
        </is>
      </c>
      <c r="E244" s="63" t="inlineStr">
        <is>
          <t>Biotech pre-revenue (18A)</t>
        </is>
      </c>
      <c r="F244" s="63" t="inlineStr">
        <is>
          <t>Biotechnology - Pharmaceuticals</t>
        </is>
      </c>
      <c r="G244" s="63" t="inlineStr">
        <is>
          <t>18A</t>
        </is>
      </c>
      <c r="H244" s="64" t="n">
        <v>45371</v>
      </c>
      <c r="I244" s="65" t="n">
        <v>238.5</v>
      </c>
      <c r="J244" s="63" t="inlineStr">
        <is>
          <t>gross (price x shares)</t>
        </is>
      </c>
      <c r="K244" s="66" t="n">
        <v>19.8</v>
      </c>
      <c r="L244" s="66" t="n">
        <v>20.2</v>
      </c>
      <c r="M244" s="66" t="n">
        <v>19.8</v>
      </c>
      <c r="N244" s="63" t="inlineStr">
        <is>
          <t>N</t>
        </is>
      </c>
      <c r="O244" s="67" t="n">
        <v>98</v>
      </c>
      <c r="P244" s="67" t="n">
        <v>0</v>
      </c>
      <c r="Q244" s="68" t="n">
        <v>4397</v>
      </c>
      <c r="R244" s="63" t="inlineStr">
        <is>
          <t>derived:price x shares upon listing</t>
        </is>
      </c>
      <c r="S244" s="69" t="n">
        <v>163.15</v>
      </c>
      <c r="T244" s="70" t="n">
        <v>1</v>
      </c>
      <c r="U244" s="71" t="n">
        <v>82.05</v>
      </c>
      <c r="V244" s="68" t="n">
        <v>42.81</v>
      </c>
      <c r="W244" s="68" t="n">
        <v>2162329</v>
      </c>
      <c r="X244" s="67" t="n">
        <v>0.97</v>
      </c>
      <c r="Y244" s="63" t="inlineStr">
        <is>
          <t>Beevest Capital Limited; Huadong Medicine Investment Holding (Hong Kong) Limited; JianXin Medical Technology Limited</t>
        </is>
      </c>
      <c r="Z244" s="63" t="inlineStr">
        <is>
          <t>beevest;huadong;jianxin</t>
        </is>
      </c>
      <c r="AA244" s="67" t="n"/>
      <c r="AB244" s="72" t="n"/>
      <c r="AC244" s="66" t="n"/>
      <c r="AD244" s="72" t="n"/>
      <c r="AE244" s="63" t="n"/>
      <c r="AF244" s="63" t="n"/>
      <c r="AG244" s="63" t="n"/>
      <c r="AH244" s="63" t="n"/>
      <c r="AI244" s="63" t="n"/>
      <c r="AJ244" s="63" t="n"/>
      <c r="AK244" s="73" t="n">
        <v>23.74</v>
      </c>
      <c r="AL244" s="72" t="n">
        <v>38.38</v>
      </c>
      <c r="AM244" s="72" t="n">
        <v>-10.58</v>
      </c>
      <c r="AN244" s="72" t="n">
        <v>20.96</v>
      </c>
      <c r="AO244" s="72" t="n">
        <v>20.71</v>
      </c>
      <c r="AP244" s="72" t="n">
        <v>39.65</v>
      </c>
      <c r="AQ244" s="72" t="n">
        <v>-2.25</v>
      </c>
      <c r="AR244" s="72" t="n">
        <v>-2.45</v>
      </c>
      <c r="AS244" s="72" t="n">
        <v>12.86</v>
      </c>
      <c r="AT244" s="72" t="n">
        <v>24.95</v>
      </c>
      <c r="AU244" s="72" t="n">
        <v>27.75</v>
      </c>
      <c r="AV244" s="72" t="n">
        <v>50.34</v>
      </c>
      <c r="AW244" s="72" t="n">
        <v>4.74</v>
      </c>
      <c r="AX244" s="72" t="n">
        <v>-7.04</v>
      </c>
      <c r="AY244" s="72" t="n">
        <v>-7.19</v>
      </c>
      <c r="AZ244" s="63" t="inlineStr">
        <is>
          <t>China Biotech ETF (HS biotech proxy)</t>
        </is>
      </c>
      <c r="BA244" s="72" t="n">
        <v>-14.14</v>
      </c>
      <c r="BB244" s="64" t="inlineStr">
        <is>
          <t>2026-08-28</t>
        </is>
      </c>
      <c r="BC244" s="65" t="n">
        <v>81.2</v>
      </c>
      <c r="BD244" s="68" t="n">
        <v>-226.5</v>
      </c>
      <c r="BE244" s="63" t="inlineStr">
        <is>
          <t>N</t>
        </is>
      </c>
      <c r="BF244" s="63" t="inlineStr">
        <is>
          <t>n/m</t>
        </is>
      </c>
      <c r="BG244" s="74" t="n"/>
      <c r="BH244" s="74" t="n">
        <v>11.1</v>
      </c>
      <c r="BI244" s="74" t="n">
        <v>54.2</v>
      </c>
      <c r="BJ244" s="75">
        <f>IF('BBG Verify'!S244="","not filed — run on terminal",'BBG Verify'!S244)</f>
        <v/>
      </c>
      <c r="BK244" s="76" t="inlineStr">
        <is>
          <t>N</t>
        </is>
      </c>
      <c r="BL244" s="77">
        <f>IF('BBG Verify'!K244="","not filed — run on terminal",'BBG Verify'!K244)</f>
        <v/>
      </c>
      <c r="BM244" s="63" t="inlineStr">
        <is>
          <t>N/A</t>
        </is>
      </c>
      <c r="BN244" s="63" t="inlineStr">
        <is>
          <t>N/A</t>
        </is>
      </c>
      <c r="BO244" s="63" t="inlineStr">
        <is>
          <t>N/A</t>
        </is>
      </c>
      <c r="BP244" s="63" t="inlineStr">
        <is>
          <t>N/A</t>
        </is>
      </c>
      <c r="BQ244" s="63" t="inlineStr">
        <is>
          <t>N/A</t>
        </is>
      </c>
      <c r="BR244" s="63" t="inlineStr">
        <is>
          <t>N/A</t>
        </is>
      </c>
      <c r="BS244" s="76" t="n"/>
      <c r="BT244" s="63" t="inlineStr">
        <is>
          <t>China International Capital Corporation Hong Kong Securities Limited</t>
        </is>
      </c>
      <c r="BU244" s="63" t="inlineStr">
        <is>
          <t>China International Capital Corporation Hong Kong Securities Limited; Essence International Securities (Hong Kong) Limited; Guotai Junan Securities (Hong Kong) Limited; Huatai Financial Holdings (Hong Kong) Limited; China Industrial Securities International Capital Limited; Livermore Holdings Limited; Tiger Brokers (HK) Global Limited</t>
        </is>
      </c>
      <c r="BV244" s="63" t="inlineStr">
        <is>
          <t>China Galaxy International Securities (Hong Kong) Company Limited; China International Capital Corporation Hong Kong Securities Limited; China Industrial Securities International Capital Limited; Citrus Securities Limited; Essence International Securities (Hong Kong) Limited; Fosun International Securities Limited; Guotai Junan Securities (Hong Kong) Limited; Huatai Financial Holdings (Hong Kong) Limited; Hong Tai Securities Limited; Livermore Holdings Limited; SPDB International Capital Limited; Tiger Brokers (HK) Global Limited</t>
        </is>
      </c>
      <c r="BW244" s="78">
        <f>HYPERLINK("https://www1.hkexnews.hk/listedco/listconews/sehk/2024/0312/2024031200007.pdf","prospectus")</f>
        <v/>
      </c>
      <c r="BX244" s="78">
        <f>HYPERLINK("https://www1.hkexnews.hk/listedco/listconews/sehk/2024/0319/2024031901351.pdf","allotment")</f>
        <v/>
      </c>
      <c r="BY244" s="63" t="n"/>
      <c r="BZ244" s="76" t="n"/>
      <c r="CA244" s="63" t="inlineStr">
        <is>
          <t>P/E: n/m — loss-making at IPO (use P/S) · greenshoe: no over-allotment option in the offer structure · A/H: no A-share listing · sponsor: English name not in the filing text; AAStocks 保薦人 shown · greenshoe size: no over-allotment option in the offer structure · stabilising manager: no over-allotment option in the offer structure, so no stabilising manager is appointed · grey market: no grey-market headline on file for this deal — AAStocks publishes one per listing but keeps only recent items on the stock's news page, and no public archive of past evening sessions exists; captured from this run onward</t>
        </is>
      </c>
    </row>
    <row r="245" ht="15" customHeight="1">
      <c r="A245" s="62" t="inlineStr">
        <is>
          <t>9879</t>
        </is>
      </c>
      <c r="B245" s="63" t="inlineStr">
        <is>
          <t>MIGAO GROUP</t>
        </is>
      </c>
      <c r="C245" s="63" t="inlineStr">
        <is>
          <t>米高集團</t>
        </is>
      </c>
      <c r="D245" s="63" t="inlineStr">
        <is>
          <t>Materials/Energy</t>
        </is>
      </c>
      <c r="E245" s="63" t="inlineStr">
        <is>
          <t>Chemicals</t>
        </is>
      </c>
      <c r="F245" s="63" t="inlineStr">
        <is>
          <t>Fertilizers &amp; Agricultural Chemicals</t>
        </is>
      </c>
      <c r="G245" s="63" t="inlineStr">
        <is>
          <t>Standard</t>
        </is>
      </c>
      <c r="H245" s="64" t="n">
        <v>45372</v>
      </c>
      <c r="I245" s="65" t="n">
        <v>918</v>
      </c>
      <c r="J245" s="63" t="inlineStr">
        <is>
          <t>gross (price x shares)</t>
        </is>
      </c>
      <c r="K245" s="66" t="n">
        <v>3.3</v>
      </c>
      <c r="L245" s="66" t="n">
        <v>4.3</v>
      </c>
      <c r="M245" s="66" t="n">
        <v>4.08</v>
      </c>
      <c r="N245" s="63" t="inlineStr">
        <is>
          <t>N</t>
        </is>
      </c>
      <c r="O245" s="67" t="n">
        <v>94.90000000000001</v>
      </c>
      <c r="P245" s="67" t="n">
        <v>78</v>
      </c>
      <c r="Q245" s="68" t="n">
        <v>3672</v>
      </c>
      <c r="R245" s="63" t="inlineStr">
        <is>
          <t>derived:price x shares upon listing</t>
        </is>
      </c>
      <c r="S245" s="69" t="n">
        <v>9.789999999999999</v>
      </c>
      <c r="T245" s="70" t="n">
        <v>1.28</v>
      </c>
      <c r="U245" s="71" t="n">
        <v>45.58</v>
      </c>
      <c r="V245" s="68" t="n">
        <v>499.58</v>
      </c>
      <c r="W245" s="68" t="n">
        <v>122445000</v>
      </c>
      <c r="X245" s="67" t="n">
        <v>13.61</v>
      </c>
      <c r="Y245" s="63" t="inlineStr">
        <is>
          <t>Harvest; Mega Dynamic Group Limited; Pioneer Top Holdings Limited; Shenyang Xinchang Grain Trade Co., Ltd</t>
        </is>
      </c>
      <c r="Z245" s="63" t="inlineStr">
        <is>
          <t>harvest;mega;pioneer;shenyang</t>
        </is>
      </c>
      <c r="AA245" s="67" t="n">
        <v>10</v>
      </c>
      <c r="AB245" s="72" t="n"/>
      <c r="AC245" s="66" t="n"/>
      <c r="AD245" s="72" t="n"/>
      <c r="AE245" s="63" t="n"/>
      <c r="AF245" s="63" t="n"/>
      <c r="AG245" s="63" t="inlineStr">
        <is>
          <t>partial</t>
        </is>
      </c>
      <c r="AH245" s="63" t="n"/>
      <c r="AI245" s="63" t="n"/>
      <c r="AJ245" s="63" t="n"/>
      <c r="AK245" s="73" t="n">
        <v>0.25</v>
      </c>
      <c r="AL245" s="72" t="n">
        <v>7.35</v>
      </c>
      <c r="AM245" s="72" t="n">
        <v>-6.61</v>
      </c>
      <c r="AN245" s="72" t="n">
        <v>-0</v>
      </c>
      <c r="AO245" s="72" t="n">
        <v>31.13</v>
      </c>
      <c r="AP245" s="72" t="n">
        <v>98.53</v>
      </c>
      <c r="AQ245" s="72" t="n">
        <v>-0.25</v>
      </c>
      <c r="AR245" s="72" t="n">
        <v>30.8</v>
      </c>
      <c r="AS245" s="72" t="n">
        <v>98.03</v>
      </c>
      <c r="AT245" s="72" t="n">
        <v>-0.77</v>
      </c>
      <c r="AU245" s="72" t="n">
        <v>25.83</v>
      </c>
      <c r="AV245" s="72" t="n">
        <v>89.27</v>
      </c>
      <c r="AW245" s="72" t="n">
        <v>27.29</v>
      </c>
      <c r="AX245" s="72" t="n">
        <v>5.3</v>
      </c>
      <c r="AY245" s="72" t="n">
        <v>3.51</v>
      </c>
      <c r="AZ245" s="63" t="inlineStr">
        <is>
          <t>Hang Seng Commerce &amp; Industry sub-index</t>
        </is>
      </c>
      <c r="BA245" s="72" t="n">
        <v>130.39</v>
      </c>
      <c r="BB245" s="64" t="inlineStr">
        <is>
          <t>2026-08-28</t>
        </is>
      </c>
      <c r="BC245" s="65" t="n">
        <v>5195</v>
      </c>
      <c r="BD245" s="68" t="n">
        <v>436.2</v>
      </c>
      <c r="BE245" s="63" t="inlineStr">
        <is>
          <t>Y</t>
        </is>
      </c>
      <c r="BF245" s="74" t="n">
        <v>8.4</v>
      </c>
      <c r="BG245" s="74" t="n"/>
      <c r="BH245" s="74" t="n">
        <v>19.8</v>
      </c>
      <c r="BI245" s="74" t="n">
        <v>0.7</v>
      </c>
      <c r="BJ245" s="75">
        <f>IF('BBG Verify'!S245="","not filed — run on terminal",'BBG Verify'!S245)</f>
        <v/>
      </c>
      <c r="BK245" s="76" t="inlineStr">
        <is>
          <t>N</t>
        </is>
      </c>
      <c r="BL245" s="77">
        <f>IF('BBG Verify'!K245="","not filed — run on terminal",'BBG Verify'!K245)</f>
        <v/>
      </c>
      <c r="BM245" s="63" t="inlineStr">
        <is>
          <t>N/A</t>
        </is>
      </c>
      <c r="BN245" s="63" t="inlineStr">
        <is>
          <t>N/A</t>
        </is>
      </c>
      <c r="BO245" s="63" t="inlineStr">
        <is>
          <t>N/A</t>
        </is>
      </c>
      <c r="BP245" s="63" t="inlineStr">
        <is>
          <t>N/A</t>
        </is>
      </c>
      <c r="BQ245" s="63" t="inlineStr">
        <is>
          <t>N/A</t>
        </is>
      </c>
      <c r="BR245" s="63" t="inlineStr">
        <is>
          <t>N/A</t>
        </is>
      </c>
      <c r="BS245" s="76" t="inlineStr">
        <is>
          <t>GF Capital (Hong Kong) Limited</t>
        </is>
      </c>
      <c r="BT245" s="63" t="inlineStr">
        <is>
          <t>GF Capital (Hong Kong) Limited</t>
        </is>
      </c>
      <c r="BU245" s="63" t="inlineStr">
        <is>
          <t>GF Securities (Hong Kong) Brokerage Limited; CMB International Capital Limited; Essence International Securities (Hong Kong) Limited; China Merchants Securities (HK) Co., Limited; ABCI Capital Limited; China Everbright Securities (HK) Limited; Shenwan Hongyuan Securities (H.K.) Limited; Orient Securities (Hong Kong) Limited; Livermore Holdings Limited</t>
        </is>
      </c>
      <c r="BV245" s="63" t="inlineStr">
        <is>
          <t>ABCI Securities Company Limited; China Everbright Securities (HK) Limited; CMB International Capital Limited; China Merchants Securities (HK) Company Limited; Essence International Securities (Hong Kong) Limited; GF Securities (Hong Kong) Brokerage Limited; Livermore Holdings Limited; Orient Securities (Hong Kong) Limited; Shenwan Hongyuan Securities (H.K.) Limited; Soochow Securities International Brokerage Limited</t>
        </is>
      </c>
      <c r="BW245" s="78">
        <f>HYPERLINK("https://www1.hkexnews.hk/listedco/listconews/sehk/2024/0313/2024031300019.pdf","prospectus")</f>
        <v/>
      </c>
      <c r="BX245" s="78">
        <f>HYPERLINK("https://www1.hkexnews.hk/listedco/listconews/sehk/2024/0320/2024032001597.pdf","allotment")</f>
        <v/>
      </c>
      <c r="BY245" s="78">
        <f>HYPERLINK("https://www1.hkexnews.hk/listedco/listconews/sehk/2024/0417/2024041701556.pdf","stabilisation")</f>
        <v/>
      </c>
      <c r="BZ245" s="76" t="n"/>
      <c r="CA245" s="63" t="inlineStr">
        <is>
          <t>greenshoe: over-allotment outcome already published, and the allotment announcement does not state the stabilisation expiry in a parsable form — the expiry no longer matters once resolved · A/H: no A-share listing · stabilising manager: neither the allotment announcement's cover sentence nor the prospectus definitions glossary names one in a form the parser reads — not inferred from the sponsor · grey market: no grey-market headline on file for this deal — AAStocks publishes one per listing but keeps only recent items on the stock's news page, and no public archive of past evening sessions exists; captured from this run onward</t>
        </is>
      </c>
    </row>
    <row r="246" ht="15" customHeight="1">
      <c r="A246" s="62" t="inlineStr">
        <is>
          <t>2536</t>
        </is>
      </c>
      <c r="B246" s="63" t="inlineStr">
        <is>
          <t>PALASINO</t>
        </is>
      </c>
      <c r="C246" s="63" t="inlineStr">
        <is>
          <t>百樂皇宮</t>
        </is>
      </c>
      <c r="D246" s="63" t="inlineStr">
        <is>
          <t>Consumer</t>
        </is>
      </c>
      <c r="E246" s="63" t="inlineStr">
        <is>
          <t>Consumer services / education</t>
        </is>
      </c>
      <c r="F246" s="63" t="inlineStr">
        <is>
          <t>Casinos &amp; Gaming</t>
        </is>
      </c>
      <c r="G246" s="63" t="inlineStr">
        <is>
          <t>Standard</t>
        </is>
      </c>
      <c r="H246" s="64" t="n">
        <v>45377</v>
      </c>
      <c r="I246" s="65" t="n"/>
      <c r="J246" s="63" t="n"/>
      <c r="K246" s="66" t="n"/>
      <c r="L246" s="66" t="n">
        <v>2.6</v>
      </c>
      <c r="M246" s="66" t="n">
        <v>2.6</v>
      </c>
      <c r="N246" s="63" t="inlineStr">
        <is>
          <t>Y</t>
        </is>
      </c>
      <c r="O246" s="67" t="n">
        <v>100</v>
      </c>
      <c r="P246" s="67" t="n"/>
      <c r="Q246" s="68" t="n">
        <v>2080</v>
      </c>
      <c r="R246" s="63" t="inlineStr">
        <is>
          <t>prospectus:stated market capitalisation</t>
        </is>
      </c>
      <c r="S246" s="69" t="n">
        <v>0.23</v>
      </c>
      <c r="T246" s="70" t="n">
        <v>1.29</v>
      </c>
      <c r="U246" s="71" t="n">
        <v>18.8</v>
      </c>
      <c r="V246" s="68" t="n"/>
      <c r="W246" s="68" t="n"/>
      <c r="X246" s="67" t="n"/>
      <c r="Y246" s="63" t="inlineStr">
        <is>
          <t>XIANG SHANG GAMES CO., LTD</t>
        </is>
      </c>
      <c r="Z246" s="63" t="inlineStr">
        <is>
          <t>xiang</t>
        </is>
      </c>
      <c r="AA246" s="67" t="n">
        <v>8.93</v>
      </c>
      <c r="AB246" s="72" t="n"/>
      <c r="AC246" s="66" t="n"/>
      <c r="AD246" s="72" t="n"/>
      <c r="AE246" s="63" t="n"/>
      <c r="AF246" s="63" t="n"/>
      <c r="AG246" s="63" t="inlineStr">
        <is>
          <t>partial</t>
        </is>
      </c>
      <c r="AH246" s="63" t="n"/>
      <c r="AI246" s="63" t="inlineStr">
        <is>
          <t>Guotai Junan Securities</t>
        </is>
      </c>
      <c r="AJ246" s="63" t="inlineStr">
        <is>
          <t>Guotai Junan</t>
        </is>
      </c>
      <c r="AK246" s="73" t="n">
        <v>15.38</v>
      </c>
      <c r="AL246" s="72" t="n">
        <v>5.77</v>
      </c>
      <c r="AM246" s="72" t="n">
        <v>9.09</v>
      </c>
      <c r="AN246" s="72" t="n">
        <v>111.54</v>
      </c>
      <c r="AO246" s="72" t="n">
        <v>111.92</v>
      </c>
      <c r="AP246" s="72" t="n">
        <v>129.62</v>
      </c>
      <c r="AQ246" s="72" t="n">
        <v>83.34</v>
      </c>
      <c r="AR246" s="72" t="n">
        <v>83.67</v>
      </c>
      <c r="AS246" s="72" t="n">
        <v>99.01000000000001</v>
      </c>
      <c r="AT246" s="72" t="n">
        <v>109.11</v>
      </c>
      <c r="AU246" s="72" t="n">
        <v>103.81</v>
      </c>
      <c r="AV246" s="72" t="n">
        <v>122.55</v>
      </c>
      <c r="AW246" s="72" t="n">
        <v>76.7</v>
      </c>
      <c r="AX246" s="72" t="n">
        <v>8.109999999999999</v>
      </c>
      <c r="AY246" s="72" t="n">
        <v>6.97</v>
      </c>
      <c r="AZ246" s="63" t="inlineStr">
        <is>
          <t>Hang Seng Commerce &amp; Industry sub-index</t>
        </is>
      </c>
      <c r="BA246" s="72" t="n">
        <v>-68.84999999999999</v>
      </c>
      <c r="BB246" s="64" t="inlineStr">
        <is>
          <t>2026-08-28</t>
        </is>
      </c>
      <c r="BC246" s="65" t="n">
        <v>529</v>
      </c>
      <c r="BD246" s="68" t="n">
        <v>44.2</v>
      </c>
      <c r="BE246" s="63" t="inlineStr">
        <is>
          <t>Y</t>
        </is>
      </c>
      <c r="BF246" s="74" t="n">
        <v>47.1</v>
      </c>
      <c r="BG246" s="74" t="n"/>
      <c r="BH246" s="74" t="n">
        <v>49</v>
      </c>
      <c r="BI246" s="74" t="n">
        <v>3.9</v>
      </c>
      <c r="BJ246" s="75">
        <f>IF('BBG Verify'!S246="","not filed — run on terminal",'BBG Verify'!S246)</f>
        <v/>
      </c>
      <c r="BK246" s="76" t="inlineStr">
        <is>
          <t>N</t>
        </is>
      </c>
      <c r="BL246" s="77">
        <f>IF('BBG Verify'!K246="","not filed — run on terminal",'BBG Verify'!K246)</f>
        <v/>
      </c>
      <c r="BM246" s="63" t="inlineStr">
        <is>
          <t>N/A</t>
        </is>
      </c>
      <c r="BN246" s="63" t="inlineStr">
        <is>
          <t>N/A</t>
        </is>
      </c>
      <c r="BO246" s="63" t="inlineStr">
        <is>
          <t>N/A</t>
        </is>
      </c>
      <c r="BP246" s="63" t="inlineStr">
        <is>
          <t>N/A</t>
        </is>
      </c>
      <c r="BQ246" s="63" t="inlineStr">
        <is>
          <t>N/A</t>
        </is>
      </c>
      <c r="BR246" s="63" t="inlineStr">
        <is>
          <t>N/A</t>
        </is>
      </c>
      <c r="BS246" s="76" t="inlineStr">
        <is>
          <t>Guotai Junan Capital Limited</t>
        </is>
      </c>
      <c r="BT246" s="63" t="inlineStr">
        <is>
          <t>Guotai Junan Capital Limited</t>
        </is>
      </c>
      <c r="BU246" s="63" t="inlineStr">
        <is>
          <t>Guotai Junan Securities (Hong Kong) Limited; CMB International Capital Limited; Zhongtai International Securities Limited; UOB Kay Hian (Hong Kong) Limited; CCB International Capital Limited; Livermore Holdings Limited; Guosen Securities (HK) Capital Company Limited; Long Bridge HK Limited</t>
        </is>
      </c>
      <c r="BV246" s="63" t="inlineStr">
        <is>
          <t>CCB International Capital Limited; CMB International Capital Limited; Guotai Junan Securities (Hong Kong) Limited; Guosen Securities (HK) Capital Company Limited; Long Bridge HK Limited; Livermore Holdings Limited; UOB Kay Hian (Hong Kong) Limited; Zhongtai International Securities Limited</t>
        </is>
      </c>
      <c r="BW246" s="78">
        <f>HYPERLINK("https://www1.hkexnews.hk/listedco/listconews/sehk/2024/0318/2024031800024.pdf","prospectus")</f>
        <v/>
      </c>
      <c r="BX246" s="78">
        <f>HYPERLINK("https://www1.hkexnews.hk/listedco/listconews/sehk/2024/0325/2024032501621.pdf","allotment")</f>
        <v/>
      </c>
      <c r="BY246" s="78">
        <f>HYPERLINK("https://www1.hkexnews.hk/listedco/listconews/sehk/2024/0422/2024042200005.pdf","stabilisation")</f>
        <v/>
      </c>
      <c r="BZ246" s="76" t="n"/>
      <c r="CA246" s="63" t="inlineStr">
        <is>
          <t>greenshoe: over-allotment outcome already published, and the allotment announcement does not state the stabilisation expiry in a parsable form — the expiry no longer matters once resolved · range low: cap-only pricing — the filing publishes a Maximum Offer Price and no indicative floor · A/H: no A-share listing · deal size: no proceeds figure stated in any filing · grey market: no grey-market headline on file for this deal — AAStocks publishes one per listing but keeps only recent items on the stock's news page, and no public archive of past evening sessions exists; captured from this run onward · eff free float: not computable as a % of cap — deal size not available · eff float shares: share count unavailable or rejected as implausible — the money figure (eff_free_float_hkdm) is still exact · size basis: no size, so no basis to describe</t>
        </is>
      </c>
    </row>
    <row r="247" ht="15" customHeight="1">
      <c r="A247" s="62" t="inlineStr">
        <is>
          <t>2497</t>
        </is>
      </c>
      <c r="B247" s="63" t="inlineStr">
        <is>
          <t>FUJING HOLDINGS</t>
        </is>
      </c>
      <c r="C247" s="63" t="inlineStr">
        <is>
          <t>富景中國控股</t>
        </is>
      </c>
      <c r="D247" s="63" t="inlineStr">
        <is>
          <t>Consumer</t>
        </is>
      </c>
      <c r="E247" s="63" t="inlineStr">
        <is>
          <t>Beverages / packaged food</t>
        </is>
      </c>
      <c r="F247" s="63" t="inlineStr">
        <is>
          <t>Agricultural Products</t>
        </is>
      </c>
      <c r="G247" s="63" t="inlineStr">
        <is>
          <t>Standard</t>
        </is>
      </c>
      <c r="H247" s="64" t="n">
        <v>45379</v>
      </c>
      <c r="I247" s="65" t="n">
        <v>108</v>
      </c>
      <c r="J247" s="63" t="inlineStr">
        <is>
          <t>gross (price x shares)</t>
        </is>
      </c>
      <c r="K247" s="66" t="n">
        <v>1.08</v>
      </c>
      <c r="L247" s="66" t="n">
        <v>1.28</v>
      </c>
      <c r="M247" s="66" t="n">
        <v>1.08</v>
      </c>
      <c r="N247" s="63" t="inlineStr">
        <is>
          <t>N</t>
        </is>
      </c>
      <c r="O247" s="67" t="n">
        <v>84.40000000000001</v>
      </c>
      <c r="P247" s="67" t="n">
        <v>0</v>
      </c>
      <c r="Q247" s="68" t="n">
        <v>540</v>
      </c>
      <c r="R247" s="63" t="inlineStr">
        <is>
          <t>derived:price x shares upon listing</t>
        </is>
      </c>
      <c r="S247" s="69" t="n">
        <v>294.13</v>
      </c>
      <c r="T247" s="70" t="n">
        <v>0.96</v>
      </c>
      <c r="U247" s="71" t="n">
        <v>0</v>
      </c>
      <c r="V247" s="68" t="n">
        <v>108</v>
      </c>
      <c r="W247" s="68" t="n">
        <v>100000000</v>
      </c>
      <c r="X247" s="67" t="n">
        <v>20</v>
      </c>
      <c r="Y247" s="63" t="n"/>
      <c r="Z247" s="63" t="n"/>
      <c r="AA247" s="67" t="n">
        <v>15</v>
      </c>
      <c r="AB247" s="72" t="n"/>
      <c r="AC247" s="66" t="n"/>
      <c r="AD247" s="72" t="n"/>
      <c r="AE247" s="63" t="n"/>
      <c r="AF247" s="63" t="n"/>
      <c r="AG247" s="63" t="inlineStr">
        <is>
          <t>lapsed (no over-allocation)</t>
        </is>
      </c>
      <c r="AH247" s="63" t="n"/>
      <c r="AI247" s="63" t="n"/>
      <c r="AJ247" s="63" t="n"/>
      <c r="AK247" s="73" t="n">
        <v>37.04</v>
      </c>
      <c r="AL247" s="72" t="n">
        <v>97.22</v>
      </c>
      <c r="AM247" s="72" t="n">
        <v>-30.51</v>
      </c>
      <c r="AN247" s="72" t="n">
        <v>14.81</v>
      </c>
      <c r="AO247" s="72" t="n">
        <v>-3.7</v>
      </c>
      <c r="AP247" s="72" t="n">
        <v>-4.63</v>
      </c>
      <c r="AQ247" s="72" t="n">
        <v>-16.22</v>
      </c>
      <c r="AR247" s="72" t="n">
        <v>-29.73</v>
      </c>
      <c r="AS247" s="72" t="n">
        <v>-30.41</v>
      </c>
      <c r="AT247" s="72" t="n">
        <v>11.5</v>
      </c>
      <c r="AU247" s="72" t="n">
        <v>-15.03</v>
      </c>
      <c r="AV247" s="72" t="n">
        <v>-14.97</v>
      </c>
      <c r="AW247" s="72" t="n">
        <v>-39.21</v>
      </c>
      <c r="AX247" s="72" t="n">
        <v>11.33</v>
      </c>
      <c r="AY247" s="72" t="n">
        <v>9.48</v>
      </c>
      <c r="AZ247" s="63" t="inlineStr">
        <is>
          <t>Hang Seng Commerce &amp; Industry sub-index</t>
        </is>
      </c>
      <c r="BA247" s="72" t="n">
        <v>-46.3</v>
      </c>
      <c r="BB247" s="64" t="inlineStr">
        <is>
          <t>2026-08-28</t>
        </is>
      </c>
      <c r="BC247" s="65" t="n">
        <v>139.4</v>
      </c>
      <c r="BD247" s="68" t="n">
        <v>35</v>
      </c>
      <c r="BE247" s="63" t="inlineStr">
        <is>
          <t>Y</t>
        </is>
      </c>
      <c r="BF247" s="74" t="n">
        <v>15.4</v>
      </c>
      <c r="BG247" s="74" t="n"/>
      <c r="BH247" s="74" t="n">
        <v>4.2</v>
      </c>
      <c r="BI247" s="74" t="n">
        <v>3.9</v>
      </c>
      <c r="BJ247" s="75">
        <f>IF('BBG Verify'!S247="","not filed — run on terminal",'BBG Verify'!S247)</f>
        <v/>
      </c>
      <c r="BK247" s="76" t="inlineStr">
        <is>
          <t>N</t>
        </is>
      </c>
      <c r="BL247" s="77">
        <f>IF('BBG Verify'!K247="","not filed — run on terminal",'BBG Verify'!K247)</f>
        <v/>
      </c>
      <c r="BM247" s="63" t="inlineStr">
        <is>
          <t>N/A</t>
        </is>
      </c>
      <c r="BN247" s="63" t="inlineStr">
        <is>
          <t>N/A</t>
        </is>
      </c>
      <c r="BO247" s="63" t="inlineStr">
        <is>
          <t>N/A</t>
        </is>
      </c>
      <c r="BP247" s="63" t="inlineStr">
        <is>
          <t>N/A</t>
        </is>
      </c>
      <c r="BQ247" s="63" t="inlineStr">
        <is>
          <t>N/A</t>
        </is>
      </c>
      <c r="BR247" s="63" t="inlineStr">
        <is>
          <t>N/A</t>
        </is>
      </c>
      <c r="BS247" s="76" t="inlineStr">
        <is>
          <t>Grande Capital Limited</t>
        </is>
      </c>
      <c r="BT247" s="63" t="inlineStr">
        <is>
          <t>Grande Capital Limited</t>
        </is>
      </c>
      <c r="BU247" s="63" t="inlineStr">
        <is>
          <t>CMBC Securities Company Limited; Grande Capital Limited; Cinda International Capital Limited; CCB International Capital Limited; ICBC International Securities Limited; Haitong International Securities Company Limited; China Galaxy International Securities (Hong Kong) Co., Limited; Eddid Securities and Futures Limited; Alliance Capital Partners Limited; Caitong International Securities Company Limited; Ruibang Securities Limited</t>
        </is>
      </c>
      <c r="BV247" s="63" t="inlineStr">
        <is>
          <t>ABCI Securities Company Limited; Alliance Capital Partners Limited; BOCOM International Securities Limited; Caitong International Securities Company Limited; CCB International Capital Limited; China Galaxy International Securities (Hong Kong) Company Limited; Cinda International Capital Limited; CMBC Securities Company Limited; Eddid Securities and Futures Limited; Fosun International Securities Limited; Grande Capital Limited; Haitong International Securities Company Limited</t>
        </is>
      </c>
      <c r="BW247" s="78">
        <f>HYPERLINK("https://www1.hkexnews.hk/listedco/listconews/sehk/2024/0320/2024032000093.pdf","prospectus")</f>
        <v/>
      </c>
      <c r="BX247" s="78">
        <f>HYPERLINK("https://www1.hkexnews.hk/listedco/listconews/sehk/2024/0327/2024032702279.pdf","allotment")</f>
        <v/>
      </c>
      <c r="BY247" s="78">
        <f>HYPERLINK("https://www1.hkexnews.hk/listedco/listconews/sehk/2024/0424/2024042400463.pdf","stabilisation")</f>
        <v/>
      </c>
      <c r="BZ247" s="76" t="n"/>
      <c r="CA247" s="63" t="inlineStr">
        <is>
          <t>greenshoe: over-allotment outcome already published, and the allotment announcement does not state the stabilisation expiry in a parsable form — the expiry no longer matters once resolved · A/H: no A-share listing · cornerstone list: no cornerstone tranche in this deal · stabilising manager: neither the allotment announcement's cover sentence nor the prospectus definitions glossary names one in a form the parser reads — not inferred from the sponsor · grey market: no grey-market headline on file for this deal — AAStocks publishes one per listing but keeps only recent items on the stock's news page, and no public archive of past evening sessions exists; captured from this run onward</t>
        </is>
      </c>
    </row>
    <row r="248" ht="15" customHeight="1">
      <c r="A248" s="62" t="inlineStr">
        <is>
          <t>2598</t>
        </is>
      </c>
      <c r="B248" s="63" t="inlineStr">
        <is>
          <t>LIANLIAN</t>
        </is>
      </c>
      <c r="C248" s="63" t="inlineStr">
        <is>
          <t>連連數字</t>
        </is>
      </c>
      <c r="D248" s="63" t="inlineStr">
        <is>
          <t>Tech/AI</t>
        </is>
      </c>
      <c r="E248" s="63" t="inlineStr">
        <is>
          <t>Fintech platform</t>
        </is>
      </c>
      <c r="F248" s="63" t="inlineStr">
        <is>
          <t>e-Commerce &amp; Internet Services</t>
        </is>
      </c>
      <c r="G248" s="63" t="inlineStr">
        <is>
          <t>Standard</t>
        </is>
      </c>
      <c r="H248" s="64" t="n">
        <v>45379</v>
      </c>
      <c r="I248" s="65" t="n">
        <v>657.1</v>
      </c>
      <c r="J248" s="63" t="inlineStr">
        <is>
          <t>gross (price x shares)</t>
        </is>
      </c>
      <c r="K248" s="66" t="n">
        <v>10.21</v>
      </c>
      <c r="L248" s="66" t="n">
        <v>10.95</v>
      </c>
      <c r="M248" s="66" t="n">
        <v>10.22</v>
      </c>
      <c r="N248" s="63" t="inlineStr">
        <is>
          <t>N</t>
        </is>
      </c>
      <c r="O248" s="67" t="n">
        <v>93.3</v>
      </c>
      <c r="P248" s="67" t="n">
        <v>1.4</v>
      </c>
      <c r="Q248" s="68" t="n">
        <v>11028</v>
      </c>
      <c r="R248" s="63" t="inlineStr">
        <is>
          <t>derived:price x shares upon listing</t>
        </is>
      </c>
      <c r="S248" s="69" t="n">
        <v>16.94</v>
      </c>
      <c r="T248" s="70" t="n">
        <v>1.89</v>
      </c>
      <c r="U248" s="71" t="n">
        <v>63.89</v>
      </c>
      <c r="V248" s="68" t="n">
        <v>237.28</v>
      </c>
      <c r="W248" s="68" t="n">
        <v>23218730</v>
      </c>
      <c r="X248" s="67" t="n">
        <v>2.15</v>
      </c>
      <c r="Y248" s="63" t="inlineStr">
        <is>
          <t>Hangzhou High-tech Venture Capital Co., Ltd</t>
        </is>
      </c>
      <c r="Z248" s="63" t="inlineStr">
        <is>
          <t>hangzhou-high</t>
        </is>
      </c>
      <c r="AA248" s="67" t="n">
        <v>15</v>
      </c>
      <c r="AB248" s="72" t="n"/>
      <c r="AC248" s="66" t="n"/>
      <c r="AD248" s="72" t="n"/>
      <c r="AE248" s="63" t="n"/>
      <c r="AF248" s="63" t="n"/>
      <c r="AG248" s="63" t="inlineStr">
        <is>
          <t>lapsed</t>
        </is>
      </c>
      <c r="AH248" s="63" t="inlineStr">
        <is>
          <t>2024-04-24</t>
        </is>
      </c>
      <c r="AI248" s="63" t="inlineStr">
        <is>
          <t>China International Capital Corporation Hong Kong Securities Limited</t>
        </is>
      </c>
      <c r="AJ248" s="63" t="inlineStr">
        <is>
          <t>China International</t>
        </is>
      </c>
      <c r="AK248" s="73" t="n">
        <v>-7.63</v>
      </c>
      <c r="AL248" s="72" t="n">
        <v>-4.11</v>
      </c>
      <c r="AM248" s="72" t="n">
        <v>-3.67</v>
      </c>
      <c r="AN248" s="72" t="n">
        <v>-4.79</v>
      </c>
      <c r="AO248" s="72" t="n">
        <v>-5.48</v>
      </c>
      <c r="AP248" s="72" t="n">
        <v>-7.05</v>
      </c>
      <c r="AQ248" s="72" t="n">
        <v>3.07</v>
      </c>
      <c r="AR248" s="72" t="n">
        <v>2.33</v>
      </c>
      <c r="AS248" s="72" t="n">
        <v>0.63</v>
      </c>
      <c r="AT248" s="72" t="n">
        <v>-7.49</v>
      </c>
      <c r="AU248" s="72" t="n">
        <v>-19.48</v>
      </c>
      <c r="AV248" s="72" t="n">
        <v>-14.86</v>
      </c>
      <c r="AW248" s="72" t="n">
        <v>-9.19</v>
      </c>
      <c r="AX248" s="72" t="n">
        <v>14</v>
      </c>
      <c r="AY248" s="72" t="n">
        <v>11.52</v>
      </c>
      <c r="AZ248" s="63" t="inlineStr">
        <is>
          <t>HSTECH (Hang Seng TECH ETF)</t>
        </is>
      </c>
      <c r="BA248" s="72" t="n">
        <v>-63.16</v>
      </c>
      <c r="BB248" s="64" t="inlineStr">
        <is>
          <t>2026-08-28</t>
        </is>
      </c>
      <c r="BC248" s="65" t="n">
        <v>817</v>
      </c>
      <c r="BD248" s="68" t="n">
        <v>-1008.6</v>
      </c>
      <c r="BE248" s="63" t="inlineStr">
        <is>
          <t>N</t>
        </is>
      </c>
      <c r="BF248" s="63" t="inlineStr">
        <is>
          <t>n/m</t>
        </is>
      </c>
      <c r="BG248" s="74" t="n"/>
      <c r="BH248" s="74" t="n">
        <v>2.2</v>
      </c>
      <c r="BI248" s="74" t="n">
        <v>13.5</v>
      </c>
      <c r="BJ248" s="75">
        <f>IF('BBG Verify'!S248="","not filed — run on terminal",'BBG Verify'!S248)</f>
        <v/>
      </c>
      <c r="BK248" s="76" t="inlineStr">
        <is>
          <t>N</t>
        </is>
      </c>
      <c r="BL248" s="77">
        <f>IF('BBG Verify'!K248="","not filed — run on terminal",'BBG Verify'!K248)</f>
        <v/>
      </c>
      <c r="BM248" s="63" t="inlineStr">
        <is>
          <t>N/A</t>
        </is>
      </c>
      <c r="BN248" s="63" t="inlineStr">
        <is>
          <t>N/A</t>
        </is>
      </c>
      <c r="BO248" s="63" t="inlineStr">
        <is>
          <t>N/A</t>
        </is>
      </c>
      <c r="BP248" s="63" t="inlineStr">
        <is>
          <t>N/A</t>
        </is>
      </c>
      <c r="BQ248" s="63" t="inlineStr">
        <is>
          <t>N/A</t>
        </is>
      </c>
      <c r="BR248" s="63" t="inlineStr">
        <is>
          <t>N/A</t>
        </is>
      </c>
      <c r="BS248" s="76" t="inlineStr">
        <is>
          <t>China International Capital Corporation Hong Kong Securities Limited; J.P. Morgan Securities (Far East) Limited</t>
        </is>
      </c>
      <c r="BT248" s="63" t="inlineStr">
        <is>
          <t>China International Capital Corporation Hong Kong Securities Limited; J.P. Morgan Securities (Far East) Limited</t>
        </is>
      </c>
      <c r="BU248" s="63" t="inlineStr">
        <is>
          <t>China International Capital Corporation Hong Kong Securities Limited; J.P. Morgan Securities (Asia Pacific) Limited; BNP Paribas Securities (Asia) Limited; Deutsche Bank AG, Hong Kong Branch; ABCI Capital Limited; Caitong International Securities Company Limited; China Galaxy International Securities (Hong Kong) Co., Limited; Futu Securities International (Hong Kong) Limited; Guotai Junan Securities (Hong Kong) Limited; ICBC International Securities Limited; Tiger Brokers (HK) Global Limited; Zhongtai International Securities Limited</t>
        </is>
      </c>
      <c r="BV248" s="63" t="inlineStr">
        <is>
          <t>ABCI Securities Company Limited; BNP Paribas Securities (Asia) Limited; Caitong International Securities Company Limited; China Galaxy International Securities (Hong Kong) Company Limited; China International Capital Corporation Hong Kong Securities Limited; Deutsche Bank AG, Hong Kong Branch; Futu Securities International (Hong Kong) Limited; GF Securities (Hong Kong) Brokerage Limited; Guotai Junan Securities (Hong Kong) Limited; ICBC International Securities Limited; J.P. Morgan Securities (Asia Pacific) Limited; Tiger Brokers (HK) Global Limited</t>
        </is>
      </c>
      <c r="BW248" s="78">
        <f>HYPERLINK("https://www1.hkexnews.hk/listedco/listconews/sehk/2024/0320/2024032000031.pdf","prospectus")</f>
        <v/>
      </c>
      <c r="BX248" s="78">
        <f>HYPERLINK("https://www1.hkexnews.hk/listedco/listconews/sehk/2024/0327/2024032703063.pdf","allotment")</f>
        <v/>
      </c>
      <c r="BY248" s="78">
        <f>HYPERLINK("https://www1.hkexnews.hk/listedco/listconews/sehk/2024/0424/2024042402304.pdf","stabilisation")</f>
        <v/>
      </c>
      <c r="BZ248" s="76" t="n"/>
      <c r="CA248" s="63" t="inlineStr">
        <is>
          <t>P/E: n/m — loss-making at IPO (use P/S) · A/H: no A-share listing · grey market: no grey-market headline on file for this deal — AAStocks publishes one per listing but keeps only recent items on the stock's news page, and no public archive of past evening sessions exists; captured from this run onward</t>
        </is>
      </c>
    </row>
    <row r="249" ht="15" customHeight="1">
      <c r="A249" s="62" t="inlineStr">
        <is>
          <t>2515</t>
        </is>
      </c>
      <c r="B249" s="63" t="inlineStr">
        <is>
          <t>TJCD</t>
        </is>
      </c>
      <c r="C249" s="63" t="inlineStr">
        <is>
          <t>天津建發</t>
        </is>
      </c>
      <c r="D249" s="63" t="inlineStr">
        <is>
          <t>Industrials</t>
        </is>
      </c>
      <c r="E249" s="63" t="inlineStr">
        <is>
          <t>Construction / engineering</t>
        </is>
      </c>
      <c r="F249" s="63" t="inlineStr">
        <is>
          <t>Construction &amp; Engineering</t>
        </is>
      </c>
      <c r="G249" s="63" t="inlineStr">
        <is>
          <t>Standard</t>
        </is>
      </c>
      <c r="H249" s="64" t="n">
        <v>45405</v>
      </c>
      <c r="I249" s="65" t="n">
        <v>134.88</v>
      </c>
      <c r="J249" s="63" t="inlineStr">
        <is>
          <t>gross (stated)</t>
        </is>
      </c>
      <c r="K249" s="66" t="n">
        <v>2.5</v>
      </c>
      <c r="L249" s="66" t="n">
        <v>2.9</v>
      </c>
      <c r="M249" s="66" t="n">
        <v>2.5</v>
      </c>
      <c r="N249" s="63" t="inlineStr">
        <is>
          <t>N</t>
        </is>
      </c>
      <c r="O249" s="67" t="n">
        <v>86.2</v>
      </c>
      <c r="P249" s="67" t="n">
        <v>0</v>
      </c>
      <c r="Q249" s="68" t="n">
        <v>539.5</v>
      </c>
      <c r="R249" s="63" t="inlineStr">
        <is>
          <t>derived:price x shares upon listing</t>
        </is>
      </c>
      <c r="S249" s="69" t="n">
        <v>433.06</v>
      </c>
      <c r="T249" s="70" t="n">
        <v>1.02</v>
      </c>
      <c r="U249" s="71" t="n"/>
      <c r="V249" s="68" t="n"/>
      <c r="W249" s="68" t="n"/>
      <c r="X249" s="67" t="n"/>
      <c r="Y249" s="63" t="inlineStr">
        <is>
          <t>Ms. Dou</t>
        </is>
      </c>
      <c r="Z249" s="63" t="inlineStr">
        <is>
          <t>ms-dou</t>
        </is>
      </c>
      <c r="AA249" s="67" t="n">
        <v>20</v>
      </c>
      <c r="AB249" s="72" t="n"/>
      <c r="AC249" s="66" t="n"/>
      <c r="AD249" s="72" t="n"/>
      <c r="AE249" s="63" t="n"/>
      <c r="AF249" s="63" t="n"/>
      <c r="AG249" s="63" t="inlineStr">
        <is>
          <t>lapsed (no over-allocation)</t>
        </is>
      </c>
      <c r="AH249" s="63" t="n"/>
      <c r="AI249" s="63" t="n"/>
      <c r="AJ249" s="63" t="n"/>
      <c r="AK249" s="73" t="n">
        <v>-39.2</v>
      </c>
      <c r="AL249" s="72" t="n">
        <v>-24.8</v>
      </c>
      <c r="AM249" s="72" t="n">
        <v>-19.15</v>
      </c>
      <c r="AN249" s="72" t="n">
        <v>-39.2</v>
      </c>
      <c r="AO249" s="72" t="n">
        <v>-50</v>
      </c>
      <c r="AP249" s="72" t="n">
        <v>-52.4</v>
      </c>
      <c r="AQ249" s="72" t="n">
        <v>0</v>
      </c>
      <c r="AR249" s="72" t="n">
        <v>-17.76</v>
      </c>
      <c r="AS249" s="72" t="n">
        <v>-21.71</v>
      </c>
      <c r="AT249" s="72" t="n">
        <v>-46.29</v>
      </c>
      <c r="AU249" s="72" t="n">
        <v>-60.33</v>
      </c>
      <c r="AV249" s="72" t="n">
        <v>-54.33</v>
      </c>
      <c r="AW249" s="72" t="n">
        <v>-25.63</v>
      </c>
      <c r="AX249" s="72" t="n">
        <v>10.33</v>
      </c>
      <c r="AY249" s="72" t="n">
        <v>7.87</v>
      </c>
      <c r="AZ249" s="63" t="inlineStr">
        <is>
          <t>Hang Seng Commerce &amp; Industry sub-index</t>
        </is>
      </c>
      <c r="BA249" s="72" t="n">
        <v>-13.4</v>
      </c>
      <c r="BB249" s="64" t="inlineStr">
        <is>
          <t>2026-08-28</t>
        </is>
      </c>
      <c r="BC249" s="65" t="n">
        <v>351.4</v>
      </c>
      <c r="BD249" s="68" t="n">
        <v>45.6</v>
      </c>
      <c r="BE249" s="63" t="inlineStr">
        <is>
          <t>Y</t>
        </is>
      </c>
      <c r="BF249" s="74" t="n">
        <v>11.8</v>
      </c>
      <c r="BG249" s="74" t="n"/>
      <c r="BH249" s="74" t="n"/>
      <c r="BI249" s="74" t="n">
        <v>1.5</v>
      </c>
      <c r="BJ249" s="75">
        <f>IF('BBG Verify'!S249="","not filed — run on terminal",'BBG Verify'!S249)</f>
        <v/>
      </c>
      <c r="BK249" s="76" t="inlineStr">
        <is>
          <t>N</t>
        </is>
      </c>
      <c r="BL249" s="77">
        <f>IF('BBG Verify'!K249="","not filed — run on terminal",'BBG Verify'!K249)</f>
        <v/>
      </c>
      <c r="BM249" s="63" t="inlineStr">
        <is>
          <t>N/A</t>
        </is>
      </c>
      <c r="BN249" s="63" t="inlineStr">
        <is>
          <t>N/A</t>
        </is>
      </c>
      <c r="BO249" s="63" t="inlineStr">
        <is>
          <t>N/A</t>
        </is>
      </c>
      <c r="BP249" s="63" t="inlineStr">
        <is>
          <t>N/A</t>
        </is>
      </c>
      <c r="BQ249" s="63" t="inlineStr">
        <is>
          <t>N/A</t>
        </is>
      </c>
      <c r="BR249" s="63" t="inlineStr">
        <is>
          <t>N/A</t>
        </is>
      </c>
      <c r="BS249" s="76" t="inlineStr">
        <is>
          <t>China Everbright Capital Limited</t>
        </is>
      </c>
      <c r="BT249" s="63" t="inlineStr">
        <is>
          <t>China Everbright Capital Limited</t>
        </is>
      </c>
      <c r="BU249" s="63" t="inlineStr">
        <is>
          <t>China Everbright Securities (HK) Limited; ABCI Capital Limited; Beta International Securities Limited; BOCOM International Securities Limited; CEB International Capital Corporation Limited; Citrus Securities Limited; CMBC Securities Company Limited; Fortune Origin Securities Limited; Grand China Securities Limited; Livermore Holdings Limited; Realord Asia Pacific Securities Limited; SPDB International Capital Limited</t>
        </is>
      </c>
      <c r="BV249" s="63" t="inlineStr">
        <is>
          <t>ABCI Securities Company Limited; Beta International Securities Limited; BOCOM International Securities Limited; CCB International Capital Limited; CEB International Capital Corporation Limited; China Everbright Securities (HK) Limited; Citrus Securities Limited; CMBC Securities Company Limited; Fortune Origin Securities Limited; Grand China Securities Limited; Long Bridge HK Limited; Livermore Holdings Limited</t>
        </is>
      </c>
      <c r="BW249" s="78">
        <f>HYPERLINK("https://www1.hkexnews.hk/listedco/listconews/sehk/2024/0415/2024041500009.pdf","prospectus")</f>
        <v/>
      </c>
      <c r="BX249" s="78">
        <f>HYPERLINK("https://www1.hkexnews.hk/listedco/listconews/sehk/2024/0422/2024042201767.pdf","allotment")</f>
        <v/>
      </c>
      <c r="BY249" s="78">
        <f>HYPERLINK("https://www1.hkexnews.hk/listedco/listconews/sehk/2024/0520/2024052000007.pdf","stabilisation")</f>
        <v/>
      </c>
      <c r="BZ249" s="76" t="n"/>
      <c r="CA249" s="63" t="inlineStr">
        <is>
          <t>greenshoe: over-allotment outcome already published, and the allotment announcement does not state the stabilisation expiry in a parsable form — the expiry no longer matters once resolved · A/H: no A-share listing · cornerstone %: cornerstone aggregate not stated in the filing · stabilising manager: neither the allotment announcement's cover sentence nor the prospectus definitions glossary names one in a form the parser reads — not inferred from the sponsor · grey market: no grey-market headline on file for this deal — AAStocks publishes one per listing but keeps only recent items on the stock's news page, and no public archive of past evening sessions exists; captured from this run onward · eff free float: not computable as a % of cap — cornerstone % unknown</t>
        </is>
      </c>
    </row>
    <row r="250" ht="15" customHeight="1">
      <c r="A250" s="62" t="inlineStr">
        <is>
          <t>2555</t>
        </is>
      </c>
      <c r="B250" s="63" t="inlineStr">
        <is>
          <t>CHABAIDAO</t>
        </is>
      </c>
      <c r="C250" s="63" t="inlineStr">
        <is>
          <t>茶百道</t>
        </is>
      </c>
      <c r="D250" s="63" t="inlineStr">
        <is>
          <t>Consumer</t>
        </is>
      </c>
      <c r="E250" s="63" t="inlineStr">
        <is>
          <t>F&amp;B chains / restaurants</t>
        </is>
      </c>
      <c r="F250" s="63" t="inlineStr">
        <is>
          <t>Beverages (Non-alcoholic)</t>
        </is>
      </c>
      <c r="G250" s="63" t="inlineStr">
        <is>
          <t>Standard</t>
        </is>
      </c>
      <c r="H250" s="64" t="n">
        <v>45405</v>
      </c>
      <c r="I250" s="65" t="n">
        <v>2585.86</v>
      </c>
      <c r="J250" s="63" t="inlineStr">
        <is>
          <t>gross (stated)</t>
        </is>
      </c>
      <c r="K250" s="66" t="n"/>
      <c r="L250" s="66" t="n">
        <v>17.5</v>
      </c>
      <c r="M250" s="66" t="n">
        <v>17.5</v>
      </c>
      <c r="N250" s="63" t="inlineStr">
        <is>
          <t>Y</t>
        </is>
      </c>
      <c r="O250" s="67" t="n">
        <v>100</v>
      </c>
      <c r="P250" s="67" t="n"/>
      <c r="Q250" s="68" t="n">
        <v>25860</v>
      </c>
      <c r="R250" s="63" t="inlineStr">
        <is>
          <t>prospectus:stated market capitalisation</t>
        </is>
      </c>
      <c r="S250" s="69" t="n">
        <v>0.5</v>
      </c>
      <c r="T250" s="70" t="n">
        <v>1.11</v>
      </c>
      <c r="U250" s="71" t="n">
        <v>0</v>
      </c>
      <c r="V250" s="68" t="n">
        <v>2585.86</v>
      </c>
      <c r="W250" s="68" t="n">
        <v>147763400</v>
      </c>
      <c r="X250" s="67" t="n">
        <v>10</v>
      </c>
      <c r="Y250" s="63" t="n"/>
      <c r="Z250" s="63" t="n"/>
      <c r="AA250" s="67" t="n">
        <v>2.1</v>
      </c>
      <c r="AB250" s="72" t="n"/>
      <c r="AC250" s="66" t="n"/>
      <c r="AD250" s="72" t="n"/>
      <c r="AE250" s="63" t="n"/>
      <c r="AF250" s="63" t="n"/>
      <c r="AG250" s="63" t="inlineStr">
        <is>
          <t>lapsed</t>
        </is>
      </c>
      <c r="AH250" s="63" t="inlineStr">
        <is>
          <t>2024-05-18</t>
        </is>
      </c>
      <c r="AI250" s="63" t="inlineStr">
        <is>
          <t>China International Capital Corporation Hong Kong Securities Limited</t>
        </is>
      </c>
      <c r="AJ250" s="63" t="inlineStr">
        <is>
          <t>China International</t>
        </is>
      </c>
      <c r="AK250" s="73" t="n">
        <v>-26.86</v>
      </c>
      <c r="AL250" s="72" t="n">
        <v>-10.06</v>
      </c>
      <c r="AM250" s="72" t="n">
        <v>-18.68</v>
      </c>
      <c r="AN250" s="72" t="n">
        <v>-34.63</v>
      </c>
      <c r="AO250" s="72" t="n">
        <v>-37.83</v>
      </c>
      <c r="AP250" s="72" t="n">
        <v>-48.06</v>
      </c>
      <c r="AQ250" s="72" t="n">
        <v>-10.62</v>
      </c>
      <c r="AR250" s="72" t="n">
        <v>-15</v>
      </c>
      <c r="AS250" s="72" t="n">
        <v>-28.99</v>
      </c>
      <c r="AT250" s="72" t="n">
        <v>-41.72</v>
      </c>
      <c r="AU250" s="72" t="n">
        <v>-48.16</v>
      </c>
      <c r="AV250" s="72" t="n">
        <v>-49.99</v>
      </c>
      <c r="AW250" s="72" t="n">
        <v>-22.87</v>
      </c>
      <c r="AX250" s="72" t="n">
        <v>10.33</v>
      </c>
      <c r="AY250" s="72" t="n">
        <v>7.87</v>
      </c>
      <c r="AZ250" s="63" t="inlineStr">
        <is>
          <t>Hang Seng Commerce &amp; Industry sub-index</t>
        </is>
      </c>
      <c r="BA250" s="72" t="n">
        <v>-74.86</v>
      </c>
      <c r="BB250" s="64" t="inlineStr">
        <is>
          <t>2026-08-28</t>
        </is>
      </c>
      <c r="BC250" s="65" t="n">
        <v>6274.7</v>
      </c>
      <c r="BD250" s="68" t="n">
        <v>1265.9</v>
      </c>
      <c r="BE250" s="63" t="inlineStr">
        <is>
          <t>Y</t>
        </is>
      </c>
      <c r="BF250" s="74" t="n">
        <v>20.4</v>
      </c>
      <c r="BG250" s="74" t="n"/>
      <c r="BH250" s="74" t="n">
        <v>7.5</v>
      </c>
      <c r="BI250" s="74" t="n">
        <v>4.1</v>
      </c>
      <c r="BJ250" s="75">
        <f>IF('BBG Verify'!S250="","not filed — run on terminal",'BBG Verify'!S250)</f>
        <v/>
      </c>
      <c r="BK250" s="76" t="inlineStr">
        <is>
          <t>N</t>
        </is>
      </c>
      <c r="BL250" s="77">
        <f>IF('BBG Verify'!K250="","not filed — run on terminal",'BBG Verify'!K250)</f>
        <v/>
      </c>
      <c r="BM250" s="63" t="inlineStr">
        <is>
          <t>N/A</t>
        </is>
      </c>
      <c r="BN250" s="63" t="inlineStr">
        <is>
          <t>N/A</t>
        </is>
      </c>
      <c r="BO250" s="63" t="inlineStr">
        <is>
          <t>N/A</t>
        </is>
      </c>
      <c r="BP250" s="63" t="inlineStr">
        <is>
          <t>N/A</t>
        </is>
      </c>
      <c r="BQ250" s="63" t="inlineStr">
        <is>
          <t>N/A</t>
        </is>
      </c>
      <c r="BR250" s="63" t="inlineStr">
        <is>
          <t>N/A</t>
        </is>
      </c>
      <c r="BS250" s="76" t="n"/>
      <c r="BT250" s="63" t="inlineStr">
        <is>
          <t>China International Capital Corporation Hong Kong Securities Limited</t>
        </is>
      </c>
      <c r="BU250" s="63" t="inlineStr">
        <is>
          <t>China International Capital Corporation Hong Kong Securities Limited; Citigroup Global Markets Asia Limited; Citigroup Global Markets Limited; 9 2– CMB International Capital Limited; CCB International Capital Limited; Shenwan Hongyuan Securities (H.K.) Limited; China Merchants Securities (HK) Co., Limited; Futu Securities International (Hong Kong) Limited; Tiger Brokers (HK) Global Limited</t>
        </is>
      </c>
      <c r="BV250" s="63" t="inlineStr">
        <is>
          <t>CCB International Capital Limited; Citigroup Global Markets Asia Limited; China International Capital Corporation Hong Kong Securities Limited; CMB International Capital Limited; China Merchants Securities (HK) Company Limited; Fosun International Securities Limited; Futu Securities International (Hong Kong) Limited; Maxa Capital Limited; Shenwan Hongyuan Securities (H.K.) Limited; Space Securities Limited; Tiger Brokers (HK) Global Limited</t>
        </is>
      </c>
      <c r="BW250" s="78">
        <f>HYPERLINK("https://www1.hkexnews.hk/listedco/listconews/sehk/2024/0415/2024041500022.pdf","prospectus")</f>
        <v/>
      </c>
      <c r="BX250" s="78">
        <f>HYPERLINK("https://www1.hkexnews.hk/listedco/listconews/sehk/2024/0422/2024042202135.pdf","allotment")</f>
        <v/>
      </c>
      <c r="BY250" s="78">
        <f>HYPERLINK("https://www1.hkexnews.hk/listedco/listconews/sehk/2024/0520/2024052000035.pdf","stabilisation")</f>
        <v/>
      </c>
      <c r="BZ250" s="76" t="n"/>
      <c r="CA250" s="63" t="inlineStr">
        <is>
          <t>range low: cap-only pricing — the filing publishes a Maximum Offer Price and no indicative floor · A/H: no A-share listing · sponsor: English name not in the filing text; AAStocks 保薦人 shown · cornerstone list: no cornerstone tranche in this deal · grey market: no grey-market headline on file for this deal — AAStocks publishes one per listing but keeps only recent items on the stock's news page, and no public archive of past evening sessions exists; captured from this run onward</t>
        </is>
      </c>
    </row>
    <row r="251" ht="15" customHeight="1">
      <c r="A251" s="62" t="inlineStr">
        <is>
          <t>2438</t>
        </is>
      </c>
      <c r="B251" s="63" t="inlineStr">
        <is>
          <t>MOBVOI</t>
        </is>
      </c>
      <c r="C251" s="63" t="inlineStr">
        <is>
          <t>出門問問</t>
        </is>
      </c>
      <c r="D251" s="63" t="inlineStr">
        <is>
          <t>Tech/AI</t>
        </is>
      </c>
      <c r="E251" s="63" t="inlineStr">
        <is>
          <t>AI application / agent software</t>
        </is>
      </c>
      <c r="F251" s="63" t="inlineStr">
        <is>
          <t>Application Software</t>
        </is>
      </c>
      <c r="G251" s="63" t="inlineStr">
        <is>
          <t>Standard</t>
        </is>
      </c>
      <c r="H251" s="64" t="n">
        <v>45406</v>
      </c>
      <c r="I251" s="65" t="n">
        <v>321.4</v>
      </c>
      <c r="J251" s="63" t="inlineStr">
        <is>
          <t>gross (price x shares)</t>
        </is>
      </c>
      <c r="K251" s="66" t="n">
        <v>3.7</v>
      </c>
      <c r="L251" s="66" t="n">
        <v>4.1</v>
      </c>
      <c r="M251" s="66" t="n">
        <v>3.8</v>
      </c>
      <c r="N251" s="63" t="inlineStr">
        <is>
          <t>N</t>
        </is>
      </c>
      <c r="O251" s="67" t="n">
        <v>92.7</v>
      </c>
      <c r="P251" s="67" t="n">
        <v>25</v>
      </c>
      <c r="Q251" s="68" t="n">
        <v>6113.9</v>
      </c>
      <c r="R251" s="63" t="inlineStr">
        <is>
          <t>aastocks:上市市值 at the struck price</t>
        </is>
      </c>
      <c r="S251" s="69" t="n">
        <v>117.39</v>
      </c>
      <c r="T251" s="70" t="n">
        <v>1.58</v>
      </c>
      <c r="U251" s="71" t="n">
        <v>40.6</v>
      </c>
      <c r="V251" s="68" t="n">
        <v>190.91</v>
      </c>
      <c r="W251" s="68" t="n">
        <v>50233392</v>
      </c>
      <c r="X251" s="67" t="n">
        <v>3.12</v>
      </c>
      <c r="Y251" s="63" t="inlineStr">
        <is>
          <t>Nanjing Jingkai Juzhi Investment L.P; ZGC International Limited</t>
        </is>
      </c>
      <c r="Z251" s="63" t="inlineStr">
        <is>
          <t>nanjing;zgc</t>
        </is>
      </c>
      <c r="AA251" s="67" t="n">
        <v>15</v>
      </c>
      <c r="AB251" s="72" t="n"/>
      <c r="AC251" s="66" t="n"/>
      <c r="AD251" s="72" t="n"/>
      <c r="AE251" s="63" t="n"/>
      <c r="AF251" s="63" t="n"/>
      <c r="AG251" s="63" t="inlineStr">
        <is>
          <t>partial</t>
        </is>
      </c>
      <c r="AH251" s="63" t="inlineStr">
        <is>
          <t>2024-05-19</t>
        </is>
      </c>
      <c r="AI251" s="63" t="inlineStr">
        <is>
          <t>China International Capital Corporation Hong Kong Securities Limited</t>
        </is>
      </c>
      <c r="AJ251" s="63" t="inlineStr">
        <is>
          <t>China International</t>
        </is>
      </c>
      <c r="AK251" s="73" t="n">
        <v>-3.16</v>
      </c>
      <c r="AL251" s="72" t="n">
        <v>-21.58</v>
      </c>
      <c r="AM251" s="72" t="n">
        <v>23.49</v>
      </c>
      <c r="AN251" s="72" t="n">
        <v>1.32</v>
      </c>
      <c r="AO251" s="72" t="n">
        <v>-5.26</v>
      </c>
      <c r="AP251" s="72" t="n">
        <v>-69.73999999999999</v>
      </c>
      <c r="AQ251" s="72" t="n">
        <v>4.63</v>
      </c>
      <c r="AR251" s="72" t="n">
        <v>-2.17</v>
      </c>
      <c r="AS251" s="72" t="n">
        <v>-68.75</v>
      </c>
      <c r="AT251" s="72" t="n">
        <v>-10.99</v>
      </c>
      <c r="AU251" s="72" t="n">
        <v>-17.57</v>
      </c>
      <c r="AV251" s="72" t="n">
        <v>-69.92</v>
      </c>
      <c r="AW251" s="72" t="n">
        <v>-10.57</v>
      </c>
      <c r="AX251" s="72" t="n">
        <v>12.31</v>
      </c>
      <c r="AY251" s="72" t="n">
        <v>8.4</v>
      </c>
      <c r="AZ251" s="63" t="inlineStr">
        <is>
          <t>HSTECH (Hang Seng TECH ETF)</t>
        </is>
      </c>
      <c r="BA251" s="72" t="n">
        <v>-92.11</v>
      </c>
      <c r="BB251" s="64" t="inlineStr">
        <is>
          <t>2026-08-28</t>
        </is>
      </c>
      <c r="BC251" s="65" t="n">
        <v>557.8</v>
      </c>
      <c r="BD251" s="68" t="n">
        <v>-882.9</v>
      </c>
      <c r="BE251" s="63" t="inlineStr">
        <is>
          <t>N</t>
        </is>
      </c>
      <c r="BF251" s="63" t="inlineStr">
        <is>
          <t>n/m</t>
        </is>
      </c>
      <c r="BG251" s="74" t="n"/>
      <c r="BH251" s="74" t="n"/>
      <c r="BI251" s="74" t="n">
        <v>11</v>
      </c>
      <c r="BJ251" s="75">
        <f>IF('BBG Verify'!S251="","not filed — run on terminal",'BBG Verify'!S251)</f>
        <v/>
      </c>
      <c r="BK251" s="76" t="inlineStr">
        <is>
          <t>N</t>
        </is>
      </c>
      <c r="BL251" s="77">
        <f>IF('BBG Verify'!K251="","not filed — run on terminal",'BBG Verify'!K251)</f>
        <v/>
      </c>
      <c r="BM251" s="63" t="inlineStr">
        <is>
          <t>N/A</t>
        </is>
      </c>
      <c r="BN251" s="63" t="inlineStr">
        <is>
          <t>N/A</t>
        </is>
      </c>
      <c r="BO251" s="63" t="inlineStr">
        <is>
          <t>N/A</t>
        </is>
      </c>
      <c r="BP251" s="63" t="inlineStr">
        <is>
          <t>N/A</t>
        </is>
      </c>
      <c r="BQ251" s="63" t="inlineStr">
        <is>
          <t>N/A</t>
        </is>
      </c>
      <c r="BR251" s="63" t="inlineStr">
        <is>
          <t>N/A</t>
        </is>
      </c>
      <c r="BS251" s="76" t="inlineStr">
        <is>
          <t>CMB International Capital Limited</t>
        </is>
      </c>
      <c r="BT251" s="63" t="inlineStr">
        <is>
          <t>China International Capital Corporation Hong Kong Securities Limited; CMB International Capital Limited</t>
        </is>
      </c>
      <c r="BU251" s="63" t="inlineStr">
        <is>
          <t>China International Capital Corporation Hong Kong Securities Limited; CMB International Capital Limited; Haitong International Securities Company Limited; Zhongtai International Securities Limited; ICBC International Securities Limited; China Galaxy International Securities (Hong Kong) Co., Limited; CMBC Securities Company Limited; SPDB International Capital Limited; BOCOM International Securities Limited; Tiger Brokers (HK) Global Limited; Livermore Holdings Limited</t>
        </is>
      </c>
      <c r="BV251" s="63" t="inlineStr">
        <is>
          <t>BOCOM International Securities Limited; China Galaxy International Securities (Hong Kong) Company Limited; China International Capital Corporation Hong Kong Securities Limited; CMBC Securities Company Limited; CMB International Capital Limited; Futu Securities International (Hong Kong) Limited; Haitong International Securities Company Limited; ICBC International Securities Limited; Livermore Holdings Limited; Shenwan Hongyuan Securities (H.K.) Limited; SPDB International Capital Limited; Tiger Brokers (HK) Global Limited</t>
        </is>
      </c>
      <c r="BW251" s="78">
        <f>HYPERLINK("https://www1.hkexnews.hk/listedco/listconews/sehk/2024/0416/2024041600025.pdf","prospectus")</f>
        <v/>
      </c>
      <c r="BX251" s="78">
        <f>HYPERLINK("https://www1.hkexnews.hk/listedco/listconews/sehk/2024/0423/2024042301690.pdf","allotment")</f>
        <v/>
      </c>
      <c r="BY251" s="78">
        <f>HYPERLINK("https://www1.hkexnews.hk/listedco/listconews/sehk/2024/0519/2024051900005.pdf","stabilisation")</f>
        <v/>
      </c>
      <c r="BZ251" s="76" t="n"/>
      <c r="CA251" s="63" t="inlineStr">
        <is>
          <t>P/E: n/m — loss-making at IPO (use P/S) · A/H: no A-share listing · market cap: estimate from deal size / offer % of enlarged capital disagreed with the published listing cap — published figure adopted · grey market: no grey-market headline on file for this deal — AAStocks publishes one per listing but keeps only recent items on the stock's news page, and no public archive of past evening sessions exists; captured from this run onward</t>
        </is>
      </c>
    </row>
    <row r="252" ht="15" customHeight="1">
      <c r="A252" s="62" t="inlineStr">
        <is>
          <t>2556</t>
        </is>
      </c>
      <c r="B252" s="63" t="inlineStr">
        <is>
          <t>MARKETINGFORCE</t>
        </is>
      </c>
      <c r="C252" s="63" t="inlineStr">
        <is>
          <t>邁富時</t>
        </is>
      </c>
      <c r="D252" s="63" t="inlineStr">
        <is>
          <t>Tech/AI</t>
        </is>
      </c>
      <c r="E252" s="63" t="inlineStr">
        <is>
          <t>SaaS / enterprise software</t>
        </is>
      </c>
      <c r="F252" s="63" t="inlineStr">
        <is>
          <t>Application Software</t>
        </is>
      </c>
      <c r="G252" s="63" t="inlineStr">
        <is>
          <t>Standard</t>
        </is>
      </c>
      <c r="H252" s="64" t="n">
        <v>45428</v>
      </c>
      <c r="I252" s="65" t="n">
        <v>259.4</v>
      </c>
      <c r="J252" s="63" t="inlineStr">
        <is>
          <t>gross (price x shares)</t>
        </is>
      </c>
      <c r="K252" s="66" t="n">
        <v>42</v>
      </c>
      <c r="L252" s="66" t="n">
        <v>45</v>
      </c>
      <c r="M252" s="66" t="n">
        <v>43.6</v>
      </c>
      <c r="N252" s="63" t="inlineStr">
        <is>
          <t>N</t>
        </is>
      </c>
      <c r="O252" s="67" t="n">
        <v>96.90000000000001</v>
      </c>
      <c r="P252" s="67" t="n">
        <v>53.3</v>
      </c>
      <c r="Q252" s="68" t="n">
        <v>10253.2</v>
      </c>
      <c r="R252" s="63" t="inlineStr">
        <is>
          <t>derived:price x shares upon listing</t>
        </is>
      </c>
      <c r="S252" s="69" t="n">
        <v>5.95</v>
      </c>
      <c r="T252" s="70" t="n">
        <v>1.03</v>
      </c>
      <c r="U252" s="71" t="n">
        <v>17.3</v>
      </c>
      <c r="V252" s="68" t="n">
        <v>214.52</v>
      </c>
      <c r="W252" s="68" t="n">
        <v>4920402</v>
      </c>
      <c r="X252" s="67" t="n">
        <v>2.09</v>
      </c>
      <c r="Y252" s="63" t="inlineStr">
        <is>
          <t>Barjai Trading Company Limited; VH Nanchang Donghu Asset Capital LPF</t>
        </is>
      </c>
      <c r="Z252" s="63" t="inlineStr">
        <is>
          <t>barjai;vh</t>
        </is>
      </c>
      <c r="AA252" s="67" t="n"/>
      <c r="AB252" s="72" t="n"/>
      <c r="AC252" s="66" t="n"/>
      <c r="AD252" s="72" t="n"/>
      <c r="AE252" s="63" t="n"/>
      <c r="AF252" s="63" t="n"/>
      <c r="AG252" s="63" t="n"/>
      <c r="AH252" s="63" t="n"/>
      <c r="AI252" s="63" t="n"/>
      <c r="AJ252" s="63" t="n"/>
      <c r="AK252" s="73" t="n">
        <v>18.46</v>
      </c>
      <c r="AL252" s="72" t="n">
        <v>3.21</v>
      </c>
      <c r="AM252" s="72" t="n">
        <v>14.78</v>
      </c>
      <c r="AN252" s="72" t="n">
        <v>40.02</v>
      </c>
      <c r="AO252" s="72" t="n">
        <v>90.25</v>
      </c>
      <c r="AP252" s="72" t="n">
        <v>125.34</v>
      </c>
      <c r="AQ252" s="72" t="n">
        <v>18.2</v>
      </c>
      <c r="AR252" s="72" t="n">
        <v>60.6</v>
      </c>
      <c r="AS252" s="72" t="n">
        <v>90.22</v>
      </c>
      <c r="AT252" s="72" t="n">
        <v>43.51</v>
      </c>
      <c r="AU252" s="72" t="n">
        <v>98.18000000000001</v>
      </c>
      <c r="AV252" s="72" t="n">
        <v>141.06</v>
      </c>
      <c r="AW252" s="72" t="n">
        <v>69.22</v>
      </c>
      <c r="AX252" s="72" t="n">
        <v>-7.93</v>
      </c>
      <c r="AY252" s="72" t="n">
        <v>-8.619999999999999</v>
      </c>
      <c r="AZ252" s="63" t="inlineStr">
        <is>
          <t>HSTECH (Hang Seng TECH ETF)</t>
        </is>
      </c>
      <c r="BA252" s="72" t="n">
        <v>28.33</v>
      </c>
      <c r="BB252" s="64" t="inlineStr">
        <is>
          <t>2026-08-28</t>
        </is>
      </c>
      <c r="BC252" s="65" t="n">
        <v>1355.3</v>
      </c>
      <c r="BD252" s="68" t="n">
        <v>-186.4</v>
      </c>
      <c r="BE252" s="63" t="inlineStr">
        <is>
          <t>N</t>
        </is>
      </c>
      <c r="BF252" s="63" t="inlineStr">
        <is>
          <t>n/m</t>
        </is>
      </c>
      <c r="BG252" s="74" t="n"/>
      <c r="BH252" s="74" t="n">
        <v>48.1</v>
      </c>
      <c r="BI252" s="74" t="n">
        <v>7.6</v>
      </c>
      <c r="BJ252" s="75">
        <f>IF('BBG Verify'!S252="","not filed — run on terminal",'BBG Verify'!S252)</f>
        <v/>
      </c>
      <c r="BK252" s="76" t="inlineStr">
        <is>
          <t>N</t>
        </is>
      </c>
      <c r="BL252" s="77">
        <f>IF('BBG Verify'!K252="","not filed — run on terminal",'BBG Verify'!K252)</f>
        <v/>
      </c>
      <c r="BM252" s="63" t="inlineStr">
        <is>
          <t>N/A</t>
        </is>
      </c>
      <c r="BN252" s="63" t="inlineStr">
        <is>
          <t>N/A</t>
        </is>
      </c>
      <c r="BO252" s="63" t="inlineStr">
        <is>
          <t>N/A</t>
        </is>
      </c>
      <c r="BP252" s="63" t="inlineStr">
        <is>
          <t>N/A</t>
        </is>
      </c>
      <c r="BQ252" s="63" t="inlineStr">
        <is>
          <t>N/A</t>
        </is>
      </c>
      <c r="BR252" s="63" t="inlineStr">
        <is>
          <t>N/A</t>
        </is>
      </c>
      <c r="BS252" s="76" t="inlineStr">
        <is>
          <t>CCB International Capital Limited</t>
        </is>
      </c>
      <c r="BT252" s="63" t="inlineStr">
        <is>
          <t>CCB International Capital Limited; China International Capital Corporation (HK) Ltd</t>
        </is>
      </c>
      <c r="BU252" s="63" t="inlineStr">
        <is>
          <t>Beta International Securities Limited; CCB International Capital Limited; CEB International Capital Corporation Limited; China International Capital Corporation Hong Kong Securities Limited; Citrus Securities Limited; CMBC Securities Company Limited</t>
        </is>
      </c>
      <c r="BV252" s="63" t="inlineStr">
        <is>
          <t>Beta International Securities Limited; CCB International Capital Limited; CEB International Capital Corporation Limited; China International Capital Corporation Hong Kong Securities Limited; Citrus Securities Limited; CMBC Securities Company Limited; CMB International Capital Limited; China Sunrise Securities (International) Limited; Futu Securities International (Hong Kong) Limited; Haitong International Securities Company Limited; ICBC International Securities Limited; Livermore Holdings Limited</t>
        </is>
      </c>
      <c r="BW252" s="78">
        <f>HYPERLINK("https://www1.hkexnews.hk/listedco/listconews/sehk/2024/0507/2024050700011.pdf","prospectus")</f>
        <v/>
      </c>
      <c r="BX252" s="78">
        <f>HYPERLINK("https://www1.hkexnews.hk/listedco/listconews/sehk/2024/0514/2024051401235.pdf","allotment")</f>
        <v/>
      </c>
      <c r="BY252" s="63" t="n"/>
      <c r="BZ252" s="76" t="n"/>
      <c r="CA252" s="63" t="inlineStr">
        <is>
          <t>P/E: n/m — loss-making at IPO (use P/S) · greenshoe: no over-allotment option in the offer structure · A/H: no A-share listing · greenshoe size: no over-allotment option in the offer structure · stabilising manager: the filing states no stabilising manager will be appointed — a filed fact, not an extraction gap (allotment announcement: 'no stabilizing manager will be appointed' stated in the filing) · grey market: no grey-market headline on file for this deal — AAStocks publishes one per listing but keeps only recent items on the stock's news page, and no public archive of past evening sessions exists; captured from this run onward</t>
        </is>
      </c>
    </row>
    <row r="253" ht="15" customHeight="1">
      <c r="A253" s="62" t="inlineStr">
        <is>
          <t>2529</t>
        </is>
      </c>
      <c r="B253" s="63" t="inlineStr">
        <is>
          <t>HOLLWIN URBAN</t>
        </is>
      </c>
      <c r="C253" s="63" t="inlineStr">
        <is>
          <t>泓盈城市服務</t>
        </is>
      </c>
      <c r="D253" s="63" t="inlineStr">
        <is>
          <t>Real Estate</t>
        </is>
      </c>
      <c r="E253" s="63" t="inlineStr">
        <is>
          <t>Property management</t>
        </is>
      </c>
      <c r="F253" s="63" t="inlineStr">
        <is>
          <t>Property Service and Management</t>
        </is>
      </c>
      <c r="G253" s="63" t="inlineStr">
        <is>
          <t>Standard</t>
        </is>
      </c>
      <c r="H253" s="64" t="n">
        <v>45429</v>
      </c>
      <c r="I253" s="65" t="n">
        <v>128</v>
      </c>
      <c r="J253" s="63" t="inlineStr">
        <is>
          <t>gross (price x shares)</t>
        </is>
      </c>
      <c r="K253" s="66" t="n">
        <v>3.2</v>
      </c>
      <c r="L253" s="66" t="n">
        <v>3.6</v>
      </c>
      <c r="M253" s="66" t="n">
        <v>3.2</v>
      </c>
      <c r="N253" s="63" t="inlineStr">
        <is>
          <t>N</t>
        </is>
      </c>
      <c r="O253" s="67" t="n">
        <v>88.90000000000001</v>
      </c>
      <c r="P253" s="67" t="n">
        <v>0</v>
      </c>
      <c r="Q253" s="68" t="n">
        <v>512</v>
      </c>
      <c r="R253" s="63" t="inlineStr">
        <is>
          <t>derived:price x shares upon listing</t>
        </is>
      </c>
      <c r="S253" s="69" t="n">
        <v>47.59</v>
      </c>
      <c r="T253" s="70" t="n">
        <v>1.2</v>
      </c>
      <c r="U253" s="71" t="n">
        <v>52.34</v>
      </c>
      <c r="V253" s="68" t="n">
        <v>61</v>
      </c>
      <c r="W253" s="68" t="n">
        <v>19064000</v>
      </c>
      <c r="X253" s="67" t="n">
        <v>11.91</v>
      </c>
      <c r="Y253" s="63" t="inlineStr">
        <is>
          <t>HONGKONG JIAGANG TRADING LIMITED; LENS TECHNOLOGY (HK) CO., LIMITED; Leyard (HongKong) Co., Limited; Sanan International Holding Co., Limited; Xiangzheng Capital Limited</t>
        </is>
      </c>
      <c r="Z253" s="63" t="inlineStr">
        <is>
          <t>hongkong;lens;leyard;sanan;xiangzheng</t>
        </is>
      </c>
      <c r="AA253" s="67" t="n"/>
      <c r="AB253" s="72" t="n">
        <v>11.6</v>
      </c>
      <c r="AC253" s="66" t="n">
        <v>3.57</v>
      </c>
      <c r="AD253" s="72" t="n">
        <v>-10.12</v>
      </c>
      <c r="AE253" s="63" t="inlineStr">
        <is>
          <t>Y</t>
        </is>
      </c>
      <c r="AF253" s="63" t="inlineStr">
        <is>
          <t>2024-05-17</t>
        </is>
      </c>
      <c r="AG253" s="63" t="n"/>
      <c r="AH253" s="63" t="n"/>
      <c r="AI253" s="63" t="n"/>
      <c r="AJ253" s="63" t="n"/>
      <c r="AK253" s="73" t="n">
        <v>0.31</v>
      </c>
      <c r="AL253" s="72" t="n">
        <v>8.119999999999999</v>
      </c>
      <c r="AM253" s="72" t="n">
        <v>-7.22</v>
      </c>
      <c r="AN253" s="72" t="n">
        <v>-19.38</v>
      </c>
      <c r="AO253" s="72" t="n">
        <v>-7.81</v>
      </c>
      <c r="AP253" s="72" t="n">
        <v>-12.5</v>
      </c>
      <c r="AQ253" s="72" t="n">
        <v>-19.63</v>
      </c>
      <c r="AR253" s="72" t="n">
        <v>-8.09</v>
      </c>
      <c r="AS253" s="72" t="n">
        <v>-12.77</v>
      </c>
      <c r="AT253" s="72" t="n">
        <v>-15.31</v>
      </c>
      <c r="AU253" s="72" t="n">
        <v>6.84</v>
      </c>
      <c r="AV253" s="72" t="n">
        <v>5.33</v>
      </c>
      <c r="AW253" s="72" t="n">
        <v>8.66</v>
      </c>
      <c r="AX253" s="72" t="n">
        <v>-14.65</v>
      </c>
      <c r="AY253" s="72" t="n">
        <v>-16.75</v>
      </c>
      <c r="AZ253" s="63" t="inlineStr">
        <is>
          <t>Hang Seng Properties sub-index</t>
        </is>
      </c>
      <c r="BA253" s="72" t="n">
        <v>-12.5</v>
      </c>
      <c r="BB253" s="64" t="inlineStr">
        <is>
          <t>2026-08-28</t>
        </is>
      </c>
      <c r="BC253" s="65" t="n">
        <v>717.1</v>
      </c>
      <c r="BD253" s="68" t="n">
        <v>77.2</v>
      </c>
      <c r="BE253" s="63" t="inlineStr">
        <is>
          <t>Y</t>
        </is>
      </c>
      <c r="BF253" s="74" t="n">
        <v>6.6</v>
      </c>
      <c r="BG253" s="74" t="n"/>
      <c r="BH253" s="74" t="n">
        <v>5.2</v>
      </c>
      <c r="BI253" s="74" t="n">
        <v>0.7</v>
      </c>
      <c r="BJ253" s="75">
        <f>IF('BBG Verify'!S253="","not filed — run on terminal",'BBG Verify'!S253)</f>
        <v/>
      </c>
      <c r="BK253" s="76" t="inlineStr">
        <is>
          <t>N</t>
        </is>
      </c>
      <c r="BL253" s="77">
        <f>IF('BBG Verify'!K253="","not filed — run on terminal",'BBG Verify'!K253)</f>
        <v/>
      </c>
      <c r="BM253" s="63" t="inlineStr">
        <is>
          <t>N/A</t>
        </is>
      </c>
      <c r="BN253" s="63" t="inlineStr">
        <is>
          <t>N/A</t>
        </is>
      </c>
      <c r="BO253" s="63" t="inlineStr">
        <is>
          <t>N/A</t>
        </is>
      </c>
      <c r="BP253" s="63" t="inlineStr">
        <is>
          <t>N/A</t>
        </is>
      </c>
      <c r="BQ253" s="63" t="inlineStr">
        <is>
          <t>N/A</t>
        </is>
      </c>
      <c r="BR253" s="63" t="inlineStr">
        <is>
          <t>N/A</t>
        </is>
      </c>
      <c r="BS253" s="76" t="n"/>
      <c r="BT253" s="63" t="inlineStr">
        <is>
          <t>China International Capital Corporation Hong Kong Securities Limited</t>
        </is>
      </c>
      <c r="BU253" s="63" t="inlineStr">
        <is>
          <t>China International Capital Corporation Hong Kong Securities Limited; ABCI Capital Limited; CEB International Capital Corporation Limited; China Sunrise Securities (International) Limited; CMBC Securities Company Limited; CMB International Capital Limited; ICBC International Securities Limited; Livermore Holdings Limited; UOB Kay Hian (Hong Kong) Limited; Zhongtai International Securities Limited</t>
        </is>
      </c>
      <c r="BV253" s="63" t="inlineStr">
        <is>
          <t>ABCI Securities Company Limited; CEB International Capital Corporation Limited; China International Capital Corporation Hong Kong Securities Limited; Cinda International Capital Limited; CMBC Securities Company Limited; CMB International Capital Limited; China Sunrise Securities (International) Limited; ICBC International Securities Limited; Livermore Holdings Limited; UOB Kay Hian (Hong Kong) Limited; Zhongtai International Securities Limited</t>
        </is>
      </c>
      <c r="BW253" s="78">
        <f>HYPERLINK("https://www1.hkexnews.hk/listedco/listconews/sehk/2024/0508/2024050800029.pdf","prospectus")</f>
        <v/>
      </c>
      <c r="BX253" s="78">
        <f>HYPERLINK("https://www1.hkexnews.hk/listedco/listconews/sehk/2024/0516/2024051601339.pdf","allotment")</f>
        <v/>
      </c>
      <c r="BY253" s="63" t="n"/>
      <c r="BZ253" s="76" t="n"/>
      <c r="CA253" s="63" t="inlineStr">
        <is>
          <t>greenshoe: no over-allotment option in the offer structure · A/H: no A-share listing · sponsor: English name not in the filing text; AAStocks 保薦人 shown · greenshoe size: no over-allotment option in the offer structure · stabilising manager: no over-allotment option in the offer structure, so no stabilising manager is appointed</t>
        </is>
      </c>
    </row>
    <row r="254" ht="15" customHeight="1">
      <c r="A254" s="62" t="inlineStr">
        <is>
          <t>2898</t>
        </is>
      </c>
      <c r="B254" s="63" t="inlineStr">
        <is>
          <t>SUNHO BIO-B</t>
        </is>
      </c>
      <c r="C254" s="63" t="inlineStr">
        <is>
          <t>盛禾生物－Ｂ</t>
        </is>
      </c>
      <c r="D254" s="63" t="inlineStr">
        <is>
          <t>Healthcare</t>
        </is>
      </c>
      <c r="E254" s="63" t="inlineStr">
        <is>
          <t>Biotech pre-revenue (18A)</t>
        </is>
      </c>
      <c r="F254" s="63" t="inlineStr">
        <is>
          <t>Biotechnology - Pharmaceuticals</t>
        </is>
      </c>
      <c r="G254" s="63" t="inlineStr">
        <is>
          <t>18A</t>
        </is>
      </c>
      <c r="H254" s="64" t="n">
        <v>45436</v>
      </c>
      <c r="I254" s="65" t="n">
        <v>461</v>
      </c>
      <c r="J254" s="63" t="inlineStr">
        <is>
          <t>gross (price x shares)</t>
        </is>
      </c>
      <c r="K254" s="66" t="n"/>
      <c r="L254" s="66" t="n">
        <v>13.5</v>
      </c>
      <c r="M254" s="66" t="n">
        <v>13.5</v>
      </c>
      <c r="N254" s="63" t="inlineStr">
        <is>
          <t>Y</t>
        </is>
      </c>
      <c r="O254" s="67" t="n">
        <v>100</v>
      </c>
      <c r="P254" s="67" t="n"/>
      <c r="Q254" s="68" t="n">
        <v>2115</v>
      </c>
      <c r="R254" s="63" t="inlineStr">
        <is>
          <t>derived:price x shares upon listing</t>
        </is>
      </c>
      <c r="S254" s="69" t="n">
        <v>10.08</v>
      </c>
      <c r="T254" s="70" t="n">
        <v>1.27</v>
      </c>
      <c r="U254" s="71" t="n">
        <v>9.07</v>
      </c>
      <c r="V254" s="68" t="n">
        <v>419.19</v>
      </c>
      <c r="W254" s="68" t="n">
        <v>31054232</v>
      </c>
      <c r="X254" s="67" t="n">
        <v>19.82</v>
      </c>
      <c r="Y254" s="63" t="inlineStr">
        <is>
          <t>No5XJR Limited</t>
        </is>
      </c>
      <c r="Z254" s="63" t="inlineStr">
        <is>
          <t>no5xjr</t>
        </is>
      </c>
      <c r="AA254" s="67" t="n"/>
      <c r="AB254" s="72" t="n">
        <v>8.9</v>
      </c>
      <c r="AC254" s="66" t="n">
        <v>14.7</v>
      </c>
      <c r="AD254" s="72" t="n">
        <v>-1.23</v>
      </c>
      <c r="AE254" s="63" t="inlineStr">
        <is>
          <t>Y</t>
        </is>
      </c>
      <c r="AF254" s="63" t="inlineStr">
        <is>
          <t>2024-05-24</t>
        </is>
      </c>
      <c r="AG254" s="63" t="n"/>
      <c r="AH254" s="63" t="n"/>
      <c r="AI254" s="63" t="n"/>
      <c r="AJ254" s="63" t="n"/>
      <c r="AK254" s="73" t="n">
        <v>7.56</v>
      </c>
      <c r="AL254" s="72" t="n">
        <v>7.11</v>
      </c>
      <c r="AM254" s="72" t="n">
        <v>0.42</v>
      </c>
      <c r="AN254" s="72" t="n">
        <v>-47.41</v>
      </c>
      <c r="AO254" s="72" t="n">
        <v>-60</v>
      </c>
      <c r="AP254" s="72" t="n">
        <v>-49.63</v>
      </c>
      <c r="AQ254" s="72" t="n">
        <v>-51.11</v>
      </c>
      <c r="AR254" s="72" t="n">
        <v>-62.81</v>
      </c>
      <c r="AS254" s="72" t="n">
        <v>-53.17</v>
      </c>
      <c r="AT254" s="72" t="n">
        <v>-44.39</v>
      </c>
      <c r="AU254" s="72" t="n">
        <v>-53.58</v>
      </c>
      <c r="AV254" s="72" t="n">
        <v>-40.04</v>
      </c>
      <c r="AW254" s="72" t="n">
        <v>-58.92</v>
      </c>
      <c r="AX254" s="72" t="n">
        <v>-6.42</v>
      </c>
      <c r="AY254" s="72" t="n">
        <v>-3.89</v>
      </c>
      <c r="AZ254" s="63" t="inlineStr">
        <is>
          <t>China Biotech ETF (HS biotech proxy)</t>
        </is>
      </c>
      <c r="BA254" s="72" t="n">
        <v>-52.67</v>
      </c>
      <c r="BB254" s="64" t="inlineStr">
        <is>
          <t>2026-08-28</t>
        </is>
      </c>
      <c r="BC254" s="65" t="n"/>
      <c r="BD254" s="68" t="n">
        <v>-146</v>
      </c>
      <c r="BE254" s="63" t="inlineStr">
        <is>
          <t>N</t>
        </is>
      </c>
      <c r="BF254" s="63" t="inlineStr">
        <is>
          <t>n/m</t>
        </is>
      </c>
      <c r="BG254" s="74" t="n"/>
      <c r="BH254" s="74" t="n"/>
      <c r="BI254" s="74" t="n"/>
      <c r="BJ254" s="75">
        <f>IF('BBG Verify'!S254="","not filed — run on terminal",'BBG Verify'!S254)</f>
        <v/>
      </c>
      <c r="BK254" s="76" t="inlineStr">
        <is>
          <t>N</t>
        </is>
      </c>
      <c r="BL254" s="77">
        <f>IF('BBG Verify'!K254="","not filed — run on terminal",'BBG Verify'!K254)</f>
        <v/>
      </c>
      <c r="BM254" s="63" t="inlineStr">
        <is>
          <t>N/A</t>
        </is>
      </c>
      <c r="BN254" s="63" t="inlineStr">
        <is>
          <t>N/A</t>
        </is>
      </c>
      <c r="BO254" s="63" t="inlineStr">
        <is>
          <t>N/A</t>
        </is>
      </c>
      <c r="BP254" s="63" t="inlineStr">
        <is>
          <t>N/A</t>
        </is>
      </c>
      <c r="BQ254" s="63" t="inlineStr">
        <is>
          <t>N/A</t>
        </is>
      </c>
      <c r="BR254" s="63" t="inlineStr">
        <is>
          <t>N/A</t>
        </is>
      </c>
      <c r="BS254" s="76" t="n"/>
      <c r="BT254" s="63" t="inlineStr">
        <is>
          <t>China International Capital Corporation Hong Kong Securities Limited</t>
        </is>
      </c>
      <c r="BU254" s="63" t="inlineStr">
        <is>
          <t>ABCI Securities Company Limited; China Galaxy International Securities (Hong Kong) Company Limited; China International Capital Corporation Hong Kong Securities Limited; Citrus Securities Limited; CMB International Capital Corporation Limited; Futu Securities International (Hong Kong) Limited</t>
        </is>
      </c>
      <c r="BV254" s="63" t="inlineStr">
        <is>
          <t>ABCI Securities Company Limited; China Galaxy International Securities (Hong Kong) Company Limited; China International Capital Corporation Hong Kong Securities Limited; Citrus Securities Limited; CMB International Capital Corporation Limited; Futu Securities International (Hong Kong) Limited; Grand China Securities Limited; ICBC International Securities Limited; Tiger Brokers (HK) Global Limited; Victory Securities Company Limited; Zhongtai International Securities Limited</t>
        </is>
      </c>
      <c r="BW254" s="63" t="n"/>
      <c r="BX254" s="78">
        <f>HYPERLINK("https://www1.hkexnews.hk/listedco/listconews/sehk/2024/0523/2024052301621.pdf","allotment")</f>
        <v/>
      </c>
      <c r="BY254" s="63" t="n"/>
      <c r="BZ254" s="76" t="n"/>
      <c r="CA254" s="63" t="inlineStr">
        <is>
          <t>P/E: n/m — loss-making at IPO (use P/S) · greenshoe: no over-allotment option in the offer structure · price range: fixed-price offering (no indicative range) · range low: cap-only pricing — the filing publishes a Maximum Offer Price and no indicative floor · A/H: no A-share listing · sponsor: English name not in the filing text; AAStocks 保薦人 shown · greenshoe size: no over-allotment option in the offer structure · P/S: revenue not extractable · stabilising manager: the filing states no stabilising manager will be appointed — a filed fact, not an extraction gap (prospectus: 'no stabilizing manager will be appointed' stated in the filing) · financials: financial tables not machine-extractable and the pre-IPO year is outside AAStocks' 5-year window · filing links: no prospectus document returned by the HKEX per-stock search for this code — the allotment announcement is linked beside it</t>
        </is>
      </c>
    </row>
    <row r="255" ht="15" customHeight="1">
      <c r="A255" s="62" t="inlineStr">
        <is>
          <t>0917</t>
        </is>
      </c>
      <c r="B255" s="63" t="inlineStr">
        <is>
          <t>QUNABOX GROUP</t>
        </is>
      </c>
      <c r="C255" s="63" t="inlineStr">
        <is>
          <t>趣致集團</t>
        </is>
      </c>
      <c r="D255" s="63" t="inlineStr">
        <is>
          <t>TMT-other</t>
        </is>
      </c>
      <c r="E255" s="63" t="inlineStr">
        <is>
          <t>Media / advertising</t>
        </is>
      </c>
      <c r="F255" s="63" t="inlineStr">
        <is>
          <t>Advertising</t>
        </is>
      </c>
      <c r="G255" s="63" t="inlineStr">
        <is>
          <t>Standard</t>
        </is>
      </c>
      <c r="H255" s="64" t="n">
        <v>45439</v>
      </c>
      <c r="I255" s="65" t="n">
        <v>492.6</v>
      </c>
      <c r="J255" s="63" t="inlineStr">
        <is>
          <t>gross (stated)</t>
        </is>
      </c>
      <c r="K255" s="66" t="n"/>
      <c r="L255" s="66" t="n">
        <v>25</v>
      </c>
      <c r="M255" s="66" t="n">
        <v>25</v>
      </c>
      <c r="N255" s="63" t="inlineStr">
        <is>
          <t>Y</t>
        </is>
      </c>
      <c r="O255" s="67" t="n">
        <v>100</v>
      </c>
      <c r="P255" s="67" t="n"/>
      <c r="Q255" s="68" t="n">
        <v>6567.6</v>
      </c>
      <c r="R255" s="63" t="inlineStr">
        <is>
          <t>derived:price x shares upon listing</t>
        </is>
      </c>
      <c r="S255" s="69" t="n">
        <v>12.05</v>
      </c>
      <c r="T255" s="70" t="n">
        <v>1.11</v>
      </c>
      <c r="U255" s="71" t="n">
        <v>20</v>
      </c>
      <c r="V255" s="68" t="n">
        <v>394.08</v>
      </c>
      <c r="W255" s="68" t="n">
        <v>15763200</v>
      </c>
      <c r="X255" s="67" t="n">
        <v>6</v>
      </c>
      <c r="Y255" s="63" t="inlineStr">
        <is>
          <t>Golden Future LPF</t>
        </is>
      </c>
      <c r="Z255" s="63" t="inlineStr">
        <is>
          <t>golden-future</t>
        </is>
      </c>
      <c r="AA255" s="67" t="n"/>
      <c r="AB255" s="72" t="n"/>
      <c r="AC255" s="66" t="n"/>
      <c r="AD255" s="72" t="n"/>
      <c r="AE255" s="63" t="n"/>
      <c r="AF255" s="63" t="n"/>
      <c r="AG255" s="63" t="n"/>
      <c r="AH255" s="63" t="n"/>
      <c r="AI255" s="63" t="n"/>
      <c r="AJ255" s="63" t="n"/>
      <c r="AK255" s="73" t="n">
        <v>40</v>
      </c>
      <c r="AL255" s="72" t="n">
        <v>32</v>
      </c>
      <c r="AM255" s="72" t="n">
        <v>6.06</v>
      </c>
      <c r="AN255" s="72" t="n">
        <v>58.8</v>
      </c>
      <c r="AO255" s="72" t="n">
        <v>110.6</v>
      </c>
      <c r="AP255" s="72" t="n">
        <v>105.8</v>
      </c>
      <c r="AQ255" s="72" t="n">
        <v>13.43</v>
      </c>
      <c r="AR255" s="72" t="n">
        <v>50.43</v>
      </c>
      <c r="AS255" s="72" t="n">
        <v>47</v>
      </c>
      <c r="AT255" s="72" t="n">
        <v>59.91</v>
      </c>
      <c r="AU255" s="72" t="n">
        <v>113.39</v>
      </c>
      <c r="AV255" s="72" t="n">
        <v>110.15</v>
      </c>
      <c r="AW255" s="72" t="n">
        <v>54.34</v>
      </c>
      <c r="AX255" s="72" t="n">
        <v>-2.79</v>
      </c>
      <c r="AY255" s="72" t="n">
        <v>-3.91</v>
      </c>
      <c r="AZ255" s="63" t="inlineStr">
        <is>
          <t>Hang Seng Index</t>
        </is>
      </c>
      <c r="BA255" s="72" t="n">
        <v>-62.54</v>
      </c>
      <c r="BB255" s="64" t="inlineStr">
        <is>
          <t>2026-08-31</t>
        </is>
      </c>
      <c r="BC255" s="65" t="n">
        <v>1107.4</v>
      </c>
      <c r="BD255" s="68" t="n">
        <v>144</v>
      </c>
      <c r="BE255" s="63" t="inlineStr">
        <is>
          <t>Y</t>
        </is>
      </c>
      <c r="BF255" s="74" t="n">
        <v>45.6</v>
      </c>
      <c r="BG255" s="74" t="n"/>
      <c r="BH255" s="74" t="n"/>
      <c r="BI255" s="74" t="n">
        <v>5.9</v>
      </c>
      <c r="BJ255" s="75">
        <f>IF('BBG Verify'!S255="","not filed — run on terminal",'BBG Verify'!S255)</f>
        <v/>
      </c>
      <c r="BK255" s="76" t="inlineStr">
        <is>
          <t>N</t>
        </is>
      </c>
      <c r="BL255" s="77">
        <f>IF('BBG Verify'!K255="","not filed — run on terminal",'BBG Verify'!K255)</f>
        <v/>
      </c>
      <c r="BM255" s="63" t="inlineStr">
        <is>
          <t>N/A</t>
        </is>
      </c>
      <c r="BN255" s="63" t="inlineStr">
        <is>
          <t>N/A</t>
        </is>
      </c>
      <c r="BO255" s="63" t="inlineStr">
        <is>
          <t>N/A</t>
        </is>
      </c>
      <c r="BP255" s="63" t="inlineStr">
        <is>
          <t>N/A</t>
        </is>
      </c>
      <c r="BQ255" s="63" t="inlineStr">
        <is>
          <t>N/A</t>
        </is>
      </c>
      <c r="BR255" s="63" t="inlineStr">
        <is>
          <t>N/A</t>
        </is>
      </c>
      <c r="BS255" s="76" t="n"/>
      <c r="BT255" s="63" t="inlineStr">
        <is>
          <t>Haitong International Capital Limited</t>
        </is>
      </c>
      <c r="BU255" s="63" t="inlineStr">
        <is>
          <t>ABCI Securities Company Limited; BOCOM International Securities Limited; CCB International Capital Limited; Fosun International Securities Limited; Futu Securities International (Hong Kong) Limited; Haitong International Securities Company Limited</t>
        </is>
      </c>
      <c r="BV255" s="63" t="inlineStr">
        <is>
          <t>ABCI Securities Company Limited; BOCOM International Securities Limited; CCB International Capital Limited; Fosun International Securities Limited; Futu Securities International (Hong Kong) Limited; Haitong International Securities Company Limited; Livermore Holdings Limited; Quam Securities Limited; SPDB International Capital Limited; Zhongtai International Securities Limited</t>
        </is>
      </c>
      <c r="BW255" s="63" t="n"/>
      <c r="BX255" s="78">
        <f>HYPERLINK("https://www1.hkexnews.hk/listedco/listconews/sehk/2024/0524/2024052401848.pdf","allotment")</f>
        <v/>
      </c>
      <c r="BY255" s="63" t="n"/>
      <c r="BZ255" s="76" t="n"/>
      <c r="CA255" s="63" t="inlineStr">
        <is>
          <t>greenshoe: no over-allotment option in the offer structure · price range: fixed-price offering (no indicative range) · range low: cap-only pricing — the filing publishes a Maximum Offer Price and no indicative floor · A/H: no A-share listing · sponsor: English name not in the filing text; AAStocks 保薦人 shown · greenshoe size: no over-allotment option in the offer structure · stabilising manager: the filing states no stabilising manager will be appointed — a filed fact, not an extraction gap (allotment announcement: 'no stabilizing manager will be appointed' stated in the filing) · filing links: no prospectus document returned by the HKEX per-stock search for this code — the allotment announcement is linked beside it · grey market: no grey-market headline on file for this deal — AAStocks publishes one per listing but keeps only recent items on the stock's news page, and no public archive of past evening sessions exists; captured from this run onward</t>
        </is>
      </c>
    </row>
    <row r="256" ht="15" customHeight="1">
      <c r="A256" s="62" t="inlineStr">
        <is>
          <t>2505</t>
        </is>
      </c>
      <c r="B256" s="63" t="inlineStr">
        <is>
          <t>EDA GROUP HLDGS</t>
        </is>
      </c>
      <c r="C256" s="63" t="inlineStr">
        <is>
          <t>ＥＤＡ集團控股</t>
        </is>
      </c>
      <c r="D256" s="63" t="inlineStr">
        <is>
          <t>Industrials</t>
        </is>
      </c>
      <c r="E256" s="63" t="inlineStr">
        <is>
          <t>Logistics</t>
        </is>
      </c>
      <c r="F256" s="63" t="inlineStr">
        <is>
          <t>Air Freight &amp; Logistics</t>
        </is>
      </c>
      <c r="G256" s="63" t="inlineStr">
        <is>
          <t>Standard</t>
        </is>
      </c>
      <c r="H256" s="64" t="n">
        <v>45440</v>
      </c>
      <c r="I256" s="65" t="n"/>
      <c r="J256" s="63" t="n"/>
      <c r="K256" s="66" t="n"/>
      <c r="L256" s="66" t="n">
        <v>2.28</v>
      </c>
      <c r="M256" s="66" t="n">
        <v>2.28</v>
      </c>
      <c r="N256" s="63" t="inlineStr">
        <is>
          <t>Y</t>
        </is>
      </c>
      <c r="O256" s="67" t="n">
        <v>100</v>
      </c>
      <c r="P256" s="67" t="n"/>
      <c r="Q256" s="68" t="n">
        <v>1174.7</v>
      </c>
      <c r="R256" s="63" t="inlineStr">
        <is>
          <t>aastocks:上市市值 at the struck price</t>
        </is>
      </c>
      <c r="S256" s="69" t="n">
        <v>103.44</v>
      </c>
      <c r="T256" s="70" t="n">
        <v>0.98</v>
      </c>
      <c r="U256" s="71" t="n">
        <v>35.8</v>
      </c>
      <c r="V256" s="68" t="n"/>
      <c r="W256" s="68" t="n"/>
      <c r="X256" s="67" t="n"/>
      <c r="Y256" s="63" t="inlineStr">
        <is>
          <t>CPIC Investment Management (H.K.) Company Limited; The Reynold Lemkins Group (Asia) Limited</t>
        </is>
      </c>
      <c r="Z256" s="63" t="inlineStr">
        <is>
          <t>cpic;reynold</t>
        </is>
      </c>
      <c r="AA256" s="67" t="n"/>
      <c r="AB256" s="72" t="n"/>
      <c r="AC256" s="66" t="n"/>
      <c r="AD256" s="72" t="n"/>
      <c r="AE256" s="63" t="n"/>
      <c r="AF256" s="63" t="n"/>
      <c r="AG256" s="63" t="inlineStr">
        <is>
          <t>lapsed (no over-allocation)</t>
        </is>
      </c>
      <c r="AH256" s="63" t="inlineStr">
        <is>
          <t>2024-06-22</t>
        </is>
      </c>
      <c r="AI256" s="63" t="inlineStr">
        <is>
          <t>CMB International Capital Limited</t>
        </is>
      </c>
      <c r="AJ256" s="63" t="inlineStr">
        <is>
          <t>CMB</t>
        </is>
      </c>
      <c r="AK256" s="73" t="n">
        <v>84.20999999999999</v>
      </c>
      <c r="AL256" s="72" t="n">
        <v>35.53</v>
      </c>
      <c r="AM256" s="72" t="n">
        <v>35.92</v>
      </c>
      <c r="AN256" s="72" t="n">
        <v>35.09</v>
      </c>
      <c r="AO256" s="72" t="n">
        <v>84.20999999999999</v>
      </c>
      <c r="AP256" s="72" t="n">
        <v>49.12</v>
      </c>
      <c r="AQ256" s="72" t="n">
        <v>-26.67</v>
      </c>
      <c r="AR256" s="72" t="n">
        <v>0</v>
      </c>
      <c r="AS256" s="72" t="n">
        <v>-19.05</v>
      </c>
      <c r="AT256" s="72" t="n">
        <v>36.4</v>
      </c>
      <c r="AU256" s="72" t="n">
        <v>89.48999999999999</v>
      </c>
      <c r="AV256" s="72" t="n">
        <v>53.89</v>
      </c>
      <c r="AW256" s="72" t="n">
        <v>5.4</v>
      </c>
      <c r="AX256" s="72" t="n">
        <v>-5.28</v>
      </c>
      <c r="AY256" s="72" t="n">
        <v>-5.4</v>
      </c>
      <c r="AZ256" s="63" t="inlineStr">
        <is>
          <t>Hang Seng Commerce &amp; Industry sub-index</t>
        </is>
      </c>
      <c r="BA256" s="72" t="n">
        <v>-75.44</v>
      </c>
      <c r="BB256" s="64" t="inlineStr">
        <is>
          <t>2026-08-28</t>
        </is>
      </c>
      <c r="BC256" s="65" t="n">
        <v>1330.2</v>
      </c>
      <c r="BD256" s="68" t="n">
        <v>76.3</v>
      </c>
      <c r="BE256" s="63" t="inlineStr">
        <is>
          <t>Y</t>
        </is>
      </c>
      <c r="BF256" s="74" t="n">
        <v>15.4</v>
      </c>
      <c r="BG256" s="74" t="n"/>
      <c r="BH256" s="74" t="n"/>
      <c r="BI256" s="74" t="n">
        <v>0.9</v>
      </c>
      <c r="BJ256" s="75">
        <f>IF('BBG Verify'!S256="","not filed — run on terminal",'BBG Verify'!S256)</f>
        <v/>
      </c>
      <c r="BK256" s="76" t="inlineStr">
        <is>
          <t>N</t>
        </is>
      </c>
      <c r="BL256" s="77">
        <f>IF('BBG Verify'!K256="","not filed — run on terminal",'BBG Verify'!K256)</f>
        <v/>
      </c>
      <c r="BM256" s="63" t="inlineStr">
        <is>
          <t>N/A</t>
        </is>
      </c>
      <c r="BN256" s="63" t="inlineStr">
        <is>
          <t>N/A</t>
        </is>
      </c>
      <c r="BO256" s="63" t="inlineStr">
        <is>
          <t>N/A</t>
        </is>
      </c>
      <c r="BP256" s="63" t="inlineStr">
        <is>
          <t>N/A</t>
        </is>
      </c>
      <c r="BQ256" s="63" t="inlineStr">
        <is>
          <t>N/A</t>
        </is>
      </c>
      <c r="BR256" s="63" t="inlineStr">
        <is>
          <t>N/A</t>
        </is>
      </c>
      <c r="BS256" s="76" t="n"/>
      <c r="BT256" s="63" t="inlineStr">
        <is>
          <t>CMB International Capital Corporation Limited</t>
        </is>
      </c>
      <c r="BU256" s="63" t="inlineStr">
        <is>
          <t>ABCI Securities Company Limited; BOCI Asia Limited; CEB International Capital Corporation Limited; China Galaxy International Securities (Hong Kong) Company Limited; CMB International Capital Limited; Eddid Securities and Futures Limited</t>
        </is>
      </c>
      <c r="BV256" s="63" t="inlineStr">
        <is>
          <t>ABCI Securities Company Limited; BOCI Asia Limited; CEB International Capital Corporation Limited; China Galaxy International Securities (Hong Kong) Company Limited; CMB International Capital Limited; Eddid Securities and Futures Limited; Futu Securities International (Hong Kong) Limited; Patrons Securities Limited; Quam Securities Company Limited; Ruibang Securities Limited; Tiger Brokers (HK) Global Limited</t>
        </is>
      </c>
      <c r="BW256" s="78">
        <f>HYPERLINK("https://www1.hkexnews.hk/listedco/listconews/sehk/2024/0519/2024051900044.htm","prospectus")</f>
        <v/>
      </c>
      <c r="BX256" s="78">
        <f>HYPERLINK("https://www1.hkexnews.hk/listedco/listconews/sehk/2024/0527/2024052701491.pdf","allotment")</f>
        <v/>
      </c>
      <c r="BY256" s="78">
        <f>HYPERLINK("https://www1.hkexnews.hk/listedco/listconews/sehk/2024/0624/2024062401055.pdf","stabilisation")</f>
        <v/>
      </c>
      <c r="BZ256" s="76" t="n"/>
      <c r="CA256" s="63" t="inlineStr">
        <is>
          <t>price range: fixed-price offering (no indicative range) · range low: cap-only pricing — the filing publishes a Maximum Offer Price and no indicative floor · A/H: no A-share listing · sponsor: English name not in the filing text; AAStocks 保薦人 shown · greenshoe size: no over-allotment option in the offer structure · deal size: no proceeds figure stated in any filing · grey market: no grey-market headline on file for this deal — AAStocks publishes one per listing but keeps only recent items on the stock's news page, and no public archive of past evening sessions exists; captured from this run onward · eff free float: not computable as a % of cap — deal size not available · eff float shares: share count unavailable or rejected as implausible — the money figure (eff_free_float_hkdm) is still exact · size basis: no size, so no basis to describe</t>
        </is>
      </c>
    </row>
    <row r="257" ht="15" customHeight="1">
      <c r="A257" s="62" t="inlineStr">
        <is>
          <t>2443</t>
        </is>
      </c>
      <c r="B257" s="63" t="inlineStr">
        <is>
          <t>AUTOSTREETS</t>
        </is>
      </c>
      <c r="C257" s="63" t="inlineStr">
        <is>
          <t>汽車街</t>
        </is>
      </c>
      <c r="D257" s="63" t="inlineStr">
        <is>
          <t>Consumer</t>
        </is>
      </c>
      <c r="E257" s="63" t="inlineStr">
        <is>
          <t>Retail / distribution</t>
        </is>
      </c>
      <c r="F257" s="63" t="inlineStr">
        <is>
          <t>Automotive Retail</t>
        </is>
      </c>
      <c r="G257" s="63" t="inlineStr">
        <is>
          <t>Standard</t>
        </is>
      </c>
      <c r="H257" s="64" t="n">
        <v>45443</v>
      </c>
      <c r="I257" s="65" t="n">
        <v>153</v>
      </c>
      <c r="J257" s="63" t="inlineStr">
        <is>
          <t>gross (stated)</t>
        </is>
      </c>
      <c r="K257" s="66" t="n"/>
      <c r="L257" s="66" t="n">
        <v>10.2</v>
      </c>
      <c r="M257" s="66" t="n">
        <v>10.2</v>
      </c>
      <c r="N257" s="63" t="inlineStr">
        <is>
          <t>Y</t>
        </is>
      </c>
      <c r="O257" s="67" t="n">
        <v>100</v>
      </c>
      <c r="P257" s="67" t="n"/>
      <c r="Q257" s="68" t="n">
        <v>7734.9</v>
      </c>
      <c r="R257" s="63" t="inlineStr">
        <is>
          <t>prospectus:stated market capitalisation, rescaled to the offer price</t>
        </is>
      </c>
      <c r="S257" s="69" t="n">
        <v>433.34</v>
      </c>
      <c r="T257" s="70" t="n">
        <v>0.98</v>
      </c>
      <c r="U257" s="71" t="n"/>
      <c r="V257" s="68" t="n">
        <v>153</v>
      </c>
      <c r="W257" s="68" t="n">
        <v>15000000</v>
      </c>
      <c r="X257" s="67" t="n">
        <v>1.98</v>
      </c>
      <c r="Y257" s="63" t="n"/>
      <c r="Z257" s="63" t="n"/>
      <c r="AA257" s="67" t="n"/>
      <c r="AB257" s="72" t="n"/>
      <c r="AC257" s="66" t="n"/>
      <c r="AD257" s="72" t="n"/>
      <c r="AE257" s="63" t="n"/>
      <c r="AF257" s="63" t="n"/>
      <c r="AG257" s="63" t="n"/>
      <c r="AH257" s="63" t="n"/>
      <c r="AI257" s="63" t="n"/>
      <c r="AJ257" s="63" t="n"/>
      <c r="AK257" s="73" t="n">
        <v>26.86</v>
      </c>
      <c r="AL257" s="72" t="n">
        <v>42.16</v>
      </c>
      <c r="AM257" s="72" t="n">
        <v>-10.76</v>
      </c>
      <c r="AN257" s="72" t="n">
        <v>12.55</v>
      </c>
      <c r="AO257" s="72" t="n">
        <v>-20.59</v>
      </c>
      <c r="AP257" s="72" t="n">
        <v>-48.92</v>
      </c>
      <c r="AQ257" s="72" t="n">
        <v>-11.28</v>
      </c>
      <c r="AR257" s="72" t="n">
        <v>-37.4</v>
      </c>
      <c r="AS257" s="72" t="n">
        <v>-59.74</v>
      </c>
      <c r="AT257" s="72" t="n">
        <v>11.17</v>
      </c>
      <c r="AU257" s="72" t="n">
        <v>-20.17</v>
      </c>
      <c r="AV257" s="72" t="n">
        <v>-48.88</v>
      </c>
      <c r="AW257" s="72" t="n">
        <v>-38.1</v>
      </c>
      <c r="AX257" s="72" t="n">
        <v>-0.42</v>
      </c>
      <c r="AY257" s="72" t="n">
        <v>0.7</v>
      </c>
      <c r="AZ257" s="63" t="inlineStr">
        <is>
          <t>Hang Seng Commerce &amp; Industry sub-index</t>
        </is>
      </c>
      <c r="BA257" s="72" t="n">
        <v>-85.69</v>
      </c>
      <c r="BB257" s="64" t="inlineStr">
        <is>
          <t>2026-08-28</t>
        </is>
      </c>
      <c r="BC257" s="65" t="n">
        <v>541.2</v>
      </c>
      <c r="BD257" s="68" t="n"/>
      <c r="BE257" s="63" t="inlineStr">
        <is>
          <t>Y</t>
        </is>
      </c>
      <c r="BF257" s="75">
        <f>IF('BBG Verify'!O257="","not filed — run on terminal",'BBG Verify'!O257)</f>
        <v/>
      </c>
      <c r="BG257" s="74" t="n"/>
      <c r="BH257" s="74" t="n">
        <v>95.8</v>
      </c>
      <c r="BI257" s="74" t="n">
        <v>14.3</v>
      </c>
      <c r="BJ257" s="75">
        <f>IF('BBG Verify'!S257="","not filed — run on terminal",'BBG Verify'!S257)</f>
        <v/>
      </c>
      <c r="BK257" s="76" t="inlineStr">
        <is>
          <t>N</t>
        </is>
      </c>
      <c r="BL257" s="77">
        <f>IF('BBG Verify'!K257="","not filed — run on terminal",'BBG Verify'!K257)</f>
        <v/>
      </c>
      <c r="BM257" s="63" t="inlineStr">
        <is>
          <t>N/A</t>
        </is>
      </c>
      <c r="BN257" s="63" t="inlineStr">
        <is>
          <t>N/A</t>
        </is>
      </c>
      <c r="BO257" s="63" t="inlineStr">
        <is>
          <t>N/A</t>
        </is>
      </c>
      <c r="BP257" s="63" t="inlineStr">
        <is>
          <t>N/A</t>
        </is>
      </c>
      <c r="BQ257" s="63" t="inlineStr">
        <is>
          <t>N/A</t>
        </is>
      </c>
      <c r="BR257" s="63" t="inlineStr">
        <is>
          <t>N/A</t>
        </is>
      </c>
      <c r="BS257" s="76" t="n"/>
      <c r="BT257" s="63" t="inlineStr">
        <is>
          <t>Haitong International Capital Limited; CITIC Securities (Hong Kong) Limited</t>
        </is>
      </c>
      <c r="BU257" s="63" t="inlineStr">
        <is>
          <t>ABCI Securities Company Limited; BOCI Asia Limited; China Galaxy International Securities (Hong Kong) Company Limited; CLSA Limited; CMB International Capital Limited; Fosun International Securities Limited</t>
        </is>
      </c>
      <c r="BV257" s="63" t="inlineStr">
        <is>
          <t>ABCI Securities Company Limited; BOCI Asia Limited; China Galaxy International Securities (Hong Kong) Company Limited; CLSA Limited; CMB International Capital Limited; Fosun International Securities Limited; Futu Securities International (Hong Kong) Limited; Haitong International Securities Company Limited; Livermore Holdings Limited; Patrons Securities Limited; Ruibang Securities Limited; SPDB International Capital Limited</t>
        </is>
      </c>
      <c r="BW257" s="78">
        <f>HYPERLINK("https://www1.hkexnews.hk/listedco/listconews/sehk/2024/0523/2024052300042.htm","prospectus")</f>
        <v/>
      </c>
      <c r="BX257" s="78">
        <f>HYPERLINK("https://www1.hkexnews.hk/listedco/listconews/sehk/2024/0530/2024053001320.pdf","allotment")</f>
        <v/>
      </c>
      <c r="BY257" s="63" t="n"/>
      <c r="BZ257" s="76" t="n"/>
      <c r="CA257" s="63" t="inlineStr">
        <is>
          <t>P/E: withheld — mktcap / net income gives 758x, which fails the 300x plausibility check; the extracted net income (HK$10.2m) is not trustworthy · greenshoe: no over-allotment option in the offer structure · price range: fixed-price offering (no indicative range) · range low: cap-only pricing — the filing publishes a Maximum Offer Price and no indicative floor · A/H: no A-share listing · sponsor: English name not in the filing text; AAStocks 保薦人 shown · market cap: prospectus states HK$8,493m at HK$11.20; rescaled to the struck HK$10.20 · cornerstone list: cornerstone section not machine-extractable — see the prospectus link · cornerstone %: cornerstone aggregate not stated in the filing · greenshoe size: no over-allotment option in the offer structure · stabilising manager: the filing states no stabilising manager will be appointed — a filed fact, not an extraction gap (allotment announcement: 'no stabilizing manager will be appointed' stated in the filing) · financials: financial tables not machine-extractable and the pre-IPO year is outside AAStocks' 5-year window · grey market: no grey-market headline on file for this deal — AAStocks publishes one per listing but keeps only recent items on the stock's news page, and no public archive of past evening sessions exists; captured from this run onward</t>
        </is>
      </c>
    </row>
    <row r="258" ht="15" customHeight="1">
      <c r="A258" s="62" t="inlineStr">
        <is>
          <t>2522</t>
        </is>
      </c>
      <c r="B258" s="63" t="inlineStr">
        <is>
          <t>RIMAG GROUP</t>
        </is>
      </c>
      <c r="C258" s="63" t="inlineStr">
        <is>
          <t>一脈陽光</t>
        </is>
      </c>
      <c r="D258" s="63" t="inlineStr">
        <is>
          <t>Healthcare</t>
        </is>
      </c>
      <c r="E258" s="63" t="inlineStr">
        <is>
          <t>Hospitals / clinics</t>
        </is>
      </c>
      <c r="F258" s="63" t="inlineStr">
        <is>
          <t>Health Care Services</t>
        </is>
      </c>
      <c r="G258" s="63" t="inlineStr">
        <is>
          <t>Standard</t>
        </is>
      </c>
      <c r="H258" s="64" t="n">
        <v>45450</v>
      </c>
      <c r="I258" s="65" t="n">
        <v>266.9</v>
      </c>
      <c r="J258" s="63" t="inlineStr">
        <is>
          <t>gross (price x shares)</t>
        </is>
      </c>
      <c r="K258" s="66" t="n">
        <v>14.6</v>
      </c>
      <c r="L258" s="66" t="n">
        <v>16.8</v>
      </c>
      <c r="M258" s="66" t="n">
        <v>14.98</v>
      </c>
      <c r="N258" s="63" t="inlineStr">
        <is>
          <t>N</t>
        </is>
      </c>
      <c r="O258" s="67" t="n">
        <v>89.2</v>
      </c>
      <c r="P258" s="67" t="n">
        <v>17.3</v>
      </c>
      <c r="Q258" s="68" t="n">
        <v>5337.6</v>
      </c>
      <c r="R258" s="63" t="inlineStr">
        <is>
          <t>derived:price x shares upon listing</t>
        </is>
      </c>
      <c r="S258" s="69" t="n">
        <v>336.33</v>
      </c>
      <c r="T258" s="70" t="n">
        <v>1.24</v>
      </c>
      <c r="U258" s="71" t="n">
        <v>44.97</v>
      </c>
      <c r="V258" s="68" t="n">
        <v>146.88</v>
      </c>
      <c r="W258" s="68" t="n">
        <v>9804145</v>
      </c>
      <c r="X258" s="67" t="n">
        <v>2.75</v>
      </c>
      <c r="Y258" s="63" t="inlineStr">
        <is>
          <t>China New Rich Medicine Holding Co. Limited; Excellent Investment Enterprise Management (Hong Kong) Co., Limited; United Imaging Healthcare Hong Kong Limited</t>
        </is>
      </c>
      <c r="Z258" s="63" t="inlineStr">
        <is>
          <t>new-rich;excellent;united</t>
        </is>
      </c>
      <c r="AA258" s="67" t="n"/>
      <c r="AB258" s="72" t="n"/>
      <c r="AC258" s="66" t="n"/>
      <c r="AD258" s="72" t="n"/>
      <c r="AE258" s="63" t="n"/>
      <c r="AF258" s="63" t="n"/>
      <c r="AG258" s="63" t="n"/>
      <c r="AH258" s="63" t="n"/>
      <c r="AI258" s="63" t="n"/>
      <c r="AJ258" s="63" t="n"/>
      <c r="AK258" s="73" t="n">
        <v>0.13</v>
      </c>
      <c r="AL258" s="72" t="n">
        <v>0.13</v>
      </c>
      <c r="AM258" s="72" t="n">
        <v>0</v>
      </c>
      <c r="AN258" s="72" t="n">
        <v>28.3</v>
      </c>
      <c r="AO258" s="72" t="n">
        <v>15.09</v>
      </c>
      <c r="AP258" s="72" t="n">
        <v>34.18</v>
      </c>
      <c r="AQ258" s="72" t="n">
        <v>28.13</v>
      </c>
      <c r="AR258" s="72" t="n">
        <v>14.94</v>
      </c>
      <c r="AS258" s="72" t="n">
        <v>34.01</v>
      </c>
      <c r="AT258" s="72" t="n">
        <v>28.22</v>
      </c>
      <c r="AU258" s="72" t="n">
        <v>23.08</v>
      </c>
      <c r="AV258" s="72" t="n">
        <v>41.82</v>
      </c>
      <c r="AW258" s="72" t="n">
        <v>22.39</v>
      </c>
      <c r="AX258" s="72" t="n">
        <v>-7.99</v>
      </c>
      <c r="AY258" s="72" t="n">
        <v>-7.45</v>
      </c>
      <c r="AZ258" s="63" t="inlineStr">
        <is>
          <t>China Biotech ETF (HS biotech proxy)</t>
        </is>
      </c>
      <c r="BA258" s="72" t="n">
        <v>-63.95</v>
      </c>
      <c r="BB258" s="64" t="inlineStr">
        <is>
          <t>2026-08-28</t>
        </is>
      </c>
      <c r="BC258" s="65" t="n">
        <v>1021.8</v>
      </c>
      <c r="BD258" s="68" t="n">
        <v>40.2</v>
      </c>
      <c r="BE258" s="63" t="inlineStr">
        <is>
          <t>Y</t>
        </is>
      </c>
      <c r="BF258" s="74" t="n">
        <v>132.8</v>
      </c>
      <c r="BG258" s="74" t="n"/>
      <c r="BH258" s="74" t="n">
        <v>305.6</v>
      </c>
      <c r="BI258" s="74" t="n">
        <v>5.2</v>
      </c>
      <c r="BJ258" s="75">
        <f>IF('BBG Verify'!S258="","not filed — run on terminal",'BBG Verify'!S258)</f>
        <v/>
      </c>
      <c r="BK258" s="76" t="inlineStr">
        <is>
          <t>N</t>
        </is>
      </c>
      <c r="BL258" s="77">
        <f>IF('BBG Verify'!K258="","not filed — run on terminal",'BBG Verify'!K258)</f>
        <v/>
      </c>
      <c r="BM258" s="63" t="inlineStr">
        <is>
          <t>N/A</t>
        </is>
      </c>
      <c r="BN258" s="63" t="inlineStr">
        <is>
          <t>N/A</t>
        </is>
      </c>
      <c r="BO258" s="63" t="inlineStr">
        <is>
          <t>N/A</t>
        </is>
      </c>
      <c r="BP258" s="63" t="inlineStr">
        <is>
          <t>N/A</t>
        </is>
      </c>
      <c r="BQ258" s="63" t="inlineStr">
        <is>
          <t>N/A</t>
        </is>
      </c>
      <c r="BR258" s="63" t="inlineStr">
        <is>
          <t>N/A</t>
        </is>
      </c>
      <c r="BS258" s="76" t="inlineStr">
        <is>
          <t>CITIC Securities (Hong Kong) Limited; CLSA Limited</t>
        </is>
      </c>
      <c r="BT258" s="63" t="inlineStr">
        <is>
          <t>CITIC Securities (Hong Kong) Limited</t>
        </is>
      </c>
      <c r="BU258" s="63" t="inlineStr">
        <is>
          <t>CLSA Limited; CMB International Capital Limited; Huatai Financial Holdings (Hong Kong) Limited; Fosun International Securities Limited; ABCI Capital Limited; China Galaxy International Securities (Hong Kong) Co., Limited; Futu Securities International (Hong Kong) Limited; ICBC International Securities Limited; Patrons Securities Limited; Quam Securities Limited; TradeGo Markets Limited</t>
        </is>
      </c>
      <c r="BV258" s="63" t="inlineStr">
        <is>
          <t>ABCI Securities Company Limited; China Galaxy International Securities (Hong Kong) Company Limited; CLSA Limited; CMB International Capital Limited; Fosun International Securities Limited; Futu Securities International (Hong Kong) Limited; Huatai Financial Holdings (Hong Kong) Limited; ICBC International Securities Limited; Patrons Securities Limited; Quam Securities Limited; SPDB International Capital Limited; TradeGo Markets Limited</t>
        </is>
      </c>
      <c r="BW258" s="78">
        <f>HYPERLINK("https://www1.hkexnews.hk/listedco/listconews/sehk/2024/0530/2024053000044.pdf","prospectus")</f>
        <v/>
      </c>
      <c r="BX258" s="78">
        <f>HYPERLINK("https://www1.hkexnews.hk/listedco/listconews/sehk/2024/0606/2024060602117.pdf","allotment")</f>
        <v/>
      </c>
      <c r="BY258" s="63" t="n"/>
      <c r="BZ258" s="76" t="n"/>
      <c r="CA258" s="63" t="inlineStr">
        <is>
          <t>greenshoe: no over-allotment option in the offer structure · A/H: no A-share listing · market cap: prospectus 'market capitalisation' line rejected — it is the listing-rule threshold, not the issuer's figure ("llion), which is over HK$500 million, and (ii) our expected market capitalisation at the time of Listing, whic") · greenshoe size: no over-allotment option in the offer structure · stabilising manager: no over-allotment option in the offer structure, so no stabilising manager is appointed · grey market: no grey-market headline on file for this deal — AAStocks publishes one per listing but keeps only recent items on the stock's news page, and no public archive of past evening sessions exists; captured from this run onward</t>
        </is>
      </c>
    </row>
    <row r="259" ht="15" customHeight="1">
      <c r="A259" s="62" t="inlineStr">
        <is>
          <t>2550</t>
        </is>
      </c>
      <c r="B259" s="63" t="inlineStr">
        <is>
          <t>EASOU TECH</t>
        </is>
      </c>
      <c r="C259" s="63" t="inlineStr">
        <is>
          <t>宜搜科技</t>
        </is>
      </c>
      <c r="D259" s="63" t="inlineStr">
        <is>
          <t>Tech/AI</t>
        </is>
      </c>
      <c r="E259" s="63" t="inlineStr">
        <is>
          <t>Internet platform / e-commerce</t>
        </is>
      </c>
      <c r="F259" s="63" t="inlineStr">
        <is>
          <t>Advertising</t>
        </is>
      </c>
      <c r="G259" s="63" t="inlineStr">
        <is>
          <t>Standard</t>
        </is>
      </c>
      <c r="H259" s="64" t="n">
        <v>45450</v>
      </c>
      <c r="I259" s="65" t="n">
        <v>85.90000000000001</v>
      </c>
      <c r="J259" s="63" t="inlineStr">
        <is>
          <t>gross (price x shares)</t>
        </is>
      </c>
      <c r="K259" s="66" t="n">
        <v>5.8</v>
      </c>
      <c r="L259" s="66" t="n">
        <v>8</v>
      </c>
      <c r="M259" s="66" t="n">
        <v>5.8</v>
      </c>
      <c r="N259" s="63" t="inlineStr">
        <is>
          <t>N</t>
        </is>
      </c>
      <c r="O259" s="67" t="n">
        <v>72.5</v>
      </c>
      <c r="P259" s="67" t="n">
        <v>0</v>
      </c>
      <c r="Q259" s="68" t="n">
        <v>1907.8</v>
      </c>
      <c r="R259" s="63" t="inlineStr">
        <is>
          <t>derived:price x shares upon listing</t>
        </is>
      </c>
      <c r="S259" s="69" t="n">
        <v>114.59</v>
      </c>
      <c r="T259" s="70" t="n">
        <v>0.98</v>
      </c>
      <c r="U259" s="71" t="n">
        <v>0</v>
      </c>
      <c r="V259" s="68" t="n">
        <v>85.90000000000001</v>
      </c>
      <c r="W259" s="68" t="n">
        <v>14802500</v>
      </c>
      <c r="X259" s="67" t="n">
        <v>4.5</v>
      </c>
      <c r="Y259" s="63" t="n"/>
      <c r="Z259" s="63" t="n"/>
      <c r="AA259" s="67" t="n">
        <v>15</v>
      </c>
      <c r="AB259" s="72" t="n"/>
      <c r="AC259" s="66" t="n"/>
      <c r="AD259" s="72" t="n"/>
      <c r="AE259" s="63" t="n"/>
      <c r="AF259" s="63" t="n"/>
      <c r="AG259" s="63" t="n"/>
      <c r="AH259" s="63" t="n"/>
      <c r="AI259" s="63" t="inlineStr">
        <is>
          <t>BOCI Asia Limited</t>
        </is>
      </c>
      <c r="AJ259" s="63" t="inlineStr">
        <is>
          <t>BOCI</t>
        </is>
      </c>
      <c r="AK259" s="73" t="n">
        <v>91.72</v>
      </c>
      <c r="AL259" s="72" t="n">
        <v>46.55</v>
      </c>
      <c r="AM259" s="72" t="n">
        <v>30.82</v>
      </c>
      <c r="AN259" s="72" t="n">
        <v>191.03</v>
      </c>
      <c r="AO259" s="72" t="n">
        <v>200</v>
      </c>
      <c r="AP259" s="72" t="n">
        <v>223.79</v>
      </c>
      <c r="AQ259" s="72" t="n">
        <v>51.8</v>
      </c>
      <c r="AR259" s="72" t="n">
        <v>56.48</v>
      </c>
      <c r="AS259" s="72" t="n">
        <v>68.89</v>
      </c>
      <c r="AT259" s="72" t="n">
        <v>194.22</v>
      </c>
      <c r="AU259" s="72" t="n">
        <v>206.06</v>
      </c>
      <c r="AV259" s="72" t="n">
        <v>233.99</v>
      </c>
      <c r="AW259" s="72" t="n">
        <v>60.96</v>
      </c>
      <c r="AX259" s="72" t="n">
        <v>-6.06</v>
      </c>
      <c r="AY259" s="72" t="n">
        <v>-4.48</v>
      </c>
      <c r="AZ259" s="63" t="inlineStr">
        <is>
          <t>HSTECH (Hang Seng TECH ETF)</t>
        </is>
      </c>
      <c r="BA259" s="72" t="n">
        <v>-64.73999999999999</v>
      </c>
      <c r="BB259" s="64" t="inlineStr">
        <is>
          <t>2026-08-28</t>
        </is>
      </c>
      <c r="BC259" s="65" t="n">
        <v>614.9</v>
      </c>
      <c r="BD259" s="68" t="n">
        <v>27.5</v>
      </c>
      <c r="BE259" s="63" t="inlineStr">
        <is>
          <t>Y</t>
        </is>
      </c>
      <c r="BF259" s="74" t="n">
        <v>69.40000000000001</v>
      </c>
      <c r="BG259" s="74" t="n"/>
      <c r="BH259" s="74" t="n">
        <v>20.5</v>
      </c>
      <c r="BI259" s="74" t="n">
        <v>3.1</v>
      </c>
      <c r="BJ259" s="75">
        <f>IF('BBG Verify'!S259="","not filed — run on terminal",'BBG Verify'!S259)</f>
        <v/>
      </c>
      <c r="BK259" s="76" t="inlineStr">
        <is>
          <t>N</t>
        </is>
      </c>
      <c r="BL259" s="77">
        <f>IF('BBG Verify'!K259="","not filed — run on terminal",'BBG Verify'!K259)</f>
        <v/>
      </c>
      <c r="BM259" s="63" t="inlineStr">
        <is>
          <t>N/A</t>
        </is>
      </c>
      <c r="BN259" s="63" t="inlineStr">
        <is>
          <t>N/A</t>
        </is>
      </c>
      <c r="BO259" s="63" t="inlineStr">
        <is>
          <t>N/A</t>
        </is>
      </c>
      <c r="BP259" s="63" t="inlineStr">
        <is>
          <t>N/A</t>
        </is>
      </c>
      <c r="BQ259" s="63" t="inlineStr">
        <is>
          <t>N/A</t>
        </is>
      </c>
      <c r="BR259" s="63" t="inlineStr">
        <is>
          <t>N/A</t>
        </is>
      </c>
      <c r="BS259" s="76" t="n"/>
      <c r="BT259" s="63" t="inlineStr">
        <is>
          <t>BOCI Asia Limited</t>
        </is>
      </c>
      <c r="BU259" s="63" t="inlineStr">
        <is>
          <t>BOCI Asia Limited; Guotai Junan Securities (Hong Kong) Limited; BOCOM International Securities Limited; Citrus Securities Limited; Guosen Securities (HK) Capital Company Limited; ICBC International Securities Limited; Livermore Holdings Limited; Shenwan Hongyuan Securities (H.K.) Limited; SPDB International Capital Limited; Tiger Brokers (HK) Global Limited; Zhongtai International Securities Limited</t>
        </is>
      </c>
      <c r="BV259" s="63" t="inlineStr">
        <is>
          <t>BOCI Asia Limited; BOCOM International Securities Limited; China Everbright Securities (HK) Limited; Citrus Securities Limited; Guotai Junan Securities (Hong Kong) Limited; Guosen Securities (HK) Capital Company Limited; ICBC International Securities Limited; Livermore Holdings Limited; Shenwan Hongyuan Securities (H.K.) Limited; SPDB International Capital Limited; Tiger Brokers (HK) Global Limited; Yue Xiu Securities Company Limited</t>
        </is>
      </c>
      <c r="BW259" s="78">
        <f>HYPERLINK("https://www1.hkexnews.hk/listedco/listconews/sehk/2024/0530/2024053000009.pdf","prospectus")</f>
        <v/>
      </c>
      <c r="BX259" s="78">
        <f>HYPERLINK("https://www1.hkexnews.hk/listedco/listconews/sehk/2024/0606/2024060602135.pdf","allotment")</f>
        <v/>
      </c>
      <c r="BY259" s="63" t="n"/>
      <c r="BZ259" s="76" t="n"/>
      <c r="CA259" s="63" t="inlineStr">
        <is>
          <t>greenshoe: end-of-stabilisation notice not located · A/H: no A-share listing · sponsor: English name not in the filing text; AAStocks 保薦人 shown · cornerstone list: no cornerstone tranche in this deal · grey market: no grey-market headline on file for this deal — AAStocks publishes one per listing but keeps only recent items on the stock's news page, and no public archive of past evening sessions exists; captured from this run onward</t>
        </is>
      </c>
    </row>
    <row r="260" ht="15" customHeight="1">
      <c r="A260" s="62" t="inlineStr">
        <is>
          <t>2228</t>
        </is>
      </c>
      <c r="B260" s="63" t="inlineStr">
        <is>
          <t>QUANTUMPH-P</t>
        </is>
      </c>
      <c r="C260" s="63" t="inlineStr">
        <is>
          <t>晶泰控股</t>
        </is>
      </c>
      <c r="D260" s="63" t="inlineStr">
        <is>
          <t>Tech/AI</t>
        </is>
      </c>
      <c r="E260" s="63" t="inlineStr">
        <is>
          <t>AI application / agent software</t>
        </is>
      </c>
      <c r="F260" s="63" t="inlineStr">
        <is>
          <t>Next-generation information technology</t>
        </is>
      </c>
      <c r="G260" s="63" t="inlineStr">
        <is>
          <t>18C</t>
        </is>
      </c>
      <c r="H260" s="64" t="n">
        <v>45456</v>
      </c>
      <c r="I260" s="65" t="n">
        <v>989.3</v>
      </c>
      <c r="J260" s="63" t="inlineStr">
        <is>
          <t>gross (price x shares)</t>
        </is>
      </c>
      <c r="K260" s="66" t="n"/>
      <c r="L260" s="66" t="n">
        <v>5.28</v>
      </c>
      <c r="M260" s="66" t="n">
        <v>5.28</v>
      </c>
      <c r="N260" s="63" t="inlineStr">
        <is>
          <t>Y</t>
        </is>
      </c>
      <c r="O260" s="67" t="n">
        <v>100</v>
      </c>
      <c r="P260" s="67" t="n"/>
      <c r="Q260" s="68" t="n">
        <v>18888.1</v>
      </c>
      <c r="R260" s="63" t="inlineStr">
        <is>
          <t>aastocks:上市市值 at the struck price</t>
        </is>
      </c>
      <c r="S260" s="69" t="n">
        <v>103.35</v>
      </c>
      <c r="T260" s="70" t="n">
        <v>2.13</v>
      </c>
      <c r="U260" s="71" t="n">
        <v>34.4</v>
      </c>
      <c r="V260" s="68" t="n">
        <v>648.98</v>
      </c>
      <c r="W260" s="68" t="n">
        <v>122916688</v>
      </c>
      <c r="X260" s="67" t="n">
        <v>3.44</v>
      </c>
      <c r="Y260" s="63" t="inlineStr">
        <is>
          <t>Begonia No. 1 LPF; Biocytogen Pharmaceuticals (Beijing) Co., Ltd; Bradley Lether Pentelute; FaaS Capital Longevity Limited; Ginkgo Capital Global Fund SPC-Ginkgo Capital Global Fund I SP; IntelliMed One Investment Limited; Mammoth Medical Solutions; Successful Lotus Limited</t>
        </is>
      </c>
      <c r="Z260" s="63" t="inlineStr">
        <is>
          <t>begonia;biocytogen;bradley;faas;ginkgo;intellimed;mammoth;successful</t>
        </is>
      </c>
      <c r="AA260" s="67" t="n">
        <v>15</v>
      </c>
      <c r="AB260" s="72" t="n"/>
      <c r="AC260" s="66" t="n"/>
      <c r="AD260" s="72" t="n"/>
      <c r="AE260" s="63" t="n"/>
      <c r="AF260" s="63" t="n"/>
      <c r="AG260" s="63" t="n"/>
      <c r="AH260" s="63" t="inlineStr">
        <is>
          <t>2024-07-07</t>
        </is>
      </c>
      <c r="AI260" s="63" t="inlineStr">
        <is>
          <t>CLSA Limited</t>
        </is>
      </c>
      <c r="AJ260" s="63" t="inlineStr">
        <is>
          <t>CLSA</t>
        </is>
      </c>
      <c r="AK260" s="73" t="n">
        <v>9.85</v>
      </c>
      <c r="AL260" s="72" t="n">
        <v>2.08</v>
      </c>
      <c r="AM260" s="72" t="n">
        <v>7.61</v>
      </c>
      <c r="AN260" s="72" t="n">
        <v>0.38</v>
      </c>
      <c r="AO260" s="72" t="n">
        <v>9.85</v>
      </c>
      <c r="AP260" s="72" t="n">
        <v>165.91</v>
      </c>
      <c r="AQ260" s="72" t="n">
        <v>-8.619999999999999</v>
      </c>
      <c r="AR260" s="72" t="n">
        <v>0</v>
      </c>
      <c r="AS260" s="72" t="n">
        <v>142.07</v>
      </c>
      <c r="AT260" s="72" t="n">
        <v>-1.16</v>
      </c>
      <c r="AU260" s="72" t="n">
        <v>10.62</v>
      </c>
      <c r="AV260" s="72" t="n">
        <v>172.06</v>
      </c>
      <c r="AW260" s="72" t="n">
        <v>1.58</v>
      </c>
      <c r="AX260" s="72" t="n">
        <v>-0.77</v>
      </c>
      <c r="AY260" s="72" t="n">
        <v>-1.58</v>
      </c>
      <c r="AZ260" s="63" t="inlineStr">
        <is>
          <t>HSTECH (Hang Seng TECH ETF)</t>
        </is>
      </c>
      <c r="BA260" s="72" t="n">
        <v>43.94</v>
      </c>
      <c r="BB260" s="64" t="inlineStr">
        <is>
          <t>2026-08-28</t>
        </is>
      </c>
      <c r="BC260" s="65" t="n">
        <v>191.9</v>
      </c>
      <c r="BD260" s="68" t="n">
        <v>-2105.8</v>
      </c>
      <c r="BE260" s="63" t="inlineStr">
        <is>
          <t>N</t>
        </is>
      </c>
      <c r="BF260" s="63" t="inlineStr">
        <is>
          <t>n/m</t>
        </is>
      </c>
      <c r="BG260" s="74" t="n"/>
      <c r="BH260" s="74" t="n">
        <v>204.3</v>
      </c>
      <c r="BI260" s="74" t="n">
        <v>98.40000000000001</v>
      </c>
      <c r="BJ260" s="75">
        <f>IF('BBG Verify'!S260="","not filed — run on terminal",'BBG Verify'!S260)</f>
        <v/>
      </c>
      <c r="BK260" s="76" t="inlineStr">
        <is>
          <t>N</t>
        </is>
      </c>
      <c r="BL260" s="77">
        <f>IF('BBG Verify'!K260="","not filed — run on terminal",'BBG Verify'!K260)</f>
        <v/>
      </c>
      <c r="BM260" s="63" t="inlineStr">
        <is>
          <t>N/A</t>
        </is>
      </c>
      <c r="BN260" s="63" t="inlineStr">
        <is>
          <t>N/A</t>
        </is>
      </c>
      <c r="BO260" s="63" t="inlineStr">
        <is>
          <t>N/A</t>
        </is>
      </c>
      <c r="BP260" s="63" t="inlineStr">
        <is>
          <t>N/A</t>
        </is>
      </c>
      <c r="BQ260" s="63" t="inlineStr">
        <is>
          <t>N/A</t>
        </is>
      </c>
      <c r="BR260" s="63" t="inlineStr">
        <is>
          <t>N/A</t>
        </is>
      </c>
      <c r="BS260" s="76" t="n"/>
      <c r="BT260" s="63" t="inlineStr">
        <is>
          <t>CITIC Securities (Hong Kong) Limited</t>
        </is>
      </c>
      <c r="BU260" s="63" t="inlineStr">
        <is>
          <t>ABCI Securities Company Limited; BOCI Asia Limited; CCB International Capital Limited; China International Capital Corporation Hong Kong Securities Limited; CLSA Limited; CMB International Capital Limited</t>
        </is>
      </c>
      <c r="BV260" s="63" t="inlineStr">
        <is>
          <t>ABCI Securities Company Limited; BOCI Asia Limited; CCB International Capital Limited; China International Capital Corporation Hong Kong Securities Limited; CLSA Limited; CMB International Capital Limited; Deutsche Bank AG, Hong Kong Branch; Fosun International Securities Limited; Futu Securities International (Hong Kong) Limited; Guosen Securities (HK) Capital Company Limited; ICBC International Securities Limited; Jefferies Hong Kong Limited</t>
        </is>
      </c>
      <c r="BW260" s="63" t="n"/>
      <c r="BX260" s="78">
        <f>HYPERLINK("https://www1.hkexnews.hk/listedco/listconews/sehk/2024/0612/2024061201745.pdf","allotment")</f>
        <v/>
      </c>
      <c r="BY260" s="63" t="n"/>
      <c r="BZ260" s="76" t="n"/>
      <c r="CA260" s="63" t="inlineStr">
        <is>
          <t>P/E: n/m — loss-making at IPO (use P/S) · greenshoe: end-of-stabilisation notice not located · price range: fixed-price offering (no indicative range) · range low: cap-only pricing — the filing publishes a Maximum Offer Price and no indicative floor · A/H: no A-share listing · sponsor: English name not in the filing text; AAStocks 保薦人 shown · cornerstone %: AAStocks institutional-order total / deal size — an upper bound; the table can include non-cornerstone orders · filing links: no prospectus document returned by the HKEX per-stock search for this code — the allotment announcement is linked beside it · grey market: no grey-market headline on file for this deal — AAStocks publishes one per listing but keeps only recent items on the stock's news page, and no public archive of past evening sessions exists; captured from this run onward</t>
        </is>
      </c>
    </row>
    <row r="261" ht="15" customHeight="1">
      <c r="A261" s="62" t="inlineStr">
        <is>
          <t>2512</t>
        </is>
      </c>
      <c r="B261" s="63" t="inlineStr">
        <is>
          <t>CLOUD FACTORY</t>
        </is>
      </c>
      <c r="C261" s="63" t="inlineStr">
        <is>
          <t>雲工場</t>
        </is>
      </c>
      <c r="D261" s="63" t="inlineStr">
        <is>
          <t>Tech/AI</t>
        </is>
      </c>
      <c r="E261" s="63" t="inlineStr">
        <is>
          <t>Data center / cloud infra</t>
        </is>
      </c>
      <c r="F261" s="63" t="inlineStr">
        <is>
          <t>Telecommunication Services</t>
        </is>
      </c>
      <c r="G261" s="63" t="inlineStr">
        <is>
          <t>Standard</t>
        </is>
      </c>
      <c r="H261" s="64" t="n">
        <v>45457</v>
      </c>
      <c r="I261" s="65" t="n">
        <v>133.9</v>
      </c>
      <c r="J261" s="63" t="inlineStr">
        <is>
          <t>net proceeds</t>
        </is>
      </c>
      <c r="K261" s="66" t="n"/>
      <c r="L261" s="66" t="n">
        <v>4.6</v>
      </c>
      <c r="M261" s="66" t="n">
        <v>4.6</v>
      </c>
      <c r="N261" s="63" t="inlineStr">
        <is>
          <t>Y</t>
        </is>
      </c>
      <c r="O261" s="67" t="n">
        <v>100</v>
      </c>
      <c r="P261" s="67" t="n"/>
      <c r="Q261" s="68" t="n">
        <v>2116</v>
      </c>
      <c r="R261" s="63" t="inlineStr">
        <is>
          <t>derived:price x shares upon listing</t>
        </is>
      </c>
      <c r="S261" s="69" t="n">
        <v>25.79</v>
      </c>
      <c r="T261" s="70" t="n">
        <v>1.09</v>
      </c>
      <c r="U261" s="71" t="n">
        <v>0</v>
      </c>
      <c r="V261" s="68" t="n">
        <v>133.9</v>
      </c>
      <c r="W261" s="68" t="n"/>
      <c r="X261" s="67" t="n">
        <v>6.33</v>
      </c>
      <c r="Y261" s="63" t="n"/>
      <c r="Z261" s="63" t="n"/>
      <c r="AA261" s="67" t="n">
        <v>15</v>
      </c>
      <c r="AB261" s="72" t="n"/>
      <c r="AC261" s="66" t="n"/>
      <c r="AD261" s="72" t="n"/>
      <c r="AE261" s="63" t="n"/>
      <c r="AF261" s="63" t="n"/>
      <c r="AG261" s="63" t="inlineStr">
        <is>
          <t>lapsed</t>
        </is>
      </c>
      <c r="AH261" s="63" t="n"/>
      <c r="AI261" s="63" t="n"/>
      <c r="AJ261" s="63" t="n"/>
      <c r="AK261" s="73" t="n">
        <v>-17.39</v>
      </c>
      <c r="AL261" s="72" t="n">
        <v>-5</v>
      </c>
      <c r="AM261" s="72" t="n">
        <v>-13.04</v>
      </c>
      <c r="AN261" s="72" t="n">
        <v>-17.39</v>
      </c>
      <c r="AO261" s="72" t="n">
        <v>-17.39</v>
      </c>
      <c r="AP261" s="72" t="n">
        <v>-21.96</v>
      </c>
      <c r="AQ261" s="72" t="n">
        <v>0</v>
      </c>
      <c r="AR261" s="72" t="n">
        <v>0</v>
      </c>
      <c r="AS261" s="72" t="n">
        <v>-5.53</v>
      </c>
      <c r="AT261" s="72" t="n">
        <v>-16.52</v>
      </c>
      <c r="AU261" s="72" t="n">
        <v>-14.45</v>
      </c>
      <c r="AV261" s="72" t="n">
        <v>-14.98</v>
      </c>
      <c r="AW261" s="72" t="n">
        <v>2.41</v>
      </c>
      <c r="AX261" s="72" t="n">
        <v>-2.94</v>
      </c>
      <c r="AY261" s="72" t="n">
        <v>-2.41</v>
      </c>
      <c r="AZ261" s="63" t="inlineStr">
        <is>
          <t>HSTECH (Hang Seng TECH ETF)</t>
        </is>
      </c>
      <c r="BA261" s="72" t="n">
        <v>-38.04</v>
      </c>
      <c r="BB261" s="64" t="inlineStr">
        <is>
          <t>2026-08-28</t>
        </is>
      </c>
      <c r="BC261" s="65" t="n">
        <v>765.5</v>
      </c>
      <c r="BD261" s="68" t="n">
        <v>15.6</v>
      </c>
      <c r="BE261" s="63" t="inlineStr">
        <is>
          <t>Y</t>
        </is>
      </c>
      <c r="BF261" s="74" t="n">
        <v>135.6</v>
      </c>
      <c r="BG261" s="74" t="n"/>
      <c r="BH261" s="74" t="n">
        <v>103.6</v>
      </c>
      <c r="BI261" s="74" t="n">
        <v>2.8</v>
      </c>
      <c r="BJ261" s="75">
        <f>IF('BBG Verify'!S261="","not filed — run on terminal",'BBG Verify'!S261)</f>
        <v/>
      </c>
      <c r="BK261" s="76" t="inlineStr">
        <is>
          <t>N</t>
        </is>
      </c>
      <c r="BL261" s="77">
        <f>IF('BBG Verify'!K261="","not filed — run on terminal",'BBG Verify'!K261)</f>
        <v/>
      </c>
      <c r="BM261" s="63" t="inlineStr">
        <is>
          <t>N/A</t>
        </is>
      </c>
      <c r="BN261" s="63" t="inlineStr">
        <is>
          <t>N/A</t>
        </is>
      </c>
      <c r="BO261" s="63" t="inlineStr">
        <is>
          <t>N/A</t>
        </is>
      </c>
      <c r="BP261" s="63" t="inlineStr">
        <is>
          <t>N/A</t>
        </is>
      </c>
      <c r="BQ261" s="63" t="inlineStr">
        <is>
          <t>N/A</t>
        </is>
      </c>
      <c r="BR261" s="63" t="inlineStr">
        <is>
          <t>N/A</t>
        </is>
      </c>
      <c r="BS261" s="76" t="n"/>
      <c r="BT261" s="63" t="inlineStr">
        <is>
          <t>SPDB International Capital Limited</t>
        </is>
      </c>
      <c r="BU261" s="63" t="inlineStr">
        <is>
          <t>and CMIs SPDB International Capital Limited; CMB International Capital Limited; and CMIs CLSA Limited; and CMIs CEB International Capital Corporation Limited; Livermore Holdings Limited; Essence International Secu rities (Hong Kong) Limited; First Shanghai Securities Limited; CMBC Securities Company Limited; CCB International Capital Limited; Fosun International Securities Limited; Futu Securities International (Hong Kong) Limited</t>
        </is>
      </c>
      <c r="BV261" s="63" t="inlineStr">
        <is>
          <t>CCB International Capital Limited; CEB International Capital Corporation Limited; CLSA Limited; CMBC Securities Company Limited; CMB International Capital Limited; Essence International Securities (Hong Kong) Limited; Fosun International Securities Limited; First Shanghai Securities Limited; Futu Securities International (Hong Kong) Limited; Livermore Holdings Limited; SPDB International Capital Limited</t>
        </is>
      </c>
      <c r="BW261" s="78">
        <f>HYPERLINK("https://www1.hkexnews.hk/listedco/listconews/sehk/2024/0605/2024060500041.pdf","prospectus")</f>
        <v/>
      </c>
      <c r="BX261" s="78">
        <f>HYPERLINK("https://www1.hkexnews.hk/listedco/listconews/sehk/2024/0613/2024061301165.pdf","allotment")</f>
        <v/>
      </c>
      <c r="BY261" s="78">
        <f>HYPERLINK("https://www1.hkexnews.hk/listedco/listconews/sehk/2024/0711/2024071100781.pdf","stabilisation")</f>
        <v/>
      </c>
      <c r="BZ261" s="76" t="n"/>
      <c r="CA261" s="63" t="inlineStr">
        <is>
          <t>greenshoe: over-allotment outcome already published, and the allotment announcement does not state the stabilisation expiry in a parsable form — the expiry no longer matters once resolved · range low: cap-only pricing — the filing publishes a Maximum Offer Price and no indicative floor · A/H: no A-share listing · sponsor: English name not in the filing text; AAStocks 保薦人 shown · cornerstone list: no cornerstone tranche in this deal · stabilising manager: neither the allotment announcement's cover sentence nor the prospectus definitions glossary names one in a form the parser reads — not inferred from the sponsor · grey market: no grey-market headline on file for this deal — AAStocks publishes one per listing but keeps only recent items on the stock's news page, and no public archive of past evening sessions exists; captured from this run onward · eff float shares: share count unavailable or rejected as implausible — the money figure (eff_free_float_hkdm) is still exact</t>
        </is>
      </c>
    </row>
    <row r="262" ht="15" customHeight="1">
      <c r="A262" s="62" t="inlineStr">
        <is>
          <t>2881</t>
        </is>
      </c>
      <c r="B262" s="63" t="inlineStr">
        <is>
          <t>WUHAN YOUJI</t>
        </is>
      </c>
      <c r="C262" s="63" t="inlineStr">
        <is>
          <t>武漢有機</t>
        </is>
      </c>
      <c r="D262" s="63" t="inlineStr">
        <is>
          <t>Materials/Energy</t>
        </is>
      </c>
      <c r="E262" s="63" t="inlineStr">
        <is>
          <t>Chemicals</t>
        </is>
      </c>
      <c r="F262" s="63" t="inlineStr">
        <is>
          <t>Diversified Chemicals</t>
        </is>
      </c>
      <c r="G262" s="63" t="inlineStr">
        <is>
          <t>Standard</t>
        </is>
      </c>
      <c r="H262" s="64" t="n">
        <v>45461</v>
      </c>
      <c r="I262" s="65" t="n">
        <v>100.7</v>
      </c>
      <c r="J262" s="63" t="inlineStr">
        <is>
          <t>gross (price x shares)</t>
        </is>
      </c>
      <c r="K262" s="66" t="n">
        <v>5.5</v>
      </c>
      <c r="L262" s="66" t="n">
        <v>8.5</v>
      </c>
      <c r="M262" s="66" t="n">
        <v>5.5</v>
      </c>
      <c r="N262" s="63" t="inlineStr">
        <is>
          <t>N</t>
        </is>
      </c>
      <c r="O262" s="67" t="n">
        <v>64.7</v>
      </c>
      <c r="P262" s="67" t="n">
        <v>0</v>
      </c>
      <c r="Q262" s="68" t="n">
        <v>513.1</v>
      </c>
      <c r="R262" s="63" t="inlineStr">
        <is>
          <t>derived:price x shares upon listing</t>
        </is>
      </c>
      <c r="S262" s="69" t="n">
        <v>337.57</v>
      </c>
      <c r="T262" s="70" t="n">
        <v>0.92</v>
      </c>
      <c r="U262" s="71" t="n">
        <v>0</v>
      </c>
      <c r="V262" s="68" t="n">
        <v>100.7</v>
      </c>
      <c r="W262" s="68" t="n">
        <v>18300000</v>
      </c>
      <c r="X262" s="67" t="n">
        <v>19.63</v>
      </c>
      <c r="Y262" s="63" t="n"/>
      <c r="Z262" s="63" t="n"/>
      <c r="AA262" s="67" t="n">
        <v>17.7</v>
      </c>
      <c r="AB262" s="72" t="n">
        <v>71.59999999999999</v>
      </c>
      <c r="AC262" s="66" t="n">
        <v>9.44</v>
      </c>
      <c r="AD262" s="72" t="n">
        <v>-25.62</v>
      </c>
      <c r="AE262" s="63" t="inlineStr">
        <is>
          <t>Y</t>
        </is>
      </c>
      <c r="AF262" s="63" t="inlineStr">
        <is>
          <t>2024-06-18</t>
        </is>
      </c>
      <c r="AG262" s="63" t="inlineStr">
        <is>
          <t>lapsed (no over-allocation)</t>
        </is>
      </c>
      <c r="AH262" s="63" t="n"/>
      <c r="AI262" s="63" t="inlineStr">
        <is>
          <t>BOCOM International Securities Limited DEFINITIONS –2 9</t>
        </is>
      </c>
      <c r="AJ262" s="63" t="inlineStr">
        <is>
          <t>BOCOM</t>
        </is>
      </c>
      <c r="AK262" s="73" t="n">
        <v>27.64</v>
      </c>
      <c r="AL262" s="72" t="n">
        <v>79.64</v>
      </c>
      <c r="AM262" s="72" t="n">
        <v>-28.95</v>
      </c>
      <c r="AN262" s="72" t="n">
        <v>12.73</v>
      </c>
      <c r="AO262" s="72" t="n">
        <v>-13.64</v>
      </c>
      <c r="AP262" s="72" t="n">
        <v>-23.64</v>
      </c>
      <c r="AQ262" s="72" t="n">
        <v>-11.68</v>
      </c>
      <c r="AR262" s="72" t="n">
        <v>-32.34</v>
      </c>
      <c r="AS262" s="72" t="n">
        <v>-40.18</v>
      </c>
      <c r="AT262" s="72" t="n">
        <v>12.27</v>
      </c>
      <c r="AU262" s="72" t="n">
        <v>-13.09</v>
      </c>
      <c r="AV262" s="72" t="n">
        <v>-22.15</v>
      </c>
      <c r="AW262" s="72" t="n">
        <v>-32.14</v>
      </c>
      <c r="AX262" s="72" t="n">
        <v>-0.55</v>
      </c>
      <c r="AY262" s="72" t="n">
        <v>-0.2</v>
      </c>
      <c r="AZ262" s="63" t="inlineStr">
        <is>
          <t>Hang Seng Commerce &amp; Industry sub-index</t>
        </is>
      </c>
      <c r="BA262" s="72" t="n">
        <v>90.36</v>
      </c>
      <c r="BB262" s="64" t="inlineStr">
        <is>
          <t>2026-08-28</t>
        </is>
      </c>
      <c r="BC262" s="65" t="n">
        <v>2944.8</v>
      </c>
      <c r="BD262" s="68" t="n">
        <v>80.2</v>
      </c>
      <c r="BE262" s="63" t="inlineStr">
        <is>
          <t>Y</t>
        </is>
      </c>
      <c r="BF262" s="74" t="n">
        <v>6.4</v>
      </c>
      <c r="BG262" s="74" t="n"/>
      <c r="BH262" s="74" t="n">
        <v>12.8</v>
      </c>
      <c r="BI262" s="74" t="n">
        <v>0.2</v>
      </c>
      <c r="BJ262" s="75">
        <f>IF('BBG Verify'!S262="","not filed — run on terminal",'BBG Verify'!S262)</f>
        <v/>
      </c>
      <c r="BK262" s="76" t="inlineStr">
        <is>
          <t>N</t>
        </is>
      </c>
      <c r="BL262" s="77">
        <f>IF('BBG Verify'!K262="","not filed — run on terminal",'BBG Verify'!K262)</f>
        <v/>
      </c>
      <c r="BM262" s="63" t="inlineStr">
        <is>
          <t>N/A</t>
        </is>
      </c>
      <c r="BN262" s="63" t="inlineStr">
        <is>
          <t>N/A</t>
        </is>
      </c>
      <c r="BO262" s="63" t="inlineStr">
        <is>
          <t>N/A</t>
        </is>
      </c>
      <c r="BP262" s="63" t="inlineStr">
        <is>
          <t>N/A</t>
        </is>
      </c>
      <c r="BQ262" s="63" t="inlineStr">
        <is>
          <t>N/A</t>
        </is>
      </c>
      <c r="BR262" s="63" t="inlineStr">
        <is>
          <t>N/A</t>
        </is>
      </c>
      <c r="BS262" s="76" t="inlineStr">
        <is>
          <t>BOCOM International (Asia) Limited</t>
        </is>
      </c>
      <c r="BT262" s="63" t="inlineStr">
        <is>
          <t>BOCOM International (Asia) Limited</t>
        </is>
      </c>
      <c r="BU262" s="63" t="inlineStr">
        <is>
          <t>BOCOM International Securities Limited; ABCI Capital Limited; CCB International Capital Limited; CEB International Capital Corporation Limited; China Industrial Securities International Capital Limited; CMBC Securities Company Limited; Essence International Securities (Hong Kong) Limited; Fortune Origin Securities Limited; Futu Securities International (Hong Kong) Limited; ICBC International Securities Limited; Phillip Securities (Hong Kong) Limited; Quam Securities Limited</t>
        </is>
      </c>
      <c r="BV262" s="63" t="inlineStr">
        <is>
          <t>ABCI Securities Company Limited; BOCOM International Securities Limited; CCB International Capital Limited; CEB International Capital Corporation Limited; China Everbright Securities (HK) Limited; China Industrial Securities International Capital Limited; CMBC Securities Company Limited; CNI Securities Group Limited; China Sunrise Securities (International) Limited; Essence International Securities (Hong Kong) Limited; Fortune Origin Securities Limited; Futu Securities International (Hong Kong) Limited</t>
        </is>
      </c>
      <c r="BW262" s="78">
        <f>HYPERLINK("https://www1.hkexnews.hk/listedco/listconews/sehk/2024/0607/2024060700013.pdf","prospectus")</f>
        <v/>
      </c>
      <c r="BX262" s="78">
        <f>HYPERLINK("https://www1.hkexnews.hk/listedco/listconews/sehk/2024/0617/2024061701156.pdf","allotment")</f>
        <v/>
      </c>
      <c r="BY262" s="78">
        <f>HYPERLINK("https://www1.hkexnews.hk/listedco/listconews/sehk/2024/0715/2024071500250.pdf","stabilisation")</f>
        <v/>
      </c>
      <c r="BZ262" s="76" t="n"/>
      <c r="CA262" s="63" t="inlineStr">
        <is>
          <t>greenshoe: over-allotment outcome already published, and the allotment announcement does not state the stabilisation expiry in a parsable form — the expiry no longer matters once resolved · A/H: no A-share listing · market cap: AAStocks lists HK$694m at listing vs HK$513m from price x filed share count — the filed count is kept · cornerstone list: no cornerstone tranche in this deal</t>
        </is>
      </c>
    </row>
    <row r="263" ht="15" customHeight="1">
      <c r="A263" s="62" t="inlineStr">
        <is>
          <t>2559</t>
        </is>
      </c>
      <c r="B263" s="63" t="inlineStr">
        <is>
          <t>DIDA INC</t>
        </is>
      </c>
      <c r="C263" s="63" t="inlineStr">
        <is>
          <t>嘀嗒出行</t>
        </is>
      </c>
      <c r="D263" s="63" t="inlineStr">
        <is>
          <t>Tech/AI</t>
        </is>
      </c>
      <c r="E263" s="63" t="inlineStr">
        <is>
          <t>Internet platform / e-commerce</t>
        </is>
      </c>
      <c r="F263" s="63" t="inlineStr">
        <is>
          <t>Trucking</t>
        </is>
      </c>
      <c r="G263" s="63" t="inlineStr">
        <is>
          <t>Standard</t>
        </is>
      </c>
      <c r="H263" s="64" t="n">
        <v>45471</v>
      </c>
      <c r="I263" s="65" t="n">
        <v>234.5</v>
      </c>
      <c r="J263" s="63" t="inlineStr">
        <is>
          <t>gross (price x shares)</t>
        </is>
      </c>
      <c r="K263" s="66" t="n"/>
      <c r="L263" s="66" t="n">
        <v>7</v>
      </c>
      <c r="M263" s="66" t="n">
        <v>6</v>
      </c>
      <c r="N263" s="63" t="inlineStr">
        <is>
          <t>N</t>
        </is>
      </c>
      <c r="O263" s="67" t="n">
        <v>85.7</v>
      </c>
      <c r="P263" s="67" t="n"/>
      <c r="Q263" s="68" t="n">
        <v>5963.9</v>
      </c>
      <c r="R263" s="63" t="inlineStr">
        <is>
          <t>derived:price x shares upon listing</t>
        </is>
      </c>
      <c r="S263" s="69" t="n">
        <v>112.9</v>
      </c>
      <c r="T263" s="70" t="n">
        <v>1.28</v>
      </c>
      <c r="U263" s="71" t="n">
        <v>0</v>
      </c>
      <c r="V263" s="68" t="n">
        <v>234.5</v>
      </c>
      <c r="W263" s="68" t="n">
        <v>39091000</v>
      </c>
      <c r="X263" s="67" t="n">
        <v>3.93</v>
      </c>
      <c r="Y263" s="63" t="n"/>
      <c r="Z263" s="63" t="n"/>
      <c r="AA263" s="67" t="n">
        <v>15</v>
      </c>
      <c r="AB263" s="72" t="n"/>
      <c r="AC263" s="66" t="n"/>
      <c r="AD263" s="72" t="n"/>
      <c r="AE263" s="63" t="n"/>
      <c r="AF263" s="63" t="n"/>
      <c r="AG263" s="63" t="inlineStr">
        <is>
          <t>lapsed</t>
        </is>
      </c>
      <c r="AH263" s="63" t="inlineStr">
        <is>
          <t>2024-07-25</t>
        </is>
      </c>
      <c r="AI263" s="63" t="inlineStr">
        <is>
          <t>China International Capital Corporation Hong Kong Securities Limited</t>
        </is>
      </c>
      <c r="AJ263" s="63" t="inlineStr">
        <is>
          <t>China International</t>
        </is>
      </c>
      <c r="AK263" s="73" t="n">
        <v>-22.5</v>
      </c>
      <c r="AL263" s="72" t="n">
        <v>-12.83</v>
      </c>
      <c r="AM263" s="72" t="n">
        <v>-11.09</v>
      </c>
      <c r="AN263" s="72" t="n">
        <v>-51.33</v>
      </c>
      <c r="AO263" s="72" t="n">
        <v>-51.17</v>
      </c>
      <c r="AP263" s="72" t="n">
        <v>-54</v>
      </c>
      <c r="AQ263" s="72" t="n">
        <v>-37.2</v>
      </c>
      <c r="AR263" s="72" t="n">
        <v>-36.99</v>
      </c>
      <c r="AS263" s="72" t="n">
        <v>-40.65</v>
      </c>
      <c r="AT263" s="72" t="n">
        <v>-50.65</v>
      </c>
      <c r="AU263" s="72" t="n">
        <v>-46.58</v>
      </c>
      <c r="AV263" s="72" t="n">
        <v>-86.77</v>
      </c>
      <c r="AW263" s="72" t="n">
        <v>-33.22</v>
      </c>
      <c r="AX263" s="72" t="n">
        <v>-4.59</v>
      </c>
      <c r="AY263" s="72" t="n">
        <v>-3.77</v>
      </c>
      <c r="AZ263" s="63" t="inlineStr">
        <is>
          <t>HSTECH (Hang Seng TECH ETF)</t>
        </is>
      </c>
      <c r="BA263" s="72" t="n">
        <v>-84.92</v>
      </c>
      <c r="BB263" s="64" t="inlineStr">
        <is>
          <t>2026-08-28</t>
        </is>
      </c>
      <c r="BC263" s="65" t="n">
        <v>896.6</v>
      </c>
      <c r="BD263" s="68" t="n">
        <v>330.4</v>
      </c>
      <c r="BE263" s="63" t="inlineStr">
        <is>
          <t>Y</t>
        </is>
      </c>
      <c r="BF263" s="74" t="n">
        <v>18.1</v>
      </c>
      <c r="BG263" s="74" t="n"/>
      <c r="BH263" s="74" t="n">
        <v>8.800000000000001</v>
      </c>
      <c r="BI263" s="74" t="n">
        <v>6.7</v>
      </c>
      <c r="BJ263" s="75">
        <f>IF('BBG Verify'!S263="","not filed — run on terminal",'BBG Verify'!S263)</f>
        <v/>
      </c>
      <c r="BK263" s="76" t="inlineStr">
        <is>
          <t>N</t>
        </is>
      </c>
      <c r="BL263" s="77">
        <f>IF('BBG Verify'!K263="","not filed — run on terminal",'BBG Verify'!K263)</f>
        <v/>
      </c>
      <c r="BM263" s="63" t="inlineStr">
        <is>
          <t>N/A</t>
        </is>
      </c>
      <c r="BN263" s="63" t="inlineStr">
        <is>
          <t>N/A</t>
        </is>
      </c>
      <c r="BO263" s="63" t="inlineStr">
        <is>
          <t>N/A</t>
        </is>
      </c>
      <c r="BP263" s="63" t="inlineStr">
        <is>
          <t>N/A</t>
        </is>
      </c>
      <c r="BQ263" s="63" t="inlineStr">
        <is>
          <t>N/A</t>
        </is>
      </c>
      <c r="BR263" s="63" t="inlineStr">
        <is>
          <t>N/A</t>
        </is>
      </c>
      <c r="BS263" s="76" t="inlineStr">
        <is>
          <t>China International Capital Corporation Hong Kong Securities Limited; Haitong International Capital Limited; Nomura International (Hong Kong) Limited</t>
        </is>
      </c>
      <c r="BT263" s="63" t="inlineStr">
        <is>
          <t>China International Capital Corporation Hong Kong Securities Limited; Haitong International Capital Limited; Nomura International (Hong Kong) Limited</t>
        </is>
      </c>
      <c r="BU263" s="63" t="inlineStr">
        <is>
          <t>China International Capital Corporation Hong Kong Securities Limited; Haitong International Securities Company Limited; Nomura International (Hong Kong) Limited; CMBC Securities Company Limited; ABCI Capital Limited; BOCI Asia Limited; CCB International Capital Limited; China Galaxy International Securities (Hong Kong) Co., Limited; CMB International Capital Limited; ICBC International Securities Limited; Tiger Brokers (HK) Global Limited; Livermore Holdings Limited</t>
        </is>
      </c>
      <c r="BV263" s="63" t="inlineStr">
        <is>
          <t>ABCI Securities Company Limited; BOCI Asia Limited; CCB International Capital Limited; China Galaxy International Securities (Hong Kong) Company Limited; China International Capital Corporation Hong Kong Securities Limited; CMBC Securities Company Limited; CMB International Capital Limited; Futu Securities International (Hong Kong) Limited; Haitong International Securities Company Limited; ICBC International Securities Limited; Livermore Holdings Limited; Nomura International (Hong Kong) Limited</t>
        </is>
      </c>
      <c r="BW263" s="78">
        <f>HYPERLINK("https://www1.hkexnews.hk/listedco/listconews/sehk/2024/0620/2024062000015.pdf","prospectus")</f>
        <v/>
      </c>
      <c r="BX263" s="78">
        <f>HYPERLINK("https://www1.hkexnews.hk/listedco/listconews/sehk/2024/0627/2024062701882.pdf","allotment")</f>
        <v/>
      </c>
      <c r="BY263" s="78">
        <f>HYPERLINK("https://www1.hkexnews.hk/listedco/listconews/sehk/2024/0725/2024072501042.pdf","stabilisation")</f>
        <v/>
      </c>
      <c r="BZ263" s="76" t="n"/>
      <c r="CA263" s="63" t="inlineStr">
        <is>
          <t>range low: cap-only pricing — the filing publishes a Maximum Offer Price and no indicative floor · A/H: no A-share listing · cornerstone list: no cornerstone tranche in this deal · grey market: no grey-market headline on file for this deal — AAStocks publishes one per listing but keeps only recent items on the stock's news page, and no public archive of past evening sessions exists; captured from this run onward</t>
        </is>
      </c>
    </row>
    <row r="264" ht="15" customHeight="1">
      <c r="A264" s="62" t="inlineStr">
        <is>
          <t>2479</t>
        </is>
      </c>
      <c r="B264" s="63" t="inlineStr">
        <is>
          <t>TIANJUDIHE</t>
        </is>
      </c>
      <c r="C264" s="63" t="inlineStr">
        <is>
          <t>天聚地合</t>
        </is>
      </c>
      <c r="D264" s="63" t="inlineStr">
        <is>
          <t>Tech/AI</t>
        </is>
      </c>
      <c r="E264" s="63" t="inlineStr">
        <is>
          <t>SaaS / enterprise software</t>
        </is>
      </c>
      <c r="F264" s="63" t="inlineStr">
        <is>
          <t>Systems Software</t>
        </is>
      </c>
      <c r="G264" s="63" t="inlineStr">
        <is>
          <t>Standard</t>
        </is>
      </c>
      <c r="H264" s="64" t="n">
        <v>45471</v>
      </c>
      <c r="I264" s="65" t="n">
        <v>401.5</v>
      </c>
      <c r="J264" s="63" t="inlineStr">
        <is>
          <t>gross (price x shares)</t>
        </is>
      </c>
      <c r="K264" s="66" t="n"/>
      <c r="L264" s="66" t="n">
        <v>83.33</v>
      </c>
      <c r="M264" s="66" t="n">
        <v>83.33</v>
      </c>
      <c r="N264" s="63" t="inlineStr">
        <is>
          <t>Y</t>
        </is>
      </c>
      <c r="O264" s="67" t="n">
        <v>100</v>
      </c>
      <c r="P264" s="67" t="n"/>
      <c r="Q264" s="68" t="n">
        <v>4176.3</v>
      </c>
      <c r="R264" s="63" t="inlineStr">
        <is>
          <t>derived:price x shares upon listing</t>
        </is>
      </c>
      <c r="S264" s="69" t="n">
        <v>602.87</v>
      </c>
      <c r="T264" s="79">
        <f>IF('BBG Verify'!E264="","not filed — run on terminal",'BBG Verify'!E264)</f>
        <v/>
      </c>
      <c r="U264" s="71" t="n">
        <v>79.62</v>
      </c>
      <c r="V264" s="68" t="n">
        <v>81.83</v>
      </c>
      <c r="W264" s="68" t="n">
        <v>981949</v>
      </c>
      <c r="X264" s="67" t="n">
        <v>1.96</v>
      </c>
      <c r="Y264" s="63" t="inlineStr">
        <is>
          <t>Gold Wings Holdings Limited; Reynold Lemkins Group (Asia) Limited; Suzhou Harvest International Co., Limited</t>
        </is>
      </c>
      <c r="Z264" s="63" t="inlineStr">
        <is>
          <t>gold;reynold;suzhou</t>
        </is>
      </c>
      <c r="AA264" s="67" t="n"/>
      <c r="AB264" s="72" t="n">
        <v>32.6</v>
      </c>
      <c r="AC264" s="66" t="n">
        <v>110.5</v>
      </c>
      <c r="AD264" s="72" t="n">
        <v>-45.57</v>
      </c>
      <c r="AE264" s="63" t="inlineStr">
        <is>
          <t>N</t>
        </is>
      </c>
      <c r="AF264" s="63" t="inlineStr">
        <is>
          <t>2024-06-28</t>
        </is>
      </c>
      <c r="AG264" s="63" t="n"/>
      <c r="AH264" s="63" t="n"/>
      <c r="AI264" s="63" t="n"/>
      <c r="AJ264" s="63" t="n"/>
      <c r="AK264" s="73" t="n">
        <v>-27.82</v>
      </c>
      <c r="AL264" s="72" t="n">
        <v>35.61</v>
      </c>
      <c r="AM264" s="72" t="n">
        <v>-46.77</v>
      </c>
      <c r="AN264" s="72" t="n">
        <v>-22</v>
      </c>
      <c r="AO264" s="72" t="n">
        <v>-12.4</v>
      </c>
      <c r="AP264" s="72" t="n">
        <v>-23.14</v>
      </c>
      <c r="AQ264" s="72" t="n">
        <v>8.06</v>
      </c>
      <c r="AR264" s="72" t="n">
        <v>21.36</v>
      </c>
      <c r="AS264" s="72" t="n">
        <v>6.48</v>
      </c>
      <c r="AT264" s="72" t="n">
        <v>-21.32</v>
      </c>
      <c r="AU264" s="72" t="n">
        <v>-7.81</v>
      </c>
      <c r="AV264" s="72" t="n">
        <v>-55.91</v>
      </c>
      <c r="AW264" s="72" t="n">
        <v>25.13</v>
      </c>
      <c r="AX264" s="72" t="n">
        <v>-4.59</v>
      </c>
      <c r="AY264" s="72" t="n">
        <v>-3.77</v>
      </c>
      <c r="AZ264" s="63" t="inlineStr">
        <is>
          <t>HSTECH (Hang Seng TECH ETF)</t>
        </is>
      </c>
      <c r="BA264" s="72" t="n">
        <v>-22</v>
      </c>
      <c r="BB264" s="64" t="inlineStr">
        <is>
          <t>2026-08-28</t>
        </is>
      </c>
      <c r="BC264" s="65" t="n">
        <v>485.2</v>
      </c>
      <c r="BD264" s="68" t="n">
        <v>38.6</v>
      </c>
      <c r="BE264" s="63" t="inlineStr">
        <is>
          <t>Y</t>
        </is>
      </c>
      <c r="BF264" s="74" t="n">
        <v>108.2</v>
      </c>
      <c r="BG264" s="74" t="n">
        <v>72.7</v>
      </c>
      <c r="BH264" s="74" t="n">
        <v>72.5</v>
      </c>
      <c r="BI264" s="74" t="n">
        <v>8.6</v>
      </c>
      <c r="BJ264" s="75">
        <f>IF('BBG Verify'!S264="","not filed — run on terminal",'BBG Verify'!S264)</f>
        <v/>
      </c>
      <c r="BK264" s="76" t="inlineStr">
        <is>
          <t>N</t>
        </is>
      </c>
      <c r="BL264" s="77">
        <f>IF('BBG Verify'!K264="","not filed — run on terminal",'BBG Verify'!K264)</f>
        <v/>
      </c>
      <c r="BM264" s="63" t="inlineStr">
        <is>
          <t>N/A</t>
        </is>
      </c>
      <c r="BN264" s="63" t="inlineStr">
        <is>
          <t>N/A</t>
        </is>
      </c>
      <c r="BO264" s="63" t="inlineStr">
        <is>
          <t>N/A</t>
        </is>
      </c>
      <c r="BP264" s="63" t="inlineStr">
        <is>
          <t>N/A</t>
        </is>
      </c>
      <c r="BQ264" s="63" t="inlineStr">
        <is>
          <t>N/A</t>
        </is>
      </c>
      <c r="BR264" s="63" t="inlineStr">
        <is>
          <t>N/A</t>
        </is>
      </c>
      <c r="BS264" s="76" t="inlineStr">
        <is>
          <t>CITIC Securities (Hong Kong) Limited</t>
        </is>
      </c>
      <c r="BT264" s="63" t="inlineStr">
        <is>
          <t>CITIC Securities (Hong Kong) Limited</t>
        </is>
      </c>
      <c r="BU264" s="63" t="inlineStr">
        <is>
          <t>CLSA Limited; CMB International Capital Limited; ABCI Capital Limited; Soochow Securities International Brokerage Limited; CCB International Capital Limited; SPDB International Capital Limited; Livermore Holdings Limited; Futu Securities International (Hong Kong) Limited; Tiger Brokers (HK) Global Limited</t>
        </is>
      </c>
      <c r="BV264" s="63" t="inlineStr">
        <is>
          <t>ABCI Securities Company Limited; CCB International Capital Limited; CLSA Limited; CMB International Capital Limited; Futu Securities International (Hong Kong) Limited; ICBC International Securities Limited; Livermore Holdings Limited; SPDB International Capital Limited; Soochow Securities International Brokerage Limited; Tiger Brokers (HK) Global Limited</t>
        </is>
      </c>
      <c r="BW264" s="78">
        <f>HYPERLINK("https://www1.hkexnews.hk/listedco/listconews/sehk/2024/0620/2024062000191.pdf","prospectus")</f>
        <v/>
      </c>
      <c r="BX264" s="78">
        <f>HYPERLINK("https://www1.hkexnews.hk/listedco/listconews/sehk/2024/0627/2024062702312.pdf","allotment")</f>
        <v/>
      </c>
      <c r="BY264" s="63" t="n"/>
      <c r="BZ264" s="76" t="n"/>
      <c r="CA264" s="63" t="inlineStr">
        <is>
          <t>intl sub: parsed 0.99x rejected — implausible for a deal struck at the cap with the public tranche 603x subscribed (a percentage read as a multiple); BBG Verify CP037 fills this on the terminal · greenshoe: no over-allotment option in the offer structure · range low: cap-only pricing — the filing publishes a Maximum Offer Price and no indicative floor · A/H: no A-share listing · greenshoe size: no over-allotment option in the offer structure · stabilising manager: the filing states no stabilising manager will be appointed — a filed fact, not an extraction gap (allotment announcement: 'no stabilizing manager will be appointed' stated in the filing)</t>
        </is>
      </c>
    </row>
    <row r="265" ht="15" customHeight="1">
      <c r="A265" s="62" t="inlineStr">
        <is>
          <t>6181</t>
        </is>
      </c>
      <c r="B265" s="63" t="inlineStr">
        <is>
          <t>LAOPU GOLD</t>
        </is>
      </c>
      <c r="C265" s="63" t="inlineStr">
        <is>
          <t>老鋪黃金</t>
        </is>
      </c>
      <c r="D265" s="63" t="inlineStr">
        <is>
          <t>Consumer</t>
        </is>
      </c>
      <c r="E265" s="63" t="inlineStr">
        <is>
          <t>Apparel / luxury</t>
        </is>
      </c>
      <c r="F265" s="63" t="inlineStr">
        <is>
          <t>Watch &amp; Jewellery</t>
        </is>
      </c>
      <c r="G265" s="63" t="inlineStr">
        <is>
          <t>Standard</t>
        </is>
      </c>
      <c r="H265" s="64" t="n">
        <v>45471</v>
      </c>
      <c r="I265" s="65" t="n">
        <v>905.9</v>
      </c>
      <c r="J265" s="63" t="inlineStr">
        <is>
          <t>gross (price x shares)</t>
        </is>
      </c>
      <c r="K265" s="66" t="n"/>
      <c r="L265" s="66" t="n">
        <v>40.5</v>
      </c>
      <c r="M265" s="66" t="n">
        <v>40.5</v>
      </c>
      <c r="N265" s="63" t="inlineStr">
        <is>
          <t>Y</t>
        </is>
      </c>
      <c r="O265" s="67" t="n">
        <v>100</v>
      </c>
      <c r="P265" s="67" t="n"/>
      <c r="Q265" s="68" t="n">
        <v>6683</v>
      </c>
      <c r="R265" s="63" t="inlineStr">
        <is>
          <t>derived:price x shares upon listing</t>
        </is>
      </c>
      <c r="S265" s="69" t="n">
        <v>582.15</v>
      </c>
      <c r="T265" s="70" t="n">
        <v>11.9</v>
      </c>
      <c r="U265" s="71" t="n">
        <v>55.53</v>
      </c>
      <c r="V265" s="68" t="n">
        <v>402.85</v>
      </c>
      <c r="W265" s="68" t="n">
        <v>9947450</v>
      </c>
      <c r="X265" s="67" t="n">
        <v>6.03</v>
      </c>
      <c r="Y265" s="63" t="inlineStr">
        <is>
          <t>China Southern Asset Management Co., Ltd; CPE Greater China Enterprises Growth Fund; Huang River Investment Limited</t>
        </is>
      </c>
      <c r="Z265" s="63" t="inlineStr">
        <is>
          <t>southern;cpe;huang-river</t>
        </is>
      </c>
      <c r="AA265" s="67" t="n">
        <v>15</v>
      </c>
      <c r="AB265" s="72" t="n"/>
      <c r="AC265" s="66" t="n"/>
      <c r="AD265" s="72" t="n"/>
      <c r="AE265" s="63" t="n"/>
      <c r="AF265" s="63" t="n"/>
      <c r="AG265" s="63" t="inlineStr">
        <is>
          <t>full</t>
        </is>
      </c>
      <c r="AH265" s="63" t="inlineStr">
        <is>
          <t>2024-07-25</t>
        </is>
      </c>
      <c r="AI265" s="63" t="inlineStr">
        <is>
          <t>China Securities</t>
        </is>
      </c>
      <c r="AJ265" s="63" t="inlineStr">
        <is>
          <t>China Securities</t>
        </is>
      </c>
      <c r="AK265" s="73" t="n">
        <v>72.84</v>
      </c>
      <c r="AL265" s="72" t="n">
        <v>59.26</v>
      </c>
      <c r="AM265" s="72" t="n">
        <v>8.529999999999999</v>
      </c>
      <c r="AN265" s="72" t="n">
        <v>110.37</v>
      </c>
      <c r="AO265" s="72" t="n">
        <v>104.94</v>
      </c>
      <c r="AP265" s="72" t="n">
        <v>262.96</v>
      </c>
      <c r="AQ265" s="72" t="n">
        <v>21.71</v>
      </c>
      <c r="AR265" s="72" t="n">
        <v>18.57</v>
      </c>
      <c r="AS265" s="72" t="n">
        <v>110</v>
      </c>
      <c r="AT265" s="72" t="n">
        <v>109.67</v>
      </c>
      <c r="AU265" s="72" t="n">
        <v>109.15</v>
      </c>
      <c r="AV265" s="72" t="n">
        <v>239.17</v>
      </c>
      <c r="AW265" s="72" t="n">
        <v>22.62</v>
      </c>
      <c r="AX265" s="72" t="n">
        <v>-4.21</v>
      </c>
      <c r="AY265" s="72" t="n">
        <v>-4.05</v>
      </c>
      <c r="AZ265" s="63" t="inlineStr">
        <is>
          <t>Hang Seng Commerce &amp; Industry sub-index</t>
        </is>
      </c>
      <c r="BA265" s="72" t="n">
        <v>911.36</v>
      </c>
      <c r="BB265" s="64" t="inlineStr">
        <is>
          <t>2026-08-28</t>
        </is>
      </c>
      <c r="BC265" s="65" t="n">
        <v>3497.5</v>
      </c>
      <c r="BD265" s="68" t="n">
        <v>125.3</v>
      </c>
      <c r="BE265" s="63" t="inlineStr">
        <is>
          <t>Y</t>
        </is>
      </c>
      <c r="BF265" s="74" t="n">
        <v>53.3</v>
      </c>
      <c r="BG265" s="74" t="n"/>
      <c r="BH265" s="74" t="n">
        <v>10.6</v>
      </c>
      <c r="BI265" s="74" t="n">
        <v>1.9</v>
      </c>
      <c r="BJ265" s="75">
        <f>IF('BBG Verify'!S265="","not filed — run on terminal",'BBG Verify'!S265)</f>
        <v/>
      </c>
      <c r="BK265" s="76" t="inlineStr">
        <is>
          <t>N</t>
        </is>
      </c>
      <c r="BL265" s="77">
        <f>IF('BBG Verify'!K265="","not filed — run on terminal",'BBG Verify'!K265)</f>
        <v/>
      </c>
      <c r="BM265" s="63" t="inlineStr">
        <is>
          <t>N/A</t>
        </is>
      </c>
      <c r="BN265" s="63" t="inlineStr">
        <is>
          <t>N/A</t>
        </is>
      </c>
      <c r="BO265" s="63" t="inlineStr">
        <is>
          <t>N/A</t>
        </is>
      </c>
      <c r="BP265" s="63" t="inlineStr">
        <is>
          <t>N/A</t>
        </is>
      </c>
      <c r="BQ265" s="63" t="inlineStr">
        <is>
          <t>N/A</t>
        </is>
      </c>
      <c r="BR265" s="63" t="inlineStr">
        <is>
          <t>N/A</t>
        </is>
      </c>
      <c r="BS265" s="76" t="inlineStr">
        <is>
          <t>China Securities (International) Corporate Finance Company Limited</t>
        </is>
      </c>
      <c r="BT265" s="63" t="inlineStr">
        <is>
          <t>China Securities (International) Corporate Finance Company Limited</t>
        </is>
      </c>
      <c r="BU265" s="63" t="inlineStr">
        <is>
          <t>China Securities (International) Corporate Finance Company Limited; CCB International Capital Limited; BOCOM International Securities Limited</t>
        </is>
      </c>
      <c r="BV265" s="63" t="inlineStr">
        <is>
          <t>BOCOM International Securities Limited; CCB International Capital Limited; China Securities (International) Corporate Finance Company Limited; Tiger Brokers (HK) Global Limited</t>
        </is>
      </c>
      <c r="BW265" s="78">
        <f>HYPERLINK("https://www1.hkexnews.hk/listedco/listconews/sehk/2024/0620/2024062000017.pdf","prospectus")</f>
        <v/>
      </c>
      <c r="BX265" s="78">
        <f>HYPERLINK("https://www1.hkexnews.hk/listedco/listconews/sehk/2024/0627/2024062702334.pdf","allotment")</f>
        <v/>
      </c>
      <c r="BY265" s="78">
        <f>HYPERLINK("https://www1.hkexnews.hk/listedco/listconews/sehk/2024/0725/2024072501435.pdf","stabilisation")</f>
        <v/>
      </c>
      <c r="BZ265" s="76" t="n"/>
      <c r="CA265" s="63" t="inlineStr">
        <is>
          <t>range low: cap-only pricing — the filing publishes a Maximum Offer Price and no indicative floor · A/H: no A line; closest listed proxy {'code': '002345.SZ', 'name': 'Chow Hong Ji (CHJ Jewellery)', 'rationale': "A-listed fashion/heritage gold jewellery brand with craftsmanship positioning — nearest to Laopu's ancient-gold premium retail model (large-cap alternative: Lao Feng Xiang 600612.SS)."} · grey market: no grey-market headline on file for this deal — AAStocks publishes one per listing but keeps only recent items on the stock's news page, and no public archive of past evening sessions exists; captured from this run onward</t>
        </is>
      </c>
    </row>
    <row r="266" ht="15" customHeight="1">
      <c r="A266" s="62" t="inlineStr">
        <is>
          <t>2545</t>
        </is>
      </c>
      <c r="B266" s="63" t="inlineStr">
        <is>
          <t>ZHONGGAN COMM</t>
        </is>
      </c>
      <c r="C266" s="63" t="inlineStr">
        <is>
          <t>中贛通信</t>
        </is>
      </c>
      <c r="D266" s="63" t="inlineStr">
        <is>
          <t>TMT-other</t>
        </is>
      </c>
      <c r="E266" s="63" t="inlineStr">
        <is>
          <t>Telecom</t>
        </is>
      </c>
      <c r="F266" s="63" t="inlineStr">
        <is>
          <t>Telecommunications &amp; Networking Equipment</t>
        </is>
      </c>
      <c r="G266" s="63" t="inlineStr">
        <is>
          <t>Standard</t>
        </is>
      </c>
      <c r="H266" s="64" t="n">
        <v>45476</v>
      </c>
      <c r="I266" s="65" t="n">
        <v>200</v>
      </c>
      <c r="J266" s="63" t="inlineStr">
        <is>
          <t>gross (price x shares)</t>
        </is>
      </c>
      <c r="K266" s="66" t="n">
        <v>1.13</v>
      </c>
      <c r="L266" s="66" t="n">
        <v>1.25</v>
      </c>
      <c r="M266" s="66" t="n">
        <v>1.25</v>
      </c>
      <c r="N266" s="63" t="inlineStr">
        <is>
          <t>Y</t>
        </is>
      </c>
      <c r="O266" s="67" t="n">
        <v>100</v>
      </c>
      <c r="P266" s="67" t="n">
        <v>100</v>
      </c>
      <c r="Q266" s="68" t="n">
        <v>800</v>
      </c>
      <c r="R266" s="63" t="inlineStr">
        <is>
          <t>derived:price x shares upon listing</t>
        </is>
      </c>
      <c r="S266" s="69" t="n">
        <v>195.99</v>
      </c>
      <c r="T266" s="70" t="n">
        <v>1.5</v>
      </c>
      <c r="U266" s="71" t="n">
        <v>0</v>
      </c>
      <c r="V266" s="68" t="n">
        <v>200</v>
      </c>
      <c r="W266" s="68" t="n">
        <v>160000000</v>
      </c>
      <c r="X266" s="67" t="n">
        <v>25</v>
      </c>
      <c r="Y266" s="63" t="n"/>
      <c r="Z266" s="63" t="n"/>
      <c r="AA266" s="67" t="n">
        <v>15</v>
      </c>
      <c r="AB266" s="72" t="n">
        <v>-38.4</v>
      </c>
      <c r="AC266" s="66" t="n">
        <v>0.77</v>
      </c>
      <c r="AD266" s="72" t="n">
        <v>-12.99</v>
      </c>
      <c r="AE266" s="63" t="inlineStr">
        <is>
          <t>Y</t>
        </is>
      </c>
      <c r="AF266" s="63" t="inlineStr">
        <is>
          <t>2024-07-03</t>
        </is>
      </c>
      <c r="AG266" s="63" t="inlineStr">
        <is>
          <t>lapsed (no over-allocation)</t>
        </is>
      </c>
      <c r="AH266" s="63" t="inlineStr">
        <is>
          <t>2024-07-27</t>
        </is>
      </c>
      <c r="AI266" s="63" t="inlineStr">
        <is>
          <t>Zhongtai Internati onal Securities Limited</t>
        </is>
      </c>
      <c r="AJ266" s="63" t="inlineStr">
        <is>
          <t>Zhongtai Internati</t>
        </is>
      </c>
      <c r="AK266" s="73" t="n">
        <v>-46.4</v>
      </c>
      <c r="AL266" s="72" t="n">
        <v>-39.2</v>
      </c>
      <c r="AM266" s="72" t="n">
        <v>-11.84</v>
      </c>
      <c r="AN266" s="72" t="n">
        <v>-63.6</v>
      </c>
      <c r="AO266" s="72" t="n">
        <v>-65.59999999999999</v>
      </c>
      <c r="AP266" s="72" t="n">
        <v>-68.40000000000001</v>
      </c>
      <c r="AQ266" s="72" t="n">
        <v>-32.09</v>
      </c>
      <c r="AR266" s="72" t="n">
        <v>-35.82</v>
      </c>
      <c r="AS266" s="72" t="n">
        <v>-41.04</v>
      </c>
      <c r="AT266" s="72" t="n">
        <v>-61.93</v>
      </c>
      <c r="AU266" s="72" t="n">
        <v>-62.99</v>
      </c>
      <c r="AV266" s="72" t="n">
        <v>-92.84999999999999</v>
      </c>
      <c r="AW266" s="72" t="n">
        <v>-32.07</v>
      </c>
      <c r="AX266" s="72" t="n">
        <v>-2.61</v>
      </c>
      <c r="AY266" s="72" t="n">
        <v>-3.75</v>
      </c>
      <c r="AZ266" s="63" t="inlineStr">
        <is>
          <t>Hang Seng Index</t>
        </is>
      </c>
      <c r="BA266" s="72" t="n">
        <v>-65.59999999999999</v>
      </c>
      <c r="BB266" s="64" t="inlineStr">
        <is>
          <t>2026-08-28</t>
        </is>
      </c>
      <c r="BC266" s="65" t="n">
        <v>454.4</v>
      </c>
      <c r="BD266" s="68" t="n">
        <v>75.5</v>
      </c>
      <c r="BE266" s="63" t="inlineStr">
        <is>
          <t>Y</t>
        </is>
      </c>
      <c r="BF266" s="74" t="n">
        <v>10.6</v>
      </c>
      <c r="BG266" s="74" t="n"/>
      <c r="BH266" s="74" t="n">
        <v>23.7</v>
      </c>
      <c r="BI266" s="74" t="n">
        <v>1.8</v>
      </c>
      <c r="BJ266" s="75">
        <f>IF('BBG Verify'!S266="","not filed — run on terminal",'BBG Verify'!S266)</f>
        <v/>
      </c>
      <c r="BK266" s="76" t="inlineStr">
        <is>
          <t>N</t>
        </is>
      </c>
      <c r="BL266" s="77">
        <f>IF('BBG Verify'!K266="","not filed — run on terminal",'BBG Verify'!K266)</f>
        <v/>
      </c>
      <c r="BM266" s="63" t="inlineStr">
        <is>
          <t>N/A</t>
        </is>
      </c>
      <c r="BN266" s="63" t="inlineStr">
        <is>
          <t>N/A</t>
        </is>
      </c>
      <c r="BO266" s="63" t="inlineStr">
        <is>
          <t>N/A</t>
        </is>
      </c>
      <c r="BP266" s="63" t="inlineStr">
        <is>
          <t>N/A</t>
        </is>
      </c>
      <c r="BQ266" s="63" t="inlineStr">
        <is>
          <t>N/A</t>
        </is>
      </c>
      <c r="BR266" s="63" t="inlineStr">
        <is>
          <t>N/A</t>
        </is>
      </c>
      <c r="BS266" s="76" t="inlineStr">
        <is>
          <t>Zhongtai International Capital Limited</t>
        </is>
      </c>
      <c r="BT266" s="63" t="inlineStr">
        <is>
          <t>Zhongtai International Capital Limited</t>
        </is>
      </c>
      <c r="BU266" s="63" t="inlineStr">
        <is>
          <t>Zhongtai International Securities Limited; CCB International Capital Limited; CMB International Capital Limited; ABCI Capital Limited; ICBC International Securities Limited; CMBC Securities Company Limited; China Sunrise Securities (International) Limited</t>
        </is>
      </c>
      <c r="BV266" s="63" t="inlineStr">
        <is>
          <t>ABCI Securities Company Limited; BOCOM International Securities Limited; CCB International Capital Limited; CMBC Securities Company Limited; CMB International Capital Limited; China Sunrise Securities (International) Limited; First Shanghai Securities Limited; Futu Securities International (Hong Kong) Limited; ICBC International Securities Limited; Livermore Holdings Limited; Patrons Securities Limited; Tiger Brokers (HK) Global Limited</t>
        </is>
      </c>
      <c r="BW266" s="78">
        <f>HYPERLINK("https://www1.hkexnews.hk/listedco/listconews/sehk/2024/0621/2024062100099.pdf","prospectus")</f>
        <v/>
      </c>
      <c r="BX266" s="78">
        <f>HYPERLINK("https://www1.hkexnews.hk/listedco/listconews/sehk/2024/0702/2024070203581.pdf","allotment")</f>
        <v/>
      </c>
      <c r="BY266" s="78">
        <f>HYPERLINK("https://www1.hkexnews.hk/listedco/listconews/sehk/2024/0729/2024072900518.pdf","stabilisation")</f>
        <v/>
      </c>
      <c r="BZ266" s="76" t="n"/>
      <c r="CA266" s="63" t="inlineStr">
        <is>
          <t>A/H: no A-share listing · cornerstone list: no cornerstone tranche in this deal</t>
        </is>
      </c>
    </row>
    <row r="267" ht="15" customHeight="1">
      <c r="A267" s="62" t="inlineStr">
        <is>
          <t>1354</t>
        </is>
      </c>
      <c r="B267" s="63" t="inlineStr">
        <is>
          <t>KINGFARPROPERTY</t>
        </is>
      </c>
      <c r="C267" s="63" t="inlineStr">
        <is>
          <t>經發物業</t>
        </is>
      </c>
      <c r="D267" s="63" t="inlineStr">
        <is>
          <t>Real Estate</t>
        </is>
      </c>
      <c r="E267" s="63" t="inlineStr">
        <is>
          <t>Property management</t>
        </is>
      </c>
      <c r="F267" s="63" t="inlineStr">
        <is>
          <t>Property Service and Management</t>
        </is>
      </c>
      <c r="G267" s="63" t="inlineStr">
        <is>
          <t>Standard</t>
        </is>
      </c>
      <c r="H267" s="64" t="n">
        <v>45476</v>
      </c>
      <c r="I267" s="65" t="n">
        <v>125</v>
      </c>
      <c r="J267" s="63" t="inlineStr">
        <is>
          <t>gross (price x shares)</t>
        </is>
      </c>
      <c r="K267" s="66" t="n">
        <v>7.5</v>
      </c>
      <c r="L267" s="66" t="n">
        <v>9.300000000000001</v>
      </c>
      <c r="M267" s="66" t="n">
        <v>7.5</v>
      </c>
      <c r="N267" s="63" t="inlineStr">
        <is>
          <t>N</t>
        </is>
      </c>
      <c r="O267" s="67" t="n">
        <v>80.59999999999999</v>
      </c>
      <c r="P267" s="67" t="n">
        <v>0</v>
      </c>
      <c r="Q267" s="68" t="n">
        <v>500</v>
      </c>
      <c r="R267" s="63" t="inlineStr">
        <is>
          <t>derived:price x shares upon listing</t>
        </is>
      </c>
      <c r="S267" s="69" t="n">
        <v>118.87</v>
      </c>
      <c r="T267" s="70" t="n">
        <v>0.98</v>
      </c>
      <c r="U267" s="71" t="n">
        <v>43.05</v>
      </c>
      <c r="V267" s="68" t="n">
        <v>71.19</v>
      </c>
      <c r="W267" s="68" t="n">
        <v>9491743</v>
      </c>
      <c r="X267" s="67" t="n">
        <v>14.24</v>
      </c>
      <c r="Y267" s="63" t="inlineStr">
        <is>
          <t>Xian Dingzhun Education and Technology Co., Ltd; Xian Tianbo Diagnostics Co., Ltd</t>
        </is>
      </c>
      <c r="Z267" s="63" t="inlineStr">
        <is>
          <t>xian</t>
        </is>
      </c>
      <c r="AA267" s="67" t="n">
        <v>10.8</v>
      </c>
      <c r="AB267" s="72" t="n">
        <v>0.3</v>
      </c>
      <c r="AC267" s="66" t="n">
        <v>7.52</v>
      </c>
      <c r="AD267" s="72" t="n">
        <v>-11.73</v>
      </c>
      <c r="AE267" s="63" t="inlineStr">
        <is>
          <t>N</t>
        </is>
      </c>
      <c r="AF267" s="63" t="inlineStr">
        <is>
          <t>2024-07-03</t>
        </is>
      </c>
      <c r="AG267" s="63" t="inlineStr">
        <is>
          <t>lapsed (no over-allocation)</t>
        </is>
      </c>
      <c r="AH267" s="63" t="n"/>
      <c r="AI267" s="63" t="inlineStr">
        <is>
          <t>CEB International Capital Corporation Limited</t>
        </is>
      </c>
      <c r="AJ267" s="63" t="inlineStr">
        <is>
          <t>CEB</t>
        </is>
      </c>
      <c r="AK267" s="73" t="n">
        <v>-11.47</v>
      </c>
      <c r="AL267" s="72" t="n">
        <v>2</v>
      </c>
      <c r="AM267" s="72" t="n">
        <v>-13.21</v>
      </c>
      <c r="AN267" s="72" t="n">
        <v>-24</v>
      </c>
      <c r="AO267" s="72" t="n">
        <v>26.13</v>
      </c>
      <c r="AP267" s="72" t="n">
        <v>168</v>
      </c>
      <c r="AQ267" s="72" t="n">
        <v>-14.15</v>
      </c>
      <c r="AR267" s="72" t="n">
        <v>42.47</v>
      </c>
      <c r="AS267" s="72" t="n">
        <v>202.72</v>
      </c>
      <c r="AT267" s="72" t="n">
        <v>-21.92</v>
      </c>
      <c r="AU267" s="72" t="n">
        <v>28.97</v>
      </c>
      <c r="AV267" s="72" t="n">
        <v>140.96</v>
      </c>
      <c r="AW267" s="72" t="n">
        <v>47.19</v>
      </c>
      <c r="AX267" s="72" t="n">
        <v>-2.84</v>
      </c>
      <c r="AY267" s="72" t="n">
        <v>-4.72</v>
      </c>
      <c r="AZ267" s="63" t="inlineStr">
        <is>
          <t>Hang Seng Properties sub-index</t>
        </is>
      </c>
      <c r="BA267" s="72" t="n">
        <v>-61.27</v>
      </c>
      <c r="BB267" s="64" t="inlineStr">
        <is>
          <t>2026-08-28</t>
        </is>
      </c>
      <c r="BC267" s="65" t="n">
        <v>948.5</v>
      </c>
      <c r="BD267" s="68" t="n">
        <v>56.1</v>
      </c>
      <c r="BE267" s="63" t="inlineStr">
        <is>
          <t>Y</t>
        </is>
      </c>
      <c r="BF267" s="74" t="n">
        <v>8.9</v>
      </c>
      <c r="BG267" s="74" t="n"/>
      <c r="BH267" s="74" t="n">
        <v>1.8</v>
      </c>
      <c r="BI267" s="74" t="n">
        <v>0.5</v>
      </c>
      <c r="BJ267" s="75">
        <f>IF('BBG Verify'!S267="","not filed — run on terminal",'BBG Verify'!S267)</f>
        <v/>
      </c>
      <c r="BK267" s="76" t="inlineStr">
        <is>
          <t>N</t>
        </is>
      </c>
      <c r="BL267" s="77">
        <f>IF('BBG Verify'!K267="","not filed — run on terminal",'BBG Verify'!K267)</f>
        <v/>
      </c>
      <c r="BM267" s="63" t="inlineStr">
        <is>
          <t>N/A</t>
        </is>
      </c>
      <c r="BN267" s="63" t="inlineStr">
        <is>
          <t>N/A</t>
        </is>
      </c>
      <c r="BO267" s="63" t="inlineStr">
        <is>
          <t>N/A</t>
        </is>
      </c>
      <c r="BP267" s="63" t="inlineStr">
        <is>
          <t>N/A</t>
        </is>
      </c>
      <c r="BQ267" s="63" t="inlineStr">
        <is>
          <t>N/A</t>
        </is>
      </c>
      <c r="BR267" s="63" t="inlineStr">
        <is>
          <t>N/A</t>
        </is>
      </c>
      <c r="BS267" s="76" t="inlineStr">
        <is>
          <t>CEB International Capital Corporation Limited</t>
        </is>
      </c>
      <c r="BT267" s="63" t="inlineStr">
        <is>
          <t>CEB International Capital Corporation Limited</t>
        </is>
      </c>
      <c r="BU267" s="63" t="inlineStr">
        <is>
          <t>CEB International Capital Corporation Limited; CMB International Capital Limited; CCB International Capital Limited; ABCI Capital Limited; ICBC International Securities Limited; CMBC Securities Company Limited; China Everbright Securities (HK) Limited; Zhongtai International Securities Limited; China Galaxy International Securities (Hong Kong) Co., Limited; Cinda International Capital Limited; Tiger Brokers (HK) Global Limited; Futu Securities International (Hong Kong) Limited</t>
        </is>
      </c>
      <c r="BV267" s="63" t="inlineStr">
        <is>
          <t>ABCI Securities Company Limited; Aristo Securities Limited; CCB International Capital Limited; CEB International Capital Corporation Limited; China Everbright Securities (HK) Limited; China Galaxy International Securities (Hong Kong) Company Limited; Cinda International Capital Limited; CMBC Securities Company Limited; CMB International Capital Limited; Futu Securities International (Hong Kong) Limited; ICBC International Securities Limited; Livermore Holdings Limited</t>
        </is>
      </c>
      <c r="BW267" s="78">
        <f>HYPERLINK("https://www1.hkexnews.hk/listedco/listconews/sehk/2024/0624/2024062400007.pdf","prospectus")</f>
        <v/>
      </c>
      <c r="BX267" s="78">
        <f>HYPERLINK("https://www1.hkexnews.hk/listedco/listconews/sehk/2024/0702/2024070203671.pdf","allotment")</f>
        <v/>
      </c>
      <c r="BY267" s="78">
        <f>HYPERLINK("https://www1.hkexnews.hk/listedco/listconews/sehk/2024/0729/2024072900434.pdf","stabilisation")</f>
        <v/>
      </c>
      <c r="BZ267" s="76" t="n"/>
      <c r="CA267" s="63" t="inlineStr">
        <is>
          <t>greenshoe: over-allotment outcome already published, and the allotment announcement does not state the stabilisation expiry in a parsable form — the expiry no longer matters once resolved · A/H: no A-share listing</t>
        </is>
      </c>
    </row>
    <row r="268" ht="15" customHeight="1">
      <c r="A268" s="62" t="inlineStr">
        <is>
          <t>6657</t>
        </is>
      </c>
      <c r="B268" s="63" t="inlineStr">
        <is>
          <t>BAIWANG CO</t>
        </is>
      </c>
      <c r="C268" s="63" t="inlineStr">
        <is>
          <t>百望股份</t>
        </is>
      </c>
      <c r="D268" s="63" t="inlineStr">
        <is>
          <t>Tech/AI</t>
        </is>
      </c>
      <c r="E268" s="63" t="inlineStr">
        <is>
          <t>SaaS / enterprise software</t>
        </is>
      </c>
      <c r="F268" s="63" t="inlineStr">
        <is>
          <t>Systems Software</t>
        </is>
      </c>
      <c r="G268" s="63" t="inlineStr">
        <is>
          <t>Standard</t>
        </is>
      </c>
      <c r="H268" s="64" t="n">
        <v>45482</v>
      </c>
      <c r="I268" s="65" t="n">
        <v>333.4</v>
      </c>
      <c r="J268" s="63" t="inlineStr">
        <is>
          <t>gross (price x shares)</t>
        </is>
      </c>
      <c r="K268" s="66" t="n">
        <v>36</v>
      </c>
      <c r="L268" s="66" t="n">
        <v>40</v>
      </c>
      <c r="M268" s="66" t="n">
        <v>36</v>
      </c>
      <c r="N268" s="63" t="inlineStr">
        <is>
          <t>N</t>
        </is>
      </c>
      <c r="O268" s="67" t="n">
        <v>90</v>
      </c>
      <c r="P268" s="67" t="n">
        <v>0</v>
      </c>
      <c r="Q268" s="68" t="n">
        <v>8132.6</v>
      </c>
      <c r="R268" s="63" t="inlineStr">
        <is>
          <t>derived:price x shares upon listing</t>
        </is>
      </c>
      <c r="S268" s="69" t="n">
        <v>6.58</v>
      </c>
      <c r="T268" s="70" t="n">
        <v>1.04</v>
      </c>
      <c r="U268" s="71" t="n">
        <v>78</v>
      </c>
      <c r="V268" s="68" t="n">
        <v>73.34999999999999</v>
      </c>
      <c r="W268" s="68" t="n">
        <v>2037640</v>
      </c>
      <c r="X268" s="67" t="n">
        <v>0.9</v>
      </c>
      <c r="Y268" s="63" t="inlineStr">
        <is>
          <t>Jiangsu Yuanli Industrial Investment Co., Ltd</t>
        </is>
      </c>
      <c r="Z268" s="63" t="inlineStr">
        <is>
          <t>jiangsu</t>
        </is>
      </c>
      <c r="AA268" s="67" t="n">
        <v>6.61</v>
      </c>
      <c r="AB268" s="72" t="n"/>
      <c r="AC268" s="66" t="n"/>
      <c r="AD268" s="72" t="n"/>
      <c r="AE268" s="63" t="n"/>
      <c r="AF268" s="63" t="n"/>
      <c r="AG268" s="63" t="inlineStr">
        <is>
          <t>lapsed</t>
        </is>
      </c>
      <c r="AH268" s="63" t="n"/>
      <c r="AI268" s="63" t="inlineStr">
        <is>
          <t>Haitong International Securities Company Limited DEFINITIONS –3 4</t>
        </is>
      </c>
      <c r="AJ268" s="63" t="inlineStr">
        <is>
          <t>Haitong</t>
        </is>
      </c>
      <c r="AK268" s="73" t="n">
        <v>8.06</v>
      </c>
      <c r="AL268" s="72" t="n">
        <v>-11.11</v>
      </c>
      <c r="AM268" s="72" t="n">
        <v>21.57</v>
      </c>
      <c r="AN268" s="72" t="n">
        <v>-4.86</v>
      </c>
      <c r="AO268" s="72" t="n">
        <v>-5.56</v>
      </c>
      <c r="AP268" s="72" t="n">
        <v>-1.94</v>
      </c>
      <c r="AQ268" s="72" t="n">
        <v>-11.96</v>
      </c>
      <c r="AR268" s="72" t="n">
        <v>-12.6</v>
      </c>
      <c r="AS268" s="72" t="n">
        <v>-9.25</v>
      </c>
      <c r="AT268" s="72" t="n">
        <v>-6.52</v>
      </c>
      <c r="AU268" s="72" t="n">
        <v>-0.42</v>
      </c>
      <c r="AV268" s="72" t="n">
        <v>-31.51</v>
      </c>
      <c r="AW268" s="72" t="n">
        <v>-6.76</v>
      </c>
      <c r="AX268" s="72" t="n">
        <v>-5.14</v>
      </c>
      <c r="AY268" s="72" t="n">
        <v>-5.84</v>
      </c>
      <c r="AZ268" s="63" t="inlineStr">
        <is>
          <t>HSTECH (Hang Seng TECH ETF)</t>
        </is>
      </c>
      <c r="BA268" s="72" t="n">
        <v>-56.39</v>
      </c>
      <c r="BB268" s="64" t="inlineStr">
        <is>
          <t>2026-08-28</t>
        </is>
      </c>
      <c r="BC268" s="65" t="n">
        <v>784.3</v>
      </c>
      <c r="BD268" s="68" t="n">
        <v>-395.2</v>
      </c>
      <c r="BE268" s="63" t="inlineStr">
        <is>
          <t>N</t>
        </is>
      </c>
      <c r="BF268" s="63" t="inlineStr">
        <is>
          <t>n/m</t>
        </is>
      </c>
      <c r="BG268" s="74" t="n"/>
      <c r="BH268" s="74" t="n"/>
      <c r="BI268" s="74" t="n">
        <v>10.4</v>
      </c>
      <c r="BJ268" s="75">
        <f>IF('BBG Verify'!S268="","not filed — run on terminal",'BBG Verify'!S268)</f>
        <v/>
      </c>
      <c r="BK268" s="76" t="inlineStr">
        <is>
          <t>N</t>
        </is>
      </c>
      <c r="BL268" s="77">
        <f>IF('BBG Verify'!K268="","not filed — run on terminal",'BBG Verify'!K268)</f>
        <v/>
      </c>
      <c r="BM268" s="63" t="inlineStr">
        <is>
          <t>N/A</t>
        </is>
      </c>
      <c r="BN268" s="63" t="inlineStr">
        <is>
          <t>N/A</t>
        </is>
      </c>
      <c r="BO268" s="63" t="inlineStr">
        <is>
          <t>N/A</t>
        </is>
      </c>
      <c r="BP268" s="63" t="inlineStr">
        <is>
          <t>N/A</t>
        </is>
      </c>
      <c r="BQ268" s="63" t="inlineStr">
        <is>
          <t>N/A</t>
        </is>
      </c>
      <c r="BR268" s="63" t="inlineStr">
        <is>
          <t>N/A</t>
        </is>
      </c>
      <c r="BS268" s="76" t="inlineStr">
        <is>
          <t>Haitong International Capital Limited; Sponsor-OC Haitong International Securities Company Limited</t>
        </is>
      </c>
      <c r="BT268" s="63" t="inlineStr">
        <is>
          <t>Haitong International Capital Limited</t>
        </is>
      </c>
      <c r="BU268" s="63" t="inlineStr">
        <is>
          <t>and Capital Markets Intermediaries Huatai Financial Holdings (Hong Kong) Limited; BOCI Asia Limited; Shenwan Hongyuan Securities (H.K.) Limited</t>
        </is>
      </c>
      <c r="BV268" s="63" t="inlineStr">
        <is>
          <t>BOCI Asia Limited; CMB International Capital Limited; Fosun International Securities Limited; Futu Securities International (Hong Kong) Limited; Huatai Financial Holdings (Hong Kong) Limited; Haitong International Securities Company Limited; Livermore Holdings Limited; Shenwan Hongyuan Securities (H.K.) Limited</t>
        </is>
      </c>
      <c r="BW268" s="78">
        <f>HYPERLINK("https://www1.hkexnews.hk/listedco/listconews/sehk/2024/0628/2024062800069.pdf","prospectus")</f>
        <v/>
      </c>
      <c r="BX268" s="78">
        <f>HYPERLINK("https://www1.hkexnews.hk/listedco/listconews/sehk/2024/0708/2024070801055.pdf","allotment")</f>
        <v/>
      </c>
      <c r="BY268" s="78">
        <f>HYPERLINK("https://www1.hkexnews.hk/listedco/listconews/sehk/2024/0804/2024080400007.pdf","stabilisation")</f>
        <v/>
      </c>
      <c r="BZ268" s="76" t="n"/>
      <c r="CA268" s="63" t="inlineStr">
        <is>
          <t>P/E: n/m — loss-making at IPO (use P/S) · greenshoe: over-allotment outcome already published, and the allotment announcement does not state the stabilisation expiry in a parsable form — the expiry no longer matters once resolved · A/H: no A-share listing · grey market: no grey-market headline on file for this deal — AAStocks publishes one per listing but keeps only recent items on the stock's news page, and no public archive of past evening sessions exists; captured from this run onward</t>
        </is>
      </c>
    </row>
    <row r="269" ht="15" customHeight="1">
      <c r="A269" s="62" t="inlineStr">
        <is>
          <t>6086</t>
        </is>
      </c>
      <c r="B269" s="63" t="inlineStr">
        <is>
          <t>FANGZHOU JIANKE</t>
        </is>
      </c>
      <c r="C269" s="63" t="inlineStr">
        <is>
          <t>方舟健客</t>
        </is>
      </c>
      <c r="D269" s="63" t="inlineStr">
        <is>
          <t>Healthcare</t>
        </is>
      </c>
      <c r="E269" s="63" t="inlineStr">
        <is>
          <t>Digital health</t>
        </is>
      </c>
      <c r="F269" s="63" t="inlineStr">
        <is>
          <t>Health Care Services</t>
        </is>
      </c>
      <c r="G269" s="63" t="inlineStr">
        <is>
          <t>Standard</t>
        </is>
      </c>
      <c r="H269" s="64" t="n">
        <v>45482</v>
      </c>
      <c r="I269" s="65" t="n">
        <v>194.68</v>
      </c>
      <c r="J269" s="63" t="inlineStr">
        <is>
          <t>gross (stated)</t>
        </is>
      </c>
      <c r="K269" s="66" t="n">
        <v>7.6</v>
      </c>
      <c r="L269" s="66" t="n">
        <v>8.359999999999999</v>
      </c>
      <c r="M269" s="66" t="n">
        <v>8.18</v>
      </c>
      <c r="N269" s="63" t="inlineStr">
        <is>
          <t>N</t>
        </is>
      </c>
      <c r="O269" s="67" t="n">
        <v>97.8</v>
      </c>
      <c r="P269" s="67" t="n">
        <v>76.3</v>
      </c>
      <c r="Q269" s="68" t="n">
        <v>10963.4</v>
      </c>
      <c r="R269" s="63" t="inlineStr">
        <is>
          <t>derived:price x shares upon listing</t>
        </is>
      </c>
      <c r="S269" s="69" t="n">
        <v>16.63</v>
      </c>
      <c r="T269" s="70" t="n">
        <v>1.66</v>
      </c>
      <c r="U269" s="71" t="n">
        <v>28.6</v>
      </c>
      <c r="V269" s="68" t="n">
        <v>139</v>
      </c>
      <c r="W269" s="68" t="n"/>
      <c r="X269" s="67" t="n">
        <v>1.27</v>
      </c>
      <c r="Y269" s="63" t="n"/>
      <c r="Z269" s="63" t="n"/>
      <c r="AA269" s="67" t="n">
        <v>8.720000000000001</v>
      </c>
      <c r="AB269" s="72" t="n"/>
      <c r="AC269" s="66" t="n"/>
      <c r="AD269" s="72" t="n"/>
      <c r="AE269" s="63" t="n"/>
      <c r="AF269" s="63" t="n"/>
      <c r="AG269" s="63" t="inlineStr">
        <is>
          <t>lapsed</t>
        </is>
      </c>
      <c r="AH269" s="63" t="inlineStr">
        <is>
          <t>2024-08-03</t>
        </is>
      </c>
      <c r="AI269" s="63" t="inlineStr">
        <is>
          <t>Citigroup Global Markets Asia Limited</t>
        </is>
      </c>
      <c r="AJ269" s="63" t="inlineStr">
        <is>
          <t>Citigroup</t>
        </is>
      </c>
      <c r="AK269" s="73" t="n">
        <v>-44.62</v>
      </c>
      <c r="AL269" s="72" t="n">
        <v>-42.79</v>
      </c>
      <c r="AM269" s="72" t="n">
        <v>-3.2</v>
      </c>
      <c r="AN269" s="72" t="n">
        <v>-43.77</v>
      </c>
      <c r="AO269" s="72" t="n">
        <v>-47.8</v>
      </c>
      <c r="AP269" s="72" t="n">
        <v>-15.53</v>
      </c>
      <c r="AQ269" s="72" t="n">
        <v>1.53</v>
      </c>
      <c r="AR269" s="72" t="n">
        <v>-5.74</v>
      </c>
      <c r="AS269" s="72" t="n">
        <v>52.53</v>
      </c>
      <c r="AT269" s="72" t="n">
        <v>-47.83</v>
      </c>
      <c r="AU269" s="72" t="n">
        <v>-52.4</v>
      </c>
      <c r="AV269" s="72" t="n">
        <v>-40.95</v>
      </c>
      <c r="AW269" s="72" t="n">
        <v>-10.17</v>
      </c>
      <c r="AX269" s="72" t="n">
        <v>4.6</v>
      </c>
      <c r="AY269" s="72" t="n">
        <v>4.43</v>
      </c>
      <c r="AZ269" s="63" t="inlineStr">
        <is>
          <t>China Biotech ETF (HS biotech proxy)</t>
        </is>
      </c>
      <c r="BA269" s="72" t="n">
        <v>-91.56</v>
      </c>
      <c r="BB269" s="64" t="inlineStr">
        <is>
          <t>2026-08-28</t>
        </is>
      </c>
      <c r="BC269" s="65" t="n">
        <v>2677.7</v>
      </c>
      <c r="BD269" s="68" t="n">
        <v>-216.5</v>
      </c>
      <c r="BE269" s="63" t="inlineStr">
        <is>
          <t>N</t>
        </is>
      </c>
      <c r="BF269" s="63" t="inlineStr">
        <is>
          <t>n/m</t>
        </is>
      </c>
      <c r="BG269" s="74" t="n"/>
      <c r="BH269" s="74" t="n">
        <v>61.9</v>
      </c>
      <c r="BI269" s="74" t="n">
        <v>4.1</v>
      </c>
      <c r="BJ269" s="75">
        <f>IF('BBG Verify'!S269="","not filed — run on terminal",'BBG Verify'!S269)</f>
        <v/>
      </c>
      <c r="BK269" s="76" t="inlineStr">
        <is>
          <t>N</t>
        </is>
      </c>
      <c r="BL269" s="77">
        <f>IF('BBG Verify'!K269="","not filed — run on terminal",'BBG Verify'!K269)</f>
        <v/>
      </c>
      <c r="BM269" s="63" t="inlineStr">
        <is>
          <t>N/A</t>
        </is>
      </c>
      <c r="BN269" s="63" t="inlineStr">
        <is>
          <t>N/A</t>
        </is>
      </c>
      <c r="BO269" s="63" t="inlineStr">
        <is>
          <t>N/A</t>
        </is>
      </c>
      <c r="BP269" s="63" t="inlineStr">
        <is>
          <t>N/A</t>
        </is>
      </c>
      <c r="BQ269" s="63" t="inlineStr">
        <is>
          <t>N/A</t>
        </is>
      </c>
      <c r="BR269" s="63" t="inlineStr">
        <is>
          <t>N/A</t>
        </is>
      </c>
      <c r="BS269" s="76" t="inlineStr">
        <is>
          <t>Citigroup Global Markets Asia Limited; ABCI Capital Limited</t>
        </is>
      </c>
      <c r="BT269" s="63" t="inlineStr">
        <is>
          <t>Citigroup Global Markets Asia Limited; ABCI Capital Limited</t>
        </is>
      </c>
      <c r="BU269" s="63" t="inlineStr">
        <is>
          <t>Citigroup Global Markets Asia Limited; ABCI Capital Limited; Essence International Securities (Hong Kong) Limited; ICBC International Securities Limited; China Galaxy International Securities (Hong Kong) Co., Limited; Citigroup Global Markets Limited; 122 – ABCI Capital Limited; China Everbright Securities (HK) Limited; China Merchants Securities (HK) Co., Limited; Citrus Securities Limited; Fosun International Securities Limited; Futu Securities International (Hong Kong) Limited</t>
        </is>
      </c>
      <c r="BV269" s="63" t="inlineStr">
        <is>
          <t>ABCI Securities Company Limited; China Everbright Securities (HK) Limited; China Galaxy International Securities (Hong Kong) Company Limited; Citigroup Global Markets Asia Limited; Citrus Securities Limited; CMB International Capital Limited; China Merchants Securities (HK) Company Limited; Essence International Securities (Hong Kong) Limited; Fosun International Securities Limited; Futu Securities International (Hong Kong) Limited; GF Securities (Hong Kong) Brokerage Limited; Huatai Financial Holdings (Hong Kong) Limited</t>
        </is>
      </c>
      <c r="BW269" s="78">
        <f>HYPERLINK("https://www1.hkexnews.hk/listedco/listconews/sehk/2024/0628/2024062800041.pdf","prospectus")</f>
        <v/>
      </c>
      <c r="BX269" s="78">
        <f>HYPERLINK("https://www1.hkexnews.hk/listedco/listconews/sehk/2024/0708/2024070801101.pdf","allotment")</f>
        <v/>
      </c>
      <c r="BY269" s="78">
        <f>HYPERLINK("https://www1.hkexnews.hk/listedco/listconews/sehk/2024/0805/2024080500039.pdf","stabilisation")</f>
        <v/>
      </c>
      <c r="BZ269" s="76" t="n"/>
      <c r="CA269" s="63" t="inlineStr">
        <is>
          <t>P/E: n/m — loss-making at IPO (use P/S) · A/H: no A-share listing · cornerstone list: no cornerstone tranche in this deal · grey market: no grey-market headline on file for this deal — AAStocks publishes one per listing but keeps only recent items on the stock's news page, and no public archive of past evening sessions exists; captured from this run onward · eff float shares: share count unavailable or rejected as implausible — the money figure (eff_free_float_hkdm) is still exact</t>
        </is>
      </c>
    </row>
    <row r="270" ht="15" customHeight="1">
      <c r="A270" s="62" t="inlineStr">
        <is>
          <t>1334</t>
        </is>
      </c>
      <c r="B270" s="63" t="inlineStr">
        <is>
          <t>RUICHANG INTL</t>
        </is>
      </c>
      <c r="C270" s="63" t="inlineStr">
        <is>
          <t>瑞昌國際控股</t>
        </is>
      </c>
      <c r="D270" s="63" t="inlineStr">
        <is>
          <t>Consumer</t>
        </is>
      </c>
      <c r="E270" s="63" t="inlineStr">
        <is>
          <t>Auto parts / supply chain</t>
        </is>
      </c>
      <c r="F270" s="63" t="inlineStr">
        <is>
          <t>Oil &amp; Gas Refining and Marketing</t>
        </is>
      </c>
      <c r="G270" s="63" t="inlineStr">
        <is>
          <t>Standard</t>
        </is>
      </c>
      <c r="H270" s="64" t="n">
        <v>45483</v>
      </c>
      <c r="I270" s="65" t="n">
        <v>131.3</v>
      </c>
      <c r="J270" s="63" t="inlineStr">
        <is>
          <t>gross (stated)</t>
        </is>
      </c>
      <c r="K270" s="66" t="n">
        <v>1.05</v>
      </c>
      <c r="L270" s="66" t="n">
        <v>1.39</v>
      </c>
      <c r="M270" s="66" t="n">
        <v>1.05</v>
      </c>
      <c r="N270" s="63" t="inlineStr">
        <is>
          <t>N</t>
        </is>
      </c>
      <c r="O270" s="67" t="n">
        <v>75.5</v>
      </c>
      <c r="P270" s="67" t="n">
        <v>0</v>
      </c>
      <c r="Q270" s="68" t="n">
        <v>653.4</v>
      </c>
      <c r="R270" s="63" t="inlineStr">
        <is>
          <t>aastocks:上市市值 at the struck price</t>
        </is>
      </c>
      <c r="S270" s="69" t="n">
        <v>19.24</v>
      </c>
      <c r="T270" s="70" t="n">
        <v>0.97</v>
      </c>
      <c r="U270" s="71" t="n">
        <v>44</v>
      </c>
      <c r="V270" s="68" t="n">
        <v>73.53</v>
      </c>
      <c r="W270" s="68" t="n">
        <v>70000000</v>
      </c>
      <c r="X270" s="67" t="n">
        <v>11.25</v>
      </c>
      <c r="Y270" s="63" t="inlineStr">
        <is>
          <t>Emsdom Limited; Huangshan City Investment Private Equity Fund Management Co., Ltd</t>
        </is>
      </c>
      <c r="Z270" s="63" t="inlineStr">
        <is>
          <t>emsdom;huangshan</t>
        </is>
      </c>
      <c r="AA270" s="67" t="n">
        <v>11</v>
      </c>
      <c r="AB270" s="72" t="n"/>
      <c r="AC270" s="66" t="n"/>
      <c r="AD270" s="72" t="n"/>
      <c r="AE270" s="63" t="n"/>
      <c r="AF270" s="63" t="n"/>
      <c r="AG270" s="63" t="inlineStr">
        <is>
          <t>lapsed (no over-allocation)</t>
        </is>
      </c>
      <c r="AH270" s="63" t="n"/>
      <c r="AI270" s="63" t="n"/>
      <c r="AJ270" s="63" t="n"/>
      <c r="AK270" s="73" t="n">
        <v>14.29</v>
      </c>
      <c r="AL270" s="72" t="n">
        <v>23.81</v>
      </c>
      <c r="AM270" s="72" t="n">
        <v>-7.69</v>
      </c>
      <c r="AN270" s="72" t="n">
        <v>9.52</v>
      </c>
      <c r="AO270" s="72" t="n">
        <v>-19.05</v>
      </c>
      <c r="AP270" s="72" t="n">
        <v>-15.24</v>
      </c>
      <c r="AQ270" s="72" t="n">
        <v>-4.17</v>
      </c>
      <c r="AR270" s="72" t="n">
        <v>-29.17</v>
      </c>
      <c r="AS270" s="72" t="n">
        <v>-25.84</v>
      </c>
      <c r="AT270" s="72" t="n">
        <v>8.960000000000001</v>
      </c>
      <c r="AU270" s="72" t="n">
        <v>-13.89</v>
      </c>
      <c r="AV270" s="72" t="n">
        <v>-39.95</v>
      </c>
      <c r="AW270" s="72" t="n">
        <v>-24.65</v>
      </c>
      <c r="AX270" s="72" t="n">
        <v>-5.16</v>
      </c>
      <c r="AY270" s="72" t="n">
        <v>-4.52</v>
      </c>
      <c r="AZ270" s="63" t="inlineStr">
        <is>
          <t>Hang Seng Commerce &amp; Industry sub-index</t>
        </is>
      </c>
      <c r="BA270" s="72" t="n">
        <v>0.95</v>
      </c>
      <c r="BB270" s="64" t="inlineStr">
        <is>
          <t>2026-08-28</t>
        </is>
      </c>
      <c r="BC270" s="65" t="n">
        <v>598.5</v>
      </c>
      <c r="BD270" s="68" t="n">
        <v>60.7</v>
      </c>
      <c r="BE270" s="63" t="inlineStr">
        <is>
          <t>Y</t>
        </is>
      </c>
      <c r="BF270" s="74" t="n">
        <v>10.8</v>
      </c>
      <c r="BG270" s="74" t="n"/>
      <c r="BH270" s="74" t="n">
        <v>99.3</v>
      </c>
      <c r="BI270" s="74" t="n">
        <v>1.1</v>
      </c>
      <c r="BJ270" s="75">
        <f>IF('BBG Verify'!S270="","not filed — run on terminal",'BBG Verify'!S270)</f>
        <v/>
      </c>
      <c r="BK270" s="76" t="inlineStr">
        <is>
          <t>N</t>
        </is>
      </c>
      <c r="BL270" s="77">
        <f>IF('BBG Verify'!K270="","not filed — run on terminal",'BBG Verify'!K270)</f>
        <v/>
      </c>
      <c r="BM270" s="63" t="inlineStr">
        <is>
          <t>N/A</t>
        </is>
      </c>
      <c r="BN270" s="63" t="inlineStr">
        <is>
          <t>N/A</t>
        </is>
      </c>
      <c r="BO270" s="63" t="inlineStr">
        <is>
          <t>N/A</t>
        </is>
      </c>
      <c r="BP270" s="63" t="inlineStr">
        <is>
          <t>N/A</t>
        </is>
      </c>
      <c r="BQ270" s="63" t="inlineStr">
        <is>
          <t>N/A</t>
        </is>
      </c>
      <c r="BR270" s="63" t="inlineStr">
        <is>
          <t>N/A</t>
        </is>
      </c>
      <c r="BS270" s="76" t="inlineStr">
        <is>
          <t>First Shanghai Capital Limited</t>
        </is>
      </c>
      <c r="BT270" s="63" t="inlineStr">
        <is>
          <t>First Shanghai Capital Limited</t>
        </is>
      </c>
      <c r="BU270" s="63" t="inlineStr">
        <is>
          <t>First Shanghai Securities Limited; Victory Securities Company Limited; CLSA Limited; Central China International Capital Limited; China Merchants Securities (HK) Co., Limited; China Everbright Securities (HK) Limited; Shanxi Securities International Limited; Essence International Securities (Hong Kong) Limited; Livermore Holdings Limited; Tiger Brokers (HK) Global Limited; Fortune (HK) Securities Limited</t>
        </is>
      </c>
      <c r="BV270" s="63" t="inlineStr">
        <is>
          <t>CCB International Capital Limited; Central China International Capital Limited; China Everbright Securities (HK) Limited; CLSA Limited; CMBC Securities Company Limited; China Merchants Securities (HK) Company Limited; Essence International Securities (Hong Kong) Limited; Fortune (HK) Securities Limited; Fosun International Securities Limited; First Shanghai Securities Limited; Futu Securities International (Hong Kong) Limited; Goldlink Securities Limited</t>
        </is>
      </c>
      <c r="BW270" s="78">
        <f>HYPERLINK("https://www1.hkexnews.hk/listedco/listconews/sehk/2024/0628/2024062800081.pdf","prospectus")</f>
        <v/>
      </c>
      <c r="BX270" s="78">
        <f>HYPERLINK("https://www1.hkexnews.hk/listedco/listconews/sehk/2024/0709/2024070901007.pdf","allotment")</f>
        <v/>
      </c>
      <c r="BY270" s="78">
        <f>HYPERLINK("https://www1.hkexnews.hk/listedco/listconews/sehk/2024/0805/2024080500823.pdf","stabilisation")</f>
        <v/>
      </c>
      <c r="BZ270" s="76" t="n"/>
      <c r="CA270" s="63" t="inlineStr">
        <is>
          <t>greenshoe: over-allotment outcome already published, and the allotment announcement does not state the stabilisation expiry in a parsable form — the expiry no longer matters once resolved · A/H: no A-share listing · market cap: estimate from deal size / offer % of enlarged capital disagreed with the published listing cap — published figure adopted · stabilising manager: neither the allotment announcement's cover sentence nor the prospectus definitions glossary names one in a form the parser reads — not inferred from the sponsor · grey market: no grey-market headline on file for this deal — AAStocks publishes one per listing but keeps only recent items on the stock's news page, and no public archive of past evening sessions exists; captured from this run onward</t>
        </is>
      </c>
    </row>
    <row r="271" ht="15" customHeight="1">
      <c r="A271" s="62" t="inlineStr">
        <is>
          <t>2495</t>
        </is>
      </c>
      <c r="B271" s="63" t="inlineStr">
        <is>
          <t>VOICECOMM</t>
        </is>
      </c>
      <c r="C271" s="63" t="inlineStr">
        <is>
          <t>聲通科技</t>
        </is>
      </c>
      <c r="D271" s="63" t="inlineStr">
        <is>
          <t>TMT-other</t>
        </is>
      </c>
      <c r="E271" s="63" t="inlineStr">
        <is>
          <t>Telecom</t>
        </is>
      </c>
      <c r="F271" s="63" t="inlineStr">
        <is>
          <t>IT Consulting &amp; Other Services</t>
        </is>
      </c>
      <c r="G271" s="63" t="inlineStr">
        <is>
          <t>Standard</t>
        </is>
      </c>
      <c r="H271" s="64" t="n">
        <v>45483</v>
      </c>
      <c r="I271" s="65" t="n">
        <v>664.02</v>
      </c>
      <c r="J271" s="63" t="inlineStr">
        <is>
          <t>gross (stated)</t>
        </is>
      </c>
      <c r="K271" s="66" t="n"/>
      <c r="L271" s="66" t="n">
        <v>152.1</v>
      </c>
      <c r="M271" s="66" t="n">
        <v>152.1</v>
      </c>
      <c r="N271" s="63" t="inlineStr">
        <is>
          <t>Y</t>
        </is>
      </c>
      <c r="O271" s="67" t="n">
        <v>100</v>
      </c>
      <c r="P271" s="67" t="n"/>
      <c r="Q271" s="68" t="n">
        <v>4777.1</v>
      </c>
      <c r="R271" s="63" t="inlineStr">
        <is>
          <t>derived:deal size / offer % of enlarged capital</t>
        </is>
      </c>
      <c r="S271" s="69" t="n">
        <v>3.51</v>
      </c>
      <c r="T271" s="70" t="n">
        <v>1.24</v>
      </c>
      <c r="U271" s="71" t="n">
        <v>41.2</v>
      </c>
      <c r="V271" s="68" t="n">
        <v>390.44</v>
      </c>
      <c r="W271" s="68" t="n">
        <v>2567008</v>
      </c>
      <c r="X271" s="67" t="n">
        <v>8.17</v>
      </c>
      <c r="Y271" s="63" t="inlineStr">
        <is>
          <t>Jiangsu Jiangkong Investment Co., Ltd</t>
        </is>
      </c>
      <c r="Z271" s="63" t="inlineStr">
        <is>
          <t>jiangsu</t>
        </is>
      </c>
      <c r="AA271" s="67" t="n">
        <v>4.4</v>
      </c>
      <c r="AB271" s="72" t="n"/>
      <c r="AC271" s="66" t="n"/>
      <c r="AD271" s="72" t="n"/>
      <c r="AE271" s="63" t="n"/>
      <c r="AF271" s="63" t="n"/>
      <c r="AG271" s="63" t="inlineStr">
        <is>
          <t>partial</t>
        </is>
      </c>
      <c r="AH271" s="63" t="n"/>
      <c r="AI271" s="63" t="inlineStr">
        <is>
          <t>China International Capital Corporation Hong Kong Securities Limited</t>
        </is>
      </c>
      <c r="AJ271" s="63" t="inlineStr">
        <is>
          <t>China International</t>
        </is>
      </c>
      <c r="AK271" s="73" t="n">
        <v>-11.24</v>
      </c>
      <c r="AL271" s="72" t="n">
        <v>-11.24</v>
      </c>
      <c r="AM271" s="72" t="n">
        <v>0</v>
      </c>
      <c r="AN271" s="72" t="n">
        <v>-6.71</v>
      </c>
      <c r="AO271" s="72" t="n">
        <v>19</v>
      </c>
      <c r="AP271" s="72" t="n">
        <v>22.35</v>
      </c>
      <c r="AQ271" s="72" t="n">
        <v>5.1</v>
      </c>
      <c r="AR271" s="72" t="n">
        <v>34.07</v>
      </c>
      <c r="AS271" s="72" t="n">
        <v>37.84</v>
      </c>
      <c r="AT271" s="72" t="n">
        <v>-7.94</v>
      </c>
      <c r="AU271" s="72" t="n">
        <v>22.6</v>
      </c>
      <c r="AV271" s="72" t="n">
        <v>1.07</v>
      </c>
      <c r="AW271" s="72" t="n">
        <v>37.39</v>
      </c>
      <c r="AX271" s="72" t="n">
        <v>-3.6</v>
      </c>
      <c r="AY271" s="72" t="n">
        <v>-3.32</v>
      </c>
      <c r="AZ271" s="63" t="inlineStr">
        <is>
          <t>Hang Seng Index</t>
        </is>
      </c>
      <c r="BA271" s="72" t="n">
        <v>-80.47</v>
      </c>
      <c r="BB271" s="64" t="inlineStr">
        <is>
          <t>2026-08-28</t>
        </is>
      </c>
      <c r="BC271" s="65" t="n">
        <v>566.5</v>
      </c>
      <c r="BD271" s="68" t="n">
        <v>-31.6</v>
      </c>
      <c r="BE271" s="63" t="inlineStr">
        <is>
          <t>N</t>
        </is>
      </c>
      <c r="BF271" s="63" t="inlineStr">
        <is>
          <t>n/m</t>
        </is>
      </c>
      <c r="BG271" s="74" t="n"/>
      <c r="BH271" s="74" t="n">
        <v>7.6</v>
      </c>
      <c r="BI271" s="74" t="n">
        <v>8.4</v>
      </c>
      <c r="BJ271" s="75">
        <f>IF('BBG Verify'!S271="","not filed — run on terminal",'BBG Verify'!S271)</f>
        <v/>
      </c>
      <c r="BK271" s="76" t="inlineStr">
        <is>
          <t>N</t>
        </is>
      </c>
      <c r="BL271" s="77">
        <f>IF('BBG Verify'!K271="","not filed — run on terminal",'BBG Verify'!K271)</f>
        <v/>
      </c>
      <c r="BM271" s="63" t="inlineStr">
        <is>
          <t>N/A</t>
        </is>
      </c>
      <c r="BN271" s="63" t="inlineStr">
        <is>
          <t>N/A</t>
        </is>
      </c>
      <c r="BO271" s="63" t="inlineStr">
        <is>
          <t>N/A</t>
        </is>
      </c>
      <c r="BP271" s="63" t="inlineStr">
        <is>
          <t>N/A</t>
        </is>
      </c>
      <c r="BQ271" s="63" t="inlineStr">
        <is>
          <t>N/A</t>
        </is>
      </c>
      <c r="BR271" s="63" t="inlineStr">
        <is>
          <t>N/A</t>
        </is>
      </c>
      <c r="BS271" s="76" t="inlineStr">
        <is>
          <t>China International Capital Corporation Hong Kong Securities Limited</t>
        </is>
      </c>
      <c r="BT271" s="63" t="inlineStr">
        <is>
          <t>China International Capital Corporation Hong Kong Securities Limited</t>
        </is>
      </c>
      <c r="BU271" s="63" t="inlineStr">
        <is>
          <t>China International Capital Corporation Hong Kong Securities Limited; China Securities (International) Brokerage Company Limited; CMBC Securities Company Limited; Orient Securities (Hong Kong) Limited; ABCI Capital Limited; China Everbright Securities (HK) Limited; China Galaxy International Securities (Hong Kong) Co., Limited; China Merchants Securities (HK) Co., Limited; CMB International Capital Limited; DBS Asia Capital Limited; ICBC International Securities Limited; Shenwan Hongyuan Securities (H.K.) Limited</t>
        </is>
      </c>
      <c r="BV271" s="63" t="inlineStr">
        <is>
          <t>ABCI Securities Company Limited; China Securities (International) Brokerage Company Limited; CCB International Capital Limited; China Everbright Securities (HK) Limited; China Galaxy International Securities (Hong Kong) Company Limited; China International Capital Corporation Hong Kong Securities Limited; CMBC Securities Company Limited; CMB International Capital Limited; China Merchants Securities (HK) Company Limited; DBS Asia Capital Limited; Fosun International Securities Limited; Futu Securities International (Hong Kong) Limited</t>
        </is>
      </c>
      <c r="BW271" s="78">
        <f>HYPERLINK("https://www1.hkexnews.hk/listedco/listconews/sehk/2024/0628/2024062800079.pdf","prospectus")</f>
        <v/>
      </c>
      <c r="BX271" s="78">
        <f>HYPERLINK("https://www1.hkexnews.hk/listedco/listconews/sehk/2024/0709/2024070901049.pdf","allotment")</f>
        <v/>
      </c>
      <c r="BY271" s="78">
        <f>HYPERLINK("https://www1.hkexnews.hk/listedco/listconews/sehk/2024/0804/2024080400003.pdf","stabilisation")</f>
        <v/>
      </c>
      <c r="BZ271" s="76" t="n"/>
      <c r="CA271" s="63" t="inlineStr">
        <is>
          <t>P/E: n/m — loss-making at IPO (use P/S) · greenshoe: over-allotment outcome already published, and the allotment announcement does not state the stabilisation expiry in a parsable form — the expiry no longer matters once resolved · range low: cap-only pricing — the filing publishes a Maximum Offer Price and no indicative floor · A/H: no A-share listing · grey market: no grey-market headline on file for this deal — AAStocks publishes one per listing but keeps only recent items on the stock's news page, and no public archive of past evening sessions exists; captured from this run onward</t>
        </is>
      </c>
    </row>
    <row r="272" ht="15" customHeight="1">
      <c r="A272" s="62" t="inlineStr">
        <is>
          <t>9680</t>
        </is>
      </c>
      <c r="B272" s="63" t="inlineStr">
        <is>
          <t>CHENQI TECH</t>
        </is>
      </c>
      <c r="C272" s="63" t="inlineStr">
        <is>
          <t>如祺出行</t>
        </is>
      </c>
      <c r="D272" s="63" t="inlineStr">
        <is>
          <t>Tech/AI</t>
        </is>
      </c>
      <c r="E272" s="63" t="inlineStr">
        <is>
          <t>Internet platform / e-commerce</t>
        </is>
      </c>
      <c r="F272" s="63" t="inlineStr">
        <is>
          <t>Trucking</t>
        </is>
      </c>
      <c r="G272" s="63" t="inlineStr">
        <is>
          <t>Standard</t>
        </is>
      </c>
      <c r="H272" s="64" t="n">
        <v>45483</v>
      </c>
      <c r="I272" s="65" t="n">
        <v>1050.2</v>
      </c>
      <c r="J272" s="63" t="inlineStr">
        <is>
          <t>gross (price x shares)</t>
        </is>
      </c>
      <c r="K272" s="66" t="n">
        <v>34</v>
      </c>
      <c r="L272" s="66" t="n">
        <v>45.4</v>
      </c>
      <c r="M272" s="66" t="n">
        <v>35</v>
      </c>
      <c r="N272" s="63" t="inlineStr">
        <is>
          <t>N</t>
        </is>
      </c>
      <c r="O272" s="67" t="n">
        <v>77.09999999999999</v>
      </c>
      <c r="P272" s="67" t="n">
        <v>8.800000000000001</v>
      </c>
      <c r="Q272" s="68" t="n">
        <v>7144</v>
      </c>
      <c r="R272" s="63" t="inlineStr">
        <is>
          <t>derived:price x shares upon listing</t>
        </is>
      </c>
      <c r="S272" s="69" t="n">
        <v>0.6</v>
      </c>
      <c r="T272" s="70" t="n">
        <v>1.18</v>
      </c>
      <c r="U272" s="71" t="n">
        <v>77.06</v>
      </c>
      <c r="V272" s="68" t="n">
        <v>240.92</v>
      </c>
      <c r="W272" s="68" t="n">
        <v>6883101</v>
      </c>
      <c r="X272" s="67" t="n">
        <v>3.37</v>
      </c>
      <c r="Y272" s="63" t="inlineStr">
        <is>
          <t>Guangzhou Automobile Industry Group Co., Ltd; Hongkong Pony AI Limited; Voyager Group Inc; WeRide Inc</t>
        </is>
      </c>
      <c r="Z272" s="63" t="inlineStr">
        <is>
          <t>guangzhou-automobile;hongkong;voyager;weride</t>
        </is>
      </c>
      <c r="AA272" s="67" t="n"/>
      <c r="AB272" s="72" t="n"/>
      <c r="AC272" s="66" t="n"/>
      <c r="AD272" s="72" t="n"/>
      <c r="AE272" s="63" t="n"/>
      <c r="AF272" s="63" t="n"/>
      <c r="AG272" s="63" t="n"/>
      <c r="AH272" s="63" t="n"/>
      <c r="AI272" s="63" t="n"/>
      <c r="AJ272" s="63" t="n"/>
      <c r="AK272" s="73" t="n">
        <v>-3.14</v>
      </c>
      <c r="AL272" s="72" t="n">
        <v>-14.29</v>
      </c>
      <c r="AM272" s="72" t="n">
        <v>13.01</v>
      </c>
      <c r="AN272" s="72" t="n">
        <v>-20.57</v>
      </c>
      <c r="AO272" s="72" t="n">
        <v>-16.57</v>
      </c>
      <c r="AP272" s="72" t="n">
        <v>-34.57</v>
      </c>
      <c r="AQ272" s="72" t="n">
        <v>-18</v>
      </c>
      <c r="AR272" s="72" t="n">
        <v>-13.87</v>
      </c>
      <c r="AS272" s="72" t="n">
        <v>-32.45</v>
      </c>
      <c r="AT272" s="72" t="n">
        <v>-22.1</v>
      </c>
      <c r="AU272" s="72" t="n">
        <v>-10.28</v>
      </c>
      <c r="AV272" s="72" t="n">
        <v>-66.58</v>
      </c>
      <c r="AW272" s="72" t="n">
        <v>-7.42</v>
      </c>
      <c r="AX272" s="72" t="n">
        <v>-6.29</v>
      </c>
      <c r="AY272" s="72" t="n">
        <v>-6.45</v>
      </c>
      <c r="AZ272" s="63" t="inlineStr">
        <is>
          <t>HSTECH (Hang Seng TECH ETF)</t>
        </is>
      </c>
      <c r="BA272" s="72" t="n">
        <v>-78.29000000000001</v>
      </c>
      <c r="BB272" s="64" t="inlineStr">
        <is>
          <t>2026-08-28</t>
        </is>
      </c>
      <c r="BC272" s="65" t="n">
        <v>2377.2</v>
      </c>
      <c r="BD272" s="68" t="n">
        <v>-762.1</v>
      </c>
      <c r="BE272" s="63" t="inlineStr">
        <is>
          <t>N</t>
        </is>
      </c>
      <c r="BF272" s="63" t="inlineStr">
        <is>
          <t>n/m</t>
        </is>
      </c>
      <c r="BG272" s="74" t="n"/>
      <c r="BH272" s="74" t="n"/>
      <c r="BI272" s="74" t="n">
        <v>3</v>
      </c>
      <c r="BJ272" s="75">
        <f>IF('BBG Verify'!S272="","not filed — run on terminal",'BBG Verify'!S272)</f>
        <v/>
      </c>
      <c r="BK272" s="76" t="inlineStr">
        <is>
          <t>N</t>
        </is>
      </c>
      <c r="BL272" s="77">
        <f>IF('BBG Verify'!K272="","not filed — run on terminal",'BBG Verify'!K272)</f>
        <v/>
      </c>
      <c r="BM272" s="63" t="inlineStr">
        <is>
          <t>N/A</t>
        </is>
      </c>
      <c r="BN272" s="63" t="inlineStr">
        <is>
          <t>N/A</t>
        </is>
      </c>
      <c r="BO272" s="63" t="inlineStr">
        <is>
          <t>N/A</t>
        </is>
      </c>
      <c r="BP272" s="63" t="inlineStr">
        <is>
          <t>N/A</t>
        </is>
      </c>
      <c r="BQ272" s="63" t="inlineStr">
        <is>
          <t>N/A</t>
        </is>
      </c>
      <c r="BR272" s="63" t="inlineStr">
        <is>
          <t>N/A</t>
        </is>
      </c>
      <c r="BS272" s="76" t="n"/>
      <c r="BT272" s="63" t="inlineStr">
        <is>
          <t>China International Capital Corporation Hong Kong Securities Limited; Huatai Financial Holdings (Hong Kong) Limited; ABCI Capital Limited</t>
        </is>
      </c>
      <c r="BU272" s="63" t="inlineStr">
        <is>
          <t>Huatai Financial Holdings (Hong Kong) Limited; ABCI Capital Limited; TradeGo Markets Limited; Livermore Holdings Limited</t>
        </is>
      </c>
      <c r="BV272" s="63" t="inlineStr">
        <is>
          <t>ABCI Securities Company Limited; China International Capital Corporation Hong Kong Securities Limited; Huatai Financial Holdings (Hong Kong) Limited; Livermore Holdings Limited; TradeGo Markets Limited</t>
        </is>
      </c>
      <c r="BW272" s="78">
        <f>HYPERLINK("https://www1.hkexnews.hk/listedco/listconews/sehk/2024/0628/2024062800065.pdf","prospectus")</f>
        <v/>
      </c>
      <c r="BX272" s="78">
        <f>HYPERLINK("https://www1.hkexnews.hk/listedco/listconews/sehk/2024/0709/2024070901101.pdf","allotment")</f>
        <v/>
      </c>
      <c r="BY272" s="63" t="n"/>
      <c r="BZ272" s="76" t="n"/>
      <c r="CA272" s="63" t="inlineStr">
        <is>
          <t>P/E: n/m — loss-making at IPO (use P/S) · greenshoe: no over-allotment option in the offer structure · A/H: no A-share listing · sponsor: English name not in the filing text; AAStocks 保薦人 shown · greenshoe size: no over-allotment option in the offer structure · stabilising manager: the filing states no stabilising manager will be appointed — a filed fact, not an extraction gap (allotment announcement: 'no stabilizing manager will be appointed' stated in the filing) · grey market: no grey-market headline on file for this deal — AAStocks publishes one per listing but keeps only recent items on the stock's news page, and no public archive of past evening sessions exists; captured from this run onward</t>
        </is>
      </c>
    </row>
    <row r="273" ht="15" customHeight="1">
      <c r="A273" s="62" t="inlineStr">
        <is>
          <t>2507</t>
        </is>
      </c>
      <c r="B273" s="63" t="inlineStr">
        <is>
          <t>CIRRUS</t>
        </is>
      </c>
      <c r="C273" s="63" t="inlineStr">
        <is>
          <t>西銳</t>
        </is>
      </c>
      <c r="D273" s="63" t="inlineStr">
        <is>
          <t>Industrials</t>
        </is>
      </c>
      <c r="E273" s="63" t="inlineStr">
        <is>
          <t>Capital goods / machinery</t>
        </is>
      </c>
      <c r="F273" s="63" t="inlineStr">
        <is>
          <t>Heavy Electrical Equipment</t>
        </is>
      </c>
      <c r="G273" s="63" t="inlineStr">
        <is>
          <t>Standard</t>
        </is>
      </c>
      <c r="H273" s="64" t="n">
        <v>45485</v>
      </c>
      <c r="I273" s="65" t="n">
        <v>1509.1</v>
      </c>
      <c r="J273" s="63" t="inlineStr">
        <is>
          <t>gross (price x shares)</t>
        </is>
      </c>
      <c r="K273" s="66" t="n"/>
      <c r="L273" s="66" t="n">
        <v>27.5</v>
      </c>
      <c r="M273" s="66" t="n">
        <v>27.5</v>
      </c>
      <c r="N273" s="63" t="inlineStr">
        <is>
          <t>Y</t>
        </is>
      </c>
      <c r="O273" s="67" t="n">
        <v>100</v>
      </c>
      <c r="P273" s="67" t="n"/>
      <c r="Q273" s="68" t="n">
        <v>10060.6</v>
      </c>
      <c r="R273" s="63" t="inlineStr">
        <is>
          <t>derived:price x shares upon listing</t>
        </is>
      </c>
      <c r="S273" s="69" t="n">
        <v>1.56</v>
      </c>
      <c r="T273" s="70" t="n">
        <v>1.57</v>
      </c>
      <c r="U273" s="71" t="n">
        <v>25.7</v>
      </c>
      <c r="V273" s="68" t="n">
        <v>1121.26</v>
      </c>
      <c r="W273" s="68" t="n">
        <v>40772794</v>
      </c>
      <c r="X273" s="67" t="n">
        <v>11.15</v>
      </c>
      <c r="Y273" s="63" t="inlineStr">
        <is>
          <t>Changshu Southeast Industrial Investment Co., Ltd; China Structural Reform Fund II Corporation Limited; Taicang High Tech Science and Innovation Development Co</t>
        </is>
      </c>
      <c r="Z273" s="63" t="inlineStr">
        <is>
          <t>changshu;structural;taicang</t>
        </is>
      </c>
      <c r="AA273" s="67" t="n">
        <v>10</v>
      </c>
      <c r="AB273" s="72" t="n"/>
      <c r="AC273" s="66" t="n"/>
      <c r="AD273" s="72" t="n"/>
      <c r="AE273" s="63" t="n"/>
      <c r="AF273" s="63" t="n"/>
      <c r="AG273" s="63" t="inlineStr">
        <is>
          <t>partial</t>
        </is>
      </c>
      <c r="AH273" s="63" t="inlineStr">
        <is>
          <t>2024-08-08</t>
        </is>
      </c>
      <c r="AI273" s="63" t="inlineStr">
        <is>
          <t>China International Capital Corporation Hong Kong Securities Limited</t>
        </is>
      </c>
      <c r="AJ273" s="63" t="inlineStr">
        <is>
          <t>China International</t>
        </is>
      </c>
      <c r="AK273" s="73" t="n">
        <v>0</v>
      </c>
      <c r="AL273" s="72" t="n">
        <v>0</v>
      </c>
      <c r="AM273" s="72" t="n">
        <v>0</v>
      </c>
      <c r="AN273" s="72" t="n">
        <v>-10.36</v>
      </c>
      <c r="AO273" s="72" t="n">
        <v>-9.640000000000001</v>
      </c>
      <c r="AP273" s="72" t="n">
        <v>-30.18</v>
      </c>
      <c r="AQ273" s="72" t="n">
        <v>-10.36</v>
      </c>
      <c r="AR273" s="72" t="n">
        <v>-9.640000000000001</v>
      </c>
      <c r="AS273" s="72" t="n">
        <v>-30.18</v>
      </c>
      <c r="AT273" s="72" t="n">
        <v>-7.5</v>
      </c>
      <c r="AU273" s="72" t="n">
        <v>-4.28</v>
      </c>
      <c r="AV273" s="72" t="n">
        <v>-46.03</v>
      </c>
      <c r="AW273" s="72" t="n">
        <v>-1.87</v>
      </c>
      <c r="AX273" s="72" t="n">
        <v>-5.36</v>
      </c>
      <c r="AY273" s="72" t="n">
        <v>-7.77</v>
      </c>
      <c r="AZ273" s="63" t="inlineStr">
        <is>
          <t>Hang Seng Commerce &amp; Industry sub-index</t>
        </is>
      </c>
      <c r="BA273" s="72" t="n">
        <v>74.11</v>
      </c>
      <c r="BB273" s="64" t="inlineStr">
        <is>
          <t>2026-08-28</t>
        </is>
      </c>
      <c r="BC273" s="65" t="n"/>
      <c r="BD273" s="68" t="n">
        <v>710.9</v>
      </c>
      <c r="BE273" s="63" t="inlineStr">
        <is>
          <t>Y</t>
        </is>
      </c>
      <c r="BF273" s="74" t="n">
        <v>14.2</v>
      </c>
      <c r="BG273" s="74" t="n"/>
      <c r="BH273" s="74" t="n">
        <v>15.9</v>
      </c>
      <c r="BI273" s="74" t="n"/>
      <c r="BJ273" s="75">
        <f>IF('BBG Verify'!S273="","not filed — run on terminal",'BBG Verify'!S273)</f>
        <v/>
      </c>
      <c r="BK273" s="76" t="inlineStr">
        <is>
          <t>N</t>
        </is>
      </c>
      <c r="BL273" s="77">
        <f>IF('BBG Verify'!K273="","not filed — run on terminal",'BBG Verify'!K273)</f>
        <v/>
      </c>
      <c r="BM273" s="63" t="inlineStr">
        <is>
          <t>N/A</t>
        </is>
      </c>
      <c r="BN273" s="63" t="inlineStr">
        <is>
          <t>N/A</t>
        </is>
      </c>
      <c r="BO273" s="63" t="inlineStr">
        <is>
          <t>N/A</t>
        </is>
      </c>
      <c r="BP273" s="63" t="inlineStr">
        <is>
          <t>N/A</t>
        </is>
      </c>
      <c r="BQ273" s="63" t="inlineStr">
        <is>
          <t>N/A</t>
        </is>
      </c>
      <c r="BR273" s="63" t="inlineStr">
        <is>
          <t>N/A</t>
        </is>
      </c>
      <c r="BS273" s="76" t="n"/>
      <c r="BT273" s="63" t="inlineStr">
        <is>
          <t>China International Capital Corporation Hong Kong Securities Limited</t>
        </is>
      </c>
      <c r="BU273" s="63" t="inlineStr">
        <is>
          <t>ABCI Securities Company Limited; AVICT Global Asset Management Limited; BOCI Asia Limited; China Galaxy International Securities (Hong Kong) Company Limited; China International Capital Corporation Hong Kong Securities Limited; CMB International Capital Limited</t>
        </is>
      </c>
      <c r="BV273" s="63" t="inlineStr">
        <is>
          <t>ABCI Securities Company Limited; AVICT Global Asset Management Limited; BOCI Asia Limited; China Galaxy International Securities (Hong Kong) Company Limited; China International Capital Corporation Hong Kong Securities Limited; CMB International Capital Limited; China Merchants Securities (HK) Company Limited; Futu Securities International (Hong Kong) Limited; Guosen Securities (HK) Capital Company Limited; Huatai Financial Holdings (Hong Kong) Limited; ICBC International Securities Limited; Tiger Brokers (HK) Global Limited</t>
        </is>
      </c>
      <c r="BW273" s="78">
        <f>HYPERLINK("https://www1.hkexnews.hk/listedco/listconews/sehk/2024/0628/2024062800343.htm","prospectus")</f>
        <v/>
      </c>
      <c r="BX273" s="78">
        <f>HYPERLINK("https://www1.hkexnews.hk/listedco/listconews/sehk/2024/0711/2024071101139.pdf","allotment")</f>
        <v/>
      </c>
      <c r="BY273" s="78">
        <f>HYPERLINK("https://www1.hkexnews.hk/listedco/listconews/sehk/2024/0808/2024080801148.pdf","stabilisation")</f>
        <v/>
      </c>
      <c r="BZ273" s="76" t="n"/>
      <c r="CA273" s="63" t="inlineStr">
        <is>
          <t>price range: fixed-price offering (no indicative range) · range low: cap-only pricing — the filing publishes a Maximum Offer Price and no indicative floor · A/H: no A-share listing · sponsor: English name not in the filing text; AAStocks 保薦人 shown · cornerstone: AAStocks institutional table includes non-cornerstone orders (superset) — cornerstone % is from the prospectus · P/S: revenue not extractable · financials: financial tables not machine-extractable and the pre-IPO year is outside AAStocks' 5-year window · grey market: no grey-market headline on file for this deal — AAStocks publishes one per listing but keeps only recent items on the stock's news page, and no public archive of past evening sessions exists; captured from this run onward</t>
        </is>
      </c>
    </row>
    <row r="274" ht="15" customHeight="1">
      <c r="A274" s="62" t="inlineStr">
        <is>
          <t>2531</t>
        </is>
      </c>
      <c r="B274" s="63" t="inlineStr">
        <is>
          <t>CARLINK TECH</t>
        </is>
      </c>
      <c r="C274" s="63" t="inlineStr">
        <is>
          <t>廣聯科技控股</t>
        </is>
      </c>
      <c r="D274" s="63" t="inlineStr">
        <is>
          <t>Consumer</t>
        </is>
      </c>
      <c r="E274" s="63" t="inlineStr">
        <is>
          <t>Auto parts / supply chain</t>
        </is>
      </c>
      <c r="F274" s="63" t="inlineStr">
        <is>
          <t>Systems Software</t>
        </is>
      </c>
      <c r="G274" s="63" t="inlineStr">
        <is>
          <t>Standard</t>
        </is>
      </c>
      <c r="H274" s="64" t="n">
        <v>45488</v>
      </c>
      <c r="I274" s="65" t="n">
        <v>298.9</v>
      </c>
      <c r="J274" s="63" t="inlineStr">
        <is>
          <t>gross (price x shares)</t>
        </is>
      </c>
      <c r="K274" s="66" t="n">
        <v>4.7</v>
      </c>
      <c r="L274" s="66" t="n">
        <v>5.3</v>
      </c>
      <c r="M274" s="66" t="n">
        <v>4.7</v>
      </c>
      <c r="N274" s="63" t="inlineStr">
        <is>
          <t>N</t>
        </is>
      </c>
      <c r="O274" s="67" t="n">
        <v>88.7</v>
      </c>
      <c r="P274" s="67" t="n">
        <v>0</v>
      </c>
      <c r="Q274" s="68" t="n">
        <v>1723</v>
      </c>
      <c r="R274" s="63" t="inlineStr">
        <is>
          <t>derived:price x shares upon listing</t>
        </is>
      </c>
      <c r="S274" s="69" t="n">
        <v>2.49</v>
      </c>
      <c r="T274" s="70" t="n">
        <v>1.06</v>
      </c>
      <c r="U274" s="71" t="n">
        <v>29.44</v>
      </c>
      <c r="V274" s="68" t="n">
        <v>210.9</v>
      </c>
      <c r="W274" s="68" t="n">
        <v>44876160</v>
      </c>
      <c r="X274" s="67" t="n">
        <v>12.24</v>
      </c>
      <c r="Y274" s="63" t="inlineStr">
        <is>
          <t>Huizhou Guohuilian Equity Investment Fund Partnership (LP)</t>
        </is>
      </c>
      <c r="Z274" s="63" t="inlineStr">
        <is>
          <t>huizhou</t>
        </is>
      </c>
      <c r="AA274" s="67" t="n"/>
      <c r="AB274" s="72" t="n"/>
      <c r="AC274" s="66" t="n"/>
      <c r="AD274" s="72" t="n"/>
      <c r="AE274" s="63" t="n"/>
      <c r="AF274" s="63" t="n"/>
      <c r="AG274" s="63" t="n"/>
      <c r="AH274" s="63" t="n"/>
      <c r="AI274" s="63" t="n"/>
      <c r="AJ274" s="63" t="n"/>
      <c r="AK274" s="73" t="n">
        <v>2.13</v>
      </c>
      <c r="AL274" s="72" t="n">
        <v>16.6</v>
      </c>
      <c r="AM274" s="72" t="n">
        <v>-12.41</v>
      </c>
      <c r="AN274" s="72" t="n">
        <v>55.96</v>
      </c>
      <c r="AO274" s="72" t="n">
        <v>48.94</v>
      </c>
      <c r="AP274" s="72" t="n">
        <v>228.51</v>
      </c>
      <c r="AQ274" s="72" t="n">
        <v>52.71</v>
      </c>
      <c r="AR274" s="72" t="n">
        <v>45.83</v>
      </c>
      <c r="AS274" s="72" t="n">
        <v>221.66</v>
      </c>
      <c r="AT274" s="72" t="n">
        <v>59.73</v>
      </c>
      <c r="AU274" s="72" t="n">
        <v>56.32</v>
      </c>
      <c r="AV274" s="72" t="n">
        <v>216.28</v>
      </c>
      <c r="AW274" s="72" t="n">
        <v>51.53</v>
      </c>
      <c r="AX274" s="72" t="n">
        <v>-7.38</v>
      </c>
      <c r="AY274" s="72" t="n">
        <v>-5.7</v>
      </c>
      <c r="AZ274" s="63" t="inlineStr">
        <is>
          <t>Hang Seng Commerce &amp; Industry sub-index</t>
        </is>
      </c>
      <c r="BA274" s="72" t="n">
        <v>3.83</v>
      </c>
      <c r="BB274" s="64" t="inlineStr">
        <is>
          <t>2026-08-28</t>
        </is>
      </c>
      <c r="BC274" s="65" t="n">
        <v>616.6</v>
      </c>
      <c r="BD274" s="68" t="n">
        <v>56.7</v>
      </c>
      <c r="BE274" s="63" t="inlineStr">
        <is>
          <t>Y</t>
        </is>
      </c>
      <c r="BF274" s="74" t="n">
        <v>30.4</v>
      </c>
      <c r="BG274" s="74" t="n"/>
      <c r="BH274" s="74" t="n">
        <v>73.90000000000001</v>
      </c>
      <c r="BI274" s="74" t="n">
        <v>2.8</v>
      </c>
      <c r="BJ274" s="75">
        <f>IF('BBG Verify'!S274="","not filed — run on terminal",'BBG Verify'!S274)</f>
        <v/>
      </c>
      <c r="BK274" s="76" t="inlineStr">
        <is>
          <t>N</t>
        </is>
      </c>
      <c r="BL274" s="77">
        <f>IF('BBG Verify'!K274="","not filed — run on terminal",'BBG Verify'!K274)</f>
        <v/>
      </c>
      <c r="BM274" s="63" t="inlineStr">
        <is>
          <t>N/A</t>
        </is>
      </c>
      <c r="BN274" s="63" t="inlineStr">
        <is>
          <t>N/A</t>
        </is>
      </c>
      <c r="BO274" s="63" t="inlineStr">
        <is>
          <t>N/A</t>
        </is>
      </c>
      <c r="BP274" s="63" t="inlineStr">
        <is>
          <t>N/A</t>
        </is>
      </c>
      <c r="BQ274" s="63" t="inlineStr">
        <is>
          <t>N/A</t>
        </is>
      </c>
      <c r="BR274" s="63" t="inlineStr">
        <is>
          <t>N/A</t>
        </is>
      </c>
      <c r="BS274" s="76" t="inlineStr">
        <is>
          <t>CCB International Capital Limited</t>
        </is>
      </c>
      <c r="BT274" s="63" t="inlineStr">
        <is>
          <t>CCB International Capital Limited</t>
        </is>
      </c>
      <c r="BU274" s="63" t="inlineStr">
        <is>
          <t>CCB International Capital Limited; China Galaxy International Securities (Hong Kong) Co. Limited; Cinda International Capital Limited; CMBC Securities Company Limited; Donghai International Securities (Hong Kong) Limited; Livermore Holdings Limited; Quam Securities Limited; SPDB International Capital Limited; Victory Securities Company Limited; Yue Xiu Securities Company Limited; Zhongtai International Securities Limited; ZMF Asset Management Limited</t>
        </is>
      </c>
      <c r="BV274" s="63" t="inlineStr">
        <is>
          <t>CCB International Capital Limited; China Galaxy International Securities (Hong Kong) Company Limited; Cinda International Capital Limited; CMBC Securities Company Limited; Donghai International Securities (Hong Kong) Limited; Fosun International Securities Limited; Gaoyu Securities Limited; Livermore Holdings Limited; Quam Securities Limited; Ruibang Securities Limited; SPDB International Capital Limited; Victory Securities Company Limited</t>
        </is>
      </c>
      <c r="BW274" s="78">
        <f>HYPERLINK("https://www1.hkexnews.hk/listedco/listconews/sehk/2024/0628/2024062800067.pdf","prospectus")</f>
        <v/>
      </c>
      <c r="BX274" s="78">
        <f>HYPERLINK("https://www1.hkexnews.hk/listedco/listconews/sehk/2024/0712/2024071201219.pdf","allotment")</f>
        <v/>
      </c>
      <c r="BY274" s="63" t="n"/>
      <c r="BZ274" s="76" t="n"/>
      <c r="CA274" s="63" t="inlineStr">
        <is>
          <t>greenshoe: no over-allotment option in the offer structure · A/H: no A-share listing · greenshoe size: no over-allotment option in the offer structure · stabilising manager: the filing states no stabilising manager will be appointed — a filed fact, not an extraction gap (allotment announcement: 'no stabilizing manager will be appointed' stated in the filing) · grey market: no grey-market headline on file for this deal — AAStocks publishes one per listing but keeps only recent items on the stock's news page, and no public archive of past evening sessions exists; captured from this run onward</t>
        </is>
      </c>
    </row>
    <row r="275" ht="15" customHeight="1">
      <c r="A275" s="62" t="inlineStr">
        <is>
          <t>1471</t>
        </is>
      </c>
      <c r="B275" s="63" t="inlineStr">
        <is>
          <t>ZHONGMIAO</t>
        </is>
      </c>
      <c r="C275" s="63" t="inlineStr">
        <is>
          <t>眾淼控股</t>
        </is>
      </c>
      <c r="D275" s="63" t="inlineStr">
        <is>
          <t>Financials</t>
        </is>
      </c>
      <c r="E275" s="63" t="inlineStr">
        <is>
          <t>Insurance</t>
        </is>
      </c>
      <c r="F275" s="63" t="inlineStr">
        <is>
          <t>Other Diversified Financial Services</t>
        </is>
      </c>
      <c r="G275" s="63" t="inlineStr">
        <is>
          <t>Standard</t>
        </is>
      </c>
      <c r="H275" s="64" t="n">
        <v>45510</v>
      </c>
      <c r="I275" s="65" t="n">
        <v>247.1</v>
      </c>
      <c r="J275" s="63" t="inlineStr">
        <is>
          <t>gross (price x shares)</t>
        </is>
      </c>
      <c r="K275" s="66" t="n">
        <v>7</v>
      </c>
      <c r="L275" s="66" t="n">
        <v>10.2</v>
      </c>
      <c r="M275" s="66" t="n">
        <v>7</v>
      </c>
      <c r="N275" s="63" t="inlineStr">
        <is>
          <t>N</t>
        </is>
      </c>
      <c r="O275" s="67" t="n">
        <v>68.59999999999999</v>
      </c>
      <c r="P275" s="67" t="n">
        <v>0</v>
      </c>
      <c r="Q275" s="68" t="n">
        <v>988.4</v>
      </c>
      <c r="R275" s="63" t="inlineStr">
        <is>
          <t>derived:price x shares upon listing</t>
        </is>
      </c>
      <c r="S275" s="69" t="n">
        <v>16.07</v>
      </c>
      <c r="T275" s="70" t="n">
        <v>0.98</v>
      </c>
      <c r="U275" s="71" t="n">
        <v>18.71</v>
      </c>
      <c r="V275" s="68" t="n">
        <v>200.87</v>
      </c>
      <c r="W275" s="68" t="n">
        <v>28695370</v>
      </c>
      <c r="X275" s="67" t="n">
        <v>20.32</v>
      </c>
      <c r="Y275" s="63" t="inlineStr">
        <is>
          <t>Hong Tai International III LPF; The Reynold Lemkins Group (Asia) Limited</t>
        </is>
      </c>
      <c r="Z275" s="63" t="inlineStr">
        <is>
          <t>tai;reynold</t>
        </is>
      </c>
      <c r="AA275" s="67" t="n">
        <v>17</v>
      </c>
      <c r="AB275" s="72" t="n">
        <v>3.1</v>
      </c>
      <c r="AC275" s="66" t="n">
        <v>7.22</v>
      </c>
      <c r="AD275" s="72" t="n">
        <v>1.84</v>
      </c>
      <c r="AE275" s="63" t="inlineStr">
        <is>
          <t>Y</t>
        </is>
      </c>
      <c r="AF275" s="63" t="inlineStr">
        <is>
          <t>2024-08-06</t>
        </is>
      </c>
      <c r="AG275" s="63" t="n"/>
      <c r="AH275" s="63" t="inlineStr">
        <is>
          <t>2024-08-31</t>
        </is>
      </c>
      <c r="AI275" s="63" t="n"/>
      <c r="AJ275" s="63" t="n"/>
      <c r="AK275" s="73" t="n">
        <v>5</v>
      </c>
      <c r="AL275" s="72" t="n">
        <v>-1.71</v>
      </c>
      <c r="AM275" s="72" t="n">
        <v>6.83</v>
      </c>
      <c r="AN275" s="72" t="n">
        <v>-19.43</v>
      </c>
      <c r="AO275" s="72" t="n">
        <v>-17.14</v>
      </c>
      <c r="AP275" s="72" t="n">
        <v>-2.71</v>
      </c>
      <c r="AQ275" s="72" t="n">
        <v>-23.27</v>
      </c>
      <c r="AR275" s="72" t="n">
        <v>-21.09</v>
      </c>
      <c r="AS275" s="72" t="n">
        <v>-7.34</v>
      </c>
      <c r="AT275" s="72" t="n">
        <v>-22.39</v>
      </c>
      <c r="AU275" s="72" t="n">
        <v>-21.31</v>
      </c>
      <c r="AV275" s="72" t="n">
        <v>-25.98</v>
      </c>
      <c r="AW275" s="72" t="n">
        <v>-25.54</v>
      </c>
      <c r="AX275" s="72" t="n">
        <v>4.17</v>
      </c>
      <c r="AY275" s="72" t="n">
        <v>4.45</v>
      </c>
      <c r="AZ275" s="63" t="inlineStr">
        <is>
          <t>Hang Seng Finance sub-index</t>
        </is>
      </c>
      <c r="BA275" s="72" t="n">
        <v>16.5</v>
      </c>
      <c r="BB275" s="64" t="inlineStr">
        <is>
          <t>2026-08-28</t>
        </is>
      </c>
      <c r="BC275" s="65" t="n">
        <v>191.4</v>
      </c>
      <c r="BD275" s="68" t="n">
        <v>42.9</v>
      </c>
      <c r="BE275" s="63" t="inlineStr">
        <is>
          <t>Y</t>
        </is>
      </c>
      <c r="BF275" s="74" t="n">
        <v>23</v>
      </c>
      <c r="BG275" s="74" t="n"/>
      <c r="BH275" s="74" t="n">
        <v>17</v>
      </c>
      <c r="BI275" s="74" t="n">
        <v>5.2</v>
      </c>
      <c r="BJ275" s="75">
        <f>IF('BBG Verify'!S275="","not filed — run on terminal",'BBG Verify'!S275)</f>
        <v/>
      </c>
      <c r="BK275" s="76" t="inlineStr">
        <is>
          <t>N</t>
        </is>
      </c>
      <c r="BL275" s="77">
        <f>IF('BBG Verify'!K275="","not filed — run on terminal",'BBG Verify'!K275)</f>
        <v/>
      </c>
      <c r="BM275" s="63" t="inlineStr">
        <is>
          <t>N/A</t>
        </is>
      </c>
      <c r="BN275" s="63" t="inlineStr">
        <is>
          <t>N/A</t>
        </is>
      </c>
      <c r="BO275" s="63" t="inlineStr">
        <is>
          <t>N/A</t>
        </is>
      </c>
      <c r="BP275" s="63" t="inlineStr">
        <is>
          <t>N/A</t>
        </is>
      </c>
      <c r="BQ275" s="63" t="inlineStr">
        <is>
          <t>N/A</t>
        </is>
      </c>
      <c r="BR275" s="63" t="inlineStr">
        <is>
          <t>N/A</t>
        </is>
      </c>
      <c r="BS275" s="76" t="inlineStr">
        <is>
          <t>CITIC Securities (Hong Kong) Limited; Ping An of China Capital (Hong Kong) Company Limited</t>
        </is>
      </c>
      <c r="BT275" s="63" t="inlineStr">
        <is>
          <t>CITIC Securities (Hong Kong) Limited; Ping An of China Capital (Hong Kong) Company Limited</t>
        </is>
      </c>
      <c r="BU275" s="63" t="inlineStr">
        <is>
          <t>China PA Securities (Hong Kong) Company Limited; CLSA Limited; CMB International Capital Limited; Fosun International Securities Limited; Hong Tai Securities Limited</t>
        </is>
      </c>
      <c r="BV275" s="63" t="inlineStr">
        <is>
          <t>China Industrial Securities International Capital Limited; CLSA Limited; CMB International Capital Limited; China PA Securities (Hong Kong) Company Limited; Eddid Securities and Futures Limited; Fortune (HK) Securities Limited; Fosun International Securities Limited; Hong Tai Securities Limited; ICBC International Securities Limited; Patrons Securities Limited; Tiger Brokers (HK) Global Limited</t>
        </is>
      </c>
      <c r="BW275" s="78">
        <f>HYPERLINK("https://www1.hkexnews.hk/listedco/listconews/sehk/2024/0729/2024072900013.pdf","prospectus")</f>
        <v/>
      </c>
      <c r="BX275" s="78">
        <f>HYPERLINK("https://www1.hkexnews.hk/listedco/listconews/sehk/2024/0805/2024080502241.pdf","allotment")</f>
        <v/>
      </c>
      <c r="BY275" s="78">
        <f>HYPERLINK("https://www1.hkexnews.hk/listedco/listconews/sehk/2024/0905/2024090501834.pdf","stabilisation")</f>
        <v/>
      </c>
      <c r="BZ275" s="76" t="n"/>
      <c r="CA275" s="63" t="inlineStr">
        <is>
          <t>greenshoe: end-of-stabilisation notice not located · A/H: no A-share listing · stabilising manager: neither the allotment announcement's cover sentence nor the prospectus definitions glossary names one in a form the parser reads — not inferred from the sponsor · stabilisation notice: notice located and linked; its outcome wording is not one of the recognised forms, so the over-allotment result is left blank rather than guessed</t>
        </is>
      </c>
    </row>
    <row r="276" ht="15" customHeight="1">
      <c r="A276" s="62" t="inlineStr">
        <is>
          <t>2533</t>
        </is>
      </c>
      <c r="B276" s="63" t="inlineStr">
        <is>
          <t>BLACK SESAME</t>
        </is>
      </c>
      <c r="C276" s="63" t="inlineStr">
        <is>
          <t>黑芝麻智能</t>
        </is>
      </c>
      <c r="D276" s="63" t="inlineStr">
        <is>
          <t>Tech/AI</t>
        </is>
      </c>
      <c r="E276" s="63" t="inlineStr">
        <is>
          <t>AI chips &amp; semis</t>
        </is>
      </c>
      <c r="F276" s="63" t="inlineStr">
        <is>
          <t>Application Software</t>
        </is>
      </c>
      <c r="G276" s="63" t="inlineStr">
        <is>
          <t>Standard</t>
        </is>
      </c>
      <c r="H276" s="64" t="n">
        <v>45512</v>
      </c>
      <c r="I276" s="65" t="n">
        <v>1036</v>
      </c>
      <c r="J276" s="63" t="inlineStr">
        <is>
          <t>gross (price x shares)</t>
        </is>
      </c>
      <c r="K276" s="66" t="n">
        <v>28</v>
      </c>
      <c r="L276" s="66" t="n">
        <v>30.3</v>
      </c>
      <c r="M276" s="66" t="n">
        <v>28</v>
      </c>
      <c r="N276" s="63" t="inlineStr">
        <is>
          <t>N</t>
        </is>
      </c>
      <c r="O276" s="67" t="n">
        <v>92.40000000000001</v>
      </c>
      <c r="P276" s="67" t="n">
        <v>0</v>
      </c>
      <c r="Q276" s="68" t="n">
        <v>15936.7</v>
      </c>
      <c r="R276" s="63" t="inlineStr">
        <is>
          <t>derived:price x shares upon listing</t>
        </is>
      </c>
      <c r="S276" s="69" t="n">
        <v>2.52</v>
      </c>
      <c r="T276" s="70" t="n">
        <v>1.05</v>
      </c>
      <c r="U276" s="71" t="n">
        <v>7.38</v>
      </c>
      <c r="V276" s="68" t="n">
        <v>959.54</v>
      </c>
      <c r="W276" s="68" t="n">
        <v>34269400</v>
      </c>
      <c r="X276" s="67" t="n">
        <v>6.02</v>
      </c>
      <c r="Y276" s="63" t="inlineStr">
        <is>
          <t>Gardex Development Limited; Joyson Electronic USA LLC</t>
        </is>
      </c>
      <c r="Z276" s="63" t="inlineStr">
        <is>
          <t>gardex;joyson</t>
        </is>
      </c>
      <c r="AA276" s="67" t="n">
        <v>7.39</v>
      </c>
      <c r="AB276" s="72" t="n"/>
      <c r="AC276" s="66" t="n"/>
      <c r="AD276" s="72" t="n"/>
      <c r="AE276" s="63" t="n"/>
      <c r="AF276" s="63" t="n"/>
      <c r="AG276" s="63" t="inlineStr">
        <is>
          <t>lapsed (no over-allocation)</t>
        </is>
      </c>
      <c r="AH276" s="63" t="inlineStr">
        <is>
          <t>2024-09-04</t>
        </is>
      </c>
      <c r="AI276" s="63" t="inlineStr">
        <is>
          <t>China International Capital Corporation Hong Kong Securities Limited</t>
        </is>
      </c>
      <c r="AJ276" s="63" t="inlineStr">
        <is>
          <t>China International</t>
        </is>
      </c>
      <c r="AK276" s="73" t="n">
        <v>-26.96</v>
      </c>
      <c r="AL276" s="72" t="n">
        <v>-32.86</v>
      </c>
      <c r="AM276" s="72" t="n">
        <v>8.789999999999999</v>
      </c>
      <c r="AN276" s="72" t="n">
        <v>-28.04</v>
      </c>
      <c r="AO276" s="72" t="n">
        <v>-23.57</v>
      </c>
      <c r="AP276" s="72" t="n">
        <v>-7.68</v>
      </c>
      <c r="AQ276" s="72" t="n">
        <v>-1.48</v>
      </c>
      <c r="AR276" s="72" t="n">
        <v>4.64</v>
      </c>
      <c r="AS276" s="72" t="n">
        <v>26.4</v>
      </c>
      <c r="AT276" s="72" t="n">
        <v>-28.4</v>
      </c>
      <c r="AU276" s="72" t="n">
        <v>-25.25</v>
      </c>
      <c r="AV276" s="72" t="n">
        <v>-44.98</v>
      </c>
      <c r="AW276" s="72" t="n">
        <v>2.47</v>
      </c>
      <c r="AX276" s="72" t="n">
        <v>1.68</v>
      </c>
      <c r="AY276" s="72" t="n">
        <v>2.17</v>
      </c>
      <c r="AZ276" s="63" t="inlineStr">
        <is>
          <t>HSTECH (Hang Seng TECH ETF)</t>
        </is>
      </c>
      <c r="BA276" s="72" t="n">
        <v>-61.79</v>
      </c>
      <c r="BB276" s="64" t="inlineStr">
        <is>
          <t>2026-08-28</t>
        </is>
      </c>
      <c r="BC276" s="65" t="n">
        <v>343.6</v>
      </c>
      <c r="BD276" s="68" t="n">
        <v>-5340.6</v>
      </c>
      <c r="BE276" s="63" t="inlineStr">
        <is>
          <t>N</t>
        </is>
      </c>
      <c r="BF276" s="63" t="inlineStr">
        <is>
          <t>n/m</t>
        </is>
      </c>
      <c r="BG276" s="74" t="n"/>
      <c r="BH276" s="74" t="n"/>
      <c r="BI276" s="74" t="n">
        <v>46.4</v>
      </c>
      <c r="BJ276" s="75">
        <f>IF('BBG Verify'!S276="","not filed — run on terminal",'BBG Verify'!S276)</f>
        <v/>
      </c>
      <c r="BK276" s="76" t="inlineStr">
        <is>
          <t>N</t>
        </is>
      </c>
      <c r="BL276" s="77">
        <f>IF('BBG Verify'!K276="","not filed — run on terminal",'BBG Verify'!K276)</f>
        <v/>
      </c>
      <c r="BM276" s="63" t="inlineStr">
        <is>
          <t>N/A</t>
        </is>
      </c>
      <c r="BN276" s="63" t="inlineStr">
        <is>
          <t>N/A</t>
        </is>
      </c>
      <c r="BO276" s="63" t="inlineStr">
        <is>
          <t>N/A</t>
        </is>
      </c>
      <c r="BP276" s="63" t="inlineStr">
        <is>
          <t>N/A</t>
        </is>
      </c>
      <c r="BQ276" s="63" t="inlineStr">
        <is>
          <t>N/A</t>
        </is>
      </c>
      <c r="BR276" s="63" t="inlineStr">
        <is>
          <t>N/A</t>
        </is>
      </c>
      <c r="BS276" s="76" t="n"/>
      <c r="BT276" s="63" t="inlineStr">
        <is>
          <t>China International Capital Corporation Hong Kong Securities Limited; Huatai Financial Holdings (Hong Kong) Limited</t>
        </is>
      </c>
      <c r="BU276" s="63" t="inlineStr">
        <is>
          <t>CCB International Capital Limited; GF Securities (Hong Kong) Brokerage Limited; Futu Securities International (Hong Kong) Limited</t>
        </is>
      </c>
      <c r="BV276" s="63" t="inlineStr">
        <is>
          <t>BOCI Asia Limited; CCB International Capital Limited; China International Capital Corporation Hong Kong Securities Limited; CLSA Limited; Futu Securities International (Hong Kong) Limited; GF Securities (Hong Kong) Brokerage Limited; Huatai Financial Holdings (Hong Kong) Limited; Tiger Brokers (HK) Global Limited</t>
        </is>
      </c>
      <c r="BW276" s="78">
        <f>HYPERLINK("https://www1.hkexnews.hk/listedco/listconews/sehk/2024/0731/2024073100015.pdf","prospectus")</f>
        <v/>
      </c>
      <c r="BX276" s="78">
        <f>HYPERLINK("https://www1.hkexnews.hk/listedco/listconews/sehk/2024/0807/2024080700994.pdf","allotment")</f>
        <v/>
      </c>
      <c r="BY276" s="78">
        <f>HYPERLINK("https://www1.hkexnews.hk/listedco/listconews/sehk/2024/0904/2024090402176.pdf","stabilisation")</f>
        <v/>
      </c>
      <c r="BZ276" s="76" t="n"/>
      <c r="CA276" s="63" t="inlineStr">
        <is>
          <t>P/E: n/m — loss-making at IPO (use P/S) · A/H: no A-share listing · sponsor: English name not in the filing text; AAStocks 保薦人 shown · grey market: no grey-market headline on file for this deal — AAStocks publishes one per listing but keeps only recent items on the stock's news page, and no public archive of past evening sessions exists; captured from this run onward</t>
        </is>
      </c>
    </row>
    <row r="277" ht="15" customHeight="1">
      <c r="A277" s="62" t="inlineStr">
        <is>
          <t>2410</t>
        </is>
      </c>
      <c r="B277" s="63" t="inlineStr">
        <is>
          <t>TYK MEDICINES-B</t>
        </is>
      </c>
      <c r="C277" s="63" t="inlineStr">
        <is>
          <t>同源康醫藥－Ｂ</t>
        </is>
      </c>
      <c r="D277" s="63" t="inlineStr">
        <is>
          <t>Healthcare</t>
        </is>
      </c>
      <c r="E277" s="63" t="inlineStr">
        <is>
          <t>Biotech pre-revenue (18A)</t>
        </is>
      </c>
      <c r="F277" s="63" t="inlineStr">
        <is>
          <t>Biotechnology - Pharmaceuticals</t>
        </is>
      </c>
      <c r="G277" s="63" t="inlineStr">
        <is>
          <t>18A</t>
        </is>
      </c>
      <c r="H277" s="64" t="n">
        <v>45524</v>
      </c>
      <c r="I277" s="65" t="n">
        <v>579.3</v>
      </c>
      <c r="J277" s="63" t="inlineStr">
        <is>
          <t>gross (price x shares)</t>
        </is>
      </c>
      <c r="K277" s="66" t="n"/>
      <c r="L277" s="66" t="n">
        <v>12.1</v>
      </c>
      <c r="M277" s="66" t="n">
        <v>12.1</v>
      </c>
      <c r="N277" s="63" t="inlineStr">
        <is>
          <t>Y</t>
        </is>
      </c>
      <c r="O277" s="67" t="n">
        <v>100</v>
      </c>
      <c r="P277" s="67" t="n"/>
      <c r="Q277" s="68" t="n">
        <v>4487.1</v>
      </c>
      <c r="R277" s="63" t="inlineStr">
        <is>
          <t>derived:price x shares upon listing</t>
        </is>
      </c>
      <c r="S277" s="69" t="n">
        <v>2.29</v>
      </c>
      <c r="T277" s="70" t="n">
        <v>1.01</v>
      </c>
      <c r="U277" s="71" t="n"/>
      <c r="V277" s="68" t="n">
        <v>579.3</v>
      </c>
      <c r="W277" s="68" t="n">
        <v>47880000</v>
      </c>
      <c r="X277" s="67" t="n">
        <v>12.91</v>
      </c>
      <c r="Y277" s="63" t="n"/>
      <c r="Z277" s="63" t="n"/>
      <c r="AA277" s="67" t="n"/>
      <c r="AB277" s="72" t="n"/>
      <c r="AC277" s="66" t="n"/>
      <c r="AD277" s="72" t="n"/>
      <c r="AE277" s="63" t="n"/>
      <c r="AF277" s="63" t="n"/>
      <c r="AG277" s="63" t="n"/>
      <c r="AH277" s="63" t="n"/>
      <c r="AI277" s="63" t="n"/>
      <c r="AJ277" s="63" t="n"/>
      <c r="AK277" s="73" t="n">
        <v>13.22</v>
      </c>
      <c r="AL277" s="72" t="n">
        <v>19.67</v>
      </c>
      <c r="AM277" s="72" t="n">
        <v>-5.39</v>
      </c>
      <c r="AN277" s="72" t="n">
        <v>90.08</v>
      </c>
      <c r="AO277" s="72" t="n">
        <v>135.95</v>
      </c>
      <c r="AP277" s="72" t="n">
        <v>129.75</v>
      </c>
      <c r="AQ277" s="72" t="n">
        <v>67.89</v>
      </c>
      <c r="AR277" s="72" t="n">
        <v>108.4</v>
      </c>
      <c r="AS277" s="72" t="n">
        <v>102.92</v>
      </c>
      <c r="AT277" s="72" t="n">
        <v>92.59</v>
      </c>
      <c r="AU277" s="72" t="n">
        <v>137.89</v>
      </c>
      <c r="AV277" s="72" t="n">
        <v>117.04</v>
      </c>
      <c r="AW277" s="72" t="n">
        <v>109.55</v>
      </c>
      <c r="AX277" s="72" t="n">
        <v>-1.94</v>
      </c>
      <c r="AY277" s="72" t="n">
        <v>-1.15</v>
      </c>
      <c r="AZ277" s="63" t="inlineStr">
        <is>
          <t>China Biotech ETF (HS biotech proxy)</t>
        </is>
      </c>
      <c r="BA277" s="72" t="n">
        <v>-48.18</v>
      </c>
      <c r="BB277" s="64" t="inlineStr">
        <is>
          <t>2026-08-28</t>
        </is>
      </c>
      <c r="BC277" s="65" t="n">
        <v>48.7</v>
      </c>
      <c r="BD277" s="68" t="n">
        <v>-91.5</v>
      </c>
      <c r="BE277" s="63" t="inlineStr">
        <is>
          <t>N</t>
        </is>
      </c>
      <c r="BF277" s="63" t="inlineStr">
        <is>
          <t>n/m</t>
        </is>
      </c>
      <c r="BG277" s="74" t="n"/>
      <c r="BH277" s="74" t="n"/>
      <c r="BI277" s="74" t="n">
        <v>92.09999999999999</v>
      </c>
      <c r="BJ277" s="75">
        <f>IF('BBG Verify'!S277="","not filed — run on terminal",'BBG Verify'!S277)</f>
        <v/>
      </c>
      <c r="BK277" s="76" t="inlineStr">
        <is>
          <t>N</t>
        </is>
      </c>
      <c r="BL277" s="77">
        <f>IF('BBG Verify'!K277="","not filed — run on terminal",'BBG Verify'!K277)</f>
        <v/>
      </c>
      <c r="BM277" s="63" t="inlineStr">
        <is>
          <t>N/A</t>
        </is>
      </c>
      <c r="BN277" s="63" t="inlineStr">
        <is>
          <t>N/A</t>
        </is>
      </c>
      <c r="BO277" s="63" t="inlineStr">
        <is>
          <t>N/A</t>
        </is>
      </c>
      <c r="BP277" s="63" t="inlineStr">
        <is>
          <t>N/A</t>
        </is>
      </c>
      <c r="BQ277" s="63" t="inlineStr">
        <is>
          <t>N/A</t>
        </is>
      </c>
      <c r="BR277" s="63" t="inlineStr">
        <is>
          <t>N/A</t>
        </is>
      </c>
      <c r="BS277" s="76" t="inlineStr">
        <is>
          <t>CITIC Securities (Hong Kong) Limited</t>
        </is>
      </c>
      <c r="BT277" s="63" t="inlineStr">
        <is>
          <t>CITIC Securities (Hong Kong) Limited</t>
        </is>
      </c>
      <c r="BU277" s="63" t="inlineStr">
        <is>
          <t>CLSA Limited; CMB International Capital Limited; Haitong International Securities Company Limited; Deutsche Bank AG, Hong Kong Branch; Livermore Holdings Limited; BOCI Asia Limited</t>
        </is>
      </c>
      <c r="BV277" s="63" t="inlineStr">
        <is>
          <t>BOCI Asia Limited; CLSA Limited; CMB International Capital Limited; Deutsche Bank AG, Hong Kong Branch; Haitong International Securities Company Limited; Livermore Holdings Limited</t>
        </is>
      </c>
      <c r="BW277" s="78">
        <f>HYPERLINK("https://www1.hkexnews.hk/listedco/listconews/sehk/2024/0812/2024081200005.pdf","prospectus")</f>
        <v/>
      </c>
      <c r="BX277" s="78">
        <f>HYPERLINK("https://www1.hkexnews.hk/listedco/listconews/sehk/2024/0819/2024081901642.pdf","allotment")</f>
        <v/>
      </c>
      <c r="BY277" s="63" t="n"/>
      <c r="BZ277" s="76" t="n"/>
      <c r="CA277" s="63" t="inlineStr">
        <is>
          <t>P/E: n/m — loss-making at IPO (use P/S) · greenshoe: no over-allotment option in the offer structure · range low: cap-only pricing — the filing publishes a Maximum Offer Price and no indicative floor · A/H: no A-share listing · cornerstone list: cornerstone section not machine-extractable — see the prospectus link · cornerstone %: cornerstone aggregate not stated in the filing · greenshoe size: no over-allotment option in the offer structure · stabilising manager: the filing states no stabilising manager will be appointed — a filed fact, not an extraction gap (prospectus: 'no stabilizing manager will be appointed' stated in the filing) · grey market: no grey-market headline on file for this deal — AAStocks publishes one per listing but keeps only recent items on the stock's news page, and no public archive of past evening sessions exists; captured from this run onward</t>
        </is>
      </c>
    </row>
    <row r="278" ht="15" customHeight="1">
      <c r="A278" s="62" t="inlineStr">
        <is>
          <t>0300</t>
        </is>
      </c>
      <c r="B278" s="63" t="inlineStr">
        <is>
          <t>MIDEA GROUP</t>
        </is>
      </c>
      <c r="C278" s="63" t="inlineStr">
        <is>
          <t>美的集團</t>
        </is>
      </c>
      <c r="D278" s="63" t="inlineStr">
        <is>
          <t>Tech/AI</t>
        </is>
      </c>
      <c r="E278" s="63" t="inlineStr">
        <is>
          <t>Smart hardware / consumer electronics</t>
        </is>
      </c>
      <c r="F278" s="63" t="inlineStr">
        <is>
          <t>Household Appliances</t>
        </is>
      </c>
      <c r="G278" s="63" t="inlineStr">
        <is>
          <t>Standard</t>
        </is>
      </c>
      <c r="H278" s="64" t="n">
        <v>45552</v>
      </c>
      <c r="I278" s="65" t="n">
        <v>31014</v>
      </c>
      <c r="J278" s="63" t="inlineStr">
        <is>
          <t>gross (stated)</t>
        </is>
      </c>
      <c r="K278" s="66" t="n"/>
      <c r="L278" s="66" t="n">
        <v>54.8</v>
      </c>
      <c r="M278" s="66" t="n">
        <v>54.8</v>
      </c>
      <c r="N278" s="63" t="inlineStr">
        <is>
          <t>Y</t>
        </is>
      </c>
      <c r="O278" s="67" t="n">
        <v>100</v>
      </c>
      <c r="P278" s="67" t="n"/>
      <c r="Q278" s="68" t="n">
        <v>408344.4</v>
      </c>
      <c r="R278" s="63" t="inlineStr">
        <is>
          <t>aastocks:上市市值 at the struck price</t>
        </is>
      </c>
      <c r="S278" s="69" t="n">
        <v>9</v>
      </c>
      <c r="T278" s="70" t="n">
        <v>0.11</v>
      </c>
      <c r="U278" s="71" t="n">
        <v>36.3</v>
      </c>
      <c r="V278" s="68" t="n">
        <v>19755.92</v>
      </c>
      <c r="W278" s="68" t="n">
        <v>360513526</v>
      </c>
      <c r="X278" s="67" t="n">
        <v>4.84</v>
      </c>
      <c r="Y278" s="63" t="inlineStr">
        <is>
          <t>Athos Capital Limited; China Structural Reform Fund II Corporation Limited; COSCO SHIPPING Holdings (Hong Kong) Limited; CPE Investment XVI Limited; Dajia Life Insurance Co., Ltd; Enreal Asset Management Limited; Foresight Funds; Golden Link Worldwide Limited; HCEP Master Fund; Jump Trading Pacific Pte. Ltd; Metazone Link (HK) Limited; MY Asian Opportunities Fund; Pamalican Fund Ltd; PSBC Wealth Management Co., Ltd; Splendor Achieve Limited; Supercluster Universe Limited; UBS Asset Management (Singapore) Ltd; Vanguard Focus Limited</t>
        </is>
      </c>
      <c r="Z278" s="63" t="inlineStr">
        <is>
          <t>athos;structural;cosco;cpe;dajia;enreal;foresight;golden-link;hcep;jump;metazone;my;pamalican;psbc;splendor;supercluster;ubs;vanguard</t>
        </is>
      </c>
      <c r="AA278" s="67" t="n">
        <v>15</v>
      </c>
      <c r="AB278" s="72" t="n"/>
      <c r="AC278" s="66" t="n"/>
      <c r="AD278" s="72" t="n"/>
      <c r="AE278" s="63" t="n"/>
      <c r="AF278" s="63" t="n"/>
      <c r="AG278" s="63" t="n"/>
      <c r="AH278" s="63" t="inlineStr">
        <is>
          <t>2024-10-12</t>
        </is>
      </c>
      <c r="AI278" s="63" t="inlineStr">
        <is>
          <t>China International Capital Corporation Hong Kong Securities Limited</t>
        </is>
      </c>
      <c r="AJ278" s="63" t="inlineStr">
        <is>
          <t>China International</t>
        </is>
      </c>
      <c r="AK278" s="73" t="n">
        <v>7.85</v>
      </c>
      <c r="AL278" s="72" t="n">
        <v>8.029999999999999</v>
      </c>
      <c r="AM278" s="72" t="n">
        <v>-0.17</v>
      </c>
      <c r="AN278" s="72" t="n">
        <v>29.01</v>
      </c>
      <c r="AO278" s="72" t="n">
        <v>36.68</v>
      </c>
      <c r="AP278" s="72" t="n">
        <v>38.96</v>
      </c>
      <c r="AQ278" s="72" t="n">
        <v>19.62</v>
      </c>
      <c r="AR278" s="72" t="n">
        <v>26.73</v>
      </c>
      <c r="AS278" s="72" t="n">
        <v>28.85</v>
      </c>
      <c r="AT278" s="72" t="n">
        <v>16.42</v>
      </c>
      <c r="AU278" s="72" t="n">
        <v>7.95</v>
      </c>
      <c r="AV278" s="72" t="n">
        <v>11.57</v>
      </c>
      <c r="AW278" s="72" t="n">
        <v>-0.3</v>
      </c>
      <c r="AX278" s="72" t="n">
        <v>28.73</v>
      </c>
      <c r="AY278" s="72" t="n">
        <v>27.03</v>
      </c>
      <c r="AZ278" s="63" t="inlineStr">
        <is>
          <t>HSTECH (Hang Seng TECH ETF)</t>
        </is>
      </c>
      <c r="BA278" s="72" t="n">
        <v>80.2</v>
      </c>
      <c r="BB278" s="64" t="inlineStr">
        <is>
          <t>2026-08-28</t>
        </is>
      </c>
      <c r="BC278" s="65" t="n">
        <v>411080.8</v>
      </c>
      <c r="BD278" s="68" t="n">
        <v>37020.9</v>
      </c>
      <c r="BE278" s="63" t="inlineStr">
        <is>
          <t>Y</t>
        </is>
      </c>
      <c r="BF278" s="74" t="n">
        <v>11</v>
      </c>
      <c r="BG278" s="74" t="n"/>
      <c r="BH278" s="74" t="n"/>
      <c r="BI278" s="74" t="n">
        <v>1</v>
      </c>
      <c r="BJ278" s="75">
        <f>IF('BBG Verify'!S278="","not filed — run on terminal",'BBG Verify'!S278)</f>
        <v/>
      </c>
      <c r="BK278" s="76" t="inlineStr">
        <is>
          <t>Y</t>
        </is>
      </c>
      <c r="BL278" s="63" t="inlineStr">
        <is>
          <t>000333.SZ</t>
        </is>
      </c>
      <c r="BM278" s="72" t="n">
        <v>27.39</v>
      </c>
      <c r="BN278" s="66" t="n">
        <v>69.807</v>
      </c>
      <c r="BO278" s="80" t="n">
        <v>0.008399999999999999</v>
      </c>
      <c r="BP278" s="68" t="n">
        <v>780971.2</v>
      </c>
      <c r="BQ278" s="75">
        <f>IF('BBG Verify'!Q278="","run on terminal",'BBG Verify'!Q278)</f>
        <v/>
      </c>
      <c r="BR278" s="75">
        <f>IF('BBG Verify'!R278="","run on terminal",'BBG Verify'!R278)</f>
        <v/>
      </c>
      <c r="BS278" s="76" t="inlineStr">
        <is>
          <t>CICC; BofA Securities</t>
        </is>
      </c>
      <c r="BT278" s="63" t="inlineStr">
        <is>
          <t>China International Capital Corporation Hong Kong Securities Limited; Merrill Lynch (Asia Pacific) Limited</t>
        </is>
      </c>
      <c r="BU278" s="63" t="inlineStr">
        <is>
          <t>BNP Paribas Securities (Asia) Limited; China International Capital Corporation Hong Kong Securities Limited; CLSA Limited; CMB International Capital Limited; Futu Securities International (Hong Kong) Limited; GF Securities (Hong Kong) Brokerage Limited</t>
        </is>
      </c>
      <c r="BV278" s="63" t="inlineStr">
        <is>
          <t>BNP Paribas Securities (Asia) Limited; China International Capital Corporation Hong Kong Securities Limited; CLSA Limited; CMB International Capital Limited; Futu Securities International (Hong Kong) Limited; GF Securities (Hong Kong) Brokerage Limited; Goldman Sachs (Asia) L.L.C.; Huatai Financial Holdings (Hong Kong) Limited; Merrill Lynch (Asia Pacific) Limited; UBS AG Hong Kong Branch</t>
        </is>
      </c>
      <c r="BW278" s="63" t="n"/>
      <c r="BX278" s="78">
        <f>HYPERLINK("https://www1.hkexnews.hk/listedco/listconews/sehk/2024/0916/2024091600951.pdf","allotment")</f>
        <v/>
      </c>
      <c r="BY278" s="63" t="n"/>
      <c r="BZ278" s="76" t="n"/>
      <c r="CA278" s="63" t="inlineStr">
        <is>
          <t>greenshoe: end-of-stabilisation notice not located · price range: fixed-price offering (no indicative range) · range low: cap-only pricing — the filing publishes a Maximum Offer Price and no indicative floor · A/H: Sep 2024, ~US$4.0bn+greenshoe — the deal that opened the A-to-H wave; H priced at a double-digit discount to A · filing links: no prospectus document returned by the HKEX per-stock search for this code — the allotment announcement is linked beside it · grey market: no grey-market headline on file for this deal — AAStocks publishes one per listing but keeps only recent items on the stock's news page, and no public archive of past evening sessions exists; captured from this run onward · public sub: HKEX allotment table reads 9x, AAStocks 超額倍數 reads 5.3x on its own basis — the filing table kept</t>
        </is>
      </c>
    </row>
    <row r="279" ht="15" customHeight="1">
      <c r="A279" s="62" t="inlineStr">
        <is>
          <t>2549</t>
        </is>
      </c>
      <c r="B279" s="63" t="inlineStr">
        <is>
          <t>CAROTE LTD</t>
        </is>
      </c>
      <c r="C279" s="63" t="inlineStr">
        <is>
          <t>卡羅特</t>
        </is>
      </c>
      <c r="D279" s="63" t="inlineStr">
        <is>
          <t>Consumer</t>
        </is>
      </c>
      <c r="E279" s="63" t="inlineStr">
        <is>
          <t>Retail / distribution</t>
        </is>
      </c>
      <c r="F279" s="63" t="inlineStr">
        <is>
          <t>Housewares &amp; Specialties</t>
        </is>
      </c>
      <c r="G279" s="63" t="inlineStr">
        <is>
          <t>Standard</t>
        </is>
      </c>
      <c r="H279" s="64" t="n">
        <v>45567</v>
      </c>
      <c r="I279" s="65" t="n">
        <v>750.6</v>
      </c>
      <c r="J279" s="63" t="inlineStr">
        <is>
          <t>gross (price x shares)</t>
        </is>
      </c>
      <c r="K279" s="66" t="n"/>
      <c r="L279" s="66" t="n">
        <v>5.78</v>
      </c>
      <c r="M279" s="66" t="n">
        <v>5.78</v>
      </c>
      <c r="N279" s="63" t="inlineStr">
        <is>
          <t>Y</t>
        </is>
      </c>
      <c r="O279" s="67" t="n">
        <v>100</v>
      </c>
      <c r="P279" s="67" t="n"/>
      <c r="Q279" s="68" t="n">
        <v>2789.3</v>
      </c>
      <c r="R279" s="63" t="inlineStr">
        <is>
          <t>derived:deal size / offer % of enlarged capital</t>
        </is>
      </c>
      <c r="S279" s="69" t="n">
        <v>1347.27</v>
      </c>
      <c r="T279" s="70" t="n">
        <v>7.91</v>
      </c>
      <c r="U279" s="71" t="n">
        <v>41.7</v>
      </c>
      <c r="V279" s="68" t="n">
        <v>437.6</v>
      </c>
      <c r="W279" s="68" t="n">
        <v>75711004</v>
      </c>
      <c r="X279" s="67" t="n">
        <v>15.69</v>
      </c>
      <c r="Y279" s="63" t="inlineStr">
        <is>
          <t>MPC VII Pte. Ltd; YSC Go (BVI) Limited</t>
        </is>
      </c>
      <c r="Z279" s="63" t="inlineStr">
        <is>
          <t>mpc;ysc</t>
        </is>
      </c>
      <c r="AA279" s="67" t="n">
        <v>15</v>
      </c>
      <c r="AB279" s="72" t="n">
        <v>77.5</v>
      </c>
      <c r="AC279" s="66" t="n">
        <v>10.26</v>
      </c>
      <c r="AD279" s="72" t="n">
        <v>-10.82</v>
      </c>
      <c r="AE279" s="63" t="inlineStr">
        <is>
          <t>Y</t>
        </is>
      </c>
      <c r="AF279" s="63" t="inlineStr">
        <is>
          <t>2024-10-01</t>
        </is>
      </c>
      <c r="AG279" s="63" t="inlineStr">
        <is>
          <t>full</t>
        </is>
      </c>
      <c r="AH279" s="63" t="inlineStr">
        <is>
          <t>2024-10-26</t>
        </is>
      </c>
      <c r="AI279" s="63" t="inlineStr">
        <is>
          <t>CMB International Global Markets Limited</t>
        </is>
      </c>
      <c r="AJ279" s="63" t="inlineStr">
        <is>
          <t>CMB</t>
        </is>
      </c>
      <c r="AK279" s="73" t="n">
        <v>58.3</v>
      </c>
      <c r="AL279" s="72" t="n">
        <v>64.36</v>
      </c>
      <c r="AM279" s="72" t="n">
        <v>-3.69</v>
      </c>
      <c r="AN279" s="72" t="n">
        <v>17.65</v>
      </c>
      <c r="AO279" s="72" t="n">
        <v>-11.07</v>
      </c>
      <c r="AP279" s="72" t="n">
        <v>-14.01</v>
      </c>
      <c r="AQ279" s="72" t="n">
        <v>-25.68</v>
      </c>
      <c r="AR279" s="72" t="n">
        <v>-43.82</v>
      </c>
      <c r="AS279" s="72" t="n">
        <v>-45.68</v>
      </c>
      <c r="AT279" s="72" t="n">
        <v>19.24</v>
      </c>
      <c r="AU279" s="72" t="n">
        <v>-7.4</v>
      </c>
      <c r="AV279" s="72" t="n">
        <v>-6.67</v>
      </c>
      <c r="AW279" s="72" t="n">
        <v>-33.97</v>
      </c>
      <c r="AX279" s="72" t="n">
        <v>-3.67</v>
      </c>
      <c r="AY279" s="72" t="n">
        <v>-9.85</v>
      </c>
      <c r="AZ279" s="63" t="inlineStr">
        <is>
          <t>Hang Seng Commerce &amp; Industry sub-index</t>
        </is>
      </c>
      <c r="BA279" s="72" t="n">
        <v>-30.8</v>
      </c>
      <c r="BB279" s="64" t="inlineStr">
        <is>
          <t>2026-08-28</t>
        </is>
      </c>
      <c r="BC279" s="65" t="n">
        <v>1741.4</v>
      </c>
      <c r="BD279" s="68" t="n"/>
      <c r="BE279" s="63" t="inlineStr">
        <is>
          <t>Y</t>
        </is>
      </c>
      <c r="BF279" s="75">
        <f>IF('BBG Verify'!O279="","not filed — run on terminal",'BBG Verify'!O279)</f>
        <v/>
      </c>
      <c r="BG279" s="74" t="n"/>
      <c r="BH279" s="74" t="n">
        <v>6.8</v>
      </c>
      <c r="BI279" s="74" t="n">
        <v>1.6</v>
      </c>
      <c r="BJ279" s="75">
        <f>IF('BBG Verify'!S279="","not filed — run on terminal",'BBG Verify'!S279)</f>
        <v/>
      </c>
      <c r="BK279" s="76" t="inlineStr">
        <is>
          <t>N</t>
        </is>
      </c>
      <c r="BL279" s="77">
        <f>IF('BBG Verify'!K279="","not filed — run on terminal",'BBG Verify'!K279)</f>
        <v/>
      </c>
      <c r="BM279" s="63" t="inlineStr">
        <is>
          <t>N/A</t>
        </is>
      </c>
      <c r="BN279" s="63" t="inlineStr">
        <is>
          <t>N/A</t>
        </is>
      </c>
      <c r="BO279" s="63" t="inlineStr">
        <is>
          <t>N/A</t>
        </is>
      </c>
      <c r="BP279" s="63" t="inlineStr">
        <is>
          <t>N/A</t>
        </is>
      </c>
      <c r="BQ279" s="63" t="inlineStr">
        <is>
          <t>N/A</t>
        </is>
      </c>
      <c r="BR279" s="63" t="inlineStr">
        <is>
          <t>N/A</t>
        </is>
      </c>
      <c r="BS279" s="76" t="inlineStr">
        <is>
          <t>BNP Paribas Securities (Asia) Limited; CMB International Capital Limited</t>
        </is>
      </c>
      <c r="BT279" s="63" t="inlineStr">
        <is>
          <t>CMB International Capital Limited; BNP Paribas Securities (Asia) Limited</t>
        </is>
      </c>
      <c r="BU279" s="63" t="inlineStr">
        <is>
          <t>CMB International Capital Limited; BNP Paribas Securities (Asia) Limited</t>
        </is>
      </c>
      <c r="BV279" s="63" t="inlineStr">
        <is>
          <t>BNP Paribas Securities (Asia) Limited; CMB International Capital Limited; Futu Securities International (Hong Kong) Limited; Livermore Holdings Limited; Tiger Brokers (HK) Global Limited; TradeGo Markets Limited</t>
        </is>
      </c>
      <c r="BW279" s="78">
        <f>HYPERLINK("https://www1.hkexnews.hk/listedco/listconews/sehk/2024/0923/2024092300003.pdf","prospectus")</f>
        <v/>
      </c>
      <c r="BX279" s="78">
        <f>HYPERLINK("https://www1.hkexnews.hk/listedco/listconews/sehk/2024/0930/2024093002464.pdf","allotment")</f>
        <v/>
      </c>
      <c r="BY279" s="78">
        <f>HYPERLINK("https://www1.hkexnews.hk/listedco/listconews/sehk/2024/1028/2024102801048.pdf","stabilisation")</f>
        <v/>
      </c>
      <c r="BZ279" s="76" t="n"/>
      <c r="CA279" s="63" t="inlineStr">
        <is>
          <t>P/E: withheld — mktcap / net income gives 9,298x, which fails the 300x plausibility check; the extracted net income (HK$0.3m) is not trustworthy · range low: cap-only pricing — the filing publishes a Maximum Offer Price and no indicative floor · A/H: no A-share listing · cornerstone: table parse read 62% but the institutional total implies 42% — parse rejected, the filed aggregate-amount sentence used (41.7%) · financials: financial tables not machine-extractable and the pre-IPO year is outside AAStocks' 5-year window</t>
        </is>
      </c>
    </row>
    <row r="280" ht="15" customHeight="1">
      <c r="A280" s="62" t="inlineStr">
        <is>
          <t>2576</t>
        </is>
      </c>
      <c r="B280" s="63" t="inlineStr">
        <is>
          <t>TAIMEI TECH</t>
        </is>
      </c>
      <c r="C280" s="63" t="inlineStr">
        <is>
          <t>太美醫療科技</t>
        </is>
      </c>
      <c r="D280" s="63" t="inlineStr">
        <is>
          <t>Tech/AI</t>
        </is>
      </c>
      <c r="E280" s="63" t="inlineStr">
        <is>
          <t>SaaS / enterprise software</t>
        </is>
      </c>
      <c r="F280" s="63" t="inlineStr">
        <is>
          <t>Systems Software</t>
        </is>
      </c>
      <c r="G280" s="63" t="inlineStr">
        <is>
          <t>Standard</t>
        </is>
      </c>
      <c r="H280" s="64" t="n">
        <v>45573</v>
      </c>
      <c r="I280" s="65" t="n">
        <v>335.1</v>
      </c>
      <c r="J280" s="63" t="inlineStr">
        <is>
          <t>gross (stated)</t>
        </is>
      </c>
      <c r="K280" s="66" t="n"/>
      <c r="L280" s="66" t="n">
        <v>13</v>
      </c>
      <c r="M280" s="66" t="n">
        <v>13</v>
      </c>
      <c r="N280" s="63" t="inlineStr">
        <is>
          <t>Y</t>
        </is>
      </c>
      <c r="O280" s="67" t="n">
        <v>100</v>
      </c>
      <c r="P280" s="67" t="n"/>
      <c r="Q280" s="68" t="n">
        <v>6419.5</v>
      </c>
      <c r="R280" s="63" t="inlineStr">
        <is>
          <t>derived:deal size / offer % of enlarged capital</t>
        </is>
      </c>
      <c r="S280" s="69" t="n">
        <v>156.33</v>
      </c>
      <c r="T280" s="70" t="n">
        <v>2.58</v>
      </c>
      <c r="U280" s="71" t="n">
        <v>0</v>
      </c>
      <c r="V280" s="68" t="n">
        <v>335.1</v>
      </c>
      <c r="W280" s="68" t="n">
        <v>25779000</v>
      </c>
      <c r="X280" s="67" t="n">
        <v>5.22</v>
      </c>
      <c r="Y280" s="63" t="n"/>
      <c r="Z280" s="63" t="n"/>
      <c r="AA280" s="67" t="n">
        <v>5.22</v>
      </c>
      <c r="AB280" s="72" t="n">
        <v>-10.6</v>
      </c>
      <c r="AC280" s="66" t="n">
        <v>11.62</v>
      </c>
      <c r="AD280" s="72" t="n">
        <v>-20.84</v>
      </c>
      <c r="AE280" s="63" t="inlineStr">
        <is>
          <t>Y</t>
        </is>
      </c>
      <c r="AF280" s="63" t="inlineStr">
        <is>
          <t>2024-10-07</t>
        </is>
      </c>
      <c r="AG280" s="63" t="inlineStr">
        <is>
          <t>lapsed</t>
        </is>
      </c>
      <c r="AH280" s="63" t="inlineStr">
        <is>
          <t>2024-11-02</t>
        </is>
      </c>
      <c r="AI280" s="63" t="inlineStr">
        <is>
          <t>Morgan Stanley Asia Limited</t>
        </is>
      </c>
      <c r="AJ280" s="63" t="inlineStr">
        <is>
          <t>Morgan Stanley</t>
        </is>
      </c>
      <c r="AK280" s="73" t="n">
        <v>-29.23</v>
      </c>
      <c r="AL280" s="72" t="n">
        <v>-13.54</v>
      </c>
      <c r="AM280" s="72" t="n">
        <v>-18.15</v>
      </c>
      <c r="AN280" s="72" t="n">
        <v>-54.85</v>
      </c>
      <c r="AO280" s="72" t="n">
        <v>-54.62</v>
      </c>
      <c r="AP280" s="72" t="n">
        <v>-70.23</v>
      </c>
      <c r="AQ280" s="72" t="n">
        <v>-36.2</v>
      </c>
      <c r="AR280" s="72" t="n">
        <v>-35.88</v>
      </c>
      <c r="AS280" s="72" t="n">
        <v>-57.93</v>
      </c>
      <c r="AT280" s="72" t="n">
        <v>-36.24</v>
      </c>
      <c r="AU280" s="72" t="n">
        <v>-41.17</v>
      </c>
      <c r="AV280" s="72" t="n">
        <v>-49.7</v>
      </c>
      <c r="AW280" s="72" t="n">
        <v>-35.49</v>
      </c>
      <c r="AX280" s="72" t="n">
        <v>-13.45</v>
      </c>
      <c r="AY280" s="72" t="n">
        <v>-0.39</v>
      </c>
      <c r="AZ280" s="63" t="inlineStr">
        <is>
          <t>HSTECH (Hang Seng TECH ETF)</t>
        </is>
      </c>
      <c r="BA280" s="72" t="n">
        <v>-56.38</v>
      </c>
      <c r="BB280" s="64" t="inlineStr">
        <is>
          <t>2026-08-28</t>
        </is>
      </c>
      <c r="BC280" s="65" t="n">
        <v>630.5</v>
      </c>
      <c r="BD280" s="68" t="n">
        <v>-464.8</v>
      </c>
      <c r="BE280" s="63" t="inlineStr">
        <is>
          <t>N</t>
        </is>
      </c>
      <c r="BF280" s="63" t="inlineStr">
        <is>
          <t>n/m</t>
        </is>
      </c>
      <c r="BG280" s="74" t="n"/>
      <c r="BH280" s="74" t="n"/>
      <c r="BI280" s="74" t="n">
        <v>10.2</v>
      </c>
      <c r="BJ280" s="75">
        <f>IF('BBG Verify'!S280="","not filed — run on terminal",'BBG Verify'!S280)</f>
        <v/>
      </c>
      <c r="BK280" s="76" t="inlineStr">
        <is>
          <t>N</t>
        </is>
      </c>
      <c r="BL280" s="77">
        <f>IF('BBG Verify'!K280="","not filed — run on terminal",'BBG Verify'!K280)</f>
        <v/>
      </c>
      <c r="BM280" s="63" t="inlineStr">
        <is>
          <t>N/A</t>
        </is>
      </c>
      <c r="BN280" s="63" t="inlineStr">
        <is>
          <t>N/A</t>
        </is>
      </c>
      <c r="BO280" s="63" t="inlineStr">
        <is>
          <t>N/A</t>
        </is>
      </c>
      <c r="BP280" s="63" t="inlineStr">
        <is>
          <t>N/A</t>
        </is>
      </c>
      <c r="BQ280" s="63" t="inlineStr">
        <is>
          <t>N/A</t>
        </is>
      </c>
      <c r="BR280" s="63" t="inlineStr">
        <is>
          <t>N/A</t>
        </is>
      </c>
      <c r="BS280" s="76" t="n"/>
      <c r="BT280" s="63" t="inlineStr">
        <is>
          <t>China International Capital Corporation Hong Kong Securities Limited; Morgan Stanley Asia Limited</t>
        </is>
      </c>
      <c r="BU280" s="63" t="inlineStr">
        <is>
          <t>Morgan Stanley Asia Limited; China International Capital Corporation Hong Kong Securities Limited; Huatai Financial Holdings (Hong Kong) Limited; CMB International Capital Limited; Futu Securities International (Hong Kong) Limited; Tiger Brokers (HK) Global Limited; Valuable Capital Limited</t>
        </is>
      </c>
      <c r="BV280" s="63" t="inlineStr">
        <is>
          <t>CCB International Capital Limited; China International Capital Corporation Hong Kong Securities Limited; CMB International Capital Limited; Futu Securities International (Hong Kong) Limited; Huatai Financial Holdings (Hong Kong) Limited; Morgan Stanley Asia Limited; Tiger Brokers (HK) Global Limited; Valuable Capital Limited</t>
        </is>
      </c>
      <c r="BW280" s="78">
        <f>HYPERLINK("https://www1.hkexnews.hk/listedco/listconews/sehk/2024/0927/2024092700025.pdf","prospectus")</f>
        <v/>
      </c>
      <c r="BX280" s="78">
        <f>HYPERLINK("https://www1.hkexnews.hk/listedco/listconews/sehk/2024/1007/2024100701772.pdf","allotment")</f>
        <v/>
      </c>
      <c r="BY280" s="78">
        <f>HYPERLINK("https://www1.hkexnews.hk/listedco/listconews/sehk/2024/1103/2024110300003.pdf","stabilisation")</f>
        <v/>
      </c>
      <c r="BZ280" s="76" t="n"/>
      <c r="CA280" s="63" t="inlineStr">
        <is>
          <t>P/E: n/m — loss-making at IPO (use P/S) · range low: cap-only pricing — the filing publishes a Maximum Offer Price and no indicative floor · A/H: no A-share listing · sponsor: English name not in the filing text; AAStocks 保薦人 shown · cornerstone list: no cornerstone tranche in this deal</t>
        </is>
      </c>
    </row>
    <row r="281" ht="15" customHeight="1">
      <c r="A281" s="62" t="inlineStr">
        <is>
          <t>9639</t>
        </is>
      </c>
      <c r="B281" s="63" t="inlineStr">
        <is>
          <t>WING LEE DEV</t>
        </is>
      </c>
      <c r="C281" s="63" t="inlineStr">
        <is>
          <t>榮利營造</t>
        </is>
      </c>
      <c r="D281" s="63" t="inlineStr">
        <is>
          <t>Industrials</t>
        </is>
      </c>
      <c r="E281" s="63" t="inlineStr">
        <is>
          <t>Construction / engineering</t>
        </is>
      </c>
      <c r="F281" s="63" t="inlineStr">
        <is>
          <t>Construction &amp; Engineering</t>
        </is>
      </c>
      <c r="G281" s="63" t="inlineStr">
        <is>
          <t>Standard</t>
        </is>
      </c>
      <c r="H281" s="64" t="n">
        <v>45574</v>
      </c>
      <c r="I281" s="65" t="n">
        <v>182.5</v>
      </c>
      <c r="J281" s="63" t="inlineStr">
        <is>
          <t>gross (stated)</t>
        </is>
      </c>
      <c r="K281" s="66" t="n">
        <v>0.57</v>
      </c>
      <c r="L281" s="66" t="n">
        <v>0.73</v>
      </c>
      <c r="M281" s="66" t="n">
        <v>0.73</v>
      </c>
      <c r="N281" s="63" t="inlineStr">
        <is>
          <t>Y</t>
        </is>
      </c>
      <c r="O281" s="67" t="n">
        <v>100</v>
      </c>
      <c r="P281" s="67" t="n">
        <v>100</v>
      </c>
      <c r="Q281" s="68" t="n">
        <v>730</v>
      </c>
      <c r="R281" s="63" t="inlineStr">
        <is>
          <t>derived:deal size / offer % of enlarged capital</t>
        </is>
      </c>
      <c r="S281" s="69" t="n">
        <v>120.6</v>
      </c>
      <c r="T281" s="70" t="n">
        <v>1.14</v>
      </c>
      <c r="U281" s="71" t="n">
        <v>21.2</v>
      </c>
      <c r="V281" s="68" t="n">
        <v>143.81</v>
      </c>
      <c r="W281" s="68" t="n"/>
      <c r="X281" s="67" t="n">
        <v>19.7</v>
      </c>
      <c r="Y281" s="63" t="inlineStr">
        <is>
          <t>Accel Group Holdings Limited; Sany Hongkong Group Limited; The Triplex Holdings Limited</t>
        </is>
      </c>
      <c r="Z281" s="63" t="inlineStr">
        <is>
          <t>accel;sany;triplex</t>
        </is>
      </c>
      <c r="AA281" s="67" t="n">
        <v>15</v>
      </c>
      <c r="AB281" s="72" t="n">
        <v>-21.9</v>
      </c>
      <c r="AC281" s="66" t="n">
        <v>0.57</v>
      </c>
      <c r="AD281" s="72" t="n">
        <v>8.75</v>
      </c>
      <c r="AE281" s="63" t="inlineStr">
        <is>
          <t>Y</t>
        </is>
      </c>
      <c r="AF281" s="63" t="inlineStr">
        <is>
          <t>2024-10-08</t>
        </is>
      </c>
      <c r="AG281" s="63" t="n"/>
      <c r="AH281" s="63" t="n"/>
      <c r="AI281" s="63" t="n"/>
      <c r="AJ281" s="63" t="n"/>
      <c r="AK281" s="73" t="n">
        <v>-15.07</v>
      </c>
      <c r="AL281" s="72" t="n">
        <v>-31.51</v>
      </c>
      <c r="AM281" s="72" t="n">
        <v>24</v>
      </c>
      <c r="AN281" s="72" t="n">
        <v>-39.73</v>
      </c>
      <c r="AO281" s="72" t="n">
        <v>-36.99</v>
      </c>
      <c r="AP281" s="72" t="n">
        <v>-44.52</v>
      </c>
      <c r="AQ281" s="72" t="n">
        <v>-29.04</v>
      </c>
      <c r="AR281" s="72" t="n">
        <v>-25.81</v>
      </c>
      <c r="AS281" s="72" t="n">
        <v>-34.68</v>
      </c>
      <c r="AT281" s="72" t="n">
        <v>-34.14</v>
      </c>
      <c r="AU281" s="72" t="n">
        <v>-34.57</v>
      </c>
      <c r="AV281" s="72" t="n">
        <v>-33.26</v>
      </c>
      <c r="AW281" s="72" t="n">
        <v>-24.6</v>
      </c>
      <c r="AX281" s="72" t="n">
        <v>-2.42</v>
      </c>
      <c r="AY281" s="72" t="n">
        <v>-1.21</v>
      </c>
      <c r="AZ281" s="63" t="inlineStr">
        <is>
          <t>Hang Seng Commerce &amp; Industry sub-index</t>
        </is>
      </c>
      <c r="BA281" s="72" t="n">
        <v>31.51</v>
      </c>
      <c r="BB281" s="64" t="inlineStr">
        <is>
          <t>2026-08-28</t>
        </is>
      </c>
      <c r="BC281" s="65" t="n">
        <v>526.1</v>
      </c>
      <c r="BD281" s="68" t="n">
        <v>76.90000000000001</v>
      </c>
      <c r="BE281" s="63" t="inlineStr">
        <is>
          <t>Y</t>
        </is>
      </c>
      <c r="BF281" s="74" t="n">
        <v>9.5</v>
      </c>
      <c r="BG281" s="74" t="n"/>
      <c r="BH281" s="74" t="n">
        <v>57.2</v>
      </c>
      <c r="BI281" s="74" t="n">
        <v>1.4</v>
      </c>
      <c r="BJ281" s="75">
        <f>IF('BBG Verify'!S281="","not filed — run on terminal",'BBG Verify'!S281)</f>
        <v/>
      </c>
      <c r="BK281" s="76" t="inlineStr">
        <is>
          <t>N</t>
        </is>
      </c>
      <c r="BL281" s="77">
        <f>IF('BBG Verify'!K281="","not filed — run on terminal",'BBG Verify'!K281)</f>
        <v/>
      </c>
      <c r="BM281" s="63" t="inlineStr">
        <is>
          <t>N/A</t>
        </is>
      </c>
      <c r="BN281" s="63" t="inlineStr">
        <is>
          <t>N/A</t>
        </is>
      </c>
      <c r="BO281" s="63" t="inlineStr">
        <is>
          <t>N/A</t>
        </is>
      </c>
      <c r="BP281" s="63" t="inlineStr">
        <is>
          <t>N/A</t>
        </is>
      </c>
      <c r="BQ281" s="63" t="inlineStr">
        <is>
          <t>N/A</t>
        </is>
      </c>
      <c r="BR281" s="63" t="inlineStr">
        <is>
          <t>N/A</t>
        </is>
      </c>
      <c r="BS281" s="76" t="inlineStr">
        <is>
          <t>Alliance Capital Partners Limited</t>
        </is>
      </c>
      <c r="BT281" s="63" t="inlineStr">
        <is>
          <t>Alliance Capital Partners Limited</t>
        </is>
      </c>
      <c r="BU281" s="63" t="inlineStr">
        <is>
          <t>Alliance Capital Partners Limited; China Galaxy International Securities (Hong Kong) Co., Limited; CMBC Securities Company Limited; ABCI Capital Limited; China Industrial Securities International Capital Limited</t>
        </is>
      </c>
      <c r="BV281" s="63" t="inlineStr">
        <is>
          <t>ABCI Securities Company Limited; Alliance Capital Partners Limited; China Galaxy International Securities (Hong Kong) Company Limited; Cinda International Capital Limited; China Industrial Securities International Capital Limited; CMBC Securities Company Limited; Futu Securities International (Hong Kong) Limited; Gaoyu Securities Limited; Haitong International Securities Company Limited; Livermore Holdings Limited; Phillip Securities (Hong Kong) Limited; ZMF Asset Management Limited</t>
        </is>
      </c>
      <c r="BW281" s="78">
        <f>HYPERLINK("https://www1.hkexnews.hk/listedco/listconews/sehk/2024/0927/2024092700039.pdf","prospectus")</f>
        <v/>
      </c>
      <c r="BX281" s="78">
        <f>HYPERLINK("https://www1.hkexnews.hk/listedco/listconews/sehk/2024/1008/2024100801016.pdf","allotment")</f>
        <v/>
      </c>
      <c r="BY281" s="63" t="n"/>
      <c r="BZ281" s="76" t="n"/>
      <c r="CA281" s="63" t="inlineStr">
        <is>
          <t>greenshoe: end-of-stabilisation notice not located · A/H: no A-share listing · market cap: prospectus 'market capitalisation' line rejected — it is the listing-rule threshold, not the issuer's figure ("f Offer Shares and/or Offer Price resulting in the expected market capitalisation of our Company falling below") · stabilising manager: neither the allotment announcement's cover sentence nor the prospectus definitions glossary names one in a form the parser reads — not inferred from the sponsor · eff float shares: share count unavailable or rejected as implausible — the money figure (eff_free_float_hkdm) is still exact</t>
        </is>
      </c>
    </row>
    <row r="282" ht="15" customHeight="1">
      <c r="A282" s="62" t="inlineStr">
        <is>
          <t>2567</t>
        </is>
      </c>
      <c r="B282" s="63" t="inlineStr">
        <is>
          <t>QINIU</t>
        </is>
      </c>
      <c r="C282" s="63" t="inlineStr">
        <is>
          <t>七牛智能</t>
        </is>
      </c>
      <c r="D282" s="63" t="inlineStr">
        <is>
          <t>Tech/AI</t>
        </is>
      </c>
      <c r="E282" s="63" t="inlineStr">
        <is>
          <t>Data center / cloud infra</t>
        </is>
      </c>
      <c r="F282" s="63" t="inlineStr">
        <is>
          <t>Systems Software</t>
        </is>
      </c>
      <c r="G282" s="63" t="inlineStr">
        <is>
          <t>Standard</t>
        </is>
      </c>
      <c r="H282" s="64" t="n">
        <v>45581</v>
      </c>
      <c r="I282" s="65" t="n">
        <v>439.3</v>
      </c>
      <c r="J282" s="63" t="inlineStr">
        <is>
          <t>gross (stated)</t>
        </is>
      </c>
      <c r="K282" s="66" t="n">
        <v>2.74</v>
      </c>
      <c r="L282" s="66" t="n">
        <v>2.86</v>
      </c>
      <c r="M282" s="66" t="n">
        <v>2.75</v>
      </c>
      <c r="N282" s="63" t="inlineStr">
        <is>
          <t>N</t>
        </is>
      </c>
      <c r="O282" s="67" t="n">
        <v>96.2</v>
      </c>
      <c r="P282" s="67" t="n">
        <v>8.300000000000001</v>
      </c>
      <c r="Q282" s="68" t="n">
        <v>5490.8</v>
      </c>
      <c r="R282" s="63" t="inlineStr">
        <is>
          <t>derived:price x shares upon listing</t>
        </is>
      </c>
      <c r="S282" s="69" t="n">
        <v>19.87</v>
      </c>
      <c r="T282" s="70" t="n">
        <v>1.02</v>
      </c>
      <c r="U282" s="71" t="n">
        <v>63.5</v>
      </c>
      <c r="V282" s="68" t="n">
        <v>160.34</v>
      </c>
      <c r="W282" s="68" t="n">
        <v>58308750</v>
      </c>
      <c r="X282" s="67" t="n">
        <v>2.92</v>
      </c>
      <c r="Y282" s="63" t="inlineStr">
        <is>
          <t>Woseon Limited Partnership</t>
        </is>
      </c>
      <c r="Z282" s="63" t="inlineStr">
        <is>
          <t>woseon</t>
        </is>
      </c>
      <c r="AA282" s="67" t="n">
        <v>9.1</v>
      </c>
      <c r="AB282" s="72" t="n">
        <v>-33.1</v>
      </c>
      <c r="AC282" s="66" t="n">
        <v>1.84</v>
      </c>
      <c r="AD282" s="72" t="n">
        <v>-35.32</v>
      </c>
      <c r="AE282" s="63" t="inlineStr">
        <is>
          <t>Y</t>
        </is>
      </c>
      <c r="AF282" s="63" t="inlineStr">
        <is>
          <t>2024-10-15</t>
        </is>
      </c>
      <c r="AG282" s="63" t="inlineStr">
        <is>
          <t>lapsed (no over-allocation)</t>
        </is>
      </c>
      <c r="AH282" s="63" t="n"/>
      <c r="AI282" s="63" t="inlineStr">
        <is>
          <t>Shenwan Hongyuan Securities</t>
        </is>
      </c>
      <c r="AJ282" s="63" t="inlineStr">
        <is>
          <t>Shenwan Hongyuan</t>
        </is>
      </c>
      <c r="AK282" s="73" t="n">
        <v>-56.73</v>
      </c>
      <c r="AL282" s="72" t="n">
        <v>-41.82</v>
      </c>
      <c r="AM282" s="72" t="n">
        <v>-25.63</v>
      </c>
      <c r="AN282" s="72" t="n">
        <v>-56.73</v>
      </c>
      <c r="AO282" s="72" t="n">
        <v>-62.55</v>
      </c>
      <c r="AP282" s="72" t="n">
        <v>-75.27</v>
      </c>
      <c r="AQ282" s="72" t="n">
        <v>0</v>
      </c>
      <c r="AR282" s="72" t="n">
        <v>-13.45</v>
      </c>
      <c r="AS282" s="72" t="n">
        <v>-42.85</v>
      </c>
      <c r="AT282" s="72" t="n">
        <v>-60.39</v>
      </c>
      <c r="AU282" s="72" t="n">
        <v>-59.44</v>
      </c>
      <c r="AV282" s="72" t="n">
        <v>-74.34999999999999</v>
      </c>
      <c r="AW282" s="72" t="n">
        <v>-11.42</v>
      </c>
      <c r="AX282" s="72" t="n">
        <v>-3.11</v>
      </c>
      <c r="AY282" s="72" t="n">
        <v>-2.03</v>
      </c>
      <c r="AZ282" s="63" t="inlineStr">
        <is>
          <t>HSTECH (Hang Seng TECH ETF)</t>
        </is>
      </c>
      <c r="BA282" s="72" t="n">
        <v>-87.45</v>
      </c>
      <c r="BB282" s="64" t="inlineStr">
        <is>
          <t>2026-08-28</t>
        </is>
      </c>
      <c r="BC282" s="65" t="n">
        <v>1467.4</v>
      </c>
      <c r="BD282" s="68" t="n">
        <v>-356.5</v>
      </c>
      <c r="BE282" s="63" t="inlineStr">
        <is>
          <t>N</t>
        </is>
      </c>
      <c r="BF282" s="63" t="inlineStr">
        <is>
          <t>n/m</t>
        </is>
      </c>
      <c r="BG282" s="74" t="n"/>
      <c r="BH282" s="74" t="n"/>
      <c r="BI282" s="74" t="n">
        <v>3.7</v>
      </c>
      <c r="BJ282" s="75">
        <f>IF('BBG Verify'!S282="","not filed — run on terminal",'BBG Verify'!S282)</f>
        <v/>
      </c>
      <c r="BK282" s="76" t="inlineStr">
        <is>
          <t>N</t>
        </is>
      </c>
      <c r="BL282" s="77">
        <f>IF('BBG Verify'!K282="","not filed — run on terminal",'BBG Verify'!K282)</f>
        <v/>
      </c>
      <c r="BM282" s="63" t="inlineStr">
        <is>
          <t>N/A</t>
        </is>
      </c>
      <c r="BN282" s="63" t="inlineStr">
        <is>
          <t>N/A</t>
        </is>
      </c>
      <c r="BO282" s="63" t="inlineStr">
        <is>
          <t>N/A</t>
        </is>
      </c>
      <c r="BP282" s="63" t="inlineStr">
        <is>
          <t>N/A</t>
        </is>
      </c>
      <c r="BQ282" s="63" t="inlineStr">
        <is>
          <t>N/A</t>
        </is>
      </c>
      <c r="BR282" s="63" t="inlineStr">
        <is>
          <t>N/A</t>
        </is>
      </c>
      <c r="BS282" s="76" t="inlineStr">
        <is>
          <t>Shenwan Hongyuan Capital (H.K.) Limited; BOCOM International (Asia) Limited</t>
        </is>
      </c>
      <c r="BT282" s="63" t="inlineStr">
        <is>
          <t>Shenwan Hongyuan Capital (H.K.) Limited</t>
        </is>
      </c>
      <c r="BU282" s="63" t="inlineStr">
        <is>
          <t>Shenwan Hongyuan Securities (H.K.) Limited; BOCOM International Securities Limited; Huatai Financial Holdings (Hong Kong) Limited; GF Securities (Hong Kong) Brokerage Limited; CMB International Capital Limited; ABCI Capital Limited; Zheshang International Financial Holdings Co., Limited; China Merchants Securities (HK) Co., Limited; CMBC Securities Company Limited</t>
        </is>
      </c>
      <c r="BV282" s="63" t="inlineStr">
        <is>
          <t>ABCI Securities Company Limited; BOCOM International Securities Limited; CMBC Securities Company Limited; CMB International Capital Limited; China Merchants Securities (HK) Company Limited; Futu Securities International (Hong Kong) Limited; GF Securities (Hong Kong) Brokerage Limited; Huatai Financial Holdings (Hong Kong) Limited; Livermore Holdings Limited; SDICS International Securities (Hong Kong) Limited; Shenwan Hongyuan Securities (H.K.) Limited; Tiger Brokers (HK) Global Limited</t>
        </is>
      </c>
      <c r="BW282" s="78">
        <f>HYPERLINK("https://www1.hkexnews.hk/listedco/listconews/sehk/2024/0930/2024093000011.pdf","prospectus")</f>
        <v/>
      </c>
      <c r="BX282" s="78">
        <f>HYPERLINK("https://www1.hkexnews.hk/listedco/listconews/sehk/2024/1015/2024101500998.pdf","allotment")</f>
        <v/>
      </c>
      <c r="BY282" s="78">
        <f>HYPERLINK("https://www1.hkexnews.hk/listedco/listconews/sehk/2024/1111/2024111100811.pdf","stabilisation")</f>
        <v/>
      </c>
      <c r="BZ282" s="76" t="n"/>
      <c r="CA282" s="63" t="inlineStr">
        <is>
          <t>P/E: n/m — loss-making at IPO (use P/S) · greenshoe: over-allotment outcome already published, and the allotment announcement does not state the stabilisation expiry in a parsable form — the expiry no longer matters once resolved · A/H: no A-share listing</t>
        </is>
      </c>
    </row>
    <row r="283" ht="15" customHeight="1">
      <c r="A283" s="62" t="inlineStr">
        <is>
          <t>2460</t>
        </is>
      </c>
      <c r="B283" s="63" t="inlineStr">
        <is>
          <t>CR BEVERAGE</t>
        </is>
      </c>
      <c r="C283" s="63" t="inlineStr">
        <is>
          <t>華潤飲料</t>
        </is>
      </c>
      <c r="D283" s="63" t="inlineStr">
        <is>
          <t>Consumer</t>
        </is>
      </c>
      <c r="E283" s="63" t="inlineStr">
        <is>
          <t>Beverages / packaged food</t>
        </is>
      </c>
      <c r="F283" s="63" t="inlineStr">
        <is>
          <t>Beverages (Non-alcoholic)</t>
        </is>
      </c>
      <c r="G283" s="63" t="inlineStr">
        <is>
          <t>Standard</t>
        </is>
      </c>
      <c r="H283" s="64" t="n">
        <v>45588</v>
      </c>
      <c r="I283" s="65" t="n">
        <v>5043.5</v>
      </c>
      <c r="J283" s="63" t="inlineStr">
        <is>
          <t>gross (price x shares)</t>
        </is>
      </c>
      <c r="K283" s="66" t="n">
        <v>13.5</v>
      </c>
      <c r="L283" s="66" t="n">
        <v>14.5</v>
      </c>
      <c r="M283" s="66" t="n">
        <v>14.5</v>
      </c>
      <c r="N283" s="63" t="inlineStr">
        <is>
          <t>Y</t>
        </is>
      </c>
      <c r="O283" s="67" t="n">
        <v>100</v>
      </c>
      <c r="P283" s="67" t="n">
        <v>100</v>
      </c>
      <c r="Q283" s="68" t="n">
        <v>34077.7</v>
      </c>
      <c r="R283" s="63" t="inlineStr">
        <is>
          <t>derived:deal size / offer % of enlarged capital</t>
        </is>
      </c>
      <c r="S283" s="69" t="n">
        <v>234.49</v>
      </c>
      <c r="T283" s="70" t="n">
        <v>24.47</v>
      </c>
      <c r="U283" s="71" t="n">
        <v>47.72</v>
      </c>
      <c r="V283" s="68" t="n">
        <v>2636.74</v>
      </c>
      <c r="W283" s="68" t="n">
        <v>181843537</v>
      </c>
      <c r="X283" s="67" t="n">
        <v>7.74</v>
      </c>
      <c r="Y283" s="63" t="inlineStr">
        <is>
          <t>Athos Capital Limited; China Post Life Insurance Company Limited; China Travel Service (Holdings) Hong Kong Limited; Ghisallo Master Fund LP; Oaktree Capital Management, L.P; Pamalican Fund Ltd; PT Indadi Juver; UBS AM Singapore; Wildlife Willow Limited</t>
        </is>
      </c>
      <c r="Z283" s="63" t="inlineStr">
        <is>
          <t>athos;post;travel;ghisallo;oaktree;pamalican;pt;ubs;wildlife</t>
        </is>
      </c>
      <c r="AA283" s="67" t="n">
        <v>15</v>
      </c>
      <c r="AB283" s="72" t="n"/>
      <c r="AC283" s="66" t="n"/>
      <c r="AD283" s="72" t="n"/>
      <c r="AE283" s="63" t="n"/>
      <c r="AF283" s="63" t="n"/>
      <c r="AG283" s="63" t="inlineStr">
        <is>
          <t>partial</t>
        </is>
      </c>
      <c r="AH283" s="63" t="inlineStr">
        <is>
          <t>2024-11-17</t>
        </is>
      </c>
      <c r="AI283" s="63" t="inlineStr">
        <is>
          <t>UBS AG Hong Kong Branch</t>
        </is>
      </c>
      <c r="AJ283" s="63" t="inlineStr">
        <is>
          <t>UBS</t>
        </is>
      </c>
      <c r="AK283" s="73" t="n">
        <v>15.03</v>
      </c>
      <c r="AL283" s="72" t="n">
        <v>13.52</v>
      </c>
      <c r="AM283" s="72" t="n">
        <v>1.33</v>
      </c>
      <c r="AN283" s="72" t="n">
        <v>6.62</v>
      </c>
      <c r="AO283" s="72" t="n">
        <v>-15.03</v>
      </c>
      <c r="AP283" s="72" t="n">
        <v>-18.07</v>
      </c>
      <c r="AQ283" s="72" t="n">
        <v>-7.31</v>
      </c>
      <c r="AR283" s="72" t="n">
        <v>-26.13</v>
      </c>
      <c r="AS283" s="72" t="n">
        <v>-28.78</v>
      </c>
      <c r="AT283" s="72" t="n">
        <v>7.43</v>
      </c>
      <c r="AU283" s="72" t="n">
        <v>-9.75</v>
      </c>
      <c r="AV283" s="72" t="n">
        <v>-12.42</v>
      </c>
      <c r="AW283" s="72" t="n">
        <v>-19.27</v>
      </c>
      <c r="AX283" s="72" t="n">
        <v>-5.28</v>
      </c>
      <c r="AY283" s="72" t="n">
        <v>-6.86</v>
      </c>
      <c r="AZ283" s="63" t="inlineStr">
        <is>
          <t>Hang Seng Commerce &amp; Industry sub-index</t>
        </is>
      </c>
      <c r="BA283" s="72" t="n">
        <v>-49.69</v>
      </c>
      <c r="BB283" s="64" t="inlineStr">
        <is>
          <t>2026-08-28</t>
        </is>
      </c>
      <c r="BC283" s="65" t="n">
        <v>14866.2</v>
      </c>
      <c r="BD283" s="68" t="n">
        <v>1464.5</v>
      </c>
      <c r="BE283" s="63" t="inlineStr">
        <is>
          <t>Y</t>
        </is>
      </c>
      <c r="BF283" s="74" t="n">
        <v>23.3</v>
      </c>
      <c r="BG283" s="74" t="n">
        <v>23.2</v>
      </c>
      <c r="BH283" s="74" t="n">
        <v>16</v>
      </c>
      <c r="BI283" s="74" t="n">
        <v>2.3</v>
      </c>
      <c r="BJ283" s="75">
        <f>IF('BBG Verify'!S283="","not filed — run on terminal",'BBG Verify'!S283)</f>
        <v/>
      </c>
      <c r="BK283" s="76" t="inlineStr">
        <is>
          <t>N</t>
        </is>
      </c>
      <c r="BL283" s="77">
        <f>IF('BBG Verify'!K283="","not filed — run on terminal",'BBG Verify'!K283)</f>
        <v/>
      </c>
      <c r="BM283" s="63" t="inlineStr">
        <is>
          <t>N/A</t>
        </is>
      </c>
      <c r="BN283" s="63" t="inlineStr">
        <is>
          <t>N/A</t>
        </is>
      </c>
      <c r="BO283" s="63" t="inlineStr">
        <is>
          <t>N/A</t>
        </is>
      </c>
      <c r="BP283" s="63" t="inlineStr">
        <is>
          <t>N/A</t>
        </is>
      </c>
      <c r="BQ283" s="63" t="inlineStr">
        <is>
          <t>N/A</t>
        </is>
      </c>
      <c r="BR283" s="63" t="inlineStr">
        <is>
          <t>N/A</t>
        </is>
      </c>
      <c r="BS283" s="76" t="inlineStr">
        <is>
          <t>UBS Securities Hong Kong Limited; BOCI Asia Limited; CITIC Securities (Hong Kong) Limited; Merrill Lynch (Asia Pacific) Limited</t>
        </is>
      </c>
      <c r="BT283" s="63" t="inlineStr">
        <is>
          <t>UBS Securities Hong Kong Limited; Merrill Lynch (Asia Pacific) Limited; CITIC Securities (Hong Kong) Limited; BOCI Asia Limited</t>
        </is>
      </c>
      <c r="BU283" s="63" t="inlineStr">
        <is>
          <t>UBS AG Hong Kong Branch; BOCI Asia Limited; CLSA Limited; Merrill Lynch (Asia Pacific) Limited; China International Capital Corporation Hong Kong Securities Limited; CMB International Capital Limited; The Hongkong and Shanghai Banking Corporation Limited; ABCI Capital Limited; CCB International Capital Limited</t>
        </is>
      </c>
      <c r="BV283" s="63" t="inlineStr">
        <is>
          <t>ABCI Securities Company Limited; BOCI Asia Limited; CCB International Capital Limited; China International Capital Corporation Hong Kong Securities Limited; CLSA Limited; CMB International Capital Limited; Huatai Financial Holdings (Hong Kong) Limited; The Hongkong and Shanghai Banking Corporation Limited; Merrill Lynch (Asia Pacific) Limited; UBS AG Hong Kong Branch</t>
        </is>
      </c>
      <c r="BW283" s="78">
        <f>HYPERLINK("https://www1.hkexnews.hk/listedco/listconews/sehk/2024/1015/2024101500009.pdf","prospectus")</f>
        <v/>
      </c>
      <c r="BX283" s="78">
        <f>HYPERLINK("https://www1.hkexnews.hk/listedco/listconews/sehk/2024/1022/2024102201053.pdf","allotment")</f>
        <v/>
      </c>
      <c r="BY283" s="78">
        <f>HYPERLINK("https://www1.hkexnews.hk/listedco/listconews/sehk/2024/1118/2024111801006.pdf","stabilisation")</f>
        <v/>
      </c>
      <c r="BZ283" s="76" t="n"/>
      <c r="CA283" s="63" t="inlineStr">
        <is>
          <t>A/H: no A-share listing · grey market: no grey-market headline on file for this deal — AAStocks publishes one per listing but keeps only recent items on the stock's news page, and no public archive of past evening sessions exists; captured from this run onward</t>
        </is>
      </c>
    </row>
    <row r="284" ht="15" customHeight="1">
      <c r="A284" s="62" t="inlineStr">
        <is>
          <t>9660</t>
        </is>
      </c>
      <c r="B284" s="63" t="inlineStr">
        <is>
          <t>HORIZONROBOT-W</t>
        </is>
      </c>
      <c r="C284" s="63" t="inlineStr">
        <is>
          <t>地平線機器人－Ｗ</t>
        </is>
      </c>
      <c r="D284" s="63" t="inlineStr">
        <is>
          <t>Tech/AI</t>
        </is>
      </c>
      <c r="E284" s="63" t="inlineStr">
        <is>
          <t>AI chips &amp; semis</t>
        </is>
      </c>
      <c r="F284" s="63" t="inlineStr">
        <is>
          <t>Application Software</t>
        </is>
      </c>
      <c r="G284" s="63" t="inlineStr">
        <is>
          <t>WVR</t>
        </is>
      </c>
      <c r="H284" s="64" t="n">
        <v>45589</v>
      </c>
      <c r="I284" s="65" t="n">
        <v>5407</v>
      </c>
      <c r="J284" s="63" t="inlineStr">
        <is>
          <t>gross (stated)</t>
        </is>
      </c>
      <c r="K284" s="66" t="n"/>
      <c r="L284" s="66" t="n">
        <v>3.99</v>
      </c>
      <c r="M284" s="66" t="n">
        <v>3.99</v>
      </c>
      <c r="N284" s="63" t="inlineStr">
        <is>
          <t>Y</t>
        </is>
      </c>
      <c r="O284" s="67" t="n">
        <v>100</v>
      </c>
      <c r="P284" s="67" t="n"/>
      <c r="Q284" s="68" t="n">
        <v>51989.2</v>
      </c>
      <c r="R284" s="63" t="inlineStr">
        <is>
          <t>derived:price x shares upon listing</t>
        </is>
      </c>
      <c r="S284" s="69" t="n">
        <v>33.83</v>
      </c>
      <c r="T284" s="70" t="n">
        <v>13.81</v>
      </c>
      <c r="U284" s="71" t="n">
        <v>31.56</v>
      </c>
      <c r="V284" s="68" t="n">
        <v>3700.55</v>
      </c>
      <c r="W284" s="68" t="n">
        <v>927434957</v>
      </c>
      <c r="X284" s="67" t="n">
        <v>7.12</v>
      </c>
      <c r="Y284" s="63" t="inlineStr">
        <is>
          <t>Alisoft China Holding Limited; Baidu (Hong Kong) Limited; JSC International Investment Fund SPC; PARTICIPATIONS 1</t>
        </is>
      </c>
      <c r="Z284" s="63" t="inlineStr">
        <is>
          <t>alisoft;baidu;jsc;participations</t>
        </is>
      </c>
      <c r="AA284" s="67" t="n">
        <v>15</v>
      </c>
      <c r="AB284" s="72" t="n"/>
      <c r="AC284" s="66" t="n"/>
      <c r="AD284" s="72" t="n"/>
      <c r="AE284" s="63" t="n"/>
      <c r="AF284" s="63" t="n"/>
      <c r="AG284" s="63" t="inlineStr">
        <is>
          <t>partial</t>
        </is>
      </c>
      <c r="AH284" s="63" t="n"/>
      <c r="AI284" s="63" t="inlineStr">
        <is>
          <t>Goldman Sachs</t>
        </is>
      </c>
      <c r="AJ284" s="63" t="inlineStr">
        <is>
          <t>Goldman Sachs</t>
        </is>
      </c>
      <c r="AK284" s="73" t="n">
        <v>2.76</v>
      </c>
      <c r="AL284" s="72" t="n">
        <v>28.32</v>
      </c>
      <c r="AM284" s="72" t="n">
        <v>-19.92</v>
      </c>
      <c r="AN284" s="72" t="n">
        <v>19.55</v>
      </c>
      <c r="AO284" s="72" t="n">
        <v>-4.76</v>
      </c>
      <c r="AP284" s="72" t="n">
        <v>10.03</v>
      </c>
      <c r="AQ284" s="72" t="n">
        <v>16.34</v>
      </c>
      <c r="AR284" s="72" t="n">
        <v>-7.32</v>
      </c>
      <c r="AS284" s="72" t="n">
        <v>7.07</v>
      </c>
      <c r="AT284" s="72" t="n">
        <v>22.2</v>
      </c>
      <c r="AU284" s="72" t="n">
        <v>3.41</v>
      </c>
      <c r="AV284" s="72" t="n">
        <v>9.32</v>
      </c>
      <c r="AW284" s="72" t="n">
        <v>-1.74</v>
      </c>
      <c r="AX284" s="72" t="n">
        <v>-8.17</v>
      </c>
      <c r="AY284" s="72" t="n">
        <v>-5.58</v>
      </c>
      <c r="AZ284" s="63" t="inlineStr">
        <is>
          <t>HSTECH (Hang Seng TECH ETF)</t>
        </is>
      </c>
      <c r="BA284" s="72" t="n">
        <v>18.92</v>
      </c>
      <c r="BB284" s="64" t="inlineStr">
        <is>
          <t>2026-08-28</t>
        </is>
      </c>
      <c r="BC284" s="65" t="n">
        <v>1706.8</v>
      </c>
      <c r="BD284" s="68" t="n">
        <v>-7413</v>
      </c>
      <c r="BE284" s="63" t="inlineStr">
        <is>
          <t>N</t>
        </is>
      </c>
      <c r="BF284" s="63" t="inlineStr">
        <is>
          <t>n/m</t>
        </is>
      </c>
      <c r="BG284" s="74" t="n"/>
      <c r="BH284" s="74" t="n"/>
      <c r="BI284" s="74" t="n">
        <v>30.5</v>
      </c>
      <c r="BJ284" s="75">
        <f>IF('BBG Verify'!S284="","not filed — run on terminal",'BBG Verify'!S284)</f>
        <v/>
      </c>
      <c r="BK284" s="76" t="inlineStr">
        <is>
          <t>N</t>
        </is>
      </c>
      <c r="BL284" s="77">
        <f>IF('BBG Verify'!K284="","not filed — run on terminal",'BBG Verify'!K284)</f>
        <v/>
      </c>
      <c r="BM284" s="63" t="inlineStr">
        <is>
          <t>N/A</t>
        </is>
      </c>
      <c r="BN284" s="63" t="inlineStr">
        <is>
          <t>N/A</t>
        </is>
      </c>
      <c r="BO284" s="63" t="inlineStr">
        <is>
          <t>N/A</t>
        </is>
      </c>
      <c r="BP284" s="63" t="inlineStr">
        <is>
          <t>N/A</t>
        </is>
      </c>
      <c r="BQ284" s="63" t="inlineStr">
        <is>
          <t>N/A</t>
        </is>
      </c>
      <c r="BR284" s="63" t="inlineStr">
        <is>
          <t>N/A</t>
        </is>
      </c>
      <c r="BS284" s="76" t="n"/>
      <c r="BT284" s="63" t="inlineStr">
        <is>
          <t>Morgan Stanley Asia Limited; Goldman Sachs (Asia) L.L.C.; China Securities (International) Corporate Finance Company Limited</t>
        </is>
      </c>
      <c r="BU284" s="63" t="inlineStr">
        <is>
          <t>ABCI Securities Company Limited; BOCI Asia Limited; BOCOM International Securities Limited; CCB International Capital Limited; CEB International Capital Corporation Limited; China Galaxy International Securities (Hong Kong) Company Limited</t>
        </is>
      </c>
      <c r="BV284" s="63" t="inlineStr">
        <is>
          <t>ABCI Securities Company Limited; BOCI Asia Limited; BOCOM International Securities Limited; CCB International Capital Limited; CEB International Capital Corporation Limited; China Galaxy International Securities (Hong Kong) Company Limited; CLSA Limited; CMB International Capital Limited; China Securities (International) Corporate Finance Company Limited; Celestial Securities Limited; Deutsche Bank AG, Hong Kong Branch; DBS Asia Capital Limited</t>
        </is>
      </c>
      <c r="BW284" s="78">
        <f>HYPERLINK("https://www1.hkexnews.hk/listedco/listconews/sehk/2024/1016/2024101600024.htm","prospectus")</f>
        <v/>
      </c>
      <c r="BX284" s="78">
        <f>HYPERLINK("https://www1.hkexnews.hk/listedco/listconews/sehk/2024/1023/2024102300943.pdf","allotment")</f>
        <v/>
      </c>
      <c r="BY284" s="78">
        <f>HYPERLINK("https://www1.hkexnews.hk/listedco/listconews/sehk/2024/1120/2024112001092.pdf","stabilisation")</f>
        <v/>
      </c>
      <c r="BZ284" s="76" t="n"/>
      <c r="CA284" s="63" t="inlineStr">
        <is>
          <t>P/E: n/m — loss-making at IPO (use P/S) · greenshoe: over-allotment outcome already published, and the allotment announcement does not state the stabilisation expiry in a parsable form — the expiry no longer matters once resolved · price range: fixed-price offering (no indicative range) · range low: cap-only pricing — the filing publishes a Maximum Offer Price and no indicative floor · A/H: no A line; closest listed proxy {'code': '002920.SZ', 'name': 'Desay SV Automotive', 'rationale': "Leading A-share intelligent-driving domain-controller/ADAS tier-1 — the closest pure-A exposure to the China ADAS adoption curve that Horizon's Journey SoCs ride."} · sponsor: English name not in the filing text; AAStocks 保薦人 shown · grey market: no grey-market headline on file for this deal — AAStocks publishes one per listing but keeps only recent items on the stock's news page, and no public archive of past evening sessions exists; captured from this run onward</t>
        </is>
      </c>
    </row>
    <row r="285" ht="15" customHeight="1">
      <c r="A285" s="62" t="inlineStr">
        <is>
          <t>2465</t>
        </is>
      </c>
      <c r="B285" s="63" t="inlineStr">
        <is>
          <t>LOPAL TECH</t>
        </is>
      </c>
      <c r="C285" s="63" t="inlineStr">
        <is>
          <t>龍蟠科技</t>
        </is>
      </c>
      <c r="D285" s="63" t="inlineStr">
        <is>
          <t>Industrials</t>
        </is>
      </c>
      <c r="E285" s="63" t="inlineStr">
        <is>
          <t>Batteries / energy storage</t>
        </is>
      </c>
      <c r="F285" s="63" t="inlineStr">
        <is>
          <t>Diversified Chemicals</t>
        </is>
      </c>
      <c r="G285" s="63" t="inlineStr">
        <is>
          <t>Standard</t>
        </is>
      </c>
      <c r="H285" s="64" t="n">
        <v>45595</v>
      </c>
      <c r="I285" s="65" t="n">
        <v>550</v>
      </c>
      <c r="J285" s="63" t="inlineStr">
        <is>
          <t>gross (price x shares)</t>
        </is>
      </c>
      <c r="K285" s="66" t="n">
        <v>4.5</v>
      </c>
      <c r="L285" s="66" t="n">
        <v>7</v>
      </c>
      <c r="M285" s="66" t="n">
        <v>5.5</v>
      </c>
      <c r="N285" s="63" t="inlineStr">
        <is>
          <t>N</t>
        </is>
      </c>
      <c r="O285" s="67" t="n">
        <v>78.59999999999999</v>
      </c>
      <c r="P285" s="67" t="n">
        <v>40</v>
      </c>
      <c r="Q285" s="68" t="n">
        <v>3666.7</v>
      </c>
      <c r="R285" s="63" t="inlineStr">
        <is>
          <t>derived:deal size / offer % of enlarged capital</t>
        </is>
      </c>
      <c r="S285" s="69" t="n">
        <v>3.99</v>
      </c>
      <c r="T285" s="70" t="n">
        <v>3.23</v>
      </c>
      <c r="U285" s="71" t="n">
        <v>20</v>
      </c>
      <c r="V285" s="68" t="n">
        <v>440</v>
      </c>
      <c r="W285" s="68" t="n">
        <v>80000000</v>
      </c>
      <c r="X285" s="67" t="n">
        <v>12</v>
      </c>
      <c r="Y285" s="63" t="inlineStr">
        <is>
          <t>Harvest Oriental SP</t>
        </is>
      </c>
      <c r="Z285" s="63" t="inlineStr">
        <is>
          <t>harvest</t>
        </is>
      </c>
      <c r="AA285" s="67" t="n">
        <v>15</v>
      </c>
      <c r="AB285" s="72" t="n"/>
      <c r="AC285" s="66" t="n"/>
      <c r="AD285" s="72" t="n"/>
      <c r="AE285" s="63" t="n"/>
      <c r="AF285" s="63" t="n"/>
      <c r="AG285" s="63" t="inlineStr">
        <is>
          <t>lapsed</t>
        </is>
      </c>
      <c r="AH285" s="63" t="n"/>
      <c r="AI285" s="63" t="inlineStr">
        <is>
          <t>Guotai Junan Securities</t>
        </is>
      </c>
      <c r="AJ285" s="63" t="inlineStr">
        <is>
          <t>Guotai Junan</t>
        </is>
      </c>
      <c r="AK285" s="73" t="n">
        <v>-13.64</v>
      </c>
      <c r="AL285" s="72" t="n">
        <v>-7.64</v>
      </c>
      <c r="AM285" s="72" t="n">
        <v>-6.5</v>
      </c>
      <c r="AN285" s="72" t="n">
        <v>-17.45</v>
      </c>
      <c r="AO285" s="72" t="n">
        <v>8.18</v>
      </c>
      <c r="AP285" s="72" t="n">
        <v>-17.45</v>
      </c>
      <c r="AQ285" s="72" t="n">
        <v>-4.41</v>
      </c>
      <c r="AR285" s="72" t="n">
        <v>25.27</v>
      </c>
      <c r="AS285" s="72" t="n">
        <v>-4.41</v>
      </c>
      <c r="AT285" s="72" t="n">
        <v>-16.12</v>
      </c>
      <c r="AU285" s="72" t="n">
        <v>15.56</v>
      </c>
      <c r="AV285" s="72" t="n">
        <v>-17.9</v>
      </c>
      <c r="AW285" s="72" t="n">
        <v>30.97</v>
      </c>
      <c r="AX285" s="72" t="n">
        <v>-7.38</v>
      </c>
      <c r="AY285" s="72" t="n">
        <v>-5.7</v>
      </c>
      <c r="AZ285" s="63" t="inlineStr">
        <is>
          <t>Hang Seng Commerce &amp; Industry sub-index</t>
        </is>
      </c>
      <c r="BA285" s="72" t="n">
        <v>84.55</v>
      </c>
      <c r="BB285" s="64" t="inlineStr">
        <is>
          <t>2026-08-28</t>
        </is>
      </c>
      <c r="BC285" s="65" t="n">
        <v>13466.1</v>
      </c>
      <c r="BD285" s="68" t="n">
        <v>-2013.6</v>
      </c>
      <c r="BE285" s="63" t="inlineStr">
        <is>
          <t>N</t>
        </is>
      </c>
      <c r="BF285" s="63" t="inlineStr">
        <is>
          <t>n/m</t>
        </is>
      </c>
      <c r="BG285" s="74" t="n"/>
      <c r="BH285" s="74" t="n">
        <v>94.3</v>
      </c>
      <c r="BI285" s="74" t="n">
        <v>0.3</v>
      </c>
      <c r="BJ285" s="75">
        <f>IF('BBG Verify'!S285="","not filed — run on terminal",'BBG Verify'!S285)</f>
        <v/>
      </c>
      <c r="BK285" s="76" t="inlineStr">
        <is>
          <t>Y</t>
        </is>
      </c>
      <c r="BL285" s="63" t="inlineStr">
        <is>
          <t>603906.SS</t>
        </is>
      </c>
      <c r="BM285" s="72" t="n">
        <v>103.17</v>
      </c>
      <c r="BN285" s="66" t="n">
        <v>11.1743</v>
      </c>
      <c r="BO285" s="80" t="n">
        <v>1.2624</v>
      </c>
      <c r="BP285" s="68" t="n">
        <v>17900.2</v>
      </c>
      <c r="BQ285" s="75">
        <f>IF('BBG Verify'!Q285="","run on terminal",'BBG Verify'!Q285)</f>
        <v/>
      </c>
      <c r="BR285" s="75">
        <f>IF('BBG Verify'!R285="","run on terminal",'BBG Verify'!R285)</f>
        <v/>
      </c>
      <c r="BS285" s="76" t="inlineStr">
        <is>
          <t>Guotai Junan Capital Limited; Halcyon Capital Limited</t>
        </is>
      </c>
      <c r="BT285" s="63" t="inlineStr">
        <is>
          <t>Guotai Junan Capital Limited; Halcyon Capital Limited</t>
        </is>
      </c>
      <c r="BU285" s="63" t="inlineStr">
        <is>
          <t>ABCI Securities Company Limited</t>
        </is>
      </c>
      <c r="BV285" s="63" t="inlineStr">
        <is>
          <t>ABCI Securities Company Limited; BOCI Asia Limited; CCB International Capital Limited; CMB International Capital Limited; Guotai Junan Securities (Hong Kong) Limited; Halcyon Securities Limited; ICBC International Securities Limited; Livermore Holdings Limited; TradeGo Markets Limited</t>
        </is>
      </c>
      <c r="BW285" s="78">
        <f>HYPERLINK("https://www1.hkexnews.hk/listedco/listconews/sehk/2024/1022/2024102200007.pdf","prospectus")</f>
        <v/>
      </c>
      <c r="BX285" s="78">
        <f>HYPERLINK("https://www1.hkexnews.hk/listedco/listconews/sehk/2024/1029/2024102901308.pdf","allotment")</f>
        <v/>
      </c>
      <c r="BY285" s="78">
        <f>HYPERLINK("https://www1.hkexnews.hk/listedco/listconews/sehk/2024/1125/2024112500279.pdf","stabilisation")</f>
        <v/>
      </c>
      <c r="BZ285" s="76" t="n"/>
      <c r="CA285" s="63" t="inlineStr">
        <is>
          <t>P/E: n/m — loss-making at IPO (use P/S) · greenshoe: over-allotment outcome already published, and the allotment announcement does not state the stabilisation expiry in a parsable form — the expiry no longer matters once resolved · A/H: Oct 2024 H listing (LFP cathode/adblue) · grey market: no grey-market headline on file for this deal — AAStocks publishes one per listing but keeps only recent items on the stock's news page, and no public archive of past evening sessions exists; captured from this run onward</t>
        </is>
      </c>
    </row>
    <row r="286" ht="15" customHeight="1">
      <c r="A286" s="62" t="inlineStr">
        <is>
          <t>2563</t>
        </is>
      </c>
      <c r="B286" s="63" t="inlineStr">
        <is>
          <t>BIOSTAR PHARM-B</t>
        </is>
      </c>
      <c r="C286" s="63" t="inlineStr">
        <is>
          <t>華昊中天醫藥－Ｂ</t>
        </is>
      </c>
      <c r="D286" s="63" t="inlineStr">
        <is>
          <t>Healthcare</t>
        </is>
      </c>
      <c r="E286" s="63" t="inlineStr">
        <is>
          <t>Biotech pre-revenue (18A)</t>
        </is>
      </c>
      <c r="F286" s="63" t="inlineStr">
        <is>
          <t>Biotechnology - Pharmaceuticals</t>
        </is>
      </c>
      <c r="G286" s="63" t="inlineStr">
        <is>
          <t>18A</t>
        </is>
      </c>
      <c r="H286" s="64" t="n">
        <v>45596</v>
      </c>
      <c r="I286" s="65" t="n">
        <v>233.4</v>
      </c>
      <c r="J286" s="63" t="inlineStr">
        <is>
          <t>gross (price x shares)</t>
        </is>
      </c>
      <c r="K286" s="66" t="n">
        <v>16</v>
      </c>
      <c r="L286" s="66" t="n">
        <v>22</v>
      </c>
      <c r="M286" s="66" t="n">
        <v>16</v>
      </c>
      <c r="N286" s="63" t="inlineStr">
        <is>
          <t>N</t>
        </is>
      </c>
      <c r="O286" s="67" t="n">
        <v>72.7</v>
      </c>
      <c r="P286" s="67" t="n">
        <v>0</v>
      </c>
      <c r="Q286" s="68" t="n">
        <v>5833.4</v>
      </c>
      <c r="R286" s="63" t="inlineStr">
        <is>
          <t>derived:price x shares upon listing</t>
        </is>
      </c>
      <c r="S286" s="69" t="n">
        <v>21.45</v>
      </c>
      <c r="T286" s="70" t="n">
        <v>0.994</v>
      </c>
      <c r="U286" s="71" t="n">
        <v>15.7</v>
      </c>
      <c r="V286" s="68" t="n">
        <v>196.76</v>
      </c>
      <c r="W286" s="68" t="n">
        <v>12297684</v>
      </c>
      <c r="X286" s="67" t="n">
        <v>3.37</v>
      </c>
      <c r="Y286" s="63" t="inlineStr">
        <is>
          <t>Baheal Wellness Industry International Trading Limited; Novotech SG Holdings Pte. Ltd; SilkyWater Absolute Return LPF; Wealth Strategy Holding Limited</t>
        </is>
      </c>
      <c r="Z286" s="63" t="inlineStr">
        <is>
          <t>baheal;novotech;silkywater;wealth</t>
        </is>
      </c>
      <c r="AA286" s="67" t="n"/>
      <c r="AB286" s="72" t="n"/>
      <c r="AC286" s="66" t="n"/>
      <c r="AD286" s="72" t="n"/>
      <c r="AE286" s="63" t="n"/>
      <c r="AF286" s="63" t="n"/>
      <c r="AG286" s="63" t="n"/>
      <c r="AH286" s="63" t="n"/>
      <c r="AI286" s="63" t="n"/>
      <c r="AJ286" s="63" t="n"/>
      <c r="AK286" s="73" t="n">
        <v>30</v>
      </c>
      <c r="AL286" s="72" t="n">
        <v>34.38</v>
      </c>
      <c r="AM286" s="72" t="n">
        <v>-3.26</v>
      </c>
      <c r="AN286" s="72" t="n">
        <v>75</v>
      </c>
      <c r="AO286" s="72" t="n">
        <v>74.69</v>
      </c>
      <c r="AP286" s="72" t="n">
        <v>-2.88</v>
      </c>
      <c r="AQ286" s="72" t="n">
        <v>34.62</v>
      </c>
      <c r="AR286" s="72" t="n">
        <v>34.38</v>
      </c>
      <c r="AS286" s="72" t="n">
        <v>-25.29</v>
      </c>
      <c r="AT286" s="72" t="n">
        <v>70.58</v>
      </c>
      <c r="AU286" s="72" t="n">
        <v>73.83</v>
      </c>
      <c r="AV286" s="72" t="n">
        <v>0.74</v>
      </c>
      <c r="AW286" s="72" t="n">
        <v>32.32</v>
      </c>
      <c r="AX286" s="72" t="n">
        <v>0.86</v>
      </c>
      <c r="AY286" s="72" t="n">
        <v>2.06</v>
      </c>
      <c r="AZ286" s="63" t="inlineStr">
        <is>
          <t>China Biotech ETF (HS biotech proxy)</t>
        </is>
      </c>
      <c r="BA286" s="72" t="n">
        <v>-76.62</v>
      </c>
      <c r="BB286" s="64" t="inlineStr">
        <is>
          <t>2026-08-28</t>
        </is>
      </c>
      <c r="BC286" s="65" t="n">
        <v>73.3</v>
      </c>
      <c r="BD286" s="68" t="n">
        <v>-91.8</v>
      </c>
      <c r="BE286" s="63" t="inlineStr">
        <is>
          <t>N</t>
        </is>
      </c>
      <c r="BF286" s="63" t="inlineStr">
        <is>
          <t>n/m</t>
        </is>
      </c>
      <c r="BG286" s="74" t="n"/>
      <c r="BH286" s="74" t="n"/>
      <c r="BI286" s="74" t="n">
        <v>79.59999999999999</v>
      </c>
      <c r="BJ286" s="75">
        <f>IF('BBG Verify'!S286="","not filed — run on terminal",'BBG Verify'!S286)</f>
        <v/>
      </c>
      <c r="BK286" s="76" t="inlineStr">
        <is>
          <t>N</t>
        </is>
      </c>
      <c r="BL286" s="77">
        <f>IF('BBG Verify'!K286="","not filed — run on terminal",'BBG Verify'!K286)</f>
        <v/>
      </c>
      <c r="BM286" s="63" t="inlineStr">
        <is>
          <t>N/A</t>
        </is>
      </c>
      <c r="BN286" s="63" t="inlineStr">
        <is>
          <t>N/A</t>
        </is>
      </c>
      <c r="BO286" s="63" t="inlineStr">
        <is>
          <t>N/A</t>
        </is>
      </c>
      <c r="BP286" s="63" t="inlineStr">
        <is>
          <t>N/A</t>
        </is>
      </c>
      <c r="BQ286" s="63" t="inlineStr">
        <is>
          <t>N/A</t>
        </is>
      </c>
      <c r="BR286" s="63" t="inlineStr">
        <is>
          <t>N/A</t>
        </is>
      </c>
      <c r="BS286" s="76" t="n"/>
      <c r="BT286" s="63" t="inlineStr">
        <is>
          <t>CCB International Capital Limited; China Securities (International) Corporate Finance Company Limited</t>
        </is>
      </c>
      <c r="BU286" s="63" t="inlineStr">
        <is>
          <t>CCB International Capital Limited; CGS International Securities Hong Kong Limited; Citrus Securities Limited; CMBC Securities Company Limited; China Securities (International) Corporate Finance Company Limited; Fosun International Securities Limited</t>
        </is>
      </c>
      <c r="BV286" s="63" t="inlineStr">
        <is>
          <t>CCB International Capital Limited; CGS International Securities Hong Kong Limited; Citrus Securities Limited; CMBC Securities Company Limited; China Securities (International) Corporate Finance Company Limited; Fosun International Securities Limited; First Shanghai Securities Limited; Futu Securities International (Hong Kong) Limited; Guoyuan Securities Brokerage (Hong Kong) Limited; ICBC International Securities Limited; Mouette Securities Company Limited; Orient Securities (Hong Kong) Limited</t>
        </is>
      </c>
      <c r="BW286" s="78">
        <f>HYPERLINK("https://www1.hkexnews.hk/listedco/listconews/sehk/2024/1023/2024102300015.pdf","prospectus")</f>
        <v/>
      </c>
      <c r="BX286" s="78">
        <f>HYPERLINK("https://www1.hkexnews.hk/listedco/listconews/sehk/2024/1030/2024103002007.pdf","allotment")</f>
        <v/>
      </c>
      <c r="BY286" s="63" t="n"/>
      <c r="BZ286" s="76" t="n"/>
      <c r="CA286" s="63" t="inlineStr">
        <is>
          <t>P/E: n/m — loss-making at IPO (use P/S) · greenshoe: no over-allotment option in the offer structure · A/H: no A-share listing · sponsor: English name not in the filing text; AAStocks 保薦人 shown · market cap: prospectus 'market capitalisation' line rejected — it is the listing-rule threshold, not the issuer's figure ("range), 41.03% of our Company ’s total issued Shares with a market capitalization of at least HK$375 million w") · cornerstone: AAStocks institutional table includes non-cornerstone orders (superset) — cornerstone % is from the prospectus · greenshoe size: no over-allotment option in the offer structure · stabilising manager: no over-allotment option in the offer structure, so no stabilising manager is appointed · grey market: no grey-market headline on file for this deal — AAStocks publishes one per listing but keeps only recent items on the stock's news page, and no public archive of past evening sessions exists; captured from this run onward</t>
        </is>
      </c>
    </row>
    <row r="287" ht="15" customHeight="1">
      <c r="A287" s="62" t="inlineStr">
        <is>
          <t>2510</t>
        </is>
      </c>
      <c r="B287" s="63" t="inlineStr">
        <is>
          <t>TS LINES</t>
        </is>
      </c>
      <c r="C287" s="63" t="inlineStr">
        <is>
          <t>德翔海運</t>
        </is>
      </c>
      <c r="D287" s="63" t="inlineStr">
        <is>
          <t>Industrials</t>
        </is>
      </c>
      <c r="E287" s="63" t="inlineStr">
        <is>
          <t>Logistics</t>
        </is>
      </c>
      <c r="F287" s="63" t="inlineStr">
        <is>
          <t>Marine</t>
        </is>
      </c>
      <c r="G287" s="63" t="inlineStr">
        <is>
          <t>Standard</t>
        </is>
      </c>
      <c r="H287" s="64" t="n">
        <v>45597</v>
      </c>
      <c r="I287" s="65" t="n">
        <v>1048.9</v>
      </c>
      <c r="J287" s="63" t="inlineStr">
        <is>
          <t>gross (price x shares)</t>
        </is>
      </c>
      <c r="K287" s="66" t="n">
        <v>3.5</v>
      </c>
      <c r="L287" s="66" t="n">
        <v>4.5</v>
      </c>
      <c r="M287" s="66" t="n">
        <v>4.18</v>
      </c>
      <c r="N287" s="63" t="inlineStr">
        <is>
          <t>N</t>
        </is>
      </c>
      <c r="O287" s="67" t="n">
        <v>92.90000000000001</v>
      </c>
      <c r="P287" s="67" t="n">
        <v>68</v>
      </c>
      <c r="Q287" s="68" t="n">
        <v>6900.9</v>
      </c>
      <c r="R287" s="63" t="inlineStr">
        <is>
          <t>derived:price x shares upon listing</t>
        </is>
      </c>
      <c r="S287" s="69" t="n">
        <v>12.09</v>
      </c>
      <c r="T287" s="70" t="n">
        <v>2.22</v>
      </c>
      <c r="U287" s="71" t="n">
        <v>12.3</v>
      </c>
      <c r="V287" s="68" t="n">
        <v>919.89</v>
      </c>
      <c r="W287" s="68" t="n">
        <v>220074380</v>
      </c>
      <c r="X287" s="67" t="n">
        <v>13.33</v>
      </c>
      <c r="Y287" s="63" t="inlineStr">
        <is>
          <t>Crane Movement; HUNG Chi-Li; Indigo Rainbow Limited; Metro Shine Group Limited; WANG Yi-Fen; Worldwide Logistics Holding HK Limited</t>
        </is>
      </c>
      <c r="Z287" s="63" t="inlineStr">
        <is>
          <t>crane;hung;indigo;metro;wang-yi;logistics</t>
        </is>
      </c>
      <c r="AA287" s="67" t="n">
        <v>15</v>
      </c>
      <c r="AB287" s="72" t="n"/>
      <c r="AC287" s="66" t="n"/>
      <c r="AD287" s="72" t="n"/>
      <c r="AE287" s="63" t="n"/>
      <c r="AF287" s="63" t="n"/>
      <c r="AG287" s="63" t="inlineStr">
        <is>
          <t>partial</t>
        </is>
      </c>
      <c r="AH287" s="63" t="inlineStr">
        <is>
          <t>2024-11-28</t>
        </is>
      </c>
      <c r="AI287" s="63" t="inlineStr">
        <is>
          <t>J.P. Morgan Securities</t>
        </is>
      </c>
      <c r="AJ287" s="63" t="inlineStr">
        <is>
          <t>JP Morgan</t>
        </is>
      </c>
      <c r="AK287" s="73" t="n">
        <v>-1.91</v>
      </c>
      <c r="AL287" s="72" t="n">
        <v>0</v>
      </c>
      <c r="AM287" s="72" t="n">
        <v>-1.91</v>
      </c>
      <c r="AN287" s="72" t="n">
        <v>-0</v>
      </c>
      <c r="AO287" s="72" t="n">
        <v>7.66</v>
      </c>
      <c r="AP287" s="72" t="n">
        <v>3.35</v>
      </c>
      <c r="AQ287" s="72" t="n">
        <v>1.95</v>
      </c>
      <c r="AR287" s="72" t="n">
        <v>9.76</v>
      </c>
      <c r="AS287" s="72" t="n">
        <v>5.36</v>
      </c>
      <c r="AT287" s="72" t="n">
        <v>-1.93</v>
      </c>
      <c r="AU287" s="72" t="n">
        <v>11.61</v>
      </c>
      <c r="AV287" s="72" t="n">
        <v>-0.68</v>
      </c>
      <c r="AW287" s="72" t="n">
        <v>14.67</v>
      </c>
      <c r="AX287" s="72" t="n">
        <v>-3.95</v>
      </c>
      <c r="AY287" s="72" t="n">
        <v>-4.91</v>
      </c>
      <c r="AZ287" s="63" t="inlineStr">
        <is>
          <t>Hang Seng Commerce &amp; Industry sub-index</t>
        </is>
      </c>
      <c r="BA287" s="72" t="n">
        <v>228.95</v>
      </c>
      <c r="BB287" s="64" t="inlineStr">
        <is>
          <t>2026-08-28</t>
        </is>
      </c>
      <c r="BC287" s="65" t="n">
        <v>6821.9</v>
      </c>
      <c r="BD287" s="68" t="n">
        <v>-245.9</v>
      </c>
      <c r="BE287" s="63" t="inlineStr">
        <is>
          <t>N</t>
        </is>
      </c>
      <c r="BF287" s="63" t="inlineStr">
        <is>
          <t>n/m</t>
        </is>
      </c>
      <c r="BG287" s="74" t="n"/>
      <c r="BH287" s="74" t="n">
        <v>6.7</v>
      </c>
      <c r="BI287" s="74" t="n">
        <v>1</v>
      </c>
      <c r="BJ287" s="75">
        <f>IF('BBG Verify'!S287="","not filed — run on terminal",'BBG Verify'!S287)</f>
        <v/>
      </c>
      <c r="BK287" s="76" t="inlineStr">
        <is>
          <t>N</t>
        </is>
      </c>
      <c r="BL287" s="77">
        <f>IF('BBG Verify'!K287="","not filed — run on terminal",'BBG Verify'!K287)</f>
        <v/>
      </c>
      <c r="BM287" s="63" t="inlineStr">
        <is>
          <t>N/A</t>
        </is>
      </c>
      <c r="BN287" s="63" t="inlineStr">
        <is>
          <t>N/A</t>
        </is>
      </c>
      <c r="BO287" s="63" t="inlineStr">
        <is>
          <t>N/A</t>
        </is>
      </c>
      <c r="BP287" s="63" t="inlineStr">
        <is>
          <t>N/A</t>
        </is>
      </c>
      <c r="BQ287" s="63" t="inlineStr">
        <is>
          <t>N/A</t>
        </is>
      </c>
      <c r="BR287" s="63" t="inlineStr">
        <is>
          <t>N/A</t>
        </is>
      </c>
      <c r="BS287" s="76" t="inlineStr">
        <is>
          <t>J.P. Morgan Securities (Far East) Limited; China Merchants Securities (HK) Co., Limited</t>
        </is>
      </c>
      <c r="BT287" s="63" t="inlineStr">
        <is>
          <t>J.P. Morgan Securities (Far East) Limited; China Merchants Securities (HK) Company Limited</t>
        </is>
      </c>
      <c r="BU287" s="63" t="inlineStr">
        <is>
          <t>J.P. Morgan Securities (Asia Pacific) Limited; China Merchants Securities (HK) Co., Limited; Futu Securities International (Hong Kong) Limited; Yuanta Securities (Hong Kong) Company Limited; Livermore Holdings Limited</t>
        </is>
      </c>
      <c r="BV287" s="63" t="inlineStr">
        <is>
          <t>China Merchants Securities (HK) Company Limited; Futu Securities International (Hong Kong) Limited; J.P. Morgan Securities (Asia Pacific) Limited; Livermore Holdings Limited; Yuanta Securities (Hong Kong) Company Limited</t>
        </is>
      </c>
      <c r="BW287" s="78">
        <f>HYPERLINK("https://www1.hkexnews.hk/listedco/listconews/sehk/2024/1024/2024102400036.pdf","prospectus")</f>
        <v/>
      </c>
      <c r="BX287" s="78">
        <f>HYPERLINK("https://www1.hkexnews.hk/listedco/listconews/sehk/2024/1031/2024103101844.pdf","allotment")</f>
        <v/>
      </c>
      <c r="BY287" s="78">
        <f>HYPERLINK("https://www1.hkexnews.hk/listedco/listconews/sehk/2024/1128/2024112802025.pdf","stabilisation")</f>
        <v/>
      </c>
      <c r="BZ287" s="76" t="n"/>
      <c r="CA287" s="63" t="inlineStr">
        <is>
          <t>P/E: n/m — loss-making at IPO (use P/S) · A/H: no A-share listing · cornerstone: AAStocks institutional table includes non-cornerstone orders (superset) — cornerstone % is from the prospectus · grey market: no grey-market headline on file for this deal — AAStocks publishes one per listing but keeps only recent items on the stock's news page, and no public archive of past evening sessions exists; captured from this run onward</t>
        </is>
      </c>
    </row>
    <row r="288" ht="15" customHeight="1">
      <c r="A288" s="62" t="inlineStr">
        <is>
          <t>2519</t>
        </is>
      </c>
      <c r="B288" s="63" t="inlineStr">
        <is>
          <t>AUGROUP</t>
        </is>
      </c>
      <c r="C288" s="63" t="inlineStr">
        <is>
          <t>傲基股份</t>
        </is>
      </c>
      <c r="D288" s="63" t="inlineStr">
        <is>
          <t>Consumer</t>
        </is>
      </c>
      <c r="E288" s="63" t="inlineStr">
        <is>
          <t>Retail / distribution</t>
        </is>
      </c>
      <c r="F288" s="63" t="inlineStr">
        <is>
          <t>Home Furnishings</t>
        </is>
      </c>
      <c r="G288" s="63" t="inlineStr">
        <is>
          <t>Standard</t>
        </is>
      </c>
      <c r="H288" s="64" t="n">
        <v>45604</v>
      </c>
      <c r="I288" s="65" t="n">
        <v>466.4</v>
      </c>
      <c r="J288" s="63" t="inlineStr">
        <is>
          <t>gross (price x shares)</t>
        </is>
      </c>
      <c r="K288" s="66" t="n">
        <v>14.56</v>
      </c>
      <c r="L288" s="66" t="n">
        <v>15.6</v>
      </c>
      <c r="M288" s="66" t="n">
        <v>15.6</v>
      </c>
      <c r="N288" s="63" t="inlineStr">
        <is>
          <t>Y</t>
        </is>
      </c>
      <c r="O288" s="67" t="n">
        <v>100</v>
      </c>
      <c r="P288" s="67" t="n">
        <v>100</v>
      </c>
      <c r="Q288" s="68" t="n">
        <v>6477.2</v>
      </c>
      <c r="R288" s="63" t="inlineStr">
        <is>
          <t>aastocks:上市市值 at the struck price</t>
        </is>
      </c>
      <c r="S288" s="69" t="n">
        <v>17.74</v>
      </c>
      <c r="T288" s="70" t="n">
        <v>2.45</v>
      </c>
      <c r="U288" s="71" t="n">
        <v>23.5</v>
      </c>
      <c r="V288" s="68" t="n">
        <v>356.8</v>
      </c>
      <c r="W288" s="68" t="n">
        <v>22869446</v>
      </c>
      <c r="X288" s="67" t="n">
        <v>5.51</v>
      </c>
      <c r="Y288" s="63" t="inlineStr">
        <is>
          <t>Hongkong Valsun Technology Limited; LC Logistics, Inc; Wong, Ka Wai Vivian</t>
        </is>
      </c>
      <c r="Z288" s="63" t="inlineStr">
        <is>
          <t>hongkong;lc;wong</t>
        </is>
      </c>
      <c r="AA288" s="67" t="n">
        <v>15</v>
      </c>
      <c r="AB288" s="72" t="n">
        <v>-11.4</v>
      </c>
      <c r="AC288" s="66" t="n">
        <v>13.82</v>
      </c>
      <c r="AD288" s="72" t="n">
        <v>-0.01</v>
      </c>
      <c r="AE288" s="63" t="inlineStr">
        <is>
          <t>Y</t>
        </is>
      </c>
      <c r="AF288" s="63" t="inlineStr">
        <is>
          <t>2024-11-07</t>
        </is>
      </c>
      <c r="AG288" s="63" t="inlineStr">
        <is>
          <t>lapsed</t>
        </is>
      </c>
      <c r="AH288" s="63" t="inlineStr">
        <is>
          <t>2024-12-05</t>
        </is>
      </c>
      <c r="AI288" s="63" t="inlineStr">
        <is>
          <t>Huatai Financial Holdings</t>
        </is>
      </c>
      <c r="AJ288" s="63" t="inlineStr">
        <is>
          <t>Huatai</t>
        </is>
      </c>
      <c r="AK288" s="73" t="n">
        <v>-11.41</v>
      </c>
      <c r="AL288" s="72" t="n">
        <v>-11.03</v>
      </c>
      <c r="AM288" s="72" t="n">
        <v>-0.43</v>
      </c>
      <c r="AN288" s="72" t="n">
        <v>-22.82</v>
      </c>
      <c r="AO288" s="72" t="n">
        <v>-19.23</v>
      </c>
      <c r="AP288" s="72" t="n">
        <v>-23.97</v>
      </c>
      <c r="AQ288" s="72" t="n">
        <v>-12.88</v>
      </c>
      <c r="AR288" s="72" t="n">
        <v>-8.83</v>
      </c>
      <c r="AS288" s="72" t="n">
        <v>-14.18</v>
      </c>
      <c r="AT288" s="72" t="n">
        <v>-15.16</v>
      </c>
      <c r="AU288" s="72" t="n">
        <v>-16.55</v>
      </c>
      <c r="AV288" s="72" t="n">
        <v>-29.84</v>
      </c>
      <c r="AW288" s="72" t="n">
        <v>-7.44</v>
      </c>
      <c r="AX288" s="72" t="n">
        <v>-2.68</v>
      </c>
      <c r="AY288" s="72" t="n">
        <v>-1.39</v>
      </c>
      <c r="AZ288" s="63" t="inlineStr">
        <is>
          <t>Hang Seng Commerce &amp; Industry sub-index</t>
        </is>
      </c>
      <c r="BA288" s="72" t="n">
        <v>-75.03</v>
      </c>
      <c r="BB288" s="64" t="inlineStr">
        <is>
          <t>2026-08-28</t>
        </is>
      </c>
      <c r="BC288" s="65" t="n">
        <v>9551.299999999999</v>
      </c>
      <c r="BD288" s="68" t="n">
        <v>572.1</v>
      </c>
      <c r="BE288" s="63" t="inlineStr">
        <is>
          <t>Y</t>
        </is>
      </c>
      <c r="BF288" s="74" t="n">
        <v>11.3</v>
      </c>
      <c r="BG288" s="74" t="n">
        <v>9.300000000000001</v>
      </c>
      <c r="BH288" s="74" t="n">
        <v>8.300000000000001</v>
      </c>
      <c r="BI288" s="74" t="n">
        <v>0.7</v>
      </c>
      <c r="BJ288" s="75">
        <f>IF('BBG Verify'!S288="","not filed — run on terminal",'BBG Verify'!S288)</f>
        <v/>
      </c>
      <c r="BK288" s="76" t="inlineStr">
        <is>
          <t>N</t>
        </is>
      </c>
      <c r="BL288" s="77">
        <f>IF('BBG Verify'!K288="","not filed — run on terminal",'BBG Verify'!K288)</f>
        <v/>
      </c>
      <c r="BM288" s="63" t="inlineStr">
        <is>
          <t>N/A</t>
        </is>
      </c>
      <c r="BN288" s="63" t="inlineStr">
        <is>
          <t>N/A</t>
        </is>
      </c>
      <c r="BO288" s="63" t="inlineStr">
        <is>
          <t>N/A</t>
        </is>
      </c>
      <c r="BP288" s="63" t="inlineStr">
        <is>
          <t>N/A</t>
        </is>
      </c>
      <c r="BQ288" s="63" t="inlineStr">
        <is>
          <t>N/A</t>
        </is>
      </c>
      <c r="BR288" s="63" t="inlineStr">
        <is>
          <t>N/A</t>
        </is>
      </c>
      <c r="BS288" s="76" t="inlineStr">
        <is>
          <t>Huatai Financial Holdings (Hong Kong) Limited</t>
        </is>
      </c>
      <c r="BT288" s="63" t="inlineStr">
        <is>
          <t>Huatai Financial Holdings (Hong Kong) Limited</t>
        </is>
      </c>
      <c r="BU288" s="63" t="inlineStr">
        <is>
          <t>Huatai Financial Holdings (Hong Kong) Limited; CLSA Limited; DBS Asia Capital Limited; Livermore Holdings Limited</t>
        </is>
      </c>
      <c r="BV288" s="63" t="inlineStr">
        <is>
          <t>CLSA Limited; DBS Asia Capital Limited; Huatai Financial Holdings (Hong Kong) Limited; Livermore Holdings Limited</t>
        </is>
      </c>
      <c r="BW288" s="78">
        <f>HYPERLINK("https://www1.hkexnews.hk/listedco/listconews/sehk/2024/1031/2024103100187.pdf","prospectus")</f>
        <v/>
      </c>
      <c r="BX288" s="78">
        <f>HYPERLINK("https://www1.hkexnews.hk/listedco/listconews/sehk/2024/1107/2024110701104.pdf","allotment")</f>
        <v/>
      </c>
      <c r="BY288" s="78">
        <f>HYPERLINK("https://www1.hkexnews.hk/listedco/listconews/sehk/2024/1205/2024120500586.pdf","stabilisation")</f>
        <v/>
      </c>
      <c r="BZ288" s="76" t="n"/>
      <c r="CA288" s="63" t="inlineStr">
        <is>
          <t>A/H: no A-share listing · cornerstone %: AAStocks institutional-order total / deal size — an upper bound; the table can include non-cornerstone orders</t>
        </is>
      </c>
    </row>
    <row r="289" ht="15" customHeight="1">
      <c r="A289" s="62" t="inlineStr">
        <is>
          <t>2551</t>
        </is>
      </c>
      <c r="B289" s="63" t="inlineStr">
        <is>
          <t>APT ELECTRONICS</t>
        </is>
      </c>
      <c r="C289" s="63" t="inlineStr">
        <is>
          <t>晶科電子股份</t>
        </is>
      </c>
      <c r="D289" s="63" t="inlineStr">
        <is>
          <t>Tech/AI</t>
        </is>
      </c>
      <c r="E289" s="63" t="inlineStr">
        <is>
          <t>AI chips &amp; semis</t>
        </is>
      </c>
      <c r="F289" s="63" t="inlineStr">
        <is>
          <t>Liquid Crystal Displays</t>
        </is>
      </c>
      <c r="G289" s="63" t="inlineStr">
        <is>
          <t>Standard</t>
        </is>
      </c>
      <c r="H289" s="64" t="n">
        <v>45604</v>
      </c>
      <c r="I289" s="65" t="n">
        <v>139.5</v>
      </c>
      <c r="J289" s="63" t="inlineStr">
        <is>
          <t>gross (price x shares)</t>
        </is>
      </c>
      <c r="K289" s="66" t="n"/>
      <c r="L289" s="66" t="n">
        <v>3.61</v>
      </c>
      <c r="M289" s="66" t="n">
        <v>3.61</v>
      </c>
      <c r="N289" s="63" t="inlineStr">
        <is>
          <t>Y</t>
        </is>
      </c>
      <c r="O289" s="67" t="n">
        <v>100</v>
      </c>
      <c r="P289" s="67" t="n"/>
      <c r="Q289" s="68" t="n">
        <v>1939.1</v>
      </c>
      <c r="R289" s="63" t="inlineStr">
        <is>
          <t>derived:price x shares upon listing</t>
        </is>
      </c>
      <c r="S289" s="69" t="n">
        <v>5677.83</v>
      </c>
      <c r="T289" s="70" t="n">
        <v>6.95</v>
      </c>
      <c r="U289" s="71" t="n"/>
      <c r="V289" s="68" t="n">
        <v>139.5</v>
      </c>
      <c r="W289" s="68" t="n">
        <v>38640000</v>
      </c>
      <c r="X289" s="67" t="n">
        <v>7.19</v>
      </c>
      <c r="Y289" s="63" t="n"/>
      <c r="Z289" s="63" t="n"/>
      <c r="AA289" s="67" t="n"/>
      <c r="AB289" s="72" t="n"/>
      <c r="AC289" s="66" t="n"/>
      <c r="AD289" s="72" t="n"/>
      <c r="AE289" s="63" t="n"/>
      <c r="AF289" s="63" t="n"/>
      <c r="AG289" s="63" t="n"/>
      <c r="AH289" s="63" t="n"/>
      <c r="AI289" s="63" t="n"/>
      <c r="AJ289" s="63" t="n"/>
      <c r="AK289" s="73" t="n">
        <v>47.65</v>
      </c>
      <c r="AL289" s="72" t="n">
        <v>16.34</v>
      </c>
      <c r="AM289" s="72" t="n">
        <v>26.91</v>
      </c>
      <c r="AN289" s="72" t="n">
        <v>25.21</v>
      </c>
      <c r="AO289" s="72" t="n">
        <v>-1.94</v>
      </c>
      <c r="AP289" s="72" t="n">
        <v>16.9</v>
      </c>
      <c r="AQ289" s="72" t="n">
        <v>-15.2</v>
      </c>
      <c r="AR289" s="72" t="n">
        <v>-33.59</v>
      </c>
      <c r="AS289" s="72" t="n">
        <v>-20.83</v>
      </c>
      <c r="AT289" s="72" t="n">
        <v>32.91</v>
      </c>
      <c r="AU289" s="72" t="n">
        <v>-1.5</v>
      </c>
      <c r="AV289" s="72" t="n">
        <v>5.72</v>
      </c>
      <c r="AW289" s="72" t="n">
        <v>-33.37</v>
      </c>
      <c r="AX289" s="72" t="n">
        <v>-0.44</v>
      </c>
      <c r="AY289" s="72" t="n">
        <v>-0.22</v>
      </c>
      <c r="AZ289" s="63" t="inlineStr">
        <is>
          <t>HSTECH (Hang Seng TECH ETF)</t>
        </is>
      </c>
      <c r="BA289" s="72" t="n">
        <v>-58.17</v>
      </c>
      <c r="BB289" s="64" t="inlineStr">
        <is>
          <t>2026-08-28</t>
        </is>
      </c>
      <c r="BC289" s="65" t="n">
        <v>2043.8</v>
      </c>
      <c r="BD289" s="68" t="n">
        <v>79.2</v>
      </c>
      <c r="BE289" s="63" t="inlineStr">
        <is>
          <t>Y</t>
        </is>
      </c>
      <c r="BF289" s="74" t="n">
        <v>24.5</v>
      </c>
      <c r="BG289" s="74" t="n">
        <v>30.8</v>
      </c>
      <c r="BH289" s="74" t="n">
        <v>11.1</v>
      </c>
      <c r="BI289" s="74" t="n">
        <v>0.9</v>
      </c>
      <c r="BJ289" s="75">
        <f>IF('BBG Verify'!S289="","not filed — run on terminal",'BBG Verify'!S289)</f>
        <v/>
      </c>
      <c r="BK289" s="76" t="inlineStr">
        <is>
          <t>N</t>
        </is>
      </c>
      <c r="BL289" s="77">
        <f>IF('BBG Verify'!K289="","not filed — run on terminal",'BBG Verify'!K289)</f>
        <v/>
      </c>
      <c r="BM289" s="63" t="inlineStr">
        <is>
          <t>N/A</t>
        </is>
      </c>
      <c r="BN289" s="63" t="inlineStr">
        <is>
          <t>N/A</t>
        </is>
      </c>
      <c r="BO289" s="63" t="inlineStr">
        <is>
          <t>N/A</t>
        </is>
      </c>
      <c r="BP289" s="63" t="inlineStr">
        <is>
          <t>N/A</t>
        </is>
      </c>
      <c r="BQ289" s="63" t="inlineStr">
        <is>
          <t>N/A</t>
        </is>
      </c>
      <c r="BR289" s="63" t="inlineStr">
        <is>
          <t>N/A</t>
        </is>
      </c>
      <c r="BS289" s="76" t="n"/>
      <c r="BT289" s="63" t="inlineStr">
        <is>
          <t>CITIC Securities (Hong Kong) Limited</t>
        </is>
      </c>
      <c r="BU289" s="63" t="inlineStr">
        <is>
          <t>ABCI Securities Company Limited; BOCI Asia Limited; China Galaxy International Securities (Hong Kong) Company Limited; CLSA Limited; China Sunrise Securities (International) Limited; Futu Securities International (Hong Kong) Limited</t>
        </is>
      </c>
      <c r="BV289" s="63" t="inlineStr">
        <is>
          <t>ABCI Securities Company Limited; BOCI Asia Limited; China Galaxy International Securities (Hong Kong) Company Limited; CLSA Limited; China Sunrise Securities (International) Limited; Futu Securities International (Hong Kong) Limited; GF Securities (Hong Kong) Brokerage Limited; ICBC International Securities Limited; Patrons Securities Limited; Sinolink Securities (Hong Kong) Company Limited; Tiger Brokers (HK) Global Limited</t>
        </is>
      </c>
      <c r="BW289" s="78">
        <f>HYPERLINK("https://www1.hkexnews.hk/listedco/listconews/sehk/2024/1031/2024103100078.htm","prospectus")</f>
        <v/>
      </c>
      <c r="BX289" s="78">
        <f>HYPERLINK("https://www1.hkexnews.hk/listedco/listconews/sehk/2024/1107/2024110701242.pdf","allotment")</f>
        <v/>
      </c>
      <c r="BY289" s="63" t="n"/>
      <c r="BZ289" s="76" t="n"/>
      <c r="CA289" s="63" t="inlineStr">
        <is>
          <t>greenshoe: no over-allotment option in the offer structure · price range: fixed-price offering (no indicative range) · range low: cap-only pricing — the filing publishes a Maximum Offer Price and no indicative floor · A/H: no A-share listing · sponsor: English name not in the filing text; AAStocks 保薦人 shown · cornerstone list: cornerstone section not machine-extractable — see the prospectus link · cornerstone %: cornerstone aggregate not stated in the filing · greenshoe size: no over-allotment option in the offer structure · stabilising manager: the filing states no stabilising manager will be appointed — a filed fact, not an extraction gap (allotment announcement: 'no stabilizing manager will be appointed' stated in the filing) · grey market: no grey-market headline on file for this deal — AAStocks publishes one per listing but keeps only recent items on the stock's news page, and no public archive of past evening sessions exists; captured from this run onward</t>
        </is>
      </c>
    </row>
    <row r="290" ht="15" customHeight="1">
      <c r="A290" s="62" t="inlineStr">
        <is>
          <t>2582</t>
        </is>
      </c>
      <c r="B290" s="63" t="inlineStr">
        <is>
          <t>GUOFUHEE</t>
        </is>
      </c>
      <c r="C290" s="63" t="inlineStr">
        <is>
          <t>國富氫能</t>
        </is>
      </c>
      <c r="D290" s="63" t="inlineStr">
        <is>
          <t>Industrials</t>
        </is>
      </c>
      <c r="E290" s="63" t="inlineStr">
        <is>
          <t>Batteries / energy storage</t>
        </is>
      </c>
      <c r="F290" s="63" t="inlineStr">
        <is>
          <t>Electrical Components &amp; Equipment</t>
        </is>
      </c>
      <c r="G290" s="63" t="inlineStr">
        <is>
          <t>Standard</t>
        </is>
      </c>
      <c r="H290" s="64" t="n">
        <v>45611</v>
      </c>
      <c r="I290" s="65" t="n">
        <v>390</v>
      </c>
      <c r="J290" s="63" t="inlineStr">
        <is>
          <t>gross (price x shares)</t>
        </is>
      </c>
      <c r="K290" s="66" t="n">
        <v>65</v>
      </c>
      <c r="L290" s="66" t="n">
        <v>73</v>
      </c>
      <c r="M290" s="66" t="n">
        <v>65</v>
      </c>
      <c r="N290" s="63" t="inlineStr">
        <is>
          <t>N</t>
        </is>
      </c>
      <c r="O290" s="67" t="n">
        <v>89</v>
      </c>
      <c r="P290" s="67" t="n">
        <v>0</v>
      </c>
      <c r="Q290" s="68" t="n">
        <v>6806.2</v>
      </c>
      <c r="R290" s="63" t="inlineStr">
        <is>
          <t>derived:price x shares upon listing</t>
        </is>
      </c>
      <c r="S290" s="69" t="n">
        <v>21.07</v>
      </c>
      <c r="T290" s="70" t="n">
        <v>0.99</v>
      </c>
      <c r="U290" s="71" t="n">
        <v>80.8</v>
      </c>
      <c r="V290" s="68" t="n">
        <v>74.88</v>
      </c>
      <c r="W290" s="68" t="n">
        <v>1152000</v>
      </c>
      <c r="X290" s="67" t="n">
        <v>1.1</v>
      </c>
      <c r="Y290" s="63" t="inlineStr">
        <is>
          <t>HongKong Frontier Tanzhonghe Limited; Yue Chuang New Energy HK Limited</t>
        </is>
      </c>
      <c r="Z290" s="63" t="inlineStr">
        <is>
          <t>hongkong;yue</t>
        </is>
      </c>
      <c r="AA290" s="67" t="n"/>
      <c r="AB290" s="72" t="n"/>
      <c r="AC290" s="66" t="n"/>
      <c r="AD290" s="72" t="n"/>
      <c r="AE290" s="63" t="n"/>
      <c r="AF290" s="63" t="n"/>
      <c r="AG290" s="63" t="n"/>
      <c r="AH290" s="63" t="n"/>
      <c r="AI290" s="63" t="n"/>
      <c r="AJ290" s="63" t="n"/>
      <c r="AK290" s="73" t="n">
        <v>20</v>
      </c>
      <c r="AL290" s="72" t="n">
        <v>26.62</v>
      </c>
      <c r="AM290" s="72" t="n">
        <v>-5.23</v>
      </c>
      <c r="AN290" s="72" t="n">
        <v>48.54</v>
      </c>
      <c r="AO290" s="72" t="n">
        <v>69.84999999999999</v>
      </c>
      <c r="AP290" s="72" t="n">
        <v>132.15</v>
      </c>
      <c r="AQ290" s="72" t="n">
        <v>23.78</v>
      </c>
      <c r="AR290" s="72" t="n">
        <v>41.54</v>
      </c>
      <c r="AS290" s="72" t="n">
        <v>93.45999999999999</v>
      </c>
      <c r="AT290" s="72" t="n">
        <v>49.64</v>
      </c>
      <c r="AU290" s="72" t="n">
        <v>68.18000000000001</v>
      </c>
      <c r="AV290" s="72" t="n">
        <v>111.97</v>
      </c>
      <c r="AW290" s="72" t="n">
        <v>39.99</v>
      </c>
      <c r="AX290" s="72" t="n">
        <v>1.67</v>
      </c>
      <c r="AY290" s="72" t="n">
        <v>1.55</v>
      </c>
      <c r="AZ290" s="63" t="inlineStr">
        <is>
          <t>Hang Seng Commerce &amp; Industry sub-index</t>
        </is>
      </c>
      <c r="BA290" s="72" t="n">
        <v>-86.40000000000001</v>
      </c>
      <c r="BB290" s="64" t="inlineStr">
        <is>
          <t>2026-08-28</t>
        </is>
      </c>
      <c r="BC290" s="65" t="n">
        <v>574.7</v>
      </c>
      <c r="BD290" s="68" t="n">
        <v>-82.5</v>
      </c>
      <c r="BE290" s="63" t="inlineStr">
        <is>
          <t>N</t>
        </is>
      </c>
      <c r="BF290" s="63" t="inlineStr">
        <is>
          <t>n/m</t>
        </is>
      </c>
      <c r="BG290" s="74" t="n"/>
      <c r="BH290" s="74" t="n"/>
      <c r="BI290" s="74" t="n">
        <v>11.8</v>
      </c>
      <c r="BJ290" s="75">
        <f>IF('BBG Verify'!S290="","not filed — run on terminal",'BBG Verify'!S290)</f>
        <v/>
      </c>
      <c r="BK290" s="76" t="inlineStr">
        <is>
          <t>N</t>
        </is>
      </c>
      <c r="BL290" s="77">
        <f>IF('BBG Verify'!K290="","not filed — run on terminal",'BBG Verify'!K290)</f>
        <v/>
      </c>
      <c r="BM290" s="63" t="inlineStr">
        <is>
          <t>N/A</t>
        </is>
      </c>
      <c r="BN290" s="63" t="inlineStr">
        <is>
          <t>N/A</t>
        </is>
      </c>
      <c r="BO290" s="63" t="inlineStr">
        <is>
          <t>N/A</t>
        </is>
      </c>
      <c r="BP290" s="63" t="inlineStr">
        <is>
          <t>N/A</t>
        </is>
      </c>
      <c r="BQ290" s="63" t="inlineStr">
        <is>
          <t>N/A</t>
        </is>
      </c>
      <c r="BR290" s="63" t="inlineStr">
        <is>
          <t>N/A</t>
        </is>
      </c>
      <c r="BS290" s="76" t="inlineStr">
        <is>
          <t>Haitong International Capital Limited; CITIC Securities (Hong Kong) Limited</t>
        </is>
      </c>
      <c r="BT290" s="63" t="inlineStr">
        <is>
          <t>Haitong International Capital Limited; CITIC Securities (Hong Kong) Limited</t>
        </is>
      </c>
      <c r="BU290" s="63" t="inlineStr">
        <is>
          <t>and CMIs CCB International Capital Limited; China Securities (International) Corporate Finance Company Limited; and CMIs Livermore Holdings Limited; Zhongtai International Securities Limited; Fortune Origin Securities Limited; ICBC International Securities Limited; Quam Securities Limited; Soochow Securities International Brokerage Limited</t>
        </is>
      </c>
      <c r="BV290" s="63" t="inlineStr">
        <is>
          <t>CCB International Capital Limited; CLSA Limited; China Securities (International) Corporate Finance Company Limited; Fortune Origin Securities Limited; Haitong International Securities Company Limited; ICBC International Securities Limited; Livermore Holdings Limited; Quam Securities Limited; Soochow Securities International Brokerage Limited; Zhongtai International Securities Limited</t>
        </is>
      </c>
      <c r="BW290" s="78">
        <f>HYPERLINK("https://www1.hkexnews.hk/listedco/listconews/sehk/2024/1107/2024110700009.pdf","prospectus")</f>
        <v/>
      </c>
      <c r="BX290" s="78">
        <f>HYPERLINK("https://www1.hkexnews.hk/listedco/listconews/sehk/2024/1114/2024111400951.pdf","allotment")</f>
        <v/>
      </c>
      <c r="BY290" s="63" t="n"/>
      <c r="BZ290" s="76" t="n"/>
      <c r="CA290" s="63" t="inlineStr">
        <is>
          <t>P/E: n/m — loss-making at IPO (use P/S) · greenshoe: no over-allotment option in the offer structure · A/H: no A-share listing · greenshoe size: no over-allotment option in the offer structure · stabilising manager: the filing states no stabilising manager will be appointed — a filed fact, not an extraction gap (allotment announcement: 'no stabilizing manager will be appointed' stated in the filing) · grey market: no grey-market headline on file for this deal — AAStocks publishes one per listing but keeps only recent items on the stock's news page, and no public archive of past evening sessions exists; captured from this run onward</t>
        </is>
      </c>
    </row>
    <row r="291" ht="15" customHeight="1">
      <c r="A291" s="62" t="inlineStr">
        <is>
          <t>6936</t>
        </is>
      </c>
      <c r="B291" s="63" t="inlineStr">
        <is>
          <t>SF HOLDING</t>
        </is>
      </c>
      <c r="C291" s="63" t="inlineStr">
        <is>
          <t>順豐控股</t>
        </is>
      </c>
      <c r="D291" s="63" t="inlineStr">
        <is>
          <t>Industrials</t>
        </is>
      </c>
      <c r="E291" s="63" t="inlineStr">
        <is>
          <t>Logistics</t>
        </is>
      </c>
      <c r="F291" s="63" t="inlineStr">
        <is>
          <t>Air Freight &amp; Logistics</t>
        </is>
      </c>
      <c r="G291" s="63" t="inlineStr">
        <is>
          <t>Standard</t>
        </is>
      </c>
      <c r="H291" s="64" t="n">
        <v>45623</v>
      </c>
      <c r="I291" s="65" t="n">
        <v>5831</v>
      </c>
      <c r="J291" s="63" t="inlineStr">
        <is>
          <t>gross (stated)</t>
        </is>
      </c>
      <c r="K291" s="66" t="n"/>
      <c r="L291" s="66" t="n">
        <v>36.3</v>
      </c>
      <c r="M291" s="66" t="n">
        <v>34.3</v>
      </c>
      <c r="N291" s="63" t="inlineStr">
        <is>
          <t>N</t>
        </is>
      </c>
      <c r="O291" s="67" t="n">
        <v>94.5</v>
      </c>
      <c r="P291" s="67" t="n"/>
      <c r="Q291" s="68" t="n">
        <v>149512.8</v>
      </c>
      <c r="R291" s="63" t="inlineStr">
        <is>
          <t>derived:deal size / offer % of enlarged capital</t>
        </is>
      </c>
      <c r="S291" s="69" t="n">
        <v>79.06999999999999</v>
      </c>
      <c r="T291" s="70" t="n">
        <v>10.1</v>
      </c>
      <c r="U291" s="71" t="n">
        <v>27.4</v>
      </c>
      <c r="V291" s="68" t="n">
        <v>4233.31</v>
      </c>
      <c r="W291" s="68" t="n">
        <v>123420000</v>
      </c>
      <c r="X291" s="67" t="n">
        <v>2.83</v>
      </c>
      <c r="Y291" s="63" t="inlineStr">
        <is>
          <t>CPIC; Wisdomshire AM; Norges Bank</t>
        </is>
      </c>
      <c r="Z291" s="63" t="inlineStr">
        <is>
          <t>cpic;wisdomshire;norges</t>
        </is>
      </c>
      <c r="AA291" s="67" t="n">
        <v>15</v>
      </c>
      <c r="AB291" s="72" t="n"/>
      <c r="AC291" s="66" t="n"/>
      <c r="AD291" s="72" t="n"/>
      <c r="AE291" s="63" t="n"/>
      <c r="AF291" s="63" t="n"/>
      <c r="AG291" s="63" t="inlineStr">
        <is>
          <t>lapsed</t>
        </is>
      </c>
      <c r="AH291" s="63" t="inlineStr">
        <is>
          <t>2024-12-22</t>
        </is>
      </c>
      <c r="AI291" s="63" t="inlineStr">
        <is>
          <t>J.P. Morgan Securities</t>
        </is>
      </c>
      <c r="AJ291" s="63" t="inlineStr">
        <is>
          <t>JP Morgan</t>
        </is>
      </c>
      <c r="AK291" s="73" t="n">
        <v>0</v>
      </c>
      <c r="AL291" s="72" t="n">
        <v>0</v>
      </c>
      <c r="AM291" s="72" t="n">
        <v>0</v>
      </c>
      <c r="AN291" s="72" t="n">
        <v>-4.96</v>
      </c>
      <c r="AO291" s="72" t="n">
        <v>-1.31</v>
      </c>
      <c r="AP291" s="72" t="n">
        <v>10.93</v>
      </c>
      <c r="AQ291" s="72" t="n">
        <v>-4.96</v>
      </c>
      <c r="AR291" s="72" t="n">
        <v>-1.31</v>
      </c>
      <c r="AS291" s="72" t="n">
        <v>10.93</v>
      </c>
      <c r="AT291" s="72" t="n">
        <v>-8.140000000000001</v>
      </c>
      <c r="AU291" s="72" t="n">
        <v>-5.57</v>
      </c>
      <c r="AV291" s="72" t="n">
        <v>-12.2</v>
      </c>
      <c r="AW291" s="72" t="n">
        <v>-2.59</v>
      </c>
      <c r="AX291" s="72" t="n">
        <v>4.26</v>
      </c>
      <c r="AY291" s="72" t="n">
        <v>1.28</v>
      </c>
      <c r="AZ291" s="63" t="inlineStr">
        <is>
          <t>Hang Seng Commerce &amp; Industry sub-index</t>
        </is>
      </c>
      <c r="BA291" s="72" t="n">
        <v>-4.31</v>
      </c>
      <c r="BB291" s="64" t="inlineStr">
        <is>
          <t>2026-08-28</t>
        </is>
      </c>
      <c r="BC291" s="65" t="n">
        <v>284250.3</v>
      </c>
      <c r="BD291" s="68" t="n">
        <v>8702.799999999999</v>
      </c>
      <c r="BE291" s="63" t="inlineStr">
        <is>
          <t>Y</t>
        </is>
      </c>
      <c r="BF291" s="74" t="n">
        <v>17.2</v>
      </c>
      <c r="BG291" s="74" t="n">
        <v>16.1</v>
      </c>
      <c r="BH291" s="74" t="n">
        <v>12.1</v>
      </c>
      <c r="BI291" s="74" t="n">
        <v>0.5</v>
      </c>
      <c r="BJ291" s="75">
        <f>IF('BBG Verify'!S291="","not filed — run on terminal",'BBG Verify'!S291)</f>
        <v/>
      </c>
      <c r="BK291" s="76" t="inlineStr">
        <is>
          <t>Y</t>
        </is>
      </c>
      <c r="BL291" s="63" t="inlineStr">
        <is>
          <t>002352.SZ</t>
        </is>
      </c>
      <c r="BM291" s="72" t="n">
        <v>31.72</v>
      </c>
      <c r="BN291" s="66" t="n">
        <v>45.1814</v>
      </c>
      <c r="BO291" s="80" t="n">
        <v>0.1965</v>
      </c>
      <c r="BP291" s="68" t="n">
        <v>195385.7</v>
      </c>
      <c r="BQ291" s="75">
        <f>IF('BBG Verify'!Q291="","run on terminal",'BBG Verify'!Q291)</f>
        <v/>
      </c>
      <c r="BR291" s="75">
        <f>IF('BBG Verify'!R291="","run on terminal",'BBG Verify'!R291)</f>
        <v/>
      </c>
      <c r="BS291" s="76" t="inlineStr">
        <is>
          <t>Goldman Sachs (Asia) L.L.C; Huatai Financial Holdings (Hong Kong) Limited; J.P. Morgan Securities (Far East) Limited</t>
        </is>
      </c>
      <c r="BT291" s="63" t="inlineStr">
        <is>
          <t>J.P. Morgan Securities (Far East) Limited; Goldman Sachs (Asia) L.L.C.; Huatai Financial Holdings (Hong Kong) Limited</t>
        </is>
      </c>
      <c r="BU291" s="63" t="inlineStr">
        <is>
          <t>Goldman Sachs (Asia) L.L.C; Huatai Financial Holdings (Hong Kong) Limited; J.P. Morgan Securities (Asia Pacific) Limited; China International Capital Corporation Hong Kong Securities Limited; UBS AG Hong Kong Branch; ABCI Capital Limited; BOCI Asia Limited; DBS Asia Capital Limited; GF Securities (Hong Kong) Brokerage Limited; ICBC International Securities Limited</t>
        </is>
      </c>
      <c r="BV291" s="63" t="inlineStr">
        <is>
          <t>ABCI Securities Company Limited; BOCI Asia Limited; China International Capital Corporation Hong Kong Securities Limited; CMB International Capital Limited; DBS Asia Capital Limited; GF Securities (Hong Kong) Brokerage Limited; Goldman Sachs (Asia) L.L.C.; Huatai Financial Holdings (Hong Kong) Limited; ICBC International Securities Limited; J.P. Morgan Securities (Asia Pacific) Limited; UBS AG Hong Kong Branch</t>
        </is>
      </c>
      <c r="BW291" s="78">
        <f>HYPERLINK("https://www1.hkexnews.hk/listedco/listconews/sehk/2024/1119/2024111900011.pdf","prospectus")</f>
        <v/>
      </c>
      <c r="BX291" s="78">
        <f>HYPERLINK("https://www1.hkexnews.hk/listedco/listconews/sehk/2024/1126/2024112601132.pdf","allotment")</f>
        <v/>
      </c>
      <c r="BY291" s="78">
        <f>HYPERLINK("https://www1.hkexnews.hk/listedco/listconews/sehk/2024/1223/2024122300065.pdf","stabilisation")</f>
        <v/>
      </c>
      <c r="BZ291" s="76" t="n"/>
      <c r="CA291" s="63" t="inlineStr">
        <is>
          <t>range low: cap-only pricing — the filing publishes a Maximum Offer Price and no indicative floor · A/H: Nov 2024, ~US$750m; first A+H express logistics name · grey market: no grey-market headline on file for this deal — AAStocks publishes one per listing but keeps only recent items on the stock's news page, and no public archive of past evening sessions exists; captured from this run onward</t>
        </is>
      </c>
    </row>
    <row r="292" ht="15" customHeight="1">
      <c r="A292" s="62" t="inlineStr">
        <is>
          <t>2566</t>
        </is>
      </c>
      <c r="B292" s="63" t="inlineStr">
        <is>
          <t>JIUYUAN GENE</t>
        </is>
      </c>
      <c r="C292" s="63" t="inlineStr">
        <is>
          <t>九源基因</t>
        </is>
      </c>
      <c r="D292" s="63" t="inlineStr">
        <is>
          <t>Healthcare</t>
        </is>
      </c>
      <c r="E292" s="63" t="inlineStr">
        <is>
          <t>Biopharma commercial</t>
        </is>
      </c>
      <c r="F292" s="63" t="inlineStr">
        <is>
          <t>Pharmaceuticals</t>
        </is>
      </c>
      <c r="G292" s="63" t="inlineStr">
        <is>
          <t>Standard</t>
        </is>
      </c>
      <c r="H292" s="64" t="n">
        <v>45624</v>
      </c>
      <c r="I292" s="65" t="n">
        <v>563.9</v>
      </c>
      <c r="J292" s="63" t="inlineStr">
        <is>
          <t>gross (price x shares)</t>
        </is>
      </c>
      <c r="K292" s="66" t="n">
        <v>11.48</v>
      </c>
      <c r="L292" s="66" t="n">
        <v>12.56</v>
      </c>
      <c r="M292" s="66" t="n">
        <v>12.42</v>
      </c>
      <c r="N292" s="63" t="inlineStr">
        <is>
          <t>N</t>
        </is>
      </c>
      <c r="O292" s="67" t="n">
        <v>98.90000000000001</v>
      </c>
      <c r="P292" s="67" t="n">
        <v>87</v>
      </c>
      <c r="Q292" s="68" t="n">
        <v>3047.9</v>
      </c>
      <c r="R292" s="63" t="inlineStr">
        <is>
          <t>derived:price x shares upon listing</t>
        </is>
      </c>
      <c r="S292" s="69" t="n">
        <v>675.83</v>
      </c>
      <c r="T292" s="70" t="n">
        <v>1.18</v>
      </c>
      <c r="U292" s="71" t="n">
        <v>49.66</v>
      </c>
      <c r="V292" s="68" t="n">
        <v>283.87</v>
      </c>
      <c r="W292" s="68" t="n">
        <v>22853756</v>
      </c>
      <c r="X292" s="67" t="n">
        <v>9.31</v>
      </c>
      <c r="Y292" s="63" t="inlineStr">
        <is>
          <t>Heda Jinyuan (HK); Fosun Industrial; Hong Kong King-Friend Industrial; Alibaba Health (Hong Kong) Technology; Jointown International Group Company Limited; Mr. Wu Qiyuan; Delta Capital Hong Kong</t>
        </is>
      </c>
      <c r="Z292" s="63" t="inlineStr">
        <is>
          <t>heda;fosun;king;alibaba;jointown;mr-wu;delta</t>
        </is>
      </c>
      <c r="AA292" s="67" t="n">
        <v>17.16</v>
      </c>
      <c r="AB292" s="72" t="n"/>
      <c r="AC292" s="66" t="n"/>
      <c r="AD292" s="72" t="n"/>
      <c r="AE292" s="63" t="n"/>
      <c r="AF292" s="63" t="n"/>
      <c r="AG292" s="63" t="n"/>
      <c r="AH292" s="63" t="n"/>
      <c r="AI292" s="63" t="inlineStr">
        <is>
          <t>Huatai Financial Holdings</t>
        </is>
      </c>
      <c r="AJ292" s="63" t="inlineStr">
        <is>
          <t>Huatai</t>
        </is>
      </c>
      <c r="AK292" s="73" t="n">
        <v>-38.41</v>
      </c>
      <c r="AL292" s="72" t="n">
        <v>-39.61</v>
      </c>
      <c r="AM292" s="72" t="n">
        <v>1.99</v>
      </c>
      <c r="AN292" s="72" t="n">
        <v>-35.35</v>
      </c>
      <c r="AO292" s="72" t="n">
        <v>-46.86</v>
      </c>
      <c r="AP292" s="72" t="n">
        <v>-47.42</v>
      </c>
      <c r="AQ292" s="72" t="n">
        <v>4.97</v>
      </c>
      <c r="AR292" s="72" t="n">
        <v>-13.72</v>
      </c>
      <c r="AS292" s="72" t="n">
        <v>-14.63</v>
      </c>
      <c r="AT292" s="72" t="n">
        <v>-34.84</v>
      </c>
      <c r="AU292" s="72" t="n">
        <v>-43.8</v>
      </c>
      <c r="AV292" s="72" t="n">
        <v>-54.93</v>
      </c>
      <c r="AW292" s="72" t="n">
        <v>-11.73</v>
      </c>
      <c r="AX292" s="72" t="n">
        <v>-3.06</v>
      </c>
      <c r="AY292" s="72" t="n">
        <v>-1.99</v>
      </c>
      <c r="AZ292" s="63" t="inlineStr">
        <is>
          <t>China Biotech ETF (HS biotech proxy)</t>
        </is>
      </c>
      <c r="BA292" s="72" t="n">
        <v>-56.92</v>
      </c>
      <c r="BB292" s="64" t="inlineStr">
        <is>
          <t>2026-08-28</t>
        </is>
      </c>
      <c r="BC292" s="65" t="n">
        <v>1416.1</v>
      </c>
      <c r="BD292" s="68" t="n">
        <v>131.8</v>
      </c>
      <c r="BE292" s="63" t="inlineStr">
        <is>
          <t>Y</t>
        </is>
      </c>
      <c r="BF292" s="74" t="n">
        <v>23.1</v>
      </c>
      <c r="BG292" s="74" t="n"/>
      <c r="BH292" s="74" t="n">
        <v>8.1</v>
      </c>
      <c r="BI292" s="74" t="n">
        <v>2.2</v>
      </c>
      <c r="BJ292" s="75">
        <f>IF('BBG Verify'!S292="","not filed — run on terminal",'BBG Verify'!S292)</f>
        <v/>
      </c>
      <c r="BK292" s="76" t="inlineStr">
        <is>
          <t>N</t>
        </is>
      </c>
      <c r="BL292" s="77">
        <f>IF('BBG Verify'!K292="","not filed — run on terminal",'BBG Verify'!K292)</f>
        <v/>
      </c>
      <c r="BM292" s="63" t="inlineStr">
        <is>
          <t>N/A</t>
        </is>
      </c>
      <c r="BN292" s="63" t="inlineStr">
        <is>
          <t>N/A</t>
        </is>
      </c>
      <c r="BO292" s="63" t="inlineStr">
        <is>
          <t>N/A</t>
        </is>
      </c>
      <c r="BP292" s="63" t="inlineStr">
        <is>
          <t>N/A</t>
        </is>
      </c>
      <c r="BQ292" s="63" t="inlineStr">
        <is>
          <t>N/A</t>
        </is>
      </c>
      <c r="BR292" s="63" t="inlineStr">
        <is>
          <t>N/A</t>
        </is>
      </c>
      <c r="BS292" s="76" t="inlineStr">
        <is>
          <t>Huatai Financial Holdings (Hong Kong) Limited</t>
        </is>
      </c>
      <c r="BT292" s="63" t="inlineStr">
        <is>
          <t>Huatai Financial Holdings (Hong Kong) Limited</t>
        </is>
      </c>
      <c r="BU292" s="63" t="inlineStr">
        <is>
          <t>Huatai Financial Holdings (Hong Kong) Limited; CLSA Limited</t>
        </is>
      </c>
      <c r="BV292" s="63" t="inlineStr">
        <is>
          <t>CLSA Limited; CMB International Capital Limited; Huatai Financial Holdings (Hong Kong) Limited; Patrons Securities Limited; Ruibang Securities Limited</t>
        </is>
      </c>
      <c r="BW292" s="78">
        <f>HYPERLINK("https://www1.hkexnews.hk/listedco/listconews/sehk/2024/1120/2024112000019.pdf","prospectus")</f>
        <v/>
      </c>
      <c r="BX292" s="78">
        <f>HYPERLINK("https://www1.hkexnews.hk/listedco/listconews/sehk/2024/1127/2024112701177.pdf","allotment")</f>
        <v/>
      </c>
      <c r="BY292" s="63" t="n"/>
      <c r="BZ292" s="76" t="n"/>
      <c r="CA292" s="63" t="inlineStr">
        <is>
          <t>greenshoe: end-of-stabilisation notice not located · A/H: no A-share listing · grey market: no grey-market headline on file for this deal — AAStocks publishes one per listing but keeps only recent items on the stock's news page, and no public archive of past evening sessions exists; captured from this run onward</t>
        </is>
      </c>
    </row>
    <row r="293" ht="15" customHeight="1">
      <c r="A293" s="62" t="inlineStr">
        <is>
          <t>2585</t>
        </is>
      </c>
      <c r="B293" s="63" t="inlineStr">
        <is>
          <t>MOKINGRAN</t>
        </is>
      </c>
      <c r="C293" s="63" t="inlineStr">
        <is>
          <t>夢金園</t>
        </is>
      </c>
      <c r="D293" s="63" t="inlineStr">
        <is>
          <t>Consumer</t>
        </is>
      </c>
      <c r="E293" s="63" t="inlineStr">
        <is>
          <t>Apparel / luxury</t>
        </is>
      </c>
      <c r="F293" s="63" t="inlineStr">
        <is>
          <t>Watch &amp; Jewellery</t>
        </is>
      </c>
      <c r="G293" s="63" t="inlineStr">
        <is>
          <t>Standard</t>
        </is>
      </c>
      <c r="H293" s="64" t="n">
        <v>45625</v>
      </c>
      <c r="I293" s="65" t="n">
        <v>527.48</v>
      </c>
      <c r="J293" s="63" t="inlineStr">
        <is>
          <t>gross (stated)</t>
        </is>
      </c>
      <c r="K293" s="66" t="n">
        <v>12</v>
      </c>
      <c r="L293" s="66" t="n">
        <v>14.4</v>
      </c>
      <c r="M293" s="66" t="n">
        <v>12</v>
      </c>
      <c r="N293" s="63" t="inlineStr">
        <is>
          <t>N</t>
        </is>
      </c>
      <c r="O293" s="67" t="n">
        <v>83.3</v>
      </c>
      <c r="P293" s="67" t="n">
        <v>0</v>
      </c>
      <c r="Q293" s="68" t="n">
        <v>3276.3</v>
      </c>
      <c r="R293" s="63" t="inlineStr">
        <is>
          <t>derived:price x shares upon listing</t>
        </is>
      </c>
      <c r="S293" s="69" t="n">
        <v>20.58</v>
      </c>
      <c r="T293" s="70" t="n">
        <v>0.98</v>
      </c>
      <c r="U293" s="71" t="n">
        <v>39.77</v>
      </c>
      <c r="V293" s="68" t="n">
        <v>317.7</v>
      </c>
      <c r="W293" s="68" t="n">
        <v>26475181</v>
      </c>
      <c r="X293" s="67" t="n">
        <v>9.699999999999999</v>
      </c>
      <c r="Y293" s="63" t="inlineStr">
        <is>
          <t>Swift Grace</t>
        </is>
      </c>
      <c r="Z293" s="63" t="inlineStr">
        <is>
          <t>swift</t>
        </is>
      </c>
      <c r="AA293" s="67" t="n">
        <v>5.64</v>
      </c>
      <c r="AB293" s="72" t="n"/>
      <c r="AC293" s="66" t="n"/>
      <c r="AD293" s="72" t="n"/>
      <c r="AE293" s="63" t="n"/>
      <c r="AF293" s="63" t="n"/>
      <c r="AG293" s="63" t="n"/>
      <c r="AH293" s="63" t="n"/>
      <c r="AI293" s="63" t="n"/>
      <c r="AJ293" s="63" t="n"/>
      <c r="AK293" s="73" t="n">
        <v>7.5</v>
      </c>
      <c r="AL293" s="72" t="n">
        <v>4.17</v>
      </c>
      <c r="AM293" s="72" t="n">
        <v>3.2</v>
      </c>
      <c r="AN293" s="72" t="n">
        <v>-3.33</v>
      </c>
      <c r="AO293" s="72" t="n">
        <v>13.5</v>
      </c>
      <c r="AP293" s="72" t="n">
        <v>48.67</v>
      </c>
      <c r="AQ293" s="72" t="n">
        <v>-10.07</v>
      </c>
      <c r="AR293" s="72" t="n">
        <v>5.58</v>
      </c>
      <c r="AS293" s="72" t="n">
        <v>38.3</v>
      </c>
      <c r="AT293" s="72" t="n">
        <v>-5.69</v>
      </c>
      <c r="AU293" s="72" t="n">
        <v>12.42</v>
      </c>
      <c r="AV293" s="72" t="n">
        <v>17.28</v>
      </c>
      <c r="AW293" s="72" t="n">
        <v>4.8</v>
      </c>
      <c r="AX293" s="72" t="n">
        <v>1.08</v>
      </c>
      <c r="AY293" s="72" t="n">
        <v>0.78</v>
      </c>
      <c r="AZ293" s="63" t="inlineStr">
        <is>
          <t>Hang Seng Commerce &amp; Industry sub-index</t>
        </is>
      </c>
      <c r="BA293" s="72" t="n">
        <v>133.17</v>
      </c>
      <c r="BB293" s="64" t="inlineStr">
        <is>
          <t>2026-08-28</t>
        </is>
      </c>
      <c r="BC293" s="65" t="n">
        <v>22229.5</v>
      </c>
      <c r="BD293" s="68" t="n">
        <v>256.8</v>
      </c>
      <c r="BE293" s="63" t="inlineStr">
        <is>
          <t>Y</t>
        </is>
      </c>
      <c r="BF293" s="74" t="n">
        <v>12.8</v>
      </c>
      <c r="BG293" s="74" t="n">
        <v>15.8</v>
      </c>
      <c r="BH293" s="74" t="n">
        <v>65.7</v>
      </c>
      <c r="BI293" s="74" t="n">
        <v>0.1</v>
      </c>
      <c r="BJ293" s="75">
        <f>IF('BBG Verify'!S293="","not filed — run on terminal",'BBG Verify'!S293)</f>
        <v/>
      </c>
      <c r="BK293" s="76" t="inlineStr">
        <is>
          <t>N</t>
        </is>
      </c>
      <c r="BL293" s="77">
        <f>IF('BBG Verify'!K293="","not filed — run on terminal",'BBG Verify'!K293)</f>
        <v/>
      </c>
      <c r="BM293" s="63" t="inlineStr">
        <is>
          <t>N/A</t>
        </is>
      </c>
      <c r="BN293" s="63" t="inlineStr">
        <is>
          <t>N/A</t>
        </is>
      </c>
      <c r="BO293" s="63" t="inlineStr">
        <is>
          <t>N/A</t>
        </is>
      </c>
      <c r="BP293" s="63" t="inlineStr">
        <is>
          <t>N/A</t>
        </is>
      </c>
      <c r="BQ293" s="63" t="inlineStr">
        <is>
          <t>N/A</t>
        </is>
      </c>
      <c r="BR293" s="63" t="inlineStr">
        <is>
          <t>N/A</t>
        </is>
      </c>
      <c r="BS293" s="76" t="inlineStr">
        <is>
          <t>CITIC Securities (Hong Kong) Limited</t>
        </is>
      </c>
      <c r="BT293" s="63" t="inlineStr">
        <is>
          <t>CITIC Securities (Hong Kong) Limited</t>
        </is>
      </c>
      <c r="BU293" s="63" t="inlineStr">
        <is>
          <t>CLSA Limited; ABCI Capital Limited; China Everbright Securities (HK) Limited; Futu Securities International (Hong Kong) Limited; ICBC International Securities Limited; TradeGo Markets Limited</t>
        </is>
      </c>
      <c r="BV293" s="63" t="inlineStr">
        <is>
          <t>ABCI Securities Company Limited; China Everbright Securities (HK) Limited; CLSA Limited; Futu Securities International (Hong Kong) Limited; ICBC International Securities Limited; TradeGo Markets Limited</t>
        </is>
      </c>
      <c r="BW293" s="78">
        <f>HYPERLINK("https://www1.hkexnews.hk/listedco/listconews/sehk/2024/1121/2024112100017.pdf","prospectus")</f>
        <v/>
      </c>
      <c r="BX293" s="78">
        <f>HYPERLINK("https://www1.hkexnews.hk/listedco/listconews/sehk/2024/1128/2024112801779.pdf","allotment")</f>
        <v/>
      </c>
      <c r="BY293" s="78">
        <f>HYPERLINK("https://www1.hkexnews.hk/listedco/listconews/sehk/2024/1227/2024122700111.pdf","stabilisation")</f>
        <v/>
      </c>
      <c r="BZ293" s="76" t="n"/>
      <c r="CA293" s="63" t="inlineStr">
        <is>
          <t>greenshoe: end-of-stabilisation notice not located · A/H: no A-share listing · stabilising manager: neither the allotment announcement's cover sentence nor the prospectus definitions glossary names one in a form the parser reads — not inferred from the sponsor · grey market: no grey-market headline on file for this deal — AAStocks publishes one per listing but keeps only recent items on the stock's news page, and no public archive of past evening sessions exists; captured from this run onward · stabilisation notice: notice located and linked; its outcome wording is not one of the recognised forms, so the over-allotment result is left blank rather than guessed</t>
        </is>
      </c>
    </row>
    <row r="294" ht="15" customHeight="1">
      <c r="A294" s="62" t="inlineStr">
        <is>
          <t>2586</t>
        </is>
      </c>
      <c r="B294" s="63" t="inlineStr">
        <is>
          <t>DMALL</t>
        </is>
      </c>
      <c r="C294" s="63" t="inlineStr">
        <is>
          <t>多點數智</t>
        </is>
      </c>
      <c r="D294" s="63" t="inlineStr">
        <is>
          <t>Tech/AI</t>
        </is>
      </c>
      <c r="E294" s="63" t="inlineStr">
        <is>
          <t>SaaS / enterprise software</t>
        </is>
      </c>
      <c r="F294" s="63" t="inlineStr">
        <is>
          <t>Application Software</t>
        </is>
      </c>
      <c r="G294" s="63" t="inlineStr">
        <is>
          <t>Standard</t>
        </is>
      </c>
      <c r="H294" s="64" t="n">
        <v>45632</v>
      </c>
      <c r="I294" s="65" t="n">
        <v>778.6</v>
      </c>
      <c r="J294" s="63" t="inlineStr">
        <is>
          <t>gross (price x shares)</t>
        </is>
      </c>
      <c r="K294" s="66" t="n"/>
      <c r="L294" s="66" t="n">
        <v>30.21</v>
      </c>
      <c r="M294" s="66" t="n">
        <v>30.21</v>
      </c>
      <c r="N294" s="63" t="inlineStr">
        <is>
          <t>Y</t>
        </is>
      </c>
      <c r="O294" s="67" t="n">
        <v>100</v>
      </c>
      <c r="P294" s="67" t="n"/>
      <c r="Q294" s="68" t="n">
        <v>26786.9</v>
      </c>
      <c r="R294" s="63" t="inlineStr">
        <is>
          <t>derived:price x shares upon listing</t>
        </is>
      </c>
      <c r="S294" s="69" t="n">
        <v>1.94</v>
      </c>
      <c r="T294" s="70" t="n">
        <v>1.36</v>
      </c>
      <c r="U294" s="71" t="n">
        <v>39.05</v>
      </c>
      <c r="V294" s="68" t="n">
        <v>474.56</v>
      </c>
      <c r="W294" s="68" t="n">
        <v>15709253</v>
      </c>
      <c r="X294" s="67" t="n">
        <v>1.77</v>
      </c>
      <c r="Y294" s="63" t="inlineStr">
        <is>
          <t>DFI Development Holdings Limited; CAPRET (SG) PTE. LTD; Celestial Limited; Odor Nice Limited</t>
        </is>
      </c>
      <c r="Z294" s="63" t="inlineStr">
        <is>
          <t>dfi;capret;celestial;odor</t>
        </is>
      </c>
      <c r="AA294" s="67" t="n"/>
      <c r="AB294" s="72" t="n"/>
      <c r="AC294" s="66" t="n"/>
      <c r="AD294" s="72" t="n"/>
      <c r="AE294" s="63" t="n"/>
      <c r="AF294" s="63" t="n"/>
      <c r="AG294" s="63" t="inlineStr">
        <is>
          <t>lapsed (no over-allocation)</t>
        </is>
      </c>
      <c r="AH294" s="63" t="inlineStr">
        <is>
          <t>2025-01-02</t>
        </is>
      </c>
      <c r="AI294" s="63" t="inlineStr">
        <is>
          <t>UBS AG Hong Kong Branch</t>
        </is>
      </c>
      <c r="AJ294" s="63" t="inlineStr">
        <is>
          <t>UBS</t>
        </is>
      </c>
      <c r="AK294" s="73" t="n">
        <v>-54.32</v>
      </c>
      <c r="AL294" s="72" t="n">
        <v>-28.17</v>
      </c>
      <c r="AM294" s="72" t="n">
        <v>-36.41</v>
      </c>
      <c r="AN294" s="72" t="n">
        <v>-79.18000000000001</v>
      </c>
      <c r="AO294" s="72" t="n">
        <v>-80.17</v>
      </c>
      <c r="AP294" s="72" t="n">
        <v>-56.97</v>
      </c>
      <c r="AQ294" s="72" t="n">
        <v>-54.42</v>
      </c>
      <c r="AR294" s="72" t="n">
        <v>-56.59</v>
      </c>
      <c r="AS294" s="72" t="n">
        <v>-5.8</v>
      </c>
      <c r="AT294" s="72" t="n">
        <v>-81.37</v>
      </c>
      <c r="AU294" s="72" t="n">
        <v>-78.68000000000001</v>
      </c>
      <c r="AV294" s="72" t="n">
        <v>-88.04000000000001</v>
      </c>
      <c r="AW294" s="72" t="n">
        <v>-52.99</v>
      </c>
      <c r="AX294" s="72" t="n">
        <v>-1.49</v>
      </c>
      <c r="AY294" s="72" t="n">
        <v>-3.6</v>
      </c>
      <c r="AZ294" s="63" t="inlineStr">
        <is>
          <t>HSTECH (Hang Seng TECH ETF)</t>
        </is>
      </c>
      <c r="BA294" s="72" t="n">
        <v>-86.15000000000001</v>
      </c>
      <c r="BB294" s="64" t="inlineStr">
        <is>
          <t>2026-08-28</t>
        </is>
      </c>
      <c r="BC294" s="65" t="n">
        <v>1743.9</v>
      </c>
      <c r="BD294" s="68" t="n">
        <v>-924.6</v>
      </c>
      <c r="BE294" s="63" t="inlineStr">
        <is>
          <t>N</t>
        </is>
      </c>
      <c r="BF294" s="63" t="inlineStr">
        <is>
          <t>n/m</t>
        </is>
      </c>
      <c r="BG294" s="74" t="n"/>
      <c r="BH294" s="74" t="n">
        <v>24.2</v>
      </c>
      <c r="BI294" s="74" t="n">
        <v>15.4</v>
      </c>
      <c r="BJ294" s="75">
        <f>IF('BBG Verify'!S294="","not filed — run on terminal",'BBG Verify'!S294)</f>
        <v/>
      </c>
      <c r="BK294" s="76" t="inlineStr">
        <is>
          <t>N</t>
        </is>
      </c>
      <c r="BL294" s="77">
        <f>IF('BBG Verify'!K294="","not filed — run on terminal",'BBG Verify'!K294)</f>
        <v/>
      </c>
      <c r="BM294" s="63" t="inlineStr">
        <is>
          <t>N/A</t>
        </is>
      </c>
      <c r="BN294" s="63" t="inlineStr">
        <is>
          <t>N/A</t>
        </is>
      </c>
      <c r="BO294" s="63" t="inlineStr">
        <is>
          <t>N/A</t>
        </is>
      </c>
      <c r="BP294" s="63" t="inlineStr">
        <is>
          <t>N/A</t>
        </is>
      </c>
      <c r="BQ294" s="63" t="inlineStr">
        <is>
          <t>N/A</t>
        </is>
      </c>
      <c r="BR294" s="63" t="inlineStr">
        <is>
          <t>N/A</t>
        </is>
      </c>
      <c r="BS294" s="76" t="n"/>
      <c r="BT294" s="63" t="inlineStr">
        <is>
          <t>UBS Securities Hong Kong Limited; CMB International Capital Limited; China Merchants Securities (HK) Company Limited</t>
        </is>
      </c>
      <c r="BU294" s="63" t="inlineStr">
        <is>
          <t>ABCI Securities Company Limited; BOCI Asia Limited; BOCOM International Securities Limited; CCB International Capital Limited; Central China International Securities Co., Limited; China Galaxy International Securities (Hong Kong) Company Limited</t>
        </is>
      </c>
      <c r="BV294" s="63" t="inlineStr">
        <is>
          <t>ABCI Securities Company Limited; BOCI Asia Limited; BOCOM International Securities Limited; CCB International Capital Limited; Central China International Securities Co., Limited; China Galaxy International Securities (Hong Kong) Company Limited; China International Capital Corporation Hong Kong Securities Limited; CLSA Limited; CMBC Securities Company Limited; CMB International Capital Limited; China Merchants Securities (HK) Company Limited; Futu Securities International (Hong Kong) Limited</t>
        </is>
      </c>
      <c r="BW294" s="78">
        <f>HYPERLINK("https://www1.hkexnews.hk/listedco/listconews/sehk/2024/1128/2024112800056.htm","prospectus")</f>
        <v/>
      </c>
      <c r="BX294" s="78">
        <f>HYPERLINK("https://www1.hkexnews.hk/listedco/listconews/sehk/2024/1205/2024120501922.pdf","allotment")</f>
        <v/>
      </c>
      <c r="BY294" s="78">
        <f>HYPERLINK("https://www1.hkexnews.hk/listedco/listconews/sehk/2025/0102/2025010202824.pdf","stabilisation")</f>
        <v/>
      </c>
      <c r="BZ294" s="76" t="n"/>
      <c r="CA294" s="63" t="inlineStr">
        <is>
          <t>P/E: n/m — loss-making at IPO (use P/S) · price range: fixed-price offering (no indicative range) · range low: cap-only pricing — the filing publishes a Maximum Offer Price and no indicative floor · A/H: no A-share listing · sponsor: English name not in the filing text; AAStocks 保薦人 shown · greenshoe size: no over-allotment option in the offer structure · grey market: no grey-market headline on file for this deal — AAStocks publishes one per listing but keeps only recent items on the stock's news page, and no public archive of past evening sessions exists; captured from this run onward</t>
        </is>
      </c>
    </row>
    <row r="295" ht="15" customHeight="1">
      <c r="A295" s="62" t="inlineStr">
        <is>
          <t>2570</t>
        </is>
      </c>
      <c r="B295" s="63" t="inlineStr">
        <is>
          <t>REFIRE</t>
        </is>
      </c>
      <c r="C295" s="63" t="inlineStr">
        <is>
          <t>重塑能源</t>
        </is>
      </c>
      <c r="D295" s="63" t="inlineStr">
        <is>
          <t>Industrials</t>
        </is>
      </c>
      <c r="E295" s="63" t="inlineStr">
        <is>
          <t>Batteries / energy storage</t>
        </is>
      </c>
      <c r="F295" s="63" t="inlineStr">
        <is>
          <t>Electrical Components &amp; Equipment</t>
        </is>
      </c>
      <c r="G295" s="63" t="inlineStr">
        <is>
          <t>Standard</t>
        </is>
      </c>
      <c r="H295" s="64" t="n">
        <v>45632</v>
      </c>
      <c r="I295" s="65" t="n">
        <v>709.7</v>
      </c>
      <c r="J295" s="63" t="inlineStr">
        <is>
          <t>gross (stated)</t>
        </is>
      </c>
      <c r="K295" s="66" t="n">
        <v>145</v>
      </c>
      <c r="L295" s="66" t="n">
        <v>165</v>
      </c>
      <c r="M295" s="66" t="n">
        <v>147</v>
      </c>
      <c r="N295" s="63" t="inlineStr">
        <is>
          <t>N</t>
        </is>
      </c>
      <c r="O295" s="67" t="n">
        <v>89.09999999999999</v>
      </c>
      <c r="P295" s="67" t="n">
        <v>10</v>
      </c>
      <c r="Q295" s="68" t="n">
        <v>11106.4</v>
      </c>
      <c r="R295" s="63" t="inlineStr">
        <is>
          <t>derived:deal size / offer % of enlarged capital</t>
        </is>
      </c>
      <c r="S295" s="69" t="n">
        <v>1.55</v>
      </c>
      <c r="T295" s="70" t="n">
        <v>1.33</v>
      </c>
      <c r="U295" s="71" t="n"/>
      <c r="V295" s="68" t="n">
        <v>709.7</v>
      </c>
      <c r="W295" s="68" t="n">
        <v>4827920</v>
      </c>
      <c r="X295" s="67" t="n">
        <v>6.39</v>
      </c>
      <c r="Y295" s="63" t="n"/>
      <c r="Z295" s="63" t="n"/>
      <c r="AA295" s="67" t="n">
        <v>10</v>
      </c>
      <c r="AB295" s="72" t="n"/>
      <c r="AC295" s="66" t="n"/>
      <c r="AD295" s="72" t="n"/>
      <c r="AE295" s="63" t="n"/>
      <c r="AF295" s="63" t="n"/>
      <c r="AG295" s="63" t="inlineStr">
        <is>
          <t>partial</t>
        </is>
      </c>
      <c r="AH295" s="63" t="inlineStr">
        <is>
          <t>2025-01-02</t>
        </is>
      </c>
      <c r="AI295" s="63" t="inlineStr">
        <is>
          <t>China International Capital Corporation Hong Kong Securities Limited</t>
        </is>
      </c>
      <c r="AJ295" s="63" t="inlineStr">
        <is>
          <t>China International</t>
        </is>
      </c>
      <c r="AK295" s="73" t="n">
        <v>0.07000000000000001</v>
      </c>
      <c r="AL295" s="72" t="n">
        <v>1.29</v>
      </c>
      <c r="AM295" s="72" t="n">
        <v>-1.2</v>
      </c>
      <c r="AN295" s="72" t="n">
        <v>11.02</v>
      </c>
      <c r="AO295" s="72" t="n">
        <v>30.82</v>
      </c>
      <c r="AP295" s="72" t="n">
        <v>68.98</v>
      </c>
      <c r="AQ295" s="72" t="n">
        <v>10.94</v>
      </c>
      <c r="AR295" s="72" t="n">
        <v>30.73</v>
      </c>
      <c r="AS295" s="72" t="n">
        <v>68.86</v>
      </c>
      <c r="AT295" s="72" t="n">
        <v>8.470000000000001</v>
      </c>
      <c r="AU295" s="72" t="n">
        <v>32.7</v>
      </c>
      <c r="AV295" s="72" t="n">
        <v>44.13</v>
      </c>
      <c r="AW295" s="72" t="n">
        <v>34.25</v>
      </c>
      <c r="AX295" s="72" t="n">
        <v>-1.88</v>
      </c>
      <c r="AY295" s="72" t="n">
        <v>-3.52</v>
      </c>
      <c r="AZ295" s="63" t="inlineStr">
        <is>
          <t>Hang Seng Commerce &amp; Industry sub-index</t>
        </is>
      </c>
      <c r="BA295" s="72" t="n">
        <v>-90.27</v>
      </c>
      <c r="BB295" s="64" t="inlineStr">
        <is>
          <t>2026-08-28</t>
        </is>
      </c>
      <c r="BC295" s="65" t="n">
        <v>984.8</v>
      </c>
      <c r="BD295" s="68" t="n">
        <v>-582.4</v>
      </c>
      <c r="BE295" s="63" t="inlineStr">
        <is>
          <t>N</t>
        </is>
      </c>
      <c r="BF295" s="63" t="inlineStr">
        <is>
          <t>n/m</t>
        </is>
      </c>
      <c r="BG295" s="74" t="n"/>
      <c r="BH295" s="74" t="n"/>
      <c r="BI295" s="74" t="n">
        <v>11.3</v>
      </c>
      <c r="BJ295" s="75">
        <f>IF('BBG Verify'!S295="","not filed — run on terminal",'BBG Verify'!S295)</f>
        <v/>
      </c>
      <c r="BK295" s="76" t="inlineStr">
        <is>
          <t>N</t>
        </is>
      </c>
      <c r="BL295" s="77">
        <f>IF('BBG Verify'!K295="","not filed — run on terminal",'BBG Verify'!K295)</f>
        <v/>
      </c>
      <c r="BM295" s="63" t="inlineStr">
        <is>
          <t>N/A</t>
        </is>
      </c>
      <c r="BN295" s="63" t="inlineStr">
        <is>
          <t>N/A</t>
        </is>
      </c>
      <c r="BO295" s="63" t="inlineStr">
        <is>
          <t>N/A</t>
        </is>
      </c>
      <c r="BP295" s="63" t="inlineStr">
        <is>
          <t>N/A</t>
        </is>
      </c>
      <c r="BQ295" s="63" t="inlineStr">
        <is>
          <t>N/A</t>
        </is>
      </c>
      <c r="BR295" s="63" t="inlineStr">
        <is>
          <t>N/A</t>
        </is>
      </c>
      <c r="BS295" s="76" t="n"/>
      <c r="BT295" s="63" t="inlineStr">
        <is>
          <t>China International Capital Corporation Hong Kong Securities Limited</t>
        </is>
      </c>
      <c r="BU295" s="63" t="inlineStr">
        <is>
          <t>China International Capital Corporation Hong Kong Securities Limited; CMB International Capital Limited; BOCI Asia Limited; China Galaxy International Securities (Hong Kong) Co., Limited; ABCI Capital Limited; China Merchants Securities (HK) Co., Limited; Livermore Holdings Limited; Tiger Brokers (HK) Global Limited</t>
        </is>
      </c>
      <c r="BV295" s="63" t="inlineStr">
        <is>
          <t>ABCI Securities Company Limited; BNP Paribas Securities (Asia) Limited; BOCI Asia Limited; China Galaxy International Securities (Hong Kong) Company Limited; China International Capital Corporation Hong Kong Securities Limited; CMB International Capital Limited; China Merchants Securities (HK) Company Limited; Livermore Holdings Limited; Soochow Securities International Brokerage Limited; Tiger Brokers (HK) Global Limited</t>
        </is>
      </c>
      <c r="BW295" s="78">
        <f>HYPERLINK("https://www1.hkexnews.hk/listedco/listconews/sehk/2024/1128/2024112800011.pdf","prospectus")</f>
        <v/>
      </c>
      <c r="BX295" s="78">
        <f>HYPERLINK("https://www1.hkexnews.hk/listedco/listconews/sehk/2024/1205/2024120501926.pdf","allotment")</f>
        <v/>
      </c>
      <c r="BY295" s="78">
        <f>HYPERLINK("https://www1.hkexnews.hk/listedco/listconews/sehk/2025/0102/2025010203561.pdf","stabilisation")</f>
        <v/>
      </c>
      <c r="BZ295" s="76" t="n"/>
      <c r="CA295" s="63" t="inlineStr">
        <is>
          <t>P/E: n/m — loss-making at IPO (use P/S) · A/H: no A-share listing · sponsor: English name not in the filing text; AAStocks 保薦人 shown · cornerstone list: cornerstone section not machine-extractable — see the prospectus link · cornerstone %: cornerstone aggregate not stated in the filing · grey market: no grey-market headline on file for this deal — AAStocks publishes one per listing but keeps only recent items on the stock's news page, and no public archive of past evening sessions exists; captured from this run onward</t>
        </is>
      </c>
    </row>
    <row r="296" ht="15" customHeight="1">
      <c r="A296" s="62" t="inlineStr">
        <is>
          <t>1318</t>
        </is>
      </c>
      <c r="B296" s="63" t="inlineStr">
        <is>
          <t>MAO GEPING</t>
        </is>
      </c>
      <c r="C296" s="63" t="inlineStr">
        <is>
          <t>毛戈平</t>
        </is>
      </c>
      <c r="D296" s="63" t="inlineStr">
        <is>
          <t>Consumer</t>
        </is>
      </c>
      <c r="E296" s="63" t="inlineStr">
        <is>
          <t>Beauty / personal care</t>
        </is>
      </c>
      <c r="F296" s="63" t="inlineStr">
        <is>
          <t>Beauty &amp; Toiletries Products and Services</t>
        </is>
      </c>
      <c r="G296" s="63" t="inlineStr">
        <is>
          <t>Standard</t>
        </is>
      </c>
      <c r="H296" s="64" t="n">
        <v>45636</v>
      </c>
      <c r="I296" s="65" t="n">
        <v>2337.02</v>
      </c>
      <c r="J296" s="63" t="inlineStr">
        <is>
          <t>gross (stated)</t>
        </is>
      </c>
      <c r="K296" s="66" t="n"/>
      <c r="L296" s="66" t="n">
        <v>29.8</v>
      </c>
      <c r="M296" s="66" t="n">
        <v>29.8</v>
      </c>
      <c r="N296" s="63" t="inlineStr">
        <is>
          <t>Y</t>
        </is>
      </c>
      <c r="O296" s="67" t="n">
        <v>100</v>
      </c>
      <c r="P296" s="67" t="n"/>
      <c r="Q296" s="68" t="n">
        <v>13749.8</v>
      </c>
      <c r="R296" s="63" t="inlineStr">
        <is>
          <t>aastocks:上市市值 at the struck price</t>
        </is>
      </c>
      <c r="S296" s="69" t="n">
        <v>919.1799999999999</v>
      </c>
      <c r="T296" s="70" t="n">
        <v>30.34</v>
      </c>
      <c r="U296" s="71" t="n">
        <v>33.3</v>
      </c>
      <c r="V296" s="68" t="n">
        <v>1558.79</v>
      </c>
      <c r="W296" s="68" t="n">
        <v>52308408</v>
      </c>
      <c r="X296" s="67" t="n">
        <v>11.34</v>
      </c>
      <c r="Y296" s="63" t="inlineStr">
        <is>
          <t>CPE Investment; Seraphim Advantage Inc; IvyRock; Fund LP and China Core Fund; Mega Prime</t>
        </is>
      </c>
      <c r="Z296" s="63" t="inlineStr">
        <is>
          <t>cpe;seraphim;ivyrock;core;mega</t>
        </is>
      </c>
      <c r="AA296" s="67" t="n">
        <v>15</v>
      </c>
      <c r="AB296" s="72" t="n"/>
      <c r="AC296" s="66" t="n"/>
      <c r="AD296" s="72" t="n"/>
      <c r="AE296" s="63" t="n"/>
      <c r="AF296" s="63" t="n"/>
      <c r="AG296" s="63" t="n"/>
      <c r="AH296" s="63" t="inlineStr">
        <is>
          <t>2025-01-04</t>
        </is>
      </c>
      <c r="AI296" s="63" t="inlineStr">
        <is>
          <t>China International Capital Corporation Hong Kong Securities Limited</t>
        </is>
      </c>
      <c r="AJ296" s="63" t="inlineStr">
        <is>
          <t>China International</t>
        </is>
      </c>
      <c r="AK296" s="73" t="n">
        <v>76.51000000000001</v>
      </c>
      <c r="AL296" s="72" t="n">
        <v>59.9</v>
      </c>
      <c r="AM296" s="72" t="n">
        <v>10.39</v>
      </c>
      <c r="AN296" s="72" t="n">
        <v>96.31</v>
      </c>
      <c r="AO296" s="72" t="n">
        <v>97.98999999999999</v>
      </c>
      <c r="AP296" s="72" t="n">
        <v>270.47</v>
      </c>
      <c r="AQ296" s="72" t="n">
        <v>11.22</v>
      </c>
      <c r="AR296" s="72" t="n">
        <v>12.17</v>
      </c>
      <c r="AS296" s="72" t="n">
        <v>109.89</v>
      </c>
      <c r="AT296" s="72" t="n">
        <v>100.54</v>
      </c>
      <c r="AU296" s="72" t="n">
        <v>106.68</v>
      </c>
      <c r="AV296" s="72" t="n">
        <v>247.76</v>
      </c>
      <c r="AW296" s="72" t="n">
        <v>20.14</v>
      </c>
      <c r="AX296" s="72" t="n">
        <v>-8.69</v>
      </c>
      <c r="AY296" s="72" t="n">
        <v>-7.97</v>
      </c>
      <c r="AZ296" s="63" t="inlineStr">
        <is>
          <t>Hang Seng Commerce &amp; Industry sub-index</t>
        </is>
      </c>
      <c r="BA296" s="72" t="n">
        <v>67.45</v>
      </c>
      <c r="BB296" s="64" t="inlineStr">
        <is>
          <t>2026-08-28</t>
        </is>
      </c>
      <c r="BC296" s="65" t="n">
        <v>3174.6</v>
      </c>
      <c r="BD296" s="68" t="n">
        <v>728.1</v>
      </c>
      <c r="BE296" s="63" t="inlineStr">
        <is>
          <t>Y</t>
        </is>
      </c>
      <c r="BF296" s="74" t="n">
        <v>18.9</v>
      </c>
      <c r="BG296" s="74" t="n">
        <v>12.2</v>
      </c>
      <c r="BH296" s="74" t="n">
        <v>17.7</v>
      </c>
      <c r="BI296" s="74" t="n">
        <v>4.3</v>
      </c>
      <c r="BJ296" s="75">
        <f>IF('BBG Verify'!S296="","not filed — run on terminal",'BBG Verify'!S296)</f>
        <v/>
      </c>
      <c r="BK296" s="76" t="inlineStr">
        <is>
          <t>N</t>
        </is>
      </c>
      <c r="BL296" s="77">
        <f>IF('BBG Verify'!K296="","not filed — run on terminal",'BBG Verify'!K296)</f>
        <v/>
      </c>
      <c r="BM296" s="63" t="inlineStr">
        <is>
          <t>N/A</t>
        </is>
      </c>
      <c r="BN296" s="63" t="inlineStr">
        <is>
          <t>N/A</t>
        </is>
      </c>
      <c r="BO296" s="63" t="inlineStr">
        <is>
          <t>N/A</t>
        </is>
      </c>
      <c r="BP296" s="63" t="inlineStr">
        <is>
          <t>N/A</t>
        </is>
      </c>
      <c r="BQ296" s="63" t="inlineStr">
        <is>
          <t>N/A</t>
        </is>
      </c>
      <c r="BR296" s="63" t="inlineStr">
        <is>
          <t>N/A</t>
        </is>
      </c>
      <c r="BS296" s="76" t="n"/>
      <c r="BT296" s="63" t="inlineStr">
        <is>
          <t>China International Capital Corporation Hong Kong Securities Limited</t>
        </is>
      </c>
      <c r="BU296" s="63" t="inlineStr">
        <is>
          <t>ABCI Securities Company Limited; CCB International Capital Limited; China Galaxy International Securities (Hong Kong) Company Limited; China International Capital Corporation Hong Kong Securities Limited; CMBC Securities Company Limited; Futu Securities International (Hong Kong) Limited</t>
        </is>
      </c>
      <c r="BV296" s="63" t="inlineStr">
        <is>
          <t>ABCI Securities Company Limited; CCB International Capital Limited; China Galaxy International Securities (Hong Kong) Company Limited; China International Capital Corporation Hong Kong Securities Limited; CMBC Securities Company Limited; Futu Securities International (Hong Kong) Limited; Guotai Junan Securities (Hong Kong) Limited; Huatai Financial Holdings (Hong Kong) Limited; Livermore Holdings Limited; Tiger Brokers (HK) Global Limited</t>
        </is>
      </c>
      <c r="BW296" s="63" t="n"/>
      <c r="BX296" s="78">
        <f>HYPERLINK("https://www1.hkexnews.hk/listedco/listconews/sehk/2024/1209/2024120901607.pdf","allotment")</f>
        <v/>
      </c>
      <c r="BY296" s="63" t="n"/>
      <c r="BZ296" s="76" t="n"/>
      <c r="CA296" s="63" t="inlineStr">
        <is>
          <t>greenshoe: end-of-stabilisation notice not located · price range: fixed-price offering (no indicative range) · range low: cap-only pricing — the filing publishes a Maximum Offer Price and no indicative floor · A/H: no A-share listing · sponsor: English name not in the filing text; AAStocks 保薦人 shown · filing links: no prospectus document returned by the HKEX per-stock search for this code — the allotment announcement is linked beside it · grey market: no grey-market headline on file for this deal — AAStocks publishes one per listing but keeps only recent items on the stock's news page, and no public archive of past evening sessions exists; captured from this run onward</t>
        </is>
      </c>
    </row>
    <row r="297" ht="15" customHeight="1">
      <c r="A297" s="62" t="inlineStr">
        <is>
          <t>2593</t>
        </is>
      </c>
      <c r="B297" s="63" t="inlineStr">
        <is>
          <t>HERBS GROUP</t>
        </is>
      </c>
      <c r="C297" s="63" t="inlineStr">
        <is>
          <t>草姬集團</t>
        </is>
      </c>
      <c r="D297" s="63" t="inlineStr">
        <is>
          <t>Healthcare</t>
        </is>
      </c>
      <c r="E297" s="63" t="inlineStr">
        <is>
          <t>TCM</t>
        </is>
      </c>
      <c r="F297" s="63" t="inlineStr">
        <is>
          <t>Health Care Supplies</t>
        </is>
      </c>
      <c r="G297" s="63" t="inlineStr">
        <is>
          <t>Standard</t>
        </is>
      </c>
      <c r="H297" s="64" t="n">
        <v>45645</v>
      </c>
      <c r="I297" s="65" t="n">
        <v>125</v>
      </c>
      <c r="J297" s="63" t="inlineStr">
        <is>
          <t>gross (stated)</t>
        </is>
      </c>
      <c r="K297" s="66" t="n">
        <v>3.75</v>
      </c>
      <c r="L297" s="66" t="n">
        <v>4.15</v>
      </c>
      <c r="M297" s="66" t="n">
        <v>3.75</v>
      </c>
      <c r="N297" s="63" t="inlineStr">
        <is>
          <t>N</t>
        </is>
      </c>
      <c r="O297" s="67" t="n">
        <v>90.40000000000001</v>
      </c>
      <c r="P297" s="67" t="n">
        <v>0</v>
      </c>
      <c r="Q297" s="68" t="n">
        <v>500</v>
      </c>
      <c r="R297" s="63" t="inlineStr">
        <is>
          <t>derived:price x shares upon listing</t>
        </is>
      </c>
      <c r="S297" s="69" t="n">
        <v>6083.63</v>
      </c>
      <c r="T297" s="70" t="n">
        <v>1.79</v>
      </c>
      <c r="U297" s="71" t="n">
        <v>22.4</v>
      </c>
      <c r="V297" s="68" t="n">
        <v>97</v>
      </c>
      <c r="W297" s="68" t="n">
        <v>25866874</v>
      </c>
      <c r="X297" s="67" t="n">
        <v>19.4</v>
      </c>
      <c r="Y297" s="63" t="inlineStr">
        <is>
          <t>Vital Message</t>
        </is>
      </c>
      <c r="Z297" s="63" t="inlineStr">
        <is>
          <t>vital</t>
        </is>
      </c>
      <c r="AA297" s="67" t="n"/>
      <c r="AB297" s="72" t="n"/>
      <c r="AC297" s="66" t="n"/>
      <c r="AD297" s="72" t="n"/>
      <c r="AE297" s="63" t="n"/>
      <c r="AF297" s="63" t="n"/>
      <c r="AG297" s="63" t="n"/>
      <c r="AH297" s="63" t="n"/>
      <c r="AI297" s="63" t="n"/>
      <c r="AJ297" s="63" t="n"/>
      <c r="AK297" s="73" t="n">
        <v>10.4</v>
      </c>
      <c r="AL297" s="72" t="n">
        <v>25.07</v>
      </c>
      <c r="AM297" s="72" t="n">
        <v>-11.73</v>
      </c>
      <c r="AN297" s="72" t="n">
        <v>-24.27</v>
      </c>
      <c r="AO297" s="72" t="n">
        <v>-45.07</v>
      </c>
      <c r="AP297" s="72" t="n">
        <v>-54.93</v>
      </c>
      <c r="AQ297" s="72" t="n">
        <v>-31.4</v>
      </c>
      <c r="AR297" s="72" t="n">
        <v>-50.24</v>
      </c>
      <c r="AS297" s="72" t="n">
        <v>-59.18</v>
      </c>
      <c r="AT297" s="72" t="n">
        <v>-22.77</v>
      </c>
      <c r="AU297" s="72" t="n">
        <v>-39.32</v>
      </c>
      <c r="AV297" s="72" t="n">
        <v>-63.87</v>
      </c>
      <c r="AW297" s="72" t="n">
        <v>-44.97</v>
      </c>
      <c r="AX297" s="72" t="n">
        <v>-5.75</v>
      </c>
      <c r="AY297" s="72" t="n">
        <v>-5.27</v>
      </c>
      <c r="AZ297" s="63" t="inlineStr">
        <is>
          <t>China Biotech ETF (HS biotech proxy)</t>
        </is>
      </c>
      <c r="BA297" s="72" t="n">
        <v>-75.06999999999999</v>
      </c>
      <c r="BB297" s="64" t="inlineStr">
        <is>
          <t>2026-08-28</t>
        </is>
      </c>
      <c r="BC297" s="65" t="n">
        <v>251.2</v>
      </c>
      <c r="BD297" s="68" t="n">
        <v>39.5</v>
      </c>
      <c r="BE297" s="63" t="inlineStr">
        <is>
          <t>Y</t>
        </is>
      </c>
      <c r="BF297" s="74" t="n">
        <v>12.7</v>
      </c>
      <c r="BG297" s="74" t="n"/>
      <c r="BH297" s="74" t="n"/>
      <c r="BI297" s="74" t="n">
        <v>2</v>
      </c>
      <c r="BJ297" s="75">
        <f>IF('BBG Verify'!S297="","not filed — run on terminal",'BBG Verify'!S297)</f>
        <v/>
      </c>
      <c r="BK297" s="76" t="inlineStr">
        <is>
          <t>N</t>
        </is>
      </c>
      <c r="BL297" s="77">
        <f>IF('BBG Verify'!K297="","not filed — run on terminal",'BBG Verify'!K297)</f>
        <v/>
      </c>
      <c r="BM297" s="63" t="inlineStr">
        <is>
          <t>N/A</t>
        </is>
      </c>
      <c r="BN297" s="63" t="inlineStr">
        <is>
          <t>N/A</t>
        </is>
      </c>
      <c r="BO297" s="63" t="inlineStr">
        <is>
          <t>N/A</t>
        </is>
      </c>
      <c r="BP297" s="63" t="inlineStr">
        <is>
          <t>N/A</t>
        </is>
      </c>
      <c r="BQ297" s="63" t="inlineStr">
        <is>
          <t>N/A</t>
        </is>
      </c>
      <c r="BR297" s="63" t="inlineStr">
        <is>
          <t>N/A</t>
        </is>
      </c>
      <c r="BS297" s="76" t="n"/>
      <c r="BT297" s="63" t="inlineStr">
        <is>
          <t>ABCI Capital Limited</t>
        </is>
      </c>
      <c r="BU297" s="63" t="inlineStr">
        <is>
          <t>ABCI Capital Limited</t>
        </is>
      </c>
      <c r="BV297" s="63" t="inlineStr">
        <is>
          <t>ABCI Securities Company Limited; BOCOM International Securities Limited; Chiyu International Capital Limited; CMBC Securities Company Limited; China Sunrise Securities (International) Limited; Futu Securities International (Hong Kong) Limited; Get Nice Securities Limited; Livermore Holdings Limited; Phillip Securities (Hong Kong) Limited; Ruibang Securities Limited; Solomon JFZ (Asia) Holdings Limited; South China Securities Company Limited</t>
        </is>
      </c>
      <c r="BW297" s="78">
        <f>HYPERLINK("https://www1.hkexnews.hk/listedco/listconews/sehk/2024/1211/2024121100009.pdf","prospectus")</f>
        <v/>
      </c>
      <c r="BX297" s="78">
        <f>HYPERLINK("https://www1.hkexnews.hk/listedco/listconews/sehk/2024/1218/2024121801165.pdf","allotment")</f>
        <v/>
      </c>
      <c r="BY297" s="63" t="n"/>
      <c r="BZ297" s="76" t="n"/>
      <c r="CA297" s="63" t="inlineStr">
        <is>
          <t>greenshoe: no over-allotment option in the offer structure · A/H: no A-share listing · sponsor: English name not in the filing text; AAStocks 保薦人 shown · greenshoe size: no over-allotment option in the offer structure · stabilising manager: the filing states no stabilising manager will be appointed — a filed fact, not an extraction gap (allotment announcement: 'no stabilizing manager will be appointed' stated in the filing) · grey market: no grey-market headline on file for this deal — AAStocks publishes one per listing but keeps only recent items on the stock's news page, and no public archive of past evening sessions exists; captured from this run onward</t>
        </is>
      </c>
    </row>
    <row r="298" ht="15" customHeight="1">
      <c r="A298" s="62" t="inlineStr">
        <is>
          <t>0999</t>
        </is>
      </c>
      <c r="B298" s="63" t="inlineStr">
        <is>
          <t>XIAOCAIYUAN</t>
        </is>
      </c>
      <c r="C298" s="63" t="inlineStr">
        <is>
          <t>小菜園</t>
        </is>
      </c>
      <c r="D298" s="63" t="inlineStr">
        <is>
          <t>Consumer</t>
        </is>
      </c>
      <c r="E298" s="63" t="inlineStr">
        <is>
          <t>F&amp;B chains / restaurants</t>
        </is>
      </c>
      <c r="F298" s="63" t="inlineStr">
        <is>
          <t>Restaurants</t>
        </is>
      </c>
      <c r="G298" s="63" t="inlineStr">
        <is>
          <t>Standard</t>
        </is>
      </c>
      <c r="H298" s="64" t="n">
        <v>45646</v>
      </c>
      <c r="I298" s="65" t="n">
        <v>794.8</v>
      </c>
      <c r="J298" s="63" t="inlineStr">
        <is>
          <t>gross (stated)</t>
        </is>
      </c>
      <c r="K298" s="66" t="n"/>
      <c r="L298" s="66" t="n">
        <v>8.5</v>
      </c>
      <c r="M298" s="66" t="n">
        <v>8.5</v>
      </c>
      <c r="N298" s="63" t="inlineStr">
        <is>
          <t>Y</t>
        </is>
      </c>
      <c r="O298" s="67" t="n">
        <v>100</v>
      </c>
      <c r="P298" s="67" t="n"/>
      <c r="Q298" s="68" t="n">
        <v>10000.4</v>
      </c>
      <c r="R298" s="63" t="inlineStr">
        <is>
          <t>derived:price x shares upon listing</t>
        </is>
      </c>
      <c r="S298" s="69" t="n">
        <v>1.44</v>
      </c>
      <c r="T298" s="70" t="n">
        <v>1.29</v>
      </c>
      <c r="U298" s="71" t="n"/>
      <c r="V298" s="68" t="n">
        <v>794.8</v>
      </c>
      <c r="W298" s="68" t="n">
        <v>101180800</v>
      </c>
      <c r="X298" s="67" t="n">
        <v>7.95</v>
      </c>
      <c r="Y298" s="63" t="n"/>
      <c r="Z298" s="63" t="n"/>
      <c r="AA298" s="67" t="n"/>
      <c r="AB298" s="72" t="n"/>
      <c r="AC298" s="66" t="n"/>
      <c r="AD298" s="72" t="n"/>
      <c r="AE298" s="63" t="n"/>
      <c r="AF298" s="63" t="n"/>
      <c r="AG298" s="63" t="n"/>
      <c r="AH298" s="63" t="inlineStr">
        <is>
          <t>2025-01-16</t>
        </is>
      </c>
      <c r="AI298" s="63" t="inlineStr">
        <is>
          <t>UBS AG Hong Kong Branch</t>
        </is>
      </c>
      <c r="AJ298" s="63" t="inlineStr">
        <is>
          <t>UBS</t>
        </is>
      </c>
      <c r="AK298" s="73" t="n">
        <v>13.65</v>
      </c>
      <c r="AL298" s="72" t="n">
        <v>5.88</v>
      </c>
      <c r="AM298" s="72" t="n">
        <v>7.34</v>
      </c>
      <c r="AN298" s="72" t="n">
        <v>7.41</v>
      </c>
      <c r="AO298" s="72" t="n">
        <v>5.18</v>
      </c>
      <c r="AP298" s="72" t="n">
        <v>25.18</v>
      </c>
      <c r="AQ298" s="72" t="n">
        <v>-5.49</v>
      </c>
      <c r="AR298" s="72" t="n">
        <v>-7.45</v>
      </c>
      <c r="AS298" s="72" t="n">
        <v>10.15</v>
      </c>
      <c r="AT298" s="72" t="n">
        <v>6.62</v>
      </c>
      <c r="AU298" s="72" t="n">
        <v>6.36</v>
      </c>
      <c r="AV298" s="72" t="n">
        <v>1.54</v>
      </c>
      <c r="AW298" s="72" t="n">
        <v>-6.38</v>
      </c>
      <c r="AX298" s="72" t="n">
        <v>-1.18</v>
      </c>
      <c r="AY298" s="72" t="n">
        <v>-1.07</v>
      </c>
      <c r="AZ298" s="63" t="inlineStr">
        <is>
          <t>Hang Seng Commerce &amp; Industry sub-index</t>
        </is>
      </c>
      <c r="BA298" s="72" t="n">
        <v>-9.470000000000001</v>
      </c>
      <c r="BB298" s="64" t="inlineStr">
        <is>
          <t>2026-08-28</t>
        </is>
      </c>
      <c r="BC298" s="65" t="n">
        <v>5004.4</v>
      </c>
      <c r="BD298" s="68" t="n">
        <v>585.3</v>
      </c>
      <c r="BE298" s="63" t="inlineStr">
        <is>
          <t>Y</t>
        </is>
      </c>
      <c r="BF298" s="74" t="n">
        <v>17.1</v>
      </c>
      <c r="BG298" s="74" t="n"/>
      <c r="BH298" s="74" t="n"/>
      <c r="BI298" s="74" t="n">
        <v>2</v>
      </c>
      <c r="BJ298" s="75">
        <f>IF('BBG Verify'!S298="","not filed — run on terminal",'BBG Verify'!S298)</f>
        <v/>
      </c>
      <c r="BK298" s="76" t="inlineStr">
        <is>
          <t>N</t>
        </is>
      </c>
      <c r="BL298" s="77">
        <f>IF('BBG Verify'!K298="","not filed — run on terminal",'BBG Verify'!K298)</f>
        <v/>
      </c>
      <c r="BM298" s="63" t="inlineStr">
        <is>
          <t>N/A</t>
        </is>
      </c>
      <c r="BN298" s="63" t="inlineStr">
        <is>
          <t>N/A</t>
        </is>
      </c>
      <c r="BO298" s="63" t="inlineStr">
        <is>
          <t>N/A</t>
        </is>
      </c>
      <c r="BP298" s="63" t="inlineStr">
        <is>
          <t>N/A</t>
        </is>
      </c>
      <c r="BQ298" s="63" t="inlineStr">
        <is>
          <t>N/A</t>
        </is>
      </c>
      <c r="BR298" s="63" t="inlineStr">
        <is>
          <t>N/A</t>
        </is>
      </c>
      <c r="BS298" s="76" t="n"/>
      <c r="BT298" s="63" t="inlineStr">
        <is>
          <t>UBS Securities Hong Kong Limited; Huatai Financial Holdings (Hong Kong) Limited</t>
        </is>
      </c>
      <c r="BU298" s="63" t="inlineStr">
        <is>
          <t>ABCI Securities Company Limited; CMB International Capital Corporation Limited; Futu Securities International (Hong Kong) Limited; Guoyuan Securities Brokerage (Hong Kong) Limited; Huatai Financial Holdings (Hong Kong) Limited; ICBC International Securities Limited</t>
        </is>
      </c>
      <c r="BV298" s="63" t="inlineStr">
        <is>
          <t>ABCI Securities Company Limited; CMB International Capital Corporation Limited; Futu Securities International (Hong Kong) Limited; Guoyuan Securities Brokerage (Hong Kong) Limited; Huatai Financial Holdings (Hong Kong) Limited; ICBC International Securities Limited; TradeGo Markets Limited; UBS AG Hong Kong Branch</t>
        </is>
      </c>
      <c r="BW298" s="63" t="n"/>
      <c r="BX298" s="78">
        <f>HYPERLINK("https://www1.hkexnews.hk/listedco/listconews/sehk/2024/1219/2024121901317.pdf","allotment")</f>
        <v/>
      </c>
      <c r="BY298" s="63" t="n"/>
      <c r="BZ298" s="76" t="n"/>
      <c r="CA298" s="63" t="inlineStr">
        <is>
          <t>greenshoe: no over-allotment option in the offer structure · price range: fixed-price offering (no indicative range) · range low: cap-only pricing — the filing publishes a Maximum Offer Price and no indicative floor · A/H: no A-share listing · sponsor: English name not in the filing text; AAStocks 保薦人 shown · cornerstone list: cornerstone section not machine-extractable — see the prospectus link · cornerstone %: cornerstone aggregate not stated in the filing · greenshoe size: no over-allotment option in the offer structure · filing links: no prospectus document returned by the HKEX per-stock search for this code — the allotment announcement is linked beside it · grey market: no grey-market headline on file for this deal — AAStocks publishes one per listing but keeps only recent items on the stock's news page, and no public archive of past evening sessions exists; captured from this run onward · public sub: AAStocks rounds the same figure — HKEX table kept</t>
        </is>
      </c>
    </row>
    <row r="299" ht="15" customHeight="1">
      <c r="A299" s="62" t="inlineStr">
        <is>
          <t>2432</t>
        </is>
      </c>
      <c r="B299" s="63" t="inlineStr">
        <is>
          <t>DOBOT</t>
        </is>
      </c>
      <c r="C299" s="63" t="inlineStr">
        <is>
          <t>越疆</t>
        </is>
      </c>
      <c r="D299" s="63" t="inlineStr">
        <is>
          <t>Tech/AI</t>
        </is>
      </c>
      <c r="E299" s="63" t="inlineStr">
        <is>
          <t>Robotics &amp; autonomous driving</t>
        </is>
      </c>
      <c r="F299" s="63" t="inlineStr">
        <is>
          <t>Application Software</t>
        </is>
      </c>
      <c r="G299" s="63" t="inlineStr">
        <is>
          <t>Standard</t>
        </is>
      </c>
      <c r="H299" s="64" t="n">
        <v>45649</v>
      </c>
      <c r="I299" s="65" t="n">
        <v>752</v>
      </c>
      <c r="J299" s="63" t="inlineStr">
        <is>
          <t>gross (stated)</t>
        </is>
      </c>
      <c r="K299" s="66" t="n"/>
      <c r="L299" s="66" t="n">
        <v>20.8</v>
      </c>
      <c r="M299" s="66" t="n">
        <v>18.8</v>
      </c>
      <c r="N299" s="63" t="inlineStr">
        <is>
          <t>N</t>
        </is>
      </c>
      <c r="O299" s="67" t="n">
        <v>90.40000000000001</v>
      </c>
      <c r="P299" s="67" t="n"/>
      <c r="Q299" s="68" t="n">
        <v>6654.9</v>
      </c>
      <c r="R299" s="63" t="inlineStr">
        <is>
          <t>derived:deal size / offer % of enlarged capital</t>
        </is>
      </c>
      <c r="S299" s="69" t="n">
        <v>9.25</v>
      </c>
      <c r="T299" s="70" t="n">
        <v>2.64</v>
      </c>
      <c r="U299" s="71" t="n">
        <v>0</v>
      </c>
      <c r="V299" s="68" t="n">
        <v>752</v>
      </c>
      <c r="W299" s="68" t="n">
        <v>40000000</v>
      </c>
      <c r="X299" s="67" t="n">
        <v>11.3</v>
      </c>
      <c r="Y299" s="63" t="n"/>
      <c r="Z299" s="63" t="n"/>
      <c r="AA299" s="67" t="n">
        <v>15</v>
      </c>
      <c r="AB299" s="72" t="n"/>
      <c r="AC299" s="66" t="n"/>
      <c r="AD299" s="72" t="n"/>
      <c r="AE299" s="63" t="n"/>
      <c r="AF299" s="63" t="n"/>
      <c r="AG299" s="63" t="inlineStr">
        <is>
          <t>partial</t>
        </is>
      </c>
      <c r="AH299" s="63" t="inlineStr">
        <is>
          <t>2025-01-17</t>
        </is>
      </c>
      <c r="AI299" s="63" t="inlineStr">
        <is>
          <t>Guotai Junan Securities</t>
        </is>
      </c>
      <c r="AJ299" s="63" t="inlineStr">
        <is>
          <t>Guotai Junan</t>
        </is>
      </c>
      <c r="AK299" s="73" t="n">
        <v>0.74</v>
      </c>
      <c r="AL299" s="72" t="n">
        <v>4.79</v>
      </c>
      <c r="AM299" s="72" t="n">
        <v>-3.86</v>
      </c>
      <c r="AN299" s="72" t="n">
        <v>1.6</v>
      </c>
      <c r="AO299" s="72" t="n">
        <v>22.87</v>
      </c>
      <c r="AP299" s="72" t="n">
        <v>217.82</v>
      </c>
      <c r="AQ299" s="72" t="n">
        <v>0.85</v>
      </c>
      <c r="AR299" s="72" t="n">
        <v>21.97</v>
      </c>
      <c r="AS299" s="72" t="n">
        <v>215.49</v>
      </c>
      <c r="AT299" s="72" t="n">
        <v>3.67</v>
      </c>
      <c r="AU299" s="72" t="n">
        <v>18.14</v>
      </c>
      <c r="AV299" s="72" t="n">
        <v>193.85</v>
      </c>
      <c r="AW299" s="72" t="n">
        <v>17.63</v>
      </c>
      <c r="AX299" s="72" t="n">
        <v>4.73</v>
      </c>
      <c r="AY299" s="72" t="n">
        <v>4.34</v>
      </c>
      <c r="AZ299" s="63" t="inlineStr">
        <is>
          <t>HSTECH (Hang Seng TECH ETF)</t>
        </is>
      </c>
      <c r="BA299" s="72" t="n">
        <v>26.49</v>
      </c>
      <c r="BB299" s="64" t="inlineStr">
        <is>
          <t>2026-08-28</t>
        </is>
      </c>
      <c r="BC299" s="65" t="n">
        <v>315.4</v>
      </c>
      <c r="BD299" s="68" t="n">
        <v>-113.6</v>
      </c>
      <c r="BE299" s="63" t="inlineStr">
        <is>
          <t>N</t>
        </is>
      </c>
      <c r="BF299" s="63" t="inlineStr">
        <is>
          <t>n/m</t>
        </is>
      </c>
      <c r="BG299" s="74" t="n"/>
      <c r="BH299" s="74" t="n"/>
      <c r="BI299" s="74" t="n">
        <v>21.1</v>
      </c>
      <c r="BJ299" s="75">
        <f>IF('BBG Verify'!S299="","not filed — run on terminal",'BBG Verify'!S299)</f>
        <v/>
      </c>
      <c r="BK299" s="76" t="inlineStr">
        <is>
          <t>N</t>
        </is>
      </c>
      <c r="BL299" s="77">
        <f>IF('BBG Verify'!K299="","not filed — run on terminal",'BBG Verify'!K299)</f>
        <v/>
      </c>
      <c r="BM299" s="63" t="inlineStr">
        <is>
          <t>N/A</t>
        </is>
      </c>
      <c r="BN299" s="63" t="inlineStr">
        <is>
          <t>N/A</t>
        </is>
      </c>
      <c r="BO299" s="63" t="inlineStr">
        <is>
          <t>N/A</t>
        </is>
      </c>
      <c r="BP299" s="63" t="inlineStr">
        <is>
          <t>N/A</t>
        </is>
      </c>
      <c r="BQ299" s="63" t="inlineStr">
        <is>
          <t>N/A</t>
        </is>
      </c>
      <c r="BR299" s="63" t="inlineStr">
        <is>
          <t>N/A</t>
        </is>
      </c>
      <c r="BS299" s="76" t="inlineStr">
        <is>
          <t>Guotai Junan Capital Limited; ABCI Capital Limited; OCs Guotai Junan Securities (Hong Kong) Limited</t>
        </is>
      </c>
      <c r="BT299" s="63" t="inlineStr">
        <is>
          <t>Guotai Junan Capital Limited; ABCI Capital Limited</t>
        </is>
      </c>
      <c r="BU299" s="63" t="inlineStr">
        <is>
          <t>Guotai Junan Securities (Hong Kong) Limited; ABCI Capital Limited; Shenwan Hongyuan Securities (H.K.) Limited; TradeGo Markets Limited</t>
        </is>
      </c>
      <c r="BV299" s="63" t="inlineStr">
        <is>
          <t>ABCI Securities Company Limited; China PA Securities (Hong Kong) Company Limited; Guotai Junan Securities (Hong Kong) Limited; Shenwan Hongyuan Securities (H.K.) Limited; TradeGo Markets Limited</t>
        </is>
      </c>
      <c r="BW299" s="78">
        <f>HYPERLINK("https://www1.hkexnews.hk/listedco/listconews/sehk/2024/1213/2024121300029.pdf","prospectus")</f>
        <v/>
      </c>
      <c r="BX299" s="78">
        <f>HYPERLINK("https://www1.hkexnews.hk/listedco/listconews/sehk/2024/1220/2024122001962.pdf","allotment")</f>
        <v/>
      </c>
      <c r="BY299" s="78">
        <f>HYPERLINK("https://www1.hkexnews.hk/listedco/listconews/sehk/2025/0117/2025011701078.pdf","stabilisation")</f>
        <v/>
      </c>
      <c r="BZ299" s="76" t="n"/>
      <c r="CA299" s="63" t="inlineStr">
        <is>
          <t>P/E: n/m — loss-making at IPO (use P/S) · range low: cap-only pricing — the filing publishes a Maximum Offer Price and no indicative floor · A/H: no A-share listing · market cap: prospectus 'market capitalisation' line rejected — it is the listing-rule threshold, not the issuer's figure ("efined in the Listing Rules) with reference to our expected market capitalization at the time of Listing, whic") · cornerstone list: no cornerstone tranche in this deal · grey market: no grey-market headline on file for this deal — AAStocks publishes one per listing but keeps only recent items on the stock's news page, and no public archive of past evening sessions exists; captured from this run onward</t>
        </is>
      </c>
    </row>
    <row r="300" ht="15" customHeight="1">
      <c r="A300" s="62" t="inlineStr">
        <is>
          <t>2431</t>
        </is>
      </c>
      <c r="B300" s="63" t="inlineStr">
        <is>
          <t>MINIEYE</t>
        </is>
      </c>
      <c r="C300" s="63" t="inlineStr">
        <is>
          <t>佑駕創新</t>
        </is>
      </c>
      <c r="D300" s="63" t="inlineStr">
        <is>
          <t>Tech/AI</t>
        </is>
      </c>
      <c r="E300" s="63" t="inlineStr">
        <is>
          <t>Robotics &amp; autonomous driving</t>
        </is>
      </c>
      <c r="F300" s="63" t="inlineStr">
        <is>
          <t>Application Software</t>
        </is>
      </c>
      <c r="G300" s="63" t="inlineStr">
        <is>
          <t>Standard</t>
        </is>
      </c>
      <c r="H300" s="64" t="n">
        <v>45653</v>
      </c>
      <c r="I300" s="65" t="n">
        <v>666.23</v>
      </c>
      <c r="J300" s="63" t="inlineStr">
        <is>
          <t>gross (stated)</t>
        </is>
      </c>
      <c r="K300" s="66" t="n">
        <v>17</v>
      </c>
      <c r="L300" s="66" t="n">
        <v>20.2</v>
      </c>
      <c r="M300" s="66" t="n">
        <v>17</v>
      </c>
      <c r="N300" s="63" t="inlineStr">
        <is>
          <t>N</t>
        </is>
      </c>
      <c r="O300" s="67" t="n">
        <v>84.2</v>
      </c>
      <c r="P300" s="67" t="n">
        <v>0</v>
      </c>
      <c r="Q300" s="68" t="n">
        <v>6002.1</v>
      </c>
      <c r="R300" s="63" t="inlineStr">
        <is>
          <t>derived:deal size / offer % of enlarged capital</t>
        </is>
      </c>
      <c r="S300" s="69" t="n">
        <v>14.04</v>
      </c>
      <c r="T300" s="70" t="n">
        <v>1.09</v>
      </c>
      <c r="U300" s="71" t="n">
        <v>81.09999999999999</v>
      </c>
      <c r="V300" s="68" t="n">
        <v>125.92</v>
      </c>
      <c r="W300" s="68" t="n">
        <v>7406910</v>
      </c>
      <c r="X300" s="67" t="n">
        <v>2.1</v>
      </c>
      <c r="Y300" s="63" t="inlineStr">
        <is>
          <t>KCH International Investment Limited; Horizon Together Holding Ltd</t>
        </is>
      </c>
      <c r="Z300" s="63" t="inlineStr">
        <is>
          <t>kch;horizon</t>
        </is>
      </c>
      <c r="AA300" s="67" t="n">
        <v>2</v>
      </c>
      <c r="AB300" s="72" t="n"/>
      <c r="AC300" s="66" t="n"/>
      <c r="AD300" s="72" t="n"/>
      <c r="AE300" s="63" t="n"/>
      <c r="AF300" s="63" t="n"/>
      <c r="AG300" s="63" t="inlineStr">
        <is>
          <t>partial</t>
        </is>
      </c>
      <c r="AH300" s="63" t="inlineStr">
        <is>
          <t>2025-01-19</t>
        </is>
      </c>
      <c r="AI300" s="63" t="inlineStr">
        <is>
          <t>CLSA Limited</t>
        </is>
      </c>
      <c r="AJ300" s="63" t="inlineStr">
        <is>
          <t>CLSA</t>
        </is>
      </c>
      <c r="AK300" s="73" t="n">
        <v>14.12</v>
      </c>
      <c r="AL300" s="72" t="n">
        <v>9.41</v>
      </c>
      <c r="AM300" s="72" t="n">
        <v>4.3</v>
      </c>
      <c r="AN300" s="72" t="n">
        <v>2.94</v>
      </c>
      <c r="AO300" s="72" t="n">
        <v>22.94</v>
      </c>
      <c r="AP300" s="72" t="n">
        <v>88.53</v>
      </c>
      <c r="AQ300" s="72" t="n">
        <v>-9.800000000000001</v>
      </c>
      <c r="AR300" s="72" t="n">
        <v>7.73</v>
      </c>
      <c r="AS300" s="72" t="n">
        <v>65.2</v>
      </c>
      <c r="AT300" s="72" t="n">
        <v>5.52</v>
      </c>
      <c r="AU300" s="72" t="n">
        <v>18.33</v>
      </c>
      <c r="AV300" s="72" t="n">
        <v>69.06999999999999</v>
      </c>
      <c r="AW300" s="72" t="n">
        <v>3.83</v>
      </c>
      <c r="AX300" s="72" t="n">
        <v>4.61</v>
      </c>
      <c r="AY300" s="72" t="n">
        <v>3.9</v>
      </c>
      <c r="AZ300" s="63" t="inlineStr">
        <is>
          <t>HSTECH (Hang Seng TECH ETF)</t>
        </is>
      </c>
      <c r="BA300" s="72" t="n">
        <v>-79.03</v>
      </c>
      <c r="BB300" s="64" t="inlineStr">
        <is>
          <t>2026-08-28</t>
        </is>
      </c>
      <c r="BC300" s="65" t="n">
        <v>523.8</v>
      </c>
      <c r="BD300" s="68" t="n">
        <v>-227.9</v>
      </c>
      <c r="BE300" s="63" t="inlineStr">
        <is>
          <t>N</t>
        </is>
      </c>
      <c r="BF300" s="63" t="inlineStr">
        <is>
          <t>n/m</t>
        </is>
      </c>
      <c r="BG300" s="74" t="n"/>
      <c r="BH300" s="74" t="n"/>
      <c r="BI300" s="74" t="n">
        <v>11.5</v>
      </c>
      <c r="BJ300" s="75">
        <f>IF('BBG Verify'!S300="","not filed — run on terminal",'BBG Verify'!S300)</f>
        <v/>
      </c>
      <c r="BK300" s="76" t="inlineStr">
        <is>
          <t>N</t>
        </is>
      </c>
      <c r="BL300" s="77">
        <f>IF('BBG Verify'!K300="","not filed — run on terminal",'BBG Verify'!K300)</f>
        <v/>
      </c>
      <c r="BM300" s="63" t="inlineStr">
        <is>
          <t>N/A</t>
        </is>
      </c>
      <c r="BN300" s="63" t="inlineStr">
        <is>
          <t>N/A</t>
        </is>
      </c>
      <c r="BO300" s="63" t="inlineStr">
        <is>
          <t>N/A</t>
        </is>
      </c>
      <c r="BP300" s="63" t="inlineStr">
        <is>
          <t>N/A</t>
        </is>
      </c>
      <c r="BQ300" s="63" t="inlineStr">
        <is>
          <t>N/A</t>
        </is>
      </c>
      <c r="BR300" s="63" t="inlineStr">
        <is>
          <t>N/A</t>
        </is>
      </c>
      <c r="BS300" s="76" t="inlineStr">
        <is>
          <t>CITIC Securities (Hong Kong) Limited; China International Capital Corporation Hong Kong Securities Limited</t>
        </is>
      </c>
      <c r="BT300" s="63" t="inlineStr">
        <is>
          <t>China International Capital Corporation Hong Kong Securities Limited; CITIC Securities (Hong Kong) Limited</t>
        </is>
      </c>
      <c r="BU300" s="63" t="inlineStr">
        <is>
          <t>BOCI Asia Limited; CMBC Securities Company Limited; Futu Securities International (Hong Kong) Limited; Phillip Securities (Hong Kong) Limited; Shenwan Hongyuan Securities (H.K.) Limited; SPDB International Capital Limited; Tiger Brokers (HK) Global Limited</t>
        </is>
      </c>
      <c r="BV300" s="63" t="inlineStr">
        <is>
          <t>ABCI Securities Company Limited; BOCI Asia Limited; China International Capital Corporation Hong Kong Securities Limited; CLSA Limited; CMBC Securities Company Limited; Fosun International Securities Limited; Futu Securities International (Hong Kong) Limited; Long Bridge HK Limited; Patrons Securities Limited; Phillip Securities (Hong Kong) Limited; SBI China Capital Financial Services Limited; SDICS International Securities (Hong Kong) Limited</t>
        </is>
      </c>
      <c r="BW300" s="78">
        <f>HYPERLINK("https://www1.hkexnews.hk/listedco/listconews/sehk/2024/1217/2024121700015.pdf","prospectus")</f>
        <v/>
      </c>
      <c r="BX300" s="78">
        <f>HYPERLINK("https://www1.hkexnews.hk/listedco/listconews/sehk/2024/1224/2024122401190.pdf","allotment")</f>
        <v/>
      </c>
      <c r="BY300" s="78">
        <f>HYPERLINK("https://www1.hkexnews.hk/listedco/listconews/sehk/2025/0120/2025012000812.pdf","stabilisation")</f>
        <v/>
      </c>
      <c r="BZ300" s="76" t="n"/>
      <c r="CA300" s="63" t="inlineStr">
        <is>
          <t>P/E: n/m — loss-making at IPO (use P/S) · A/H: no A-share listing · grey market: no grey-market headline on file for this deal — AAStocks publishes one per listing but keeps only recent items on the stock's news page, and no public archive of past evening sessions exists; captured from this run onward</t>
        </is>
      </c>
    </row>
    <row r="301" ht="15" customHeight="1">
      <c r="A301" s="62" t="inlineStr">
        <is>
          <t>2587</t>
        </is>
      </c>
      <c r="B301" s="63" t="inlineStr">
        <is>
          <t>HEALTHYWAY INC</t>
        </is>
      </c>
      <c r="C301" s="63" t="inlineStr">
        <is>
          <t>健康之路</t>
        </is>
      </c>
      <c r="D301" s="63" t="inlineStr">
        <is>
          <t>Healthcare</t>
        </is>
      </c>
      <c r="E301" s="63" t="inlineStr">
        <is>
          <t>Digital health</t>
        </is>
      </c>
      <c r="F301" s="63" t="inlineStr">
        <is>
          <t>Health Care Services</t>
        </is>
      </c>
      <c r="G301" s="63" t="inlineStr">
        <is>
          <t>Standard</t>
        </is>
      </c>
      <c r="H301" s="64" t="n">
        <v>45656</v>
      </c>
      <c r="I301" s="65" t="n">
        <v>195</v>
      </c>
      <c r="J301" s="63" t="inlineStr">
        <is>
          <t>gross (stated)</t>
        </is>
      </c>
      <c r="K301" s="66" t="n">
        <v>7.8</v>
      </c>
      <c r="L301" s="66" t="n">
        <v>8.800000000000001</v>
      </c>
      <c r="M301" s="66" t="n">
        <v>7.8</v>
      </c>
      <c r="N301" s="63" t="inlineStr">
        <is>
          <t>N</t>
        </is>
      </c>
      <c r="O301" s="67" t="n">
        <v>88.59999999999999</v>
      </c>
      <c r="P301" s="67" t="n">
        <v>0</v>
      </c>
      <c r="Q301" s="68" t="n">
        <v>6846.1</v>
      </c>
      <c r="R301" s="63" t="inlineStr">
        <is>
          <t>derived:price x shares upon listing</t>
        </is>
      </c>
      <c r="S301" s="69" t="n">
        <v>34.42</v>
      </c>
      <c r="T301" s="70" t="n">
        <v>0.98</v>
      </c>
      <c r="U301" s="71" t="n">
        <v>51.23</v>
      </c>
      <c r="V301" s="68" t="n">
        <v>95.09999999999999</v>
      </c>
      <c r="W301" s="68" t="n">
        <v>12192500</v>
      </c>
      <c r="X301" s="67" t="n">
        <v>1.39</v>
      </c>
      <c r="Y301" s="63" t="inlineStr">
        <is>
          <t>Affluent Base Limited; Baidu (Hong Kong) Limited; HW MedSpect Limited; Hongda Juankang Limited; Strait One Investment LTD; May Jyu Limited; Jyun Jing Limited; Bai Sheng Enterprises Limited; Star Flourish Ventures Limited; Xing Da Limited; May Syun Limited; May Xin Limited</t>
        </is>
      </c>
      <c r="Z301" s="63" t="inlineStr">
        <is>
          <t>affluent;baidu;hw;hongda;strait;may;jyun;bai-sheng;star;xing</t>
        </is>
      </c>
      <c r="AA301" s="67" t="n"/>
      <c r="AB301" s="72" t="n"/>
      <c r="AC301" s="66" t="n"/>
      <c r="AD301" s="72" t="n"/>
      <c r="AE301" s="63" t="n"/>
      <c r="AF301" s="63" t="n"/>
      <c r="AG301" s="63" t="n"/>
      <c r="AH301" s="63" t="n"/>
      <c r="AI301" s="63" t="n"/>
      <c r="AJ301" s="63" t="n"/>
      <c r="AK301" s="73" t="n">
        <v>36.67</v>
      </c>
      <c r="AL301" s="72" t="n">
        <v>27.56</v>
      </c>
      <c r="AM301" s="72" t="n">
        <v>7.14</v>
      </c>
      <c r="AN301" s="72" t="n">
        <v>97.95</v>
      </c>
      <c r="AO301" s="72" t="n">
        <v>71.79000000000001</v>
      </c>
      <c r="AP301" s="72" t="n">
        <v>303.21</v>
      </c>
      <c r="AQ301" s="72" t="n">
        <v>44.84</v>
      </c>
      <c r="AR301" s="72" t="n">
        <v>25.7</v>
      </c>
      <c r="AS301" s="72" t="n">
        <v>195.02</v>
      </c>
      <c r="AT301" s="72" t="n">
        <v>102.77</v>
      </c>
      <c r="AU301" s="72" t="n">
        <v>74.68000000000001</v>
      </c>
      <c r="AV301" s="72" t="n">
        <v>282.84</v>
      </c>
      <c r="AW301" s="72" t="n">
        <v>29.24</v>
      </c>
      <c r="AX301" s="72" t="n">
        <v>-2.89</v>
      </c>
      <c r="AY301" s="72" t="n">
        <v>-3.54</v>
      </c>
      <c r="AZ301" s="63" t="inlineStr">
        <is>
          <t>China Biotech ETF (HS biotech proxy)</t>
        </is>
      </c>
      <c r="BA301" s="72" t="n">
        <v>-78.20999999999999</v>
      </c>
      <c r="BB301" s="64" t="inlineStr">
        <is>
          <t>2026-08-28</t>
        </is>
      </c>
      <c r="BC301" s="65" t="n">
        <v>1320.9</v>
      </c>
      <c r="BD301" s="68" t="n">
        <v>-345.3</v>
      </c>
      <c r="BE301" s="63" t="inlineStr">
        <is>
          <t>N</t>
        </is>
      </c>
      <c r="BF301" s="63" t="inlineStr">
        <is>
          <t>n/m</t>
        </is>
      </c>
      <c r="BG301" s="74" t="n"/>
      <c r="BH301" s="74" t="n">
        <v>26.7</v>
      </c>
      <c r="BI301" s="74" t="n">
        <v>5.2</v>
      </c>
      <c r="BJ301" s="75">
        <f>IF('BBG Verify'!S301="","not filed — run on terminal",'BBG Verify'!S301)</f>
        <v/>
      </c>
      <c r="BK301" s="76" t="inlineStr">
        <is>
          <t>N</t>
        </is>
      </c>
      <c r="BL301" s="77">
        <f>IF('BBG Verify'!K301="","not filed — run on terminal",'BBG Verify'!K301)</f>
        <v/>
      </c>
      <c r="BM301" s="63" t="inlineStr">
        <is>
          <t>N/A</t>
        </is>
      </c>
      <c r="BN301" s="63" t="inlineStr">
        <is>
          <t>N/A</t>
        </is>
      </c>
      <c r="BO301" s="63" t="inlineStr">
        <is>
          <t>N/A</t>
        </is>
      </c>
      <c r="BP301" s="63" t="inlineStr">
        <is>
          <t>N/A</t>
        </is>
      </c>
      <c r="BQ301" s="63" t="inlineStr">
        <is>
          <t>N/A</t>
        </is>
      </c>
      <c r="BR301" s="63" t="inlineStr">
        <is>
          <t>N/A</t>
        </is>
      </c>
      <c r="BS301" s="76" t="inlineStr">
        <is>
          <t>CCB Intern ational Capital Limited; Financial Advisor (Note) Bristol Capital Limited</t>
        </is>
      </c>
      <c r="BT301" s="63" t="inlineStr">
        <is>
          <t>CCB International Capital Limited</t>
        </is>
      </c>
      <c r="BU301" s="63" t="inlineStr">
        <is>
          <t>BOCI Asia Limited; Livermore Holdings Limited; Fosun International Securities Limited; Zhongtai International Securities Limited; China Everbright Securities (HK) Limited; Ruibang Securities Limited; Sinolink Securities (Hong Kong) Company Limited; Victory Securities Company Limited; Futu Securities International (Hong Kong) Limited</t>
        </is>
      </c>
      <c r="BV301" s="63" t="inlineStr">
        <is>
          <t>BOCI Asia Limited; CCB International Capital Limited; China Everbright Securities (HK) Limited; Fosun International Securities Limited; Futu Securities International (Hong Kong) Limited; Livermore Holdings Limited; Patrons Securities Limited; Ruibang Securities Limited; Shenwan Hongyuan Securities (H.K.) Limited; Sinolink Securities (Hong Kong) Company Limited; Victory Securities Company Limited; Zhongtai International Securities Limited</t>
        </is>
      </c>
      <c r="BW301" s="78">
        <f>HYPERLINK("https://www1.hkexnews.hk/listedco/listconews/sehk/2024/1218/2024121800023.pdf","prospectus")</f>
        <v/>
      </c>
      <c r="BX301" s="78">
        <f>HYPERLINK("https://www1.hkexnews.hk/listedco/listconews/sehk/2024/1227/2024122701758.pdf","allotment")</f>
        <v/>
      </c>
      <c r="BY301" s="63" t="n"/>
      <c r="BZ301" s="76" t="n"/>
      <c r="CA301" s="63" t="inlineStr">
        <is>
          <t>P/E: n/m — loss-making at IPO (use P/S) · greenshoe: no over-allotment option in the offer structure · A/H: no A-share listing · greenshoe size: no over-allotment option in the offer structure · stabilising manager: no over-allotment option in the offer structure, so no stabilising manager is appointed · grey market: no grey-market headline on file for this deal — AAStocks publishes one per listing but keeps only recent items on the stock's news page, and no public archive of past evening sessions exists; captured from this run onward</t>
        </is>
      </c>
    </row>
    <row r="302" ht="15" customHeight="1">
      <c r="A302" s="62" t="inlineStr">
        <is>
          <t>2577</t>
        </is>
      </c>
      <c r="B302" s="63" t="inlineStr">
        <is>
          <t>INNOSCIENCE</t>
        </is>
      </c>
      <c r="C302" s="63" t="inlineStr">
        <is>
          <t>英諾賽科</t>
        </is>
      </c>
      <c r="D302" s="63" t="inlineStr">
        <is>
          <t>Tech/AI</t>
        </is>
      </c>
      <c r="E302" s="63" t="inlineStr">
        <is>
          <t>AI chips &amp; semis</t>
        </is>
      </c>
      <c r="F302" s="63" t="inlineStr">
        <is>
          <t>Semiconductors &amp; Semiconductor Equipment</t>
        </is>
      </c>
      <c r="G302" s="63" t="inlineStr">
        <is>
          <t>Standard</t>
        </is>
      </c>
      <c r="H302" s="64" t="n">
        <v>45656</v>
      </c>
      <c r="I302" s="65" t="n">
        <v>1399.9</v>
      </c>
      <c r="J302" s="63" t="inlineStr">
        <is>
          <t>gross (price x shares)</t>
        </is>
      </c>
      <c r="K302" s="66" t="n">
        <v>30.86</v>
      </c>
      <c r="L302" s="66" t="n">
        <v>33.66</v>
      </c>
      <c r="M302" s="66" t="n">
        <v>30.86</v>
      </c>
      <c r="N302" s="63" t="inlineStr">
        <is>
          <t>N</t>
        </is>
      </c>
      <c r="O302" s="67" t="n">
        <v>91.7</v>
      </c>
      <c r="P302" s="67" t="n">
        <v>0</v>
      </c>
      <c r="Q302" s="68" t="n">
        <v>24873.7</v>
      </c>
      <c r="R302" s="63" t="inlineStr">
        <is>
          <t>prospectus:stated market capitalisation, rescaled to the offer price</t>
        </is>
      </c>
      <c r="S302" s="69" t="n">
        <v>2.87</v>
      </c>
      <c r="T302" s="70" t="n">
        <v>1.41</v>
      </c>
      <c r="U302" s="71" t="n">
        <v>55.38</v>
      </c>
      <c r="V302" s="68" t="n">
        <v>624.64</v>
      </c>
      <c r="W302" s="68" t="n">
        <v>20241417</v>
      </c>
      <c r="X302" s="67" t="n">
        <v>2.51</v>
      </c>
      <c r="Y302" s="63" t="inlineStr">
        <is>
          <t>Jiangsu Govtor; HK InnoSC; Inno CL</t>
        </is>
      </c>
      <c r="Z302" s="63" t="inlineStr">
        <is>
          <t>jiangsu;innosc;inno</t>
        </is>
      </c>
      <c r="AA302" s="67" t="n">
        <v>5.3</v>
      </c>
      <c r="AB302" s="72" t="n"/>
      <c r="AC302" s="66" t="n"/>
      <c r="AD302" s="72" t="n"/>
      <c r="AE302" s="63" t="n"/>
      <c r="AF302" s="63" t="n"/>
      <c r="AG302" s="63" t="inlineStr">
        <is>
          <t>partial</t>
        </is>
      </c>
      <c r="AH302" s="63" t="n"/>
      <c r="AI302" s="63" t="inlineStr">
        <is>
          <t>China International Capital Corporation Hong Kong Securities Limited</t>
        </is>
      </c>
      <c r="AJ302" s="63" t="inlineStr">
        <is>
          <t>China International</t>
        </is>
      </c>
      <c r="AK302" s="73" t="n">
        <v>0.45</v>
      </c>
      <c r="AL302" s="72" t="n">
        <v>0.45</v>
      </c>
      <c r="AM302" s="72" t="n">
        <v>0</v>
      </c>
      <c r="AN302" s="72" t="n">
        <v>-0.03</v>
      </c>
      <c r="AO302" s="72" t="n">
        <v>32.7</v>
      </c>
      <c r="AP302" s="72" t="n">
        <v>44.2</v>
      </c>
      <c r="AQ302" s="72" t="n">
        <v>-0.48</v>
      </c>
      <c r="AR302" s="72" t="n">
        <v>32.11</v>
      </c>
      <c r="AS302" s="72" t="n">
        <v>43.55</v>
      </c>
      <c r="AT302" s="72" t="n">
        <v>4.01</v>
      </c>
      <c r="AU302" s="72" t="n">
        <v>28.3</v>
      </c>
      <c r="AV302" s="72" t="n">
        <v>24.98</v>
      </c>
      <c r="AW302" s="72" t="n">
        <v>26.81</v>
      </c>
      <c r="AX302" s="72" t="n">
        <v>4.4</v>
      </c>
      <c r="AY302" s="72" t="n">
        <v>5.3</v>
      </c>
      <c r="AZ302" s="63" t="inlineStr">
        <is>
          <t>HSTECH (Hang Seng TECH ETF)</t>
        </is>
      </c>
      <c r="BA302" s="72" t="n">
        <v>49.97</v>
      </c>
      <c r="BB302" s="64" t="inlineStr">
        <is>
          <t>2026-08-28</t>
        </is>
      </c>
      <c r="BC302" s="65" t="n">
        <v>652</v>
      </c>
      <c r="BD302" s="68" t="n">
        <v>-1212.1</v>
      </c>
      <c r="BE302" s="63" t="inlineStr">
        <is>
          <t>N</t>
        </is>
      </c>
      <c r="BF302" s="63" t="inlineStr">
        <is>
          <t>n/m</t>
        </is>
      </c>
      <c r="BG302" s="74" t="n"/>
      <c r="BH302" s="74" t="n"/>
      <c r="BI302" s="74" t="n">
        <v>38.1</v>
      </c>
      <c r="BJ302" s="75">
        <f>IF('BBG Verify'!S302="","not filed — run on terminal",'BBG Verify'!S302)</f>
        <v/>
      </c>
      <c r="BK302" s="76" t="inlineStr">
        <is>
          <t>N</t>
        </is>
      </c>
      <c r="BL302" s="77">
        <f>IF('BBG Verify'!K302="","not filed — run on terminal",'BBG Verify'!K302)</f>
        <v/>
      </c>
      <c r="BM302" s="63" t="inlineStr">
        <is>
          <t>N/A</t>
        </is>
      </c>
      <c r="BN302" s="63" t="inlineStr">
        <is>
          <t>N/A</t>
        </is>
      </c>
      <c r="BO302" s="63" t="inlineStr">
        <is>
          <t>N/A</t>
        </is>
      </c>
      <c r="BP302" s="63" t="inlineStr">
        <is>
          <t>N/A</t>
        </is>
      </c>
      <c r="BQ302" s="63" t="inlineStr">
        <is>
          <t>N/A</t>
        </is>
      </c>
      <c r="BR302" s="63" t="inlineStr">
        <is>
          <t>N/A</t>
        </is>
      </c>
      <c r="BS302" s="76" t="inlineStr">
        <is>
          <t>CMB International Capital Limited</t>
        </is>
      </c>
      <c r="BT302" s="63" t="inlineStr">
        <is>
          <t>China International Capital Corporation Hong Kong Securities Limited; CMB International Capital Corporation Limited</t>
        </is>
      </c>
      <c r="BU302" s="63" t="inlineStr">
        <is>
          <t>CMB International Capital Limited; CLSA Limited; Huatai Financial Holdings (Hong Kong) Limited; Jefferies Hong Kong Limited; Hong Tai Securities Limited; ABCI Capital Limited; Patrons Securities Limited; Long Bridge HK Limited; Futu Securities International (Hong Kong) Limited; Tiger Brokers (HK) Global Limited; TradeGo Markets Limited</t>
        </is>
      </c>
      <c r="BV302" s="63" t="inlineStr">
        <is>
          <t>ABCI Securities Company Limited; BOCI Asia Limited; China International Capital Corporation Hong Kong Securities Limited; CLSA Limited; CMB International Capital Limited; Futu Securities International (Hong Kong) Limited; Huatai Financial Holdings (Hong Kong) Limited; Hong Tai Securities Limited; Jefferies Hong Kong Limited; Long Bridge HK Limited; Patrons Securities Limited; Tiger Brokers (HK) Global Limited</t>
        </is>
      </c>
      <c r="BW302" s="78">
        <f>HYPERLINK("https://www1.hkexnews.hk/listedco/listconews/sehk/2024/1218/2024121800031.pdf","prospectus")</f>
        <v/>
      </c>
      <c r="BX302" s="78">
        <f>HYPERLINK("https://www1.hkexnews.hk/listedco/listconews/sehk/2024/1227/2024122701822.pdf","allotment")</f>
        <v/>
      </c>
      <c r="BY302" s="78">
        <f>HYPERLINK("https://www1.hkexnews.hk/listedco/listconews/sehk/2025/0122/2025012200846.pdf","stabilisation")</f>
        <v/>
      </c>
      <c r="BZ302" s="76" t="n"/>
      <c r="CA302" s="63" t="inlineStr">
        <is>
          <t>P/E: n/m — loss-making at IPO (use P/S) · greenshoe: over-allotment outcome already published, and the allotment announcement does not state the stabilisation expiry in a parsable form — the expiry no longer matters once resolved · A/H: no A-share listing · market cap: prospectus states HK$27,131m at HK$33.66; rescaled to the struck HK$30.86 · grey market: no grey-market headline on file for this deal — AAStocks publishes one per listing but keeps only recent items on the stock's news page, and no public archive of past evening sessions exists; captured from this run onward</t>
        </is>
      </c>
    </row>
    <row r="303" ht="15" customHeight="1">
      <c r="A303" s="62" t="inlineStr">
        <is>
          <t>2506</t>
        </is>
      </c>
      <c r="B303" s="63" t="inlineStr">
        <is>
          <t>XUNFEIHEALTH</t>
        </is>
      </c>
      <c r="C303" s="63" t="inlineStr">
        <is>
          <t>訊飛醫療科技</t>
        </is>
      </c>
      <c r="D303" s="63" t="inlineStr">
        <is>
          <t>Healthcare</t>
        </is>
      </c>
      <c r="E303" s="63" t="inlineStr">
        <is>
          <t>Digital health</t>
        </is>
      </c>
      <c r="F303" s="63" t="inlineStr">
        <is>
          <t>Health Care Services</t>
        </is>
      </c>
      <c r="G303" s="63" t="inlineStr">
        <is>
          <t>Standard</t>
        </is>
      </c>
      <c r="H303" s="64" t="n">
        <v>45656</v>
      </c>
      <c r="I303" s="65" t="n">
        <v>582.5</v>
      </c>
      <c r="J303" s="63" t="inlineStr">
        <is>
          <t>gross (price x shares)</t>
        </is>
      </c>
      <c r="K303" s="66" t="n"/>
      <c r="L303" s="66" t="n">
        <v>82.8</v>
      </c>
      <c r="M303" s="66" t="n">
        <v>82.8</v>
      </c>
      <c r="N303" s="63" t="inlineStr">
        <is>
          <t>Y</t>
        </is>
      </c>
      <c r="O303" s="67" t="n">
        <v>100</v>
      </c>
      <c r="P303" s="67" t="n"/>
      <c r="Q303" s="68" t="n">
        <v>10008.7</v>
      </c>
      <c r="R303" s="63" t="inlineStr">
        <is>
          <t>derived:price x shares upon listing</t>
        </is>
      </c>
      <c r="S303" s="69" t="n">
        <v>3.66</v>
      </c>
      <c r="T303" s="70" t="n">
        <v>1.1</v>
      </c>
      <c r="U303" s="71" t="n">
        <v>47.5</v>
      </c>
      <c r="V303" s="68" t="n">
        <v>305.81</v>
      </c>
      <c r="W303" s="68" t="n">
        <v>3693664</v>
      </c>
      <c r="X303" s="67" t="n">
        <v>3.06</v>
      </c>
      <c r="Y303" s="63" t="inlineStr">
        <is>
          <t>Xunyi Limited; Star Group Limited</t>
        </is>
      </c>
      <c r="Z303" s="63" t="inlineStr">
        <is>
          <t>xunyi;star</t>
        </is>
      </c>
      <c r="AA303" s="67" t="n">
        <v>10.51</v>
      </c>
      <c r="AB303" s="72" t="n"/>
      <c r="AC303" s="66" t="n"/>
      <c r="AD303" s="72" t="n"/>
      <c r="AE303" s="63" t="n"/>
      <c r="AF303" s="63" t="n"/>
      <c r="AG303" s="63" t="inlineStr">
        <is>
          <t>lapsed (no over-allocation)</t>
        </is>
      </c>
      <c r="AH303" s="63" t="n"/>
      <c r="AI303" s="63" t="inlineStr">
        <is>
          <t>Huatai Financial Holdings</t>
        </is>
      </c>
      <c r="AJ303" s="63" t="inlineStr">
        <is>
          <t>Huatai</t>
        </is>
      </c>
      <c r="AK303" s="73" t="n">
        <v>5.07</v>
      </c>
      <c r="AL303" s="72" t="n">
        <v>8.390000000000001</v>
      </c>
      <c r="AM303" s="72" t="n">
        <v>-3.06</v>
      </c>
      <c r="AN303" s="72" t="n">
        <v>2.17</v>
      </c>
      <c r="AO303" s="72" t="n">
        <v>5.43</v>
      </c>
      <c r="AP303" s="72" t="n">
        <v>60.75</v>
      </c>
      <c r="AQ303" s="72" t="n">
        <v>-2.76</v>
      </c>
      <c r="AR303" s="72" t="n">
        <v>0.34</v>
      </c>
      <c r="AS303" s="72" t="n">
        <v>52.99</v>
      </c>
      <c r="AT303" s="72" t="n">
        <v>6.99</v>
      </c>
      <c r="AU303" s="72" t="n">
        <v>8.32</v>
      </c>
      <c r="AV303" s="72" t="n">
        <v>40.38</v>
      </c>
      <c r="AW303" s="72" t="n">
        <v>3.88</v>
      </c>
      <c r="AX303" s="72" t="n">
        <v>-2.89</v>
      </c>
      <c r="AY303" s="72" t="n">
        <v>-3.54</v>
      </c>
      <c r="AZ303" s="63" t="inlineStr">
        <is>
          <t>China Biotech ETF (HS biotech proxy)</t>
        </is>
      </c>
      <c r="BA303" s="72" t="n">
        <v>-10.27</v>
      </c>
      <c r="BB303" s="64" t="inlineStr">
        <is>
          <t>2026-08-28</t>
        </is>
      </c>
      <c r="BC303" s="65" t="n">
        <v>611.6</v>
      </c>
      <c r="BD303" s="68" t="n">
        <v>-169.4</v>
      </c>
      <c r="BE303" s="63" t="inlineStr">
        <is>
          <t>N</t>
        </is>
      </c>
      <c r="BF303" s="63" t="inlineStr">
        <is>
          <t>n/m</t>
        </is>
      </c>
      <c r="BG303" s="74" t="n"/>
      <c r="BH303" s="74" t="n"/>
      <c r="BI303" s="74" t="n">
        <v>16.4</v>
      </c>
      <c r="BJ303" s="75">
        <f>IF('BBG Verify'!S303="","not filed — run on terminal",'BBG Verify'!S303)</f>
        <v/>
      </c>
      <c r="BK303" s="76" t="inlineStr">
        <is>
          <t>N</t>
        </is>
      </c>
      <c r="BL303" s="77">
        <f>IF('BBG Verify'!K303="","not filed — run on terminal",'BBG Verify'!K303)</f>
        <v/>
      </c>
      <c r="BM303" s="63" t="inlineStr">
        <is>
          <t>N/A</t>
        </is>
      </c>
      <c r="BN303" s="63" t="inlineStr">
        <is>
          <t>N/A</t>
        </is>
      </c>
      <c r="BO303" s="63" t="inlineStr">
        <is>
          <t>N/A</t>
        </is>
      </c>
      <c r="BP303" s="63" t="inlineStr">
        <is>
          <t>N/A</t>
        </is>
      </c>
      <c r="BQ303" s="63" t="inlineStr">
        <is>
          <t>N/A</t>
        </is>
      </c>
      <c r="BR303" s="63" t="inlineStr">
        <is>
          <t>N/A</t>
        </is>
      </c>
      <c r="BS303" s="76" t="inlineStr">
        <is>
          <t>Huatai Financial Holdings (Hong Kong) Limited; GF Capital (Hong Kong) Limited; CCB International Capital Limited</t>
        </is>
      </c>
      <c r="BT303" s="63" t="inlineStr">
        <is>
          <t>CCB International Capital Limited; Huatai Financial Holdings (Hong Kong) Limited; GF Capital (Hong Kong) Limited</t>
        </is>
      </c>
      <c r="BU303" s="63" t="inlineStr">
        <is>
          <t>Huatai Financial Holdings (Hong Kong) Limited; CCB International Capital Limited; GF Securities (Hong Kong) Brokerage Limited; ICBC International Securities Limited; SPDB International Capital Limited; ABCI Capital Limited; China Galaxy International Securities (Hong Kong) Co., Limited; TradeGo Markets Limited</t>
        </is>
      </c>
      <c r="BV303" s="63" t="inlineStr">
        <is>
          <t>ABCI Securities Company Limited; Advent Securities (Hong Kong) Limited; CCB International Capital Limited; China Galaxy International Securities (Hong Kong) Company Limited; CMBC Securities Company Limited; GF Securities (Hong Kong) Brokerage Limited; Huatai Financial Holdings (Hong Kong) Limited; ICBC International Securities Limited; SPDB International Capital Limited; TradeGo Markets Limited</t>
        </is>
      </c>
      <c r="BW303" s="78">
        <f>HYPERLINK("https://www1.hkexnews.hk/listedco/listconews/sehk/2024/1218/2024121800019.pdf","prospectus")</f>
        <v/>
      </c>
      <c r="BX303" s="78">
        <f>HYPERLINK("https://www1.hkexnews.hk/listedco/listconews/sehk/2024/1227/2024122701834.pdf","allotment")</f>
        <v/>
      </c>
      <c r="BY303" s="78">
        <f>HYPERLINK("https://www1.hkexnews.hk/listedco/listconews/sehk/2025/0122/2025012200840.pdf","stabilisation")</f>
        <v/>
      </c>
      <c r="BZ303" s="76" t="n"/>
      <c r="CA303" s="63" t="inlineStr">
        <is>
          <t>P/E: n/m — loss-making at IPO (use P/S) · greenshoe: over-allotment outcome already published, and the allotment announcement does not state the stabilisation expiry in a parsable form — the expiry no longer matters once resolved · range low: cap-only pricing — the filing publishes a Maximum Offer Price and no indicative floor · A/H: no A-share listing · grey market: no grey-market headline on file for this deal — AAStocks publishes one per listing but keeps only recent items on the stock's news page, and no public archive of past evening sessions exists; captured from this run onward</t>
        </is>
      </c>
    </row>
    <row r="304" ht="15" customHeight="1">
      <c r="A304" s="62" t="inlineStr">
        <is>
          <t>6681</t>
        </is>
      </c>
      <c r="B304" s="63" t="inlineStr">
        <is>
          <t>BRAINAURORA-B</t>
        </is>
      </c>
      <c r="C304" s="63" t="inlineStr">
        <is>
          <t>腦動極光－Ｂ</t>
        </is>
      </c>
      <c r="D304" s="63" t="inlineStr">
        <is>
          <t>Healthcare</t>
        </is>
      </c>
      <c r="E304" s="63" t="inlineStr">
        <is>
          <t>Medical devices</t>
        </is>
      </c>
      <c r="F304" s="63" t="inlineStr">
        <is>
          <t>Biotechnology - Supplies &amp; Services</t>
        </is>
      </c>
      <c r="G304" s="63" t="inlineStr">
        <is>
          <t>18A</t>
        </is>
      </c>
      <c r="H304" s="64" t="n">
        <v>45665</v>
      </c>
      <c r="I304" s="65" t="n">
        <v>583.1799999999999</v>
      </c>
      <c r="J304" s="63" t="inlineStr">
        <is>
          <t>gross (stated)</t>
        </is>
      </c>
      <c r="K304" s="66" t="n"/>
      <c r="L304" s="66" t="n">
        <v>3.22</v>
      </c>
      <c r="M304" s="66" t="n">
        <v>3.22</v>
      </c>
      <c r="N304" s="63" t="inlineStr">
        <is>
          <t>Y</t>
        </is>
      </c>
      <c r="O304" s="67" t="n">
        <v>100</v>
      </c>
      <c r="P304" s="67" t="n"/>
      <c r="Q304" s="68" t="n">
        <v>4077.4</v>
      </c>
      <c r="R304" s="63" t="inlineStr">
        <is>
          <t>derived:price x shares upon listing</t>
        </is>
      </c>
      <c r="S304" s="69" t="n">
        <v>11.39</v>
      </c>
      <c r="T304" s="70" t="n">
        <v>1.01</v>
      </c>
      <c r="U304" s="71" t="n">
        <v>64.27</v>
      </c>
      <c r="V304" s="68" t="n">
        <v>208.37</v>
      </c>
      <c r="W304" s="68" t="n">
        <v>64711318</v>
      </c>
      <c r="X304" s="67" t="n">
        <v>5.11</v>
      </c>
      <c r="Y304" s="63" t="inlineStr">
        <is>
          <t>Huang Guangwei</t>
        </is>
      </c>
      <c r="Z304" s="63" t="inlineStr">
        <is>
          <t>huang-guangwei</t>
        </is>
      </c>
      <c r="AA304" s="67" t="n">
        <v>14</v>
      </c>
      <c r="AB304" s="72" t="n"/>
      <c r="AC304" s="66" t="n"/>
      <c r="AD304" s="72" t="n"/>
      <c r="AE304" s="63" t="n"/>
      <c r="AF304" s="63" t="n"/>
      <c r="AG304" s="63" t="inlineStr">
        <is>
          <t>lapsed (no over-allocation)</t>
        </is>
      </c>
      <c r="AH304" s="63" t="n"/>
      <c r="AI304" s="63" t="inlineStr">
        <is>
          <t>China International Capital Corporation Hong Kong Securities Limited</t>
        </is>
      </c>
      <c r="AJ304" s="63" t="inlineStr">
        <is>
          <t>China International</t>
        </is>
      </c>
      <c r="AK304" s="73" t="n">
        <v>3.42</v>
      </c>
      <c r="AL304" s="72" t="n">
        <v>0</v>
      </c>
      <c r="AM304" s="72" t="n">
        <v>3.42</v>
      </c>
      <c r="AN304" s="72" t="n">
        <v>14.91</v>
      </c>
      <c r="AO304" s="72" t="n">
        <v>73.91</v>
      </c>
      <c r="AP304" s="72" t="n">
        <v>89.75</v>
      </c>
      <c r="AQ304" s="72" t="n">
        <v>11.11</v>
      </c>
      <c r="AR304" s="72" t="n">
        <v>68.16</v>
      </c>
      <c r="AS304" s="72" t="n">
        <v>83.48</v>
      </c>
      <c r="AT304" s="72" t="n">
        <v>15.58</v>
      </c>
      <c r="AU304" s="72" t="n">
        <v>66.81999999999999</v>
      </c>
      <c r="AV304" s="72" t="n">
        <v>74.26000000000001</v>
      </c>
      <c r="AW304" s="72" t="n">
        <v>60.09</v>
      </c>
      <c r="AX304" s="72" t="n">
        <v>7.09</v>
      </c>
      <c r="AY304" s="72" t="n">
        <v>8.07</v>
      </c>
      <c r="AZ304" s="63" t="inlineStr">
        <is>
          <t>China Biotech ETF (HS biotech proxy)</t>
        </is>
      </c>
      <c r="BA304" s="72" t="n">
        <v>-53.26</v>
      </c>
      <c r="BB304" s="64" t="inlineStr">
        <is>
          <t>2026-08-28</t>
        </is>
      </c>
      <c r="BC304" s="65" t="n">
        <v>73.90000000000001</v>
      </c>
      <c r="BD304" s="68" t="n">
        <v>-395</v>
      </c>
      <c r="BE304" s="63" t="inlineStr">
        <is>
          <t>N</t>
        </is>
      </c>
      <c r="BF304" s="63" t="inlineStr">
        <is>
          <t>n/m</t>
        </is>
      </c>
      <c r="BG304" s="74" t="n"/>
      <c r="BH304" s="74" t="n"/>
      <c r="BI304" s="74" t="n">
        <v>55.2</v>
      </c>
      <c r="BJ304" s="75">
        <f>IF('BBG Verify'!S304="","not filed — run on terminal",'BBG Verify'!S304)</f>
        <v/>
      </c>
      <c r="BK304" s="76" t="inlineStr">
        <is>
          <t>N</t>
        </is>
      </c>
      <c r="BL304" s="77">
        <f>IF('BBG Verify'!K304="","not filed — run on terminal",'BBG Verify'!K304)</f>
        <v/>
      </c>
      <c r="BM304" s="63" t="inlineStr">
        <is>
          <t>N/A</t>
        </is>
      </c>
      <c r="BN304" s="63" t="inlineStr">
        <is>
          <t>N/A</t>
        </is>
      </c>
      <c r="BO304" s="63" t="inlineStr">
        <is>
          <t>N/A</t>
        </is>
      </c>
      <c r="BP304" s="63" t="inlineStr">
        <is>
          <t>N/A</t>
        </is>
      </c>
      <c r="BQ304" s="63" t="inlineStr">
        <is>
          <t>N/A</t>
        </is>
      </c>
      <c r="BR304" s="63" t="inlineStr">
        <is>
          <t>N/A</t>
        </is>
      </c>
      <c r="BS304" s="76" t="inlineStr">
        <is>
          <t>China International Capital Corporation Hong Kong Securities Limited; SPDB International Capital Limited</t>
        </is>
      </c>
      <c r="BT304" s="63" t="inlineStr">
        <is>
          <t>China International Capital Corporation Hong Kong Securities Limited; SPDB International Capital Limited</t>
        </is>
      </c>
      <c r="BU304" s="63" t="inlineStr">
        <is>
          <t>China International Capital Corporation Hong Kong Securities Limited; SPDB International Capital Limited; CMB International Capital Limited; Tiger Brokers (HK) Global Limited; GF Securities (Hong Kong) Brokerage Limited; CCB International Capital Limited; BOCI Asia Limited; China Everbright Securities (HK) Limited; ABCI Capital Limited; China Industrial Securities International Capital Limited; Haitong International Securities Company Limited</t>
        </is>
      </c>
      <c r="BV304" s="63" t="inlineStr">
        <is>
          <t>ABCI Securities Company Limited; BOCI Asia Limited; CCB International Capital Limited; China Everbright Securities (HK) Limited; China International Capital Corporation Hong Kong Securities Limited; China Industrial Securities International Capital Limited; CMBC Securities Company Limited; CMB International Capital Corporation Limited; Fosun International Securities Limited; GF Securities (Hong Kong) Brokerage Limited; Haitong International Securities Company Limited; SPDB International Capital Limited</t>
        </is>
      </c>
      <c r="BW304" s="78">
        <f>HYPERLINK("https://www1.hkexnews.hk/listedco/listconews/sehk/2024/1230/2024123000045.pdf","prospectus")</f>
        <v/>
      </c>
      <c r="BX304" s="78">
        <f>HYPERLINK("https://www1.hkexnews.hk/listedco/listconews/sehk/2025/0107/2025010701660.pdf","allotment")</f>
        <v/>
      </c>
      <c r="BY304" s="78">
        <f>HYPERLINK("https://www1.hkexnews.hk/listedco/listconews/sehk/2025/0202/2025020200065.pdf","stabilisation")</f>
        <v/>
      </c>
      <c r="BZ304" s="76" t="n"/>
      <c r="CA304" s="63" t="inlineStr">
        <is>
          <t>P/E: n/m — loss-making at IPO (use P/S) · greenshoe: over-allotment outcome already published, and the allotment announcement does not state the stabilisation expiry in a parsable form — the expiry no longer matters once resolved · range low: cap-only pricing — the filing publishes a Maximum Offer Price and no indicative floor · A/H: no A-share listing · grey market: no grey-market headline on file for this deal — AAStocks publishes one per listing but keeps only recent items on the stock's news page, and no public archive of past evening sessions exists; captured from this run onward</t>
        </is>
      </c>
    </row>
    <row r="305" ht="15" customHeight="1">
      <c r="A305" s="62" t="inlineStr">
        <is>
          <t>2560</t>
        </is>
      </c>
      <c r="B305" s="63" t="inlineStr">
        <is>
          <t>CONCH MAT TECH</t>
        </is>
      </c>
      <c r="C305" s="63" t="inlineStr">
        <is>
          <t>海螺材料科技</t>
        </is>
      </c>
      <c r="D305" s="63" t="inlineStr">
        <is>
          <t>Materials/Energy</t>
        </is>
      </c>
      <c r="E305" s="63" t="inlineStr">
        <is>
          <t>Chemicals</t>
        </is>
      </c>
      <c r="F305" s="63" t="inlineStr">
        <is>
          <t>Construction Materials</t>
        </is>
      </c>
      <c r="G305" s="63" t="inlineStr">
        <is>
          <t>Standard</t>
        </is>
      </c>
      <c r="H305" s="64" t="n">
        <v>45666</v>
      </c>
      <c r="I305" s="65" t="n">
        <v>434.9</v>
      </c>
      <c r="J305" s="63" t="inlineStr">
        <is>
          <t>gross (stated)</t>
        </is>
      </c>
      <c r="K305" s="66" t="n">
        <v>3</v>
      </c>
      <c r="L305" s="66" t="n">
        <v>3.3</v>
      </c>
      <c r="M305" s="66" t="n">
        <v>3</v>
      </c>
      <c r="N305" s="63" t="inlineStr">
        <is>
          <t>N</t>
        </is>
      </c>
      <c r="O305" s="67" t="n">
        <v>90.90000000000001</v>
      </c>
      <c r="P305" s="67" t="n">
        <v>0</v>
      </c>
      <c r="Q305" s="68" t="n">
        <v>1897.9</v>
      </c>
      <c r="R305" s="63" t="inlineStr">
        <is>
          <t>aastocks:上市市值 at the struck price</t>
        </is>
      </c>
      <c r="S305" s="69" t="n">
        <v>25.83</v>
      </c>
      <c r="T305" s="70" t="n">
        <v>1.04</v>
      </c>
      <c r="U305" s="71" t="n">
        <v>66.79000000000001</v>
      </c>
      <c r="V305" s="68" t="n">
        <v>144.43</v>
      </c>
      <c r="W305" s="68" t="n">
        <v>48145865</v>
      </c>
      <c r="X305" s="67" t="n">
        <v>7.61</v>
      </c>
      <c r="Y305" s="63" t="inlineStr">
        <is>
          <t>SCGC Capital Holding Company Limited; Gotion High-Tech (HK); Anhui Shengchang; Wuhu Artec; Guangdong Zongxing; Shenzhen Gaodeng</t>
        </is>
      </c>
      <c r="Z305" s="63" t="inlineStr">
        <is>
          <t>scgc;gotion;anhui;wuhu;guangdong;shenzhen-gaodeng</t>
        </is>
      </c>
      <c r="AA305" s="67" t="n">
        <v>8.5</v>
      </c>
      <c r="AB305" s="72" t="n">
        <v>-31.3</v>
      </c>
      <c r="AC305" s="66" t="n">
        <v>2.06</v>
      </c>
      <c r="AD305" s="72" t="n">
        <v>-23.83</v>
      </c>
      <c r="AE305" s="63" t="inlineStr">
        <is>
          <t>Y</t>
        </is>
      </c>
      <c r="AF305" s="63" t="inlineStr">
        <is>
          <t>2025-01-08</t>
        </is>
      </c>
      <c r="AG305" s="63" t="n"/>
      <c r="AH305" s="63" t="n"/>
      <c r="AI305" s="63" t="inlineStr">
        <is>
          <t>China Securities</t>
        </is>
      </c>
      <c r="AJ305" s="63" t="inlineStr">
        <is>
          <t>China Securities</t>
        </is>
      </c>
      <c r="AK305" s="73" t="n">
        <v>-47.67</v>
      </c>
      <c r="AL305" s="72" t="n">
        <v>-40</v>
      </c>
      <c r="AM305" s="72" t="n">
        <v>-12.78</v>
      </c>
      <c r="AN305" s="72" t="n">
        <v>-51.67</v>
      </c>
      <c r="AO305" s="72" t="n">
        <v>-54.67</v>
      </c>
      <c r="AP305" s="72" t="n">
        <v>-41.33</v>
      </c>
      <c r="AQ305" s="72" t="n">
        <v>-7.64</v>
      </c>
      <c r="AR305" s="72" t="n">
        <v>-13.38</v>
      </c>
      <c r="AS305" s="72" t="n">
        <v>12.12</v>
      </c>
      <c r="AT305" s="72" t="n">
        <v>-53.25</v>
      </c>
      <c r="AU305" s="72" t="n">
        <v>-71.84</v>
      </c>
      <c r="AV305" s="72" t="n">
        <v>-55.83</v>
      </c>
      <c r="AW305" s="72" t="n">
        <v>-30.32</v>
      </c>
      <c r="AX305" s="72" t="n">
        <v>17.17</v>
      </c>
      <c r="AY305" s="72" t="n">
        <v>16.94</v>
      </c>
      <c r="AZ305" s="63" t="inlineStr">
        <is>
          <t>Hang Seng Commerce &amp; Industry sub-index</t>
        </is>
      </c>
      <c r="BA305" s="72" t="n">
        <v>-49.67</v>
      </c>
      <c r="BB305" s="64" t="inlineStr">
        <is>
          <t>2026-08-28</t>
        </is>
      </c>
      <c r="BC305" s="65" t="n">
        <v>2635.1</v>
      </c>
      <c r="BD305" s="68" t="n"/>
      <c r="BE305" s="63" t="inlineStr">
        <is>
          <t>Y</t>
        </is>
      </c>
      <c r="BF305" s="74" t="n">
        <v>5.1</v>
      </c>
      <c r="BG305" s="74" t="n">
        <v>5.1</v>
      </c>
      <c r="BH305" s="74" t="n">
        <v>6.5</v>
      </c>
      <c r="BI305" s="74" t="n">
        <v>0.7</v>
      </c>
      <c r="BJ305" s="75">
        <f>IF('BBG Verify'!S305="","not filed — run on terminal",'BBG Verify'!S305)</f>
        <v/>
      </c>
      <c r="BK305" s="76" t="inlineStr">
        <is>
          <t>N</t>
        </is>
      </c>
      <c r="BL305" s="77">
        <f>IF('BBG Verify'!K305="","not filed — run on terminal",'BBG Verify'!K305)</f>
        <v/>
      </c>
      <c r="BM305" s="63" t="inlineStr">
        <is>
          <t>N/A</t>
        </is>
      </c>
      <c r="BN305" s="63" t="inlineStr">
        <is>
          <t>N/A</t>
        </is>
      </c>
      <c r="BO305" s="63" t="inlineStr">
        <is>
          <t>N/A</t>
        </is>
      </c>
      <c r="BP305" s="63" t="inlineStr">
        <is>
          <t>N/A</t>
        </is>
      </c>
      <c r="BQ305" s="63" t="inlineStr">
        <is>
          <t>N/A</t>
        </is>
      </c>
      <c r="BR305" s="63" t="inlineStr">
        <is>
          <t>N/A</t>
        </is>
      </c>
      <c r="BS305" s="76" t="inlineStr">
        <is>
          <t>China Securities (International) Corporate Finance Company Limited</t>
        </is>
      </c>
      <c r="BT305" s="63" t="inlineStr">
        <is>
          <t>China Securities (International) Corporate Finance Company Limited</t>
        </is>
      </c>
      <c r="BU305" s="63" t="inlineStr">
        <is>
          <t>China Securities (International) Corporate Finance Company Limited; 9 5– China Galaxy International Securities (Hong Kong) Co., Limited; BOCI Asia Limited; ABCI Capital Limited; ICBC International Securities Limited; Victory Securities Company Limited; China Galaxy International Securities (Hong Kong) Co., Limited; Shenwan Hongyuan Securities (H.K.) Limited; CCB International Capital Limited; Haitong International Securities Company Limited; Guoyuan Securities Brokerage (Hong Kong) Limited; Orient Securities (Hong Kong) Limited</t>
        </is>
      </c>
      <c r="BV305" s="63" t="inlineStr">
        <is>
          <t>ABCI Securities Company Limited; BOCI Asia Limited; BOCOM International Securities Limited; CCB International Capital Limited; China Galaxy International Securities (Hong Kong) Company Limited; China Industrial Securities International Capital Limited; China Securities (International) Corporate Finance Company Limited; China Sunrise Securities (International) Limited; Fosun International Securities Limited; Guoyuan Securities Brokerage (Hong Kong) Limited; Haitong International Securities Company Limited; Hong Tai Securities Limited</t>
        </is>
      </c>
      <c r="BW305" s="78">
        <f>HYPERLINK("https://www1.hkexnews.hk/listedco/listconews/sehk/2024/1231/2024123100162.pdf","prospectus")</f>
        <v/>
      </c>
      <c r="BX305" s="78">
        <f>HYPERLINK("https://www1.hkexnews.hk/listedco/listconews/sehk/2025/0108/2025010801080.pdf","allotment")</f>
        <v/>
      </c>
      <c r="BY305" s="63" t="n"/>
      <c r="BZ305" s="76" t="n"/>
      <c r="CA305" s="63" t="inlineStr">
        <is>
          <t>P/E: from Bloomberg (trailing-12m EPS at listing) — the prospectus-FY multiple was not derivable · greenshoe: end-of-stabilisation notice not located · A/H: no A-share listing · financials: financial tables not machine-extractable and the pre-IPO year is outside AAStocks' 5-year window</t>
        </is>
      </c>
    </row>
    <row r="306" ht="15" customHeight="1">
      <c r="A306" s="62" t="inlineStr">
        <is>
          <t>2613</t>
        </is>
      </c>
      <c r="B306" s="63" t="inlineStr">
        <is>
          <t>CONTIOCEAN</t>
        </is>
      </c>
      <c r="C306" s="63" t="inlineStr">
        <is>
          <t>匯舸環保</t>
        </is>
      </c>
      <c r="D306" s="63" t="inlineStr">
        <is>
          <t>Industrials</t>
        </is>
      </c>
      <c r="E306" s="63" t="inlineStr">
        <is>
          <t>Capital goods / machinery</t>
        </is>
      </c>
      <c r="F306" s="63" t="inlineStr">
        <is>
          <t>Marine Ports &amp; Services</t>
        </is>
      </c>
      <c r="G306" s="63" t="inlineStr">
        <is>
          <t>Standard</t>
        </is>
      </c>
      <c r="H306" s="64" t="n">
        <v>45666</v>
      </c>
      <c r="I306" s="65" t="n">
        <v>318</v>
      </c>
      <c r="J306" s="63" t="inlineStr">
        <is>
          <t>gross (stated)</t>
        </is>
      </c>
      <c r="K306" s="66" t="n">
        <v>31.8</v>
      </c>
      <c r="L306" s="66" t="n">
        <v>39.8</v>
      </c>
      <c r="M306" s="66" t="n">
        <v>31.8</v>
      </c>
      <c r="N306" s="63" t="inlineStr">
        <is>
          <t>N</t>
        </is>
      </c>
      <c r="O306" s="67" t="n">
        <v>79.90000000000001</v>
      </c>
      <c r="P306" s="67" t="n">
        <v>0</v>
      </c>
      <c r="Q306" s="68" t="n">
        <v>1272</v>
      </c>
      <c r="R306" s="63" t="inlineStr">
        <is>
          <t>derived:price x shares upon listing</t>
        </is>
      </c>
      <c r="S306" s="69" t="n">
        <v>55.33</v>
      </c>
      <c r="T306" s="70" t="n">
        <v>0.95</v>
      </c>
      <c r="U306" s="71" t="n">
        <v>84.7</v>
      </c>
      <c r="V306" s="68" t="n">
        <v>48.65</v>
      </c>
      <c r="W306" s="68" t="n">
        <v>1530000</v>
      </c>
      <c r="X306" s="67" t="n">
        <v>3.83</v>
      </c>
      <c r="Y306" s="63" t="inlineStr">
        <is>
          <t>Mr. Tiago Braz; Fund SPC; Harvest International</t>
        </is>
      </c>
      <c r="Z306" s="63" t="inlineStr">
        <is>
          <t>mr-tiago;fund-spc;harvest</t>
        </is>
      </c>
      <c r="AA306" s="67" t="n"/>
      <c r="AB306" s="72" t="n">
        <v>6.4</v>
      </c>
      <c r="AC306" s="66" t="n">
        <v>33.85</v>
      </c>
      <c r="AD306" s="72" t="n">
        <v>-0.1</v>
      </c>
      <c r="AE306" s="63" t="inlineStr">
        <is>
          <t>Y</t>
        </is>
      </c>
      <c r="AF306" s="63" t="inlineStr">
        <is>
          <t>2025-01-08</t>
        </is>
      </c>
      <c r="AG306" s="63" t="n"/>
      <c r="AH306" s="63" t="n"/>
      <c r="AI306" s="63" t="n"/>
      <c r="AJ306" s="63" t="n"/>
      <c r="AK306" s="73" t="n">
        <v>6.29</v>
      </c>
      <c r="AL306" s="72" t="n">
        <v>6.76</v>
      </c>
      <c r="AM306" s="72" t="n">
        <v>-0.44</v>
      </c>
      <c r="AN306" s="72" t="n">
        <v>-5.66</v>
      </c>
      <c r="AO306" s="72" t="n">
        <v>-4.09</v>
      </c>
      <c r="AP306" s="72" t="n">
        <v>-8.65</v>
      </c>
      <c r="AQ306" s="72" t="n">
        <v>-11.24</v>
      </c>
      <c r="AR306" s="72" t="n">
        <v>-9.77</v>
      </c>
      <c r="AS306" s="72" t="n">
        <v>-14.06</v>
      </c>
      <c r="AT306" s="72" t="n">
        <v>-7.24</v>
      </c>
      <c r="AU306" s="72" t="n">
        <v>-21.26</v>
      </c>
      <c r="AV306" s="72" t="n">
        <v>-23.15</v>
      </c>
      <c r="AW306" s="72" t="n">
        <v>-26.71</v>
      </c>
      <c r="AX306" s="72" t="n">
        <v>17.17</v>
      </c>
      <c r="AY306" s="72" t="n">
        <v>16.94</v>
      </c>
      <c r="AZ306" s="63" t="inlineStr">
        <is>
          <t>Hang Seng Commerce &amp; Industry sub-index</t>
        </is>
      </c>
      <c r="BA306" s="72" t="n">
        <v>-2.52</v>
      </c>
      <c r="BB306" s="64" t="inlineStr">
        <is>
          <t>2026-08-28</t>
        </is>
      </c>
      <c r="BC306" s="65" t="n">
        <v>561.3</v>
      </c>
      <c r="BD306" s="68" t="n">
        <v>132.6</v>
      </c>
      <c r="BE306" s="63" t="inlineStr">
        <is>
          <t>Y</t>
        </is>
      </c>
      <c r="BF306" s="74" t="n">
        <v>9.6</v>
      </c>
      <c r="BG306" s="74" t="n"/>
      <c r="BH306" s="74" t="n">
        <v>186.7</v>
      </c>
      <c r="BI306" s="74" t="n">
        <v>2.3</v>
      </c>
      <c r="BJ306" s="75">
        <f>IF('BBG Verify'!S306="","not filed — run on terminal",'BBG Verify'!S306)</f>
        <v/>
      </c>
      <c r="BK306" s="76" t="inlineStr">
        <is>
          <t>N</t>
        </is>
      </c>
      <c r="BL306" s="77">
        <f>IF('BBG Verify'!K306="","not filed — run on terminal",'BBG Verify'!K306)</f>
        <v/>
      </c>
      <c r="BM306" s="63" t="inlineStr">
        <is>
          <t>N/A</t>
        </is>
      </c>
      <c r="BN306" s="63" t="inlineStr">
        <is>
          <t>N/A</t>
        </is>
      </c>
      <c r="BO306" s="63" t="inlineStr">
        <is>
          <t>N/A</t>
        </is>
      </c>
      <c r="BP306" s="63" t="inlineStr">
        <is>
          <t>N/A</t>
        </is>
      </c>
      <c r="BQ306" s="63" t="inlineStr">
        <is>
          <t>N/A</t>
        </is>
      </c>
      <c r="BR306" s="63" t="inlineStr">
        <is>
          <t>N/A</t>
        </is>
      </c>
      <c r="BS306" s="76" t="inlineStr">
        <is>
          <t>CITIC Securities (Hong Kong) Limited; China Galaxy International Securities (Hong Kong) Co., Limited</t>
        </is>
      </c>
      <c r="BT306" s="63" t="inlineStr">
        <is>
          <t>CITIC Securities (Hong Kong) Limited; China Galaxy International Securities (Hong Kong) Company Limited</t>
        </is>
      </c>
      <c r="BU306" s="63" t="inlineStr">
        <is>
          <t>CLSA Limited; China Galaxy International Securities (Hong Kong) Co., Limited; BNP Paribas Securities (Asia) Limited; CCB International Capital Limited; CEB International Capit al Corporation Limited; China Everbright Securities (HK) Limited; China Sunrise Securities (International) Limited; Fortune Origin Securities Limited; ICBC International Securities Limited; Quam Securities Limited; SPDB International Capital Limited</t>
        </is>
      </c>
      <c r="BV306" s="63" t="inlineStr">
        <is>
          <t>BNP Paribas Securities (Asia) Limited; BOCI Asia Limited; CCB International Capital Limited; CEB International Capital Corporation Limited; China Everbright Securities (HK) Limited; China Galaxy International Securities (Hong Kong) Company Limited; CLSA Limited; China Sunrise Securities (International) Limited; Fortune Origin Securities Limited; Futu Securities International (Hong Kong) Limited; ICBC International Securities Limited; Lego Securities Limited</t>
        </is>
      </c>
      <c r="BW306" s="78">
        <f>HYPERLINK("https://www1.hkexnews.hk/listedco/listconews/sehk/2024/1231/2024123100011.pdf","prospectus")</f>
        <v/>
      </c>
      <c r="BX306" s="78">
        <f>HYPERLINK("https://www1.hkexnews.hk/listedco/listconews/sehk/2025/0108/2025010801098.pdf","allotment")</f>
        <v/>
      </c>
      <c r="BY306" s="63" t="n"/>
      <c r="BZ306" s="76" t="n"/>
      <c r="CA306" s="63" t="inlineStr">
        <is>
          <t>greenshoe: no over-allotment option in the offer structure · A/H: no A-share listing · greenshoe size: no over-allotment option in the offer structure · stabilising manager: the filing states no stabilising manager will be appointed — a filed fact, not an extraction gap (allotment announcement: 'no stabilizing manager will be appointed' stated in the filing)</t>
        </is>
      </c>
    </row>
    <row r="307" ht="15" customHeight="1">
      <c r="A307" s="62" t="inlineStr">
        <is>
          <t>0325</t>
        </is>
      </c>
      <c r="B307" s="63" t="inlineStr">
        <is>
          <t>BLOKS</t>
        </is>
      </c>
      <c r="C307" s="63" t="inlineStr">
        <is>
          <t>布魯可</t>
        </is>
      </c>
      <c r="D307" s="63" t="inlineStr">
        <is>
          <t>Consumer</t>
        </is>
      </c>
      <c r="E307" s="63" t="inlineStr">
        <is>
          <t>Retail / distribution</t>
        </is>
      </c>
      <c r="F307" s="63" t="inlineStr">
        <is>
          <t>Toys</t>
        </is>
      </c>
      <c r="G307" s="63" t="inlineStr">
        <is>
          <t>Standard</t>
        </is>
      </c>
      <c r="H307" s="64" t="n">
        <v>45667</v>
      </c>
      <c r="I307" s="65" t="n">
        <v>1674</v>
      </c>
      <c r="J307" s="63" t="inlineStr">
        <is>
          <t>gross (stated)</t>
        </is>
      </c>
      <c r="K307" s="66" t="n"/>
      <c r="L307" s="66" t="n">
        <v>60.35</v>
      </c>
      <c r="M307" s="66" t="n">
        <v>60.35</v>
      </c>
      <c r="N307" s="63" t="inlineStr">
        <is>
          <t>Y</t>
        </is>
      </c>
      <c r="O307" s="67" t="n">
        <v>100</v>
      </c>
      <c r="P307" s="67" t="n"/>
      <c r="Q307" s="68" t="n">
        <v>14456.5</v>
      </c>
      <c r="R307" s="63" t="inlineStr">
        <is>
          <t>aastocks:上市市值 at the struck price</t>
        </is>
      </c>
      <c r="S307" s="69" t="n">
        <v>5999.96</v>
      </c>
      <c r="T307" s="70" t="n">
        <v>38.6</v>
      </c>
      <c r="U307" s="71" t="n">
        <v>23.1</v>
      </c>
      <c r="V307" s="68" t="n">
        <v>1287.31</v>
      </c>
      <c r="W307" s="68" t="n">
        <v>21330753</v>
      </c>
      <c r="X307" s="67" t="n">
        <v>8.9</v>
      </c>
      <c r="Y307" s="63" t="inlineStr">
        <is>
          <t>UBS Asset Management; Greenwoods Asset Management Hong Kong Limited; Gaintex Investment Limited; Plus Force Enterprise Limited; Merron Ventures Limited; Huatai Capital Investment Limited; JYCP Holding Limited; JYMB Holding Limited; Beihai Kmind Management Consulting Limited; BlueCo Investment L.P; Yunfeng Blocks Management Limited; Hongshan Limited; Lenient Investment L.P</t>
        </is>
      </c>
      <c r="Z307" s="63" t="inlineStr">
        <is>
          <t>ubs;greenwoods;gaintex;plus;merron;huatai;jycp;jymb;beihai;blueco;yunfeng;hongshan;lenient</t>
        </is>
      </c>
      <c r="AA307" s="67" t="n">
        <v>15</v>
      </c>
      <c r="AB307" s="72" t="n"/>
      <c r="AC307" s="66" t="n"/>
      <c r="AD307" s="72" t="n"/>
      <c r="AE307" s="63" t="n"/>
      <c r="AF307" s="63" t="n"/>
      <c r="AG307" s="63" t="n"/>
      <c r="AH307" s="63" t="inlineStr">
        <is>
          <t>2025-02-06</t>
        </is>
      </c>
      <c r="AI307" s="63" t="inlineStr">
        <is>
          <t>Goldman Sachs</t>
        </is>
      </c>
      <c r="AJ307" s="63" t="inlineStr">
        <is>
          <t>Goldman Sachs</t>
        </is>
      </c>
      <c r="AK307" s="73" t="n">
        <v>40.85</v>
      </c>
      <c r="AL307" s="72" t="n">
        <v>81.61</v>
      </c>
      <c r="AM307" s="72" t="n">
        <v>-22.44</v>
      </c>
      <c r="AN307" s="72" t="n">
        <v>49.63</v>
      </c>
      <c r="AO307" s="72" t="n">
        <v>40.18</v>
      </c>
      <c r="AP307" s="72" t="n">
        <v>101.66</v>
      </c>
      <c r="AQ307" s="72" t="n">
        <v>6.23</v>
      </c>
      <c r="AR307" s="72" t="n">
        <v>-0.48</v>
      </c>
      <c r="AS307" s="72" t="n">
        <v>43.17</v>
      </c>
      <c r="AT307" s="72" t="n">
        <v>47.69</v>
      </c>
      <c r="AU307" s="72" t="n">
        <v>23.64</v>
      </c>
      <c r="AV307" s="72" t="n">
        <v>87.13</v>
      </c>
      <c r="AW307" s="72" t="n">
        <v>-18.44</v>
      </c>
      <c r="AX307" s="72" t="n">
        <v>16.54</v>
      </c>
      <c r="AY307" s="72" t="n">
        <v>17.96</v>
      </c>
      <c r="AZ307" s="63" t="inlineStr">
        <is>
          <t>Hang Seng Commerce &amp; Industry sub-index</t>
        </is>
      </c>
      <c r="BA307" s="72" t="n">
        <v>25.35</v>
      </c>
      <c r="BB307" s="64" t="inlineStr">
        <is>
          <t>2026-08-28</t>
        </is>
      </c>
      <c r="BC307" s="65" t="n">
        <v>2465</v>
      </c>
      <c r="BD307" s="68" t="n">
        <v>-441.2</v>
      </c>
      <c r="BE307" s="63" t="inlineStr">
        <is>
          <t>N</t>
        </is>
      </c>
      <c r="BF307" s="63" t="inlineStr">
        <is>
          <t>n/m</t>
        </is>
      </c>
      <c r="BG307" s="74" t="n"/>
      <c r="BH307" s="74" t="n"/>
      <c r="BI307" s="74" t="n">
        <v>5.9</v>
      </c>
      <c r="BJ307" s="75">
        <f>IF('BBG Verify'!S307="","not filed — run on terminal",'BBG Verify'!S307)</f>
        <v/>
      </c>
      <c r="BK307" s="76" t="inlineStr">
        <is>
          <t>N</t>
        </is>
      </c>
      <c r="BL307" s="77">
        <f>IF('BBG Verify'!K307="","not filed — run on terminal",'BBG Verify'!K307)</f>
        <v/>
      </c>
      <c r="BM307" s="63" t="inlineStr">
        <is>
          <t>N/A</t>
        </is>
      </c>
      <c r="BN307" s="63" t="inlineStr">
        <is>
          <t>N/A</t>
        </is>
      </c>
      <c r="BO307" s="63" t="inlineStr">
        <is>
          <t>N/A</t>
        </is>
      </c>
      <c r="BP307" s="63" t="inlineStr">
        <is>
          <t>N/A</t>
        </is>
      </c>
      <c r="BQ307" s="63" t="inlineStr">
        <is>
          <t>N/A</t>
        </is>
      </c>
      <c r="BR307" s="63" t="inlineStr">
        <is>
          <t>N/A</t>
        </is>
      </c>
      <c r="BS307" s="76" t="n"/>
      <c r="BT307" s="63" t="inlineStr">
        <is>
          <t>Goldman Sachs (Asia) L.L.C.; Huatai Financial Holdings (Hong Kong) Limited</t>
        </is>
      </c>
      <c r="BU307" s="63" t="inlineStr">
        <is>
          <t>Futu Securities International (Hong Kong) Limited; Goldman Sachs (Asia) L.L.C.; Huatai Financial Holdings (Hong Kong) Limited</t>
        </is>
      </c>
      <c r="BV307" s="63" t="inlineStr">
        <is>
          <t>Futu Securities International (Hong Kong) Limited; Goldman Sachs (Asia) L.L.C.; Huatai Financial Holdings (Hong Kong) Limited</t>
        </is>
      </c>
      <c r="BW307" s="63" t="n"/>
      <c r="BX307" s="78">
        <f>HYPERLINK("https://www1.hkexnews.hk/listedco/listconews/sehk/2025/0109/2025010900829.pdf","allotment")</f>
        <v/>
      </c>
      <c r="BY307" s="63" t="n"/>
      <c r="BZ307" s="76" t="n"/>
      <c r="CA307" s="63" t="inlineStr">
        <is>
          <t>P/E: n/m — loss-making at IPO (use P/S) · greenshoe: end-of-stabilisation notice not located · price range: fixed-price offering (no indicative range) · range low: cap-only pricing — the filing publishes a Maximum Offer Price and no indicative floor · A/H: no A line; closest listed proxy {'code': '002292.SZ', 'name': 'Alpha Group', 'rationale': 'Pop Mart/Bloks-style IP toys have no A pure-play; Alpha is the A-share IP toy and animation-merchandise name.'} · sponsor: English name not in the filing text; AAStocks 保薦人 shown · filing links: no prospectus document returned by the HKEX per-stock search for this code — the allotment announcement is linked beside it · grey market: no grey-market headline on file for this deal — AAStocks publishes one per listing but keeps only recent items on the stock's news page, and no public archive of past evening sessions exists; captured from this run onward</t>
        </is>
      </c>
    </row>
    <row r="308" ht="15" customHeight="1">
      <c r="A308" s="62" t="inlineStr">
        <is>
          <t>2530</t>
        </is>
      </c>
      <c r="B308" s="63" t="inlineStr">
        <is>
          <t>NUMANS</t>
        </is>
      </c>
      <c r="C308" s="63" t="inlineStr">
        <is>
          <t>紐曼思</t>
        </is>
      </c>
      <c r="D308" s="63" t="inlineStr">
        <is>
          <t>Consumer</t>
        </is>
      </c>
      <c r="E308" s="63" t="inlineStr">
        <is>
          <t>Beverages / packaged food</t>
        </is>
      </c>
      <c r="F308" s="63" t="inlineStr">
        <is>
          <t>Health Care Supplies</t>
        </is>
      </c>
      <c r="G308" s="63" t="inlineStr">
        <is>
          <t>Standard</t>
        </is>
      </c>
      <c r="H308" s="64" t="n">
        <v>45667</v>
      </c>
      <c r="I308" s="65" t="n">
        <v>200</v>
      </c>
      <c r="J308" s="63" t="inlineStr">
        <is>
          <t>gross (stated)</t>
        </is>
      </c>
      <c r="K308" s="66" t="n">
        <v>0.8</v>
      </c>
      <c r="L308" s="66" t="n">
        <v>1.09</v>
      </c>
      <c r="M308" s="66" t="n">
        <v>0.8</v>
      </c>
      <c r="N308" s="63" t="inlineStr">
        <is>
          <t>N</t>
        </is>
      </c>
      <c r="O308" s="67" t="n">
        <v>73.40000000000001</v>
      </c>
      <c r="P308" s="67" t="n">
        <v>0</v>
      </c>
      <c r="Q308" s="68" t="n">
        <v>800</v>
      </c>
      <c r="R308" s="63" t="inlineStr">
        <is>
          <t>derived:price x shares upon listing</t>
        </is>
      </c>
      <c r="S308" s="69" t="n">
        <v>65.17</v>
      </c>
      <c r="T308" s="70" t="n">
        <v>1.03</v>
      </c>
      <c r="U308" s="71" t="n">
        <v>0</v>
      </c>
      <c r="V308" s="68" t="n">
        <v>200</v>
      </c>
      <c r="W308" s="68" t="n">
        <v>250000000</v>
      </c>
      <c r="X308" s="67" t="n">
        <v>25</v>
      </c>
      <c r="Y308" s="63" t="n"/>
      <c r="Z308" s="63" t="n"/>
      <c r="AA308" s="67" t="n">
        <v>20</v>
      </c>
      <c r="AB308" s="72" t="n"/>
      <c r="AC308" s="66" t="n"/>
      <c r="AD308" s="72" t="n"/>
      <c r="AE308" s="63" t="n"/>
      <c r="AF308" s="63" t="n"/>
      <c r="AG308" s="63" t="n"/>
      <c r="AH308" s="63" t="n"/>
      <c r="AI308" s="63" t="n"/>
      <c r="AJ308" s="63" t="n"/>
      <c r="AK308" s="73" t="n">
        <v>-13.75</v>
      </c>
      <c r="AL308" s="72" t="n">
        <v>-1.25</v>
      </c>
      <c r="AM308" s="72" t="n">
        <v>-12.66</v>
      </c>
      <c r="AN308" s="72" t="n">
        <v>-15</v>
      </c>
      <c r="AO308" s="72" t="n">
        <v>-13.75</v>
      </c>
      <c r="AP308" s="72" t="n">
        <v>-16.25</v>
      </c>
      <c r="AQ308" s="72" t="n">
        <v>-1.45</v>
      </c>
      <c r="AR308" s="72" t="n">
        <v>0</v>
      </c>
      <c r="AS308" s="72" t="n">
        <v>-2.9</v>
      </c>
      <c r="AT308" s="72" t="n">
        <v>-16.94</v>
      </c>
      <c r="AU308" s="72" t="n">
        <v>-30.29</v>
      </c>
      <c r="AV308" s="72" t="n">
        <v>-30.78</v>
      </c>
      <c r="AW308" s="72" t="n">
        <v>-17.96</v>
      </c>
      <c r="AX308" s="72" t="n">
        <v>16.54</v>
      </c>
      <c r="AY308" s="72" t="n">
        <v>17.96</v>
      </c>
      <c r="AZ308" s="63" t="inlineStr">
        <is>
          <t>Hang Seng Commerce &amp; Industry sub-index</t>
        </is>
      </c>
      <c r="BA308" s="72" t="n">
        <v>-9.380000000000001</v>
      </c>
      <c r="BB308" s="64" t="inlineStr">
        <is>
          <t>2026-08-28</t>
        </is>
      </c>
      <c r="BC308" s="65" t="n">
        <v>469.2</v>
      </c>
      <c r="BD308" s="68" t="n">
        <v>175.3</v>
      </c>
      <c r="BE308" s="63" t="inlineStr">
        <is>
          <t>Y</t>
        </is>
      </c>
      <c r="BF308" s="74" t="n">
        <v>4.6</v>
      </c>
      <c r="BG308" s="74" t="n"/>
      <c r="BH308" s="74" t="n">
        <v>115.6</v>
      </c>
      <c r="BI308" s="74" t="n">
        <v>1.7</v>
      </c>
      <c r="BJ308" s="75">
        <f>IF('BBG Verify'!S308="","not filed — run on terminal",'BBG Verify'!S308)</f>
        <v/>
      </c>
      <c r="BK308" s="76" t="inlineStr">
        <is>
          <t>N</t>
        </is>
      </c>
      <c r="BL308" s="77">
        <f>IF('BBG Verify'!K308="","not filed — run on terminal",'BBG Verify'!K308)</f>
        <v/>
      </c>
      <c r="BM308" s="63" t="inlineStr">
        <is>
          <t>N/A</t>
        </is>
      </c>
      <c r="BN308" s="63" t="inlineStr">
        <is>
          <t>N/A</t>
        </is>
      </c>
      <c r="BO308" s="63" t="inlineStr">
        <is>
          <t>N/A</t>
        </is>
      </c>
      <c r="BP308" s="63" t="inlineStr">
        <is>
          <t>N/A</t>
        </is>
      </c>
      <c r="BQ308" s="63" t="inlineStr">
        <is>
          <t>N/A</t>
        </is>
      </c>
      <c r="BR308" s="63" t="inlineStr">
        <is>
          <t>N/A</t>
        </is>
      </c>
      <c r="BS308" s="76" t="inlineStr">
        <is>
          <t>Caitong International Capital Co., Limited</t>
        </is>
      </c>
      <c r="BT308" s="63" t="inlineStr">
        <is>
          <t>Caitong International Capital Co.</t>
        </is>
      </c>
      <c r="BU308" s="63" t="inlineStr">
        <is>
          <t>Caitong International Securities Co., Limited; Quam Securities Limited; China Everbright Securities (HK) Limited; First Fidelity Capital (International) Limited; Phillip Securities (Hong Kong) Limited; Soochow Securities International Brokerage Limited; UZen Securities Limited</t>
        </is>
      </c>
      <c r="BV308" s="63" t="inlineStr">
        <is>
          <t>Caitong International Securities Company Limited; China Everbright Securities (HK) Limited; First Fidelity Capital (International) Limited; Futu Securities International (Hong Kong) Limited; Phillip Securities (Hong Kong) Limited; Quam Securities Company Limited; Soochow Securities International Brokerage Limited; UZen Securities Limited</t>
        </is>
      </c>
      <c r="BW308" s="78">
        <f>HYPERLINK("https://www1.hkexnews.hk/listedco/listconews/sehk/2024/1230/2024123000005.pdf","prospectus")</f>
        <v/>
      </c>
      <c r="BX308" s="78">
        <f>HYPERLINK("https://www1.hkexnews.hk/listedco/listconews/sehk/2025/0109/2025010901059.pdf","allotment")</f>
        <v/>
      </c>
      <c r="BY308" s="63" t="n"/>
      <c r="BZ308" s="76" t="n"/>
      <c r="CA308" s="63" t="inlineStr">
        <is>
          <t>greenshoe: end-of-stabilisation notice not located · A/H: no A-share listing · cornerstone list: no cornerstone tranche in this deal · stabilising manager: neither the allotment announcement's cover sentence nor the prospectus definitions glossary names one in a form the parser reads — not inferred from the sponsor · grey market: no grey-market headline on file for this deal — AAStocks publishes one per listing but keeps only recent items on the stock's news page, and no public archive of past evening sessions exists; captured from this run onward</t>
        </is>
      </c>
    </row>
    <row r="309" ht="15" customHeight="1">
      <c r="A309" s="62" t="inlineStr">
        <is>
          <t>2596</t>
        </is>
      </c>
      <c r="B309" s="63" t="inlineStr">
        <is>
          <t>YIBIN BANK</t>
        </is>
      </c>
      <c r="C309" s="63" t="inlineStr">
        <is>
          <t>宜賓銀行</t>
        </is>
      </c>
      <c r="D309" s="63" t="inlineStr">
        <is>
          <t>Financials</t>
        </is>
      </c>
      <c r="E309" s="63" t="inlineStr">
        <is>
          <t>Banks</t>
        </is>
      </c>
      <c r="F309" s="63" t="inlineStr">
        <is>
          <t>Diversified Banks</t>
        </is>
      </c>
      <c r="G309" s="63" t="inlineStr">
        <is>
          <t>Standard</t>
        </is>
      </c>
      <c r="H309" s="64" t="n">
        <v>45670</v>
      </c>
      <c r="I309" s="65" t="n">
        <v>1782.96</v>
      </c>
      <c r="J309" s="63" t="inlineStr">
        <is>
          <t>gross (stated)</t>
        </is>
      </c>
      <c r="K309" s="66" t="n">
        <v>2.59</v>
      </c>
      <c r="L309" s="66" t="n">
        <v>2.72</v>
      </c>
      <c r="M309" s="66" t="n">
        <v>2.59</v>
      </c>
      <c r="N309" s="63" t="inlineStr">
        <is>
          <t>N</t>
        </is>
      </c>
      <c r="O309" s="67" t="n">
        <v>95.2</v>
      </c>
      <c r="P309" s="67" t="n">
        <v>0</v>
      </c>
      <c r="Q309" s="68" t="n">
        <v>10568.8</v>
      </c>
      <c r="R309" s="63" t="inlineStr">
        <is>
          <t>derived:deal size / offer % of enlarged capital</t>
        </is>
      </c>
      <c r="S309" s="69" t="n">
        <v>0.21</v>
      </c>
      <c r="T309" s="70" t="n">
        <v>1.14</v>
      </c>
      <c r="U309" s="71" t="n">
        <v>0</v>
      </c>
      <c r="V309" s="68" t="n">
        <v>1782.96</v>
      </c>
      <c r="W309" s="68" t="n">
        <v>688400000</v>
      </c>
      <c r="X309" s="67" t="n">
        <v>16.87</v>
      </c>
      <c r="Y309" s="63" t="n"/>
      <c r="Z309" s="63" t="n"/>
      <c r="AA309" s="67" t="n">
        <v>3.2</v>
      </c>
      <c r="AB309" s="72" t="n">
        <v>-1.5</v>
      </c>
      <c r="AC309" s="66" t="n">
        <v>2.55</v>
      </c>
      <c r="AD309" s="72" t="n">
        <v>2.3</v>
      </c>
      <c r="AE309" s="63" t="inlineStr">
        <is>
          <t>N</t>
        </is>
      </c>
      <c r="AF309" s="63" t="inlineStr">
        <is>
          <t>2025-01-12</t>
        </is>
      </c>
      <c r="AG309" s="63" t="inlineStr">
        <is>
          <t>lapsed</t>
        </is>
      </c>
      <c r="AH309" s="63" t="n"/>
      <c r="AI309" s="63" t="inlineStr">
        <is>
          <t>CCB International Capital Limited</t>
        </is>
      </c>
      <c r="AJ309" s="63" t="inlineStr">
        <is>
          <t>CCB</t>
        </is>
      </c>
      <c r="AK309" s="73" t="n">
        <v>0.77</v>
      </c>
      <c r="AL309" s="72" t="n">
        <v>0</v>
      </c>
      <c r="AM309" s="72" t="n">
        <v>0.77</v>
      </c>
      <c r="AN309" s="72" t="n">
        <v>0.39</v>
      </c>
      <c r="AO309" s="72" t="n">
        <v>0.39</v>
      </c>
      <c r="AP309" s="72" t="n">
        <v>1.16</v>
      </c>
      <c r="AQ309" s="72" t="n">
        <v>-0.38</v>
      </c>
      <c r="AR309" s="72" t="n">
        <v>-0.38</v>
      </c>
      <c r="AS309" s="72" t="n">
        <v>0.39</v>
      </c>
      <c r="AT309" s="72" t="n">
        <v>-2.89</v>
      </c>
      <c r="AU309" s="72" t="n">
        <v>-12.01</v>
      </c>
      <c r="AV309" s="72" t="n">
        <v>-6.6</v>
      </c>
      <c r="AW309" s="72" t="n">
        <v>-13.97</v>
      </c>
      <c r="AX309" s="72" t="n">
        <v>12.4</v>
      </c>
      <c r="AY309" s="72" t="n">
        <v>13.59</v>
      </c>
      <c r="AZ309" s="63" t="inlineStr">
        <is>
          <t>Hang Seng Finance sub-index</t>
        </is>
      </c>
      <c r="BA309" s="72" t="n">
        <v>1.93</v>
      </c>
      <c r="BB309" s="64" t="inlineStr">
        <is>
          <t>2026-08-28</t>
        </is>
      </c>
      <c r="BC309" s="65" t="n">
        <v>2387</v>
      </c>
      <c r="BD309" s="68" t="n">
        <v>524.7</v>
      </c>
      <c r="BE309" s="63" t="inlineStr">
        <is>
          <t>Y</t>
        </is>
      </c>
      <c r="BF309" s="74" t="n">
        <v>20.1</v>
      </c>
      <c r="BG309" s="74" t="n"/>
      <c r="BH309" s="74" t="n"/>
      <c r="BI309" s="74" t="n">
        <v>4.4</v>
      </c>
      <c r="BJ309" s="75">
        <f>IF('BBG Verify'!S309="","not filed — run on terminal",'BBG Verify'!S309)</f>
        <v/>
      </c>
      <c r="BK309" s="76" t="inlineStr">
        <is>
          <t>N</t>
        </is>
      </c>
      <c r="BL309" s="77">
        <f>IF('BBG Verify'!K309="","not filed — run on terminal",'BBG Verify'!K309)</f>
        <v/>
      </c>
      <c r="BM309" s="63" t="inlineStr">
        <is>
          <t>N/A</t>
        </is>
      </c>
      <c r="BN309" s="63" t="inlineStr">
        <is>
          <t>N/A</t>
        </is>
      </c>
      <c r="BO309" s="63" t="inlineStr">
        <is>
          <t>N/A</t>
        </is>
      </c>
      <c r="BP309" s="63" t="inlineStr">
        <is>
          <t>N/A</t>
        </is>
      </c>
      <c r="BQ309" s="63" t="inlineStr">
        <is>
          <t>N/A</t>
        </is>
      </c>
      <c r="BR309" s="63" t="inlineStr">
        <is>
          <t>N/A</t>
        </is>
      </c>
      <c r="BS309" s="76" t="inlineStr">
        <is>
          <t>CCB International Capital Limited; ICBC International Capital Limited</t>
        </is>
      </c>
      <c r="BT309" s="63" t="inlineStr">
        <is>
          <t>CCB International Capital Limited; ICBC International Capital Limited</t>
        </is>
      </c>
      <c r="BU309" s="63" t="inlineStr">
        <is>
          <t>BOCI Asia Limited; CLSA Limited; Zhongtai International Securities Limited</t>
        </is>
      </c>
      <c r="BV309" s="63" t="inlineStr">
        <is>
          <t>BOCI Asia Limited; CCB International Capital Limited; CLSA Limited; CMBC Securities Company Limited; CNI Securities Group Limited; Futu Securities International (Hong Kong) Limited; ICBC International Securities Limited; Maxa Capital Limited; Shenwan Hongyuan Securities (H.K.) Limited; Zhongtai International Securities Limited</t>
        </is>
      </c>
      <c r="BW309" s="78">
        <f>HYPERLINK("https://www1.hkexnews.hk/listedco/listconews/sehk/2024/1230/2024123000047.pdf","prospectus")</f>
        <v/>
      </c>
      <c r="BX309" s="78">
        <f>HYPERLINK("https://www1.hkexnews.hk/listedco/listconews/sehk/2025/0110/2025011001363.pdf","allotment")</f>
        <v/>
      </c>
      <c r="BY309" s="78">
        <f>HYPERLINK("https://www1.hkexnews.hk/listedco/listconews/sehk/2025/0207/2025020700893.pdf","stabilisation")</f>
        <v/>
      </c>
      <c r="BZ309" s="76" t="n"/>
      <c r="CA309" s="63" t="inlineStr">
        <is>
          <t>greenshoe: over-allotment outcome already published, and the allotment announcement does not state the stabilisation expiry in a parsable form — the expiry no longer matters once resolved · A/H: no A-share listing · cornerstone list: no cornerstone tranche in this deal</t>
        </is>
      </c>
    </row>
    <row r="310" ht="15" customHeight="1">
      <c r="A310" s="62" t="inlineStr">
        <is>
          <t>2571</t>
        </is>
      </c>
      <c r="B310" s="63" t="inlineStr">
        <is>
          <t>SAIMO</t>
        </is>
      </c>
      <c r="C310" s="63" t="inlineStr">
        <is>
          <t>賽目科技</t>
        </is>
      </c>
      <c r="D310" s="63" t="inlineStr">
        <is>
          <t>Industrials</t>
        </is>
      </c>
      <c r="E310" s="63" t="inlineStr">
        <is>
          <t>Capital goods / machinery</t>
        </is>
      </c>
      <c r="F310" s="63" t="inlineStr">
        <is>
          <t>Application Software</t>
        </is>
      </c>
      <c r="G310" s="63" t="inlineStr">
        <is>
          <t>Standard</t>
        </is>
      </c>
      <c r="H310" s="64" t="n">
        <v>45672</v>
      </c>
      <c r="I310" s="65" t="n">
        <v>433</v>
      </c>
      <c r="J310" s="63" t="inlineStr">
        <is>
          <t>gross (stated)</t>
        </is>
      </c>
      <c r="K310" s="66" t="n">
        <v>12</v>
      </c>
      <c r="L310" s="66" t="n">
        <v>12.99</v>
      </c>
      <c r="M310" s="66" t="n">
        <v>12.99</v>
      </c>
      <c r="N310" s="63" t="inlineStr">
        <is>
          <t>Y</t>
        </is>
      </c>
      <c r="O310" s="67" t="n">
        <v>100</v>
      </c>
      <c r="P310" s="67" t="n">
        <v>100</v>
      </c>
      <c r="Q310" s="68" t="n">
        <v>1732</v>
      </c>
      <c r="R310" s="63" t="inlineStr">
        <is>
          <t>derived:price x shares upon listing</t>
        </is>
      </c>
      <c r="S310" s="69" t="n">
        <v>2.66</v>
      </c>
      <c r="T310" s="70" t="n">
        <v>1.06</v>
      </c>
      <c r="U310" s="71" t="n">
        <v>34.3</v>
      </c>
      <c r="V310" s="68" t="n">
        <v>284.48</v>
      </c>
      <c r="W310" s="68" t="n">
        <v>21900044</v>
      </c>
      <c r="X310" s="67" t="n">
        <v>16.43</v>
      </c>
      <c r="Y310" s="63" t="n"/>
      <c r="Z310" s="63" t="n"/>
      <c r="AA310" s="67" t="n">
        <v>9.300000000000001</v>
      </c>
      <c r="AB310" s="72" t="n"/>
      <c r="AC310" s="66" t="n"/>
      <c r="AD310" s="72" t="n"/>
      <c r="AE310" s="63" t="n"/>
      <c r="AF310" s="63" t="n"/>
      <c r="AG310" s="63" t="inlineStr">
        <is>
          <t>lapsed (no over-allocation)</t>
        </is>
      </c>
      <c r="AH310" s="63" t="inlineStr">
        <is>
          <t>2025-02-09</t>
        </is>
      </c>
      <c r="AI310" s="63" t="inlineStr">
        <is>
          <t>CEB International Capital Corporation Limited</t>
        </is>
      </c>
      <c r="AJ310" s="63" t="inlineStr">
        <is>
          <t>CEB</t>
        </is>
      </c>
      <c r="AK310" s="73" t="n">
        <v>1.46</v>
      </c>
      <c r="AL310" s="72" t="n">
        <v>2.39</v>
      </c>
      <c r="AM310" s="72" t="n">
        <v>-0.91</v>
      </c>
      <c r="AN310" s="72" t="n">
        <v>0.38</v>
      </c>
      <c r="AO310" s="72" t="n">
        <v>17.17</v>
      </c>
      <c r="AP310" s="72" t="n">
        <v>-4.54</v>
      </c>
      <c r="AQ310" s="72" t="n">
        <v>-1.06</v>
      </c>
      <c r="AR310" s="72" t="n">
        <v>15.48</v>
      </c>
      <c r="AS310" s="72" t="n">
        <v>-5.91</v>
      </c>
      <c r="AT310" s="72" t="n">
        <v>-2.59</v>
      </c>
      <c r="AU310" s="72" t="n">
        <v>-7.53</v>
      </c>
      <c r="AV310" s="72" t="n">
        <v>-18.23</v>
      </c>
      <c r="AW310" s="72" t="n">
        <v>-9</v>
      </c>
      <c r="AX310" s="72" t="n">
        <v>24.7</v>
      </c>
      <c r="AY310" s="72" t="n">
        <v>24.48</v>
      </c>
      <c r="AZ310" s="63" t="inlineStr">
        <is>
          <t>Hang Seng Commerce &amp; Industry sub-index</t>
        </is>
      </c>
      <c r="BA310" s="72" t="n">
        <v>15.47</v>
      </c>
      <c r="BB310" s="64" t="inlineStr">
        <is>
          <t>2026-08-28</t>
        </is>
      </c>
      <c r="BC310" s="65" t="n">
        <v>193.3</v>
      </c>
      <c r="BD310" s="68" t="n">
        <v>55.8</v>
      </c>
      <c r="BE310" s="63" t="inlineStr">
        <is>
          <t>Y</t>
        </is>
      </c>
      <c r="BF310" s="74" t="n">
        <v>31</v>
      </c>
      <c r="BG310" s="74" t="n"/>
      <c r="BH310" s="74" t="n">
        <v>33.9</v>
      </c>
      <c r="BI310" s="74" t="n">
        <v>9</v>
      </c>
      <c r="BJ310" s="75">
        <f>IF('BBG Verify'!S310="","not filed — run on terminal",'BBG Verify'!S310)</f>
        <v/>
      </c>
      <c r="BK310" s="76" t="inlineStr">
        <is>
          <t>N</t>
        </is>
      </c>
      <c r="BL310" s="77">
        <f>IF('BBG Verify'!K310="","not filed — run on terminal",'BBG Verify'!K310)</f>
        <v/>
      </c>
      <c r="BM310" s="63" t="inlineStr">
        <is>
          <t>N/A</t>
        </is>
      </c>
      <c r="BN310" s="63" t="inlineStr">
        <is>
          <t>N/A</t>
        </is>
      </c>
      <c r="BO310" s="63" t="inlineStr">
        <is>
          <t>N/A</t>
        </is>
      </c>
      <c r="BP310" s="63" t="inlineStr">
        <is>
          <t>N/A</t>
        </is>
      </c>
      <c r="BQ310" s="63" t="inlineStr">
        <is>
          <t>N/A</t>
        </is>
      </c>
      <c r="BR310" s="63" t="inlineStr">
        <is>
          <t>N/A</t>
        </is>
      </c>
      <c r="BS310" s="76" t="n"/>
      <c r="BT310" s="63" t="inlineStr">
        <is>
          <t>CEB International Capital Corporation Limited</t>
        </is>
      </c>
      <c r="BU310" s="63" t="inlineStr">
        <is>
          <t>CEB International Capital Corporation Limited; CLSA Limited; (Hong Kong) Co., Limited; CMB International Capital Limited; CCB International Capital Limited; BOCOM International Securities Limited; SPDB International Capital Limited; Livermore Holdings Limited; China Sunrise Securities (International) Limited; Citrus Securities Limited</t>
        </is>
      </c>
      <c r="BV310" s="63" t="inlineStr">
        <is>
          <t>Aristo Securities Limited; BOCOM International Securities Limited; CCB International Capital Limited; CEB International Capital Corporation Limited; China Galaxy International Securities (Hong Kong) Company Limited; Citrus Securities Limited; CLSA Limited; CMB International Capital Corporation Limited; China Sunrise Securities (International) Limited; ICBC International Securities Limited; Livermore Holdings Limited; SBI China Capital Financial Services Limited</t>
        </is>
      </c>
      <c r="BW310" s="78">
        <f>HYPERLINK("https://www1.hkexnews.hk/listedco/listconews/sehk/2024/1231/2024123100154.pdf","prospectus")</f>
        <v/>
      </c>
      <c r="BX310" s="78">
        <f>HYPERLINK("https://www1.hkexnews.hk/listedco/listconews/sehk/2025/0114/2025011400898.pdf","allotment")</f>
        <v/>
      </c>
      <c r="BY310" s="78">
        <f>HYPERLINK("https://www1.hkexnews.hk/listedco/listconews/sehk/2025/0210/2025021000368.pdf","stabilisation")</f>
        <v/>
      </c>
      <c r="BZ310" s="76" t="n"/>
      <c r="CA310" s="63" t="inlineStr">
        <is>
          <t>price range: fixed-price offering (no indicative range) · A/H: no A-share listing · sponsor: English name not in the filing text; AAStocks 保薦人 shown · market cap: AAStocks lists HK$2,400m at listing vs HK$1,732m from price x filed share count — the filed count is kept · cornerstone list: tranche parsed (34.3% locked) but the per-investor table did not machine-parse — names are in the prospectus Cornerstone section (link on this row) · grey market: no grey-market headline on file for this deal — AAStocks publishes one per listing but keeps only recent items on the stock's news page, and no public archive of past evening sessions exists; captured from this run onward</t>
        </is>
      </c>
    </row>
    <row r="311" ht="15" customHeight="1">
      <c r="A311" s="62" t="inlineStr">
        <is>
          <t>1364</t>
        </is>
      </c>
      <c r="B311" s="63" t="inlineStr">
        <is>
          <t>GUMING</t>
        </is>
      </c>
      <c r="C311" s="63" t="inlineStr">
        <is>
          <t>古茗</t>
        </is>
      </c>
      <c r="D311" s="63" t="inlineStr">
        <is>
          <t>Consumer</t>
        </is>
      </c>
      <c r="E311" s="63" t="inlineStr">
        <is>
          <t>F&amp;B chains / restaurants</t>
        </is>
      </c>
      <c r="F311" s="63" t="inlineStr">
        <is>
          <t>Beverages (Non-alcoholic)</t>
        </is>
      </c>
      <c r="G311" s="63" t="inlineStr">
        <is>
          <t>Standard</t>
        </is>
      </c>
      <c r="H311" s="64" t="n">
        <v>45700</v>
      </c>
      <c r="I311" s="65" t="n">
        <v>1813</v>
      </c>
      <c r="J311" s="63" t="inlineStr">
        <is>
          <t>gross (stated)</t>
        </is>
      </c>
      <c r="K311" s="66" t="n"/>
      <c r="L311" s="66" t="n">
        <v>9.94</v>
      </c>
      <c r="M311" s="66" t="n">
        <v>9.94</v>
      </c>
      <c r="N311" s="63" t="inlineStr">
        <is>
          <t>Y</t>
        </is>
      </c>
      <c r="O311" s="67" t="n">
        <v>100</v>
      </c>
      <c r="P311" s="67" t="n"/>
      <c r="Q311" s="68" t="n">
        <v>23421.8</v>
      </c>
      <c r="R311" s="63" t="inlineStr">
        <is>
          <t>derived:price x shares upon listing</t>
        </is>
      </c>
      <c r="S311" s="69" t="n">
        <v>194.87</v>
      </c>
      <c r="T311" s="70" t="n">
        <v>15.03</v>
      </c>
      <c r="U311" s="71" t="n">
        <v>30.51</v>
      </c>
      <c r="V311" s="68" t="n">
        <v>1259.85</v>
      </c>
      <c r="W311" s="68" t="n">
        <v>126752262</v>
      </c>
      <c r="X311" s="67" t="n">
        <v>5.38</v>
      </c>
      <c r="Y311" s="63" t="inlineStr">
        <is>
          <t>Huang River Investment Limited; Global Company Limited; Long-Z Fund I, LP; Duckling Fund, L.P; Mr. Qi; Mr. Ruan; Ms. Pan</t>
        </is>
      </c>
      <c r="Z311" s="63" t="inlineStr">
        <is>
          <t>huang-river;global-company;long;duckling;mr-qi;mr-ruan;ms-pan</t>
        </is>
      </c>
      <c r="AA311" s="67" t="n">
        <v>15</v>
      </c>
      <c r="AB311" s="72" t="n"/>
      <c r="AC311" s="66" t="n"/>
      <c r="AD311" s="72" t="n"/>
      <c r="AE311" s="63" t="n"/>
      <c r="AF311" s="63" t="n"/>
      <c r="AG311" s="63" t="inlineStr">
        <is>
          <t>partial</t>
        </is>
      </c>
      <c r="AH311" s="63" t="n"/>
      <c r="AI311" s="63" t="inlineStr">
        <is>
          <t>Goldman Sachs</t>
        </is>
      </c>
      <c r="AJ311" s="63" t="inlineStr">
        <is>
          <t>Goldman Sachs</t>
        </is>
      </c>
      <c r="AK311" s="73" t="n">
        <v>-6.44</v>
      </c>
      <c r="AL311" s="72" t="n">
        <v>0.6</v>
      </c>
      <c r="AM311" s="72" t="n">
        <v>-7</v>
      </c>
      <c r="AN311" s="72" t="n">
        <v>-2.11</v>
      </c>
      <c r="AO311" s="72" t="n">
        <v>45.07</v>
      </c>
      <c r="AP311" s="72" t="n">
        <v>157.04</v>
      </c>
      <c r="AQ311" s="72" t="n">
        <v>4.63</v>
      </c>
      <c r="AR311" s="72" t="n">
        <v>55.06</v>
      </c>
      <c r="AS311" s="72" t="n">
        <v>174.73</v>
      </c>
      <c r="AT311" s="72" t="n">
        <v>-11.51</v>
      </c>
      <c r="AU311" s="72" t="n">
        <v>33.21</v>
      </c>
      <c r="AV311" s="72" t="n">
        <v>148.82</v>
      </c>
      <c r="AW311" s="72" t="n">
        <v>46.26</v>
      </c>
      <c r="AX311" s="72" t="n">
        <v>11.86</v>
      </c>
      <c r="AY311" s="72" t="n">
        <v>8.800000000000001</v>
      </c>
      <c r="AZ311" s="63" t="inlineStr">
        <is>
          <t>Hang Seng Commerce &amp; Industry sub-index</t>
        </is>
      </c>
      <c r="BA311" s="72" t="n">
        <v>167.61</v>
      </c>
      <c r="BB311" s="64" t="inlineStr">
        <is>
          <t>2026-08-28</t>
        </is>
      </c>
      <c r="BC311" s="65" t="n">
        <v>8443.200000000001</v>
      </c>
      <c r="BD311" s="68" t="n">
        <v>1206</v>
      </c>
      <c r="BE311" s="63" t="inlineStr">
        <is>
          <t>Y</t>
        </is>
      </c>
      <c r="BF311" s="74" t="n">
        <v>19.4</v>
      </c>
      <c r="BG311" s="74" t="n">
        <v>12.3</v>
      </c>
      <c r="BH311" s="74" t="n">
        <v>15.4</v>
      </c>
      <c r="BI311" s="74" t="n">
        <v>2.8</v>
      </c>
      <c r="BJ311" s="75">
        <f>IF('BBG Verify'!S311="","not filed — run on terminal",'BBG Verify'!S311)</f>
        <v/>
      </c>
      <c r="BK311" s="76" t="inlineStr">
        <is>
          <t>N</t>
        </is>
      </c>
      <c r="BL311" s="77">
        <f>IF('BBG Verify'!K311="","not filed — run on terminal",'BBG Verify'!K311)</f>
        <v/>
      </c>
      <c r="BM311" s="63" t="inlineStr">
        <is>
          <t>N/A</t>
        </is>
      </c>
      <c r="BN311" s="63" t="inlineStr">
        <is>
          <t>N/A</t>
        </is>
      </c>
      <c r="BO311" s="63" t="inlineStr">
        <is>
          <t>N/A</t>
        </is>
      </c>
      <c r="BP311" s="63" t="inlineStr">
        <is>
          <t>N/A</t>
        </is>
      </c>
      <c r="BQ311" s="63" t="inlineStr">
        <is>
          <t>N/A</t>
        </is>
      </c>
      <c r="BR311" s="63" t="inlineStr">
        <is>
          <t>N/A</t>
        </is>
      </c>
      <c r="BS311" s="76" t="inlineStr">
        <is>
          <t>Goldman Sachs (Asia) L.L.C; UBS Securities Hong Kong Limited; UBS AG Hong Kong Branch</t>
        </is>
      </c>
      <c r="BT311" s="63" t="inlineStr">
        <is>
          <t>UBS Securities Hong Kong Limited; Goldman Sachs (Asia) L.L.C.</t>
        </is>
      </c>
      <c r="BU311" s="63" t="inlineStr">
        <is>
          <t>Goldman Sachs (Asia) L.L.C; UBS AG Hong Kong Branch; China International Capital Corporation Hong Kong Securities Limited; The Hongkong and Shanghai Banking Corporation Limited; ABCI Capital Limited; BOCI Asia Limited; CMB International Capital Limited</t>
        </is>
      </c>
      <c r="BV311" s="63" t="inlineStr">
        <is>
          <t>ABCI Securities Company Limited; BOCI Asia Limited; China International Capital Corporation Hong Kong Securities Limited; CMB International Capital Limited; Futu Securities International (Hong Kong) Limited; Goldman Sachs (Asia) L.L.C.; The Hongkong and Shanghai Banking Corporation Limited; UBS AG Hong Kong Branch</t>
        </is>
      </c>
      <c r="BW311" s="78">
        <f>HYPERLINK("https://www1.hkexnews.hk/listedco/listconews/sehk/2025/0204/2025020400011.pdf","prospectus")</f>
        <v/>
      </c>
      <c r="BX311" s="78">
        <f>HYPERLINK("https://www1.hkexnews.hk/listedco/listconews/sehk/2025/0211/2025021100944.pdf","allotment")</f>
        <v/>
      </c>
      <c r="BY311" s="78">
        <f>HYPERLINK("https://www1.hkexnews.hk/listedco/listconews/sehk/2025/0309/2025030900015.pdf","stabilisation")</f>
        <v/>
      </c>
      <c r="BZ311" s="76" t="n"/>
      <c r="CA311" s="63" t="inlineStr">
        <is>
          <t>greenshoe: over-allotment outcome already published, and the allotment announcement does not state the stabilisation expiry in a parsable form — the expiry no longer matters once resolved · range low: cap-only pricing — the filing publishes a Maximum Offer Price and no indicative floor · A/H: no A-share listing · grey market: no grey-market headline on file for this deal — AAStocks publishes one per listing but keeps only recent items on the stock's news page, and no public archive of past evening sessions exists; captured from this run onward</t>
        </is>
      </c>
    </row>
    <row r="312" ht="15" customHeight="1">
      <c r="A312" s="62" t="inlineStr">
        <is>
          <t>2097</t>
        </is>
      </c>
      <c r="B312" s="63" t="inlineStr">
        <is>
          <t>MIXUE GROUP</t>
        </is>
      </c>
      <c r="C312" s="63" t="inlineStr">
        <is>
          <t>蜜雪集團</t>
        </is>
      </c>
      <c r="D312" s="63" t="inlineStr">
        <is>
          <t>Consumer</t>
        </is>
      </c>
      <c r="E312" s="63" t="inlineStr">
        <is>
          <t>F&amp;B chains / restaurants</t>
        </is>
      </c>
      <c r="F312" s="63" t="inlineStr">
        <is>
          <t>Beverages (Non-alcoholic)</t>
        </is>
      </c>
      <c r="G312" s="63" t="inlineStr">
        <is>
          <t>Standard</t>
        </is>
      </c>
      <c r="H312" s="64" t="n">
        <v>45719</v>
      </c>
      <c r="I312" s="65" t="n">
        <v>3455</v>
      </c>
      <c r="J312" s="63" t="inlineStr">
        <is>
          <t>gross (stated)</t>
        </is>
      </c>
      <c r="K312" s="66" t="n"/>
      <c r="L312" s="66" t="n">
        <v>202.5</v>
      </c>
      <c r="M312" s="66" t="n">
        <v>202.5</v>
      </c>
      <c r="N312" s="63" t="inlineStr">
        <is>
          <t>Y</t>
        </is>
      </c>
      <c r="O312" s="67" t="n">
        <v>100</v>
      </c>
      <c r="P312" s="67" t="n"/>
      <c r="Q312" s="68" t="n">
        <v>76355</v>
      </c>
      <c r="R312" s="63" t="inlineStr">
        <is>
          <t>prospectus:stated market capitalisation</t>
        </is>
      </c>
      <c r="S312" s="69" t="n">
        <v>5258.21</v>
      </c>
      <c r="T312" s="70" t="n">
        <v>35.23</v>
      </c>
      <c r="U312" s="71" t="n"/>
      <c r="V312" s="68" t="n"/>
      <c r="W312" s="68" t="n"/>
      <c r="X312" s="67" t="n"/>
      <c r="Y312" s="63" t="inlineStr">
        <is>
          <t>Long-Z Fund I, LP; Limited (TKAMC HK); Investment Limited (HTCI); Co Limited (China Southern); GF Global Capital Limited; Limited (E Fund HK); Kong Limited (VPHK); M&amp;G Investments; HongShan Growth; Persistence Growth Limited; HHLR Fund; MeichengNote; Shenzhen Yunqi</t>
        </is>
      </c>
      <c r="Z312" s="63" t="inlineStr">
        <is>
          <t>long;limited;investment-limited;co-limited;gf;kong-limited;investments;hongshan;persistence;hhlr;meichengnote;shenzhen-yunqi</t>
        </is>
      </c>
      <c r="AA312" s="67" t="n">
        <v>15</v>
      </c>
      <c r="AB312" s="72" t="n"/>
      <c r="AC312" s="66" t="n"/>
      <c r="AD312" s="72" t="n"/>
      <c r="AE312" s="63" t="n"/>
      <c r="AF312" s="63" t="n"/>
      <c r="AG312" s="63" t="inlineStr">
        <is>
          <t>full</t>
        </is>
      </c>
      <c r="AH312" s="63" t="inlineStr">
        <is>
          <t>2025-03-28</t>
        </is>
      </c>
      <c r="AI312" s="63" t="inlineStr">
        <is>
          <t>Merrill Lynch</t>
        </is>
      </c>
      <c r="AJ312" s="63" t="inlineStr">
        <is>
          <t>Merrill Lynch</t>
        </is>
      </c>
      <c r="AK312" s="73" t="n">
        <v>43.21</v>
      </c>
      <c r="AL312" s="72" t="n">
        <v>29.38</v>
      </c>
      <c r="AM312" s="72" t="n">
        <v>10.69</v>
      </c>
      <c r="AN312" s="72" t="n">
        <v>94.27</v>
      </c>
      <c r="AO312" s="72" t="n">
        <v>107.41</v>
      </c>
      <c r="AP312" s="72" t="n">
        <v>180.49</v>
      </c>
      <c r="AQ312" s="72" t="n">
        <v>35.65</v>
      </c>
      <c r="AR312" s="72" t="n">
        <v>44.83</v>
      </c>
      <c r="AS312" s="72" t="n">
        <v>95.86</v>
      </c>
      <c r="AT312" s="72" t="n">
        <v>89.55</v>
      </c>
      <c r="AU312" s="72" t="n">
        <v>106.47</v>
      </c>
      <c r="AV312" s="72" t="n">
        <v>178.85</v>
      </c>
      <c r="AW312" s="72" t="n">
        <v>44.15</v>
      </c>
      <c r="AX312" s="72" t="n">
        <v>0.9399999999999999</v>
      </c>
      <c r="AY312" s="72" t="n">
        <v>0.68</v>
      </c>
      <c r="AZ312" s="63" t="inlineStr">
        <is>
          <t>Hang Seng Commerce &amp; Industry sub-index</t>
        </is>
      </c>
      <c r="BA312" s="72" t="n">
        <v>4.49</v>
      </c>
      <c r="BB312" s="64" t="inlineStr">
        <is>
          <t>2026-08-28</t>
        </is>
      </c>
      <c r="BC312" s="65" t="n">
        <v>22332.7</v>
      </c>
      <c r="BD312" s="68" t="n">
        <v>3505.3</v>
      </c>
      <c r="BE312" s="63" t="inlineStr">
        <is>
          <t>Y</t>
        </is>
      </c>
      <c r="BF312" s="74" t="n">
        <v>21.8</v>
      </c>
      <c r="BG312" s="74" t="n"/>
      <c r="BH312" s="74" t="n">
        <v>12.5</v>
      </c>
      <c r="BI312" s="74" t="n">
        <v>3.4</v>
      </c>
      <c r="BJ312" s="75">
        <f>IF('BBG Verify'!S312="","not filed — run on terminal",'BBG Verify'!S312)</f>
        <v/>
      </c>
      <c r="BK312" s="76" t="inlineStr">
        <is>
          <t>N</t>
        </is>
      </c>
      <c r="BL312" s="77">
        <f>IF('BBG Verify'!K312="","not filed — run on terminal",'BBG Verify'!K312)</f>
        <v/>
      </c>
      <c r="BM312" s="63" t="inlineStr">
        <is>
          <t>N/A</t>
        </is>
      </c>
      <c r="BN312" s="63" t="inlineStr">
        <is>
          <t>N/A</t>
        </is>
      </c>
      <c r="BO312" s="63" t="inlineStr">
        <is>
          <t>N/A</t>
        </is>
      </c>
      <c r="BP312" s="63" t="inlineStr">
        <is>
          <t>N/A</t>
        </is>
      </c>
      <c r="BQ312" s="63" t="inlineStr">
        <is>
          <t>N/A</t>
        </is>
      </c>
      <c r="BR312" s="63" t="inlineStr">
        <is>
          <t>N/A</t>
        </is>
      </c>
      <c r="BS312" s="76" t="n"/>
      <c r="BT312" s="63" t="inlineStr">
        <is>
          <t>UBS Securities Hong Kong Limited; Merrill Lynch (Asia Pacific) Limited; Goldman Sachs (Asia) L.L.C.</t>
        </is>
      </c>
      <c r="BU312" s="63" t="inlineStr">
        <is>
          <t>China International Capital Corporation Hong Kong Securities Limited; CMB International Capital Corporation Limited; GF Securities (Hong Kong) Brokerage Limited; Goldman Sachs (Asia) L.L.C.; Huatai Financial Holdings (Hong Kong) Limited; ICBC International Securities Limited</t>
        </is>
      </c>
      <c r="BV312" s="63" t="inlineStr">
        <is>
          <t>China International Capital Corporation Hong Kong Securities Limited; CMB International Capital Corporation Limited; GF Securities (Hong Kong) Brokerage Limited; Goldman Sachs (Asia) L.L.C.; Huatai Financial Holdings (Hong Kong) Limited; ICBC International Securities Limited; Merrill Lynch (Asia Pacific) Limited; UBS AG Hong Kong Branch</t>
        </is>
      </c>
      <c r="BW312" s="78">
        <f>HYPERLINK("https://www1.hkexnews.hk/listedco/listconews/sehk/2025/0221/2025022100016.htm","prospectus")</f>
        <v/>
      </c>
      <c r="BX312" s="78">
        <f>HYPERLINK("https://www1.hkexnews.hk/listedco/listconews/sehk/2025/0228/2025022801727.pdf","allotment")</f>
        <v/>
      </c>
      <c r="BY312" s="78">
        <f>HYPERLINK("https://www1.hkexnews.hk/listedco/listconews/sehk/2025/0328/2025032802276.pdf","stabilisation")</f>
        <v/>
      </c>
      <c r="BZ312" s="76" t="n"/>
      <c r="CA312" s="63" t="inlineStr">
        <is>
          <t>price range: fixed-price offering (no indicative range) · range low: cap-only pricing — the filing publishes a Maximum Offer Price and no indicative floor · A/H: no A line; closest listed proxy {'code': '603711.SS', 'name': 'Xiangpiaopiao Food', 'rationale': "No A-listed freshly-made-drinks chain exists; Xiangpiaopiao is the A-share mass-market tea-drink franchise/brand play closest to Mixue's price point."} · sponsor: English name not in the filing text; AAStocks 保薦人 shown · cornerstone %: cornerstone aggregate not stated in the filing · grey market: no grey-market headline on file for this deal — AAStocks publishes one per listing but keeps only recent items on the stock's news page, and no public archive of past evening sessions exists; captured from this run onward · eff free float: not computable as a % of cap — cornerstone % unknown</t>
        </is>
      </c>
    </row>
    <row r="313" ht="15" customHeight="1">
      <c r="A313" s="62" t="inlineStr">
        <is>
          <t>6693</t>
        </is>
      </c>
      <c r="B313" s="63" t="inlineStr">
        <is>
          <t>CHIFENG GOLD</t>
        </is>
      </c>
      <c r="C313" s="63" t="inlineStr">
        <is>
          <t>赤峰黃金</t>
        </is>
      </c>
      <c r="D313" s="63" t="inlineStr">
        <is>
          <t>Materials/Energy</t>
        </is>
      </c>
      <c r="E313" s="63" t="inlineStr">
        <is>
          <t>Mining / metals</t>
        </is>
      </c>
      <c r="F313" s="63" t="inlineStr">
        <is>
          <t>Gold &amp; Precious Metals</t>
        </is>
      </c>
      <c r="G313" s="63" t="inlineStr">
        <is>
          <t>Standard</t>
        </is>
      </c>
      <c r="H313" s="64" t="n">
        <v>45726</v>
      </c>
      <c r="I313" s="65" t="n">
        <v>2821.5</v>
      </c>
      <c r="J313" s="63" t="inlineStr">
        <is>
          <t>gross (price x shares)</t>
        </is>
      </c>
      <c r="K313" s="66" t="n"/>
      <c r="L313" s="66" t="n">
        <v>15.83</v>
      </c>
      <c r="M313" s="66" t="n">
        <v>13.72</v>
      </c>
      <c r="N313" s="63" t="inlineStr">
        <is>
          <t>N</t>
        </is>
      </c>
      <c r="O313" s="67" t="n">
        <v>86.7</v>
      </c>
      <c r="P313" s="67" t="n"/>
      <c r="Q313" s="68" t="n">
        <v>25650.4</v>
      </c>
      <c r="R313" s="63" t="inlineStr">
        <is>
          <t>derived:price x shares upon listing</t>
        </is>
      </c>
      <c r="S313" s="69" t="n">
        <v>9.529999999999999</v>
      </c>
      <c r="T313" s="70" t="n">
        <v>3.67</v>
      </c>
      <c r="U313" s="71" t="n">
        <v>26.4</v>
      </c>
      <c r="V313" s="68" t="n">
        <v>2076.62</v>
      </c>
      <c r="W313" s="68" t="n">
        <v>151359872</v>
      </c>
      <c r="X313" s="67" t="n">
        <v>8.1</v>
      </c>
      <c r="Y313" s="63" t="inlineStr">
        <is>
          <t>International Mining Company Limited; Sparky International Company Limited</t>
        </is>
      </c>
      <c r="Z313" s="63" t="inlineStr">
        <is>
          <t>mining;sparky</t>
        </is>
      </c>
      <c r="AA313" s="67" t="n">
        <v>15</v>
      </c>
      <c r="AB313" s="72" t="n"/>
      <c r="AC313" s="66" t="n"/>
      <c r="AD313" s="72" t="n"/>
      <c r="AE313" s="63" t="n"/>
      <c r="AF313" s="63" t="n"/>
      <c r="AG313" s="63" t="inlineStr">
        <is>
          <t>full</t>
        </is>
      </c>
      <c r="AH313" s="63" t="inlineStr">
        <is>
          <t>2025-04-04</t>
        </is>
      </c>
      <c r="AI313" s="63" t="inlineStr">
        <is>
          <t>CLSA Limited</t>
        </is>
      </c>
      <c r="AJ313" s="63" t="inlineStr">
        <is>
          <t>CLSA</t>
        </is>
      </c>
      <c r="AK313" s="73" t="n">
        <v>0</v>
      </c>
      <c r="AL313" s="72" t="n">
        <v>0</v>
      </c>
      <c r="AM313" s="72" t="n">
        <v>0</v>
      </c>
      <c r="AN313" s="72" t="n">
        <v>2.04</v>
      </c>
      <c r="AO313" s="72" t="n">
        <v>25.51</v>
      </c>
      <c r="AP313" s="72" t="n">
        <v>110.64</v>
      </c>
      <c r="AQ313" s="72" t="n">
        <v>2.04</v>
      </c>
      <c r="AR313" s="72" t="n">
        <v>25.51</v>
      </c>
      <c r="AS313" s="72" t="n">
        <v>110.64</v>
      </c>
      <c r="AT313" s="72" t="n">
        <v>2.89</v>
      </c>
      <c r="AU313" s="72" t="n">
        <v>43.51</v>
      </c>
      <c r="AV313" s="72" t="n">
        <v>116.43</v>
      </c>
      <c r="AW313" s="72" t="n">
        <v>41.41</v>
      </c>
      <c r="AX313" s="72" t="n">
        <v>-18</v>
      </c>
      <c r="AY313" s="72" t="n">
        <v>-15.9</v>
      </c>
      <c r="AZ313" s="63" t="inlineStr">
        <is>
          <t>Hang Seng Commerce &amp; Industry sub-index</t>
        </is>
      </c>
      <c r="BA313" s="72" t="n">
        <v>219.24</v>
      </c>
      <c r="BB313" s="64" t="inlineStr">
        <is>
          <t>2026-08-28</t>
        </is>
      </c>
      <c r="BC313" s="65" t="n">
        <v>7943</v>
      </c>
      <c r="BD313" s="68" t="n">
        <v>958.7</v>
      </c>
      <c r="BE313" s="63" t="inlineStr">
        <is>
          <t>Y</t>
        </is>
      </c>
      <c r="BF313" s="74" t="n">
        <v>26.8</v>
      </c>
      <c r="BG313" s="74" t="n">
        <v>12</v>
      </c>
      <c r="BH313" s="74" t="n">
        <v>17.2</v>
      </c>
      <c r="BI313" s="74" t="n">
        <v>3.2</v>
      </c>
      <c r="BJ313" s="75">
        <f>IF('BBG Verify'!S313="","not filed — run on terminal",'BBG Verify'!S313)</f>
        <v/>
      </c>
      <c r="BK313" s="76" t="inlineStr">
        <is>
          <t>Y</t>
        </is>
      </c>
      <c r="BL313" s="63" t="inlineStr">
        <is>
          <t>600988.SS</t>
        </is>
      </c>
      <c r="BM313" s="72" t="n">
        <v>50.61</v>
      </c>
      <c r="BN313" s="66" t="n">
        <v>20.6635</v>
      </c>
      <c r="BO313" s="80" t="n">
        <v>0.3191</v>
      </c>
      <c r="BP313" s="68" t="n">
        <v>103807.4</v>
      </c>
      <c r="BQ313" s="75">
        <f>IF('BBG Verify'!Q313="","run on terminal",'BBG Verify'!Q313)</f>
        <v/>
      </c>
      <c r="BR313" s="75">
        <f>IF('BBG Verify'!R313="","run on terminal",'BBG Verify'!R313)</f>
        <v/>
      </c>
      <c r="BS313" s="76" t="inlineStr">
        <is>
          <t>CITIC Securities (Hong Kong) Limited</t>
        </is>
      </c>
      <c r="BT313" s="63" t="inlineStr">
        <is>
          <t>CITIC Securities (Hong Kong) Limited</t>
        </is>
      </c>
      <c r="BU313" s="63" t="inlineStr">
        <is>
          <t>Kong Securities Limited; ABCI Capital Limited; ABCI Securities Company Limited</t>
        </is>
      </c>
      <c r="BV313" s="63" t="inlineStr">
        <is>
          <t>ABCI Securities Company Limited; BOCI Asia Limited; CCB International Capital Limited; China International Capital Corporation Hong Kong Securities Limited; CLSA Limited; First Shanghai Securities Limited; Futu Securities International (Hong Kong) Limited; Huatai Financial Holdings (Hong Kong) Limited; ICBC International Securities Limited; Livermore Holdings Limited; Macquarie Capital Limited; Shenwan Hongyuan Securities (H.K.) Limited</t>
        </is>
      </c>
      <c r="BW313" s="78">
        <f>HYPERLINK("https://www1.hkexnews.hk/listedco/listconews/sehk/2025/0228/2025022800056.pdf","prospectus")</f>
        <v/>
      </c>
      <c r="BX313" s="78">
        <f>HYPERLINK("https://www1.hkexnews.hk/listedco/listconews/sehk/2025/0307/2025030701501.pdf","allotment")</f>
        <v/>
      </c>
      <c r="BY313" s="78">
        <f>HYPERLINK("https://www1.hkexnews.hk/listedco/listconews/sehk/2025/0406/2025040600051.pdf","stabilisation")</f>
        <v/>
      </c>
      <c r="BZ313" s="76" t="n"/>
      <c r="CA313" s="63" t="inlineStr">
        <is>
          <t>range low: cap-only pricing — the filing publishes a Maximum Offer Price and no indicative floor · A/H: Mar 2025 H listing (gold miner) · grey market: no grey-market headline on file for this deal — AAStocks publishes one per listing but keeps only recent items on the stock's news page, and no public archive of past evening sessions exists; captured from this run onward</t>
        </is>
      </c>
    </row>
    <row r="314" ht="15" customHeight="1">
      <c r="A314" s="62" t="inlineStr">
        <is>
          <t>2561</t>
        </is>
      </c>
      <c r="B314" s="63" t="inlineStr">
        <is>
          <t>VISEN PHARMA-B</t>
        </is>
      </c>
      <c r="C314" s="63" t="inlineStr">
        <is>
          <t>維昇藥業－Ｂ</t>
        </is>
      </c>
      <c r="D314" s="63" t="inlineStr">
        <is>
          <t>Healthcare</t>
        </is>
      </c>
      <c r="E314" s="63" t="inlineStr">
        <is>
          <t>Biotech pre-revenue (18A)</t>
        </is>
      </c>
      <c r="F314" s="63" t="inlineStr">
        <is>
          <t>Biotechnology - Pharmaceuticals</t>
        </is>
      </c>
      <c r="G314" s="63" t="inlineStr">
        <is>
          <t>18A</t>
        </is>
      </c>
      <c r="H314" s="64" t="n">
        <v>45737</v>
      </c>
      <c r="I314" s="65" t="n">
        <v>783.3</v>
      </c>
      <c r="J314" s="63" t="inlineStr">
        <is>
          <t>gross (stated)</t>
        </is>
      </c>
      <c r="K314" s="66" t="n">
        <v>68.44</v>
      </c>
      <c r="L314" s="66" t="n">
        <v>75.28</v>
      </c>
      <c r="M314" s="66" t="n">
        <v>68.8</v>
      </c>
      <c r="N314" s="63" t="inlineStr">
        <is>
          <t>N</t>
        </is>
      </c>
      <c r="O314" s="67" t="n">
        <v>91.40000000000001</v>
      </c>
      <c r="P314" s="67" t="n">
        <v>5.3</v>
      </c>
      <c r="Q314" s="68" t="n">
        <v>8509.299999999999</v>
      </c>
      <c r="R314" s="63" t="inlineStr">
        <is>
          <t>aastocks:上市市值 at the struck price</t>
        </is>
      </c>
      <c r="S314" s="69" t="n">
        <v>72.64</v>
      </c>
      <c r="T314" s="70" t="n">
        <v>1.65</v>
      </c>
      <c r="U314" s="71" t="n">
        <v>65</v>
      </c>
      <c r="V314" s="68" t="n">
        <v>274.15</v>
      </c>
      <c r="W314" s="68" t="n">
        <v>3984750</v>
      </c>
      <c r="X314" s="67" t="n">
        <v>3.22</v>
      </c>
      <c r="Y314" s="63" t="inlineStr">
        <is>
          <t>Limited, Morgan Stanley Asia Limited; Vivo Plenilune IX Limited, Morgan Stanley Asia Limited; Suzhou Harvest International Co., Limited; Jefferies Hong Kong Limited; Cosmic Clover Limited; Logos Opportunities Fund II LP; CRF Investment Holdings Company Limited</t>
        </is>
      </c>
      <c r="Z314" s="63" t="inlineStr">
        <is>
          <t>morgan;vivo;suzhou;jefferies;cosmic;logos;crf</t>
        </is>
      </c>
      <c r="AA314" s="67" t="n">
        <v>15</v>
      </c>
      <c r="AB314" s="72" t="n">
        <v>-7.2</v>
      </c>
      <c r="AC314" s="66" t="n">
        <v>63.85</v>
      </c>
      <c r="AD314" s="72" t="n">
        <v>7.76</v>
      </c>
      <c r="AE314" s="63" t="inlineStr">
        <is>
          <t>Y</t>
        </is>
      </c>
      <c r="AF314" s="63" t="inlineStr">
        <is>
          <t>2025-03-21</t>
        </is>
      </c>
      <c r="AG314" s="63" t="inlineStr">
        <is>
          <t>lapsed</t>
        </is>
      </c>
      <c r="AH314" s="63" t="n"/>
      <c r="AI314" s="63" t="inlineStr">
        <is>
          <t>Morgan Stanley Asia Limited</t>
        </is>
      </c>
      <c r="AJ314" s="63" t="inlineStr">
        <is>
          <t>Morgan Stanley</t>
        </is>
      </c>
      <c r="AK314" s="73" t="n">
        <v>0</v>
      </c>
      <c r="AL314" s="72" t="n">
        <v>0</v>
      </c>
      <c r="AM314" s="72" t="n">
        <v>0</v>
      </c>
      <c r="AN314" s="72" t="n">
        <v>-16.79</v>
      </c>
      <c r="AO314" s="72" t="n">
        <v>-30.81</v>
      </c>
      <c r="AP314" s="72" t="n">
        <v>-30.96</v>
      </c>
      <c r="AQ314" s="72" t="n">
        <v>-16.79</v>
      </c>
      <c r="AR314" s="72" t="n">
        <v>-30.81</v>
      </c>
      <c r="AS314" s="72" t="n">
        <v>-30.96</v>
      </c>
      <c r="AT314" s="72" t="n">
        <v>-17.6</v>
      </c>
      <c r="AU314" s="72" t="n">
        <v>-31.78</v>
      </c>
      <c r="AV314" s="72" t="n">
        <v>-44.95</v>
      </c>
      <c r="AW314" s="72" t="n">
        <v>-35.57</v>
      </c>
      <c r="AX314" s="72" t="n">
        <v>0.97</v>
      </c>
      <c r="AY314" s="72" t="n">
        <v>4.76</v>
      </c>
      <c r="AZ314" s="63" t="inlineStr">
        <is>
          <t>China Biotech ETF (HS biotech proxy)</t>
        </is>
      </c>
      <c r="BA314" s="72" t="n">
        <v>-70.95999999999999</v>
      </c>
      <c r="BB314" s="64" t="inlineStr">
        <is>
          <t>2026-08-28</t>
        </is>
      </c>
      <c r="BC314" s="65" t="n">
        <v>2.2</v>
      </c>
      <c r="BD314" s="68" t="n">
        <v>-229.2</v>
      </c>
      <c r="BE314" s="63" t="inlineStr">
        <is>
          <t>N</t>
        </is>
      </c>
      <c r="BF314" s="63" t="inlineStr">
        <is>
          <t>n/m</t>
        </is>
      </c>
      <c r="BG314" s="74" t="n"/>
      <c r="BH314" s="74" t="n"/>
      <c r="BI314" s="74" t="n">
        <v>3867.9</v>
      </c>
      <c r="BJ314" s="75">
        <f>IF('BBG Verify'!S314="","not filed — run on terminal",'BBG Verify'!S314)</f>
        <v/>
      </c>
      <c r="BK314" s="76" t="inlineStr">
        <is>
          <t>N</t>
        </is>
      </c>
      <c r="BL314" s="77">
        <f>IF('BBG Verify'!K314="","not filed — run on terminal",'BBG Verify'!K314)</f>
        <v/>
      </c>
      <c r="BM314" s="63" t="inlineStr">
        <is>
          <t>N/A</t>
        </is>
      </c>
      <c r="BN314" s="63" t="inlineStr">
        <is>
          <t>N/A</t>
        </is>
      </c>
      <c r="BO314" s="63" t="inlineStr">
        <is>
          <t>N/A</t>
        </is>
      </c>
      <c r="BP314" s="63" t="inlineStr">
        <is>
          <t>N/A</t>
        </is>
      </c>
      <c r="BQ314" s="63" t="inlineStr">
        <is>
          <t>N/A</t>
        </is>
      </c>
      <c r="BR314" s="63" t="inlineStr">
        <is>
          <t>N/A</t>
        </is>
      </c>
      <c r="BS314" s="76" t="inlineStr">
        <is>
          <t>Morgan Stanley Asia Limited; Jefferies Hong Kong Limited</t>
        </is>
      </c>
      <c r="BT314" s="63" t="inlineStr">
        <is>
          <t>Jefferies Hong Kong Limited; Morgan Stanley Asia Limited</t>
        </is>
      </c>
      <c r="BU314" s="63" t="inlineStr">
        <is>
          <t>CLSA Limited; Futu Securities International (Hong Kong) Limited; Guoyuan Securities Brokerage (Hong Kong) Limited; Jefferies Hong Kong Limited; Morgan Stanley Asia Limited; Patrons Securities Limited</t>
        </is>
      </c>
      <c r="BV314" s="63" t="inlineStr">
        <is>
          <t>CLSA Limited; Futu Securities International (Hong Kong) Limited; Guoyuan Securities Brokerage (Hong Kong) Limited; Jefferies Hong Kong Limited; Morgan Stanley Asia Limited; Patrons Securities Limited; Ruibang Securities Limited; Soochow Securities International Brokerage Limited</t>
        </is>
      </c>
      <c r="BW314" s="78">
        <f>HYPERLINK("https://www1.hkexnews.hk/listedco/listconews/sehk/2025/0313/2025031300017.pdf","prospectus")</f>
        <v/>
      </c>
      <c r="BX314" s="78">
        <f>HYPERLINK("https://www1.hkexnews.hk/listedco/listconews/sehk/2025/0320/2025032001490.pdf","allotment")</f>
        <v/>
      </c>
      <c r="BY314" s="78">
        <f>HYPERLINK("https://www1.hkexnews.hk/listedco/listconews/sehk/2025/0417/2025041701661.pdf","stabilisation")</f>
        <v/>
      </c>
      <c r="BZ314" s="76" t="n"/>
      <c r="CA314" s="63" t="inlineStr">
        <is>
          <t>P/E: n/m — loss-making at IPO (use P/S) · greenshoe: over-allotment outcome already published, and the allotment announcement does not state the stabilisation expiry in a parsable form — the expiry no longer matters once resolved · A/H: no A-share listing · market cap: estimate from deal size / offer % of enlarged capital disagreed with the published listing cap — published figure adopted · P/S: 3,868x on HK$2.2m revenue — effectively pre-revenue; the multiple is shown for completeness, not comparability</t>
        </is>
      </c>
    </row>
    <row r="315" ht="15" customHeight="1">
      <c r="A315" s="62" t="inlineStr">
        <is>
          <t>2610</t>
        </is>
      </c>
      <c r="B315" s="63" t="inlineStr">
        <is>
          <t>NANSHAN AL INTL</t>
        </is>
      </c>
      <c r="C315" s="63" t="inlineStr">
        <is>
          <t>南山鋁業國際</t>
        </is>
      </c>
      <c r="D315" s="63" t="inlineStr">
        <is>
          <t>Materials/Energy</t>
        </is>
      </c>
      <c r="E315" s="63" t="inlineStr">
        <is>
          <t>Mining / metals</t>
        </is>
      </c>
      <c r="F315" s="63" t="inlineStr">
        <is>
          <t>Aluminum</t>
        </is>
      </c>
      <c r="G315" s="63" t="inlineStr">
        <is>
          <t>Standard</t>
        </is>
      </c>
      <c r="H315" s="64" t="n">
        <v>45741</v>
      </c>
      <c r="I315" s="65" t="n">
        <v>2347.1</v>
      </c>
      <c r="J315" s="63" t="inlineStr">
        <is>
          <t>gross (stated)</t>
        </is>
      </c>
      <c r="K315" s="66" t="n">
        <v>26.6</v>
      </c>
      <c r="L315" s="66" t="n">
        <v>26.6</v>
      </c>
      <c r="M315" s="66" t="n">
        <v>26.6</v>
      </c>
      <c r="N315" s="63" t="inlineStr">
        <is>
          <t>Y</t>
        </is>
      </c>
      <c r="O315" s="67" t="n">
        <v>100</v>
      </c>
      <c r="P315" s="67" t="n"/>
      <c r="Q315" s="68" t="n">
        <v>15647.1</v>
      </c>
      <c r="R315" s="63" t="inlineStr">
        <is>
          <t>derived:price x shares upon listing</t>
        </is>
      </c>
      <c r="S315" s="69" t="n">
        <v>3.89</v>
      </c>
      <c r="T315" s="70" t="n">
        <v>1.67</v>
      </c>
      <c r="U315" s="71" t="n">
        <v>39.82</v>
      </c>
      <c r="V315" s="68" t="n">
        <v>1412.48</v>
      </c>
      <c r="W315" s="68" t="n">
        <v>53100004</v>
      </c>
      <c r="X315" s="67" t="n">
        <v>9.029999999999999</v>
      </c>
      <c r="Y315" s="63" t="inlineStr">
        <is>
          <t>Glencore International AG; PT Indika Energy Tbk</t>
        </is>
      </c>
      <c r="Z315" s="63" t="inlineStr">
        <is>
          <t>glencore;pt</t>
        </is>
      </c>
      <c r="AA315" s="67" t="n">
        <v>15</v>
      </c>
      <c r="AB315" s="72" t="n"/>
      <c r="AC315" s="66" t="n"/>
      <c r="AD315" s="72" t="n"/>
      <c r="AE315" s="63" t="n"/>
      <c r="AF315" s="63" t="n"/>
      <c r="AG315" s="63" t="inlineStr">
        <is>
          <t>partial</t>
        </is>
      </c>
      <c r="AH315" s="63" t="n"/>
      <c r="AI315" s="63" t="inlineStr">
        <is>
          <t>Huatai Financial Holdings</t>
        </is>
      </c>
      <c r="AJ315" s="63" t="inlineStr">
        <is>
          <t>Huatai</t>
        </is>
      </c>
      <c r="AK315" s="73" t="n">
        <v>-5.08</v>
      </c>
      <c r="AL315" s="72" t="n">
        <v>0</v>
      </c>
      <c r="AM315" s="72" t="n">
        <v>-5.08</v>
      </c>
      <c r="AN315" s="72" t="n">
        <v>-8.83</v>
      </c>
      <c r="AO315" s="72" t="n">
        <v>-8.65</v>
      </c>
      <c r="AP315" s="72" t="n">
        <v>16.54</v>
      </c>
      <c r="AQ315" s="72" t="n">
        <v>-3.95</v>
      </c>
      <c r="AR315" s="72" t="n">
        <v>-3.76</v>
      </c>
      <c r="AS315" s="72" t="n">
        <v>22.78</v>
      </c>
      <c r="AT315" s="72" t="n">
        <v>-4.83</v>
      </c>
      <c r="AU315" s="72" t="n">
        <v>2.12</v>
      </c>
      <c r="AV315" s="72" t="n">
        <v>20.59</v>
      </c>
      <c r="AW315" s="72" t="n">
        <v>4.35</v>
      </c>
      <c r="AX315" s="72" t="n">
        <v>-10.77</v>
      </c>
      <c r="AY315" s="72" t="n">
        <v>-8.109999999999999</v>
      </c>
      <c r="AZ315" s="63" t="inlineStr">
        <is>
          <t>Hang Seng Commerce &amp; Industry sub-index</t>
        </is>
      </c>
      <c r="BA315" s="72" t="n">
        <v>0.23</v>
      </c>
      <c r="BB315" s="64" t="inlineStr">
        <is>
          <t>2026-08-28</t>
        </is>
      </c>
      <c r="BC315" s="65" t="n">
        <v>5286.7</v>
      </c>
      <c r="BD315" s="68" t="n">
        <v>956.8</v>
      </c>
      <c r="BE315" s="63" t="inlineStr">
        <is>
          <t>Y</t>
        </is>
      </c>
      <c r="BF315" s="74" t="n">
        <v>16.4</v>
      </c>
      <c r="BG315" s="74" t="n">
        <v>3.5</v>
      </c>
      <c r="BH315" s="74" t="n">
        <v>4.7</v>
      </c>
      <c r="BI315" s="74" t="n">
        <v>3</v>
      </c>
      <c r="BJ315" s="75">
        <f>IF('BBG Verify'!S315="","not filed — run on terminal",'BBG Verify'!S315)</f>
        <v/>
      </c>
      <c r="BK315" s="76" t="inlineStr">
        <is>
          <t>N</t>
        </is>
      </c>
      <c r="BL315" s="77">
        <f>IF('BBG Verify'!K315="","not filed — run on terminal",'BBG Verify'!K315)</f>
        <v/>
      </c>
      <c r="BM315" s="63" t="inlineStr">
        <is>
          <t>N/A</t>
        </is>
      </c>
      <c r="BN315" s="63" t="inlineStr">
        <is>
          <t>N/A</t>
        </is>
      </c>
      <c r="BO315" s="63" t="inlineStr">
        <is>
          <t>N/A</t>
        </is>
      </c>
      <c r="BP315" s="63" t="inlineStr">
        <is>
          <t>N/A</t>
        </is>
      </c>
      <c r="BQ315" s="63" t="inlineStr">
        <is>
          <t>N/A</t>
        </is>
      </c>
      <c r="BR315" s="63" t="inlineStr">
        <is>
          <t>N/A</t>
        </is>
      </c>
      <c r="BS315" s="76" t="n"/>
      <c r="BT315" s="63" t="inlineStr">
        <is>
          <t>Huatai Financial Holdings (Hong Kong) Limited</t>
        </is>
      </c>
      <c r="BU315" s="63" t="inlineStr">
        <is>
          <t>Huatai Financial Holdings (Hong Kong) Limited; CMB International Capital Limited; China International Capital Corporation Hong Kong Securities Limited; CLSA Limited; Daiwa Capital Markets Hong Kong Limited; DBS Asia Capital Limited; ICBC International Securities Limited; UOB Kay Hian (Hong Kong) Limited; China Galaxy International Securities (Hong Kong) Co., Limited; A VICT Global Asset Management Limited; BOCI Asia Limited; Futu Securities International (Hong Kong) Limited</t>
        </is>
      </c>
      <c r="BV315" s="63" t="inlineStr">
        <is>
          <t>AVICT Global Asset Management Limited; BOCI Asia Limited; China Galaxy International Securities (Hong Kong) Company Limited; China International Capital Corporation Hong Kong Securities Limited; CLSA Limited; CMB International Capital Limited; DBS Asia Capital Limited; Daiwa Capital Markets Hong Kong Limited; Futu Securities International (Hong Kong) Limited; Huatai Financial Holdings (Hong Kong) Limited; ICBC International Securities Limited; Phillip Securities (Hong Kong) Limited</t>
        </is>
      </c>
      <c r="BW315" s="78">
        <f>HYPERLINK("https://www1.hkexnews.hk/listedco/listconews/sehk/2025/0317/2025031700019.pdf","prospectus")</f>
        <v/>
      </c>
      <c r="BX315" s="78">
        <f>HYPERLINK("https://www1.hkexnews.hk/listedco/listconews/sehk/2025/0324/2025032401216.pdf","allotment")</f>
        <v/>
      </c>
      <c r="BY315" s="78">
        <f>HYPERLINK("https://www1.hkexnews.hk/listedco/listconews/sehk/2025/0422/2025042201921.pdf","stabilisation")</f>
        <v/>
      </c>
      <c r="BZ315" s="76" t="n"/>
      <c r="CA315" s="63" t="inlineStr">
        <is>
          <t>greenshoe: over-allotment outcome already published, and the allotment announcement does not state the stabilisation expiry in a parsable form — the expiry no longer matters once resolved · price range: no usable lo&lt;hi range to position the final price in · A/H: no A-share listing · sponsor: English name not in the filing text; AAStocks 保薦人 shown · grey market: no grey-market headline on file for this deal — AAStocks publishes one per listing but keeps only recent items on the stock's news page, and no public archive of past evening sessions exists; captured from this run onward</t>
        </is>
      </c>
    </row>
    <row r="316" ht="15" customHeight="1">
      <c r="A316" s="62" t="inlineStr">
        <is>
          <t>2569</t>
        </is>
      </c>
      <c r="B316" s="63" t="inlineStr">
        <is>
          <t>SOFT INTL</t>
        </is>
      </c>
      <c r="C316" s="63" t="inlineStr">
        <is>
          <t>舒寶國際</t>
        </is>
      </c>
      <c r="D316" s="63" t="inlineStr">
        <is>
          <t>Materials/Energy</t>
        </is>
      </c>
      <c r="E316" s="63" t="inlineStr">
        <is>
          <t>Chemicals</t>
        </is>
      </c>
      <c r="F316" s="63" t="inlineStr">
        <is>
          <t>Personal Products</t>
        </is>
      </c>
      <c r="G316" s="63" t="inlineStr">
        <is>
          <t>Standard</t>
        </is>
      </c>
      <c r="H316" s="64" t="n">
        <v>45743</v>
      </c>
      <c r="I316" s="65" t="n">
        <v>127.5</v>
      </c>
      <c r="J316" s="63" t="inlineStr">
        <is>
          <t>gross (stated)</t>
        </is>
      </c>
      <c r="K316" s="66" t="n">
        <v>0.5</v>
      </c>
      <c r="L316" s="66" t="n">
        <v>0.6</v>
      </c>
      <c r="M316" s="66" t="n">
        <v>0.51</v>
      </c>
      <c r="N316" s="63" t="inlineStr">
        <is>
          <t>N</t>
        </is>
      </c>
      <c r="O316" s="67" t="n">
        <v>85</v>
      </c>
      <c r="P316" s="67" t="n">
        <v>10</v>
      </c>
      <c r="Q316" s="68" t="n">
        <v>510</v>
      </c>
      <c r="R316" s="63" t="inlineStr">
        <is>
          <t>derived:price x shares upon listing</t>
        </is>
      </c>
      <c r="S316" s="69" t="n">
        <v>167.09</v>
      </c>
      <c r="T316" s="70" t="n">
        <v>1.02</v>
      </c>
      <c r="U316" s="71" t="n">
        <v>0</v>
      </c>
      <c r="V316" s="68" t="n">
        <v>127.5</v>
      </c>
      <c r="W316" s="68" t="n">
        <v>250000000</v>
      </c>
      <c r="X316" s="67" t="n">
        <v>25</v>
      </c>
      <c r="Y316" s="63" t="n"/>
      <c r="Z316" s="63" t="n"/>
      <c r="AA316" s="67" t="n">
        <v>7.5</v>
      </c>
      <c r="AB316" s="72" t="n">
        <v>-2</v>
      </c>
      <c r="AC316" s="66" t="n">
        <v>0.5</v>
      </c>
      <c r="AD316" s="72" t="n">
        <v>34.05</v>
      </c>
      <c r="AE316" s="63" t="inlineStr">
        <is>
          <t>N</t>
        </is>
      </c>
      <c r="AF316" s="63" t="inlineStr">
        <is>
          <t>2025-03-27</t>
        </is>
      </c>
      <c r="AG316" s="63" t="n"/>
      <c r="AH316" s="63" t="inlineStr">
        <is>
          <t>2025-04-23</t>
        </is>
      </c>
      <c r="AI316" s="63" t="inlineStr">
        <is>
          <t>Yue Xiu Securities Company Limited</t>
        </is>
      </c>
      <c r="AJ316" s="63" t="inlineStr">
        <is>
          <t>Yue Xiu</t>
        </is>
      </c>
      <c r="AK316" s="73" t="n">
        <v>31.37</v>
      </c>
      <c r="AL316" s="72" t="n">
        <v>-3.92</v>
      </c>
      <c r="AM316" s="72" t="n">
        <v>36.73</v>
      </c>
      <c r="AN316" s="72" t="n">
        <v>-1.96</v>
      </c>
      <c r="AO316" s="72" t="n">
        <v>23.53</v>
      </c>
      <c r="AP316" s="72" t="n">
        <v>162.75</v>
      </c>
      <c r="AQ316" s="72" t="n">
        <v>-25.37</v>
      </c>
      <c r="AR316" s="72" t="n">
        <v>-5.97</v>
      </c>
      <c r="AS316" s="72" t="n">
        <v>100.01</v>
      </c>
      <c r="AT316" s="72" t="n">
        <v>1.99</v>
      </c>
      <c r="AU316" s="72" t="n">
        <v>31.31</v>
      </c>
      <c r="AV316" s="72" t="n">
        <v>165.32</v>
      </c>
      <c r="AW316" s="72" t="n">
        <v>2.28</v>
      </c>
      <c r="AX316" s="72" t="n">
        <v>-7.78</v>
      </c>
      <c r="AY316" s="72" t="n">
        <v>-8.25</v>
      </c>
      <c r="AZ316" s="63" t="inlineStr">
        <is>
          <t>Hang Seng Commerce &amp; Industry sub-index</t>
        </is>
      </c>
      <c r="BA316" s="72" t="n">
        <v>145.1</v>
      </c>
      <c r="BB316" s="64" t="inlineStr">
        <is>
          <t>2026-08-28</t>
        </is>
      </c>
      <c r="BC316" s="65" t="n">
        <v>720</v>
      </c>
      <c r="BD316" s="68" t="n">
        <v>64.8</v>
      </c>
      <c r="BE316" s="63" t="inlineStr">
        <is>
          <t>Y</t>
        </is>
      </c>
      <c r="BF316" s="74" t="n">
        <v>7.9</v>
      </c>
      <c r="BG316" s="74" t="n"/>
      <c r="BH316" s="74" t="n">
        <v>17.6</v>
      </c>
      <c r="BI316" s="74" t="n">
        <v>0.7</v>
      </c>
      <c r="BJ316" s="75">
        <f>IF('BBG Verify'!S316="","not filed — run on terminal",'BBG Verify'!S316)</f>
        <v/>
      </c>
      <c r="BK316" s="76" t="inlineStr">
        <is>
          <t>N</t>
        </is>
      </c>
      <c r="BL316" s="77">
        <f>IF('BBG Verify'!K316="","not filed — run on terminal",'BBG Verify'!K316)</f>
        <v/>
      </c>
      <c r="BM316" s="63" t="inlineStr">
        <is>
          <t>N/A</t>
        </is>
      </c>
      <c r="BN316" s="63" t="inlineStr">
        <is>
          <t>N/A</t>
        </is>
      </c>
      <c r="BO316" s="63" t="inlineStr">
        <is>
          <t>N/A</t>
        </is>
      </c>
      <c r="BP316" s="63" t="inlineStr">
        <is>
          <t>N/A</t>
        </is>
      </c>
      <c r="BQ316" s="63" t="inlineStr">
        <is>
          <t>N/A</t>
        </is>
      </c>
      <c r="BR316" s="63" t="inlineStr">
        <is>
          <t>N/A</t>
        </is>
      </c>
      <c r="BS316" s="76" t="n"/>
      <c r="BT316" s="63" t="inlineStr">
        <is>
          <t>Sunny Fortune Capital Limited</t>
        </is>
      </c>
      <c r="BU316" s="63" t="inlineStr">
        <is>
          <t>CMBC Securities Company Limited; Hung Sing Securities Limited; Yuet Sheung International Securities Limited; Zhongtai International Securities Limited; ZMF Asset Management Limited</t>
        </is>
      </c>
      <c r="BV316" s="63" t="inlineStr">
        <is>
          <t>CMBC Securities Company Limited; China Sunrise Securities (International) Limited; Hung Sing Securities Limited; Sunny Fortune Capital Limited; Yuet Sheung International Securities Limited; Yue Xiu Securities Company Limited; Zhongtai International Securities Limited; ZMF Asset Management Limited</t>
        </is>
      </c>
      <c r="BW316" s="78">
        <f>HYPERLINK("https://www1.hkexnews.hk/listedco/listconews/sehk/2025/0319/2025031900013.pdf","prospectus")</f>
        <v/>
      </c>
      <c r="BX316" s="78">
        <f>HYPERLINK("https://www1.hkexnews.hk/listedco/listconews/sehk/2025/0326/2025032601370.pdf","allotment")</f>
        <v/>
      </c>
      <c r="BY316" s="63" t="n"/>
      <c r="BZ316" s="76" t="n"/>
      <c r="CA316" s="63" t="inlineStr">
        <is>
          <t>greenshoe: end-of-stabilisation notice not located · A/H: no A-share listing · sponsor: English name not in the filing text; AAStocks 保薦人 shown · cornerstone list: no cornerstone tranche in this deal</t>
        </is>
      </c>
    </row>
    <row r="317" ht="15" customHeight="1">
      <c r="A317" s="62" t="inlineStr">
        <is>
          <t>2625</t>
        </is>
      </c>
      <c r="B317" s="63" t="inlineStr">
        <is>
          <t>JIANGSU HORIZON</t>
        </is>
      </c>
      <c r="C317" s="63" t="inlineStr">
        <is>
          <t>江蘇宏信</t>
        </is>
      </c>
      <c r="D317" s="63" t="inlineStr">
        <is>
          <t>Consumer</t>
        </is>
      </c>
      <c r="E317" s="63" t="inlineStr">
        <is>
          <t>Retail / distribution</t>
        </is>
      </c>
      <c r="F317" s="63" t="inlineStr">
        <is>
          <t>Hypermarkets, Supermarkets &amp; Convenience Stores</t>
        </is>
      </c>
      <c r="G317" s="63" t="inlineStr">
        <is>
          <t>Standard</t>
        </is>
      </c>
      <c r="H317" s="64" t="n">
        <v>45747</v>
      </c>
      <c r="I317" s="65" t="n">
        <v>133.91</v>
      </c>
      <c r="J317" s="63" t="inlineStr">
        <is>
          <t>gross (stated)</t>
        </is>
      </c>
      <c r="K317" s="66" t="n">
        <v>2.5</v>
      </c>
      <c r="L317" s="66" t="n">
        <v>3</v>
      </c>
      <c r="M317" s="66" t="n">
        <v>2.5</v>
      </c>
      <c r="N317" s="63" t="inlineStr">
        <is>
          <t>N</t>
        </is>
      </c>
      <c r="O317" s="67" t="n">
        <v>83.3</v>
      </c>
      <c r="P317" s="67" t="n">
        <v>0</v>
      </c>
      <c r="Q317" s="68" t="n">
        <v>535.6</v>
      </c>
      <c r="R317" s="63" t="inlineStr">
        <is>
          <t>derived:price x shares upon listing</t>
        </is>
      </c>
      <c r="S317" s="69" t="n">
        <v>46.96</v>
      </c>
      <c r="T317" s="70" t="n">
        <v>0.93</v>
      </c>
      <c r="U317" s="71" t="n">
        <v>28.83</v>
      </c>
      <c r="V317" s="68" t="n">
        <v>95.3</v>
      </c>
      <c r="W317" s="68" t="n">
        <v>38120075</v>
      </c>
      <c r="X317" s="67" t="n">
        <v>17.79</v>
      </c>
      <c r="Y317" s="63" t="inlineStr">
        <is>
          <t>Xu Shihe (許世和); Yin Qin (印勤); Hu Qinghua (胡慶華); Zhu Zheng (朱政); Zhan Mingyu (詹明玉); Jiang Xianyue (江顯月); Yao Xinhua (姚新華); Guo Xia (郭霞); Lu Shouping (陸壽萍); Kan Chuanling (闞傳玲); Huang Haiyan (黃海燕); Zhen Yizuo (殷義左); Shen Zhigen (沈志艮); Xia Zhonglin (夏忠林)</t>
        </is>
      </c>
      <c r="Z317" s="63" t="inlineStr">
        <is>
          <t>xu-shihe;yin;hu-qinghua;zhu-zheng;zhan;jiang-xianyue;yao-xinhua;guo-xia;lu-shouping;kan;huang-haiyan;zhen;shen-zhigen;xia-zhonglin</t>
        </is>
      </c>
      <c r="AA317" s="67" t="n">
        <v>7.65</v>
      </c>
      <c r="AB317" s="72" t="n">
        <v>28.8</v>
      </c>
      <c r="AC317" s="66" t="n">
        <v>3.22</v>
      </c>
      <c r="AD317" s="72" t="n">
        <v>-22.36</v>
      </c>
      <c r="AE317" s="63" t="inlineStr">
        <is>
          <t>N</t>
        </is>
      </c>
      <c r="AF317" s="63" t="inlineStr">
        <is>
          <t>2025-03-30</t>
        </is>
      </c>
      <c r="AG317" s="63" t="n"/>
      <c r="AH317" s="63" t="n"/>
      <c r="AI317" s="63" t="inlineStr">
        <is>
          <t>Red Solar Capital Limited</t>
        </is>
      </c>
      <c r="AJ317" s="63" t="inlineStr">
        <is>
          <t>Red Solar</t>
        </is>
      </c>
      <c r="AK317" s="73" t="n">
        <v>0</v>
      </c>
      <c r="AL317" s="72" t="n">
        <v>37.6</v>
      </c>
      <c r="AM317" s="72" t="n">
        <v>-27.33</v>
      </c>
      <c r="AN317" s="72" t="n">
        <v>-14.4</v>
      </c>
      <c r="AO317" s="72" t="n">
        <v>33.6</v>
      </c>
      <c r="AP317" s="72" t="n">
        <v>11.2</v>
      </c>
      <c r="AQ317" s="72" t="n">
        <v>-14.4</v>
      </c>
      <c r="AR317" s="72" t="n">
        <v>33.6</v>
      </c>
      <c r="AS317" s="72" t="n">
        <v>11.2</v>
      </c>
      <c r="AT317" s="72" t="n">
        <v>1.44</v>
      </c>
      <c r="AU317" s="72" t="n">
        <v>38.29</v>
      </c>
      <c r="AV317" s="72" t="n">
        <v>14.93</v>
      </c>
      <c r="AW317" s="72" t="n">
        <v>36.36</v>
      </c>
      <c r="AX317" s="72" t="n">
        <v>-4.69</v>
      </c>
      <c r="AY317" s="72" t="n">
        <v>-2.76</v>
      </c>
      <c r="AZ317" s="63" t="inlineStr">
        <is>
          <t>Hang Seng Commerce &amp; Industry sub-index</t>
        </is>
      </c>
      <c r="BA317" s="72" t="n">
        <v>-24.4</v>
      </c>
      <c r="BB317" s="64" t="inlineStr">
        <is>
          <t>2026-08-28</t>
        </is>
      </c>
      <c r="BC317" s="65" t="n">
        <v>1542.2</v>
      </c>
      <c r="BD317" s="68" t="n">
        <v>56.8</v>
      </c>
      <c r="BE317" s="63" t="inlineStr">
        <is>
          <t>Y</t>
        </is>
      </c>
      <c r="BF317" s="74" t="n">
        <v>9.4</v>
      </c>
      <c r="BG317" s="74" t="n">
        <v>8.6</v>
      </c>
      <c r="BH317" s="74" t="n">
        <v>9.9</v>
      </c>
      <c r="BI317" s="74" t="n">
        <v>0.3</v>
      </c>
      <c r="BJ317" s="75">
        <f>IF('BBG Verify'!S317="","not filed — run on terminal",'BBG Verify'!S317)</f>
        <v/>
      </c>
      <c r="BK317" s="76" t="inlineStr">
        <is>
          <t>N</t>
        </is>
      </c>
      <c r="BL317" s="77">
        <f>IF('BBG Verify'!K317="","not filed — run on terminal",'BBG Verify'!K317)</f>
        <v/>
      </c>
      <c r="BM317" s="63" t="inlineStr">
        <is>
          <t>N/A</t>
        </is>
      </c>
      <c r="BN317" s="63" t="inlineStr">
        <is>
          <t>N/A</t>
        </is>
      </c>
      <c r="BO317" s="63" t="inlineStr">
        <is>
          <t>N/A</t>
        </is>
      </c>
      <c r="BP317" s="63" t="inlineStr">
        <is>
          <t>N/A</t>
        </is>
      </c>
      <c r="BQ317" s="63" t="inlineStr">
        <is>
          <t>N/A</t>
        </is>
      </c>
      <c r="BR317" s="63" t="inlineStr">
        <is>
          <t>N/A</t>
        </is>
      </c>
      <c r="BS317" s="76" t="inlineStr">
        <is>
          <t>Red Solar Capital Limited</t>
        </is>
      </c>
      <c r="BT317" s="63" t="inlineStr">
        <is>
          <t>Red Solar Capital Limited</t>
        </is>
      </c>
      <c r="BU317" s="63" t="inlineStr">
        <is>
          <t>Red Solar Capital Limited; CCB International Capital Limited</t>
        </is>
      </c>
      <c r="BV317" s="63" t="inlineStr">
        <is>
          <t>CCB International Capital Limited; CMBC Securities Company Limited; CMB International Capital Limited; Eddid Securities and Futures Limited; Innovax Securities Limited; Long Bridge HK Limited; Red Solar Capital Limited; Star River Securities Limited</t>
        </is>
      </c>
      <c r="BW317" s="78">
        <f>HYPERLINK("https://www1.hkexnews.hk/listedco/listconews/sehk/2025/0321/2025032100009.pdf","prospectus")</f>
        <v/>
      </c>
      <c r="BX317" s="78">
        <f>HYPERLINK("https://www1.hkexnews.hk/listedco/listconews/sehk/2025/0328/2025032802386.pdf","allotment")</f>
        <v/>
      </c>
      <c r="BY317" s="63" t="n"/>
      <c r="BZ317" s="76" t="n"/>
      <c r="CA317" s="63" t="inlineStr">
        <is>
          <t>greenshoe: end-of-stabilisation notice not located · A/H: no A-share listing</t>
        </is>
      </c>
    </row>
    <row r="318" ht="15" customHeight="1">
      <c r="A318" s="62" t="inlineStr">
        <is>
          <t>3677</t>
        </is>
      </c>
      <c r="B318" s="63" t="inlineStr">
        <is>
          <t>ZENERGY</t>
        </is>
      </c>
      <c r="C318" s="63" t="inlineStr">
        <is>
          <t>正力新能</t>
        </is>
      </c>
      <c r="D318" s="63" t="inlineStr">
        <is>
          <t>Industrials</t>
        </is>
      </c>
      <c r="E318" s="63" t="inlineStr">
        <is>
          <t>Batteries / energy storage</t>
        </is>
      </c>
      <c r="F318" s="63" t="inlineStr">
        <is>
          <t>Battery Products</t>
        </is>
      </c>
      <c r="G318" s="63" t="inlineStr">
        <is>
          <t>Standard</t>
        </is>
      </c>
      <c r="H318" s="64" t="n">
        <v>45761</v>
      </c>
      <c r="I318" s="65" t="n">
        <v>1005.1</v>
      </c>
      <c r="J318" s="63" t="inlineStr">
        <is>
          <t>gross (stated)</t>
        </is>
      </c>
      <c r="K318" s="66" t="n"/>
      <c r="L318" s="66" t="n">
        <v>8.27</v>
      </c>
      <c r="M318" s="66" t="n">
        <v>8.27</v>
      </c>
      <c r="N318" s="63" t="inlineStr">
        <is>
          <t>Y</t>
        </is>
      </c>
      <c r="O318" s="67" t="n">
        <v>100</v>
      </c>
      <c r="P318" s="67" t="n"/>
      <c r="Q318" s="68" t="n">
        <v>20745.3</v>
      </c>
      <c r="R318" s="63" t="inlineStr">
        <is>
          <t>derived:price x shares upon listing</t>
        </is>
      </c>
      <c r="S318" s="69" t="n">
        <v>3.51</v>
      </c>
      <c r="T318" s="70" t="n">
        <v>1.13</v>
      </c>
      <c r="U318" s="71" t="n">
        <v>62</v>
      </c>
      <c r="V318" s="68" t="n">
        <v>381.94</v>
      </c>
      <c r="W318" s="68" t="n">
        <v>46179006</v>
      </c>
      <c r="X318" s="67" t="n">
        <v>1.84</v>
      </c>
      <c r="Y318" s="63" t="n"/>
      <c r="Z318" s="63" t="n"/>
      <c r="AA318" s="67" t="n">
        <v>15</v>
      </c>
      <c r="AB318" s="72" t="n"/>
      <c r="AC318" s="66" t="n"/>
      <c r="AD318" s="72" t="n"/>
      <c r="AE318" s="63" t="n"/>
      <c r="AF318" s="63" t="n"/>
      <c r="AG318" s="63" t="inlineStr">
        <is>
          <t>lapsed (no over-allocation)</t>
        </is>
      </c>
      <c r="AH318" s="63" t="n"/>
      <c r="AI318" s="63" t="inlineStr">
        <is>
          <t>China International Capital Corporation Hong Kong Securities Limited</t>
        </is>
      </c>
      <c r="AJ318" s="63" t="inlineStr">
        <is>
          <t>China International</t>
        </is>
      </c>
      <c r="AK318" s="73" t="n">
        <v>1.45</v>
      </c>
      <c r="AL318" s="72" t="n">
        <v>2.3</v>
      </c>
      <c r="AM318" s="72" t="n">
        <v>-0.83</v>
      </c>
      <c r="AN318" s="72" t="n">
        <v>0.73</v>
      </c>
      <c r="AO318" s="72" t="n">
        <v>13.78</v>
      </c>
      <c r="AP318" s="72" t="n">
        <v>26.72</v>
      </c>
      <c r="AQ318" s="72" t="n">
        <v>-0.71</v>
      </c>
      <c r="AR318" s="72" t="n">
        <v>12.15</v>
      </c>
      <c r="AS318" s="72" t="n">
        <v>24.91</v>
      </c>
      <c r="AT318" s="72" t="n">
        <v>-3.66</v>
      </c>
      <c r="AU318" s="72" t="n">
        <v>3.8</v>
      </c>
      <c r="AV318" s="72" t="n">
        <v>13.94</v>
      </c>
      <c r="AW318" s="72" t="n">
        <v>4.43</v>
      </c>
      <c r="AX318" s="72" t="n">
        <v>9.98</v>
      </c>
      <c r="AY318" s="72" t="n">
        <v>7.72</v>
      </c>
      <c r="AZ318" s="63" t="inlineStr">
        <is>
          <t>Hang Seng Commerce &amp; Industry sub-index</t>
        </is>
      </c>
      <c r="BA318" s="72" t="n">
        <v>-36.82</v>
      </c>
      <c r="BB318" s="64" t="inlineStr">
        <is>
          <t>2026-08-28</t>
        </is>
      </c>
      <c r="BC318" s="65" t="n">
        <v>4577.8</v>
      </c>
      <c r="BD318" s="68" t="n">
        <v>-648.9</v>
      </c>
      <c r="BE318" s="63" t="inlineStr">
        <is>
          <t>N</t>
        </is>
      </c>
      <c r="BF318" s="63" t="inlineStr">
        <is>
          <t>n/m</t>
        </is>
      </c>
      <c r="BG318" s="74" t="n">
        <v>197.7</v>
      </c>
      <c r="BH318" s="74" t="n">
        <v>14.3</v>
      </c>
      <c r="BI318" s="74" t="n">
        <v>4.5</v>
      </c>
      <c r="BJ318" s="75">
        <f>IF('BBG Verify'!S318="","not filed — run on terminal",'BBG Verify'!S318)</f>
        <v/>
      </c>
      <c r="BK318" s="76" t="inlineStr">
        <is>
          <t>N</t>
        </is>
      </c>
      <c r="BL318" s="77">
        <f>IF('BBG Verify'!K318="","not filed — run on terminal",'BBG Verify'!K318)</f>
        <v/>
      </c>
      <c r="BM318" s="63" t="inlineStr">
        <is>
          <t>N/A</t>
        </is>
      </c>
      <c r="BN318" s="63" t="inlineStr">
        <is>
          <t>N/A</t>
        </is>
      </c>
      <c r="BO318" s="63" t="inlineStr">
        <is>
          <t>N/A</t>
        </is>
      </c>
      <c r="BP318" s="63" t="inlineStr">
        <is>
          <t>N/A</t>
        </is>
      </c>
      <c r="BQ318" s="63" t="inlineStr">
        <is>
          <t>N/A</t>
        </is>
      </c>
      <c r="BR318" s="63" t="inlineStr">
        <is>
          <t>N/A</t>
        </is>
      </c>
      <c r="BS318" s="76" t="n"/>
      <c r="BT318" s="63" t="inlineStr">
        <is>
          <t>China International Capital Corporation Hong Kong Securities Limited; CMB International Capital Limited</t>
        </is>
      </c>
      <c r="BU318" s="63" t="inlineStr">
        <is>
          <t>China International Capital Corporation Hong Kong Securities Limited; CMB International Capital Limited; CCB International Capital Limited; China Industrial Securities International Capital Limited; Huafu International Securities Limited; ICBC International Securities Limited; CEB International Capital Corporation Limited; ABCI Capital Limited; Patrons Securities Limited</t>
        </is>
      </c>
      <c r="BV318" s="63" t="inlineStr">
        <is>
          <t>ABCI Securities Company Limited; BOCI Asia Limited; CCB International Capital Limited; CEB International Capital Corporation Limited; China International Capital Corporation Hong Kong Securities Limited; China Industrial Securities International Capital Limited; CMB International Capital Limited; Futu Securities International (Hong Kong) Limited; Huafu International Securities Limited; ICBC International Securities Limited; Livermore Holdings Limited; Patrons Securities Limited</t>
        </is>
      </c>
      <c r="BW318" s="78">
        <f>HYPERLINK("https://www1.hkexnews.hk/listedco/listconews/sehk/2025/0403/2025040300013.pdf","prospectus")</f>
        <v/>
      </c>
      <c r="BX318" s="78">
        <f>HYPERLINK("https://www1.hkexnews.hk/listedco/listconews/sehk/2025/0411/2025041101645.pdf","allotment")</f>
        <v/>
      </c>
      <c r="BY318" s="78">
        <f>HYPERLINK("https://www1.hkexnews.hk/listedco/listconews/sehk/2025/0509/2025050900261.pdf","stabilisation")</f>
        <v/>
      </c>
      <c r="BZ318" s="76" t="n"/>
      <c r="CA318" s="63" t="inlineStr">
        <is>
          <t>P/E: n/m — loss-making at IPO (use P/S) · greenshoe: over-allotment outcome already published, and the allotment announcement does not state the stabilisation expiry in a parsable form — the expiry no longer matters once resolved · range low: cap-only pricing — the filing publishes a Maximum Offer Price and no indicative floor · A/H: no A-share listing · sponsor: English name not in the filing text; AAStocks 保薦人 shown · cornerstone list: tranche parsed (62.0% locked) but the per-investor table did not machine-parse — names are in the prospectus Cornerstone section (link on this row) · grey market: no grey-market headline on file for this deal — AAStocks publishes one per listing but keeps only recent items on the stock's news page, and no public archive of past evening sessions exists; captured from this run onward</t>
        </is>
      </c>
    </row>
    <row r="319" ht="15" customHeight="1">
      <c r="A319" s="62" t="inlineStr">
        <is>
          <t>9606</t>
        </is>
      </c>
      <c r="B319" s="63" t="inlineStr">
        <is>
          <t>DUALITYBIO-B</t>
        </is>
      </c>
      <c r="C319" s="63" t="inlineStr">
        <is>
          <t>映恩生物－Ｂ</t>
        </is>
      </c>
      <c r="D319" s="63" t="inlineStr">
        <is>
          <t>Healthcare</t>
        </is>
      </c>
      <c r="E319" s="63" t="inlineStr">
        <is>
          <t>Biotech pre-revenue (18A)</t>
        </is>
      </c>
      <c r="F319" s="63" t="inlineStr">
        <is>
          <t>Biotechnology - Pharmaceuticals</t>
        </is>
      </c>
      <c r="G319" s="63" t="inlineStr">
        <is>
          <t>18A</t>
        </is>
      </c>
      <c r="H319" s="64" t="n">
        <v>45762</v>
      </c>
      <c r="I319" s="65" t="n">
        <v>1639.64</v>
      </c>
      <c r="J319" s="63" t="inlineStr">
        <is>
          <t>gross (stated)</t>
        </is>
      </c>
      <c r="K319" s="66" t="n">
        <v>94.59999999999999</v>
      </c>
      <c r="L319" s="66" t="n">
        <v>103.2</v>
      </c>
      <c r="M319" s="66" t="n">
        <v>94.59999999999999</v>
      </c>
      <c r="N319" s="63" t="inlineStr">
        <is>
          <t>N</t>
        </is>
      </c>
      <c r="O319" s="67" t="n">
        <v>91.7</v>
      </c>
      <c r="P319" s="67" t="n">
        <v>0</v>
      </c>
      <c r="Q319" s="68" t="n">
        <v>7212.7</v>
      </c>
      <c r="R319" s="63" t="inlineStr">
        <is>
          <t>prospectus:stated market capitalisation, rescaled to the offer price</t>
        </is>
      </c>
      <c r="S319" s="69" t="n">
        <v>115.14</v>
      </c>
      <c r="T319" s="70" t="n">
        <v>13.52</v>
      </c>
      <c r="U319" s="71" t="n">
        <v>30.82</v>
      </c>
      <c r="V319" s="68" t="n">
        <v>1134.3</v>
      </c>
      <c r="W319" s="68" t="n">
        <v>11990485</v>
      </c>
      <c r="X319" s="67" t="n">
        <v>15.73</v>
      </c>
      <c r="Y319" s="63" t="inlineStr">
        <is>
          <t>LAV Star Limited; Suzhou Suchuang; E Fund Mangement; BioNTech SE; TruMed; E Fund Management Co., Ltd; DualityBio Ltd; LAV Fund VI, L.P; King Star Med LP</t>
        </is>
      </c>
      <c r="Z319" s="63" t="inlineStr">
        <is>
          <t>lav;suzhou;mangement;biontech;trumed;fund-management;dualitybio;king</t>
        </is>
      </c>
      <c r="AA319" s="67" t="n">
        <v>15</v>
      </c>
      <c r="AB319" s="72" t="n"/>
      <c r="AC319" s="66" t="n"/>
      <c r="AD319" s="72" t="n"/>
      <c r="AE319" s="63" t="n"/>
      <c r="AF319" s="63" t="n"/>
      <c r="AG319" s="63" t="inlineStr">
        <is>
          <t>full</t>
        </is>
      </c>
      <c r="AH319" s="63" t="inlineStr">
        <is>
          <t>2025-05-10</t>
        </is>
      </c>
      <c r="AI319" s="63" t="inlineStr">
        <is>
          <t>Morgan Stanley Asia Limited</t>
        </is>
      </c>
      <c r="AJ319" s="63" t="inlineStr">
        <is>
          <t>Morgan Stanley</t>
        </is>
      </c>
      <c r="AK319" s="73" t="n">
        <v>116.7</v>
      </c>
      <c r="AL319" s="72" t="n">
        <v>91.33</v>
      </c>
      <c r="AM319" s="72" t="n">
        <v>13.26</v>
      </c>
      <c r="AN319" s="72" t="n">
        <v>137.84</v>
      </c>
      <c r="AO319" s="72" t="n">
        <v>111.42</v>
      </c>
      <c r="AP319" s="72" t="n">
        <v>255.18</v>
      </c>
      <c r="AQ319" s="72" t="n">
        <v>9.76</v>
      </c>
      <c r="AR319" s="72" t="n">
        <v>-2.44</v>
      </c>
      <c r="AS319" s="72" t="n">
        <v>63.9</v>
      </c>
      <c r="AT319" s="72" t="n">
        <v>133.61</v>
      </c>
      <c r="AU319" s="72" t="n">
        <v>107.06</v>
      </c>
      <c r="AV319" s="72" t="n">
        <v>221.6</v>
      </c>
      <c r="AW319" s="72" t="n">
        <v>-7.44</v>
      </c>
      <c r="AX319" s="72" t="n">
        <v>4.36</v>
      </c>
      <c r="AY319" s="72" t="n">
        <v>5</v>
      </c>
      <c r="AZ319" s="63" t="inlineStr">
        <is>
          <t>China Biotech ETF (HS biotech proxy)</t>
        </is>
      </c>
      <c r="BA319" s="72" t="n">
        <v>111.63</v>
      </c>
      <c r="BB319" s="64" t="inlineStr">
        <is>
          <t>2026-08-28</t>
        </is>
      </c>
      <c r="BC319" s="65" t="n">
        <v>2135.4</v>
      </c>
      <c r="BD319" s="68" t="n">
        <v>-1155.5</v>
      </c>
      <c r="BE319" s="63" t="inlineStr">
        <is>
          <t>N</t>
        </is>
      </c>
      <c r="BF319" s="63" t="inlineStr">
        <is>
          <t>n/m</t>
        </is>
      </c>
      <c r="BG319" s="74" t="n"/>
      <c r="BH319" s="74" t="n"/>
      <c r="BI319" s="74" t="n">
        <v>3.4</v>
      </c>
      <c r="BJ319" s="75">
        <f>IF('BBG Verify'!S319="","not filed — run on terminal",'BBG Verify'!S319)</f>
        <v/>
      </c>
      <c r="BK319" s="76" t="inlineStr">
        <is>
          <t>N</t>
        </is>
      </c>
      <c r="BL319" s="77">
        <f>IF('BBG Verify'!K319="","not filed — run on terminal",'BBG Verify'!K319)</f>
        <v/>
      </c>
      <c r="BM319" s="63" t="inlineStr">
        <is>
          <t>N/A</t>
        </is>
      </c>
      <c r="BN319" s="63" t="inlineStr">
        <is>
          <t>N/A</t>
        </is>
      </c>
      <c r="BO319" s="63" t="inlineStr">
        <is>
          <t>N/A</t>
        </is>
      </c>
      <c r="BP319" s="63" t="inlineStr">
        <is>
          <t>N/A</t>
        </is>
      </c>
      <c r="BQ319" s="63" t="inlineStr">
        <is>
          <t>N/A</t>
        </is>
      </c>
      <c r="BR319" s="63" t="inlineStr">
        <is>
          <t>N/A</t>
        </is>
      </c>
      <c r="BS319" s="76" t="inlineStr">
        <is>
          <t>Morgan Stanley Asia Limited</t>
        </is>
      </c>
      <c r="BT319" s="63" t="inlineStr">
        <is>
          <t>Jefferies Hong Kong Limited; Morgan Stanley Asia Limited; CITIC Securities (Hong Kong) Limited</t>
        </is>
      </c>
      <c r="BU319" s="63" t="inlineStr">
        <is>
          <t>Morgan Stanley Asia Limited; China International Capital Corporation Hong Kong Securities Limited; CMB International Capital Limited; ICBC International Securities Limited; BOCI Asia Limited; GF Securities (Hong Kong) Brokerage Limited; ABCI Capital Limited</t>
        </is>
      </c>
      <c r="BV319" s="63" t="inlineStr">
        <is>
          <t>ABCI Securities Company Limited; BOCI Asia Limited; China International Capital Corporation Hong Kong Securities Limited; CLSA Limited; CMB International Capital Corporation Limited; GF Securities (Hong Kong) Brokerage Limited; ICBC International Securities Limited; Jefferies Hong Kong Limited; Morgan Stanley Asia Limited</t>
        </is>
      </c>
      <c r="BW319" s="78">
        <f>HYPERLINK("https://www1.hkexnews.hk/listedco/listconews/sehk/2025/0407/2025040700009.pdf","prospectus")</f>
        <v/>
      </c>
      <c r="BX319" s="78">
        <f>HYPERLINK("https://www1.hkexnews.hk/listedco/listconews/sehk/2025/0414/2025041401384.pdf","allotment")</f>
        <v/>
      </c>
      <c r="BY319" s="78">
        <f>HYPERLINK("https://www1.hkexnews.hk/listedco/listconews/sehk/2025/0512/2025051200137.pdf","stabilisation")</f>
        <v/>
      </c>
      <c r="BZ319" s="76" t="n"/>
      <c r="CA319" s="63" t="inlineStr">
        <is>
          <t>P/E: n/m — loss-making at IPO (use P/S) · A/H: no A-share listing · market cap: prospectus states HK$7,868m at HK$103.20; rescaled to the struck HK$94.60 · grey market: no grey-market headline on file for this deal — AAStocks publishes one per listing but keeps only recent items on the stock's news page, and no public archive of past evening sessions exists; captured from this run onward</t>
        </is>
      </c>
    </row>
    <row r="320" ht="15" customHeight="1">
      <c r="A320" s="62" t="inlineStr">
        <is>
          <t>1333</t>
        </is>
      </c>
      <c r="B320" s="63" t="inlineStr">
        <is>
          <t>BRETON</t>
        </is>
      </c>
      <c r="C320" s="63" t="inlineStr">
        <is>
          <t>博雷頓</t>
        </is>
      </c>
      <c r="D320" s="63" t="inlineStr">
        <is>
          <t>Industrials</t>
        </is>
      </c>
      <c r="E320" s="63" t="inlineStr">
        <is>
          <t>Capital goods / machinery</t>
        </is>
      </c>
      <c r="F320" s="63" t="inlineStr">
        <is>
          <t>Industrial Machinery</t>
        </is>
      </c>
      <c r="G320" s="63" t="inlineStr">
        <is>
          <t>Standard</t>
        </is>
      </c>
      <c r="H320" s="64" t="n">
        <v>45784</v>
      </c>
      <c r="I320" s="65" t="n">
        <v>234</v>
      </c>
      <c r="J320" s="63" t="inlineStr">
        <is>
          <t>gross (stated)</t>
        </is>
      </c>
      <c r="K320" s="66" t="n"/>
      <c r="L320" s="66" t="n">
        <v>18</v>
      </c>
      <c r="M320" s="66" t="n">
        <v>18</v>
      </c>
      <c r="N320" s="63" t="inlineStr">
        <is>
          <t>Y</t>
        </is>
      </c>
      <c r="O320" s="67" t="n">
        <v>100</v>
      </c>
      <c r="P320" s="67" t="n"/>
      <c r="Q320" s="68" t="n">
        <v>6833.7</v>
      </c>
      <c r="R320" s="63" t="inlineStr">
        <is>
          <t>derived:price x shares upon listing</t>
        </is>
      </c>
      <c r="S320" s="69" t="n">
        <v>198.72</v>
      </c>
      <c r="T320" s="70" t="n">
        <v>0.92</v>
      </c>
      <c r="U320" s="71" t="n">
        <v>22.7</v>
      </c>
      <c r="V320" s="68" t="n">
        <v>180.88</v>
      </c>
      <c r="W320" s="68" t="n">
        <v>10049000</v>
      </c>
      <c r="X320" s="67" t="n">
        <v>2.65</v>
      </c>
      <c r="Y320" s="63" t="inlineStr">
        <is>
          <t>Changfeng Growth Equity Fund</t>
        </is>
      </c>
      <c r="Z320" s="63" t="inlineStr">
        <is>
          <t>changfeng</t>
        </is>
      </c>
      <c r="AA320" s="67" t="n"/>
      <c r="AB320" s="72" t="n"/>
      <c r="AC320" s="66" t="n"/>
      <c r="AD320" s="72" t="n"/>
      <c r="AE320" s="63" t="n"/>
      <c r="AF320" s="63" t="n"/>
      <c r="AG320" s="63" t="n"/>
      <c r="AH320" s="63" t="n"/>
      <c r="AI320" s="63" t="inlineStr">
        <is>
          <t>China International Capital Corporation Hong Kong Securities Limited</t>
        </is>
      </c>
      <c r="AJ320" s="63" t="inlineStr">
        <is>
          <t>China International</t>
        </is>
      </c>
      <c r="AK320" s="73" t="n">
        <v>38.33</v>
      </c>
      <c r="AL320" s="72" t="n">
        <v>61.11</v>
      </c>
      <c r="AM320" s="72" t="n">
        <v>-14.14</v>
      </c>
      <c r="AN320" s="72" t="n">
        <v>31.11</v>
      </c>
      <c r="AO320" s="72" t="n">
        <v>79.44</v>
      </c>
      <c r="AP320" s="72" t="n">
        <v>53.33</v>
      </c>
      <c r="AQ320" s="72" t="n">
        <v>-5.22</v>
      </c>
      <c r="AR320" s="72" t="n">
        <v>29.72</v>
      </c>
      <c r="AS320" s="72" t="n">
        <v>10.84</v>
      </c>
      <c r="AT320" s="72" t="n">
        <v>27.73</v>
      </c>
      <c r="AU320" s="72" t="n">
        <v>75.65000000000001</v>
      </c>
      <c r="AV320" s="72" t="n">
        <v>46.9</v>
      </c>
      <c r="AW320" s="72" t="n">
        <v>25.23</v>
      </c>
      <c r="AX320" s="72" t="n">
        <v>3.79</v>
      </c>
      <c r="AY320" s="72" t="n">
        <v>4.49</v>
      </c>
      <c r="AZ320" s="63" t="inlineStr">
        <is>
          <t>Hang Seng Commerce &amp; Industry sub-index</t>
        </is>
      </c>
      <c r="BA320" s="72" t="n">
        <v>-36.78</v>
      </c>
      <c r="BB320" s="64" t="inlineStr">
        <is>
          <t>2026-08-28</t>
        </is>
      </c>
      <c r="BC320" s="65" t="n">
        <v>699</v>
      </c>
      <c r="BD320" s="68" t="n">
        <v>-302</v>
      </c>
      <c r="BE320" s="63" t="inlineStr">
        <is>
          <t>N</t>
        </is>
      </c>
      <c r="BF320" s="63" t="inlineStr">
        <is>
          <t>n/m</t>
        </is>
      </c>
      <c r="BG320" s="74" t="n"/>
      <c r="BH320" s="74" t="n"/>
      <c r="BI320" s="74" t="n">
        <v>9.800000000000001</v>
      </c>
      <c r="BJ320" s="75">
        <f>IF('BBG Verify'!S320="","not filed — run on terminal",'BBG Verify'!S320)</f>
        <v/>
      </c>
      <c r="BK320" s="76" t="inlineStr">
        <is>
          <t>N</t>
        </is>
      </c>
      <c r="BL320" s="77">
        <f>IF('BBG Verify'!K320="","not filed — run on terminal",'BBG Verify'!K320)</f>
        <v/>
      </c>
      <c r="BM320" s="63" t="inlineStr">
        <is>
          <t>N/A</t>
        </is>
      </c>
      <c r="BN320" s="63" t="inlineStr">
        <is>
          <t>N/A</t>
        </is>
      </c>
      <c r="BO320" s="63" t="inlineStr">
        <is>
          <t>N/A</t>
        </is>
      </c>
      <c r="BP320" s="63" t="inlineStr">
        <is>
          <t>N/A</t>
        </is>
      </c>
      <c r="BQ320" s="63" t="inlineStr">
        <is>
          <t>N/A</t>
        </is>
      </c>
      <c r="BR320" s="63" t="inlineStr">
        <is>
          <t>N/A</t>
        </is>
      </c>
      <c r="BS320" s="76" t="n"/>
      <c r="BT320" s="63" t="inlineStr">
        <is>
          <t>China International Capital Corporation Hong Kong Securities Limited; CMB International Capital Corporation Limited</t>
        </is>
      </c>
      <c r="BU320" s="63" t="inlineStr">
        <is>
          <t>CCB International Capital Limited; China Galaxy International Securities (Hong Kong) Company Limited; China International Capital Corporation Hong Kong Securities Limited; Citrus Securities Limited; CMB International Capital Corporation Limited; SPDB International Capital Limited</t>
        </is>
      </c>
      <c r="BV320" s="63" t="inlineStr">
        <is>
          <t>CCB International Capital Limited; China Galaxy International Securities (Hong Kong) Company Limited; China International Capital Corporation Hong Kong Securities Limited; Citrus Securities Limited; CMB International Capital Corporation Limited; SPDB International Capital Limited; TradeGo Markets Limited</t>
        </is>
      </c>
      <c r="BW320" s="63" t="n"/>
      <c r="BX320" s="78">
        <f>HYPERLINK("https://www1.hkexnews.hk/listedco/listconews/sehk/2025/0506/2025050602875.pdf","allotment")</f>
        <v/>
      </c>
      <c r="BY320" s="63" t="n"/>
      <c r="BZ320" s="76" t="n"/>
      <c r="CA320" s="63" t="inlineStr">
        <is>
          <t>P/E: n/m — loss-making at IPO (use P/S) · greenshoe: no over-allotment option in the offer structure · price range: fixed-price offering (no indicative range) · range low: cap-only pricing — the filing publishes a Maximum Offer Price and no indicative floor · A/H: no A-share listing · sponsor: English name not in the filing text; AAStocks 保薦人 shown · greenshoe size: no over-allotment option in the offer structure · filing links: no prospectus document returned by the HKEX per-stock search for this code — the allotment announcement is linked beside it · grey market: no grey-market headline on file for this deal — AAStocks publishes one per listing but keeps only recent items on the stock's news page, and no public archive of past evening sessions exists; captured from this run onward</t>
        </is>
      </c>
    </row>
    <row r="321" ht="15" customHeight="1">
      <c r="A321" s="62" t="inlineStr">
        <is>
          <t>2865</t>
        </is>
      </c>
      <c r="B321" s="63" t="inlineStr">
        <is>
          <t>DRINDA</t>
        </is>
      </c>
      <c r="C321" s="63" t="inlineStr">
        <is>
          <t>鈞達股份</t>
        </is>
      </c>
      <c r="D321" s="63" t="inlineStr">
        <is>
          <t>Industrials</t>
        </is>
      </c>
      <c r="E321" s="63" t="inlineStr">
        <is>
          <t>Solar / wind supply chain</t>
        </is>
      </c>
      <c r="F321" s="63" t="inlineStr">
        <is>
          <t>Battery Products</t>
        </is>
      </c>
      <c r="G321" s="63" t="inlineStr">
        <is>
          <t>Standard</t>
        </is>
      </c>
      <c r="H321" s="64" t="n">
        <v>45785</v>
      </c>
      <c r="I321" s="65" t="n">
        <v>1405</v>
      </c>
      <c r="J321" s="63" t="inlineStr">
        <is>
          <t>gross (price x shares)</t>
        </is>
      </c>
      <c r="K321" s="66" t="n">
        <v>20.4</v>
      </c>
      <c r="L321" s="66" t="n">
        <v>28.6</v>
      </c>
      <c r="M321" s="66" t="n">
        <v>22.15</v>
      </c>
      <c r="N321" s="63" t="inlineStr">
        <is>
          <t>N</t>
        </is>
      </c>
      <c r="O321" s="67" t="n">
        <v>77.40000000000001</v>
      </c>
      <c r="P321" s="67" t="n">
        <v>21.3</v>
      </c>
      <c r="Q321" s="68" t="n">
        <v>6480.7</v>
      </c>
      <c r="R321" s="63" t="inlineStr">
        <is>
          <t>derived:price x shares upon listing</t>
        </is>
      </c>
      <c r="S321" s="69" t="n">
        <v>3.5</v>
      </c>
      <c r="T321" s="70" t="n">
        <v>1.08</v>
      </c>
      <c r="U321" s="71" t="n">
        <v>37.8</v>
      </c>
      <c r="V321" s="68" t="n">
        <v>873.91</v>
      </c>
      <c r="W321" s="68" t="n">
        <v>39454891</v>
      </c>
      <c r="X321" s="67" t="n">
        <v>13.48</v>
      </c>
      <c r="Y321" s="63" t="inlineStr">
        <is>
          <t>Zhuhai Gokin New Energy Investment Co., Ltd; Modern Direct Investment New Energy Technology Co., Limited; GF Securities</t>
        </is>
      </c>
      <c r="Z321" s="63" t="inlineStr">
        <is>
          <t>zhuhai;modern;gf</t>
        </is>
      </c>
      <c r="AA321" s="67" t="n">
        <v>7.6</v>
      </c>
      <c r="AB321" s="72" t="n"/>
      <c r="AC321" s="66" t="n"/>
      <c r="AD321" s="72" t="n"/>
      <c r="AE321" s="63" t="n"/>
      <c r="AF321" s="63" t="n"/>
      <c r="AG321" s="63" t="inlineStr">
        <is>
          <t>lapsed (no over-allocation)</t>
        </is>
      </c>
      <c r="AH321" s="63" t="n"/>
      <c r="AI321" s="63" t="inlineStr">
        <is>
          <t>Huatai Financial Holdings</t>
        </is>
      </c>
      <c r="AJ321" s="63" t="inlineStr">
        <is>
          <t>Huatai</t>
        </is>
      </c>
      <c r="AK321" s="73" t="n">
        <v>20.09</v>
      </c>
      <c r="AL321" s="72" t="n">
        <v>0.23</v>
      </c>
      <c r="AM321" s="72" t="n">
        <v>19.81</v>
      </c>
      <c r="AN321" s="72" t="n">
        <v>3.61</v>
      </c>
      <c r="AO321" s="72" t="n">
        <v>8.130000000000001</v>
      </c>
      <c r="AP321" s="72" t="n">
        <v>-2.48</v>
      </c>
      <c r="AQ321" s="72" t="n">
        <v>-13.72</v>
      </c>
      <c r="AR321" s="72" t="n">
        <v>-9.960000000000001</v>
      </c>
      <c r="AS321" s="72" t="n">
        <v>-18.79</v>
      </c>
      <c r="AT321" s="72" t="n">
        <v>0.51</v>
      </c>
      <c r="AU321" s="72" t="n">
        <v>4.34</v>
      </c>
      <c r="AV321" s="72" t="n">
        <v>-9.83</v>
      </c>
      <c r="AW321" s="72" t="n">
        <v>-13.02</v>
      </c>
      <c r="AX321" s="72" t="n">
        <v>3.79</v>
      </c>
      <c r="AY321" s="72" t="n">
        <v>3.06</v>
      </c>
      <c r="AZ321" s="63" t="inlineStr">
        <is>
          <t>Hang Seng Commerce &amp; Industry sub-index</t>
        </is>
      </c>
      <c r="BA321" s="72" t="n">
        <v>-28.44</v>
      </c>
      <c r="BB321" s="64" t="inlineStr">
        <is>
          <t>2026-08-28</t>
        </is>
      </c>
      <c r="BC321" s="65" t="n">
        <v>2006.3</v>
      </c>
      <c r="BD321" s="68" t="n">
        <v>-275.6</v>
      </c>
      <c r="BE321" s="63" t="inlineStr">
        <is>
          <t>N</t>
        </is>
      </c>
      <c r="BF321" s="63" t="inlineStr">
        <is>
          <t>n/m</t>
        </is>
      </c>
      <c r="BG321" s="74" t="n"/>
      <c r="BH321" s="74" t="n"/>
      <c r="BI321" s="74" t="n">
        <v>3.2</v>
      </c>
      <c r="BJ321" s="75">
        <f>IF('BBG Verify'!S321="","not filed — run on terminal",'BBG Verify'!S321)</f>
        <v/>
      </c>
      <c r="BK321" s="76" t="inlineStr">
        <is>
          <t>Y</t>
        </is>
      </c>
      <c r="BL321" s="63" t="inlineStr">
        <is>
          <t>002865.SZ</t>
        </is>
      </c>
      <c r="BM321" s="72" t="n">
        <v>99.26000000000001</v>
      </c>
      <c r="BN321" s="66" t="n">
        <v>44.1352</v>
      </c>
      <c r="BO321" s="80" t="n">
        <v>2.0048</v>
      </c>
      <c r="BP321" s="68" t="n">
        <v>14434.6</v>
      </c>
      <c r="BQ321" s="75">
        <f>IF('BBG Verify'!Q321="","run on terminal",'BBG Verify'!Q321)</f>
        <v/>
      </c>
      <c r="BR321" s="75">
        <f>IF('BBG Verify'!R321="","run on terminal",'BBG Verify'!R321)</f>
        <v/>
      </c>
      <c r="BS321" s="76" t="inlineStr">
        <is>
          <t>Huatai Financial Holdings (Hong Kong) Limited; CMB International Capital Limited; Deutsche Securities Asia Limited</t>
        </is>
      </c>
      <c r="BT321" s="63" t="inlineStr">
        <is>
          <t>Huatai Financial Holdings (Hong Kong) Limited; Deutsche Securities Asia Limited; CMB International Capital Corporation Limited</t>
        </is>
      </c>
      <c r="BU321" s="63" t="inlineStr">
        <is>
          <t>Huatai Financial Holdings (Hong Kong) Limited; CMB International Capital Limited; Deutsche Bank AG, Hong Kong Branch; CLSA Limited; China International Capital Corporation Hong Kong Securities Limited; SDICS International Securities (Hong Kong) Limited; Patrons Securities Limited; Futu Securities International (Hong Kong) Limited; Fosun International Securities Limited; BOCI Asia Limited; CCB International Capital Limited; ICBC International Securities Limited</t>
        </is>
      </c>
      <c r="BV321" s="63" t="inlineStr">
        <is>
          <t>BOCI Asia Limited; CCB International Capital Limited; China International Capital Corporation Hong Kong Securities Limited; CLSA Limited; CMB International Capital Corporation Limited; Deutsche Bank AG, Hong Kong Branch; Fortune (HK) Securities Limited; Fosun International Securities Limited; GF Securities (Hong Kong) Brokerage Limited; Huatai Financial Holdings (Hong Kong) Limited; ICBC International Securities Limited; Patrons Securities Limited</t>
        </is>
      </c>
      <c r="BW321" s="78">
        <f>HYPERLINK("https://www1.hkexnews.hk/listedco/listconews/sehk/2025/0428/2025042800051.pdf","prospectus")</f>
        <v/>
      </c>
      <c r="BX321" s="78">
        <f>HYPERLINK("https://www1.hkexnews.hk/listedco/listconews/sehk/2025/0507/2025050702202.pdf","allotment")</f>
        <v/>
      </c>
      <c r="BY321" s="78">
        <f>HYPERLINK("https://www1.hkexnews.hk/listedco/listconews/sehk/2025/0602/2025060200082.pdf","stabilisation")</f>
        <v/>
      </c>
      <c r="BZ321" s="76" t="n"/>
      <c r="CA321" s="63" t="inlineStr">
        <is>
          <t>P/E: n/m — loss-making at IPO (use P/S) · greenshoe: over-allotment outcome already published, and the allotment announcement does not state the stabilisation expiry in a parsable form — the expiry no longer matters once resolved · A/H: May 2025 H listing (TOPCon solar cells) · grey market: no grey-market headline on file for this deal — AAStocks publishes one per listing but keeps only recent items on the stock's news page, and no public archive of past evening sessions exists; captured from this run onward</t>
        </is>
      </c>
    </row>
    <row r="322" ht="15" customHeight="1">
      <c r="A322" s="62" t="inlineStr">
        <is>
          <t>2589</t>
        </is>
      </c>
      <c r="B322" s="63" t="inlineStr">
        <is>
          <t>AUNTEA JENNY</t>
        </is>
      </c>
      <c r="C322" s="63" t="inlineStr">
        <is>
          <t>滬上阿姨</t>
        </is>
      </c>
      <c r="D322" s="63" t="inlineStr">
        <is>
          <t>Consumer</t>
        </is>
      </c>
      <c r="E322" s="63" t="inlineStr">
        <is>
          <t>F&amp;B chains / restaurants</t>
        </is>
      </c>
      <c r="F322" s="63" t="inlineStr">
        <is>
          <t>Beverages (Non-alcoholic)</t>
        </is>
      </c>
      <c r="G322" s="63" t="inlineStr">
        <is>
          <t>Standard</t>
        </is>
      </c>
      <c r="H322" s="64" t="n">
        <v>45785</v>
      </c>
      <c r="I322" s="65" t="n">
        <v>272.8</v>
      </c>
      <c r="J322" s="63" t="inlineStr">
        <is>
          <t>gross (price x shares)</t>
        </is>
      </c>
      <c r="K322" s="66" t="n"/>
      <c r="L322" s="66" t="n">
        <v>113.12</v>
      </c>
      <c r="M322" s="66" t="n">
        <v>113.12</v>
      </c>
      <c r="N322" s="63" t="inlineStr">
        <is>
          <t>Y</t>
        </is>
      </c>
      <c r="O322" s="67" t="n">
        <v>100</v>
      </c>
      <c r="P322" s="67" t="n"/>
      <c r="Q322" s="68" t="n">
        <v>10492.3</v>
      </c>
      <c r="R322" s="63" t="inlineStr">
        <is>
          <t>derived:deal size / offer % of enlarged capital</t>
        </is>
      </c>
      <c r="S322" s="69" t="n">
        <v>3616.83</v>
      </c>
      <c r="T322" s="70" t="n">
        <v>2.57</v>
      </c>
      <c r="U322" s="71" t="n">
        <v>30.73</v>
      </c>
      <c r="V322" s="68" t="n">
        <v>188.97</v>
      </c>
      <c r="W322" s="68" t="n">
        <v>1670335</v>
      </c>
      <c r="X322" s="67" t="n">
        <v>1.8</v>
      </c>
      <c r="Y322" s="63" t="inlineStr">
        <is>
          <t>Infore Holding</t>
        </is>
      </c>
      <c r="Z322" s="63" t="inlineStr">
        <is>
          <t>infore</t>
        </is>
      </c>
      <c r="AA322" s="67" t="n">
        <v>15</v>
      </c>
      <c r="AB322" s="72" t="n"/>
      <c r="AC322" s="66" t="n"/>
      <c r="AD322" s="72" t="n"/>
      <c r="AE322" s="63" t="n"/>
      <c r="AF322" s="63" t="n"/>
      <c r="AG322" s="63" t="inlineStr">
        <is>
          <t>full</t>
        </is>
      </c>
      <c r="AH322" s="63" t="inlineStr">
        <is>
          <t>2025-06-01</t>
        </is>
      </c>
      <c r="AI322" s="63" t="inlineStr">
        <is>
          <t>CLSA Limited</t>
        </is>
      </c>
      <c r="AJ322" s="63" t="inlineStr">
        <is>
          <t>CLSA</t>
        </is>
      </c>
      <c r="AK322" s="73" t="n">
        <v>40.03</v>
      </c>
      <c r="AL322" s="72" t="n">
        <v>68.48999999999999</v>
      </c>
      <c r="AM322" s="72" t="n">
        <v>-16.89</v>
      </c>
      <c r="AN322" s="72" t="n">
        <v>12.89</v>
      </c>
      <c r="AO322" s="72" t="n">
        <v>9.619999999999999</v>
      </c>
      <c r="AP322" s="72" t="n">
        <v>21.38</v>
      </c>
      <c r="AQ322" s="72" t="n">
        <v>-19.38</v>
      </c>
      <c r="AR322" s="72" t="n">
        <v>-21.72</v>
      </c>
      <c r="AS322" s="72" t="n">
        <v>-13.32</v>
      </c>
      <c r="AT322" s="72" t="n">
        <v>9.789999999999999</v>
      </c>
      <c r="AU322" s="72" t="n">
        <v>5.83</v>
      </c>
      <c r="AV322" s="72" t="n">
        <v>14.03</v>
      </c>
      <c r="AW322" s="72" t="n">
        <v>-24.78</v>
      </c>
      <c r="AX322" s="72" t="n">
        <v>3.79</v>
      </c>
      <c r="AY322" s="72" t="n">
        <v>3.06</v>
      </c>
      <c r="AZ322" s="63" t="inlineStr">
        <is>
          <t>Hang Seng Commerce &amp; Industry sub-index</t>
        </is>
      </c>
      <c r="BA322" s="72" t="n">
        <v>-27.02</v>
      </c>
      <c r="BB322" s="64" t="inlineStr">
        <is>
          <t>2026-08-28</t>
        </is>
      </c>
      <c r="BC322" s="65" t="n">
        <v>3613</v>
      </c>
      <c r="BD322" s="68" t="n">
        <v>361.8</v>
      </c>
      <c r="BE322" s="63" t="inlineStr">
        <is>
          <t>Y</t>
        </is>
      </c>
      <c r="BF322" s="74" t="n">
        <v>29</v>
      </c>
      <c r="BG322" s="74" t="n">
        <v>45.8</v>
      </c>
      <c r="BH322" s="74" t="n">
        <v>15.2</v>
      </c>
      <c r="BI322" s="74" t="n">
        <v>2.9</v>
      </c>
      <c r="BJ322" s="75">
        <f>IF('BBG Verify'!S322="","not filed — run on terminal",'BBG Verify'!S322)</f>
        <v/>
      </c>
      <c r="BK322" s="76" t="inlineStr">
        <is>
          <t>N</t>
        </is>
      </c>
      <c r="BL322" s="77">
        <f>IF('BBG Verify'!K322="","not filed — run on terminal",'BBG Verify'!K322)</f>
        <v/>
      </c>
      <c r="BM322" s="63" t="inlineStr">
        <is>
          <t>N/A</t>
        </is>
      </c>
      <c r="BN322" s="63" t="inlineStr">
        <is>
          <t>N/A</t>
        </is>
      </c>
      <c r="BO322" s="63" t="inlineStr">
        <is>
          <t>N/A</t>
        </is>
      </c>
      <c r="BP322" s="63" t="inlineStr">
        <is>
          <t>N/A</t>
        </is>
      </c>
      <c r="BQ322" s="63" t="inlineStr">
        <is>
          <t>N/A</t>
        </is>
      </c>
      <c r="BR322" s="63" t="inlineStr">
        <is>
          <t>N/A</t>
        </is>
      </c>
      <c r="BS322" s="76" t="inlineStr">
        <is>
          <t>CITIC Securities (Hong Kong) Limited; Haitong International Capital Limited; Orient Capital (Hong Kong) Limited</t>
        </is>
      </c>
      <c r="BT322" s="63" t="inlineStr">
        <is>
          <t>Haitong International Capital Limited; CITIC Securities (Hong Kong) Limited; Orient Capital (Hong Kong) Limited</t>
        </is>
      </c>
      <c r="BU322" s="63" t="inlineStr">
        <is>
          <t>CLSA Limited; Orient Securities (Hong Kong) Limited; ICBC International Securities Limited; China Merchants Securities (HK) Co., Limited; CMBC Securities Company Limited; Morton Securities Limited; Soochow Securities International Brokerage Limited; Tiger Brokers (HK) Global Limited</t>
        </is>
      </c>
      <c r="BV322" s="63" t="inlineStr">
        <is>
          <t>CLSA Limited; CMBC Securities Company Limited; China Merchants Securities (HK) Company Limited; Haitong International Securities Company Limited; ICBC International Securities Limited; Morton Securities Limited; Orient Securities (Hong Kong) Limited; Soochow Securities International Brokerage Limited; Tiger Brokers (HK) Global Limited</t>
        </is>
      </c>
      <c r="BW322" s="78">
        <f>HYPERLINK("https://www1.hkexnews.hk/listedco/listconews/sehk/2025/0428/2025042800055.pdf","prospectus")</f>
        <v/>
      </c>
      <c r="BX322" s="78">
        <f>HYPERLINK("https://www1.hkexnews.hk/listedco/listconews/sehk/2025/0507/2025050702204.pdf","allotment")</f>
        <v/>
      </c>
      <c r="BY322" s="78">
        <f>HYPERLINK("https://www1.hkexnews.hk/listedco/listconews/sehk/2025/0601/2025060100017.pdf","stabilisation")</f>
        <v/>
      </c>
      <c r="BZ322" s="76" t="n"/>
      <c r="CA322" s="63" t="inlineStr">
        <is>
          <t>range low: cap-only pricing — the filing publishes a Maximum Offer Price and no indicative floor · A/H: no A-share listing · grey market: no grey-market headline on file for this deal — AAStocks publishes one per listing but keeps only recent items on the stock's news page, and no public archive of past evening sessions exists; captured from this run onward</t>
        </is>
      </c>
    </row>
    <row r="323" ht="15" customHeight="1">
      <c r="A323" s="62" t="inlineStr">
        <is>
          <t>6831</t>
        </is>
      </c>
      <c r="B323" s="63" t="inlineStr">
        <is>
          <t>GREEN TEA GROUP</t>
        </is>
      </c>
      <c r="C323" s="63" t="inlineStr">
        <is>
          <t>綠茶集團</t>
        </is>
      </c>
      <c r="D323" s="63" t="inlineStr">
        <is>
          <t>Consumer</t>
        </is>
      </c>
      <c r="E323" s="63" t="inlineStr">
        <is>
          <t>F&amp;B chains / restaurants</t>
        </is>
      </c>
      <c r="F323" s="63" t="inlineStr">
        <is>
          <t>Restaurants</t>
        </is>
      </c>
      <c r="G323" s="63" t="inlineStr">
        <is>
          <t>Standard</t>
        </is>
      </c>
      <c r="H323" s="64" t="n">
        <v>45793</v>
      </c>
      <c r="I323" s="65" t="n">
        <v>847.38</v>
      </c>
      <c r="J323" s="63" t="inlineStr">
        <is>
          <t>gross (stated)</t>
        </is>
      </c>
      <c r="K323" s="66" t="n"/>
      <c r="L323" s="66" t="n">
        <v>7.19</v>
      </c>
      <c r="M323" s="66" t="n">
        <v>7.19</v>
      </c>
      <c r="N323" s="63" t="inlineStr">
        <is>
          <t>Y</t>
        </is>
      </c>
      <c r="O323" s="67" t="n">
        <v>100</v>
      </c>
      <c r="P323" s="67" t="n"/>
      <c r="Q323" s="68" t="n">
        <v>3013.4</v>
      </c>
      <c r="R323" s="63" t="inlineStr">
        <is>
          <t>derived:deal size / offer % of enlarged capital</t>
        </is>
      </c>
      <c r="S323" s="69" t="n">
        <v>317.54</v>
      </c>
      <c r="T323" s="70" t="n">
        <v>7.2</v>
      </c>
      <c r="U323" s="71" t="n">
        <v>5.71</v>
      </c>
      <c r="V323" s="68" t="n">
        <v>798.99</v>
      </c>
      <c r="W323" s="68" t="n"/>
      <c r="X323" s="67" t="n">
        <v>26.51</v>
      </c>
      <c r="Y323" s="63" t="inlineStr">
        <is>
          <t>Relationship* Wuxi Lvlian; Wuxi Hexiang; Anji Liangshan; Action Chain; Chia Tai</t>
        </is>
      </c>
      <c r="Z323" s="63" t="inlineStr">
        <is>
          <t>relationship;wuxi;anji;action;chia</t>
        </is>
      </c>
      <c r="AA323" s="67" t="n">
        <v>15.76</v>
      </c>
      <c r="AB323" s="72" t="n"/>
      <c r="AC323" s="66" t="n"/>
      <c r="AD323" s="72" t="n"/>
      <c r="AE323" s="63" t="n"/>
      <c r="AF323" s="63" t="n"/>
      <c r="AG323" s="63" t="inlineStr">
        <is>
          <t>lapsed</t>
        </is>
      </c>
      <c r="AH323" s="63" t="inlineStr">
        <is>
          <t>2025-06-12</t>
        </is>
      </c>
      <c r="AI323" s="63" t="inlineStr">
        <is>
          <t>CMB International Global Markets Limited</t>
        </is>
      </c>
      <c r="AJ323" s="63" t="inlineStr">
        <is>
          <t>CMB</t>
        </is>
      </c>
      <c r="AK323" s="73" t="n">
        <v>-12.52</v>
      </c>
      <c r="AL323" s="72" t="n">
        <v>0</v>
      </c>
      <c r="AM323" s="72" t="n">
        <v>-12.52</v>
      </c>
      <c r="AN323" s="72" t="n">
        <v>-19.61</v>
      </c>
      <c r="AO323" s="72" t="n">
        <v>-11.27</v>
      </c>
      <c r="AP323" s="72" t="n">
        <v>3.2</v>
      </c>
      <c r="AQ323" s="72" t="n">
        <v>-8.1</v>
      </c>
      <c r="AR323" s="72" t="n">
        <v>1.43</v>
      </c>
      <c r="AS323" s="72" t="n">
        <v>17.97</v>
      </c>
      <c r="AT323" s="72" t="n">
        <v>-20.16</v>
      </c>
      <c r="AU323" s="72" t="n">
        <v>-11.85</v>
      </c>
      <c r="AV323" s="72" t="n">
        <v>-3.31</v>
      </c>
      <c r="AW323" s="72" t="n">
        <v>0.16</v>
      </c>
      <c r="AX323" s="72" t="n">
        <v>0.58</v>
      </c>
      <c r="AY323" s="72" t="n">
        <v>1.27</v>
      </c>
      <c r="AZ323" s="63" t="inlineStr">
        <is>
          <t>Hang Seng Commerce &amp; Industry sub-index</t>
        </is>
      </c>
      <c r="BA323" s="72" t="n">
        <v>-26.98</v>
      </c>
      <c r="BB323" s="64" t="inlineStr">
        <is>
          <t>2026-08-28</t>
        </is>
      </c>
      <c r="BC323" s="65" t="n">
        <v>4222</v>
      </c>
      <c r="BD323" s="68" t="n">
        <v>385.2</v>
      </c>
      <c r="BE323" s="63" t="inlineStr">
        <is>
          <t>Y</t>
        </is>
      </c>
      <c r="BF323" s="74" t="n">
        <v>7.8</v>
      </c>
      <c r="BG323" s="74" t="n"/>
      <c r="BH323" s="74" t="n">
        <v>7.4</v>
      </c>
      <c r="BI323" s="74" t="n">
        <v>0.7</v>
      </c>
      <c r="BJ323" s="75">
        <f>IF('BBG Verify'!S323="","not filed — run on terminal",'BBG Verify'!S323)</f>
        <v/>
      </c>
      <c r="BK323" s="76" t="inlineStr">
        <is>
          <t>N</t>
        </is>
      </c>
      <c r="BL323" s="77">
        <f>IF('BBG Verify'!K323="","not filed — run on terminal",'BBG Verify'!K323)</f>
        <v/>
      </c>
      <c r="BM323" s="63" t="inlineStr">
        <is>
          <t>N/A</t>
        </is>
      </c>
      <c r="BN323" s="63" t="inlineStr">
        <is>
          <t>N/A</t>
        </is>
      </c>
      <c r="BO323" s="63" t="inlineStr">
        <is>
          <t>N/A</t>
        </is>
      </c>
      <c r="BP323" s="63" t="inlineStr">
        <is>
          <t>N/A</t>
        </is>
      </c>
      <c r="BQ323" s="63" t="inlineStr">
        <is>
          <t>N/A</t>
        </is>
      </c>
      <c r="BR323" s="63" t="inlineStr">
        <is>
          <t>N/A</t>
        </is>
      </c>
      <c r="BS323" s="76" t="inlineStr">
        <is>
          <t>Citigroup Global Markets Asia Limited; Hong Kong SAR CMB International Capital Limited</t>
        </is>
      </c>
      <c r="BT323" s="63" t="inlineStr">
        <is>
          <t>Citigroup Global Markets Asia Limited; CMB International Capital Corporation Limited</t>
        </is>
      </c>
      <c r="BU323" s="63" t="inlineStr">
        <is>
          <t>Citigroup Global Markets Asia Limited; Hong Kong SAR Citigroup Global Markets Limited; 8 7– CMB International Capital Limited; GF Securities (Hong Kong) Brokerage Limited; Wan Chai Hong Kong SAR Guoyuan Securities Brokerage (Hong Kong) Limited; ABCI CAPITAL LIMITED; Hong Kong SAR ABCI SECURITIES COMPANY LIMITED; Hong Kong SAR Celestial Securities Limited; (Hong Kong) Co., Ltd; Hong Kong SAR CMBC Securities Company Limited; Hong Kong SAR First Shanghai Securities Limited; Hong Kong SAR Futu Securities International (Hong Kong) Limited</t>
        </is>
      </c>
      <c r="BV323" s="63" t="inlineStr">
        <is>
          <t>ABCI Securities Company Limited; China Galaxy International Securities (Hong Kong) Company Limited; Citigroup Global Markets Asia Limited; CMBC Securities Company Limited; CMB International Capital Corporation Limited; Celestial Securities Limited; First Shanghai Securities Limited; Futu Securities International (Hong Kong) Limited; GF Securities (Hong Kong) Brokerage Limited; Guoyuan Securities Brokerage (Hong Kong) Limited; Long Bridge HK Limited; Morton Securities Limited</t>
        </is>
      </c>
      <c r="BW323" s="78">
        <f>HYPERLINK("https://www1.hkexnews.hk/listedco/listconews/sehk/2025/0508/2025050800013.pdf","prospectus")</f>
        <v/>
      </c>
      <c r="BX323" s="78">
        <f>HYPERLINK("https://www1.hkexnews.hk/listedco/listconews/sehk/2025/0515/2025051501489.pdf","allotment")</f>
        <v/>
      </c>
      <c r="BY323" s="78">
        <f>HYPERLINK("https://www1.hkexnews.hk/listedco/listconews/sehk/2025/0612/2025061201064.pdf","stabilisation")</f>
        <v/>
      </c>
      <c r="BZ323" s="76" t="n"/>
      <c r="CA323" s="63" t="inlineStr">
        <is>
          <t>range low: cap-only pricing — the filing publishes a Maximum Offer Price and no indicative floor · A/H: no A-share listing · grey market: no grey-market headline on file for this deal — AAStocks publishes one per listing but keeps only recent items on the stock's news page, and no public archive of past evening sessions exists; captured from this run onward · eff float shares: share count unavailable or rejected as implausible — the money figure (eff_free_float_hkdm) is still exact</t>
        </is>
      </c>
    </row>
    <row r="324" ht="15" customHeight="1">
      <c r="A324" s="62" t="inlineStr">
        <is>
          <t>3750</t>
        </is>
      </c>
      <c r="B324" s="63" t="inlineStr">
        <is>
          <t>CATL</t>
        </is>
      </c>
      <c r="C324" s="63" t="inlineStr">
        <is>
          <t>寧德時代</t>
        </is>
      </c>
      <c r="D324" s="63" t="inlineStr">
        <is>
          <t>Industrials</t>
        </is>
      </c>
      <c r="E324" s="63" t="inlineStr">
        <is>
          <t>Batteries / energy storage</t>
        </is>
      </c>
      <c r="F324" s="63" t="inlineStr">
        <is>
          <t>Battery Products</t>
        </is>
      </c>
      <c r="G324" s="63" t="inlineStr">
        <is>
          <t>Standard</t>
        </is>
      </c>
      <c r="H324" s="64" t="n">
        <v>45797</v>
      </c>
      <c r="I324" s="65" t="n">
        <v>35657.2</v>
      </c>
      <c r="J324" s="63" t="inlineStr">
        <is>
          <t>gross (stated)</t>
        </is>
      </c>
      <c r="K324" s="66" t="n"/>
      <c r="L324" s="66" t="n">
        <v>263</v>
      </c>
      <c r="M324" s="66" t="n">
        <v>263</v>
      </c>
      <c r="N324" s="63" t="inlineStr">
        <is>
          <t>Y</t>
        </is>
      </c>
      <c r="O324" s="67" t="n">
        <v>100</v>
      </c>
      <c r="P324" s="67" t="n"/>
      <c r="Q324" s="68" t="n">
        <v>1192548.5</v>
      </c>
      <c r="R324" s="63" t="inlineStr">
        <is>
          <t>derived:deal size / offer % of enlarged capital</t>
        </is>
      </c>
      <c r="S324" s="69" t="n">
        <v>151.15</v>
      </c>
      <c r="T324" s="70" t="n">
        <v>15.17</v>
      </c>
      <c r="U324" s="71" t="n">
        <v>57.5</v>
      </c>
      <c r="V324" s="68" t="n">
        <v>15154.31</v>
      </c>
      <c r="W324" s="68" t="n">
        <v>57620905</v>
      </c>
      <c r="X324" s="67" t="n">
        <v>1.27</v>
      </c>
      <c r="Y324" s="63" t="inlineStr">
        <is>
          <t>Kuwait Investment; CICC Financial Trading Limited; Zenith Hop International Limited; Abstract Enigma Limited; WT Asset Management Limited; CPE Redwood Investment Limited; Oaktree Capital Management, L.P; Mirae Asset Securities (HK) Limited; Mirae Asset Global Investments Co., Ltd; Pacific Asset Management Co., Limited; LMR Multi-Strategy Master Fund Limited; PSBC Wealth Management Co., Ltd; Taikang Life Insurance Co., Ltd; China International Capital Corporation Hong Kong Securities Limited; HHLR CF, L.P</t>
        </is>
      </c>
      <c r="Z324" s="63" t="inlineStr">
        <is>
          <t>kuwait;china-international;zenith;abstract;wt;cpe;oaktree;mirae;pacific-asset;lmr;psbc;taikang;hhlr</t>
        </is>
      </c>
      <c r="AA324" s="67" t="n">
        <v>15</v>
      </c>
      <c r="AB324" s="72" t="n"/>
      <c r="AC324" s="66" t="n"/>
      <c r="AD324" s="72" t="n"/>
      <c r="AE324" s="63" t="n"/>
      <c r="AF324" s="63" t="n"/>
      <c r="AG324" s="63" t="inlineStr">
        <is>
          <t>full</t>
        </is>
      </c>
      <c r="AH324" s="63" t="n"/>
      <c r="AI324" s="63" t="n"/>
      <c r="AJ324" s="63" t="n"/>
      <c r="AK324" s="73" t="n">
        <v>16.43</v>
      </c>
      <c r="AL324" s="72" t="n">
        <v>12.55</v>
      </c>
      <c r="AM324" s="72" t="n">
        <v>3.45</v>
      </c>
      <c r="AN324" s="72" t="n">
        <v>17.49</v>
      </c>
      <c r="AO324" s="72" t="n">
        <v>16.5</v>
      </c>
      <c r="AP324" s="72" t="n">
        <v>57.41</v>
      </c>
      <c r="AQ324" s="72" t="n">
        <v>0.91</v>
      </c>
      <c r="AR324" s="72" t="n">
        <v>0.06</v>
      </c>
      <c r="AS324" s="72" t="n">
        <v>35.2</v>
      </c>
      <c r="AT324" s="72" t="n">
        <v>17.98</v>
      </c>
      <c r="AU324" s="72" t="n">
        <v>16.86</v>
      </c>
      <c r="AV324" s="72" t="n">
        <v>51.09</v>
      </c>
      <c r="AW324" s="72" t="n">
        <v>2.11</v>
      </c>
      <c r="AX324" s="72" t="n">
        <v>-0.36</v>
      </c>
      <c r="AY324" s="72" t="n">
        <v>-2.05</v>
      </c>
      <c r="AZ324" s="63" t="inlineStr">
        <is>
          <t>Hang Seng Commerce &amp; Industry sub-index</t>
        </is>
      </c>
      <c r="BA324" s="72" t="n">
        <v>134.41</v>
      </c>
      <c r="BB324" s="64" t="inlineStr">
        <is>
          <t>2026-08-28</t>
        </is>
      </c>
      <c r="BC324" s="65" t="n">
        <v>398213.8</v>
      </c>
      <c r="BD324" s="68" t="n">
        <v>60824.5</v>
      </c>
      <c r="BE324" s="63" t="inlineStr">
        <is>
          <t>Y</t>
        </is>
      </c>
      <c r="BF324" s="74" t="n">
        <v>19.6</v>
      </c>
      <c r="BG324" s="74" t="n">
        <v>22.9</v>
      </c>
      <c r="BH324" s="74" t="n">
        <v>30.1</v>
      </c>
      <c r="BI324" s="74" t="n">
        <v>3</v>
      </c>
      <c r="BJ324" s="75">
        <f>IF('BBG Verify'!S324="","not filed — run on terminal",'BBG Verify'!S324)</f>
        <v/>
      </c>
      <c r="BK324" s="76" t="inlineStr">
        <is>
          <t>Y</t>
        </is>
      </c>
      <c r="BL324" s="63" t="inlineStr">
        <is>
          <t>300750.SZ</t>
        </is>
      </c>
      <c r="BM324" s="72" t="n">
        <v>7.15</v>
      </c>
      <c r="BN324" s="66" t="n">
        <v>281.7992</v>
      </c>
      <c r="BO324" s="80" t="n">
        <v>-0.2932</v>
      </c>
      <c r="BP324" s="68" t="n">
        <v>1962749.1</v>
      </c>
      <c r="BQ324" s="75">
        <f>IF('BBG Verify'!Q324="","run on terminal",'BBG Verify'!Q324)</f>
        <v/>
      </c>
      <c r="BR324" s="75">
        <f>IF('BBG Verify'!R324="","run on terminal",'BBG Verify'!R324)</f>
        <v/>
      </c>
      <c r="BS324" s="76" t="inlineStr">
        <is>
          <t>China International Capital Corporation Hong Kong Securities Limited; China Securities (International) Corporate Finance Company Limited; J.P. Morgan Securities (Far East) Limited; Merrill Lynch (Asia Pacific) Limited</t>
        </is>
      </c>
      <c r="BT324" s="63" t="inlineStr">
        <is>
          <t>China International Capital Corporation Hong Kong Securities Limited; J.P. Morgan Securities (Far East) Limited; Merrill Lynch (Asia Pacific) Limited; China Securities (International) Corporate Finance Company Limited</t>
        </is>
      </c>
      <c r="BU324" s="63" t="inlineStr">
        <is>
          <t>BNP Paribas Securities (Asia) Limited; China International Capital Corporation Hong Kong Securities Limited; China Securities (International) Corporate Finance Company Limited; Guotai Junan Securities (Hong Kong) Limited; Goldman Sachs (Asia) L.L.C.; J.P. Morgan Securities (Asia Pacific) Limited</t>
        </is>
      </c>
      <c r="BV324" s="63" t="inlineStr">
        <is>
          <t>BNP Paribas Securities (Asia) Limited; China International Capital Corporation Hong Kong Securities Limited; China Securities (International) Corporate Finance Company Limited; Guotai Junan Securities (Hong Kong) Limited; Goldman Sachs (Asia) L.L.C.; J.P. Morgan Securities (Asia Pacific) Limited; Merrill Lynch (Asia Pacific) Limited; Morgan Stanley Asia Limited; UBS AG Hong Kong Branch</t>
        </is>
      </c>
      <c r="BW324" s="78">
        <f>HYPERLINK("https://www1.hkexnews.hk/listedco/listconews/sehk/2025/0512/2025051200005.pdf","prospectus")</f>
        <v/>
      </c>
      <c r="BX324" s="78">
        <f>HYPERLINK("https://www1.hkexnews.hk/listedco/listconews/sehk/2025/0519/2025051901257.pdf","allotment")</f>
        <v/>
      </c>
      <c r="BY324" s="78">
        <f>HYPERLINK("https://www1.hkexnews.hk/listedco/listconews/sehk/2025/0616/2025061600487.pdf","stabilisation")</f>
        <v/>
      </c>
      <c r="BZ324" s="76" t="n"/>
      <c r="CA324" s="63" t="inlineStr">
        <is>
          <t>greenshoe: over-allotment outcome already published, and the allotment announcement does not state the stabilisation expiry in a parsable form — the expiry no longer matters once resolved · range low: cap-only pricing — the filing publishes a Maximum Offer Price and no indicative floor · A/H: May 2025, ~US$4.6bn (US$5.3bn w/ shoe) — world's largest listing of 2025; H priced at a slim discount to A and surged on debut · stabilising manager: neither the allotment announcement's cover sentence nor the prospectus definitions glossary names one in a form the parser reads — not inferred from the sponsor · grey market: no grey-market headline on file for this deal — AAStocks publishes one per listing but keeps only recent items on the stock's news page, and no public archive of past evening sessions exists; captured from this run onward</t>
        </is>
      </c>
    </row>
    <row r="325" ht="15" customHeight="1">
      <c r="A325" s="62" t="inlineStr">
        <is>
          <t>2629</t>
        </is>
      </c>
      <c r="B325" s="63" t="inlineStr">
        <is>
          <t>MIRXES-B</t>
        </is>
      </c>
      <c r="C325" s="63" t="inlineStr">
        <is>
          <t>MIRXES-B</t>
        </is>
      </c>
      <c r="D325" s="63" t="inlineStr">
        <is>
          <t>Healthcare</t>
        </is>
      </c>
      <c r="E325" s="63" t="inlineStr">
        <is>
          <t>Biotech pre-revenue (18A)</t>
        </is>
      </c>
      <c r="F325" s="63" t="inlineStr">
        <is>
          <t>Biotechnology - Pharmaceuticals</t>
        </is>
      </c>
      <c r="G325" s="63" t="inlineStr">
        <is>
          <t>18A</t>
        </is>
      </c>
      <c r="H325" s="64" t="n">
        <v>45800</v>
      </c>
      <c r="I325" s="65" t="n">
        <v>1086.2</v>
      </c>
      <c r="J325" s="63" t="inlineStr">
        <is>
          <t>gross (stated)</t>
        </is>
      </c>
      <c r="K325" s="66" t="n"/>
      <c r="L325" s="66" t="n">
        <v>23.3</v>
      </c>
      <c r="M325" s="66" t="n">
        <v>23.3</v>
      </c>
      <c r="N325" s="63" t="inlineStr">
        <is>
          <t>Y</t>
        </is>
      </c>
      <c r="O325" s="67" t="n">
        <v>100</v>
      </c>
      <c r="P325" s="67" t="n"/>
      <c r="Q325" s="68" t="n">
        <v>6438.8</v>
      </c>
      <c r="R325" s="63" t="inlineStr">
        <is>
          <t>derived:price x shares upon listing</t>
        </is>
      </c>
      <c r="S325" s="69" t="n">
        <v>25.51</v>
      </c>
      <c r="T325" s="79">
        <f>IF('BBG Verify'!E325="","not filed — run on terminal",'BBG Verify'!E325)</f>
        <v/>
      </c>
      <c r="U325" s="71" t="n">
        <v>41.37</v>
      </c>
      <c r="V325" s="68" t="n">
        <v>636.84</v>
      </c>
      <c r="W325" s="68" t="n">
        <v>27333306</v>
      </c>
      <c r="X325" s="67" t="n">
        <v>9.890000000000001</v>
      </c>
      <c r="Y325" s="63" t="inlineStr">
        <is>
          <t>Fund SPC; EDB Investments Pte Ltd; III, L.P.; Creation Pte. Ltd.; NHH Venture Fund, L.P; 源九號有限合夥基金; SDG Alpha Win PE LPF; Holdings Company Limited; Blue Spark Hub Pte. Ltd; BPC SPV MRX LIMITED; Accurate Gene Limited; Technologies Pte. Ltd.</t>
        </is>
      </c>
      <c r="Z325" s="63" t="inlineStr">
        <is>
          <t>fund-spc;edb;iii;creation;nhh;源九號有限合夥基金;sdg;holdings-company;blue;bpc;accurate;technologies</t>
        </is>
      </c>
      <c r="AA325" s="67" t="n"/>
      <c r="AB325" s="72" t="n"/>
      <c r="AC325" s="66" t="n"/>
      <c r="AD325" s="72" t="n"/>
      <c r="AE325" s="63" t="n"/>
      <c r="AF325" s="63" t="n"/>
      <c r="AG325" s="63" t="n"/>
      <c r="AH325" s="63" t="n"/>
      <c r="AI325" s="63" t="n"/>
      <c r="AJ325" s="63" t="n"/>
      <c r="AK325" s="73" t="n">
        <v>28.76</v>
      </c>
      <c r="AL325" s="72" t="n">
        <v>28.33</v>
      </c>
      <c r="AM325" s="72" t="n">
        <v>0.34</v>
      </c>
      <c r="AN325" s="72" t="n">
        <v>25.32</v>
      </c>
      <c r="AO325" s="72" t="n">
        <v>44.42</v>
      </c>
      <c r="AP325" s="72" t="n">
        <v>87.55</v>
      </c>
      <c r="AQ325" s="72" t="n">
        <v>-2.67</v>
      </c>
      <c r="AR325" s="72" t="n">
        <v>12.16</v>
      </c>
      <c r="AS325" s="72" t="n">
        <v>45.66</v>
      </c>
      <c r="AT325" s="72" t="n">
        <v>22.29</v>
      </c>
      <c r="AU325" s="72" t="n">
        <v>35.69</v>
      </c>
      <c r="AV325" s="72" t="n">
        <v>50.43</v>
      </c>
      <c r="AW325" s="72" t="n">
        <v>3.28</v>
      </c>
      <c r="AX325" s="72" t="n">
        <v>8.73</v>
      </c>
      <c r="AY325" s="72" t="n">
        <v>8.880000000000001</v>
      </c>
      <c r="AZ325" s="63" t="inlineStr">
        <is>
          <t>China Biotech ETF (HS biotech proxy)</t>
        </is>
      </c>
      <c r="BA325" s="72" t="n">
        <v>-46.74</v>
      </c>
      <c r="BB325" s="64" t="inlineStr">
        <is>
          <t>2026-08-28</t>
        </is>
      </c>
      <c r="BC325" s="65" t="n">
        <v>158.2</v>
      </c>
      <c r="BD325" s="68" t="n">
        <v>-720.2</v>
      </c>
      <c r="BE325" s="63" t="inlineStr">
        <is>
          <t>N</t>
        </is>
      </c>
      <c r="BF325" s="63" t="inlineStr">
        <is>
          <t>n/m</t>
        </is>
      </c>
      <c r="BG325" s="74" t="n"/>
      <c r="BH325" s="74" t="n"/>
      <c r="BI325" s="74" t="n">
        <v>40.7</v>
      </c>
      <c r="BJ325" s="75">
        <f>IF('BBG Verify'!S325="","not filed — run on terminal",'BBG Verify'!S325)</f>
        <v/>
      </c>
      <c r="BK325" s="76" t="inlineStr">
        <is>
          <t>N</t>
        </is>
      </c>
      <c r="BL325" s="77">
        <f>IF('BBG Verify'!K325="","not filed — run on terminal",'BBG Verify'!K325)</f>
        <v/>
      </c>
      <c r="BM325" s="63" t="inlineStr">
        <is>
          <t>N/A</t>
        </is>
      </c>
      <c r="BN325" s="63" t="inlineStr">
        <is>
          <t>N/A</t>
        </is>
      </c>
      <c r="BO325" s="63" t="inlineStr">
        <is>
          <t>N/A</t>
        </is>
      </c>
      <c r="BP325" s="63" t="inlineStr">
        <is>
          <t>N/A</t>
        </is>
      </c>
      <c r="BQ325" s="63" t="inlineStr">
        <is>
          <t>N/A</t>
        </is>
      </c>
      <c r="BR325" s="63" t="inlineStr">
        <is>
          <t>N/A</t>
        </is>
      </c>
      <c r="BS325" s="76" t="inlineStr">
        <is>
          <t>China International Capital Corporation Hong Kong Securities Limited; CCB International Capital Limited</t>
        </is>
      </c>
      <c r="BT325" s="63" t="inlineStr">
        <is>
          <t>China International Capital Corporation Hong Kong Securities Limited; CCB International Capital Limited</t>
        </is>
      </c>
      <c r="BU325" s="63" t="inlineStr">
        <is>
          <t>CMB International Capital Limited; Livermore Holdings Limited; BOCOM International Securities Limited; Platinum Broking Company Limited</t>
        </is>
      </c>
      <c r="BV325" s="63" t="inlineStr">
        <is>
          <t>Alpha Win Capital Limited; BOCOM International Securities Limited; CCB International Capital Limited; China International Capital Corporation Hong Kong Securities Limited; CMBC Securities Company Limited; CMB International Capital Corporation Limited; Imperium International Securities Limited; Kingkey Securities Group Limited; Livermore Holdings Limited; Platinum Broking Company Limited; Soochow Securities International Brokerage Limited; Waton Securities International Limited</t>
        </is>
      </c>
      <c r="BW325" s="78">
        <f>HYPERLINK("https://www1.hkexnews.hk/listedco/listconews/sehk/2025/0515/2025051500021.pdf","prospectus")</f>
        <v/>
      </c>
      <c r="BX325" s="78">
        <f>HYPERLINK("https://www1.hkexnews.hk/listedco/listconews/sehk/2025/0522/2025052201535.pdf","allotment")</f>
        <v/>
      </c>
      <c r="BY325" s="63" t="n"/>
      <c r="BZ325" s="76" t="n"/>
      <c r="CA325" s="63" t="inlineStr">
        <is>
          <t>intl sub: parsed 0.98x rejected — implausible for a deal struck at the cap with the public tranche 26x subscribed (a percentage read as a multiple); BBG Verify CP037 fills this on the terminal · P/E: n/m — loss-making at IPO (use P/S) · greenshoe: no over-allotment option in the offer structure · range low: cap-only pricing — the filing publishes a Maximum Offer Price and no indicative floor · A/H: no A-share listing · greenshoe size: no over-allotment option in the offer structure · stabilising manager: no over-allotment option in the offer structure, so no stabilising manager is appointed · day-1 open: sources disagree on the day-1 OPENING print by &gt;2% (auction vs first trade); all close-based figures agree exactly · grey market: no grey-market headline on file for this deal — AAStocks publishes one per listing but keeps only recent items on the stock's news page, and no public archive of past evening sessions exists; captured from this run onward</t>
        </is>
      </c>
    </row>
    <row r="326" ht="15" customHeight="1">
      <c r="A326" s="62" t="inlineStr">
        <is>
          <t>1276</t>
        </is>
      </c>
      <c r="B326" s="63" t="inlineStr">
        <is>
          <t>HENGRUI PHARMA</t>
        </is>
      </c>
      <c r="C326" s="63" t="inlineStr">
        <is>
          <t>恒瑞醫藥</t>
        </is>
      </c>
      <c r="D326" s="63" t="inlineStr">
        <is>
          <t>Healthcare</t>
        </is>
      </c>
      <c r="E326" s="63" t="inlineStr">
        <is>
          <t>Biopharma commercial</t>
        </is>
      </c>
      <c r="F326" s="63" t="inlineStr">
        <is>
          <t>Pharmaceuticals</t>
        </is>
      </c>
      <c r="G326" s="63" t="inlineStr">
        <is>
          <t>Standard</t>
        </is>
      </c>
      <c r="H326" s="64" t="n">
        <v>45800</v>
      </c>
      <c r="I326" s="65" t="n">
        <v>9890.1</v>
      </c>
      <c r="J326" s="63" t="inlineStr">
        <is>
          <t>gross (stated)</t>
        </is>
      </c>
      <c r="K326" s="66" t="n">
        <v>41.45</v>
      </c>
      <c r="L326" s="66" t="n">
        <v>44.05</v>
      </c>
      <c r="M326" s="66" t="n">
        <v>44.05</v>
      </c>
      <c r="N326" s="63" t="inlineStr">
        <is>
          <t>Y</t>
        </is>
      </c>
      <c r="O326" s="67" t="n">
        <v>100</v>
      </c>
      <c r="P326" s="67" t="n">
        <v>100</v>
      </c>
      <c r="Q326" s="68" t="n">
        <v>351900</v>
      </c>
      <c r="R326" s="63" t="inlineStr">
        <is>
          <t>prospectus:stated market capitalisation</t>
        </is>
      </c>
      <c r="S326" s="69" t="n">
        <v>454.85</v>
      </c>
      <c r="T326" s="70" t="n">
        <v>17.09</v>
      </c>
      <c r="U326" s="71" t="n">
        <v>42</v>
      </c>
      <c r="V326" s="68" t="n">
        <v>5736.26</v>
      </c>
      <c r="W326" s="68" t="n">
        <v>130221484</v>
      </c>
      <c r="X326" s="67" t="n">
        <v>1.63</v>
      </c>
      <c r="Y326" s="63" t="inlineStr">
        <is>
          <t>GIC Private Limited; Invesco Advisers, Inc; HHLR CF, L.P; Strategies (Asia) Pte. Ltd; Oaktree Capital Management, L.P; Cordial Solar; UBS AM Singapore</t>
        </is>
      </c>
      <c r="Z326" s="63" t="inlineStr">
        <is>
          <t>gic;invesco;hhlr;strategies;oaktree;cordial;ubs</t>
        </is>
      </c>
      <c r="AA326" s="67" t="n">
        <v>15</v>
      </c>
      <c r="AB326" s="72" t="n"/>
      <c r="AC326" s="66" t="n"/>
      <c r="AD326" s="72" t="n"/>
      <c r="AE326" s="63" t="n"/>
      <c r="AF326" s="63" t="n"/>
      <c r="AG326" s="63" t="inlineStr">
        <is>
          <t>full</t>
        </is>
      </c>
      <c r="AH326" s="63" t="inlineStr">
        <is>
          <t>2025-06-19</t>
        </is>
      </c>
      <c r="AI326" s="63" t="inlineStr">
        <is>
          <t>Morgan Stanley Asia Limited</t>
        </is>
      </c>
      <c r="AJ326" s="63" t="inlineStr">
        <is>
          <t>Morgan Stanley</t>
        </is>
      </c>
      <c r="AK326" s="73" t="n">
        <v>25.2</v>
      </c>
      <c r="AL326" s="72" t="n">
        <v>30.76</v>
      </c>
      <c r="AM326" s="72" t="n">
        <v>-4.25</v>
      </c>
      <c r="AN326" s="72" t="n">
        <v>31.67</v>
      </c>
      <c r="AO326" s="72" t="n">
        <v>26.79</v>
      </c>
      <c r="AP326" s="72" t="n">
        <v>76.5</v>
      </c>
      <c r="AQ326" s="72" t="n">
        <v>5.17</v>
      </c>
      <c r="AR326" s="72" t="n">
        <v>1.27</v>
      </c>
      <c r="AS326" s="72" t="n">
        <v>40.97</v>
      </c>
      <c r="AT326" s="72" t="n">
        <v>28.64</v>
      </c>
      <c r="AU326" s="72" t="n">
        <v>18.06</v>
      </c>
      <c r="AV326" s="72" t="n">
        <v>39.38</v>
      </c>
      <c r="AW326" s="72" t="n">
        <v>-7.61</v>
      </c>
      <c r="AX326" s="72" t="n">
        <v>8.73</v>
      </c>
      <c r="AY326" s="72" t="n">
        <v>8.880000000000001</v>
      </c>
      <c r="AZ326" s="63" t="inlineStr">
        <is>
          <t>China Biotech ETF (HS biotech proxy)</t>
        </is>
      </c>
      <c r="BA326" s="72" t="n">
        <v>8.83</v>
      </c>
      <c r="BB326" s="64" t="inlineStr">
        <is>
          <t>2026-08-28</t>
        </is>
      </c>
      <c r="BC326" s="65" t="n">
        <v>30783.1</v>
      </c>
      <c r="BD326" s="68" t="n">
        <v>6970.7</v>
      </c>
      <c r="BE326" s="63" t="inlineStr">
        <is>
          <t>Y</t>
        </is>
      </c>
      <c r="BF326" s="74" t="n">
        <v>50.5</v>
      </c>
      <c r="BG326" s="74" t="n">
        <v>46.8</v>
      </c>
      <c r="BH326" s="74" t="n">
        <v>37.5</v>
      </c>
      <c r="BI326" s="74" t="n">
        <v>11.4</v>
      </c>
      <c r="BJ326" s="75">
        <f>IF('BBG Verify'!S326="","not filed — run on terminal",'BBG Verify'!S326)</f>
        <v/>
      </c>
      <c r="BK326" s="76" t="inlineStr">
        <is>
          <t>Y</t>
        </is>
      </c>
      <c r="BL326" s="63" t="inlineStr">
        <is>
          <t>600276.SS</t>
        </is>
      </c>
      <c r="BM326" s="72" t="n">
        <v>37.18</v>
      </c>
      <c r="BN326" s="66" t="n">
        <v>60.4275</v>
      </c>
      <c r="BO326" s="80" t="n">
        <v>0.1658</v>
      </c>
      <c r="BP326" s="68" t="n">
        <v>356814.7</v>
      </c>
      <c r="BQ326" s="75">
        <f>IF('BBG Verify'!Q326="","run on terminal",'BBG Verify'!Q326)</f>
        <v/>
      </c>
      <c r="BR326" s="75">
        <f>IF('BBG Verify'!R326="","run on terminal",'BBG Verify'!R326)</f>
        <v/>
      </c>
      <c r="BS326" s="76" t="inlineStr">
        <is>
          <t>Morgan Stanley Asia Limited; Citigroup Global Markets Asia Limited; Huatai Financial Holdings (Hong Kong) Limited</t>
        </is>
      </c>
      <c r="BT326" s="63" t="inlineStr">
        <is>
          <t>Morgan Stanley Asia Limited; Huatai Financial Holdings (Hong Kong) Limited; Citigroup Global Markets Asia Limited</t>
        </is>
      </c>
      <c r="BU326" s="63" t="inlineStr">
        <is>
          <t>Morgan Stanley Asia Limited; Citigroup Global Markets Asia Limited; Huatai Financial Holdings (Hong Kong) Limited; UBS AG Hong Kong Branch; Citigroup Global Markets Limited; 132 – Huatai Financial Holdings (Hong Kong) Limited; (Below in alphabetical order) BOCI Asia Limited; CLSA Limited; GF Securities (Hong Kong) Brokerage Limited</t>
        </is>
      </c>
      <c r="BV326" s="63" t="inlineStr">
        <is>
          <t>BOCI Asia Limited; Citigroup Global Markets Asia Limited; CLSA Limited; GF Securities (Hong Kong) Brokerage Limited; Huatai Financial Holdings (Hong Kong) Limited; Morgan Stanley Asia Limited; UBS AG Hong Kong Branch</t>
        </is>
      </c>
      <c r="BW326" s="78">
        <f>HYPERLINK("https://www1.hkexnews.hk/listedco/listconews/sehk/2025/0515/2025051500019.pdf","prospectus")</f>
        <v/>
      </c>
      <c r="BX326" s="78">
        <f>HYPERLINK("https://www1.hkexnews.hk/listedco/listconews/sehk/2025/0522/2025052201651.pdf","allotment")</f>
        <v/>
      </c>
      <c r="BY326" s="78">
        <f>HYPERLINK("https://www1.hkexnews.hk/listedco/listconews/sehk/2025/0619/2025061900409.pdf","stabilisation")</f>
        <v/>
      </c>
      <c r="BZ326" s="76" t="n"/>
      <c r="CA326" s="63" t="inlineStr">
        <is>
          <t>A/H: May 2025, raised ~HK$9.9bn (~US$1.3bn) · grey market: no grey-market headline on file for this deal — AAStocks publishes one per listing but keeps only recent items on the stock's news page, and no public archive of past evening sessions exists; captured from this run onward</t>
        </is>
      </c>
    </row>
    <row r="327" ht="15" customHeight="1">
      <c r="A327" s="62" t="inlineStr">
        <is>
          <t>2565</t>
        </is>
      </c>
      <c r="B327" s="63" t="inlineStr">
        <is>
          <t>PEGBIO CO-B</t>
        </is>
      </c>
      <c r="C327" s="63" t="inlineStr">
        <is>
          <t>派格生物醫藥－Ｂ</t>
        </is>
      </c>
      <c r="D327" s="63" t="inlineStr">
        <is>
          <t>Healthcare</t>
        </is>
      </c>
      <c r="E327" s="63" t="inlineStr">
        <is>
          <t>Biotech pre-revenue (18A)</t>
        </is>
      </c>
      <c r="F327" s="63" t="inlineStr">
        <is>
          <t>Biotechnology - Pharmaceuticals</t>
        </is>
      </c>
      <c r="G327" s="63" t="inlineStr">
        <is>
          <t>18A</t>
        </is>
      </c>
      <c r="H327" s="64" t="n">
        <v>45804</v>
      </c>
      <c r="I327" s="65" t="n">
        <v>300.8</v>
      </c>
      <c r="J327" s="63" t="inlineStr">
        <is>
          <t>gross (stated)</t>
        </is>
      </c>
      <c r="K327" s="66" t="n"/>
      <c r="L327" s="66" t="n">
        <v>15.6</v>
      </c>
      <c r="M327" s="66" t="n">
        <v>15.6</v>
      </c>
      <c r="N327" s="63" t="inlineStr">
        <is>
          <t>Y</t>
        </is>
      </c>
      <c r="O327" s="67" t="n">
        <v>100</v>
      </c>
      <c r="P327" s="67" t="n"/>
      <c r="Q327" s="68" t="n">
        <v>6020.9</v>
      </c>
      <c r="R327" s="63" t="inlineStr">
        <is>
          <t>derived:price x shares upon listing</t>
        </is>
      </c>
      <c r="S327" s="69" t="n">
        <v>743.78</v>
      </c>
      <c r="T327" s="70" t="n">
        <v>1.13</v>
      </c>
      <c r="U327" s="71" t="n">
        <v>100</v>
      </c>
      <c r="V327" s="68" t="n">
        <v>0</v>
      </c>
      <c r="W327" s="68" t="n">
        <v>0</v>
      </c>
      <c r="X327" s="67" t="n">
        <v>0</v>
      </c>
      <c r="Y327" s="63" t="inlineStr">
        <is>
          <t>Yizekangrui; Unlisted Shares in issue; H Share to be converted from Unlisted Shares; H Shares to be issued under the Global Offering</t>
        </is>
      </c>
      <c r="Z327" s="63" t="inlineStr">
        <is>
          <t>yizekangrui;unlisted;share;shares</t>
        </is>
      </c>
      <c r="AA327" s="67" t="n"/>
      <c r="AB327" s="72" t="n"/>
      <c r="AC327" s="66" t="n"/>
      <c r="AD327" s="72" t="n"/>
      <c r="AE327" s="63" t="n"/>
      <c r="AF327" s="63" t="n"/>
      <c r="AG327" s="63" t="n"/>
      <c r="AH327" s="63" t="n"/>
      <c r="AI327" s="63" t="n"/>
      <c r="AJ327" s="63" t="n"/>
      <c r="AK327" s="73" t="n">
        <v>-25.9</v>
      </c>
      <c r="AL327" s="72" t="n">
        <v>-16.67</v>
      </c>
      <c r="AM327" s="72" t="n">
        <v>-11.08</v>
      </c>
      <c r="AN327" s="72" t="n">
        <v>-37.82</v>
      </c>
      <c r="AO327" s="72" t="n">
        <v>-42.31</v>
      </c>
      <c r="AP327" s="72" t="n">
        <v>117.95</v>
      </c>
      <c r="AQ327" s="72" t="n">
        <v>-16.09</v>
      </c>
      <c r="AR327" s="72" t="n">
        <v>-22.15</v>
      </c>
      <c r="AS327" s="72" t="n">
        <v>194.13</v>
      </c>
      <c r="AT327" s="72" t="n">
        <v>-43.89</v>
      </c>
      <c r="AU327" s="72" t="n">
        <v>-55.86</v>
      </c>
      <c r="AV327" s="72" t="n">
        <v>74.34</v>
      </c>
      <c r="AW327" s="72" t="n">
        <v>-33.19</v>
      </c>
      <c r="AX327" s="72" t="n">
        <v>13.55</v>
      </c>
      <c r="AY327" s="72" t="n">
        <v>11.04</v>
      </c>
      <c r="AZ327" s="63" t="inlineStr">
        <is>
          <t>China Biotech ETF (HS biotech proxy)</t>
        </is>
      </c>
      <c r="BA327" s="72" t="n">
        <v>-63.53</v>
      </c>
      <c r="BB327" s="64" t="inlineStr">
        <is>
          <t>2026-08-28</t>
        </is>
      </c>
      <c r="BC327" s="65" t="n">
        <v>0</v>
      </c>
      <c r="BD327" s="68" t="n">
        <v>-311.7</v>
      </c>
      <c r="BE327" s="63" t="inlineStr">
        <is>
          <t>N</t>
        </is>
      </c>
      <c r="BF327" s="63" t="inlineStr">
        <is>
          <t>n/m</t>
        </is>
      </c>
      <c r="BG327" s="74" t="n"/>
      <c r="BH327" s="74" t="n"/>
      <c r="BI327" s="63" t="inlineStr">
        <is>
          <t>pre-rev</t>
        </is>
      </c>
      <c r="BJ327" s="75">
        <f>IF('BBG Verify'!S327="","not filed — run on terminal",'BBG Verify'!S327)</f>
        <v/>
      </c>
      <c r="BK327" s="76" t="inlineStr">
        <is>
          <t>N</t>
        </is>
      </c>
      <c r="BL327" s="77">
        <f>IF('BBG Verify'!K327="","not filed — run on terminal",'BBG Verify'!K327)</f>
        <v/>
      </c>
      <c r="BM327" s="63" t="inlineStr">
        <is>
          <t>N/A</t>
        </is>
      </c>
      <c r="BN327" s="63" t="inlineStr">
        <is>
          <t>N/A</t>
        </is>
      </c>
      <c r="BO327" s="63" t="inlineStr">
        <is>
          <t>N/A</t>
        </is>
      </c>
      <c r="BP327" s="63" t="inlineStr">
        <is>
          <t>N/A</t>
        </is>
      </c>
      <c r="BQ327" s="63" t="inlineStr">
        <is>
          <t>N/A</t>
        </is>
      </c>
      <c r="BR327" s="63" t="inlineStr">
        <is>
          <t>N/A</t>
        </is>
      </c>
      <c r="BS327" s="76" t="inlineStr">
        <is>
          <t>China International Capital Corporation Hong Kong Securities Limited</t>
        </is>
      </c>
      <c r="BT327" s="63" t="inlineStr">
        <is>
          <t>China International Capital Corporation Hong Kong Securities Limited</t>
        </is>
      </c>
      <c r="BU327" s="63" t="inlineStr">
        <is>
          <t>China International Capital Corporation Hong Kong Securities Limited; CMBC Securities Company Limited; ABCI Capital Limited; CCB International Capital Limited; BOCI Asia Limited; Zhongtai International Securities Limited; SPDB International Capital Limited; Eddid Securities and Futures Limited; Sinolink Securities (Hong Kong) Company Limited; China Everbright Securities (HK) Limited; GF Securities (Hong Kong) Brokerage Limited; CEB International Capital Corporation Limited</t>
        </is>
      </c>
      <c r="BV327" s="63" t="inlineStr">
        <is>
          <t>ABCI Securities Company Limited; BOCI Asia Limited; CCB International Capital Limited; CEB International Capital Corporation Limited; China Everbright Securities (HK) Limited; China Galaxy International Securities (Hong Kong) Company Limited; China International Capital Corporation Hong Kong Securities Limited; CMBC Securities Company Limited; Eddid Securities and Futures Limited; GF Securities (Hong Kong) Brokerage Limited; Livermore Holdings Limited; Sinolink Securities (Hong Kong) Company Limited</t>
        </is>
      </c>
      <c r="BW327" s="78">
        <f>HYPERLINK("https://www1.hkexnews.hk/listedco/listconews/sehk/2025/0519/2025051900013.pdf","prospectus")</f>
        <v/>
      </c>
      <c r="BX327" s="78">
        <f>HYPERLINK("https://www1.hkexnews.hk/listedco/listconews/sehk/2025/0526/2025052601319.pdf","allotment")</f>
        <v/>
      </c>
      <c r="BY327" s="63" t="n"/>
      <c r="BZ327" s="76" t="n"/>
      <c r="CA327" s="63" t="inlineStr">
        <is>
          <t>P/E: n/m — loss-making at IPO (use P/S) · greenshoe: no over-allotment option in the offer structure · range low: cap-only pricing — the filing publishes a Maximum Offer Price and no indicative floor · A/H: no A-share listing · greenshoe size: no over-allotment option in the offer structure · P/S: no revenue line in the filed P&amp;L (pre-revenue issuer) — no sales multiple can exist; the cell reads pre-rev, not blank · stabilising manager: no over-allotment option in the offer structure, so no stabilising manager is appointed · grey market: no grey-market headline on file for this deal — AAStocks publishes one per listing but keeps only recent items on the stock's news page, and no public archive of past evening sessions exists; captured from this run onward</t>
        </is>
      </c>
    </row>
    <row r="328" ht="15" customHeight="1">
      <c r="A328" s="62" t="inlineStr">
        <is>
          <t>2603</t>
        </is>
      </c>
      <c r="B328" s="63" t="inlineStr">
        <is>
          <t>JIHONG CO</t>
        </is>
      </c>
      <c r="C328" s="63" t="inlineStr">
        <is>
          <t>吉宏股份</t>
        </is>
      </c>
      <c r="D328" s="63" t="inlineStr">
        <is>
          <t>Tech/AI</t>
        </is>
      </c>
      <c r="E328" s="63" t="inlineStr">
        <is>
          <t>Internet platform / e-commerce</t>
        </is>
      </c>
      <c r="F328" s="63" t="inlineStr">
        <is>
          <t>Paper Packaging</t>
        </is>
      </c>
      <c r="G328" s="63" t="inlineStr">
        <is>
          <t>Standard</t>
        </is>
      </c>
      <c r="H328" s="64" t="n">
        <v>45804</v>
      </c>
      <c r="I328" s="65" t="n">
        <v>521.5</v>
      </c>
      <c r="J328" s="63" t="inlineStr">
        <is>
          <t>gross (stated)</t>
        </is>
      </c>
      <c r="K328" s="66" t="n">
        <v>7.48</v>
      </c>
      <c r="L328" s="66" t="n">
        <v>10.68</v>
      </c>
      <c r="M328" s="66" t="n">
        <v>7.68</v>
      </c>
      <c r="N328" s="63" t="inlineStr">
        <is>
          <t>N</t>
        </is>
      </c>
      <c r="O328" s="67" t="n">
        <v>71.90000000000001</v>
      </c>
      <c r="P328" s="67" t="n">
        <v>6.2</v>
      </c>
      <c r="Q328" s="68" t="n">
        <v>3476.6</v>
      </c>
      <c r="R328" s="63" t="inlineStr">
        <is>
          <t>derived:price x shares upon listing</t>
        </is>
      </c>
      <c r="S328" s="69" t="n">
        <v>49.39</v>
      </c>
      <c r="T328" s="70" t="n">
        <v>1.62</v>
      </c>
      <c r="U328" s="71" t="n">
        <v>30.6</v>
      </c>
      <c r="V328" s="68" t="n">
        <v>361.92</v>
      </c>
      <c r="W328" s="68" t="n">
        <v>47129540</v>
      </c>
      <c r="X328" s="67" t="n">
        <v>10.41</v>
      </c>
      <c r="Y328" s="63" t="n"/>
      <c r="Z328" s="63" t="n"/>
      <c r="AA328" s="67" t="n"/>
      <c r="AB328" s="72" t="n"/>
      <c r="AC328" s="66" t="n"/>
      <c r="AD328" s="72" t="n"/>
      <c r="AE328" s="63" t="n"/>
      <c r="AF328" s="63" t="n"/>
      <c r="AG328" s="63" t="n"/>
      <c r="AH328" s="63" t="n"/>
      <c r="AI328" s="63" t="n"/>
      <c r="AJ328" s="63" t="n"/>
      <c r="AK328" s="73" t="n">
        <v>39.06</v>
      </c>
      <c r="AL328" s="72" t="n">
        <v>43.23</v>
      </c>
      <c r="AM328" s="72" t="n">
        <v>-2.91</v>
      </c>
      <c r="AN328" s="72" t="n">
        <v>30.21</v>
      </c>
      <c r="AO328" s="72" t="n">
        <v>45.31</v>
      </c>
      <c r="AP328" s="72" t="n">
        <v>138.67</v>
      </c>
      <c r="AQ328" s="72" t="n">
        <v>-6.36</v>
      </c>
      <c r="AR328" s="72" t="n">
        <v>4.49</v>
      </c>
      <c r="AS328" s="72" t="n">
        <v>71.63</v>
      </c>
      <c r="AT328" s="72" t="n">
        <v>29.32</v>
      </c>
      <c r="AU328" s="72" t="n">
        <v>41.25</v>
      </c>
      <c r="AV328" s="72" t="n">
        <v>125.6</v>
      </c>
      <c r="AW328" s="72" t="n">
        <v>1.35</v>
      </c>
      <c r="AX328" s="72" t="n">
        <v>4.06</v>
      </c>
      <c r="AY328" s="72" t="n">
        <v>3.14</v>
      </c>
      <c r="AZ328" s="63" t="inlineStr">
        <is>
          <t>HSTECH (Hang Seng TECH ETF)</t>
        </is>
      </c>
      <c r="BA328" s="72" t="n">
        <v>66.41</v>
      </c>
      <c r="BB328" s="64" t="inlineStr">
        <is>
          <t>2026-08-28</t>
        </is>
      </c>
      <c r="BC328" s="65" t="n">
        <v>5913.5</v>
      </c>
      <c r="BD328" s="68" t="n">
        <v>202.9</v>
      </c>
      <c r="BE328" s="63" t="inlineStr">
        <is>
          <t>Y</t>
        </is>
      </c>
      <c r="BF328" s="74" t="n">
        <v>17.1</v>
      </c>
      <c r="BG328" s="74" t="n">
        <v>18.6</v>
      </c>
      <c r="BH328" s="74" t="n">
        <v>15.1</v>
      </c>
      <c r="BI328" s="74" t="n">
        <v>0.6</v>
      </c>
      <c r="BJ328" s="75">
        <f>IF('BBG Verify'!S328="","not filed — run on terminal",'BBG Verify'!S328)</f>
        <v/>
      </c>
      <c r="BK328" s="76" t="inlineStr">
        <is>
          <t>Y</t>
        </is>
      </c>
      <c r="BL328" s="63" t="inlineStr">
        <is>
          <t>002803.SZ</t>
        </is>
      </c>
      <c r="BM328" s="72" t="n">
        <v>105.18</v>
      </c>
      <c r="BN328" s="66" t="n">
        <v>15.7576</v>
      </c>
      <c r="BO328" s="80" t="n">
        <v>0.8015</v>
      </c>
      <c r="BP328" s="68" t="n">
        <v>10385.4</v>
      </c>
      <c r="BQ328" s="75">
        <f>IF('BBG Verify'!Q328="","run on terminal",'BBG Verify'!Q328)</f>
        <v/>
      </c>
      <c r="BR328" s="75">
        <f>IF('BBG Verify'!R328="","run on terminal",'BBG Verify'!R328)</f>
        <v/>
      </c>
      <c r="BS328" s="76" t="inlineStr">
        <is>
          <t>Hong Kong SAR CMB International Capital Limited</t>
        </is>
      </c>
      <c r="BT328" s="63" t="inlineStr">
        <is>
          <t>China International Capital Corporation Hong Kong Securities Limited; CMB International Capital Limited</t>
        </is>
      </c>
      <c r="BU328" s="63" t="inlineStr">
        <is>
          <t>China International Capital Corporation Hong Kong Securities Limited; Hong Kong SAR CMB International Capital Limited; BOCI Asia Limited; Hong Kong SAR China Galaxy International Securities (Hong Kong) Co., Limited; Hong Kong SAR ICBC International Securities Limited; Hong Kong SAR CCB International Capital Limited; Hong Kong SAR Quam Securities Limited; Hong Kong SAR SDHG International Securities Limited; Hong Kong SAR Fosun International Securities Limited; Hong Kong SAR Long Bridge HK Limited; Hong Kong SAR Sinolink Securities (Hong Kong) Company Limited; Sheung Wan Hong Kong SAR Huafu International Securities Limited</t>
        </is>
      </c>
      <c r="BV328" s="63" t="inlineStr">
        <is>
          <t>BOCI Asia Limited; CCB International Capital Limited; China Galaxy International Securities (Hong Kong) Company Limited; Fosun International Securities Limited; Huafu International Securities Limited; ICBC International Securities Limited; Long Bridge HK Limited; Livermore Holdings Limited; Quam Securities Company Limited; SDHG International Securities Limited; Sinolink Securities (Hong Kong) Company Limited</t>
        </is>
      </c>
      <c r="BW328" s="78">
        <f>HYPERLINK("https://www1.hkexnews.hk/listedco/listconews/sehk/2025/0519/2025051900011.pdf","prospectus")</f>
        <v/>
      </c>
      <c r="BX328" s="78">
        <f>HYPERLINK("https://www1.hkexnews.hk/listedco/listconews/sehk/2025/0526/2025052601653.pdf","allotment")</f>
        <v/>
      </c>
      <c r="BY328" s="63" t="n"/>
      <c r="BZ328" s="76" t="n"/>
      <c r="CA328" s="63" t="inlineStr">
        <is>
          <t>greenshoe: no over-allotment option in the offer structure · A/H: May 2025 H listing (packaging + cross-border e-commerce) · cornerstone list: tranche parsed (30.6% locked) but the per-investor table did not machine-parse — names are in the prospectus Cornerstone section (link on this row) · greenshoe size: no over-allotment option in the offer structure · stabilising manager: no over-allotment option in the offer structure, so no stabilising manager is appointed · grey market: no grey-market headline on file for this deal — AAStocks publishes one per listing but keeps only recent items on the stock's news page, and no public archive of past evening sessions exists; captured from this run onward</t>
        </is>
      </c>
    </row>
    <row r="329" ht="15" customHeight="1">
      <c r="A329" s="62" t="inlineStr">
        <is>
          <t>2621</t>
        </is>
      </c>
      <c r="B329" s="63" t="inlineStr">
        <is>
          <t>SHOUHUI GROUP</t>
        </is>
      </c>
      <c r="C329" s="63" t="inlineStr">
        <is>
          <t>手回集團</t>
        </is>
      </c>
      <c r="D329" s="63" t="inlineStr">
        <is>
          <t>Financials</t>
        </is>
      </c>
      <c r="E329" s="63" t="inlineStr">
        <is>
          <t>Insurance</t>
        </is>
      </c>
      <c r="F329" s="63" t="inlineStr">
        <is>
          <t>Multi-line Insurance</t>
        </is>
      </c>
      <c r="G329" s="63" t="inlineStr">
        <is>
          <t>Standard</t>
        </is>
      </c>
      <c r="H329" s="64" t="n">
        <v>45807</v>
      </c>
      <c r="I329" s="65" t="n">
        <v>196.82</v>
      </c>
      <c r="J329" s="63" t="inlineStr">
        <is>
          <t>gross (stated)</t>
        </is>
      </c>
      <c r="K329" s="66" t="n">
        <v>6.48</v>
      </c>
      <c r="L329" s="66" t="n">
        <v>8.08</v>
      </c>
      <c r="M329" s="66" t="n">
        <v>8.08</v>
      </c>
      <c r="N329" s="63" t="inlineStr">
        <is>
          <t>Y</t>
        </is>
      </c>
      <c r="O329" s="67" t="n">
        <v>100</v>
      </c>
      <c r="P329" s="67" t="n">
        <v>100</v>
      </c>
      <c r="Q329" s="68" t="n">
        <v>1615.9</v>
      </c>
      <c r="R329" s="63" t="inlineStr">
        <is>
          <t>derived:deal size / offer % of enlarged capital</t>
        </is>
      </c>
      <c r="S329" s="69" t="n">
        <v>990</v>
      </c>
      <c r="T329" s="70" t="n">
        <v>1.13</v>
      </c>
      <c r="U329" s="71" t="n">
        <v>31.08</v>
      </c>
      <c r="V329" s="68" t="n">
        <v>135.65</v>
      </c>
      <c r="W329" s="68" t="n">
        <v>16787809</v>
      </c>
      <c r="X329" s="67" t="n">
        <v>8.390000000000001</v>
      </c>
      <c r="Y329" s="63" t="inlineStr">
        <is>
          <t>HiTai</t>
        </is>
      </c>
      <c r="Z329" s="63" t="inlineStr">
        <is>
          <t>hitai</t>
        </is>
      </c>
      <c r="AA329" s="67" t="n">
        <v>10</v>
      </c>
      <c r="AB329" s="72" t="n">
        <v>-1.6</v>
      </c>
      <c r="AC329" s="66" t="n">
        <v>7.95</v>
      </c>
      <c r="AD329" s="72" t="n">
        <v>-16.86</v>
      </c>
      <c r="AE329" s="63" t="inlineStr">
        <is>
          <t>Y</t>
        </is>
      </c>
      <c r="AF329" s="63" t="inlineStr">
        <is>
          <t>2025-05-30</t>
        </is>
      </c>
      <c r="AG329" s="63" t="inlineStr">
        <is>
          <t>lapsed</t>
        </is>
      </c>
      <c r="AH329" s="63" t="n"/>
      <c r="AI329" s="63" t="inlineStr">
        <is>
          <t>China International Capital Corporation Hong Kong Securities Limited</t>
        </is>
      </c>
      <c r="AJ329" s="63" t="inlineStr">
        <is>
          <t>China International</t>
        </is>
      </c>
      <c r="AK329" s="73" t="n">
        <v>-18.19</v>
      </c>
      <c r="AL329" s="72" t="n">
        <v>-7.18</v>
      </c>
      <c r="AM329" s="72" t="n">
        <v>-11.86</v>
      </c>
      <c r="AN329" s="72" t="n">
        <v>-33.04</v>
      </c>
      <c r="AO329" s="72" t="n">
        <v>-39.48</v>
      </c>
      <c r="AP329" s="72" t="n">
        <v>-41.83</v>
      </c>
      <c r="AQ329" s="72" t="n">
        <v>-18.15</v>
      </c>
      <c r="AR329" s="72" t="n">
        <v>-26.02</v>
      </c>
      <c r="AS329" s="72" t="n">
        <v>-28.9</v>
      </c>
      <c r="AT329" s="72" t="n">
        <v>-34.76</v>
      </c>
      <c r="AU329" s="72" t="n">
        <v>-46.16</v>
      </c>
      <c r="AV329" s="72" t="n">
        <v>-50.43</v>
      </c>
      <c r="AW329" s="72" t="n">
        <v>-32.84</v>
      </c>
      <c r="AX329" s="72" t="n">
        <v>6.68</v>
      </c>
      <c r="AY329" s="72" t="n">
        <v>6.82</v>
      </c>
      <c r="AZ329" s="63" t="inlineStr">
        <is>
          <t>Hang Seng Finance sub-index</t>
        </is>
      </c>
      <c r="BA329" s="72" t="n">
        <v>-65.66</v>
      </c>
      <c r="BB329" s="64" t="inlineStr">
        <is>
          <t>2026-08-28</t>
        </is>
      </c>
      <c r="BC329" s="65" t="n">
        <v>1525.8</v>
      </c>
      <c r="BD329" s="68" t="n">
        <v>-99.2</v>
      </c>
      <c r="BE329" s="63" t="inlineStr">
        <is>
          <t>N</t>
        </is>
      </c>
      <c r="BF329" s="63" t="inlineStr">
        <is>
          <t>n/m</t>
        </is>
      </c>
      <c r="BG329" s="74" t="n"/>
      <c r="BH329" s="74" t="n">
        <v>0.5</v>
      </c>
      <c r="BI329" s="74" t="n">
        <v>1.1</v>
      </c>
      <c r="BJ329" s="75">
        <f>IF('BBG Verify'!S329="","not filed — run on terminal",'BBG Verify'!S329)</f>
        <v/>
      </c>
      <c r="BK329" s="76" t="inlineStr">
        <is>
          <t>N</t>
        </is>
      </c>
      <c r="BL329" s="77">
        <f>IF('BBG Verify'!K329="","not filed — run on terminal",'BBG Verify'!K329)</f>
        <v/>
      </c>
      <c r="BM329" s="63" t="inlineStr">
        <is>
          <t>N/A</t>
        </is>
      </c>
      <c r="BN329" s="63" t="inlineStr">
        <is>
          <t>N/A</t>
        </is>
      </c>
      <c r="BO329" s="63" t="inlineStr">
        <is>
          <t>N/A</t>
        </is>
      </c>
      <c r="BP329" s="63" t="inlineStr">
        <is>
          <t>N/A</t>
        </is>
      </c>
      <c r="BQ329" s="63" t="inlineStr">
        <is>
          <t>N/A</t>
        </is>
      </c>
      <c r="BR329" s="63" t="inlineStr">
        <is>
          <t>N/A</t>
        </is>
      </c>
      <c r="BS329" s="76" t="inlineStr">
        <is>
          <t>Huatai Financial Holdings (Hong Kong) Limited</t>
        </is>
      </c>
      <c r="BT329" s="63" t="inlineStr">
        <is>
          <t>China International Capital Corporation Hong Kong Securities Limited; Huatai Financial Holdings (Hong Kong) Limited</t>
        </is>
      </c>
      <c r="BU329" s="63" t="inlineStr">
        <is>
          <t>China International Capital Corporation Hong Kong Securities Limited; Huatai Financial Holdings (Hong Kong) Limited; CCB International Capital Limited; CLSA Limited; CMB International Capital Limited; Futu Securities International (Hong Kong) Limited; Patrons Securities Limited; TradeGo Markets Limited; Tiger Brokers (HK) Global Limited; Maxa Capital Limited</t>
        </is>
      </c>
      <c r="BV329" s="63" t="inlineStr">
        <is>
          <t>CCB International Capital Limited; China International Capital Corporation Hong Kong Securities Limited; CLSA Limited; CMB International Capital Corporation Limited; Futu Securities International (Hong Kong) Limited; Huatai Financial Holdings (Hong Kong) Limited; Maxa Capital Limited; Patrons Securities Limited; Tiger Brokers (HK) Global Limited; TradeGo Markets Limited</t>
        </is>
      </c>
      <c r="BW329" s="78">
        <f>HYPERLINK("https://www1.hkexnews.hk/listedco/listconews/sehk/2025/0522/2025052200031.pdf","prospectus")</f>
        <v/>
      </c>
      <c r="BX329" s="78">
        <f>HYPERLINK("https://www1.hkexnews.hk/listedco/listconews/sehk/2025/0529/2025052902298.pdf","allotment")</f>
        <v/>
      </c>
      <c r="BY329" s="78">
        <f>HYPERLINK("https://www1.hkexnews.hk/listedco/listconews/sehk/2025/0626/2025062601818.pdf","stabilisation")</f>
        <v/>
      </c>
      <c r="BZ329" s="76" t="n"/>
      <c r="CA329" s="63" t="inlineStr">
        <is>
          <t>P/E: n/m — loss-making at IPO (use P/S) · greenshoe: over-allotment outcome already published, and the allotment announcement does not state the stabilisation expiry in a parsable form — the expiry no longer matters once resolved · A/H: no A-share listing</t>
        </is>
      </c>
    </row>
    <row r="330" ht="15" customHeight="1">
      <c r="A330" s="62" t="inlineStr">
        <is>
          <t>9881</t>
        </is>
      </c>
      <c r="B330" s="63" t="inlineStr">
        <is>
          <t>RONGTA TECH</t>
        </is>
      </c>
      <c r="C330" s="63" t="inlineStr">
        <is>
          <t>容大科技</t>
        </is>
      </c>
      <c r="D330" s="63" t="inlineStr">
        <is>
          <t>Tech/AI</t>
        </is>
      </c>
      <c r="E330" s="63" t="inlineStr">
        <is>
          <t>Smart hardware / consumer electronics</t>
        </is>
      </c>
      <c r="F330" s="63" t="inlineStr">
        <is>
          <t>Computer Storage &amp; Peripherals</t>
        </is>
      </c>
      <c r="G330" s="63" t="inlineStr">
        <is>
          <t>Standard</t>
        </is>
      </c>
      <c r="H330" s="64" t="n">
        <v>45818</v>
      </c>
      <c r="I330" s="65" t="n">
        <v>184</v>
      </c>
      <c r="J330" s="63" t="inlineStr">
        <is>
          <t>gross (stated)</t>
        </is>
      </c>
      <c r="K330" s="66" t="n">
        <v>10</v>
      </c>
      <c r="L330" s="66" t="n">
        <v>12</v>
      </c>
      <c r="M330" s="66" t="n">
        <v>10</v>
      </c>
      <c r="N330" s="63" t="inlineStr">
        <is>
          <t>N</t>
        </is>
      </c>
      <c r="O330" s="67" t="n">
        <v>83.3</v>
      </c>
      <c r="P330" s="67" t="n">
        <v>0</v>
      </c>
      <c r="Q330" s="68" t="n">
        <v>947.3</v>
      </c>
      <c r="R330" s="63" t="inlineStr">
        <is>
          <t>derived:price x shares upon listing</t>
        </is>
      </c>
      <c r="S330" s="69" t="n">
        <v>275.96</v>
      </c>
      <c r="T330" s="70" t="n">
        <v>0.96</v>
      </c>
      <c r="U330" s="71" t="n">
        <v>43.64</v>
      </c>
      <c r="V330" s="68" t="n">
        <v>103.7</v>
      </c>
      <c r="W330" s="68" t="n">
        <v>10370240</v>
      </c>
      <c r="X330" s="67" t="n">
        <v>10.95</v>
      </c>
      <c r="Y330" s="63" t="inlineStr">
        <is>
          <t>Lin Xiaojian; Sinos Group Limited; Li Shuhan; Main Achieve Holdings Limited; Ng Chi Fat; Xu Kaiming; Xu Kaihe; Lin Huanan; Yang Litie</t>
        </is>
      </c>
      <c r="Z330" s="63" t="inlineStr">
        <is>
          <t>lin-xiaojian;sinos;li-shuhan;main;ng;xu-kaiming;xu-kaihe;lin-huanan;yang-litie</t>
        </is>
      </c>
      <c r="AA330" s="67" t="n">
        <v>7.06</v>
      </c>
      <c r="AB330" s="72" t="n">
        <v>76</v>
      </c>
      <c r="AC330" s="66" t="n">
        <v>17.6</v>
      </c>
      <c r="AD330" s="72" t="n">
        <v>-19.32</v>
      </c>
      <c r="AE330" s="63" t="inlineStr">
        <is>
          <t>Y</t>
        </is>
      </c>
      <c r="AF330" s="63" t="inlineStr">
        <is>
          <t>2025-06-09</t>
        </is>
      </c>
      <c r="AG330" s="63" t="inlineStr">
        <is>
          <t>lapsed</t>
        </is>
      </c>
      <c r="AH330" s="63" t="inlineStr">
        <is>
          <t>2025-07-05</t>
        </is>
      </c>
      <c r="AI330" s="63" t="inlineStr">
        <is>
          <t>Yue Xiu Securities Company Limited</t>
        </is>
      </c>
      <c r="AJ330" s="63" t="inlineStr">
        <is>
          <t>Yue Xiu</t>
        </is>
      </c>
      <c r="AK330" s="73" t="n">
        <v>42</v>
      </c>
      <c r="AL330" s="72" t="n">
        <v>66</v>
      </c>
      <c r="AM330" s="72" t="n">
        <v>-14.46</v>
      </c>
      <c r="AN330" s="72" t="n">
        <v>30</v>
      </c>
      <c r="AO330" s="72" t="n">
        <v>3</v>
      </c>
      <c r="AP330" s="72" t="n">
        <v>9.5</v>
      </c>
      <c r="AQ330" s="72" t="n">
        <v>-8.449999999999999</v>
      </c>
      <c r="AR330" s="72" t="n">
        <v>-27.46</v>
      </c>
      <c r="AS330" s="72" t="n">
        <v>-22.89</v>
      </c>
      <c r="AT330" s="72" t="n">
        <v>32.53</v>
      </c>
      <c r="AU330" s="72" t="n">
        <v>6.85</v>
      </c>
      <c r="AV330" s="72" t="n">
        <v>3.68</v>
      </c>
      <c r="AW330" s="72" t="n">
        <v>-24.34</v>
      </c>
      <c r="AX330" s="72" t="n">
        <v>-3.85</v>
      </c>
      <c r="AY330" s="72" t="n">
        <v>-3.12</v>
      </c>
      <c r="AZ330" s="63" t="inlineStr">
        <is>
          <t>HSTECH (Hang Seng TECH ETF)</t>
        </is>
      </c>
      <c r="BA330" s="72" t="n">
        <v>77</v>
      </c>
      <c r="BB330" s="64" t="inlineStr">
        <is>
          <t>2026-08-28</t>
        </is>
      </c>
      <c r="BC330" s="65" t="n">
        <v>385.1</v>
      </c>
      <c r="BD330" s="68" t="n">
        <v>45.5</v>
      </c>
      <c r="BE330" s="63" t="inlineStr">
        <is>
          <t>Y</t>
        </is>
      </c>
      <c r="BF330" s="74" t="n">
        <v>20.8</v>
      </c>
      <c r="BG330" s="74" t="n">
        <v>24.1</v>
      </c>
      <c r="BH330" s="74" t="n">
        <v>28.2</v>
      </c>
      <c r="BI330" s="74" t="n">
        <v>2.5</v>
      </c>
      <c r="BJ330" s="75">
        <f>IF('BBG Verify'!S330="","not filed — run on terminal",'BBG Verify'!S330)</f>
        <v/>
      </c>
      <c r="BK330" s="76" t="inlineStr">
        <is>
          <t>N</t>
        </is>
      </c>
      <c r="BL330" s="77">
        <f>IF('BBG Verify'!K330="","not filed — run on terminal",'BBG Verify'!K330)</f>
        <v/>
      </c>
      <c r="BM330" s="63" t="inlineStr">
        <is>
          <t>N/A</t>
        </is>
      </c>
      <c r="BN330" s="63" t="inlineStr">
        <is>
          <t>N/A</t>
        </is>
      </c>
      <c r="BO330" s="63" t="inlineStr">
        <is>
          <t>N/A</t>
        </is>
      </c>
      <c r="BP330" s="63" t="inlineStr">
        <is>
          <t>N/A</t>
        </is>
      </c>
      <c r="BQ330" s="63" t="inlineStr">
        <is>
          <t>N/A</t>
        </is>
      </c>
      <c r="BR330" s="63" t="inlineStr">
        <is>
          <t>N/A</t>
        </is>
      </c>
      <c r="BS330" s="76" t="inlineStr">
        <is>
          <t>Yue Xiu Capital Limited</t>
        </is>
      </c>
      <c r="BT330" s="63" t="inlineStr">
        <is>
          <t>Yue Xiu Capital Limited</t>
        </is>
      </c>
      <c r="BU330" s="63" t="inlineStr">
        <is>
          <t>Yue Xiu Securities Company Limited; ABCI CAPITAL LIMITED; ABCI SECURITIES COMPANY LIMITED</t>
        </is>
      </c>
      <c r="BV330" s="63" t="inlineStr">
        <is>
          <t>ABCI Securities Company Limited; BOCI Asia Limited; CCB International Capital Limited; CMBC Securities Company Limited; CMB International Capital Corporation Limited; Huafu International Securities Limited; Livermore Holdings Limited; Patrons Securities Limited; Yue Xiu Securities Company Limited; Zhongtai International Securities Limited</t>
        </is>
      </c>
      <c r="BW330" s="78">
        <f>HYPERLINK("https://www1.hkexnews.hk/listedco/listconews/sehk/2025/0530/2025053000009.pdf","prospectus")</f>
        <v/>
      </c>
      <c r="BX330" s="78">
        <f>HYPERLINK("https://www1.hkexnews.hk/listedco/listconews/sehk/2025/0609/2025060900996.pdf","allotment")</f>
        <v/>
      </c>
      <c r="BY330" s="78">
        <f>HYPERLINK("https://www1.hkexnews.hk/listedco/listconews/sehk/2025/0707/2025070700712.pdf","stabilisation")</f>
        <v/>
      </c>
      <c r="BZ330" s="76" t="n"/>
      <c r="CA330" s="63" t="inlineStr">
        <is>
          <t>A/H: no A-share listing</t>
        </is>
      </c>
    </row>
    <row r="331" ht="15" customHeight="1">
      <c r="A331" s="62" t="inlineStr">
        <is>
          <t>2573</t>
        </is>
      </c>
      <c r="B331" s="63" t="inlineStr">
        <is>
          <t>NEWTREND GROUP</t>
        </is>
      </c>
      <c r="C331" s="63" t="inlineStr">
        <is>
          <t>新琪安</t>
        </is>
      </c>
      <c r="D331" s="63" t="inlineStr">
        <is>
          <t>Consumer</t>
        </is>
      </c>
      <c r="E331" s="63" t="inlineStr">
        <is>
          <t>Beverages / packaged food</t>
        </is>
      </c>
      <c r="F331" s="63" t="inlineStr">
        <is>
          <t>Food Additives</t>
        </is>
      </c>
      <c r="G331" s="63" t="inlineStr">
        <is>
          <t>Standard</t>
        </is>
      </c>
      <c r="H331" s="64" t="n">
        <v>45818</v>
      </c>
      <c r="I331" s="65" t="n">
        <v>200.1</v>
      </c>
      <c r="J331" s="63" t="inlineStr">
        <is>
          <t>gross (price x shares)</t>
        </is>
      </c>
      <c r="K331" s="66" t="n">
        <v>18.9</v>
      </c>
      <c r="L331" s="66" t="n">
        <v>20.9</v>
      </c>
      <c r="M331" s="66" t="n">
        <v>18.9</v>
      </c>
      <c r="N331" s="63" t="inlineStr">
        <is>
          <t>N</t>
        </is>
      </c>
      <c r="O331" s="67" t="n">
        <v>90.40000000000001</v>
      </c>
      <c r="P331" s="67" t="n">
        <v>0</v>
      </c>
      <c r="Q331" s="68" t="n">
        <v>1818.8</v>
      </c>
      <c r="R331" s="63" t="inlineStr">
        <is>
          <t>derived:price x shares upon listing</t>
        </is>
      </c>
      <c r="S331" s="69" t="n">
        <v>149.37</v>
      </c>
      <c r="T331" s="70" t="n">
        <v>0.93</v>
      </c>
      <c r="U331" s="71" t="n">
        <v>29.7</v>
      </c>
      <c r="V331" s="68" t="n">
        <v>140.67</v>
      </c>
      <c r="W331" s="68" t="n">
        <v>7441536</v>
      </c>
      <c r="X331" s="67" t="n">
        <v>7.73</v>
      </c>
      <c r="Y331" s="63" t="inlineStr">
        <is>
          <t>Pingtan Xinghang Investment; Ms. Huang; Ms. He; Ms. Chen; He Win Hong Kong Holdings</t>
        </is>
      </c>
      <c r="Z331" s="63" t="inlineStr">
        <is>
          <t>pingtan;ms-huang;ms-he;ms-chen;he-win</t>
        </is>
      </c>
      <c r="AA331" s="67" t="n">
        <v>10.2</v>
      </c>
      <c r="AB331" s="72" t="n">
        <v>72.5</v>
      </c>
      <c r="AC331" s="66" t="n">
        <v>32.6</v>
      </c>
      <c r="AD331" s="72" t="n">
        <v>-29.61</v>
      </c>
      <c r="AE331" s="63" t="inlineStr">
        <is>
          <t>Y</t>
        </is>
      </c>
      <c r="AF331" s="63" t="inlineStr">
        <is>
          <t>2025-06-09</t>
        </is>
      </c>
      <c r="AG331" s="63" t="n"/>
      <c r="AH331" s="63" t="n"/>
      <c r="AI331" s="63" t="inlineStr">
        <is>
          <t>CMBC Securities Company Limited</t>
        </is>
      </c>
      <c r="AJ331" s="63" t="inlineStr">
        <is>
          <t>CMBC</t>
        </is>
      </c>
      <c r="AK331" s="73" t="n">
        <v>21.43</v>
      </c>
      <c r="AL331" s="72" t="n">
        <v>60.05</v>
      </c>
      <c r="AM331" s="72" t="n">
        <v>-24.13</v>
      </c>
      <c r="AN331" s="72" t="n">
        <v>-16.83</v>
      </c>
      <c r="AO331" s="72" t="n">
        <v>-34.6</v>
      </c>
      <c r="AP331" s="72" t="n">
        <v>-34.92</v>
      </c>
      <c r="AQ331" s="72" t="n">
        <v>-31.51</v>
      </c>
      <c r="AR331" s="72" t="n">
        <v>-46.14</v>
      </c>
      <c r="AS331" s="72" t="n">
        <v>-46.41</v>
      </c>
      <c r="AT331" s="72" t="n">
        <v>-14.92</v>
      </c>
      <c r="AU331" s="72" t="n">
        <v>-30.78</v>
      </c>
      <c r="AV331" s="72" t="n">
        <v>-41.55</v>
      </c>
      <c r="AW331" s="72" t="n">
        <v>-42.72</v>
      </c>
      <c r="AX331" s="72" t="n">
        <v>-3.82</v>
      </c>
      <c r="AY331" s="72" t="n">
        <v>-3.42</v>
      </c>
      <c r="AZ331" s="63" t="inlineStr">
        <is>
          <t>Hang Seng Commerce &amp; Industry sub-index</t>
        </is>
      </c>
      <c r="BA331" s="72" t="n">
        <v>-69.68000000000001</v>
      </c>
      <c r="BB331" s="64" t="inlineStr">
        <is>
          <t>2026-08-28</t>
        </is>
      </c>
      <c r="BC331" s="65" t="n">
        <v>625.8</v>
      </c>
      <c r="BD331" s="68" t="n">
        <v>47.7</v>
      </c>
      <c r="BE331" s="63" t="inlineStr">
        <is>
          <t>Y</t>
        </is>
      </c>
      <c r="BF331" s="74" t="n">
        <v>38.1</v>
      </c>
      <c r="BG331" s="74" t="n">
        <v>41.2</v>
      </c>
      <c r="BH331" s="74" t="n">
        <v>35</v>
      </c>
      <c r="BI331" s="74" t="n">
        <v>2.9</v>
      </c>
      <c r="BJ331" s="75">
        <f>IF('BBG Verify'!S331="","not filed — run on terminal",'BBG Verify'!S331)</f>
        <v/>
      </c>
      <c r="BK331" s="76" t="inlineStr">
        <is>
          <t>N</t>
        </is>
      </c>
      <c r="BL331" s="77">
        <f>IF('BBG Verify'!K331="","not filed — run on terminal",'BBG Verify'!K331)</f>
        <v/>
      </c>
      <c r="BM331" s="63" t="inlineStr">
        <is>
          <t>N/A</t>
        </is>
      </c>
      <c r="BN331" s="63" t="inlineStr">
        <is>
          <t>N/A</t>
        </is>
      </c>
      <c r="BO331" s="63" t="inlineStr">
        <is>
          <t>N/A</t>
        </is>
      </c>
      <c r="BP331" s="63" t="inlineStr">
        <is>
          <t>N/A</t>
        </is>
      </c>
      <c r="BQ331" s="63" t="inlineStr">
        <is>
          <t>N/A</t>
        </is>
      </c>
      <c r="BR331" s="63" t="inlineStr">
        <is>
          <t>N/A</t>
        </is>
      </c>
      <c r="BS331" s="76" t="inlineStr">
        <is>
          <t>CMBC International Capital Limited</t>
        </is>
      </c>
      <c r="BT331" s="63" t="inlineStr">
        <is>
          <t>CMBC International Capital Limited</t>
        </is>
      </c>
      <c r="BU331" s="63" t="inlineStr">
        <is>
          <t>China Industrial Securities International Capital Limited; Guosen Securities (HK) Capital Company Limited; ABCI Capital Limited</t>
        </is>
      </c>
      <c r="BV331" s="63" t="inlineStr">
        <is>
          <t>ABCI Securities Company Limited; CCB International Capital Limited; China Industrial Securities International Capital Limited; CMBC Securities Company Limited; CMB International Capital Corporation Limited; Dragon Legend Capital Limited; Guosen Securities (HK) Capital Company Limited; Huafu International Securities Limited; ICBC International Securities Limited; Patrons Securities Limited; Ruibang Securities Limited; SPDB International Capital Limited</t>
        </is>
      </c>
      <c r="BW331" s="78">
        <f>HYPERLINK("https://www1.hkexnews.hk/listedco/listconews/sehk/2025/0530/2025053000073.pdf","prospectus")</f>
        <v/>
      </c>
      <c r="BX331" s="78">
        <f>HYPERLINK("https://www1.hkexnews.hk/listedco/listconews/sehk/2025/0609/2025060901156.pdf","allotment")</f>
        <v/>
      </c>
      <c r="BY331" s="63" t="n"/>
      <c r="BZ331" s="76" t="n"/>
      <c r="CA331" s="63" t="inlineStr">
        <is>
          <t>greenshoe: end-of-stabilisation notice not located · A/H: no A-share listing</t>
        </is>
      </c>
    </row>
    <row r="332" ht="15" customHeight="1">
      <c r="A332" s="62" t="inlineStr">
        <is>
          <t>2605</t>
        </is>
      </c>
      <c r="B332" s="63" t="inlineStr">
        <is>
          <t>METALIGHT</t>
        </is>
      </c>
      <c r="C332" s="63" t="inlineStr">
        <is>
          <t>METALIGHT</t>
        </is>
      </c>
      <c r="D332" s="63" t="inlineStr">
        <is>
          <t>Tech/AI</t>
        </is>
      </c>
      <c r="E332" s="63" t="inlineStr">
        <is>
          <t>Internet platform / e-commerce</t>
        </is>
      </c>
      <c r="F332" s="63" t="inlineStr">
        <is>
          <t>Advertising</t>
        </is>
      </c>
      <c r="G332" s="63" t="inlineStr">
        <is>
          <t>Standard</t>
        </is>
      </c>
      <c r="H332" s="64" t="n">
        <v>45818</v>
      </c>
      <c r="I332" s="65" t="n">
        <v>242.35</v>
      </c>
      <c r="J332" s="63" t="inlineStr">
        <is>
          <t>gross (stated)</t>
        </is>
      </c>
      <c r="K332" s="66" t="n"/>
      <c r="L332" s="66" t="n">
        <v>9.75</v>
      </c>
      <c r="M332" s="66" t="n">
        <v>9.75</v>
      </c>
      <c r="N332" s="63" t="inlineStr">
        <is>
          <t>Y</t>
        </is>
      </c>
      <c r="O332" s="67" t="n">
        <v>100</v>
      </c>
      <c r="P332" s="67" t="n"/>
      <c r="Q332" s="68" t="n">
        <v>1504.2</v>
      </c>
      <c r="R332" s="63" t="inlineStr">
        <is>
          <t>derived:price x shares upon listing</t>
        </is>
      </c>
      <c r="S332" s="69" t="n">
        <v>274.44</v>
      </c>
      <c r="T332" s="70" t="n">
        <v>2.49</v>
      </c>
      <c r="U332" s="71" t="n">
        <v>0</v>
      </c>
      <c r="V332" s="68" t="n">
        <v>242.35</v>
      </c>
      <c r="W332" s="68" t="n">
        <v>24856000</v>
      </c>
      <c r="X332" s="67" t="n">
        <v>16.11</v>
      </c>
      <c r="Y332" s="63" t="n"/>
      <c r="Z332" s="63" t="n"/>
      <c r="AA332" s="67" t="n"/>
      <c r="AB332" s="72" t="n">
        <v>-14.8</v>
      </c>
      <c r="AC332" s="66" t="n">
        <v>8.31</v>
      </c>
      <c r="AD332" s="72" t="n">
        <v>-18.15</v>
      </c>
      <c r="AE332" s="63" t="inlineStr">
        <is>
          <t>Y</t>
        </is>
      </c>
      <c r="AF332" s="63" t="inlineStr">
        <is>
          <t>2025-06-09</t>
        </is>
      </c>
      <c r="AG332" s="63" t="n"/>
      <c r="AH332" s="63" t="n"/>
      <c r="AI332" s="63" t="n"/>
      <c r="AJ332" s="63" t="n"/>
      <c r="AK332" s="73" t="n">
        <v>-30.26</v>
      </c>
      <c r="AL332" s="72" t="n">
        <v>-22.05</v>
      </c>
      <c r="AM332" s="72" t="n">
        <v>-10.53</v>
      </c>
      <c r="AN332" s="72" t="n">
        <v>-29.95</v>
      </c>
      <c r="AO332" s="72" t="n">
        <v>-37.85</v>
      </c>
      <c r="AP332" s="72" t="n">
        <v>-49.64</v>
      </c>
      <c r="AQ332" s="72" t="n">
        <v>0.44</v>
      </c>
      <c r="AR332" s="72" t="n">
        <v>-10.88</v>
      </c>
      <c r="AS332" s="72" t="n">
        <v>-27.79</v>
      </c>
      <c r="AT332" s="72" t="n">
        <v>-27.42</v>
      </c>
      <c r="AU332" s="72" t="n">
        <v>-34</v>
      </c>
      <c r="AV332" s="72" t="n">
        <v>-55.46</v>
      </c>
      <c r="AW332" s="72" t="n">
        <v>-7.76</v>
      </c>
      <c r="AX332" s="72" t="n">
        <v>-3.85</v>
      </c>
      <c r="AY332" s="72" t="n">
        <v>-3.12</v>
      </c>
      <c r="AZ332" s="63" t="inlineStr">
        <is>
          <t>HSTECH (Hang Seng TECH ETF)</t>
        </is>
      </c>
      <c r="BA332" s="72" t="n">
        <v>-86.67</v>
      </c>
      <c r="BB332" s="64" t="inlineStr">
        <is>
          <t>2026-08-28</t>
        </is>
      </c>
      <c r="BC332" s="65" t="n">
        <v>226.8</v>
      </c>
      <c r="BD332" s="68" t="n">
        <v>-28.8</v>
      </c>
      <c r="BE332" s="63" t="inlineStr">
        <is>
          <t>N</t>
        </is>
      </c>
      <c r="BF332" s="63" t="inlineStr">
        <is>
          <t>n/m</t>
        </is>
      </c>
      <c r="BG332" s="74" t="n"/>
      <c r="BH332" s="74" t="n"/>
      <c r="BI332" s="74" t="n">
        <v>6.6</v>
      </c>
      <c r="BJ332" s="75">
        <f>IF('BBG Verify'!S332="","not filed — run on terminal",'BBG Verify'!S332)</f>
        <v/>
      </c>
      <c r="BK332" s="76" t="inlineStr">
        <is>
          <t>N</t>
        </is>
      </c>
      <c r="BL332" s="77">
        <f>IF('BBG Verify'!K332="","not filed — run on terminal",'BBG Verify'!K332)</f>
        <v/>
      </c>
      <c r="BM332" s="63" t="inlineStr">
        <is>
          <t>N/A</t>
        </is>
      </c>
      <c r="BN332" s="63" t="inlineStr">
        <is>
          <t>N/A</t>
        </is>
      </c>
      <c r="BO332" s="63" t="inlineStr">
        <is>
          <t>N/A</t>
        </is>
      </c>
      <c r="BP332" s="63" t="inlineStr">
        <is>
          <t>N/A</t>
        </is>
      </c>
      <c r="BQ332" s="63" t="inlineStr">
        <is>
          <t>N/A</t>
        </is>
      </c>
      <c r="BR332" s="63" t="inlineStr">
        <is>
          <t>N/A</t>
        </is>
      </c>
      <c r="BS332" s="76" t="inlineStr">
        <is>
          <t>China International Capital Corporation Hong Kong Securities Limited</t>
        </is>
      </c>
      <c r="BT332" s="63" t="inlineStr">
        <is>
          <t>China International Capital Corporation Hong Kong Securities Limited</t>
        </is>
      </c>
      <c r="BU332" s="63" t="inlineStr">
        <is>
          <t>China International Capital Corporation Hong Kong Securities Limited; CMBC Securities Company Limited; ABCI Capital Limited; CCB International Capital Limited; Patrons Securities Limited; SBI China Capital Financial Services Limited; Fosun International Securities Limited; BOCI Asia Limited; Futu Securities International (Hong Kong) Limited; Tiger Brokers (HK) Global Limited; Long Bridge HK Limited</t>
        </is>
      </c>
      <c r="BV332" s="63" t="inlineStr">
        <is>
          <t>ABCI Securities Company Limited; BOCI Asia Limited; CCB International Capital Limited; China International Capital Corporation Hong Kong Securities Limited; CMBC Securities Company Limited; Fosun International Securities Limited; Futu Securities International (Hong Kong) Limited; Long Bridge HK Limited; Patrons Securities Limited; SBI China Capital Financial Services Limited; Tiger Brokers (HK) Global Limited; Tiger Faith Securities Limited</t>
        </is>
      </c>
      <c r="BW332" s="78">
        <f>HYPERLINK("https://www1.hkexnews.hk/listedco/listconews/sehk/2025/0602/2025060200008.pdf","prospectus")</f>
        <v/>
      </c>
      <c r="BX332" s="78">
        <f>HYPERLINK("https://www1.hkexnews.hk/listedco/listconews/sehk/2025/0609/2025060901376.pdf","allotment")</f>
        <v/>
      </c>
      <c r="BY332" s="63" t="n"/>
      <c r="BZ332" s="76" t="n"/>
      <c r="CA332" s="63" t="inlineStr">
        <is>
          <t>P/E: n/m — loss-making at IPO (use P/S) · greenshoe: no over-allotment option in the offer structure · range low: cap-only pricing — the filing publishes a Maximum Offer Price and no indicative floor · A/H: no A-share listing · cornerstone list: no cornerstone tranche in this deal · greenshoe size: no over-allotment option in the offer structure · stabilising manager: the filing states no stabilising manager will be appointed — a filed fact, not an extraction gap (prospectus: 'no stabilizing manager will be appointed' stated in the filing)</t>
        </is>
      </c>
    </row>
    <row r="333" ht="15" customHeight="1">
      <c r="A333" s="62" t="inlineStr">
        <is>
          <t>3288</t>
        </is>
      </c>
      <c r="B333" s="63" t="inlineStr">
        <is>
          <t>HAITIAN FLAV</t>
        </is>
      </c>
      <c r="C333" s="63" t="inlineStr">
        <is>
          <t>海天味業</t>
        </is>
      </c>
      <c r="D333" s="63" t="inlineStr">
        <is>
          <t>Consumer</t>
        </is>
      </c>
      <c r="E333" s="63" t="inlineStr">
        <is>
          <t>Beverages / packaged food</t>
        </is>
      </c>
      <c r="F333" s="63" t="inlineStr">
        <is>
          <t>Food Additives</t>
        </is>
      </c>
      <c r="G333" s="63" t="inlineStr">
        <is>
          <t>Standard</t>
        </is>
      </c>
      <c r="H333" s="64" t="n">
        <v>45827</v>
      </c>
      <c r="I333" s="65" t="n">
        <v>10128.9</v>
      </c>
      <c r="J333" s="63" t="inlineStr">
        <is>
          <t>gross (stated)</t>
        </is>
      </c>
      <c r="K333" s="66" t="n">
        <v>35</v>
      </c>
      <c r="L333" s="66" t="n">
        <v>36.3</v>
      </c>
      <c r="M333" s="66" t="n">
        <v>36.3</v>
      </c>
      <c r="N333" s="63" t="inlineStr">
        <is>
          <t>Y</t>
        </is>
      </c>
      <c r="O333" s="67" t="n">
        <v>100</v>
      </c>
      <c r="P333" s="67" t="n">
        <v>100</v>
      </c>
      <c r="Q333" s="68" t="n">
        <v>185511</v>
      </c>
      <c r="R333" s="63" t="inlineStr">
        <is>
          <t>derived:deal size / offer % of enlarged capital</t>
        </is>
      </c>
      <c r="S333" s="69" t="n">
        <v>918.15</v>
      </c>
      <c r="T333" s="70" t="n">
        <v>22.93</v>
      </c>
      <c r="U333" s="71" t="n">
        <v>45.8</v>
      </c>
      <c r="V333" s="68" t="n">
        <v>5489.86</v>
      </c>
      <c r="W333" s="68" t="n">
        <v>151235181</v>
      </c>
      <c r="X333" s="67" t="n">
        <v>2.96</v>
      </c>
      <c r="Y333" s="63" t="inlineStr">
        <is>
          <t>GIC Private Limited; China Pinnacle Equity Management Limited; Supercluster Universe Limited; Boyu Capital Management (Singapore) Pte. Ltd; CICC Financial Trading Limited; GF Global Capital Limited; CITIC Securities International Capital Management Limited; Value Partners Hong Kong Limited; Huatai Capital Investment Limited; Shenzhen Victory Investment Fund Management Company Limited</t>
        </is>
      </c>
      <c r="Z333" s="63" t="inlineStr">
        <is>
          <t>gic;pinnacle;supercluster;boyu;china-international;gf;citic;value;huatai;shenzhen-victory</t>
        </is>
      </c>
      <c r="AA333" s="67" t="n">
        <v>15</v>
      </c>
      <c r="AB333" s="72" t="n"/>
      <c r="AC333" s="66" t="n"/>
      <c r="AD333" s="72" t="n"/>
      <c r="AE333" s="63" t="n"/>
      <c r="AF333" s="63" t="n"/>
      <c r="AG333" s="63" t="inlineStr">
        <is>
          <t>partial</t>
        </is>
      </c>
      <c r="AH333" s="63" t="inlineStr">
        <is>
          <t>2025-07-16</t>
        </is>
      </c>
      <c r="AI333" s="63" t="inlineStr">
        <is>
          <t>China International Capital Corporation Hong Kong Securities Limited</t>
        </is>
      </c>
      <c r="AJ333" s="63" t="inlineStr">
        <is>
          <t>China International</t>
        </is>
      </c>
      <c r="AK333" s="73" t="n">
        <v>0.55</v>
      </c>
      <c r="AL333" s="72" t="n">
        <v>3.31</v>
      </c>
      <c r="AM333" s="72" t="n">
        <v>-2.67</v>
      </c>
      <c r="AN333" s="72" t="n">
        <v>-3.44</v>
      </c>
      <c r="AO333" s="72" t="n">
        <v>-1.65</v>
      </c>
      <c r="AP333" s="72" t="n">
        <v>-6.5</v>
      </c>
      <c r="AQ333" s="72" t="n">
        <v>-3.97</v>
      </c>
      <c r="AR333" s="72" t="n">
        <v>-2.19</v>
      </c>
      <c r="AS333" s="72" t="n">
        <v>-7.01</v>
      </c>
      <c r="AT333" s="72" t="n">
        <v>-4.73</v>
      </c>
      <c r="AU333" s="72" t="n">
        <v>-7.14</v>
      </c>
      <c r="AV333" s="72" t="n">
        <v>-23.57</v>
      </c>
      <c r="AW333" s="72" t="n">
        <v>-10.05</v>
      </c>
      <c r="AX333" s="72" t="n">
        <v>5.49</v>
      </c>
      <c r="AY333" s="72" t="n">
        <v>7.86</v>
      </c>
      <c r="AZ333" s="63" t="inlineStr">
        <is>
          <t>Hang Seng Commerce &amp; Industry sub-index</t>
        </is>
      </c>
      <c r="BA333" s="72" t="n">
        <v>-20.99</v>
      </c>
      <c r="BB333" s="64" t="inlineStr">
        <is>
          <t>2026-08-28</t>
        </is>
      </c>
      <c r="BC333" s="65" t="n">
        <v>29591.1</v>
      </c>
      <c r="BD333" s="68" t="n">
        <v>6991.4</v>
      </c>
      <c r="BE333" s="63" t="inlineStr">
        <is>
          <t>Y</t>
        </is>
      </c>
      <c r="BF333" s="74" t="n">
        <v>26.5</v>
      </c>
      <c r="BG333" s="74" t="n">
        <v>29.3</v>
      </c>
      <c r="BH333" s="74" t="n">
        <v>22.3</v>
      </c>
      <c r="BI333" s="74" t="n">
        <v>6.3</v>
      </c>
      <c r="BJ333" s="75">
        <f>IF('BBG Verify'!S333="","not filed — run on terminal",'BBG Verify'!S333)</f>
        <v/>
      </c>
      <c r="BK333" s="76" t="inlineStr">
        <is>
          <t>Y</t>
        </is>
      </c>
      <c r="BL333" s="63" t="inlineStr">
        <is>
          <t>603288.SS</t>
        </is>
      </c>
      <c r="BM333" s="72" t="n">
        <v>21.07</v>
      </c>
      <c r="BN333" s="66" t="n">
        <v>43.9481</v>
      </c>
      <c r="BO333" s="80" t="n">
        <v>0.393</v>
      </c>
      <c r="BP333" s="68" t="n">
        <v>229610.9</v>
      </c>
      <c r="BQ333" s="75">
        <f>IF('BBG Verify'!Q333="","run on terminal",'BBG Verify'!Q333)</f>
        <v/>
      </c>
      <c r="BR333" s="75">
        <f>IF('BBG Verify'!R333="","run on terminal",'BBG Verify'!R333)</f>
        <v/>
      </c>
      <c r="BS333" s="76" t="inlineStr">
        <is>
          <t>China International Capital Corporation Hong Kong Securities Limited; Goldman Sachs (Asia) L.L.C; Morgan Stanley Asia Limited</t>
        </is>
      </c>
      <c r="BT333" s="63" t="inlineStr">
        <is>
          <t>China International Capital Corporation Hong Kong Securities Limited; Morgan Stanley Asia Limited; Goldman Sachs (Asia) L.L.C.</t>
        </is>
      </c>
      <c r="BU333" s="63" t="inlineStr">
        <is>
          <t>ABCI Securities Company Limited</t>
        </is>
      </c>
      <c r="BV333" s="63" t="inlineStr">
        <is>
          <t>ABCI Securities Company Limited; BOCI Asia Limited; BOCOM International Securities Limited; CCB International Capital Limited; China Galaxy International Securities (Hong Kong) Company Limited; China International Capital Corporation Hong Kong Securities Limited; CLSA Limited; CMB International Capital Corporation Limited; Futu Securities International (Hong Kong) Limited; GF Securities (Hong Kong) Brokerage Limited; Goldman Sachs (Asia) L.L.C.; Huatai Financial Holdings (Hong Kong) Limited</t>
        </is>
      </c>
      <c r="BW333" s="78">
        <f>HYPERLINK("https://www1.hkexnews.hk/listedco/listconews/sehk/2025/0611/2025061100017.pdf","prospectus")</f>
        <v/>
      </c>
      <c r="BX333" s="78">
        <f>HYPERLINK("https://www1.hkexnews.hk/listedco/listconews/sehk/2025/0618/2025061801931.pdf","allotment")</f>
        <v/>
      </c>
      <c r="BY333" s="78">
        <f>HYPERLINK("https://www1.hkexnews.hk/listedco/listconews/sehk/2025/0717/2025071700201.pdf","stabilisation")</f>
        <v/>
      </c>
      <c r="BZ333" s="76" t="n"/>
      <c r="CA333" s="63" t="inlineStr">
        <is>
          <t>A/H: Jun 2025, ~US$1.3bn; condiments leader · grey market: no grey-market headline on file for this deal — AAStocks publishes one per listing but keeps only recent items on the stock's news page, and no public archive of past evening sessions exists; captured from this run onward</t>
        </is>
      </c>
    </row>
    <row r="334" ht="15" customHeight="1">
      <c r="A334" s="62" t="inlineStr">
        <is>
          <t>2609</t>
        </is>
      </c>
      <c r="B334" s="63" t="inlineStr">
        <is>
          <t>BAYZED HEALTH</t>
        </is>
      </c>
      <c r="C334" s="63" t="inlineStr">
        <is>
          <t>佰澤醫療</t>
        </is>
      </c>
      <c r="D334" s="63" t="inlineStr">
        <is>
          <t>Healthcare</t>
        </is>
      </c>
      <c r="E334" s="63" t="inlineStr">
        <is>
          <t>Digital health</t>
        </is>
      </c>
      <c r="F334" s="63" t="inlineStr">
        <is>
          <t>Health Care Services</t>
        </is>
      </c>
      <c r="G334" s="63" t="inlineStr">
        <is>
          <t>Standard</t>
        </is>
      </c>
      <c r="H334" s="64" t="n">
        <v>45831</v>
      </c>
      <c r="I334" s="65" t="n">
        <v>561.7</v>
      </c>
      <c r="J334" s="63" t="inlineStr">
        <is>
          <t>gross (stated)</t>
        </is>
      </c>
      <c r="K334" s="66" t="n">
        <v>4.22</v>
      </c>
      <c r="L334" s="66" t="n">
        <v>6.75</v>
      </c>
      <c r="M334" s="66" t="n">
        <v>4.22</v>
      </c>
      <c r="N334" s="63" t="inlineStr">
        <is>
          <t>N</t>
        </is>
      </c>
      <c r="O334" s="67" t="n">
        <v>62.5</v>
      </c>
      <c r="P334" s="67" t="n">
        <v>0</v>
      </c>
      <c r="Q334" s="68" t="n">
        <v>5563.9</v>
      </c>
      <c r="R334" s="63" t="inlineStr">
        <is>
          <t>derived:price x shares upon listing</t>
        </is>
      </c>
      <c r="S334" s="69" t="n">
        <v>25.92</v>
      </c>
      <c r="T334" s="70" t="n">
        <v>0.98</v>
      </c>
      <c r="U334" s="71" t="n">
        <v>26.5</v>
      </c>
      <c r="V334" s="68" t="n">
        <v>412.85</v>
      </c>
      <c r="W334" s="68" t="n">
        <v>97832763</v>
      </c>
      <c r="X334" s="67" t="n">
        <v>7.42</v>
      </c>
      <c r="Y334" s="63" t="inlineStr">
        <is>
          <t>Harvest Oriental SP</t>
        </is>
      </c>
      <c r="Z334" s="63" t="inlineStr">
        <is>
          <t>harvest</t>
        </is>
      </c>
      <c r="AA334" s="67" t="n"/>
      <c r="AB334" s="72" t="n"/>
      <c r="AC334" s="66" t="n"/>
      <c r="AD334" s="72" t="n"/>
      <c r="AE334" s="63" t="n"/>
      <c r="AF334" s="63" t="n"/>
      <c r="AG334" s="63" t="n"/>
      <c r="AH334" s="63" t="n"/>
      <c r="AI334" s="63" t="n"/>
      <c r="AJ334" s="63" t="n"/>
      <c r="AK334" s="73" t="n">
        <v>42.18</v>
      </c>
      <c r="AL334" s="72" t="n">
        <v>24.41</v>
      </c>
      <c r="AM334" s="72" t="n">
        <v>14.28</v>
      </c>
      <c r="AN334" s="72" t="n">
        <v>46.21</v>
      </c>
      <c r="AO334" s="72" t="n">
        <v>57.11</v>
      </c>
      <c r="AP334" s="72" t="n">
        <v>91.94</v>
      </c>
      <c r="AQ334" s="72" t="n">
        <v>2.83</v>
      </c>
      <c r="AR334" s="72" t="n">
        <v>10.5</v>
      </c>
      <c r="AS334" s="72" t="n">
        <v>35</v>
      </c>
      <c r="AT334" s="72" t="n">
        <v>43.69</v>
      </c>
      <c r="AU334" s="72" t="n">
        <v>39.85</v>
      </c>
      <c r="AV334" s="72" t="n">
        <v>59.77</v>
      </c>
      <c r="AW334" s="72" t="n">
        <v>-4.99</v>
      </c>
      <c r="AX334" s="72" t="n">
        <v>17.26</v>
      </c>
      <c r="AY334" s="72" t="n">
        <v>15.49</v>
      </c>
      <c r="AZ334" s="63" t="inlineStr">
        <is>
          <t>China Biotech ETF (HS biotech proxy)</t>
        </is>
      </c>
      <c r="BA334" s="72" t="n">
        <v>-22.99</v>
      </c>
      <c r="BB334" s="64" t="inlineStr">
        <is>
          <t>2026-08-28</t>
        </is>
      </c>
      <c r="BC334" s="65" t="n">
        <v>1307.7</v>
      </c>
      <c r="BD334" s="68" t="n">
        <v>-3.9</v>
      </c>
      <c r="BE334" s="63" t="inlineStr">
        <is>
          <t>N</t>
        </is>
      </c>
      <c r="BF334" s="63" t="inlineStr">
        <is>
          <t>n/m</t>
        </is>
      </c>
      <c r="BG334" s="74" t="n"/>
      <c r="BH334" s="74" t="n"/>
      <c r="BI334" s="74" t="n">
        <v>4.3</v>
      </c>
      <c r="BJ334" s="75">
        <f>IF('BBG Verify'!S334="","not filed — run on terminal",'BBG Verify'!S334)</f>
        <v/>
      </c>
      <c r="BK334" s="76" t="inlineStr">
        <is>
          <t>N</t>
        </is>
      </c>
      <c r="BL334" s="77">
        <f>IF('BBG Verify'!K334="","not filed — run on terminal",'BBG Verify'!K334)</f>
        <v/>
      </c>
      <c r="BM334" s="63" t="inlineStr">
        <is>
          <t>N/A</t>
        </is>
      </c>
      <c r="BN334" s="63" t="inlineStr">
        <is>
          <t>N/A</t>
        </is>
      </c>
      <c r="BO334" s="63" t="inlineStr">
        <is>
          <t>N/A</t>
        </is>
      </c>
      <c r="BP334" s="63" t="inlineStr">
        <is>
          <t>N/A</t>
        </is>
      </c>
      <c r="BQ334" s="63" t="inlineStr">
        <is>
          <t>N/A</t>
        </is>
      </c>
      <c r="BR334" s="63" t="inlineStr">
        <is>
          <t>N/A</t>
        </is>
      </c>
      <c r="BS334" s="76" t="inlineStr">
        <is>
          <t>CMB Wing Lung Bank Limited; CMB Wing Lung (Nominees) Limited; Principal Share Registrar and Transfer Office Maples Fund Services (Cayman) Limited; Cayman Islands Hong Kong Share Registrar Tricor Investor Services Limited; Caitong International Capital Co., Limited; CORPORATE INFORMATION Principal Banks Bank of China Tianjin Dagang Branch</t>
        </is>
      </c>
      <c r="BT334" s="63" t="inlineStr">
        <is>
          <t>CMB International Capital Limited</t>
        </is>
      </c>
      <c r="BU334" s="63" t="inlineStr">
        <is>
          <t>CMB International Capital Limited; Futu Securities International (Hong Kong) Limited</t>
        </is>
      </c>
      <c r="BV334" s="63" t="inlineStr">
        <is>
          <t>CMB International Capital Limited; Futu Securities International (Hong Kong) Limited</t>
        </is>
      </c>
      <c r="BW334" s="78">
        <f>HYPERLINK("https://www1.hkexnews.hk/listedco/listconews/sehk/2025/0613/2025061300019.pdf","prospectus")</f>
        <v/>
      </c>
      <c r="BX334" s="78">
        <f>HYPERLINK("https://www1.hkexnews.hk/listedco/listconews/sehk/2025/0620/2025062001890.pdf","allotment")</f>
        <v/>
      </c>
      <c r="BY334" s="63" t="n"/>
      <c r="BZ334" s="76" t="n"/>
      <c r="CA334" s="63" t="inlineStr">
        <is>
          <t>P/E: n/m — loss-making at IPO (use P/S) · greenshoe: no over-allotment option in the offer structure · A/H: no A-share listing · market cap: AAStocks lists HK$7,649m at listing vs HK$5,564m from price x filed share count — the filed count is kept · greenshoe size: no over-allotment option in the offer structure · stabilising manager: no over-allotment option in the offer structure, so no stabilising manager is appointed · grey market: no grey-market headline on file for this deal — AAStocks publishes one per listing but keeps only recent items on the stock's news page, and no public archive of past evening sessions exists; captured from this run onward</t>
        </is>
      </c>
    </row>
    <row r="335" ht="15" customHeight="1">
      <c r="A335" s="62" t="inlineStr">
        <is>
          <t>2050</t>
        </is>
      </c>
      <c r="B335" s="63" t="inlineStr">
        <is>
          <t>SANHUA</t>
        </is>
      </c>
      <c r="C335" s="63" t="inlineStr">
        <is>
          <t>三花智控</t>
        </is>
      </c>
      <c r="D335" s="63" t="inlineStr">
        <is>
          <t>Consumer</t>
        </is>
      </c>
      <c r="E335" s="63" t="inlineStr">
        <is>
          <t>Auto parts / supply chain</t>
        </is>
      </c>
      <c r="F335" s="63" t="inlineStr">
        <is>
          <t>Electrical Components &amp; Equipment</t>
        </is>
      </c>
      <c r="G335" s="63" t="inlineStr">
        <is>
          <t>Standard</t>
        </is>
      </c>
      <c r="H335" s="64" t="n">
        <v>45831</v>
      </c>
      <c r="I335" s="65" t="n">
        <v>9336</v>
      </c>
      <c r="J335" s="63" t="inlineStr">
        <is>
          <t>gross (stated)</t>
        </is>
      </c>
      <c r="K335" s="66" t="n"/>
      <c r="L335" s="66" t="n">
        <v>22.53</v>
      </c>
      <c r="M335" s="66" t="n">
        <v>22.53</v>
      </c>
      <c r="N335" s="63" t="inlineStr">
        <is>
          <t>Y</t>
        </is>
      </c>
      <c r="O335" s="67" t="n">
        <v>100</v>
      </c>
      <c r="P335" s="67" t="n"/>
      <c r="Q335" s="68" t="n">
        <v>93360</v>
      </c>
      <c r="R335" s="63" t="inlineStr">
        <is>
          <t>derived:deal size / offer % of enlarged capital</t>
        </is>
      </c>
      <c r="S335" s="69" t="n">
        <v>747.92</v>
      </c>
      <c r="T335" s="70" t="n">
        <v>23.57</v>
      </c>
      <c r="U335" s="71" t="n">
        <v>47</v>
      </c>
      <c r="V335" s="68" t="n">
        <v>4948.08</v>
      </c>
      <c r="W335" s="68" t="n">
        <v>219621135</v>
      </c>
      <c r="X335" s="67" t="n">
        <v>5.3</v>
      </c>
      <c r="Y335" s="63" t="inlineStr">
        <is>
          <t>Schroders; HK Greenwoods; Green Better; Verition; Capital VIII; Mirae Securities; ICBC Wealth; PSBC Wealth; Taikang Life; Mega Prime; Wind Sabre; Martis Fund, L.P; MSIP; Jane Street</t>
        </is>
      </c>
      <c r="Z335" s="63" t="inlineStr">
        <is>
          <t>schroders;greenwoods;green;verition;viii;mirae;icbc;psbc;taikang;mega;wind;martis;morgan;jane</t>
        </is>
      </c>
      <c r="AA335" s="67" t="n">
        <v>15</v>
      </c>
      <c r="AB335" s="72" t="n"/>
      <c r="AC335" s="66" t="n"/>
      <c r="AD335" s="72" t="n"/>
      <c r="AE335" s="63" t="n"/>
      <c r="AF335" s="63" t="n"/>
      <c r="AG335" s="63" t="inlineStr">
        <is>
          <t>full</t>
        </is>
      </c>
      <c r="AH335" s="63" t="inlineStr">
        <is>
          <t>2025-07-18</t>
        </is>
      </c>
      <c r="AI335" s="63" t="inlineStr">
        <is>
          <t>China International Capital Corporation Hong Kong Securities Limited</t>
        </is>
      </c>
      <c r="AJ335" s="63" t="inlineStr">
        <is>
          <t>China International</t>
        </is>
      </c>
      <c r="AK335" s="73" t="n">
        <v>-0.13</v>
      </c>
      <c r="AL335" s="72" t="n">
        <v>-7.01</v>
      </c>
      <c r="AM335" s="72" t="n">
        <v>7.4</v>
      </c>
      <c r="AN335" s="72" t="n">
        <v>11.63</v>
      </c>
      <c r="AO335" s="72" t="n">
        <v>26.5</v>
      </c>
      <c r="AP335" s="72" t="n">
        <v>70.34999999999999</v>
      </c>
      <c r="AQ335" s="72" t="n">
        <v>11.78</v>
      </c>
      <c r="AR335" s="72" t="n">
        <v>26.66</v>
      </c>
      <c r="AS335" s="72" t="n">
        <v>70.56999999999999</v>
      </c>
      <c r="AT335" s="72" t="n">
        <v>9.550000000000001</v>
      </c>
      <c r="AU335" s="72" t="n">
        <v>16.87</v>
      </c>
      <c r="AV335" s="72" t="n">
        <v>52.99</v>
      </c>
      <c r="AW335" s="72" t="n">
        <v>17.67</v>
      </c>
      <c r="AX335" s="72" t="n">
        <v>9.630000000000001</v>
      </c>
      <c r="AY335" s="72" t="n">
        <v>8.99</v>
      </c>
      <c r="AZ335" s="63" t="inlineStr">
        <is>
          <t>Hang Seng Commerce &amp; Industry sub-index</t>
        </is>
      </c>
      <c r="BA335" s="72" t="n">
        <v>13.8</v>
      </c>
      <c r="BB335" s="64" t="inlineStr">
        <is>
          <t>2026-08-28</t>
        </is>
      </c>
      <c r="BC335" s="65" t="n">
        <v>30741.9</v>
      </c>
      <c r="BD335" s="68" t="n">
        <v>3422.9</v>
      </c>
      <c r="BE335" s="63" t="inlineStr">
        <is>
          <t>Y</t>
        </is>
      </c>
      <c r="BF335" s="74" t="n">
        <v>27.3</v>
      </c>
      <c r="BG335" s="74" t="n">
        <v>24.5</v>
      </c>
      <c r="BH335" s="74" t="n">
        <v>22.5</v>
      </c>
      <c r="BI335" s="74" t="n">
        <v>3</v>
      </c>
      <c r="BJ335" s="75">
        <f>IF('BBG Verify'!S335="","not filed — run on terminal",'BBG Verify'!S335)</f>
        <v/>
      </c>
      <c r="BK335" s="76" t="inlineStr">
        <is>
          <t>Y</t>
        </is>
      </c>
      <c r="BL335" s="63" t="inlineStr">
        <is>
          <t>002050.SZ</t>
        </is>
      </c>
      <c r="BM335" s="72" t="n">
        <v>20.9</v>
      </c>
      <c r="BN335" s="66" t="n">
        <v>27.2396</v>
      </c>
      <c r="BO335" s="80" t="n">
        <v>0.6844</v>
      </c>
      <c r="BP335" s="68" t="n">
        <v>178244</v>
      </c>
      <c r="BQ335" s="75">
        <f>IF('BBG Verify'!Q335="","run on terminal",'BBG Verify'!Q335)</f>
        <v/>
      </c>
      <c r="BR335" s="75">
        <f>IF('BBG Verify'!R335="","run on terminal",'BBG Verify'!R335)</f>
        <v/>
      </c>
      <c r="BS335" s="76" t="inlineStr">
        <is>
          <t>China International Capital Corporation Hong Kong Securities Limited; Huatai Financial Holdings (Hong Kong) Limited</t>
        </is>
      </c>
      <c r="BT335" s="63" t="inlineStr">
        <is>
          <t>China International Capital Corporation Hong Kong Securities Limited; Huatai Financial Holdings (Hong Kong) Limited</t>
        </is>
      </c>
      <c r="BU335" s="63" t="inlineStr">
        <is>
          <t>China International Capital Corporation Hong Kong Securities Limited; Huatai Financial Holdings (Hong Kong) Limited; ABCI Capital Limited; Caitong International Securities Co., Limited; GF Securities (Hong Kong) Brokerage Limited; Zheshang International Financial Holdings Co., Limited</t>
        </is>
      </c>
      <c r="BV335" s="63" t="inlineStr">
        <is>
          <t>ABCI Securities Company Limited; BOCI Asia Limited; Caitong International Securities Company Limited; China International Capital Corporation Hong Kong Securities Limited; GF Securities (Hong Kong) Brokerage Limited; Huatai Financial Holdings (Hong Kong) Limited; Zheshang International Financial Holdings Co., Limited</t>
        </is>
      </c>
      <c r="BW335" s="78">
        <f>HYPERLINK("https://www1.hkexnews.hk/listedco/listconews/sehk/2025/0613/2025061300017.pdf","prospectus")</f>
        <v/>
      </c>
      <c r="BX335" s="78">
        <f>HYPERLINK("https://www1.hkexnews.hk/listedco/listconews/sehk/2025/0620/2025062002236.pdf","allotment")</f>
        <v/>
      </c>
      <c r="BY335" s="78">
        <f>HYPERLINK("https://www1.hkexnews.hk/listedco/listconews/sehk/2025/0718/2025071801258.pdf","stabilisation")</f>
        <v/>
      </c>
      <c r="BZ335" s="76" t="n"/>
      <c r="CA335" s="63" t="inlineStr">
        <is>
          <t>range low: cap-only pricing — the filing publishes a Maximum Offer Price and no indicative floor · A/H: Jun 2025 H listing (thermal management/humanoid actuators) · grey market: no grey-market headline on file for this deal — AAStocks publishes one per listing but keeps only recent items on the stock's news page, and no public archive of past evening sessions exists; captured from this run onward</t>
        </is>
      </c>
    </row>
    <row r="336" ht="15" customHeight="1">
      <c r="A336" s="62" t="inlineStr">
        <is>
          <t>2617</t>
        </is>
      </c>
      <c r="B336" s="63" t="inlineStr">
        <is>
          <t>TRANSTHERA-B</t>
        </is>
      </c>
      <c r="C336" s="63" t="inlineStr">
        <is>
          <t>藥捷安康－Ｂ</t>
        </is>
      </c>
      <c r="D336" s="63" t="inlineStr">
        <is>
          <t>Healthcare</t>
        </is>
      </c>
      <c r="E336" s="63" t="inlineStr">
        <is>
          <t>Biotech pre-revenue (18A)</t>
        </is>
      </c>
      <c r="F336" s="63" t="inlineStr">
        <is>
          <t>Pharmaceuticals</t>
        </is>
      </c>
      <c r="G336" s="63" t="inlineStr">
        <is>
          <t>18A</t>
        </is>
      </c>
      <c r="H336" s="64" t="n">
        <v>45831</v>
      </c>
      <c r="I336" s="65" t="n">
        <v>200.9</v>
      </c>
      <c r="J336" s="63" t="inlineStr">
        <is>
          <t>gross (price x shares)</t>
        </is>
      </c>
      <c r="K336" s="66" t="n"/>
      <c r="L336" s="66" t="n">
        <v>13.15</v>
      </c>
      <c r="M336" s="66" t="n">
        <v>13.15</v>
      </c>
      <c r="N336" s="63" t="inlineStr">
        <is>
          <t>Y</t>
        </is>
      </c>
      <c r="O336" s="67" t="n">
        <v>100</v>
      </c>
      <c r="P336" s="67" t="n"/>
      <c r="Q336" s="68" t="n">
        <v>5219.2</v>
      </c>
      <c r="R336" s="63" t="inlineStr">
        <is>
          <t>derived:price x shares upon listing</t>
        </is>
      </c>
      <c r="S336" s="69" t="n">
        <v>3419.87</v>
      </c>
      <c r="T336" s="79">
        <f>IF('BBG Verify'!E336="","not filed — run on terminal",'BBG Verify'!E336)</f>
        <v/>
      </c>
      <c r="U336" s="71" t="n">
        <v>64.06</v>
      </c>
      <c r="V336" s="68" t="n">
        <v>72.2</v>
      </c>
      <c r="W336" s="68" t="n">
        <v>5491991</v>
      </c>
      <c r="X336" s="67" t="n">
        <v>1.38</v>
      </c>
      <c r="Y336" s="63" t="inlineStr">
        <is>
          <t>Akeso, Inc; BOCOM International Securities Limited; Huatai Capital Investment Limited</t>
        </is>
      </c>
      <c r="Z336" s="63" t="inlineStr">
        <is>
          <t>akeso;bank-communications;huatai</t>
        </is>
      </c>
      <c r="AA336" s="67" t="n">
        <v>8.390000000000001</v>
      </c>
      <c r="AB336" s="72" t="n"/>
      <c r="AC336" s="66" t="n"/>
      <c r="AD336" s="72" t="n"/>
      <c r="AE336" s="63" t="n"/>
      <c r="AF336" s="63" t="n"/>
      <c r="AG336" s="63" t="n"/>
      <c r="AH336" s="63" t="inlineStr">
        <is>
          <t>2025-07-18</t>
        </is>
      </c>
      <c r="AI336" s="63" t="inlineStr">
        <is>
          <t>CLSA Limited</t>
        </is>
      </c>
      <c r="AJ336" s="63" t="inlineStr">
        <is>
          <t>CLSA</t>
        </is>
      </c>
      <c r="AK336" s="73" t="n">
        <v>78.70999999999999</v>
      </c>
      <c r="AL336" s="72" t="n">
        <v>64.64</v>
      </c>
      <c r="AM336" s="72" t="n">
        <v>8.550000000000001</v>
      </c>
      <c r="AN336" s="72" t="n">
        <v>129.28</v>
      </c>
      <c r="AO336" s="72" t="n">
        <v>138.78</v>
      </c>
      <c r="AP336" s="72" t="n">
        <v>1039.92</v>
      </c>
      <c r="AQ336" s="72" t="n">
        <v>28.3</v>
      </c>
      <c r="AR336" s="72" t="n">
        <v>33.61</v>
      </c>
      <c r="AS336" s="72" t="n">
        <v>537.86</v>
      </c>
      <c r="AT336" s="72" t="n">
        <v>126.76</v>
      </c>
      <c r="AU336" s="72" t="n">
        <v>121.52</v>
      </c>
      <c r="AV336" s="72" t="n">
        <v>1007.75</v>
      </c>
      <c r="AW336" s="72" t="n">
        <v>18.12</v>
      </c>
      <c r="AX336" s="72" t="n">
        <v>17.26</v>
      </c>
      <c r="AY336" s="72" t="n">
        <v>15.49</v>
      </c>
      <c r="AZ336" s="63" t="inlineStr">
        <is>
          <t>China Biotech ETF (HS biotech proxy)</t>
        </is>
      </c>
      <c r="BA336" s="72" t="n">
        <v>-20.91</v>
      </c>
      <c r="BB336" s="64" t="inlineStr">
        <is>
          <t>2026-08-28</t>
        </is>
      </c>
      <c r="BC336" s="65" t="n">
        <v>1.3</v>
      </c>
      <c r="BD336" s="68" t="n">
        <v>-377.7</v>
      </c>
      <c r="BE336" s="63" t="inlineStr">
        <is>
          <t>N</t>
        </is>
      </c>
      <c r="BF336" s="63" t="inlineStr">
        <is>
          <t>n/m</t>
        </is>
      </c>
      <c r="BG336" s="74" t="n"/>
      <c r="BH336" s="74" t="n"/>
      <c r="BI336" s="74" t="n">
        <v>4014.8</v>
      </c>
      <c r="BJ336" s="75">
        <f>IF('BBG Verify'!S336="","not filed — run on terminal",'BBG Verify'!S336)</f>
        <v/>
      </c>
      <c r="BK336" s="76" t="inlineStr">
        <is>
          <t>N</t>
        </is>
      </c>
      <c r="BL336" s="77">
        <f>IF('BBG Verify'!K336="","not filed — run on terminal",'BBG Verify'!K336)</f>
        <v/>
      </c>
      <c r="BM336" s="63" t="inlineStr">
        <is>
          <t>N/A</t>
        </is>
      </c>
      <c r="BN336" s="63" t="inlineStr">
        <is>
          <t>N/A</t>
        </is>
      </c>
      <c r="BO336" s="63" t="inlineStr">
        <is>
          <t>N/A</t>
        </is>
      </c>
      <c r="BP336" s="63" t="inlineStr">
        <is>
          <t>N/A</t>
        </is>
      </c>
      <c r="BQ336" s="63" t="inlineStr">
        <is>
          <t>N/A</t>
        </is>
      </c>
      <c r="BR336" s="63" t="inlineStr">
        <is>
          <t>N/A</t>
        </is>
      </c>
      <c r="BS336" s="76" t="inlineStr">
        <is>
          <t>(In no particular order) CITIC Securities (Hong Kong) Limited; Huatai Financial Holdings (Hong Kong) Limited</t>
        </is>
      </c>
      <c r="BT336" s="63" t="inlineStr">
        <is>
          <t>Huatai Financial Holdings (Hong Kong) Limited; CITIC Securities (Hong Kong) Limited</t>
        </is>
      </c>
      <c r="BU336" s="63" t="inlineStr">
        <is>
          <t>CLSA Limited; Huatai Financial Holdings (Hong Kong) Limited; BOCI Asia Limited; CMB International Capital Limited; SPDB International Capital Limited; TradeGo Markets Limited</t>
        </is>
      </c>
      <c r="BV336" s="63" t="inlineStr">
        <is>
          <t>BOCI Asia Limited; BOCOM International Securities Limited; CLSA Limited; CMB International Capital Limited; Huatai Financial Holdings (Hong Kong) Limited; SPDB International Capital Limited; TradeGo Markets Limited</t>
        </is>
      </c>
      <c r="BW336" s="78">
        <f>HYPERLINK("https://www1.hkexnews.hk/listedco/listconews/sehk/2025/0613/2025061300035.pdf","prospectus")</f>
        <v/>
      </c>
      <c r="BX336" s="78">
        <f>HYPERLINK("https://www1.hkexnews.hk/listedco/listconews/sehk/2025/0620/2025062002274.pdf","allotment")</f>
        <v/>
      </c>
      <c r="BY336" s="63" t="n"/>
      <c r="BZ336" s="76" t="n"/>
      <c r="CA336" s="63" t="inlineStr">
        <is>
          <t>intl sub: parsed 0.97x rejected — implausible for a deal struck at the cap with the public tranche 3,420x subscribed (a percentage read as a multiple); BBG Verify CP037 fills this on the terminal · P/E: n/m — loss-making at IPO (use P/S) · greenshoe: end-of-stabilisation notice not located · range low: cap-only pricing — the filing publishes a Maximum Offer Price and no indicative floor · A/H: no A-share listing · P/S: 4,015x on HK$1.3m revenue — effectively pre-revenue; the multiple is shown for completeness, not comparability · grey market: no grey-market headline on file for this deal — AAStocks publishes one per listing but keeps only recent items on the stock's news page, and no public archive of past evening sessions exists; captured from this run onward</t>
        </is>
      </c>
    </row>
    <row r="337" ht="15" customHeight="1">
      <c r="A337" s="62" t="inlineStr">
        <is>
          <t>2619</t>
        </is>
      </c>
      <c r="B337" s="63" t="inlineStr">
        <is>
          <t>XJ ELECTRICS</t>
        </is>
      </c>
      <c r="C337" s="63" t="inlineStr">
        <is>
          <t>香江電器</t>
        </is>
      </c>
      <c r="D337" s="63" t="inlineStr">
        <is>
          <t>Tech/AI</t>
        </is>
      </c>
      <c r="E337" s="63" t="inlineStr">
        <is>
          <t>Smart hardware / consumer electronics</t>
        </is>
      </c>
      <c r="F337" s="63" t="inlineStr">
        <is>
          <t>Household Appliances</t>
        </is>
      </c>
      <c r="G337" s="63" t="inlineStr">
        <is>
          <t>Standard</t>
        </is>
      </c>
      <c r="H337" s="64" t="n">
        <v>45833</v>
      </c>
      <c r="I337" s="65" t="n">
        <v>195.11</v>
      </c>
      <c r="J337" s="63" t="inlineStr">
        <is>
          <t>gross (stated)</t>
        </is>
      </c>
      <c r="K337" s="66" t="n"/>
      <c r="L337" s="66" t="n">
        <v>3.35</v>
      </c>
      <c r="M337" s="66" t="n">
        <v>2.86</v>
      </c>
      <c r="N337" s="63" t="inlineStr">
        <is>
          <t>N</t>
        </is>
      </c>
      <c r="O337" s="67" t="n">
        <v>85.40000000000001</v>
      </c>
      <c r="P337" s="67" t="n"/>
      <c r="Q337" s="68" t="n">
        <v>780.4</v>
      </c>
      <c r="R337" s="63" t="inlineStr">
        <is>
          <t>derived:price x shares upon listing</t>
        </is>
      </c>
      <c r="S337" s="69" t="n">
        <v>852.38</v>
      </c>
      <c r="T337" s="70" t="n">
        <v>1.08</v>
      </c>
      <c r="U337" s="71" t="n">
        <v>44</v>
      </c>
      <c r="V337" s="68" t="n">
        <v>109.26</v>
      </c>
      <c r="W337" s="68" t="n">
        <v>38203200</v>
      </c>
      <c r="X337" s="67" t="n">
        <v>14</v>
      </c>
      <c r="Y337" s="63" t="inlineStr">
        <is>
          <t>Shunjie Investment; Xinghuang Holdings; Yunxing Technology</t>
        </is>
      </c>
      <c r="Z337" s="63" t="inlineStr">
        <is>
          <t>shunjie;xinghuang;yunxing</t>
        </is>
      </c>
      <c r="AA337" s="67" t="n">
        <v>19</v>
      </c>
      <c r="AB337" s="72" t="n">
        <v>-4.9</v>
      </c>
      <c r="AC337" s="66" t="n">
        <v>2.72</v>
      </c>
      <c r="AD337" s="72" t="n">
        <v>-7.35</v>
      </c>
      <c r="AE337" s="63" t="inlineStr">
        <is>
          <t>Y</t>
        </is>
      </c>
      <c r="AF337" s="63" t="inlineStr">
        <is>
          <t>2025-06-25</t>
        </is>
      </c>
      <c r="AG337" s="63" t="n"/>
      <c r="AH337" s="63" t="n"/>
      <c r="AI337" s="63" t="inlineStr">
        <is>
          <t>Sinolink Securities</t>
        </is>
      </c>
      <c r="AJ337" s="63" t="inlineStr">
        <is>
          <t>Sinolink</t>
        </is>
      </c>
      <c r="AK337" s="73" t="n">
        <v>-11.89</v>
      </c>
      <c r="AL337" s="72" t="n">
        <v>-7.34</v>
      </c>
      <c r="AM337" s="72" t="n">
        <v>-4.91</v>
      </c>
      <c r="AN337" s="72" t="n">
        <v>-18.53</v>
      </c>
      <c r="AO337" s="72" t="n">
        <v>-16.08</v>
      </c>
      <c r="AP337" s="72" t="n">
        <v>-31.82</v>
      </c>
      <c r="AQ337" s="72" t="n">
        <v>-7.54</v>
      </c>
      <c r="AR337" s="72" t="n">
        <v>-4.76</v>
      </c>
      <c r="AS337" s="72" t="n">
        <v>-22.62</v>
      </c>
      <c r="AT337" s="72" t="n">
        <v>-17.47</v>
      </c>
      <c r="AU337" s="72" t="n">
        <v>-23.2</v>
      </c>
      <c r="AV337" s="72" t="n">
        <v>-48.07</v>
      </c>
      <c r="AW337" s="72" t="n">
        <v>-10.76</v>
      </c>
      <c r="AX337" s="72" t="n">
        <v>7.12</v>
      </c>
      <c r="AY337" s="72" t="n">
        <v>6</v>
      </c>
      <c r="AZ337" s="63" t="inlineStr">
        <is>
          <t>HSTECH (Hang Seng TECH ETF)</t>
        </is>
      </c>
      <c r="BA337" s="72" t="n">
        <v>-55.24</v>
      </c>
      <c r="BB337" s="64" t="inlineStr">
        <is>
          <t>2026-08-28</t>
        </is>
      </c>
      <c r="BC337" s="65" t="n">
        <v>1651.7</v>
      </c>
      <c r="BD337" s="68" t="n">
        <v>154.5</v>
      </c>
      <c r="BE337" s="63" t="inlineStr">
        <is>
          <t>Y</t>
        </is>
      </c>
      <c r="BF337" s="74" t="n">
        <v>5.1</v>
      </c>
      <c r="BG337" s="74" t="n">
        <v>3.3</v>
      </c>
      <c r="BH337" s="74" t="n">
        <v>5.3</v>
      </c>
      <c r="BI337" s="74" t="n">
        <v>0.5</v>
      </c>
      <c r="BJ337" s="75">
        <f>IF('BBG Verify'!S337="","not filed — run on terminal",'BBG Verify'!S337)</f>
        <v/>
      </c>
      <c r="BK337" s="76" t="inlineStr">
        <is>
          <t>N</t>
        </is>
      </c>
      <c r="BL337" s="77">
        <f>IF('BBG Verify'!K337="","not filed — run on terminal",'BBG Verify'!K337)</f>
        <v/>
      </c>
      <c r="BM337" s="63" t="inlineStr">
        <is>
          <t>N/A</t>
        </is>
      </c>
      <c r="BN337" s="63" t="inlineStr">
        <is>
          <t>N/A</t>
        </is>
      </c>
      <c r="BO337" s="63" t="inlineStr">
        <is>
          <t>N/A</t>
        </is>
      </c>
      <c r="BP337" s="63" t="inlineStr">
        <is>
          <t>N/A</t>
        </is>
      </c>
      <c r="BQ337" s="63" t="inlineStr">
        <is>
          <t>N/A</t>
        </is>
      </c>
      <c r="BR337" s="63" t="inlineStr">
        <is>
          <t>N/A</t>
        </is>
      </c>
      <c r="BS337" s="76" t="n"/>
      <c r="BT337" s="63" t="inlineStr">
        <is>
          <t>Sinolink Securities (Hong Kong) Company Limited</t>
        </is>
      </c>
      <c r="BU337" s="63" t="inlineStr">
        <is>
          <t>ABCI Securities Company Limited; CCB International Capital Limited; CMBC Securities Company Limited; CMB International Capital Limited; First Fidelity Capital (International) Limited; Sinolink Securities (Hong Kong) Company Limited</t>
        </is>
      </c>
      <c r="BV337" s="63" t="inlineStr">
        <is>
          <t>ABCI Securities Company Limited; CCB International Capital Limited; CMBC Securities Company Limited; CMB International Capital Limited; First Fidelity Capital (International) Limited; Sinolink Securities (Hong Kong) Company Limited; UZen Securities Limited; Valuable Capital Limited</t>
        </is>
      </c>
      <c r="BW337" s="78">
        <f>HYPERLINK("https://www1.hkexnews.hk/listedco/listconews/sehk/2025/0617/2025061700043.pdf","prospectus")</f>
        <v/>
      </c>
      <c r="BX337" s="78">
        <f>HYPERLINK("https://www1.hkexnews.hk/listedco/listconews/sehk/2025/0624/2025062401168.pdf","allotment")</f>
        <v/>
      </c>
      <c r="BY337" s="63" t="n"/>
      <c r="BZ337" s="76" t="n"/>
      <c r="CA337" s="63" t="inlineStr">
        <is>
          <t>greenshoe: end-of-stabilisation notice not located · range low: cap-only pricing — the filing publishes a Maximum Offer Price and no indicative floor · A/H: no A-share listing · sponsor: English name not in the filing text; AAStocks 保薦人 shown</t>
        </is>
      </c>
    </row>
    <row r="338" ht="15" customHeight="1">
      <c r="A338" s="62" t="inlineStr">
        <is>
          <t>2643</t>
        </is>
      </c>
      <c r="B338" s="63" t="inlineStr">
        <is>
          <t>CAOCAO INC</t>
        </is>
      </c>
      <c r="C338" s="63" t="inlineStr">
        <is>
          <t>曹操出行</t>
        </is>
      </c>
      <c r="D338" s="63" t="inlineStr">
        <is>
          <t>Tech/AI</t>
        </is>
      </c>
      <c r="E338" s="63" t="inlineStr">
        <is>
          <t>Internet platform / e-commerce</t>
        </is>
      </c>
      <c r="F338" s="63" t="inlineStr">
        <is>
          <t>Trucking</t>
        </is>
      </c>
      <c r="G338" s="63" t="inlineStr">
        <is>
          <t>Standard</t>
        </is>
      </c>
      <c r="H338" s="64" t="n">
        <v>45833</v>
      </c>
      <c r="I338" s="65" t="n">
        <v>1852.85</v>
      </c>
      <c r="J338" s="63" t="inlineStr">
        <is>
          <t>gross (stated)</t>
        </is>
      </c>
      <c r="K338" s="66" t="n"/>
      <c r="L338" s="66" t="n">
        <v>41.94</v>
      </c>
      <c r="M338" s="66" t="n">
        <v>41.94</v>
      </c>
      <c r="N338" s="63" t="inlineStr">
        <is>
          <t>Y</t>
        </is>
      </c>
      <c r="O338" s="67" t="n">
        <v>100</v>
      </c>
      <c r="P338" s="67" t="n"/>
      <c r="Q338" s="68" t="n">
        <v>22822.9</v>
      </c>
      <c r="R338" s="63" t="inlineStr">
        <is>
          <t>derived:price x shares upon listing</t>
        </is>
      </c>
      <c r="S338" s="69" t="n">
        <v>21.14</v>
      </c>
      <c r="T338" s="70" t="n">
        <v>2.78</v>
      </c>
      <c r="U338" s="71" t="n">
        <v>51.3</v>
      </c>
      <c r="V338" s="68" t="n">
        <v>902.34</v>
      </c>
      <c r="W338" s="68" t="n">
        <v>21514978</v>
      </c>
      <c r="X338" s="67" t="n">
        <v>3.95</v>
      </c>
      <c r="Y338" s="63" t="inlineStr">
        <is>
          <t>Mercedes-Benz Mobility Services; Mirae Asset Securities (HK) Limited; Infini Global Master Fund; Gotion High-Tech (HK); EVE Asia; RoboSense Hong Kong</t>
        </is>
      </c>
      <c r="Z338" s="63" t="inlineStr">
        <is>
          <t>mercedes;mirae;infini;gotion;eve;robosense</t>
        </is>
      </c>
      <c r="AA338" s="67" t="n">
        <v>15</v>
      </c>
      <c r="AB338" s="72" t="n"/>
      <c r="AC338" s="66" t="n"/>
      <c r="AD338" s="72" t="n"/>
      <c r="AE338" s="63" t="n"/>
      <c r="AF338" s="63" t="n"/>
      <c r="AG338" s="63" t="inlineStr">
        <is>
          <t>partial</t>
        </is>
      </c>
      <c r="AH338" s="63" t="n"/>
      <c r="AI338" s="63" t="inlineStr">
        <is>
          <t>GF Securities</t>
        </is>
      </c>
      <c r="AJ338" s="63" t="inlineStr">
        <is>
          <t>GF</t>
        </is>
      </c>
      <c r="AK338" s="73" t="n">
        <v>-14.16</v>
      </c>
      <c r="AL338" s="72" t="n">
        <v>-19.41</v>
      </c>
      <c r="AM338" s="72" t="n">
        <v>6.51</v>
      </c>
      <c r="AN338" s="72" t="n">
        <v>-16.19</v>
      </c>
      <c r="AO338" s="72" t="n">
        <v>-3.55</v>
      </c>
      <c r="AP338" s="72" t="n">
        <v>25.18</v>
      </c>
      <c r="AQ338" s="72" t="n">
        <v>-2.36</v>
      </c>
      <c r="AR338" s="72" t="n">
        <v>12.36</v>
      </c>
      <c r="AS338" s="72" t="n">
        <v>45.83</v>
      </c>
      <c r="AT338" s="72" t="n">
        <v>-15.13</v>
      </c>
      <c r="AU338" s="72" t="n">
        <v>-10.67</v>
      </c>
      <c r="AV338" s="72" t="n">
        <v>8.93</v>
      </c>
      <c r="AW338" s="72" t="n">
        <v>6.36</v>
      </c>
      <c r="AX338" s="72" t="n">
        <v>7.12</v>
      </c>
      <c r="AY338" s="72" t="n">
        <v>6</v>
      </c>
      <c r="AZ338" s="63" t="inlineStr">
        <is>
          <t>HSTECH (Hang Seng TECH ETF)</t>
        </is>
      </c>
      <c r="BA338" s="72" t="n">
        <v>-65.93000000000001</v>
      </c>
      <c r="BB338" s="64" t="inlineStr">
        <is>
          <t>2026-08-28</t>
        </is>
      </c>
      <c r="BC338" s="65" t="n">
        <v>16123.2</v>
      </c>
      <c r="BD338" s="68" t="n">
        <v>-1371</v>
      </c>
      <c r="BE338" s="63" t="inlineStr">
        <is>
          <t>N</t>
        </is>
      </c>
      <c r="BF338" s="63" t="inlineStr">
        <is>
          <t>n/m</t>
        </is>
      </c>
      <c r="BG338" s="74" t="n"/>
      <c r="BH338" s="74" t="n"/>
      <c r="BI338" s="74" t="n">
        <v>1.4</v>
      </c>
      <c r="BJ338" s="75">
        <f>IF('BBG Verify'!S338="","not filed — run on terminal",'BBG Verify'!S338)</f>
        <v/>
      </c>
      <c r="BK338" s="76" t="inlineStr">
        <is>
          <t>N</t>
        </is>
      </c>
      <c r="BL338" s="77">
        <f>IF('BBG Verify'!K338="","not filed — run on terminal",'BBG Verify'!K338)</f>
        <v/>
      </c>
      <c r="BM338" s="63" t="inlineStr">
        <is>
          <t>N/A</t>
        </is>
      </c>
      <c r="BN338" s="63" t="inlineStr">
        <is>
          <t>N/A</t>
        </is>
      </c>
      <c r="BO338" s="63" t="inlineStr">
        <is>
          <t>N/A</t>
        </is>
      </c>
      <c r="BP338" s="63" t="inlineStr">
        <is>
          <t>N/A</t>
        </is>
      </c>
      <c r="BQ338" s="63" t="inlineStr">
        <is>
          <t>N/A</t>
        </is>
      </c>
      <c r="BR338" s="63" t="inlineStr">
        <is>
          <t>N/A</t>
        </is>
      </c>
      <c r="BS338" s="76" t="inlineStr">
        <is>
          <t>Huatai Financial Holdings (Hong Kong) Limited; ABCI Capital Limited; GF Capital (Hong Kong) Limited</t>
        </is>
      </c>
      <c r="BT338" s="63" t="inlineStr">
        <is>
          <t>Huatai Financial Holdings (Hong Kong) Limited; GF Capital (Hong Kong) Limited; ABCI Capital Limited</t>
        </is>
      </c>
      <c r="BU338" s="63" t="inlineStr">
        <is>
          <t>Huatai Financial Holdings (Hong Kong) Limited; ABCI Capital Limited; GF Securities (Hong Kong) Brokerage Limited; China International Capital Corporation Hong Kong Securities Limited; China Galaxy International Securities (Hong Kong) Co., Limited; CEB International Capital Corporation Limited; BOCI Asia Limited; Soochow Securities International Brokerage Limited</t>
        </is>
      </c>
      <c r="BV338" s="63" t="inlineStr">
        <is>
          <t>ABCI Securities Company Limited; BOCI Asia Limited; CEB International Capital Corporation Limited; China Galaxy International Securities (Hong Kong) Company Limited; China International Capital Corporation Hong Kong Securities Limited; Futu Securities International (Hong Kong) Limited; GF Securities (Hong Kong) Brokerage Limited; Huatai Financial Holdings (Hong Kong) Limited; ICBC International Securities Limited; Neutral Financial Holding Company Limited; Soochow Securities International Brokerage Limited; Star River Securities Limited</t>
        </is>
      </c>
      <c r="BW338" s="78">
        <f>HYPERLINK("https://www1.hkexnews.hk/listedco/listconews/sehk/2025/0617/2025061700008.pdf","prospectus")</f>
        <v/>
      </c>
      <c r="BX338" s="78">
        <f>HYPERLINK("https://www1.hkexnews.hk/listedco/listconews/sehk/2025/0624/2025062401322.pdf","allotment")</f>
        <v/>
      </c>
      <c r="BY338" s="78">
        <f>HYPERLINK("https://www1.hkexnews.hk/listedco/listconews/sehk/2025/0721/2025072100017.pdf","stabilisation")</f>
        <v/>
      </c>
      <c r="BZ338" s="76" t="n"/>
      <c r="CA338" s="63" t="inlineStr">
        <is>
          <t>P/E: n/m — loss-making at IPO (use P/S) · greenshoe: over-allotment outcome already published, and the allotment announcement does not state the stabilisation expiry in a parsable form — the expiry no longer matters once resolved · range low: cap-only pricing — the filing publishes a Maximum Offer Price and no indicative floor · A/H: no A-share listing · grey market: no grey-market headline on file for this deal — AAStocks publishes one per listing but keeps only recent items on the stock's news page, and no public archive of past evening sessions exists; captured from this run onward</t>
        </is>
      </c>
    </row>
    <row r="339" ht="15" customHeight="1">
      <c r="A339" s="62" t="inlineStr">
        <is>
          <t>6168</t>
        </is>
      </c>
      <c r="B339" s="63" t="inlineStr">
        <is>
          <t>ZHOU LIU FU</t>
        </is>
      </c>
      <c r="C339" s="63" t="inlineStr">
        <is>
          <t>周六福</t>
        </is>
      </c>
      <c r="D339" s="63" t="inlineStr">
        <is>
          <t>Consumer</t>
        </is>
      </c>
      <c r="E339" s="63" t="inlineStr">
        <is>
          <t>Apparel / luxury</t>
        </is>
      </c>
      <c r="F339" s="63" t="inlineStr">
        <is>
          <t>Watch &amp; Jewellery</t>
        </is>
      </c>
      <c r="G339" s="63" t="inlineStr">
        <is>
          <t>Standard</t>
        </is>
      </c>
      <c r="H339" s="64" t="n">
        <v>45834</v>
      </c>
      <c r="I339" s="65" t="n">
        <v>1291.9</v>
      </c>
      <c r="J339" s="63" t="inlineStr">
        <is>
          <t>gross (stated)</t>
        </is>
      </c>
      <c r="K339" s="66" t="n"/>
      <c r="L339" s="66" t="n">
        <v>24</v>
      </c>
      <c r="M339" s="66" t="n">
        <v>24</v>
      </c>
      <c r="N339" s="63" t="inlineStr">
        <is>
          <t>Y</t>
        </is>
      </c>
      <c r="O339" s="67" t="n">
        <v>100</v>
      </c>
      <c r="P339" s="67" t="n"/>
      <c r="Q339" s="68" t="n">
        <v>10381</v>
      </c>
      <c r="R339" s="63" t="inlineStr">
        <is>
          <t>derived:price x shares upon listing</t>
        </is>
      </c>
      <c r="S339" s="69" t="n">
        <v>711.11</v>
      </c>
      <c r="T339" s="70" t="n">
        <v>13.55</v>
      </c>
      <c r="U339" s="71" t="n"/>
      <c r="V339" s="68" t="n"/>
      <c r="W339" s="68" t="n"/>
      <c r="X339" s="67" t="n"/>
      <c r="Y339" s="63" t="inlineStr">
        <is>
          <t>CICC Financial Trading Limited; Jump Trading Pacific Pte. Ltd; Seraphim Advantage Inc; GF International Investment Management Limited; GF Global Capital Limited; CITIC Securities International Capital Management Limited; Trading Pacific Pte. Ltd</t>
        </is>
      </c>
      <c r="Z339" s="63" t="inlineStr">
        <is>
          <t>china-international;jump;seraphim;gf;citic;trading</t>
        </is>
      </c>
      <c r="AA339" s="67" t="n">
        <v>15</v>
      </c>
      <c r="AB339" s="72" t="n"/>
      <c r="AC339" s="66" t="n"/>
      <c r="AD339" s="72" t="n"/>
      <c r="AE339" s="63" t="n"/>
      <c r="AF339" s="63" t="n"/>
      <c r="AG339" s="63" t="n"/>
      <c r="AH339" s="63" t="n"/>
      <c r="AI339" s="63" t="n"/>
      <c r="AJ339" s="63" t="n"/>
      <c r="AK339" s="73" t="n">
        <v>25</v>
      </c>
      <c r="AL339" s="72" t="n">
        <v>11.25</v>
      </c>
      <c r="AM339" s="72" t="n">
        <v>12.36</v>
      </c>
      <c r="AN339" s="72" t="n">
        <v>55.42</v>
      </c>
      <c r="AO339" s="72" t="n">
        <v>61.46</v>
      </c>
      <c r="AP339" s="72" t="n">
        <v>81.25</v>
      </c>
      <c r="AQ339" s="72" t="n">
        <v>24.34</v>
      </c>
      <c r="AR339" s="72" t="n">
        <v>29.17</v>
      </c>
      <c r="AS339" s="72" t="n">
        <v>45</v>
      </c>
      <c r="AT339" s="72" t="n">
        <v>57.84</v>
      </c>
      <c r="AU339" s="72" t="n">
        <v>56.14</v>
      </c>
      <c r="AV339" s="72" t="n">
        <v>67.05</v>
      </c>
      <c r="AW339" s="72" t="n">
        <v>23.09</v>
      </c>
      <c r="AX339" s="72" t="n">
        <v>5.32</v>
      </c>
      <c r="AY339" s="72" t="n">
        <v>6.08</v>
      </c>
      <c r="AZ339" s="63" t="inlineStr">
        <is>
          <t>Hang Seng Commerce &amp; Industry sub-index</t>
        </is>
      </c>
      <c r="BA339" s="72" t="n">
        <v>-40.17</v>
      </c>
      <c r="BB339" s="64" t="inlineStr">
        <is>
          <t>2026-08-28</t>
        </is>
      </c>
      <c r="BC339" s="65" t="n">
        <v>6290</v>
      </c>
      <c r="BD339" s="68" t="n">
        <v>776.9</v>
      </c>
      <c r="BE339" s="63" t="inlineStr">
        <is>
          <t>Y</t>
        </is>
      </c>
      <c r="BF339" s="74" t="n">
        <v>13.4</v>
      </c>
      <c r="BG339" s="74" t="n">
        <v>14.5</v>
      </c>
      <c r="BH339" s="74" t="n">
        <v>6.3</v>
      </c>
      <c r="BI339" s="74" t="n">
        <v>1.7</v>
      </c>
      <c r="BJ339" s="75">
        <f>IF('BBG Verify'!S339="","not filed — run on terminal",'BBG Verify'!S339)</f>
        <v/>
      </c>
      <c r="BK339" s="76" t="inlineStr">
        <is>
          <t>N</t>
        </is>
      </c>
      <c r="BL339" s="77">
        <f>IF('BBG Verify'!K339="","not filed — run on terminal",'BBG Verify'!K339)</f>
        <v/>
      </c>
      <c r="BM339" s="63" t="inlineStr">
        <is>
          <t>N/A</t>
        </is>
      </c>
      <c r="BN339" s="63" t="inlineStr">
        <is>
          <t>N/A</t>
        </is>
      </c>
      <c r="BO339" s="63" t="inlineStr">
        <is>
          <t>N/A</t>
        </is>
      </c>
      <c r="BP339" s="63" t="inlineStr">
        <is>
          <t>N/A</t>
        </is>
      </c>
      <c r="BQ339" s="63" t="inlineStr">
        <is>
          <t>N/A</t>
        </is>
      </c>
      <c r="BR339" s="63" t="inlineStr">
        <is>
          <t>N/A</t>
        </is>
      </c>
      <c r="BS339" s="76" t="n"/>
      <c r="BT339" s="63" t="inlineStr">
        <is>
          <t>China International Capital Corporation Hong Kong Securities Limited; China Securities (International) Corporate Finance Company Limited</t>
        </is>
      </c>
      <c r="BU339" s="63" t="inlineStr">
        <is>
          <t>ABCI Securities Company Limited; BOCOM International Securities Limited; China Galaxy International Securities (Hong Kong) Company Limited; China International Capital Corporation Hong Kong Securities Limited; China Industrial Securities International Capital Limited; CMB International Capital Limited</t>
        </is>
      </c>
      <c r="BV339" s="63" t="inlineStr">
        <is>
          <t>ABCI Securities Company Limited; BOCOM International Securities Limited; China Galaxy International Securities (Hong Kong) Company Limited; China International Capital Corporation Hong Kong Securities Limited; China Industrial Securities International Capital Limited; CMB International Capital Limited; China Securities (International) Corporate Finance Company Limited; Fosun International Securities Limited; Futu Securities International (Hong Kong) Limited; Tiger Brokers (HK) Global Limited</t>
        </is>
      </c>
      <c r="BW339" s="63" t="n"/>
      <c r="BX339" s="78">
        <f>HYPERLINK("https://www1.hkexnews.hk/listedco/listconews/sehk/2025/0625/2025062502268.pdf","allotment")</f>
        <v/>
      </c>
      <c r="BY339" s="63" t="n"/>
      <c r="BZ339" s="76" t="n"/>
      <c r="CA339" s="63" t="inlineStr">
        <is>
          <t>greenshoe: end-of-stabilisation notice not located · price range: fixed-price offering (no indicative range) · range low: cap-only pricing — the filing publishes a Maximum Offer Price and no indicative floor · A/H: no A-share listing · sponsor: English name not in the filing text; AAStocks 保薦人 shown · cornerstone %: cornerstone aggregate not stated in the filing · stabilising manager: neither the allotment announcement's cover sentence nor the prospectus definitions glossary names one in a form the parser reads — not inferred from the sponsor · filing links: no prospectus document returned by the HKEX per-stock search for this code — the allotment announcement is linked beside it · grey market: no grey-market headline on file for this deal — AAStocks publishes one per listing but keeps only recent items on the stock's news page, and no public archive of past evening sessions exists; captured from this run onward · eff free float: not computable as a % of cap — cornerstone % unknown</t>
        </is>
      </c>
    </row>
    <row r="340" ht="15" customHeight="1">
      <c r="A340" s="62" t="inlineStr">
        <is>
          <t>2508</t>
        </is>
      </c>
      <c r="B340" s="63" t="inlineStr">
        <is>
          <t>SAINT BELLA</t>
        </is>
      </c>
      <c r="C340" s="63" t="inlineStr">
        <is>
          <t>聖貝拉集團</t>
        </is>
      </c>
      <c r="D340" s="63" t="inlineStr">
        <is>
          <t>Healthcare</t>
        </is>
      </c>
      <c r="E340" s="63" t="inlineStr">
        <is>
          <t>Hospitals / clinics</t>
        </is>
      </c>
      <c r="F340" s="63" t="inlineStr">
        <is>
          <t>Health Care Services</t>
        </is>
      </c>
      <c r="G340" s="63" t="inlineStr">
        <is>
          <t>Standard</t>
        </is>
      </c>
      <c r="H340" s="64" t="n">
        <v>45834</v>
      </c>
      <c r="I340" s="65" t="n">
        <v>722</v>
      </c>
      <c r="J340" s="63" t="inlineStr">
        <is>
          <t>gross (price x shares)</t>
        </is>
      </c>
      <c r="K340" s="66" t="n"/>
      <c r="L340" s="66" t="n">
        <v>6.58</v>
      </c>
      <c r="M340" s="66" t="n">
        <v>6.58</v>
      </c>
      <c r="N340" s="63" t="inlineStr">
        <is>
          <t>Y</t>
        </is>
      </c>
      <c r="O340" s="67" t="n">
        <v>100</v>
      </c>
      <c r="P340" s="67" t="n"/>
      <c r="Q340" s="68" t="n">
        <v>4012</v>
      </c>
      <c r="R340" s="63" t="inlineStr">
        <is>
          <t>derived:price x shares upon listing</t>
        </is>
      </c>
      <c r="S340" s="69" t="n">
        <v>193</v>
      </c>
      <c r="T340" s="70" t="n">
        <v>15.59</v>
      </c>
      <c r="U340" s="71" t="n">
        <v>10.8</v>
      </c>
      <c r="V340" s="68" t="n">
        <v>644.02</v>
      </c>
      <c r="W340" s="68" t="n">
        <v>97881836</v>
      </c>
      <c r="X340" s="67" t="n">
        <v>16.05</v>
      </c>
      <c r="Y340" s="63" t="inlineStr">
        <is>
          <t>JKKB Limited; Carl Wu / 吳啟楠</t>
        </is>
      </c>
      <c r="Z340" s="63" t="inlineStr">
        <is>
          <t>jkkb;carl</t>
        </is>
      </c>
      <c r="AA340" s="67" t="n">
        <v>15</v>
      </c>
      <c r="AB340" s="72" t="n"/>
      <c r="AC340" s="66" t="n"/>
      <c r="AD340" s="72" t="n"/>
      <c r="AE340" s="63" t="n"/>
      <c r="AF340" s="63" t="n"/>
      <c r="AG340" s="63" t="inlineStr">
        <is>
          <t>partial</t>
        </is>
      </c>
      <c r="AH340" s="63" t="inlineStr">
        <is>
          <t>2025-07-23</t>
        </is>
      </c>
      <c r="AI340" s="63" t="inlineStr">
        <is>
          <t>UBS AG Hong Kong Branch</t>
        </is>
      </c>
      <c r="AJ340" s="63" t="inlineStr">
        <is>
          <t>UBS</t>
        </is>
      </c>
      <c r="AK340" s="73" t="n">
        <v>33.74</v>
      </c>
      <c r="AL340" s="72" t="n">
        <v>28.42</v>
      </c>
      <c r="AM340" s="72" t="n">
        <v>4.14</v>
      </c>
      <c r="AN340" s="72" t="n">
        <v>0.46</v>
      </c>
      <c r="AO340" s="72" t="n">
        <v>16.41</v>
      </c>
      <c r="AP340" s="72" t="n">
        <v>-6.53</v>
      </c>
      <c r="AQ340" s="72" t="n">
        <v>-24.88</v>
      </c>
      <c r="AR340" s="72" t="n">
        <v>-12.96</v>
      </c>
      <c r="AS340" s="72" t="n">
        <v>-30.11</v>
      </c>
      <c r="AT340" s="72" t="n">
        <v>-3.25</v>
      </c>
      <c r="AU340" s="72" t="n">
        <v>-2.52</v>
      </c>
      <c r="AV340" s="72" t="n">
        <v>-34</v>
      </c>
      <c r="AW340" s="72" t="n">
        <v>-34.63</v>
      </c>
      <c r="AX340" s="72" t="n">
        <v>18.93</v>
      </c>
      <c r="AY340" s="72" t="n">
        <v>21.67</v>
      </c>
      <c r="AZ340" s="63" t="inlineStr">
        <is>
          <t>China Biotech ETF (HS biotech proxy)</t>
        </is>
      </c>
      <c r="BA340" s="72" t="n">
        <v>-51.82</v>
      </c>
      <c r="BB340" s="64" t="inlineStr">
        <is>
          <t>2026-08-28</t>
        </is>
      </c>
      <c r="BC340" s="65" t="n">
        <v>878.5</v>
      </c>
      <c r="BD340" s="68" t="n">
        <v>-597.6</v>
      </c>
      <c r="BE340" s="63" t="inlineStr">
        <is>
          <t>N</t>
        </is>
      </c>
      <c r="BF340" s="63" t="inlineStr">
        <is>
          <t>n/m</t>
        </is>
      </c>
      <c r="BG340" s="74" t="n"/>
      <c r="BH340" s="74" t="n">
        <v>2.2</v>
      </c>
      <c r="BI340" s="74" t="n">
        <v>4.6</v>
      </c>
      <c r="BJ340" s="75">
        <f>IF('BBG Verify'!S340="","not filed — run on terminal",'BBG Verify'!S340)</f>
        <v/>
      </c>
      <c r="BK340" s="76" t="inlineStr">
        <is>
          <t>N</t>
        </is>
      </c>
      <c r="BL340" s="77">
        <f>IF('BBG Verify'!K340="","not filed — run on terminal",'BBG Verify'!K340)</f>
        <v/>
      </c>
      <c r="BM340" s="63" t="inlineStr">
        <is>
          <t>N/A</t>
        </is>
      </c>
      <c r="BN340" s="63" t="inlineStr">
        <is>
          <t>N/A</t>
        </is>
      </c>
      <c r="BO340" s="63" t="inlineStr">
        <is>
          <t>N/A</t>
        </is>
      </c>
      <c r="BP340" s="63" t="inlineStr">
        <is>
          <t>N/A</t>
        </is>
      </c>
      <c r="BQ340" s="63" t="inlineStr">
        <is>
          <t>N/A</t>
        </is>
      </c>
      <c r="BR340" s="63" t="inlineStr">
        <is>
          <t>N/A</t>
        </is>
      </c>
      <c r="BS340" s="76" t="inlineStr">
        <is>
          <t>UBS Securities Hong Kong Limited; CITIC Securities (Hong Kong) Limited</t>
        </is>
      </c>
      <c r="BT340" s="63" t="inlineStr">
        <is>
          <t>UBS Securities Hong Kong Limited; CITIC Securities (Hong Kong) Limited</t>
        </is>
      </c>
      <c r="BU340" s="63" t="inlineStr">
        <is>
          <t>UBS AG Hong Kong Branch; CLSA Limited; Huatai Financial Holdings (Hong Kong) Limited; GF Securities (Hong Kong) Brokerage Limited; CMB International Capital Limited; CCB International Capital Limited; Caitong International Securities Co., Limited; Futu Securities International (Hong Kong) Limited</t>
        </is>
      </c>
      <c r="BV340" s="63" t="inlineStr">
        <is>
          <t>Caitong International Securities Company Limited; CCB International Capital Limited; CLSA Limited; CMB International Capital Limited; Futu Securities International (Hong Kong) Limited; GF Securities (Hong Kong) Brokerage Limited; Huatai Financial Holdings (Hong Kong) Limited; Mirae Asset Securities (HK) Limited; UBS AG Hong Kong Branch</t>
        </is>
      </c>
      <c r="BW340" s="78">
        <f>HYPERLINK("https://www1.hkexnews.hk/listedco/listconews/sehk/2025/0618/2025061800127.pdf","prospectus")</f>
        <v/>
      </c>
      <c r="BX340" s="78">
        <f>HYPERLINK("https://www1.hkexnews.hk/listedco/listconews/sehk/2025/0625/2025062502266.pdf","allotment")</f>
        <v/>
      </c>
      <c r="BY340" s="78">
        <f>HYPERLINK("https://www1.hkexnews.hk/listedco/listconews/sehk/2025/0723/2025072301180.pdf","stabilisation")</f>
        <v/>
      </c>
      <c r="BZ340" s="76" t="n"/>
      <c r="CA340" s="63" t="inlineStr">
        <is>
          <t>P/E: n/m — loss-making at IPO (use P/S) · range low: cap-only pricing — the filing publishes a Maximum Offer Price and no indicative floor · A/H: no A-share listing · grey market: no grey-market headline on file for this deal — AAStocks publishes one per listing but keeps only recent items on the stock's news page, and no public archive of past evening sessions exists; captured from this run onward</t>
        </is>
      </c>
    </row>
    <row r="341" ht="15" customHeight="1">
      <c r="A341" s="62" t="inlineStr">
        <is>
          <t>6883</t>
        </is>
      </c>
      <c r="B341" s="63" t="inlineStr">
        <is>
          <t>ETERNAL BEAUTY</t>
        </is>
      </c>
      <c r="C341" s="63" t="inlineStr">
        <is>
          <t>穎通控股</t>
        </is>
      </c>
      <c r="D341" s="63" t="inlineStr">
        <is>
          <t>Consumer</t>
        </is>
      </c>
      <c r="E341" s="63" t="inlineStr">
        <is>
          <t>Beauty / personal care</t>
        </is>
      </c>
      <c r="F341" s="63" t="inlineStr">
        <is>
          <t>Beauty &amp; Toiletries Products and Services</t>
        </is>
      </c>
      <c r="G341" s="63" t="inlineStr">
        <is>
          <t>Standard</t>
        </is>
      </c>
      <c r="H341" s="64" t="n">
        <v>45834</v>
      </c>
      <c r="I341" s="65" t="n">
        <v>960.1900000000001</v>
      </c>
      <c r="J341" s="63" t="inlineStr">
        <is>
          <t>gross (stated)</t>
        </is>
      </c>
      <c r="K341" s="66" t="n"/>
      <c r="L341" s="66" t="n">
        <v>2.88</v>
      </c>
      <c r="M341" s="66" t="n">
        <v>2.88</v>
      </c>
      <c r="N341" s="63" t="inlineStr">
        <is>
          <t>Y</t>
        </is>
      </c>
      <c r="O341" s="67" t="n">
        <v>100</v>
      </c>
      <c r="P341" s="67" t="n"/>
      <c r="Q341" s="68" t="n">
        <v>3840.2</v>
      </c>
      <c r="R341" s="63" t="inlineStr">
        <is>
          <t>derived:price x shares upon listing</t>
        </is>
      </c>
      <c r="S341" s="69" t="n">
        <v>35.84</v>
      </c>
      <c r="T341" s="70" t="n">
        <v>3.5</v>
      </c>
      <c r="U341" s="71" t="n"/>
      <c r="V341" s="68" t="n">
        <v>960.1900000000001</v>
      </c>
      <c r="W341" s="68" t="n">
        <v>333400000</v>
      </c>
      <c r="X341" s="67" t="n">
        <v>25</v>
      </c>
      <c r="Y341" s="63" t="n"/>
      <c r="Z341" s="63" t="n"/>
      <c r="AA341" s="67" t="n">
        <v>15</v>
      </c>
      <c r="AB341" s="72" t="n"/>
      <c r="AC341" s="66" t="n"/>
      <c r="AD341" s="72" t="n"/>
      <c r="AE341" s="63" t="n"/>
      <c r="AF341" s="63" t="n"/>
      <c r="AG341" s="63" t="n"/>
      <c r="AH341" s="63" t="inlineStr">
        <is>
          <t>2025-07-23</t>
        </is>
      </c>
      <c r="AI341" s="63" t="n"/>
      <c r="AJ341" s="63" t="n"/>
      <c r="AK341" s="73" t="n">
        <v>-16.67</v>
      </c>
      <c r="AL341" s="72" t="n">
        <v>-10.42</v>
      </c>
      <c r="AM341" s="72" t="n">
        <v>-6.98</v>
      </c>
      <c r="AN341" s="72" t="n">
        <v>-23.61</v>
      </c>
      <c r="AO341" s="72" t="n">
        <v>-28.47</v>
      </c>
      <c r="AP341" s="72" t="n">
        <v>-27.08</v>
      </c>
      <c r="AQ341" s="72" t="n">
        <v>-8.33</v>
      </c>
      <c r="AR341" s="72" t="n">
        <v>-14.16</v>
      </c>
      <c r="AS341" s="72" t="n">
        <v>-12.49</v>
      </c>
      <c r="AT341" s="72" t="n">
        <v>-21.19</v>
      </c>
      <c r="AU341" s="72" t="n">
        <v>-33.79</v>
      </c>
      <c r="AV341" s="72" t="n">
        <v>-41.28</v>
      </c>
      <c r="AW341" s="72" t="n">
        <v>-20.24</v>
      </c>
      <c r="AX341" s="72" t="n">
        <v>5.32</v>
      </c>
      <c r="AY341" s="72" t="n">
        <v>6.08</v>
      </c>
      <c r="AZ341" s="63" t="inlineStr">
        <is>
          <t>Hang Seng Commerce &amp; Industry sub-index</t>
        </is>
      </c>
      <c r="BA341" s="72" t="n">
        <v>-29.51</v>
      </c>
      <c r="BB341" s="64" t="inlineStr">
        <is>
          <t>2026-08-28</t>
        </is>
      </c>
      <c r="BC341" s="65" t="n">
        <v>2291.7</v>
      </c>
      <c r="BD341" s="68" t="n">
        <v>249.7</v>
      </c>
      <c r="BE341" s="63" t="inlineStr">
        <is>
          <t>Y</t>
        </is>
      </c>
      <c r="BF341" s="74" t="n">
        <v>15.4</v>
      </c>
      <c r="BG341" s="74" t="n"/>
      <c r="BH341" s="74" t="n">
        <v>9.1</v>
      </c>
      <c r="BI341" s="74" t="n">
        <v>1.7</v>
      </c>
      <c r="BJ341" s="75">
        <f>IF('BBG Verify'!S341="","not filed — run on terminal",'BBG Verify'!S341)</f>
        <v/>
      </c>
      <c r="BK341" s="76" t="inlineStr">
        <is>
          <t>N</t>
        </is>
      </c>
      <c r="BL341" s="77">
        <f>IF('BBG Verify'!K341="","not filed — run on terminal",'BBG Verify'!K341)</f>
        <v/>
      </c>
      <c r="BM341" s="63" t="inlineStr">
        <is>
          <t>N/A</t>
        </is>
      </c>
      <c r="BN341" s="63" t="inlineStr">
        <is>
          <t>N/A</t>
        </is>
      </c>
      <c r="BO341" s="63" t="inlineStr">
        <is>
          <t>N/A</t>
        </is>
      </c>
      <c r="BP341" s="63" t="inlineStr">
        <is>
          <t>N/A</t>
        </is>
      </c>
      <c r="BQ341" s="63" t="inlineStr">
        <is>
          <t>N/A</t>
        </is>
      </c>
      <c r="BR341" s="63" t="inlineStr">
        <is>
          <t>N/A</t>
        </is>
      </c>
      <c r="BS341" s="76" t="n"/>
      <c r="BT341" s="63" t="inlineStr">
        <is>
          <t>CITIC Securities (Hong Kong) Limited; BNP Paribas Securities (Asia) Limited</t>
        </is>
      </c>
      <c r="BU341" s="63" t="inlineStr">
        <is>
          <t>BNP Paribas Securities (Asia) Limited; China Harbour International Securities Limited; CLSA Limited; CMB International Capital Corporation Limited; DBS Asia Capital Limited; First Shanghai Securities Limited</t>
        </is>
      </c>
      <c r="BV341" s="63" t="inlineStr">
        <is>
          <t>BNP Paribas Securities (Asia) Limited; China Harbour International Securities Limited; CLSA Limited; CMB International Capital Corporation Limited; DBS Asia Capital Limited; First Shanghai Securities Limited; Futu Securities International (Hong Kong) Limited; SBI China Capital Financial Services Limited</t>
        </is>
      </c>
      <c r="BW341" s="63" t="n"/>
      <c r="BX341" s="78">
        <f>HYPERLINK("https://www1.hkexnews.hk/listedco/listconews/sehk/2025/0626/2025062600005.pdf","allotment")</f>
        <v/>
      </c>
      <c r="BY341" s="63" t="n"/>
      <c r="BZ341" s="76" t="n"/>
      <c r="CA341" s="63" t="inlineStr">
        <is>
          <t>greenshoe: end-of-stabilisation notice not located · price range: fixed-price offering (no indicative range) · range low: cap-only pricing — the filing publishes a Maximum Offer Price and no indicative floor · A/H: no A-share listing · sponsor: English name not in the filing text; AAStocks 保薦人 shown · cornerstone list: cornerstone section not machine-extractable — see the prospectus link · cornerstone %: cornerstone aggregate not stated in the filing · stabilising manager: neither the allotment announcement's cover sentence nor the prospectus definitions glossary names one in a form the parser reads — not inferred from the sponsor · filing links: no prospectus document returned by the HKEX per-stock search for this code — the allotment announcement is linked beside it · grey market: no grey-market headline on file for this deal — AAStocks publishes one per listing but keeps only recent items on the stock's news page, and no public archive of past evening sessions exists; captured from this run onward</t>
        </is>
      </c>
    </row>
    <row r="342" ht="15" customHeight="1">
      <c r="A342" s="62" t="inlineStr">
        <is>
          <t>9678</t>
        </is>
      </c>
      <c r="B342" s="63" t="inlineStr">
        <is>
          <t>UNISOUND</t>
        </is>
      </c>
      <c r="C342" s="63" t="inlineStr">
        <is>
          <t>雲知聲</t>
        </is>
      </c>
      <c r="D342" s="63" t="inlineStr">
        <is>
          <t>Tech/AI</t>
        </is>
      </c>
      <c r="E342" s="63" t="inlineStr">
        <is>
          <t>AI application / agent software</t>
        </is>
      </c>
      <c r="F342" s="63" t="inlineStr">
        <is>
          <t>Advanced hardware and software</t>
        </is>
      </c>
      <c r="G342" s="63" t="inlineStr">
        <is>
          <t>Standard</t>
        </is>
      </c>
      <c r="H342" s="64" t="n">
        <v>45838</v>
      </c>
      <c r="I342" s="65" t="n">
        <v>320</v>
      </c>
      <c r="J342" s="63" t="inlineStr">
        <is>
          <t>gross (stated)</t>
        </is>
      </c>
      <c r="K342" s="66" t="n">
        <v>165</v>
      </c>
      <c r="L342" s="66" t="n">
        <v>205</v>
      </c>
      <c r="M342" s="66" t="n">
        <v>205</v>
      </c>
      <c r="N342" s="63" t="inlineStr">
        <is>
          <t>Y</t>
        </is>
      </c>
      <c r="O342" s="67" t="n">
        <v>100</v>
      </c>
      <c r="P342" s="67" t="n">
        <v>100</v>
      </c>
      <c r="Q342" s="68" t="n">
        <v>14545.5</v>
      </c>
      <c r="R342" s="63" t="inlineStr">
        <is>
          <t>derived:price x shares upon listing</t>
        </is>
      </c>
      <c r="S342" s="69" t="n">
        <v>91.66</v>
      </c>
      <c r="T342" s="70" t="n">
        <v>1.7</v>
      </c>
      <c r="U342" s="71" t="n">
        <v>29.65</v>
      </c>
      <c r="V342" s="68" t="n">
        <v>225.12</v>
      </c>
      <c r="W342" s="68" t="n">
        <v>1098149</v>
      </c>
      <c r="X342" s="67" t="n">
        <v>1.55</v>
      </c>
      <c r="Y342" s="63" t="inlineStr">
        <is>
          <t>Nebula</t>
        </is>
      </c>
      <c r="Z342" s="63" t="inlineStr">
        <is>
          <t>nebula</t>
        </is>
      </c>
      <c r="AA342" s="67" t="n">
        <v>10.17</v>
      </c>
      <c r="AB342" s="72" t="n"/>
      <c r="AC342" s="66" t="n"/>
      <c r="AD342" s="72" t="n"/>
      <c r="AE342" s="63" t="n"/>
      <c r="AF342" s="63" t="n"/>
      <c r="AG342" s="63" t="inlineStr">
        <is>
          <t>full</t>
        </is>
      </c>
      <c r="AH342" s="63" t="inlineStr">
        <is>
          <t>2025-07-25</t>
        </is>
      </c>
      <c r="AI342" s="63" t="inlineStr">
        <is>
          <t>China International Capital Corporation Hong Kong Securities Limited</t>
        </is>
      </c>
      <c r="AJ342" s="63" t="inlineStr">
        <is>
          <t>China International</t>
        </is>
      </c>
      <c r="AK342" s="73" t="n">
        <v>44.59</v>
      </c>
      <c r="AL342" s="72" t="n">
        <v>0</v>
      </c>
      <c r="AM342" s="72" t="n">
        <v>44.59</v>
      </c>
      <c r="AN342" s="72" t="n">
        <v>105.37</v>
      </c>
      <c r="AO342" s="72" t="n">
        <v>184.88</v>
      </c>
      <c r="AP342" s="72" t="n">
        <v>137.17</v>
      </c>
      <c r="AQ342" s="72" t="n">
        <v>42.04</v>
      </c>
      <c r="AR342" s="72" t="n">
        <v>97.03</v>
      </c>
      <c r="AS342" s="72" t="n">
        <v>64.03</v>
      </c>
      <c r="AT342" s="72" t="n">
        <v>105.56</v>
      </c>
      <c r="AU342" s="72" t="n">
        <v>182.02</v>
      </c>
      <c r="AV342" s="72" t="n">
        <v>121.63</v>
      </c>
      <c r="AW342" s="72" t="n">
        <v>93.48</v>
      </c>
      <c r="AX342" s="72" t="n">
        <v>2.86</v>
      </c>
      <c r="AY342" s="72" t="n">
        <v>3.55</v>
      </c>
      <c r="AZ342" s="63" t="inlineStr">
        <is>
          <t>HSTECH (Hang Seng TECH ETF)</t>
        </is>
      </c>
      <c r="BA342" s="72" t="n">
        <v>-68.29000000000001</v>
      </c>
      <c r="BB342" s="64" t="inlineStr">
        <is>
          <t>2026-08-28</t>
        </is>
      </c>
      <c r="BC342" s="65" t="n">
        <v>1032.9</v>
      </c>
      <c r="BD342" s="68" t="n">
        <v>-499.6</v>
      </c>
      <c r="BE342" s="63" t="inlineStr">
        <is>
          <t>N</t>
        </is>
      </c>
      <c r="BF342" s="63" t="inlineStr">
        <is>
          <t>n/m</t>
        </is>
      </c>
      <c r="BG342" s="74" t="n"/>
      <c r="BH342" s="74" t="n"/>
      <c r="BI342" s="74" t="n">
        <v>14.1</v>
      </c>
      <c r="BJ342" s="75">
        <f>IF('BBG Verify'!S342="","not filed — run on terminal",'BBG Verify'!S342)</f>
        <v/>
      </c>
      <c r="BK342" s="76" t="inlineStr">
        <is>
          <t>N</t>
        </is>
      </c>
      <c r="BL342" s="77">
        <f>IF('BBG Verify'!K342="","not filed — run on terminal",'BBG Verify'!K342)</f>
        <v/>
      </c>
      <c r="BM342" s="63" t="inlineStr">
        <is>
          <t>N/A</t>
        </is>
      </c>
      <c r="BN342" s="63" t="inlineStr">
        <is>
          <t>N/A</t>
        </is>
      </c>
      <c r="BO342" s="63" t="inlineStr">
        <is>
          <t>N/A</t>
        </is>
      </c>
      <c r="BP342" s="63" t="inlineStr">
        <is>
          <t>N/A</t>
        </is>
      </c>
      <c r="BQ342" s="63" t="inlineStr">
        <is>
          <t>N/A</t>
        </is>
      </c>
      <c r="BR342" s="63" t="inlineStr">
        <is>
          <t>N/A</t>
        </is>
      </c>
      <c r="BS342" s="76" t="inlineStr">
        <is>
          <t>China International Capital Corporation Hong Kong Securities Limited; Haitong International Capital Limited</t>
        </is>
      </c>
      <c r="BT342" s="63" t="inlineStr">
        <is>
          <t>China International Capital Corporation Hong Kong Securities Limited; Haitong International Capital Limited</t>
        </is>
      </c>
      <c r="BU342" s="63" t="inlineStr">
        <is>
          <t>China International Capital Corporation Hong Kong Securities Limited; Haitong International Securities Company Limited; ABCI Capital Limited; Orient Securities (Hong Kong) Limited; CMBC Securities Company Limited; Tiger Brokers (HK) Global Limited</t>
        </is>
      </c>
      <c r="BV342" s="63" t="inlineStr">
        <is>
          <t>ABCI Securities Company Limited; China International Capital Corporation Hong Kong Securities Limited; CMBC Securities Company Limited; Haitong International Securities Company Limited; Orient Securities (Hong Kong) Limited; Tiger Brokers (HK) Global Limited</t>
        </is>
      </c>
      <c r="BW342" s="78">
        <f>HYPERLINK("https://www1.hkexnews.hk/listedco/listconews/sehk/2025/0620/2025062000023.pdf","prospectus")</f>
        <v/>
      </c>
      <c r="BX342" s="78">
        <f>HYPERLINK("https://www1.hkexnews.hk/listedco/listconews/sehk/2025/0627/2025062702974.pdf","allotment")</f>
        <v/>
      </c>
      <c r="BY342" s="78">
        <f>HYPERLINK("https://www1.hkexnews.hk/listedco/listconews/sehk/2025/0725/2025072501515.pdf","stabilisation")</f>
        <v/>
      </c>
      <c r="BZ342" s="76" t="n"/>
      <c r="CA342" s="63" t="inlineStr">
        <is>
          <t>P/E: n/m — loss-making at IPO (use P/S) · A/H: no A line; closest listed proxy {'code': '002230.SZ', 'name': 'iFlytek', 'rationale': 'Direct A-share competitor in voice AI and speech-centric LLMs (Spark model).'} · grey market: no grey-market headline on file for this deal — AAStocks publishes one per listing but keeps only recent items on the stock's news page, and no public archive of past evening sessions exists; captured from this run onward</t>
        </is>
      </c>
    </row>
    <row r="343" ht="15" customHeight="1">
      <c r="A343" s="62" t="inlineStr">
        <is>
          <t>3880</t>
        </is>
      </c>
      <c r="B343" s="63" t="inlineStr">
        <is>
          <t>MEDTIDE</t>
        </is>
      </c>
      <c r="C343" s="63" t="inlineStr">
        <is>
          <t>泰德醫藥</t>
        </is>
      </c>
      <c r="D343" s="63" t="inlineStr">
        <is>
          <t>Healthcare</t>
        </is>
      </c>
      <c r="E343" s="63" t="inlineStr">
        <is>
          <t>CXO / pharma services</t>
        </is>
      </c>
      <c r="F343" s="63" t="inlineStr">
        <is>
          <t>Biotechnology - Pharmaceuticals</t>
        </is>
      </c>
      <c r="G343" s="63" t="inlineStr">
        <is>
          <t>Standard</t>
        </is>
      </c>
      <c r="H343" s="64" t="n">
        <v>45838</v>
      </c>
      <c r="I343" s="65" t="n">
        <v>514.08</v>
      </c>
      <c r="J343" s="63" t="inlineStr">
        <is>
          <t>gross (stated)</t>
        </is>
      </c>
      <c r="K343" s="66" t="n">
        <v>28.4</v>
      </c>
      <c r="L343" s="66" t="n">
        <v>30.6</v>
      </c>
      <c r="M343" s="66" t="n">
        <v>30.6</v>
      </c>
      <c r="N343" s="63" t="inlineStr">
        <is>
          <t>Y</t>
        </is>
      </c>
      <c r="O343" s="67" t="n">
        <v>100</v>
      </c>
      <c r="P343" s="67" t="n">
        <v>100</v>
      </c>
      <c r="Q343" s="68" t="n">
        <v>4339.1</v>
      </c>
      <c r="R343" s="63" t="inlineStr">
        <is>
          <t>derived:price x shares upon listing</t>
        </is>
      </c>
      <c r="S343" s="69" t="n">
        <v>301.15</v>
      </c>
      <c r="T343" s="70" t="n">
        <v>2.43</v>
      </c>
      <c r="U343" s="71" t="n">
        <v>15.27</v>
      </c>
      <c r="V343" s="68" t="n">
        <v>435.58</v>
      </c>
      <c r="W343" s="68" t="n">
        <v>14234640</v>
      </c>
      <c r="X343" s="67" t="n">
        <v>10.04</v>
      </c>
      <c r="Y343" s="63" t="inlineStr">
        <is>
          <t>Dragon Merit Holdings Limited; Welight Capital L.P</t>
        </is>
      </c>
      <c r="Z343" s="63" t="inlineStr">
        <is>
          <t>dragon;welight</t>
        </is>
      </c>
      <c r="AA343" s="67" t="n"/>
      <c r="AB343" s="72" t="n">
        <v>1.8</v>
      </c>
      <c r="AC343" s="66" t="n">
        <v>31.15</v>
      </c>
      <c r="AD343" s="72" t="n">
        <v>-1.13</v>
      </c>
      <c r="AE343" s="63" t="inlineStr">
        <is>
          <t>Y</t>
        </is>
      </c>
      <c r="AF343" s="63" t="inlineStr">
        <is>
          <t>2025-06-29</t>
        </is>
      </c>
      <c r="AG343" s="63" t="n"/>
      <c r="AH343" s="63" t="n"/>
      <c r="AI343" s="63" t="n"/>
      <c r="AJ343" s="63" t="n"/>
      <c r="AK343" s="73" t="n">
        <v>0.65</v>
      </c>
      <c r="AL343" s="72" t="n">
        <v>-0.98</v>
      </c>
      <c r="AM343" s="72" t="n">
        <v>1.65</v>
      </c>
      <c r="AN343" s="72" t="n">
        <v>1.63</v>
      </c>
      <c r="AO343" s="72" t="n">
        <v>15.52</v>
      </c>
      <c r="AP343" s="72" t="n">
        <v>0</v>
      </c>
      <c r="AQ343" s="72" t="n">
        <v>0.97</v>
      </c>
      <c r="AR343" s="72" t="n">
        <v>14.77</v>
      </c>
      <c r="AS343" s="72" t="n">
        <v>-0.65</v>
      </c>
      <c r="AT343" s="72" t="n">
        <v>-2.27</v>
      </c>
      <c r="AU343" s="72" t="n">
        <v>-9.640000000000001</v>
      </c>
      <c r="AV343" s="72" t="n">
        <v>-28.79</v>
      </c>
      <c r="AW343" s="72" t="n">
        <v>-9.359999999999999</v>
      </c>
      <c r="AX343" s="72" t="n">
        <v>25.16</v>
      </c>
      <c r="AY343" s="72" t="n">
        <v>24.13</v>
      </c>
      <c r="AZ343" s="63" t="inlineStr">
        <is>
          <t>China Biotech ETF (HS biotech proxy)</t>
        </is>
      </c>
      <c r="BA343" s="72" t="n">
        <v>-29.74</v>
      </c>
      <c r="BB343" s="64" t="inlineStr">
        <is>
          <t>2026-08-28</t>
        </is>
      </c>
      <c r="BC343" s="65" t="n">
        <v>486.4</v>
      </c>
      <c r="BD343" s="68" t="n">
        <v>65.09999999999999</v>
      </c>
      <c r="BE343" s="63" t="inlineStr">
        <is>
          <t>Y</t>
        </is>
      </c>
      <c r="BF343" s="74" t="n">
        <v>66.7</v>
      </c>
      <c r="BG343" s="74" t="n">
        <v>59.8</v>
      </c>
      <c r="BH343" s="74" t="n">
        <v>11.6</v>
      </c>
      <c r="BI343" s="74" t="n">
        <v>8.9</v>
      </c>
      <c r="BJ343" s="75">
        <f>IF('BBG Verify'!S343="","not filed — run on terminal",'BBG Verify'!S343)</f>
        <v/>
      </c>
      <c r="BK343" s="76" t="inlineStr">
        <is>
          <t>N</t>
        </is>
      </c>
      <c r="BL343" s="77">
        <f>IF('BBG Verify'!K343="","not filed — run on terminal",'BBG Verify'!K343)</f>
        <v/>
      </c>
      <c r="BM343" s="63" t="inlineStr">
        <is>
          <t>N/A</t>
        </is>
      </c>
      <c r="BN343" s="63" t="inlineStr">
        <is>
          <t>N/A</t>
        </is>
      </c>
      <c r="BO343" s="63" t="inlineStr">
        <is>
          <t>N/A</t>
        </is>
      </c>
      <c r="BP343" s="63" t="inlineStr">
        <is>
          <t>N/A</t>
        </is>
      </c>
      <c r="BQ343" s="63" t="inlineStr">
        <is>
          <t>N/A</t>
        </is>
      </c>
      <c r="BR343" s="63" t="inlineStr">
        <is>
          <t>N/A</t>
        </is>
      </c>
      <c r="BS343" s="76" t="inlineStr">
        <is>
          <t>Morgan Stanley Asia Limited; CITIC Securities (Hong Kong) Limited</t>
        </is>
      </c>
      <c r="BT343" s="63" t="inlineStr">
        <is>
          <t>Morgan Stanley Asia Limited; CITIC Securities (Hong Kong) Limited</t>
        </is>
      </c>
      <c r="BU343" s="63" t="inlineStr">
        <is>
          <t>Aristo Securities Limited; China Everbright Securities (HK) Limited; CLSA Limited; Morgan Stanley Asia Limited; Prime Securities Limited; Soochow Securities International Brokerage Limited</t>
        </is>
      </c>
      <c r="BV343" s="63" t="inlineStr">
        <is>
          <t>Aristo Securities Limited; China Everbright Securities (HK) Limited; CLSA Limited; Morgan Stanley Asia Limited; Prime Securities Limited; Soochow Securities International Brokerage Limited</t>
        </is>
      </c>
      <c r="BW343" s="78">
        <f>HYPERLINK("https://www1.hkexnews.hk/listedco/listconews/sehk/2025/0620/2025062000021.pdf","prospectus")</f>
        <v/>
      </c>
      <c r="BX343" s="78">
        <f>HYPERLINK("https://www1.hkexnews.hk/listedco/listconews/sehk/2025/0627/2025062703092.pdf","allotment")</f>
        <v/>
      </c>
      <c r="BY343" s="63" t="n"/>
      <c r="BZ343" s="76" t="n"/>
      <c r="CA343" s="63" t="inlineStr">
        <is>
          <t>greenshoe: no over-allotment option in the offer structure · A/H: no A-share listing · greenshoe size: no over-allotment option in the offer structure · stabilising manager: no over-allotment option in the offer structure, so no stabilising manager is appointed</t>
        </is>
      </c>
    </row>
    <row r="344" ht="15" customHeight="1">
      <c r="A344" s="62" t="inlineStr">
        <is>
          <t>6603</t>
        </is>
      </c>
      <c r="B344" s="63" t="inlineStr">
        <is>
          <t>IFBH</t>
        </is>
      </c>
      <c r="C344" s="63" t="inlineStr">
        <is>
          <t>IFBH</t>
        </is>
      </c>
      <c r="D344" s="63" t="inlineStr">
        <is>
          <t>Consumer</t>
        </is>
      </c>
      <c r="E344" s="63" t="inlineStr">
        <is>
          <t>Beverages / packaged food</t>
        </is>
      </c>
      <c r="F344" s="63" t="inlineStr">
        <is>
          <t>Beverages (Non-alcoholic)</t>
        </is>
      </c>
      <c r="G344" s="63" t="inlineStr">
        <is>
          <t>Standard</t>
        </is>
      </c>
      <c r="H344" s="64" t="n">
        <v>45838</v>
      </c>
      <c r="I344" s="65" t="n">
        <v>1158.3</v>
      </c>
      <c r="J344" s="63" t="inlineStr">
        <is>
          <t>gross (price x shares)</t>
        </is>
      </c>
      <c r="K344" s="66" t="n">
        <v>25.3</v>
      </c>
      <c r="L344" s="66" t="n">
        <v>27.8</v>
      </c>
      <c r="M344" s="66" t="n">
        <v>27.8</v>
      </c>
      <c r="N344" s="63" t="inlineStr">
        <is>
          <t>Y</t>
        </is>
      </c>
      <c r="O344" s="67" t="n">
        <v>100</v>
      </c>
      <c r="P344" s="67" t="n">
        <v>100</v>
      </c>
      <c r="Q344" s="68" t="n">
        <v>7410.7</v>
      </c>
      <c r="R344" s="63" t="inlineStr">
        <is>
          <t>derived:deal size / offer % of enlarged capital</t>
        </is>
      </c>
      <c r="S344" s="69" t="n">
        <v>2682.35</v>
      </c>
      <c r="T344" s="70" t="n">
        <v>22.93</v>
      </c>
      <c r="U344" s="71" t="n">
        <v>78.3</v>
      </c>
      <c r="V344" s="68" t="n">
        <v>251.35</v>
      </c>
      <c r="W344" s="68" t="n">
        <v>9041696</v>
      </c>
      <c r="X344" s="67" t="n">
        <v>3.39</v>
      </c>
      <c r="Y344" s="63" t="inlineStr">
        <is>
          <t>Harvest Oriental SP; UBS AM Singapore; Black Dragon CP Fund SPC; Co Limited (China Southern); Mega Prime; ICBC Wealth; Jain Global Master Fund Ltd; Jane Street</t>
        </is>
      </c>
      <c r="Z344" s="63" t="inlineStr">
        <is>
          <t>harvest;ubs;black;co-limited;mega;icbc;jain;jane</t>
        </is>
      </c>
      <c r="AA344" s="67" t="n">
        <v>15</v>
      </c>
      <c r="AB344" s="72" t="n"/>
      <c r="AC344" s="66" t="n"/>
      <c r="AD344" s="72" t="n"/>
      <c r="AE344" s="63" t="n"/>
      <c r="AF344" s="63" t="n"/>
      <c r="AG344" s="63" t="inlineStr">
        <is>
          <t>full</t>
        </is>
      </c>
      <c r="AH344" s="63" t="inlineStr">
        <is>
          <t>2025-07-25</t>
        </is>
      </c>
      <c r="AI344" s="63" t="inlineStr">
        <is>
          <t>CLSA Limited</t>
        </is>
      </c>
      <c r="AJ344" s="63" t="inlineStr">
        <is>
          <t>CLSA</t>
        </is>
      </c>
      <c r="AK344" s="73" t="n">
        <v>42.09</v>
      </c>
      <c r="AL344" s="72" t="n">
        <v>57.91</v>
      </c>
      <c r="AM344" s="72" t="n">
        <v>-10.02</v>
      </c>
      <c r="AN344" s="72" t="n">
        <v>45.68</v>
      </c>
      <c r="AO344" s="72" t="n">
        <v>33.63</v>
      </c>
      <c r="AP344" s="72" t="n">
        <v>9.5</v>
      </c>
      <c r="AQ344" s="72" t="n">
        <v>2.53</v>
      </c>
      <c r="AR344" s="72" t="n">
        <v>-5.95</v>
      </c>
      <c r="AS344" s="72" t="n">
        <v>-22.94</v>
      </c>
      <c r="AT344" s="72" t="n">
        <v>46.45</v>
      </c>
      <c r="AU344" s="72" t="n">
        <v>29.27</v>
      </c>
      <c r="AV344" s="72" t="n">
        <v>-3.08</v>
      </c>
      <c r="AW344" s="72" t="n">
        <v>-11.09</v>
      </c>
      <c r="AX344" s="72" t="n">
        <v>4.36</v>
      </c>
      <c r="AY344" s="72" t="n">
        <v>5.14</v>
      </c>
      <c r="AZ344" s="63" t="inlineStr">
        <is>
          <t>Hang Seng Commerce &amp; Industry sub-index</t>
        </is>
      </c>
      <c r="BA344" s="72" t="n">
        <v>-82.01000000000001</v>
      </c>
      <c r="BB344" s="64" t="inlineStr">
        <is>
          <t>2026-08-28</t>
        </is>
      </c>
      <c r="BC344" s="65" t="n">
        <v>1229.7</v>
      </c>
      <c r="BD344" s="68" t="n">
        <v>259.9</v>
      </c>
      <c r="BE344" s="63" t="inlineStr">
        <is>
          <t>Y</t>
        </is>
      </c>
      <c r="BF344" s="74" t="n">
        <v>28.5</v>
      </c>
      <c r="BG344" s="74" t="n">
        <v>33</v>
      </c>
      <c r="BH344" s="74" t="n">
        <v>7.2</v>
      </c>
      <c r="BI344" s="74" t="n">
        <v>6</v>
      </c>
      <c r="BJ344" s="75">
        <f>IF('BBG Verify'!S344="","not filed — run on terminal",'BBG Verify'!S344)</f>
        <v/>
      </c>
      <c r="BK344" s="76" t="inlineStr">
        <is>
          <t>N</t>
        </is>
      </c>
      <c r="BL344" s="77">
        <f>IF('BBG Verify'!K344="","not filed — run on terminal",'BBG Verify'!K344)</f>
        <v/>
      </c>
      <c r="BM344" s="63" t="inlineStr">
        <is>
          <t>N/A</t>
        </is>
      </c>
      <c r="BN344" s="63" t="inlineStr">
        <is>
          <t>N/A</t>
        </is>
      </c>
      <c r="BO344" s="63" t="inlineStr">
        <is>
          <t>N/A</t>
        </is>
      </c>
      <c r="BP344" s="63" t="inlineStr">
        <is>
          <t>N/A</t>
        </is>
      </c>
      <c r="BQ344" s="63" t="inlineStr">
        <is>
          <t>N/A</t>
        </is>
      </c>
      <c r="BR344" s="63" t="inlineStr">
        <is>
          <t>N/A</t>
        </is>
      </c>
      <c r="BS344" s="76" t="inlineStr">
        <is>
          <t>CITIC Securities (Hong Kong) Limited; CLSA Limited</t>
        </is>
      </c>
      <c r="BT344" s="63" t="inlineStr">
        <is>
          <t>CITIC Securities (Hong Kong) Limited</t>
        </is>
      </c>
      <c r="BU344" s="63" t="inlineStr">
        <is>
          <t>BOCI Asia Limited; CLSA Limited</t>
        </is>
      </c>
      <c r="BV344" s="63" t="inlineStr">
        <is>
          <t>BOCI Asia Limited; CLSA Limited</t>
        </is>
      </c>
      <c r="BW344" s="78">
        <f>HYPERLINK("https://www1.hkexnews.hk/listedco/listconews/sehk/2025/0620/2025062000033.pdf","prospectus")</f>
        <v/>
      </c>
      <c r="BX344" s="78">
        <f>HYPERLINK("https://www1.hkexnews.hk/listedco/listconews/sehk/2025/0627/2025062703890.pdf","allotment")</f>
        <v/>
      </c>
      <c r="BY344" s="78">
        <f>HYPERLINK("https://www1.hkexnews.hk/listedco/listconews/sehk/2025/0725/2025072501707.pdf","stabilisation")</f>
        <v/>
      </c>
      <c r="BZ344" s="76" t="n"/>
      <c r="CA344" s="63" t="inlineStr">
        <is>
          <t>A/H: no A-share listing · grey market: no grey-market headline on file for this deal — AAStocks publishes one per listing but keeps only recent items on the stock's news page, and no public archive of past evening sessions exists; captured from this run onward</t>
        </is>
      </c>
    </row>
    <row r="345" ht="15" customHeight="1">
      <c r="A345" s="62" t="inlineStr">
        <is>
          <t>2592</t>
        </is>
      </c>
      <c r="B345" s="63" t="inlineStr">
        <is>
          <t>CLOUDBREAK-B</t>
        </is>
      </c>
      <c r="C345" s="63" t="inlineStr">
        <is>
          <t>撥康視雲－Ｂ</t>
        </is>
      </c>
      <c r="D345" s="63" t="inlineStr">
        <is>
          <t>Healthcare</t>
        </is>
      </c>
      <c r="E345" s="63" t="inlineStr">
        <is>
          <t>Biotech pre-revenue (18A)</t>
        </is>
      </c>
      <c r="F345" s="63" t="inlineStr">
        <is>
          <t>Biotechnology - Pharmaceuticals</t>
        </is>
      </c>
      <c r="G345" s="63" t="inlineStr">
        <is>
          <t>18A</t>
        </is>
      </c>
      <c r="H345" s="64" t="n">
        <v>45841</v>
      </c>
      <c r="I345" s="65" t="n">
        <v>611.88</v>
      </c>
      <c r="J345" s="63" t="inlineStr">
        <is>
          <t>gross (stated)</t>
        </is>
      </c>
      <c r="K345" s="66" t="n"/>
      <c r="L345" s="66" t="n">
        <v>10.1</v>
      </c>
      <c r="M345" s="66" t="n">
        <v>10.1</v>
      </c>
      <c r="N345" s="63" t="inlineStr">
        <is>
          <t>Y</t>
        </is>
      </c>
      <c r="O345" s="67" t="n">
        <v>100</v>
      </c>
      <c r="P345" s="67" t="n"/>
      <c r="Q345" s="68" t="n">
        <v>8472.799999999999</v>
      </c>
      <c r="R345" s="63" t="inlineStr">
        <is>
          <t>derived:price x shares upon listing</t>
        </is>
      </c>
      <c r="S345" s="69" t="n">
        <v>78.78</v>
      </c>
      <c r="T345" s="79">
        <f>IF('BBG Verify'!E345="","not filed — run on terminal",'BBG Verify'!E345)</f>
        <v/>
      </c>
      <c r="U345" s="71" t="n">
        <v>29.25</v>
      </c>
      <c r="V345" s="68" t="n">
        <v>432.91</v>
      </c>
      <c r="W345" s="68" t="n">
        <v>42861765</v>
      </c>
      <c r="X345" s="67" t="n">
        <v>5.11</v>
      </c>
      <c r="Y345" s="63" t="inlineStr">
        <is>
          <t>Offering WSH; Reynold Lemkins US2.80 million</t>
        </is>
      </c>
      <c r="Z345" s="63" t="inlineStr">
        <is>
          <t>offering;reynold</t>
        </is>
      </c>
      <c r="AA345" s="67" t="n"/>
      <c r="AB345" s="72" t="n"/>
      <c r="AC345" s="66" t="n"/>
      <c r="AD345" s="72" t="n"/>
      <c r="AE345" s="63" t="n"/>
      <c r="AF345" s="63" t="n"/>
      <c r="AG345" s="63" t="n"/>
      <c r="AH345" s="63" t="n"/>
      <c r="AI345" s="63" t="n"/>
      <c r="AJ345" s="63" t="n"/>
      <c r="AK345" s="73" t="n">
        <v>-38.61</v>
      </c>
      <c r="AL345" s="72" t="n">
        <v>-5.94</v>
      </c>
      <c r="AM345" s="72" t="n">
        <v>-34.73</v>
      </c>
      <c r="AN345" s="72" t="n">
        <v>-42.57</v>
      </c>
      <c r="AO345" s="72" t="n">
        <v>-49.5</v>
      </c>
      <c r="AP345" s="72" t="n">
        <v>-55.35</v>
      </c>
      <c r="AQ345" s="72" t="n">
        <v>-6.45</v>
      </c>
      <c r="AR345" s="72" t="n">
        <v>-17.74</v>
      </c>
      <c r="AS345" s="72" t="n">
        <v>-27.27</v>
      </c>
      <c r="AT345" s="72" t="n">
        <v>-45.93</v>
      </c>
      <c r="AU345" s="72" t="n">
        <v>-68.91</v>
      </c>
      <c r="AV345" s="72" t="n">
        <v>-86.84999999999999</v>
      </c>
      <c r="AW345" s="72" t="n">
        <v>-33.83</v>
      </c>
      <c r="AX345" s="72" t="n">
        <v>19.41</v>
      </c>
      <c r="AY345" s="72" t="n">
        <v>16.09</v>
      </c>
      <c r="AZ345" s="63" t="inlineStr">
        <is>
          <t>China Biotech ETF (HS biotech proxy)</t>
        </is>
      </c>
      <c r="BA345" s="72" t="n">
        <v>-88.56</v>
      </c>
      <c r="BB345" s="64" t="inlineStr">
        <is>
          <t>2026-08-28</t>
        </is>
      </c>
      <c r="BC345" s="65" t="n">
        <v>78</v>
      </c>
      <c r="BD345" s="68" t="n">
        <v>-773.2</v>
      </c>
      <c r="BE345" s="63" t="inlineStr">
        <is>
          <t>N</t>
        </is>
      </c>
      <c r="BF345" s="63" t="inlineStr">
        <is>
          <t>n/m</t>
        </is>
      </c>
      <c r="BG345" s="74" t="n"/>
      <c r="BH345" s="74" t="n"/>
      <c r="BI345" s="74" t="n">
        <v>108.6</v>
      </c>
      <c r="BJ345" s="75">
        <f>IF('BBG Verify'!S345="","not filed — run on terminal",'BBG Verify'!S345)</f>
        <v/>
      </c>
      <c r="BK345" s="76" t="inlineStr">
        <is>
          <t>N</t>
        </is>
      </c>
      <c r="BL345" s="77">
        <f>IF('BBG Verify'!K345="","not filed — run on terminal",'BBG Verify'!K345)</f>
        <v/>
      </c>
      <c r="BM345" s="63" t="inlineStr">
        <is>
          <t>N/A</t>
        </is>
      </c>
      <c r="BN345" s="63" t="inlineStr">
        <is>
          <t>N/A</t>
        </is>
      </c>
      <c r="BO345" s="63" t="inlineStr">
        <is>
          <t>N/A</t>
        </is>
      </c>
      <c r="BP345" s="63" t="inlineStr">
        <is>
          <t>N/A</t>
        </is>
      </c>
      <c r="BQ345" s="63" t="inlineStr">
        <is>
          <t>N/A</t>
        </is>
      </c>
      <c r="BR345" s="63" t="inlineStr">
        <is>
          <t>N/A</t>
        </is>
      </c>
      <c r="BS345" s="76" t="inlineStr">
        <is>
          <t>CCB International Capital Limited; Huatai Financial Holdings (Hong Kong) Limited</t>
        </is>
      </c>
      <c r="BT345" s="63" t="inlineStr">
        <is>
          <t>CCB International Capital Limited; Huatai Financial Holdings (Hong Kong) Limited</t>
        </is>
      </c>
      <c r="BU345" s="63" t="inlineStr">
        <is>
          <t>respectively) CCB International Capital Limited; Huatai Financial Holdings (Hong Kong) Limited; CMB International Capital Limited; Quam Securities Limited; BOCI Asia Limited; BOCOM International Securities Limited; China Galaxy International Securities (Hong Kong) Co., Limited; CMBC Securities Company Limited; First Shanghai Securities Limited; Fosun International Securities Limited; Huafu International Securities Limited</t>
        </is>
      </c>
      <c r="BV345" s="63" t="inlineStr">
        <is>
          <t>BOCI Asia Limited; BOCOM International Securities Limited; CCB International Capital Limited; China Galaxy International Securities (Hong Kong) Company Limited; China Industrial Securities International Capital Limited; CMBC Securities Company Limited; CMB International Capital Limited; Fosun International Securities Limited; First Shanghai Securities Limited; Huatai Financial Holdings (Hong Kong) Limited; Huafu International Securities Limited; ICBC International Securities Limited</t>
        </is>
      </c>
      <c r="BW345" s="78">
        <f>HYPERLINK("https://www1.hkexnews.hk/listedco/listconews/sehk/2025/0624/2025062400005.pdf","prospectus")</f>
        <v/>
      </c>
      <c r="BX345" s="78">
        <f>HYPERLINK("https://www1.hkexnews.hk/listedco/listconews/sehk/2025/0702/2025070203783.pdf","allotment")</f>
        <v/>
      </c>
      <c r="BY345" s="63" t="n"/>
      <c r="BZ345" s="76" t="n"/>
      <c r="CA345" s="63" t="inlineStr">
        <is>
          <t>intl sub: parsed 0.89x rejected — implausible for a deal struck at the cap with the public tranche 79x subscribed (a percentage read as a multiple); BBG Verify CP037 fills this on the terminal · P/E: n/m — loss-making at IPO (use P/S) · greenshoe: no over-allotment option in the offer structure · range low: cap-only pricing — the filing publishes a Maximum Offer Price and no indicative floor · A/H: no A-share listing · greenshoe size: no over-allotment option in the offer structure · stabilising manager: the filing states no stabilising manager will be appointed — a filed fact, not an extraction gap (allotment announcement: 'no stabilizing manager will be appointed' stated in the filing) · grey market: no grey-market headline on file for this deal — AAStocks publishes one per listing but keeps only recent items on the stock's news page, and no public archive of past evening sessions exists; captured from this run onward</t>
        </is>
      </c>
    </row>
    <row r="346" ht="15" customHeight="1">
      <c r="A346" s="62" t="inlineStr">
        <is>
          <t>2648</t>
        </is>
      </c>
      <c r="B346" s="63" t="inlineStr">
        <is>
          <t>ANJOY FOOD</t>
        </is>
      </c>
      <c r="C346" s="63" t="inlineStr">
        <is>
          <t>安井食品</t>
        </is>
      </c>
      <c r="D346" s="63" t="inlineStr">
        <is>
          <t>Consumer</t>
        </is>
      </c>
      <c r="E346" s="63" t="inlineStr">
        <is>
          <t>Beverages / packaged food</t>
        </is>
      </c>
      <c r="F346" s="63" t="inlineStr">
        <is>
          <t>Packaged Foods</t>
        </is>
      </c>
      <c r="G346" s="63" t="inlineStr">
        <is>
          <t>Standard</t>
        </is>
      </c>
      <c r="H346" s="64" t="n">
        <v>45842</v>
      </c>
      <c r="I346" s="65" t="n">
        <v>2400</v>
      </c>
      <c r="J346" s="63" t="inlineStr">
        <is>
          <t>gross (stated)</t>
        </is>
      </c>
      <c r="K346" s="66" t="n"/>
      <c r="L346" s="66" t="n">
        <v>66</v>
      </c>
      <c r="M346" s="66" t="n">
        <v>60</v>
      </c>
      <c r="N346" s="63" t="inlineStr">
        <is>
          <t>N</t>
        </is>
      </c>
      <c r="O346" s="67" t="n">
        <v>90.90000000000001</v>
      </c>
      <c r="P346" s="67" t="n"/>
      <c r="Q346" s="68" t="n">
        <v>25404.9</v>
      </c>
      <c r="R346" s="63" t="inlineStr">
        <is>
          <t>prospectus:stated market capitalisation, rescaled to the offer price</t>
        </is>
      </c>
      <c r="S346" s="69" t="n">
        <v>44.2</v>
      </c>
      <c r="T346" s="70" t="n">
        <v>5.85</v>
      </c>
      <c r="U346" s="71" t="n">
        <v>26.76</v>
      </c>
      <c r="V346" s="68" t="n">
        <v>1757.76</v>
      </c>
      <c r="W346" s="68" t="n">
        <v>29292118</v>
      </c>
      <c r="X346" s="67" t="n">
        <v>6.92</v>
      </c>
      <c r="Y346" s="63" t="inlineStr">
        <is>
          <t>HK Greenwoods; Hosen Capital; FCP Domains; NonaV erse</t>
        </is>
      </c>
      <c r="Z346" s="63" t="inlineStr">
        <is>
          <t>greenwoods;hosen;fcp;nonav</t>
        </is>
      </c>
      <c r="AA346" s="67" t="n">
        <v>15</v>
      </c>
      <c r="AB346" s="72" t="n"/>
      <c r="AC346" s="66" t="n"/>
      <c r="AD346" s="72" t="n"/>
      <c r="AE346" s="63" t="n"/>
      <c r="AF346" s="63" t="n"/>
      <c r="AG346" s="63" t="inlineStr">
        <is>
          <t>lapsed</t>
        </is>
      </c>
      <c r="AH346" s="63" t="inlineStr">
        <is>
          <t>2025-07-30</t>
        </is>
      </c>
      <c r="AI346" s="63" t="inlineStr">
        <is>
          <t>Goldman Sachs</t>
        </is>
      </c>
      <c r="AJ346" s="63" t="inlineStr">
        <is>
          <t>Goldman Sachs</t>
        </is>
      </c>
      <c r="AK346" s="73" t="n">
        <v>-5</v>
      </c>
      <c r="AL346" s="72" t="n">
        <v>0</v>
      </c>
      <c r="AM346" s="72" t="n">
        <v>-5</v>
      </c>
      <c r="AN346" s="72" t="n">
        <v>0.08</v>
      </c>
      <c r="AO346" s="72" t="n">
        <v>0</v>
      </c>
      <c r="AP346" s="72" t="n">
        <v>-2.58</v>
      </c>
      <c r="AQ346" s="72" t="n">
        <v>5.35</v>
      </c>
      <c r="AR346" s="72" t="n">
        <v>5.26</v>
      </c>
      <c r="AS346" s="72" t="n">
        <v>2.55</v>
      </c>
      <c r="AT346" s="72" t="n">
        <v>0.3</v>
      </c>
      <c r="AU346" s="72" t="n">
        <v>-4.12</v>
      </c>
      <c r="AV346" s="72" t="n">
        <v>-23.07</v>
      </c>
      <c r="AW346" s="72" t="n">
        <v>0.45</v>
      </c>
      <c r="AX346" s="72" t="n">
        <v>4.12</v>
      </c>
      <c r="AY346" s="72" t="n">
        <v>4.81</v>
      </c>
      <c r="AZ346" s="63" t="inlineStr">
        <is>
          <t>Hang Seng Commerce &amp; Industry sub-index</t>
        </is>
      </c>
      <c r="BA346" s="72" t="n">
        <v>11.67</v>
      </c>
      <c r="BB346" s="64" t="inlineStr">
        <is>
          <t>2026-08-28</t>
        </is>
      </c>
      <c r="BC346" s="65" t="n">
        <v>16532.5</v>
      </c>
      <c r="BD346" s="68" t="n">
        <v>1665</v>
      </c>
      <c r="BE346" s="63" t="inlineStr">
        <is>
          <t>Y</t>
        </is>
      </c>
      <c r="BF346" s="74" t="n">
        <v>15.3</v>
      </c>
      <c r="BG346" s="74" t="n">
        <v>10.2</v>
      </c>
      <c r="BH346" s="74" t="n">
        <v>11.9</v>
      </c>
      <c r="BI346" s="74" t="n">
        <v>1.5</v>
      </c>
      <c r="BJ346" s="75">
        <f>IF('BBG Verify'!S346="","not filed — run on terminal",'BBG Verify'!S346)</f>
        <v/>
      </c>
      <c r="BK346" s="76" t="inlineStr">
        <is>
          <t>Y</t>
        </is>
      </c>
      <c r="BL346" s="63" t="inlineStr">
        <is>
          <t>603345.SS</t>
        </is>
      </c>
      <c r="BM346" s="72" t="n">
        <v>41.8</v>
      </c>
      <c r="BN346" s="66" t="n">
        <v>85.0814</v>
      </c>
      <c r="BO346" s="80" t="n">
        <v>0.3473</v>
      </c>
      <c r="BP346" s="68" t="n">
        <v>29137.5</v>
      </c>
      <c r="BQ346" s="75">
        <f>IF('BBG Verify'!Q346="","run on terminal",'BBG Verify'!Q346)</f>
        <v/>
      </c>
      <c r="BR346" s="75">
        <f>IF('BBG Verify'!R346="","run on terminal",'BBG Verify'!R346)</f>
        <v/>
      </c>
      <c r="BS346" s="76" t="inlineStr">
        <is>
          <t>Goldman Sachs (Asia) L.L.C; China International Capital Corporation Hong Kong Securities Limited</t>
        </is>
      </c>
      <c r="BT346" s="63" t="inlineStr">
        <is>
          <t>China International Capital Corporation Hong Kong Securities Limited; Goldman Sachs (Asia) L.L.C.</t>
        </is>
      </c>
      <c r="BU346" s="63" t="inlineStr">
        <is>
          <t>China Galaxy International Securities (Hong Kong) Co., Limited; UOB Kay Hian (Hong Kong) Limited; GF Securities (Hong Kong) Brokerage Limited; CCB International Capital Limited; China Industrial Securities International Capital Limited; Goldman Sachs (Asia) L.L.C; Ping An Securities (Hong Kong) Company Limited; CMB International Capital Limited; China Securities (International) Corporate Finance Company Limited; Huatai Financial Holdings (Hong Kong) Limited</t>
        </is>
      </c>
      <c r="BV346" s="63" t="inlineStr">
        <is>
          <t>CCB International Capital Limited; China Galaxy International Securities (Hong Kong) Company Limited; China International Capital Corporation Hong Kong Securities Limited; China Industrial Securities International Capital Limited; CMB International Capital Limited; China Securities (International) Corporate Finance Company Limited; GF Securities (Hong Kong) Brokerage Limited; Goldman Sachs (Asia) L.L.C.; Huatai Financial Holdings (Hong Kong) Limited; Ping An Securities (Hong Kong) Company Limited; UOB Kay Hian (Hong Kong) Limited</t>
        </is>
      </c>
      <c r="BW346" s="78">
        <f>HYPERLINK("https://www1.hkexnews.hk/listedco/listconews/sehk/2025/0625/2025062500043.pdf","prospectus")</f>
        <v/>
      </c>
      <c r="BX346" s="78">
        <f>HYPERLINK("https://www1.hkexnews.hk/listedco/listconews/sehk/2025/0703/2025070302241.pdf","allotment")</f>
        <v/>
      </c>
      <c r="BY346" s="78">
        <f>HYPERLINK("https://www1.hkexnews.hk/listedco/listconews/sehk/2025/0730/2025073001416.pdf","stabilisation")</f>
        <v/>
      </c>
      <c r="BZ346" s="76" t="n"/>
      <c r="CA346" s="63" t="inlineStr">
        <is>
          <t>range low: cap-only pricing — the filing publishes a Maximum Offer Price and no indicative floor · A/H: Jul 2025 H listing (frozen foods) · market cap: prospectus states HK$27,945m at HK$66.00; rescaled to the struck HK$60.00 · grey market: no grey-market headline on file for this deal — AAStocks publishes one per listing but keeps only recent items on the stock's news page, and no public archive of past evening sessions exists; captured from this run onward</t>
        </is>
      </c>
    </row>
    <row r="347" ht="15" customHeight="1">
      <c r="A347" s="62" t="inlineStr">
        <is>
          <t>2076</t>
        </is>
      </c>
      <c r="B347" s="63" t="inlineStr">
        <is>
          <t>BOSS ZHIPIN-W</t>
        </is>
      </c>
      <c r="C347" s="63" t="inlineStr">
        <is>
          <t>ＢＯＳＳ直聘－Ｗ</t>
        </is>
      </c>
      <c r="D347" s="63" t="inlineStr">
        <is>
          <t>Tech/AI</t>
        </is>
      </c>
      <c r="E347" s="63" t="inlineStr">
        <is>
          <t>Internet platform / e-commerce</t>
        </is>
      </c>
      <c r="F347" s="63" t="inlineStr">
        <is>
          <t>Commercial &amp; Professional Services</t>
        </is>
      </c>
      <c r="G347" s="63" t="inlineStr">
        <is>
          <t>WVR</t>
        </is>
      </c>
      <c r="H347" s="64" t="n">
        <v>45842</v>
      </c>
      <c r="I347" s="65" t="n">
        <v>2277</v>
      </c>
      <c r="J347" s="63" t="inlineStr">
        <is>
          <t>gross (stated)</t>
        </is>
      </c>
      <c r="K347" s="66" t="n"/>
      <c r="L347" s="66" t="n">
        <v>78</v>
      </c>
      <c r="M347" s="66" t="n">
        <v>66</v>
      </c>
      <c r="N347" s="63" t="inlineStr">
        <is>
          <t>N</t>
        </is>
      </c>
      <c r="O347" s="67" t="n">
        <v>84.59999999999999</v>
      </c>
      <c r="P347" s="67" t="n"/>
      <c r="Q347" s="68" t="n">
        <v>65000</v>
      </c>
      <c r="R347" s="63" t="inlineStr">
        <is>
          <t>press:sina 2025-09: 截至2025-06-30总市值近650亿</t>
        </is>
      </c>
      <c r="S347" s="69" t="n">
        <v>12.04</v>
      </c>
      <c r="T347" s="70" t="n">
        <v>12.46</v>
      </c>
      <c r="U347" s="71" t="n">
        <v>0</v>
      </c>
      <c r="V347" s="68" t="n">
        <v>2277</v>
      </c>
      <c r="W347" s="68" t="n">
        <v>34500000</v>
      </c>
      <c r="X347" s="67" t="n">
        <v>3.5</v>
      </c>
      <c r="Y347" s="63" t="n"/>
      <c r="Z347" s="63" t="n"/>
      <c r="AA347" s="67" t="n"/>
      <c r="AB347" s="72" t="n"/>
      <c r="AC347" s="66" t="n"/>
      <c r="AD347" s="72" t="n"/>
      <c r="AE347" s="63" t="n"/>
      <c r="AF347" s="63" t="n"/>
      <c r="AG347" s="63" t="n"/>
      <c r="AH347" s="63" t="n"/>
      <c r="AI347" s="63" t="n"/>
      <c r="AJ347" s="63" t="n"/>
      <c r="AK347" s="73" t="n">
        <v>0.76</v>
      </c>
      <c r="AL347" s="72" t="n">
        <v>0</v>
      </c>
      <c r="AM347" s="72" t="n">
        <v>0.76</v>
      </c>
      <c r="AN347" s="72" t="n">
        <v>11.44</v>
      </c>
      <c r="AO347" s="72" t="n">
        <v>13.03</v>
      </c>
      <c r="AP347" s="72" t="n">
        <v>35.83</v>
      </c>
      <c r="AQ347" s="72" t="n">
        <v>10.6</v>
      </c>
      <c r="AR347" s="72" t="n">
        <v>12.18</v>
      </c>
      <c r="AS347" s="72" t="n">
        <v>34.81</v>
      </c>
      <c r="AT347" s="72" t="n">
        <v>11.34</v>
      </c>
      <c r="AU347" s="72" t="n">
        <v>8.66</v>
      </c>
      <c r="AV347" s="72" t="n">
        <v>8.33</v>
      </c>
      <c r="AW347" s="72" t="n">
        <v>7.51</v>
      </c>
      <c r="AX347" s="72" t="n">
        <v>4.37</v>
      </c>
      <c r="AY347" s="72" t="n">
        <v>4.67</v>
      </c>
      <c r="AZ347" s="63" t="inlineStr">
        <is>
          <t>HSTECH (Hang Seng TECH ETF)</t>
        </is>
      </c>
      <c r="BA347" s="72" t="n">
        <v>7.58</v>
      </c>
      <c r="BB347" s="64" t="inlineStr">
        <is>
          <t>2026-08-28</t>
        </is>
      </c>
      <c r="BC347" s="65" t="n">
        <v>8091.2</v>
      </c>
      <c r="BD347" s="68" t="n">
        <v>1743.1</v>
      </c>
      <c r="BE347" s="63" t="inlineStr">
        <is>
          <t>Y</t>
        </is>
      </c>
      <c r="BF347" s="74" t="n">
        <v>37.3</v>
      </c>
      <c r="BG347" s="74" t="n"/>
      <c r="BH347" s="74" t="n"/>
      <c r="BI347" s="74" t="n">
        <v>8</v>
      </c>
      <c r="BJ347" s="75">
        <f>IF('BBG Verify'!S347="","not filed — run on terminal",'BBG Verify'!S347)</f>
        <v/>
      </c>
      <c r="BK347" s="76" t="inlineStr">
        <is>
          <t>N</t>
        </is>
      </c>
      <c r="BL347" s="77">
        <f>IF('BBG Verify'!K347="","not filed — run on terminal",'BBG Verify'!K347)</f>
        <v/>
      </c>
      <c r="BM347" s="63" t="inlineStr">
        <is>
          <t>N/A</t>
        </is>
      </c>
      <c r="BN347" s="63" t="inlineStr">
        <is>
          <t>N/A</t>
        </is>
      </c>
      <c r="BO347" s="63" t="inlineStr">
        <is>
          <t>N/A</t>
        </is>
      </c>
      <c r="BP347" s="63" t="inlineStr">
        <is>
          <t>N/A</t>
        </is>
      </c>
      <c r="BQ347" s="63" t="inlineStr">
        <is>
          <t>N/A</t>
        </is>
      </c>
      <c r="BR347" s="63" t="inlineStr">
        <is>
          <t>N/A</t>
        </is>
      </c>
      <c r="BS347" s="76" t="inlineStr">
        <is>
          <t>Morgan Stanley; Goldman Sachs</t>
        </is>
      </c>
      <c r="BT347" s="63" t="inlineStr">
        <is>
          <t>Goldman Sachs (Asia) L.L.C.; Huatai Financial Holdings (Hong Kong) Limited; Morgan Stanley Asia Limited</t>
        </is>
      </c>
      <c r="BU347" s="63" t="inlineStr">
        <is>
          <t>Futu Securities International (Hong Kong) Limited; Goldman Sachs (Asia) L.L.C.; Huatai Financial Holdings (Hong Kong) Limited; Morgan Stanley Asia Limited; Tiger Brokers (HK) Global Limited</t>
        </is>
      </c>
      <c r="BV347" s="63" t="inlineStr">
        <is>
          <t>Futu Securities International (Hong Kong) Limited; Goldman Sachs (Asia) L.L.C.; Huatai Financial Holdings (Hong Kong) Limited; Morgan Stanley Asia Limited; Tiger Brokers (HK) Global Limited</t>
        </is>
      </c>
      <c r="BW347" s="78">
        <f>HYPERLINK("https://www1.hkexnews.hk/listedco/listconews/sehk/2025/0625/2025062500135.pdf","prospectus")</f>
        <v/>
      </c>
      <c r="BX347" s="78">
        <f>HYPERLINK("https://www1.hkexnews.hk/listedco/listconews/sehk/2025/0703/2025070302291.pdf","allotment")</f>
        <v/>
      </c>
      <c r="BY347" s="63" t="n"/>
      <c r="BZ347" s="76" t="n"/>
      <c r="CA347" s="63" t="inlineStr">
        <is>
          <t>greenshoe: no over-allotment option in the offer structure · range low: cap-only pricing — the filing publishes a Maximum Offer Price and no indicative floor · A/H: no A-share listing · cornerstone list: no cornerstone tranche in this deal · greenshoe size: no over-allotment option in the offer structure · stabilising manager: no over-allotment option in the offer structure, so no stabilising manager is appointed · grey market: no grey-market headline on file for this deal — AAStocks publishes one per listing but keeps only recent items on the stock's news page, and no public archive of past evening sessions exists; captured from this run onward</t>
        </is>
      </c>
    </row>
    <row r="348" ht="15" customHeight="1">
      <c r="A348" s="62" t="inlineStr">
        <is>
          <t>1828</t>
        </is>
      </c>
      <c r="B348" s="63" t="inlineStr">
        <is>
          <t>FWD</t>
        </is>
      </c>
      <c r="C348" s="63" t="inlineStr">
        <is>
          <t>富衛集團</t>
        </is>
      </c>
      <c r="D348" s="63" t="inlineStr">
        <is>
          <t>Financials</t>
        </is>
      </c>
      <c r="E348" s="63" t="inlineStr">
        <is>
          <t>Insurance</t>
        </is>
      </c>
      <c r="F348" s="63" t="inlineStr">
        <is>
          <t>Life &amp; Health Insurance</t>
        </is>
      </c>
      <c r="G348" s="63" t="inlineStr">
        <is>
          <t>Standard</t>
        </is>
      </c>
      <c r="H348" s="64" t="n">
        <v>45845</v>
      </c>
      <c r="I348" s="65" t="n">
        <v>3471</v>
      </c>
      <c r="J348" s="63" t="inlineStr">
        <is>
          <t>gross (price x shares)</t>
        </is>
      </c>
      <c r="K348" s="66" t="n"/>
      <c r="L348" s="66" t="n">
        <v>38</v>
      </c>
      <c r="M348" s="66" t="n">
        <v>38</v>
      </c>
      <c r="N348" s="63" t="inlineStr">
        <is>
          <t>Y</t>
        </is>
      </c>
      <c r="O348" s="67" t="n">
        <v>100</v>
      </c>
      <c r="P348" s="67" t="n"/>
      <c r="Q348" s="68" t="n">
        <v>48300</v>
      </c>
      <c r="R348" s="63" t="inlineStr">
        <is>
          <t>press:sina/FX168 2025-07-07: 市值483亿 ≈ US$6.15bn | FINANCIALS (USD x7.8): FWD HK prospectus p11 + FY2024 FS: INSURANCE revenue US$2,724m (no total-revenue line under IFRS 17), attributable net profit US$24m</t>
        </is>
      </c>
      <c r="S348" s="69" t="n">
        <v>37.13</v>
      </c>
      <c r="T348" s="70" t="n">
        <v>2.32</v>
      </c>
      <c r="U348" s="71" t="n">
        <v>56.2</v>
      </c>
      <c r="V348" s="68" t="n">
        <v>1520.3</v>
      </c>
      <c r="W348" s="68" t="n">
        <v>40007840</v>
      </c>
      <c r="X348" s="67" t="n">
        <v>3.15</v>
      </c>
      <c r="Y348" s="63" t="inlineStr">
        <is>
          <t>RSC Ltd; T&amp;D United Capital Co., Ltd; Crimson White Investment Pte. Ltd; Future Financial Investment Company Ltd; Global Company Limited; Apollo Principal Holdings C, L.P; SCB X Public Company Limited; Canada Pension Plan Investment Board; DGA Capital (Master) Fund I LP; ORIX Asia Capital Limited; Huatai Growth Focus Limited</t>
        </is>
      </c>
      <c r="Z348" s="63" t="inlineStr">
        <is>
          <t>rsc;united;crimson;future;global-company;apollo;scb;canada;dga;orix;huatai</t>
        </is>
      </c>
      <c r="AA348" s="67" t="n">
        <v>15</v>
      </c>
      <c r="AB348" s="72" t="n"/>
      <c r="AC348" s="66" t="n"/>
      <c r="AD348" s="72" t="n"/>
      <c r="AE348" s="63" t="n"/>
      <c r="AF348" s="63" t="n"/>
      <c r="AG348" s="63" t="n"/>
      <c r="AH348" s="63" t="inlineStr">
        <is>
          <t>2025-08-01</t>
        </is>
      </c>
      <c r="AI348" s="63" t="inlineStr">
        <is>
          <t>Morgan Stanley Asia Limited</t>
        </is>
      </c>
      <c r="AJ348" s="63" t="inlineStr">
        <is>
          <t>Morgan Stanley</t>
        </is>
      </c>
      <c r="AK348" s="73" t="n">
        <v>1.05</v>
      </c>
      <c r="AL348" s="72" t="n">
        <v>0</v>
      </c>
      <c r="AM348" s="72" t="n">
        <v>1.05</v>
      </c>
      <c r="AN348" s="72" t="n">
        <v>0.66</v>
      </c>
      <c r="AO348" s="72" t="n">
        <v>0.26</v>
      </c>
      <c r="AP348" s="72" t="n">
        <v>21.05</v>
      </c>
      <c r="AQ348" s="72" t="n">
        <v>-0.39</v>
      </c>
      <c r="AR348" s="72" t="n">
        <v>-0.78</v>
      </c>
      <c r="AS348" s="72" t="n">
        <v>19.79</v>
      </c>
      <c r="AT348" s="72" t="n">
        <v>-1.24</v>
      </c>
      <c r="AU348" s="72" t="n">
        <v>-2.16</v>
      </c>
      <c r="AV348" s="72" t="n">
        <v>17.63</v>
      </c>
      <c r="AW348" s="72" t="n">
        <v>-3.35</v>
      </c>
      <c r="AX348" s="72" t="n">
        <v>2.42</v>
      </c>
      <c r="AY348" s="72" t="n">
        <v>2.57</v>
      </c>
      <c r="AZ348" s="63" t="inlineStr">
        <is>
          <t>Hang Seng Finance sub-index</t>
        </is>
      </c>
      <c r="BA348" s="72" t="n">
        <v>-12.68</v>
      </c>
      <c r="BB348" s="64" t="inlineStr">
        <is>
          <t>2026-08-28</t>
        </is>
      </c>
      <c r="BC348" s="65" t="n">
        <v>21247.2</v>
      </c>
      <c r="BD348" s="68" t="n">
        <v>187.2</v>
      </c>
      <c r="BE348" s="63" t="inlineStr">
        <is>
          <t>Y</t>
        </is>
      </c>
      <c r="BF348" s="74" t="n">
        <v>258</v>
      </c>
      <c r="BG348" s="74" t="n"/>
      <c r="BH348" s="74" t="n">
        <v>38.4</v>
      </c>
      <c r="BI348" s="74" t="n">
        <v>2.3</v>
      </c>
      <c r="BJ348" s="75">
        <f>IF('BBG Verify'!S348="","not filed — run on terminal",'BBG Verify'!S348)</f>
        <v/>
      </c>
      <c r="BK348" s="76" t="inlineStr">
        <is>
          <t>N</t>
        </is>
      </c>
      <c r="BL348" s="77">
        <f>IF('BBG Verify'!K348="","not filed — run on terminal",'BBG Verify'!K348)</f>
        <v/>
      </c>
      <c r="BM348" s="63" t="inlineStr">
        <is>
          <t>N/A</t>
        </is>
      </c>
      <c r="BN348" s="63" t="inlineStr">
        <is>
          <t>N/A</t>
        </is>
      </c>
      <c r="BO348" s="63" t="inlineStr">
        <is>
          <t>N/A</t>
        </is>
      </c>
      <c r="BP348" s="63" t="inlineStr">
        <is>
          <t>N/A</t>
        </is>
      </c>
      <c r="BQ348" s="63" t="inlineStr">
        <is>
          <t>N/A</t>
        </is>
      </c>
      <c r="BR348" s="63" t="inlineStr">
        <is>
          <t>N/A</t>
        </is>
      </c>
      <c r="BS348" s="76" t="inlineStr">
        <is>
          <t>Morgan Stanley; Goldman Sachs</t>
        </is>
      </c>
      <c r="BT348" s="63" t="inlineStr">
        <is>
          <t>Morgan Stanley Asia Limited; Goldman Sachs (Asia) L.L.C.</t>
        </is>
      </c>
      <c r="BU348" s="63" t="inlineStr">
        <is>
          <t>BOCOM International Securities Limited; CCB International Capital Limited; CMB International Capital Limited; DBS Asia Capital Limited; Goldman Sachs (Asia) L.L.C.; Huatai Financial Holdings (Hong Kong) Limited</t>
        </is>
      </c>
      <c r="BV348" s="63" t="inlineStr">
        <is>
          <t>BOCOM International Securities Limited; CCB International Capital Limited; CMB International Capital Limited; DBS Asia Capital Limited; Goldman Sachs (Asia) L.L.C.; Huatai Financial Holdings (Hong Kong) Limited; The Hongkong and Shanghai Banking Corporation Limited; ICBC International Securities Limited; Morgan Stanley Asia Limited; Mizuho Securities Asia Limited; Oversea-Chinese Banking Corporation Limited; SMBC Nikko Securities (Hong Kong) Limited</t>
        </is>
      </c>
      <c r="BW348" s="63" t="n"/>
      <c r="BX348" s="78">
        <f>HYPERLINK("https://www1.hkexnews.hk/listedco/listconews/sehk/2025/0704/2025070402160.pdf","allotment")</f>
        <v/>
      </c>
      <c r="BY348" s="63" t="n"/>
      <c r="BZ348" s="76" t="n"/>
      <c r="CA348" s="63" t="inlineStr">
        <is>
          <t>greenshoe: end-of-stabilisation notice not located · price range: fixed-price offering (no indicative range) · range low: cap-only pricing — the filing publishes a Maximum Offer Price and no indicative floor · A/H: no A-share listing · filing links: no prospectus document returned by the HKEX per-stock search for this code — the allotment announcement is linked beside it · grey market: no grey-market headline on file for this deal — AAStocks publishes one per listing but keeps only recent items on the stock's news page, and no public archive of past evening sessions exists; captured from this run onward</t>
        </is>
      </c>
    </row>
    <row r="349" ht="15" customHeight="1">
      <c r="A349" s="62" t="inlineStr">
        <is>
          <t>2651</t>
        </is>
      </c>
      <c r="B349" s="63" t="inlineStr">
        <is>
          <t>DAZHONG DENTAL</t>
        </is>
      </c>
      <c r="C349" s="63" t="inlineStr">
        <is>
          <t>大眾口腔</t>
        </is>
      </c>
      <c r="D349" s="63" t="inlineStr">
        <is>
          <t>Healthcare</t>
        </is>
      </c>
      <c r="E349" s="63" t="inlineStr">
        <is>
          <t>Hospitals / clinics</t>
        </is>
      </c>
      <c r="F349" s="63" t="inlineStr">
        <is>
          <t>Health Care Services</t>
        </is>
      </c>
      <c r="G349" s="63" t="inlineStr">
        <is>
          <t>Standard</t>
        </is>
      </c>
      <c r="H349" s="64" t="n">
        <v>45847</v>
      </c>
      <c r="I349" s="65" t="n">
        <v>217.24</v>
      </c>
      <c r="J349" s="63" t="inlineStr">
        <is>
          <t>gross (stated)</t>
        </is>
      </c>
      <c r="K349" s="66" t="n"/>
      <c r="L349" s="66" t="n">
        <v>21.4</v>
      </c>
      <c r="M349" s="66" t="n">
        <v>20</v>
      </c>
      <c r="N349" s="63" t="inlineStr">
        <is>
          <t>N</t>
        </is>
      </c>
      <c r="O349" s="67" t="n">
        <v>93.5</v>
      </c>
      <c r="P349" s="67" t="n"/>
      <c r="Q349" s="68" t="n">
        <v>987.6</v>
      </c>
      <c r="R349" s="63" t="inlineStr">
        <is>
          <t>derived:price x shares upon listing</t>
        </is>
      </c>
      <c r="S349" s="69" t="n">
        <v>108.25</v>
      </c>
      <c r="T349" s="70" t="n">
        <v>0.96</v>
      </c>
      <c r="U349" s="71" t="n">
        <v>0</v>
      </c>
      <c r="V349" s="68" t="n">
        <v>217.24</v>
      </c>
      <c r="W349" s="68" t="n">
        <v>10861800</v>
      </c>
      <c r="X349" s="67" t="n">
        <v>22</v>
      </c>
      <c r="Y349" s="63" t="n"/>
      <c r="Z349" s="63" t="n"/>
      <c r="AA349" s="67" t="n">
        <v>11.65</v>
      </c>
      <c r="AB349" s="72" t="n">
        <v>19</v>
      </c>
      <c r="AC349" s="66" t="n">
        <v>23.8</v>
      </c>
      <c r="AD349" s="72" t="n">
        <v>-13.03</v>
      </c>
      <c r="AE349" s="63" t="inlineStr">
        <is>
          <t>Y</t>
        </is>
      </c>
      <c r="AF349" s="63" t="inlineStr">
        <is>
          <t>2025-07-08</t>
        </is>
      </c>
      <c r="AG349" s="63" t="inlineStr">
        <is>
          <t>lapsed (no over-allocation)</t>
        </is>
      </c>
      <c r="AH349" s="63" t="inlineStr">
        <is>
          <t>2025-08-03</t>
        </is>
      </c>
      <c r="AI349" s="63" t="inlineStr">
        <is>
          <t>Haitong International Securities Company Limited</t>
        </is>
      </c>
      <c r="AJ349" s="63" t="inlineStr">
        <is>
          <t>Haitong</t>
        </is>
      </c>
      <c r="AK349" s="73" t="n">
        <v>3.5</v>
      </c>
      <c r="AL349" s="72" t="n">
        <v>20</v>
      </c>
      <c r="AM349" s="72" t="n">
        <v>-13.75</v>
      </c>
      <c r="AN349" s="72" t="n">
        <v>-10.5</v>
      </c>
      <c r="AO349" s="72" t="n">
        <v>-28.5</v>
      </c>
      <c r="AP349" s="72" t="n">
        <v>-35.95</v>
      </c>
      <c r="AQ349" s="72" t="n">
        <v>-13.53</v>
      </c>
      <c r="AR349" s="72" t="n">
        <v>-30.92</v>
      </c>
      <c r="AS349" s="72" t="n">
        <v>-38.12</v>
      </c>
      <c r="AT349" s="72" t="n">
        <v>-17.67</v>
      </c>
      <c r="AU349" s="72" t="n">
        <v>-43.78</v>
      </c>
      <c r="AV349" s="72" t="n">
        <v>-67.8</v>
      </c>
      <c r="AW349" s="72" t="n">
        <v>-44.22</v>
      </c>
      <c r="AX349" s="72" t="n">
        <v>15.28</v>
      </c>
      <c r="AY349" s="72" t="n">
        <v>13.3</v>
      </c>
      <c r="AZ349" s="63" t="inlineStr">
        <is>
          <t>China Biotech ETF (HS biotech proxy)</t>
        </is>
      </c>
      <c r="BA349" s="72" t="n">
        <v>36.3</v>
      </c>
      <c r="BB349" s="64" t="inlineStr">
        <is>
          <t>2026-08-28</t>
        </is>
      </c>
      <c r="BC349" s="65" t="n">
        <v>447.8</v>
      </c>
      <c r="BD349" s="68" t="n">
        <v>68.8</v>
      </c>
      <c r="BE349" s="63" t="inlineStr">
        <is>
          <t>Y</t>
        </is>
      </c>
      <c r="BF349" s="74" t="n">
        <v>14.4</v>
      </c>
      <c r="BG349" s="74" t="n">
        <v>20.1</v>
      </c>
      <c r="BH349" s="74" t="n">
        <v>26.1</v>
      </c>
      <c r="BI349" s="74" t="n">
        <v>2.2</v>
      </c>
      <c r="BJ349" s="75">
        <f>IF('BBG Verify'!S349="","not filed — run on terminal",'BBG Verify'!S349)</f>
        <v/>
      </c>
      <c r="BK349" s="76" t="inlineStr">
        <is>
          <t>N</t>
        </is>
      </c>
      <c r="BL349" s="77">
        <f>IF('BBG Verify'!K349="","not filed — run on terminal",'BBG Verify'!K349)</f>
        <v/>
      </c>
      <c r="BM349" s="63" t="inlineStr">
        <is>
          <t>N/A</t>
        </is>
      </c>
      <c r="BN349" s="63" t="inlineStr">
        <is>
          <t>N/A</t>
        </is>
      </c>
      <c r="BO349" s="63" t="inlineStr">
        <is>
          <t>N/A</t>
        </is>
      </c>
      <c r="BP349" s="63" t="inlineStr">
        <is>
          <t>N/A</t>
        </is>
      </c>
      <c r="BQ349" s="63" t="inlineStr">
        <is>
          <t>N/A</t>
        </is>
      </c>
      <c r="BR349" s="63" t="inlineStr">
        <is>
          <t>N/A</t>
        </is>
      </c>
      <c r="BS349" s="76" t="inlineStr">
        <is>
          <t>Haitong International Capital Limited</t>
        </is>
      </c>
      <c r="BT349" s="63" t="inlineStr">
        <is>
          <t>Haitong International Holdings Limited</t>
        </is>
      </c>
      <c r="BU349" s="63" t="inlineStr">
        <is>
          <t>Haitong International Securities Company Limited</t>
        </is>
      </c>
      <c r="BV349" s="63" t="inlineStr">
        <is>
          <t>Haitong International Securities Company Limited; Livermore Holdings Limited</t>
        </is>
      </c>
      <c r="BW349" s="78">
        <f>HYPERLINK("https://www1.hkexnews.hk/listedco/listconews/sehk/2025/0630/2025063000019.pdf","prospectus")</f>
        <v/>
      </c>
      <c r="BX349" s="78">
        <f>HYPERLINK("https://www1.hkexnews.hk/listedco/listconews/sehk/2025/0708/2025070801104.pdf","allotment")</f>
        <v/>
      </c>
      <c r="BY349" s="78">
        <f>HYPERLINK("https://www1.hkexnews.hk/listedco/listconews/sehk/2025/0804/2025080401259.pdf","stabilisation")</f>
        <v/>
      </c>
      <c r="BZ349" s="76" t="n"/>
      <c r="CA349" s="63" t="inlineStr">
        <is>
          <t>range low: cap-only pricing — the filing publishes a Maximum Offer Price and no indicative floor · A/H: no A-share listing · cornerstone list: no cornerstone tranche in this deal</t>
        </is>
      </c>
    </row>
    <row r="350" ht="15" customHeight="1">
      <c r="A350" s="62" t="inlineStr">
        <is>
          <t>2590</t>
        </is>
      </c>
      <c r="B350" s="63" t="inlineStr">
        <is>
          <t>GEEKPLUS-W</t>
        </is>
      </c>
      <c r="C350" s="63" t="inlineStr">
        <is>
          <t>極智嘉－Ｗ</t>
        </is>
      </c>
      <c r="D350" s="63" t="inlineStr">
        <is>
          <t>Tech/AI</t>
        </is>
      </c>
      <c r="E350" s="63" t="inlineStr">
        <is>
          <t>Robotics &amp; autonomous driving</t>
        </is>
      </c>
      <c r="F350" s="63" t="inlineStr">
        <is>
          <t>Advanced hardware and software</t>
        </is>
      </c>
      <c r="G350" s="63" t="inlineStr">
        <is>
          <t>WVR</t>
        </is>
      </c>
      <c r="H350" s="64" t="n">
        <v>45847</v>
      </c>
      <c r="I350" s="65" t="n">
        <v>2711.62</v>
      </c>
      <c r="J350" s="63" t="inlineStr">
        <is>
          <t>gross (stated)</t>
        </is>
      </c>
      <c r="K350" s="66" t="n"/>
      <c r="L350" s="66" t="n">
        <v>16.8</v>
      </c>
      <c r="M350" s="66" t="n">
        <v>16.8</v>
      </c>
      <c r="N350" s="63" t="inlineStr">
        <is>
          <t>Y</t>
        </is>
      </c>
      <c r="O350" s="67" t="n">
        <v>100</v>
      </c>
      <c r="P350" s="67" t="n"/>
      <c r="Q350" s="68" t="n">
        <v>21832.7</v>
      </c>
      <c r="R350" s="63" t="inlineStr">
        <is>
          <t>prospectus:stated market capitalisation</t>
        </is>
      </c>
      <c r="S350" s="69" t="n">
        <v>133.62</v>
      </c>
      <c r="T350" s="70" t="n">
        <v>30.17</v>
      </c>
      <c r="U350" s="71" t="n">
        <v>26.3</v>
      </c>
      <c r="V350" s="68" t="n">
        <v>1998.46</v>
      </c>
      <c r="W350" s="68" t="n">
        <v>118956075</v>
      </c>
      <c r="X350" s="67" t="n">
        <v>9.15</v>
      </c>
      <c r="Y350" s="63" t="inlineStr">
        <is>
          <t>Accelerator VI Ltd; Primus Cabibbo Limited</t>
        </is>
      </c>
      <c r="Z350" s="63" t="inlineStr">
        <is>
          <t>accelerator;primus</t>
        </is>
      </c>
      <c r="AA350" s="67" t="n">
        <v>15</v>
      </c>
      <c r="AB350" s="72" t="n"/>
      <c r="AC350" s="66" t="n"/>
      <c r="AD350" s="72" t="n"/>
      <c r="AE350" s="63" t="n"/>
      <c r="AF350" s="63" t="n"/>
      <c r="AG350" s="63" t="inlineStr">
        <is>
          <t>partial</t>
        </is>
      </c>
      <c r="AH350" s="63" t="n"/>
      <c r="AI350" s="63" t="inlineStr">
        <is>
          <t>Morgan Stanley Asia Limited</t>
        </is>
      </c>
      <c r="AJ350" s="63" t="inlineStr">
        <is>
          <t>Morgan Stanley</t>
        </is>
      </c>
      <c r="AK350" s="73" t="n">
        <v>5.36</v>
      </c>
      <c r="AL350" s="72" t="n">
        <v>0.6</v>
      </c>
      <c r="AM350" s="72" t="n">
        <v>4.73</v>
      </c>
      <c r="AN350" s="72" t="n">
        <v>12.62</v>
      </c>
      <c r="AO350" s="72" t="n">
        <v>9.880000000000001</v>
      </c>
      <c r="AP350" s="72" t="n">
        <v>92.5</v>
      </c>
      <c r="AQ350" s="72" t="n">
        <v>6.89</v>
      </c>
      <c r="AR350" s="72" t="n">
        <v>4.29</v>
      </c>
      <c r="AS350" s="72" t="n">
        <v>82.70999999999999</v>
      </c>
      <c r="AT350" s="72" t="n">
        <v>10.81</v>
      </c>
      <c r="AU350" s="72" t="n">
        <v>5.87</v>
      </c>
      <c r="AV350" s="72" t="n">
        <v>70.44</v>
      </c>
      <c r="AW350" s="72" t="n">
        <v>-1.43</v>
      </c>
      <c r="AX350" s="72" t="n">
        <v>4.01</v>
      </c>
      <c r="AY350" s="72" t="n">
        <v>5.72</v>
      </c>
      <c r="AZ350" s="63" t="inlineStr">
        <is>
          <t>HSTECH (Hang Seng TECH ETF)</t>
        </is>
      </c>
      <c r="BA350" s="72" t="n">
        <v>-39.4</v>
      </c>
      <c r="BB350" s="64" t="inlineStr">
        <is>
          <t>2026-08-28</t>
        </is>
      </c>
      <c r="BC350" s="65" t="n">
        <v>2649.9</v>
      </c>
      <c r="BD350" s="68" t="n">
        <v>-1239.4</v>
      </c>
      <c r="BE350" s="63" t="inlineStr">
        <is>
          <t>N</t>
        </is>
      </c>
      <c r="BF350" s="63" t="inlineStr">
        <is>
          <t>n/m</t>
        </is>
      </c>
      <c r="BG350" s="74" t="n"/>
      <c r="BH350" s="74" t="n"/>
      <c r="BI350" s="74" t="n">
        <v>8.199999999999999</v>
      </c>
      <c r="BJ350" s="75">
        <f>IF('BBG Verify'!S350="","not filed — run on terminal",'BBG Verify'!S350)</f>
        <v/>
      </c>
      <c r="BK350" s="76" t="inlineStr">
        <is>
          <t>N</t>
        </is>
      </c>
      <c r="BL350" s="77">
        <f>IF('BBG Verify'!K350="","not filed — run on terminal",'BBG Verify'!K350)</f>
        <v/>
      </c>
      <c r="BM350" s="63" t="inlineStr">
        <is>
          <t>N/A</t>
        </is>
      </c>
      <c r="BN350" s="63" t="inlineStr">
        <is>
          <t>N/A</t>
        </is>
      </c>
      <c r="BO350" s="63" t="inlineStr">
        <is>
          <t>N/A</t>
        </is>
      </c>
      <c r="BP350" s="63" t="inlineStr">
        <is>
          <t>N/A</t>
        </is>
      </c>
      <c r="BQ350" s="63" t="inlineStr">
        <is>
          <t>N/A</t>
        </is>
      </c>
      <c r="BR350" s="63" t="inlineStr">
        <is>
          <t>N/A</t>
        </is>
      </c>
      <c r="BS350" s="76" t="inlineStr">
        <is>
          <t>Morgan Stanley Asia Limited; China International Capital Corporation Hong Kong Securities Limited</t>
        </is>
      </c>
      <c r="BT350" s="63" t="inlineStr">
        <is>
          <t>China International Capital Corporation Hong Kong Securities Limited; Morgan Stanley Asia Limited</t>
        </is>
      </c>
      <c r="BU350" s="63" t="inlineStr">
        <is>
          <t>China International Capital Corporation Hong Kong Securities Limited; CMB International Capital Limited; Deutsche Bank AG, Hong Kong Branch; DBS Asia Capital Limited; Daiwa Capital Markets Hong Kong Limited; GF Securities (Hong Kong) Brokerage Limited</t>
        </is>
      </c>
      <c r="BV350" s="63" t="inlineStr">
        <is>
          <t>China International Capital Corporation Hong Kong Securities Limited; CMB International Capital Limited; Deutsche Bank AG, Hong Kong Branch; DBS Asia Capital Limited; Daiwa Capital Markets Hong Kong Limited; GF Securities (Hong Kong) Brokerage Limited; ICBC International Securities Limited; Morgan Stanley Asia Limited; South China Securities Limited; Shenwan Hongyuan Securities (H.K.) Limited; Tiger Brokers (HK) Global Limited</t>
        </is>
      </c>
      <c r="BW350" s="78">
        <f>HYPERLINK("https://www1.hkexnews.hk/listedco/listconews/sehk/2025/0630/2025063000025.pdf","prospectus")</f>
        <v/>
      </c>
      <c r="BX350" s="78">
        <f>HYPERLINK("https://www1.hkexnews.hk/listedco/listconews/sehk/2025/0708/2025070801126.pdf","allotment")</f>
        <v/>
      </c>
      <c r="BY350" s="78">
        <f>HYPERLINK("https://www1.hkexnews.hk/listedco/listconews/sehk/2025/0804/2025080400319.pdf","stabilisation")</f>
        <v/>
      </c>
      <c r="BZ350" s="76" t="n"/>
      <c r="CA350" s="63" t="inlineStr">
        <is>
          <t>P/E: n/m — loss-making at IPO (use P/S) · greenshoe: over-allotment outcome already published, and the allotment announcement does not state the stabilisation expiry in a parsable form — the expiry no longer matters once resolved · range low: cap-only pricing — the filing publishes a Maximum Offer Price and no indicative floor · A/H: no A-share listing · grey market: no grey-market headline on file for this deal — AAStocks publishes one per listing but keeps only recent items on the stock's news page, and no public archive of past evening sessions exists; captured from this run onward</t>
        </is>
      </c>
    </row>
    <row r="351" ht="15" customHeight="1">
      <c r="A351" s="62" t="inlineStr">
        <is>
          <t>2597</t>
        </is>
      </c>
      <c r="B351" s="63" t="inlineStr">
        <is>
          <t>XUNZHONG</t>
        </is>
      </c>
      <c r="C351" s="63" t="inlineStr">
        <is>
          <t>訊眾通信</t>
        </is>
      </c>
      <c r="D351" s="63" t="inlineStr">
        <is>
          <t>Tech/AI</t>
        </is>
      </c>
      <c r="E351" s="63" t="inlineStr">
        <is>
          <t>SaaS / enterprise software</t>
        </is>
      </c>
      <c r="F351" s="63" t="inlineStr">
        <is>
          <t>Telecommunication Services</t>
        </is>
      </c>
      <c r="G351" s="63" t="inlineStr">
        <is>
          <t>Standard</t>
        </is>
      </c>
      <c r="H351" s="64" t="n">
        <v>45847</v>
      </c>
      <c r="I351" s="65" t="n">
        <v>412.5</v>
      </c>
      <c r="J351" s="63" t="inlineStr">
        <is>
          <t>gross (stated)</t>
        </is>
      </c>
      <c r="K351" s="66" t="n">
        <v>13.55</v>
      </c>
      <c r="L351" s="66" t="n">
        <v>15.15</v>
      </c>
      <c r="M351" s="66" t="n">
        <v>13.55</v>
      </c>
      <c r="N351" s="63" t="inlineStr">
        <is>
          <t>N</t>
        </is>
      </c>
      <c r="O351" s="67" t="n">
        <v>89.40000000000001</v>
      </c>
      <c r="P351" s="67" t="n">
        <v>0</v>
      </c>
      <c r="Q351" s="68" t="n">
        <v>1649.8</v>
      </c>
      <c r="R351" s="63" t="inlineStr">
        <is>
          <t>derived:price x shares upon listing</t>
        </is>
      </c>
      <c r="S351" s="69" t="n">
        <v>12.79</v>
      </c>
      <c r="T351" s="70" t="n">
        <v>1.01</v>
      </c>
      <c r="U351" s="71" t="n">
        <v>31.54</v>
      </c>
      <c r="V351" s="68" t="n">
        <v>282.4</v>
      </c>
      <c r="W351" s="68" t="n">
        <v>20839224</v>
      </c>
      <c r="X351" s="67" t="n">
        <v>17.12</v>
      </c>
      <c r="Y351" s="63" t="inlineStr">
        <is>
          <t>Tongzhou International</t>
        </is>
      </c>
      <c r="Z351" s="63" t="inlineStr">
        <is>
          <t>tongzhou</t>
        </is>
      </c>
      <c r="AA351" s="67" t="n">
        <v>7.88</v>
      </c>
      <c r="AB351" s="72" t="n">
        <v>2.6</v>
      </c>
      <c r="AC351" s="66" t="n">
        <v>13.9</v>
      </c>
      <c r="AD351" s="72" t="n">
        <v>-2.32</v>
      </c>
      <c r="AE351" s="63" t="inlineStr">
        <is>
          <t>Y</t>
        </is>
      </c>
      <c r="AF351" s="63" t="inlineStr">
        <is>
          <t>2025-07-08</t>
        </is>
      </c>
      <c r="AG351" s="63" t="inlineStr">
        <is>
          <t>lapsed (no over-allocation)</t>
        </is>
      </c>
      <c r="AH351" s="63" t="inlineStr">
        <is>
          <t>2025-08-03</t>
        </is>
      </c>
      <c r="AI351" s="63" t="inlineStr">
        <is>
          <t>DBS Asia Capital Limited</t>
        </is>
      </c>
      <c r="AJ351" s="63" t="inlineStr">
        <is>
          <t>DBS</t>
        </is>
      </c>
      <c r="AK351" s="73" t="n">
        <v>0.22</v>
      </c>
      <c r="AL351" s="72" t="n">
        <v>7.16</v>
      </c>
      <c r="AM351" s="72" t="n">
        <v>-6.48</v>
      </c>
      <c r="AN351" s="72" t="n">
        <v>-0.37</v>
      </c>
      <c r="AO351" s="72" t="n">
        <v>-0.37</v>
      </c>
      <c r="AP351" s="72" t="n">
        <v>47.6</v>
      </c>
      <c r="AQ351" s="72" t="n">
        <v>-0.59</v>
      </c>
      <c r="AR351" s="72" t="n">
        <v>-0.59</v>
      </c>
      <c r="AS351" s="72" t="n">
        <v>47.28</v>
      </c>
      <c r="AT351" s="72" t="n">
        <v>-2.18</v>
      </c>
      <c r="AU351" s="72" t="n">
        <v>-4.38</v>
      </c>
      <c r="AV351" s="72" t="n">
        <v>25.54</v>
      </c>
      <c r="AW351" s="72" t="n">
        <v>-6.31</v>
      </c>
      <c r="AX351" s="72" t="n">
        <v>4.01</v>
      </c>
      <c r="AY351" s="72" t="n">
        <v>5.72</v>
      </c>
      <c r="AZ351" s="63" t="inlineStr">
        <is>
          <t>HSTECH (Hang Seng TECH ETF)</t>
        </is>
      </c>
      <c r="BA351" s="72" t="n">
        <v>221.33</v>
      </c>
      <c r="BB351" s="64" t="inlineStr">
        <is>
          <t>2026-08-28</t>
        </is>
      </c>
      <c r="BC351" s="65" t="n">
        <v>1009.4</v>
      </c>
      <c r="BD351" s="68" t="n">
        <v>55.7</v>
      </c>
      <c r="BE351" s="63" t="inlineStr">
        <is>
          <t>Y</t>
        </is>
      </c>
      <c r="BF351" s="74" t="n">
        <v>29.6</v>
      </c>
      <c r="BG351" s="74" t="n">
        <v>21.1</v>
      </c>
      <c r="BH351" s="74" t="n">
        <v>50.8</v>
      </c>
      <c r="BI351" s="74" t="n">
        <v>1.6</v>
      </c>
      <c r="BJ351" s="75">
        <f>IF('BBG Verify'!S351="","not filed — run on terminal",'BBG Verify'!S351)</f>
        <v/>
      </c>
      <c r="BK351" s="76" t="inlineStr">
        <is>
          <t>N</t>
        </is>
      </c>
      <c r="BL351" s="77">
        <f>IF('BBG Verify'!K351="","not filed — run on terminal",'BBG Verify'!K351)</f>
        <v/>
      </c>
      <c r="BM351" s="63" t="inlineStr">
        <is>
          <t>N/A</t>
        </is>
      </c>
      <c r="BN351" s="63" t="inlineStr">
        <is>
          <t>N/A</t>
        </is>
      </c>
      <c r="BO351" s="63" t="inlineStr">
        <is>
          <t>N/A</t>
        </is>
      </c>
      <c r="BP351" s="63" t="inlineStr">
        <is>
          <t>N/A</t>
        </is>
      </c>
      <c r="BQ351" s="63" t="inlineStr">
        <is>
          <t>N/A</t>
        </is>
      </c>
      <c r="BR351" s="63" t="inlineStr">
        <is>
          <t>N/A</t>
        </is>
      </c>
      <c r="BS351" s="76" t="n"/>
      <c r="BT351" s="63" t="inlineStr">
        <is>
          <t>DBS Asia Capital Limited</t>
        </is>
      </c>
      <c r="BU351" s="63" t="inlineStr">
        <is>
          <t>DBS Asia Capital Limited; Fosun International Securities Limited; ICBC International Securities Limited; Zinvest Global Limited; Huafu International Securities Limited; Winbull Securities International (Hong Kong) Limited; Long Bridge HK Limited; ZH Securities Limited</t>
        </is>
      </c>
      <c r="BV351" s="63" t="inlineStr">
        <is>
          <t>BOCI Asia Limited; Central China International Securities Co., Limited; China Industrial Securities International Capital Limited; CMBC Securities Company Limited; China Securities (International) Corporate Finance Company Limited; DBS Asia Capital Limited; Fosun International Securities Limited; Guoyuan Securities Brokerage (Hong Kong) Limited; Huafu International Securities Limited; ICBC International Securities Limited; Long Bridge HK Limited; Winbull Securities International (HK) Limited</t>
        </is>
      </c>
      <c r="BW351" s="78">
        <f>HYPERLINK("https://www1.hkexnews.hk/listedco/listconews/sehk/2025/0630/2025063000023.pdf","prospectus")</f>
        <v/>
      </c>
      <c r="BX351" s="78">
        <f>HYPERLINK("https://www1.hkexnews.hk/listedco/listconews/sehk/2025/0708/2025070801152.pdf","allotment")</f>
        <v/>
      </c>
      <c r="BY351" s="78">
        <f>HYPERLINK("https://www1.hkexnews.hk/listedco/listconews/sehk/2025/0804/2025080400029.pdf","stabilisation")</f>
        <v/>
      </c>
      <c r="BZ351" s="76" t="n"/>
      <c r="CA351" s="63" t="inlineStr">
        <is>
          <t>A/H: no A-share listing · sponsor: English name not in the filing text; AAStocks 保薦人 shown</t>
        </is>
      </c>
    </row>
    <row r="352" ht="15" customHeight="1">
      <c r="A352" s="62" t="inlineStr">
        <is>
          <t>1304</t>
        </is>
      </c>
      <c r="B352" s="63" t="inlineStr">
        <is>
          <t>FORTIOR</t>
        </is>
      </c>
      <c r="C352" s="63" t="inlineStr">
        <is>
          <t>FORTIOR</t>
        </is>
      </c>
      <c r="D352" s="63" t="inlineStr">
        <is>
          <t>Tech/AI</t>
        </is>
      </c>
      <c r="E352" s="63" t="inlineStr">
        <is>
          <t>AI chips &amp; semis</t>
        </is>
      </c>
      <c r="F352" s="63" t="inlineStr">
        <is>
          <t>Semiconductors &amp; Semiconductor Equipment</t>
        </is>
      </c>
      <c r="G352" s="63" t="inlineStr">
        <is>
          <t>Standard</t>
        </is>
      </c>
      <c r="H352" s="64" t="n">
        <v>45847</v>
      </c>
      <c r="I352" s="65" t="n">
        <v>2258.7</v>
      </c>
      <c r="J352" s="63" t="inlineStr">
        <is>
          <t>gross (stated)</t>
        </is>
      </c>
      <c r="K352" s="66" t="n"/>
      <c r="L352" s="66" t="n">
        <v>120.5</v>
      </c>
      <c r="M352" s="66" t="n">
        <v>120.5</v>
      </c>
      <c r="N352" s="63" t="inlineStr">
        <is>
          <t>Y</t>
        </is>
      </c>
      <c r="O352" s="67" t="n">
        <v>100</v>
      </c>
      <c r="P352" s="67" t="n"/>
      <c r="Q352" s="68" t="n">
        <v>13070.6</v>
      </c>
      <c r="R352" s="63" t="inlineStr">
        <is>
          <t>prospectus:stated market capitalisation</t>
        </is>
      </c>
      <c r="S352" s="69" t="n">
        <v>138.26</v>
      </c>
      <c r="T352" s="70" t="n">
        <v>8.609999999999999</v>
      </c>
      <c r="U352" s="71" t="n">
        <v>38.7</v>
      </c>
      <c r="V352" s="68" t="n">
        <v>1384.58</v>
      </c>
      <c r="W352" s="68" t="n">
        <v>11490317</v>
      </c>
      <c r="X352" s="67" t="n">
        <v>10.59</v>
      </c>
      <c r="Y352" s="63" t="inlineStr">
        <is>
          <t>Pinpoint; Wind Sabre; Mega Prime; Fourier Capital; Torus; Intac</t>
        </is>
      </c>
      <c r="Z352" s="63" t="inlineStr">
        <is>
          <t>pinpoint;wind;mega;fourier;torus;intac</t>
        </is>
      </c>
      <c r="AA352" s="67" t="n">
        <v>15</v>
      </c>
      <c r="AB352" s="72" t="n"/>
      <c r="AC352" s="66" t="n"/>
      <c r="AD352" s="72" t="n"/>
      <c r="AE352" s="63" t="n"/>
      <c r="AF352" s="63" t="n"/>
      <c r="AG352" s="63" t="inlineStr">
        <is>
          <t>full</t>
        </is>
      </c>
      <c r="AH352" s="63" t="n"/>
      <c r="AI352" s="63" t="n"/>
      <c r="AJ352" s="63" t="n"/>
      <c r="AK352" s="73" t="n">
        <v>16.02</v>
      </c>
      <c r="AL352" s="72" t="n">
        <v>8.550000000000001</v>
      </c>
      <c r="AM352" s="72" t="n">
        <v>6.88</v>
      </c>
      <c r="AN352" s="72" t="n">
        <v>25.81</v>
      </c>
      <c r="AO352" s="72" t="n">
        <v>30.87</v>
      </c>
      <c r="AP352" s="72" t="n">
        <v>65.06</v>
      </c>
      <c r="AQ352" s="72" t="n">
        <v>8.44</v>
      </c>
      <c r="AR352" s="72" t="n">
        <v>12.8</v>
      </c>
      <c r="AS352" s="72" t="n">
        <v>42.27</v>
      </c>
      <c r="AT352" s="72" t="n">
        <v>24</v>
      </c>
      <c r="AU352" s="72" t="n">
        <v>26.86</v>
      </c>
      <c r="AV352" s="72" t="n">
        <v>43</v>
      </c>
      <c r="AW352" s="72" t="n">
        <v>7.08</v>
      </c>
      <c r="AX352" s="72" t="n">
        <v>4.01</v>
      </c>
      <c r="AY352" s="72" t="n">
        <v>5.72</v>
      </c>
      <c r="AZ352" s="63" t="inlineStr">
        <is>
          <t>HSTECH (Hang Seng TECH ETF)</t>
        </is>
      </c>
      <c r="BA352" s="72" t="n">
        <v>-2.57</v>
      </c>
      <c r="BB352" s="64" t="inlineStr">
        <is>
          <t>2026-08-28</t>
        </is>
      </c>
      <c r="BC352" s="65" t="n">
        <v>660.4</v>
      </c>
      <c r="BD352" s="68" t="n">
        <v>156.2</v>
      </c>
      <c r="BE352" s="63" t="inlineStr">
        <is>
          <t>Y</t>
        </is>
      </c>
      <c r="BF352" s="74" t="n">
        <v>83.7</v>
      </c>
      <c r="BG352" s="74" t="n">
        <v>53.1</v>
      </c>
      <c r="BH352" s="74" t="n">
        <v>48.1</v>
      </c>
      <c r="BI352" s="74" t="n">
        <v>19.8</v>
      </c>
      <c r="BJ352" s="75">
        <f>IF('BBG Verify'!S352="","not filed — run on terminal",'BBG Verify'!S352)</f>
        <v/>
      </c>
      <c r="BK352" s="76" t="inlineStr">
        <is>
          <t>Y</t>
        </is>
      </c>
      <c r="BL352" s="63" t="inlineStr">
        <is>
          <t>688279.SS</t>
        </is>
      </c>
      <c r="BM352" s="72" t="n">
        <v>66.31999999999999</v>
      </c>
      <c r="BN352" s="66" t="n">
        <v>200.418</v>
      </c>
      <c r="BO352" s="80" t="n">
        <v>0.8594000000000001</v>
      </c>
      <c r="BP352" s="68" t="n">
        <v>26523.6</v>
      </c>
      <c r="BQ352" s="75">
        <f>IF('BBG Verify'!Q352="","run on terminal",'BBG Verify'!Q352)</f>
        <v/>
      </c>
      <c r="BR352" s="75">
        <f>IF('BBG Verify'!R352="","run on terminal",'BBG Verify'!R352)</f>
        <v/>
      </c>
      <c r="BS352" s="76" t="inlineStr">
        <is>
          <t>China International Capital Corporation Hong Kong Securities Limited</t>
        </is>
      </c>
      <c r="BT352" s="63" t="inlineStr">
        <is>
          <t>China International Capital Corporation Hong Kong Securities Limited</t>
        </is>
      </c>
      <c r="BU352" s="63" t="inlineStr">
        <is>
          <t>China International Capital Corporation Hong Kong Securities Limited; BOCI Asia Limited; GF Securities (Hong Kong) Brokerage Limited</t>
        </is>
      </c>
      <c r="BV352" s="63" t="inlineStr">
        <is>
          <t>BOCI Asia Limited; China International Capital Corporation Hong Kong Securities Limited; GF Securities (Hong Kong) Brokerage Limited</t>
        </is>
      </c>
      <c r="BW352" s="78">
        <f>HYPERLINK("https://www1.hkexnews.hk/listedco/listconews/sehk/2025/0630/2025063000015.pdf","prospectus")</f>
        <v/>
      </c>
      <c r="BX352" s="78">
        <f>HYPERLINK("https://www1.hkexnews.hk/listedco/listconews/sehk/2025/0708/2025070801154.pdf","allotment")</f>
        <v/>
      </c>
      <c r="BY352" s="78">
        <f>HYPERLINK("https://www1.hkexnews.hk/listedco/listconews/sehk/2025/0803/2025080300007.pdf","stabilisation")</f>
        <v/>
      </c>
      <c r="BZ352" s="76" t="n"/>
      <c r="CA352" s="63" t="inlineStr">
        <is>
          <t>greenshoe: over-allotment outcome already published, and the allotment announcement does not state the stabilisation expiry in a parsable form — the expiry no longer matters once resolved · range low: cap-only pricing — the filing publishes a Maximum Offer Price and no indicative floor · A/H: Jul 2025 H listing (BLDC motor-driver chips) · stabilising manager: neither the allotment announcement's cover sentence nor the prospectus definitions glossary names one in a form the parser reads — not inferred from the sponsor · grey market: no grey-market headline on file for this deal — AAStocks publishes one per listing but keeps only recent items on the stock's news page, and no public archive of past evening sessions exists; captured from this run onward</t>
        </is>
      </c>
    </row>
    <row r="353" ht="15" customHeight="1">
      <c r="A353" s="62" t="inlineStr">
        <is>
          <t>6613</t>
        </is>
      </c>
      <c r="B353" s="63" t="inlineStr">
        <is>
          <t>LENS</t>
        </is>
      </c>
      <c r="C353" s="63" t="inlineStr">
        <is>
          <t>藍思科技</t>
        </is>
      </c>
      <c r="D353" s="63" t="inlineStr">
        <is>
          <t>Tech/AI</t>
        </is>
      </c>
      <c r="E353" s="63" t="inlineStr">
        <is>
          <t>Smart hardware / consumer electronics</t>
        </is>
      </c>
      <c r="F353" s="63" t="inlineStr">
        <is>
          <t>Next-generation information technology</t>
        </is>
      </c>
      <c r="G353" s="63" t="inlineStr">
        <is>
          <t>Standard</t>
        </is>
      </c>
      <c r="H353" s="64" t="n">
        <v>45847</v>
      </c>
      <c r="I353" s="65" t="n">
        <v>4767.83</v>
      </c>
      <c r="J353" s="63" t="inlineStr">
        <is>
          <t>gross (stated)</t>
        </is>
      </c>
      <c r="K353" s="66" t="n"/>
      <c r="L353" s="66" t="n">
        <v>18.18</v>
      </c>
      <c r="M353" s="66" t="n">
        <v>18.18</v>
      </c>
      <c r="N353" s="63" t="inlineStr">
        <is>
          <t>Y</t>
        </is>
      </c>
      <c r="O353" s="67" t="n">
        <v>100</v>
      </c>
      <c r="P353" s="67" t="n"/>
      <c r="Q353" s="68" t="n">
        <v>96069.8</v>
      </c>
      <c r="R353" s="63" t="inlineStr">
        <is>
          <t>aastocks:上市市值 at the struck price</t>
        </is>
      </c>
      <c r="S353" s="69" t="n">
        <v>462.76</v>
      </c>
      <c r="T353" s="70" t="n">
        <v>16.68</v>
      </c>
      <c r="U353" s="71" t="n">
        <v>32.2</v>
      </c>
      <c r="V353" s="68" t="n">
        <v>3232.59</v>
      </c>
      <c r="W353" s="68" t="n">
        <v>177810110</v>
      </c>
      <c r="X353" s="67" t="n">
        <v>3.36</v>
      </c>
      <c r="Y353" s="63" t="inlineStr">
        <is>
          <t>Green Better; Olympic Country; UBS AM Singapore; Poly Platinum; Infini; Verition</t>
        </is>
      </c>
      <c r="Z353" s="63" t="inlineStr">
        <is>
          <t>green;olympic;ubs;poly;infini;verition</t>
        </is>
      </c>
      <c r="AA353" s="67" t="n">
        <v>15</v>
      </c>
      <c r="AB353" s="72" t="n"/>
      <c r="AC353" s="66" t="n"/>
      <c r="AD353" s="72" t="n"/>
      <c r="AE353" s="63" t="n"/>
      <c r="AF353" s="63" t="n"/>
      <c r="AG353" s="63" t="inlineStr">
        <is>
          <t>full</t>
        </is>
      </c>
      <c r="AH353" s="63" t="inlineStr">
        <is>
          <t>2025-08-03</t>
        </is>
      </c>
      <c r="AI353" s="63" t="inlineStr">
        <is>
          <t>C LSA Limited</t>
        </is>
      </c>
      <c r="AJ353" s="63" t="inlineStr">
        <is>
          <t>C LSA</t>
        </is>
      </c>
      <c r="AK353" s="73" t="n">
        <v>9.130000000000001</v>
      </c>
      <c r="AL353" s="72" t="n">
        <v>3.85</v>
      </c>
      <c r="AM353" s="72" t="n">
        <v>5.08</v>
      </c>
      <c r="AN353" s="72" t="n">
        <v>6.38</v>
      </c>
      <c r="AO353" s="72" t="n">
        <v>16.06</v>
      </c>
      <c r="AP353" s="72" t="n">
        <v>76.79000000000001</v>
      </c>
      <c r="AQ353" s="72" t="n">
        <v>-2.52</v>
      </c>
      <c r="AR353" s="72" t="n">
        <v>6.35</v>
      </c>
      <c r="AS353" s="72" t="n">
        <v>62</v>
      </c>
      <c r="AT353" s="72" t="n">
        <v>4.57</v>
      </c>
      <c r="AU353" s="72" t="n">
        <v>12.05</v>
      </c>
      <c r="AV353" s="72" t="n">
        <v>54.73</v>
      </c>
      <c r="AW353" s="72" t="n">
        <v>0.63</v>
      </c>
      <c r="AX353" s="72" t="n">
        <v>4.01</v>
      </c>
      <c r="AY353" s="72" t="n">
        <v>5.72</v>
      </c>
      <c r="AZ353" s="63" t="inlineStr">
        <is>
          <t>HSTECH (Hang Seng TECH ETF)</t>
        </is>
      </c>
      <c r="BA353" s="72" t="n">
        <v>36.41</v>
      </c>
      <c r="BB353" s="64" t="inlineStr">
        <is>
          <t>2026-08-28</t>
        </is>
      </c>
      <c r="BC353" s="65" t="n"/>
      <c r="BD353" s="68" t="n">
        <v>4044.5</v>
      </c>
      <c r="BE353" s="63" t="inlineStr">
        <is>
          <t>Y</t>
        </is>
      </c>
      <c r="BF353" s="74" t="n">
        <v>23.8</v>
      </c>
      <c r="BG353" s="74" t="n">
        <v>22.9</v>
      </c>
      <c r="BH353" s="74" t="n">
        <v>30.1</v>
      </c>
      <c r="BI353" s="74" t="n"/>
      <c r="BJ353" s="75">
        <f>IF('BBG Verify'!S353="","not filed — run on terminal",'BBG Verify'!S353)</f>
        <v/>
      </c>
      <c r="BK353" s="76" t="inlineStr">
        <is>
          <t>Y</t>
        </is>
      </c>
      <c r="BL353" s="63" t="inlineStr">
        <is>
          <t>300433.SZ</t>
        </is>
      </c>
      <c r="BM353" s="72" t="n">
        <v>40.38</v>
      </c>
      <c r="BN353" s="66" t="n">
        <v>25.5213</v>
      </c>
      <c r="BO353" s="80" t="n">
        <v>0.8149</v>
      </c>
      <c r="BP353" s="68" t="n">
        <v>239798</v>
      </c>
      <c r="BQ353" s="75">
        <f>IF('BBG Verify'!Q353="","run on terminal",'BBG Verify'!Q353)</f>
        <v/>
      </c>
      <c r="BR353" s="75">
        <f>IF('BBG Verify'!R353="","run on terminal",'BBG Verify'!R353)</f>
        <v/>
      </c>
      <c r="BS353" s="76" t="inlineStr">
        <is>
          <t>CITIC Securities (Hong Kong) Limited</t>
        </is>
      </c>
      <c r="BT353" s="63" t="inlineStr">
        <is>
          <t>CITIC Securities (Hong Kong) Limited</t>
        </is>
      </c>
      <c r="BU353" s="63" t="inlineStr">
        <is>
          <t>CLSA Limited; Merrill Lynch (Asia Pacific) Limited; ABCI Capital Limited; BOCI Asia Limited; Futu Securities International (Hong Kong) Limited; AVICT Global Asset Management Limited</t>
        </is>
      </c>
      <c r="BV353" s="63" t="inlineStr">
        <is>
          <t>ABCI Securities Company Limited; AVICT Global Asset Management Limited; BOCI Asia Limited; CLSA Limited; Futu Securities International (Hong Kong) Limited; Merrill Lynch (Asia Pacific) Limited</t>
        </is>
      </c>
      <c r="BW353" s="78">
        <f>HYPERLINK("https://www1.hkexnews.hk/listedco/listconews/sehk/2025/0630/2025063000031.pdf","prospectus")</f>
        <v/>
      </c>
      <c r="BX353" s="78">
        <f>HYPERLINK("https://www1.hkexnews.hk/listedco/listconews/sehk/2025/0708/2025070801180.pdf","allotment")</f>
        <v/>
      </c>
      <c r="BY353" s="78">
        <f>HYPERLINK("https://www1.hkexnews.hk/listedco/listconews/sehk/2025/0803/2025080300029.pdf","stabilisation")</f>
        <v/>
      </c>
      <c r="BZ353" s="76" t="n"/>
      <c r="CA353" s="63" t="inlineStr">
        <is>
          <t>range low: cap-only pricing — the filing publishes a Maximum Offer Price and no indicative floor · A/H: Jul 2025 H listing (cover glass, Apple chain) · P/S: revenue not extractable · financials: financial tables not machine-extractable and the pre-IPO year is outside AAStocks' 5-year window · grey market: no grey-market headline on file for this deal — AAStocks publishes one per listing but keeps only recent items on the stock's news page, and no public archive of past evening sessions exists; captured from this run onward</t>
        </is>
      </c>
    </row>
    <row r="354" ht="15" customHeight="1">
      <c r="A354" s="62" t="inlineStr">
        <is>
          <t>9887</t>
        </is>
      </c>
      <c r="B354" s="63" t="inlineStr">
        <is>
          <t>LEADS BIOLABS-B</t>
        </is>
      </c>
      <c r="C354" s="63" t="inlineStr">
        <is>
          <t>維立志博－Ｂ</t>
        </is>
      </c>
      <c r="D354" s="63" t="inlineStr">
        <is>
          <t>Healthcare</t>
        </is>
      </c>
      <c r="E354" s="63" t="inlineStr">
        <is>
          <t>Biotech pre-revenue (18A)</t>
        </is>
      </c>
      <c r="F354" s="63" t="inlineStr">
        <is>
          <t>Biotechnology - Pharmaceuticals</t>
        </is>
      </c>
      <c r="G354" s="63" t="inlineStr">
        <is>
          <t>18A</t>
        </is>
      </c>
      <c r="H354" s="64" t="n">
        <v>45863</v>
      </c>
      <c r="I354" s="65" t="n">
        <v>1290.2</v>
      </c>
      <c r="J354" s="63" t="inlineStr">
        <is>
          <t>gross (stated)</t>
        </is>
      </c>
      <c r="K354" s="66" t="n">
        <v>31.6</v>
      </c>
      <c r="L354" s="66" t="n">
        <v>35</v>
      </c>
      <c r="M354" s="66" t="n">
        <v>35</v>
      </c>
      <c r="N354" s="63" t="inlineStr">
        <is>
          <t>Y</t>
        </is>
      </c>
      <c r="O354" s="67" t="n">
        <v>100</v>
      </c>
      <c r="P354" s="67" t="n">
        <v>100</v>
      </c>
      <c r="Q354" s="68" t="n">
        <v>5958.3</v>
      </c>
      <c r="R354" s="63" t="inlineStr">
        <is>
          <t>prospectus:stated market capitalisation</t>
        </is>
      </c>
      <c r="S354" s="69" t="n">
        <v>3494.78</v>
      </c>
      <c r="T354" s="70" t="n">
        <v>40.78</v>
      </c>
      <c r="U354" s="71" t="n">
        <v>10.63</v>
      </c>
      <c r="V354" s="68" t="n">
        <v>1153.05</v>
      </c>
      <c r="W354" s="68" t="n">
        <v>32944016</v>
      </c>
      <c r="X354" s="67" t="n">
        <v>19.35</v>
      </c>
      <c r="Y354" s="63" t="inlineStr">
        <is>
          <t>Loyal Valley Fund III; Vision Fund</t>
        </is>
      </c>
      <c r="Z354" s="63" t="inlineStr">
        <is>
          <t>loyal;vision</t>
        </is>
      </c>
      <c r="AA354" s="67" t="n">
        <v>15</v>
      </c>
      <c r="AB354" s="72" t="n"/>
      <c r="AC354" s="66" t="n"/>
      <c r="AD354" s="72" t="n"/>
      <c r="AE354" s="63" t="n"/>
      <c r="AF354" s="63" t="n"/>
      <c r="AG354" s="63" t="inlineStr">
        <is>
          <t>full</t>
        </is>
      </c>
      <c r="AH354" s="63" t="n"/>
      <c r="AI354" s="63" t="inlineStr">
        <is>
          <t>Morgan Stanley Asia Limited</t>
        </is>
      </c>
      <c r="AJ354" s="63" t="inlineStr">
        <is>
          <t>Morgan Stanley</t>
        </is>
      </c>
      <c r="AK354" s="73" t="n">
        <v>91.70999999999999</v>
      </c>
      <c r="AL354" s="72" t="n">
        <v>106.86</v>
      </c>
      <c r="AM354" s="72" t="n">
        <v>-7.32</v>
      </c>
      <c r="AN354" s="72" t="n">
        <v>100</v>
      </c>
      <c r="AO354" s="72" t="n">
        <v>94.29000000000001</v>
      </c>
      <c r="AP354" s="72" t="n">
        <v>69.14</v>
      </c>
      <c r="AQ354" s="72" t="n">
        <v>4.32</v>
      </c>
      <c r="AR354" s="72" t="n">
        <v>1.35</v>
      </c>
      <c r="AS354" s="72" t="n">
        <v>-11.77</v>
      </c>
      <c r="AT354" s="72" t="n">
        <v>96.86</v>
      </c>
      <c r="AU354" s="72" t="n">
        <v>84.23999999999999</v>
      </c>
      <c r="AV354" s="72" t="n">
        <v>66.01000000000001</v>
      </c>
      <c r="AW354" s="72" t="n">
        <v>-8.779999999999999</v>
      </c>
      <c r="AX354" s="72" t="n">
        <v>10.05</v>
      </c>
      <c r="AY354" s="72" t="n">
        <v>10.13</v>
      </c>
      <c r="AZ354" s="63" t="inlineStr">
        <is>
          <t>China Biotech ETF (HS biotech proxy)</t>
        </is>
      </c>
      <c r="BA354" s="72" t="n">
        <v>105.57</v>
      </c>
      <c r="BB354" s="64" t="inlineStr">
        <is>
          <t>2026-08-28</t>
        </is>
      </c>
      <c r="BC354" s="65" t="n">
        <v>9.800000000000001</v>
      </c>
      <c r="BD354" s="68" t="n">
        <v>-95.2</v>
      </c>
      <c r="BE354" s="63" t="inlineStr">
        <is>
          <t>N</t>
        </is>
      </c>
      <c r="BF354" s="63" t="inlineStr">
        <is>
          <t>n/m</t>
        </is>
      </c>
      <c r="BG354" s="74" t="n"/>
      <c r="BH354" s="74" t="n"/>
      <c r="BI354" s="74" t="n">
        <v>608</v>
      </c>
      <c r="BJ354" s="75">
        <f>IF('BBG Verify'!S354="","not filed — run on terminal",'BBG Verify'!S354)</f>
        <v/>
      </c>
      <c r="BK354" s="76" t="inlineStr">
        <is>
          <t>N</t>
        </is>
      </c>
      <c r="BL354" s="77">
        <f>IF('BBG Verify'!K354="","not filed — run on terminal",'BBG Verify'!K354)</f>
        <v/>
      </c>
      <c r="BM354" s="63" t="inlineStr">
        <is>
          <t>N/A</t>
        </is>
      </c>
      <c r="BN354" s="63" t="inlineStr">
        <is>
          <t>N/A</t>
        </is>
      </c>
      <c r="BO354" s="63" t="inlineStr">
        <is>
          <t>N/A</t>
        </is>
      </c>
      <c r="BP354" s="63" t="inlineStr">
        <is>
          <t>N/A</t>
        </is>
      </c>
      <c r="BQ354" s="63" t="inlineStr">
        <is>
          <t>N/A</t>
        </is>
      </c>
      <c r="BR354" s="63" t="inlineStr">
        <is>
          <t>N/A</t>
        </is>
      </c>
      <c r="BS354" s="76" t="inlineStr">
        <is>
          <t>Morgan StanleyAsia Limited; CITIC Securities (Hong Kong) Limited; CLSA Limited</t>
        </is>
      </c>
      <c r="BT354" s="63" t="inlineStr">
        <is>
          <t>Morgan Stanley Asia Limited; CITIC Securities (Hong Kong) Limited</t>
        </is>
      </c>
      <c r="BU354" s="63" t="inlineStr">
        <is>
          <t>CCB International Capital Limited; CLSA Limited; CMB International Capital Limited; Futu Securities International (Hong Kong) Limited; Morgan Stanley Asia Limited</t>
        </is>
      </c>
      <c r="BV354" s="63" t="inlineStr">
        <is>
          <t>CCB International Capital Limited; CLSA Limited; CMB International Capital Limited; Futu Securities International (Hong Kong) Limited; Morgan Stanley Asia Limited</t>
        </is>
      </c>
      <c r="BW354" s="78">
        <f>HYPERLINK("https://www1.hkexnews.hk/listedco/listconews/sehk/2025/0717/2025071700005.pdf","prospectus")</f>
        <v/>
      </c>
      <c r="BX354" s="78">
        <f>HYPERLINK("https://www1.hkexnews.hk/listedco/listconews/sehk/2025/0724/2025072401812.pdf","allotment")</f>
        <v/>
      </c>
      <c r="BY354" s="78">
        <f>HYPERLINK("https://www1.hkexnews.hk/listedco/listconews/sehk/2025/0821/2025082100862.pdf","stabilisation")</f>
        <v/>
      </c>
      <c r="BZ354" s="76" t="n"/>
      <c r="CA354" s="63" t="inlineStr">
        <is>
          <t>P/E: n/m — loss-making at IPO (use P/S) · greenshoe: over-allotment outcome already published, and the allotment announcement does not state the stabilisation expiry in a parsable form — the expiry no longer matters once resolved · A/H: no A-share listing · P/S: 608x on HK$9.8m revenue — effectively pre-revenue; the multiple is shown for completeness, not comparability · grey market: no grey-market headline on file for this deal — AAStocks publishes one per listing but keeps only recent items on the stock's news page, and no public archive of past evening sessions exists; captured from this run onward</t>
        </is>
      </c>
    </row>
    <row r="355" ht="15" customHeight="1">
      <c r="A355" s="62" t="inlineStr">
        <is>
          <t>2627</t>
        </is>
      </c>
      <c r="B355" s="63" t="inlineStr">
        <is>
          <t>AB&amp;B BIO-TECH-B</t>
        </is>
      </c>
      <c r="C355" s="63" t="inlineStr">
        <is>
          <t>中慧生物－Ｂ</t>
        </is>
      </c>
      <c r="D355" s="63" t="inlineStr">
        <is>
          <t>Healthcare</t>
        </is>
      </c>
      <c r="E355" s="63" t="inlineStr">
        <is>
          <t>Biotech pre-revenue (18A)</t>
        </is>
      </c>
      <c r="F355" s="63" t="inlineStr">
        <is>
          <t>Biotechnology - Pharmaceuticals</t>
        </is>
      </c>
      <c r="G355" s="63" t="inlineStr">
        <is>
          <t>18A</t>
        </is>
      </c>
      <c r="H355" s="64" t="n">
        <v>45880</v>
      </c>
      <c r="I355" s="65" t="n">
        <v>431.4</v>
      </c>
      <c r="J355" s="63" t="inlineStr">
        <is>
          <t>gross (stated)</t>
        </is>
      </c>
      <c r="K355" s="66" t="n">
        <v>12.9</v>
      </c>
      <c r="L355" s="66" t="n">
        <v>15.5</v>
      </c>
      <c r="M355" s="66" t="n">
        <v>12.9</v>
      </c>
      <c r="N355" s="63" t="inlineStr">
        <is>
          <t>N</t>
        </is>
      </c>
      <c r="O355" s="67" t="n">
        <v>83.2</v>
      </c>
      <c r="P355" s="67" t="n">
        <v>0</v>
      </c>
      <c r="Q355" s="68" t="n">
        <v>5075.4</v>
      </c>
      <c r="R355" s="63" t="inlineStr">
        <is>
          <t>derived:price x shares upon listing</t>
        </is>
      </c>
      <c r="S355" s="69" t="n">
        <v>4007.64</v>
      </c>
      <c r="T355" s="70" t="n">
        <v>0.99</v>
      </c>
      <c r="U355" s="71" t="n">
        <v>33.3</v>
      </c>
      <c r="V355" s="68" t="n">
        <v>287.74</v>
      </c>
      <c r="W355" s="68" t="n">
        <v>22306214</v>
      </c>
      <c r="X355" s="67" t="n">
        <v>5.67</v>
      </c>
      <c r="Y355" s="63" t="n"/>
      <c r="Z355" s="63" t="n"/>
      <c r="AA355" s="67" t="n"/>
      <c r="AB355" s="72" t="n"/>
      <c r="AC355" s="66" t="n"/>
      <c r="AD355" s="72" t="n"/>
      <c r="AE355" s="63" t="n"/>
      <c r="AF355" s="63" t="n"/>
      <c r="AG355" s="63" t="n"/>
      <c r="AH355" s="63" t="n"/>
      <c r="AI355" s="63" t="n"/>
      <c r="AJ355" s="63" t="n"/>
      <c r="AK355" s="73" t="n">
        <v>157.98</v>
      </c>
      <c r="AL355" s="72" t="n">
        <v>155.81</v>
      </c>
      <c r="AM355" s="72" t="n">
        <v>0.85</v>
      </c>
      <c r="AN355" s="72" t="n">
        <v>314.73</v>
      </c>
      <c r="AO355" s="72" t="n">
        <v>261.09</v>
      </c>
      <c r="AP355" s="72" t="n">
        <v>212.71</v>
      </c>
      <c r="AQ355" s="72" t="n">
        <v>60.76</v>
      </c>
      <c r="AR355" s="72" t="n">
        <v>39.97</v>
      </c>
      <c r="AS355" s="72" t="n">
        <v>21.21</v>
      </c>
      <c r="AT355" s="72" t="n">
        <v>307.69</v>
      </c>
      <c r="AU355" s="72" t="n">
        <v>248.23</v>
      </c>
      <c r="AV355" s="72" t="n">
        <v>212.81</v>
      </c>
      <c r="AW355" s="72" t="n">
        <v>27.97</v>
      </c>
      <c r="AX355" s="72" t="n">
        <v>12.86</v>
      </c>
      <c r="AY355" s="72" t="n">
        <v>12</v>
      </c>
      <c r="AZ355" s="63" t="inlineStr">
        <is>
          <t>China Biotech ETF (HS biotech proxy)</t>
        </is>
      </c>
      <c r="BA355" s="72" t="n">
        <v>127.29</v>
      </c>
      <c r="BB355" s="64" t="inlineStr">
        <is>
          <t>2026-08-28</t>
        </is>
      </c>
      <c r="BC355" s="65" t="n">
        <v>0.3</v>
      </c>
      <c r="BD355" s="68" t="n">
        <v>0</v>
      </c>
      <c r="BE355" s="63" t="inlineStr">
        <is>
          <t>N</t>
        </is>
      </c>
      <c r="BF355" s="63" t="inlineStr">
        <is>
          <t>n/m</t>
        </is>
      </c>
      <c r="BG355" s="74" t="n"/>
      <c r="BH355" s="74" t="n"/>
      <c r="BI355" s="74" t="n">
        <v>16918</v>
      </c>
      <c r="BJ355" s="75">
        <f>IF('BBG Verify'!S355="","not filed — run on terminal",'BBG Verify'!S355)</f>
        <v/>
      </c>
      <c r="BK355" s="76" t="inlineStr">
        <is>
          <t>N</t>
        </is>
      </c>
      <c r="BL355" s="77">
        <f>IF('BBG Verify'!K355="","not filed — run on terminal",'BBG Verify'!K355)</f>
        <v/>
      </c>
      <c r="BM355" s="63" t="inlineStr">
        <is>
          <t>N/A</t>
        </is>
      </c>
      <c r="BN355" s="63" t="inlineStr">
        <is>
          <t>N/A</t>
        </is>
      </c>
      <c r="BO355" s="63" t="inlineStr">
        <is>
          <t>N/A</t>
        </is>
      </c>
      <c r="BP355" s="63" t="inlineStr">
        <is>
          <t>N/A</t>
        </is>
      </c>
      <c r="BQ355" s="63" t="inlineStr">
        <is>
          <t>N/A</t>
        </is>
      </c>
      <c r="BR355" s="63" t="inlineStr">
        <is>
          <t>N/A</t>
        </is>
      </c>
      <c r="BS355" s="76" t="inlineStr">
        <is>
          <t>CITIC Securities (Hong Kong) Limited; CMB International Capital Limited</t>
        </is>
      </c>
      <c r="BT355" s="63" t="inlineStr">
        <is>
          <t>CITIC Securities (Hong Kong) Limited; CMB International Capital Limited</t>
        </is>
      </c>
      <c r="BU355" s="63" t="inlineStr">
        <is>
          <t>CLSA Limited; CMB International Capital Limited; Livermore Holdings Limited; Funde Securities Limited; Aristo Securities Limited; BOCI Asia Limited; ICBC International Securities Limited</t>
        </is>
      </c>
      <c r="BV355" s="63" t="inlineStr">
        <is>
          <t>Aristo Securities Limited; BOCI Asia Limited; CLSA Limited; CMB International Capital Limited; Funde Securities Limited; ICBC International Securities Limited; Livermore Holdings Limited</t>
        </is>
      </c>
      <c r="BW355" s="78">
        <f>HYPERLINK("https://www1.hkexnews.hk/listedco/listconews/sehk/2025/0731/2025073100087.pdf","prospectus")</f>
        <v/>
      </c>
      <c r="BX355" s="78">
        <f>HYPERLINK("https://www1.hkexnews.hk/listedco/listconews/sehk/2025/0808/2025080801368.pdf","allotment")</f>
        <v/>
      </c>
      <c r="BY355" s="63" t="n"/>
      <c r="BZ355" s="76" t="n"/>
      <c r="CA355" s="63" t="inlineStr">
        <is>
          <t>P/E: n/m — loss-making at IPO (use P/S) · greenshoe: no over-allotment option in the offer structure · A/H: no A-share listing · cornerstone list: tranche parsed (33.3% locked) but the per-investor table did not machine-parse — names are in the prospectus Cornerstone section (link on this row) · greenshoe size: no over-allotment option in the offer structure · P/S: 16,918x on HK$0.3m revenue — effectively pre-revenue; the multiple is shown for completeness, not comparability · stabilising manager: the filing states no stabilising manager will be appointed — a filed fact, not an extraction gap (allotment announcement: 'no stabilizing manager will be appointed' stated in the filing) · grey market: no grey-market headline on file for this deal — AAStocks publishes one per listing but keeps only recent items on the stock's news page, and no public archive of past evening sessions exists; captured from this run onward</t>
        </is>
      </c>
    </row>
    <row r="356" ht="15" customHeight="1">
      <c r="A356" s="62" t="inlineStr">
        <is>
          <t>2591</t>
        </is>
      </c>
      <c r="B356" s="63" t="inlineStr">
        <is>
          <t>INNOGEN-B</t>
        </is>
      </c>
      <c r="C356" s="63" t="inlineStr">
        <is>
          <t>銀諾醫藥－Ｂ</t>
        </is>
      </c>
      <c r="D356" s="63" t="inlineStr">
        <is>
          <t>Healthcare</t>
        </is>
      </c>
      <c r="E356" s="63" t="inlineStr">
        <is>
          <t>Biotech pre-revenue (18A)</t>
        </is>
      </c>
      <c r="F356" s="63" t="inlineStr">
        <is>
          <t>Pharmaceuticals</t>
        </is>
      </c>
      <c r="G356" s="63" t="inlineStr">
        <is>
          <t>18A</t>
        </is>
      </c>
      <c r="H356" s="64" t="n">
        <v>45884</v>
      </c>
      <c r="I356" s="65" t="n">
        <v>682.9</v>
      </c>
      <c r="J356" s="63" t="inlineStr">
        <is>
          <t>gross (stated)</t>
        </is>
      </c>
      <c r="K356" s="66" t="n"/>
      <c r="L356" s="66" t="n">
        <v>18.68</v>
      </c>
      <c r="M356" s="66" t="n">
        <v>18.68</v>
      </c>
      <c r="N356" s="63" t="inlineStr">
        <is>
          <t>Y</t>
        </is>
      </c>
      <c r="O356" s="67" t="n">
        <v>100</v>
      </c>
      <c r="P356" s="67" t="n"/>
      <c r="Q356" s="68" t="n">
        <v>8533.4</v>
      </c>
      <c r="R356" s="63" t="inlineStr">
        <is>
          <t>derived:price x shares upon listing</t>
        </is>
      </c>
      <c r="S356" s="69" t="n">
        <v>5341.66</v>
      </c>
      <c r="T356" s="70" t="n">
        <v>10.67</v>
      </c>
      <c r="U356" s="71" t="n">
        <v>11.49</v>
      </c>
      <c r="V356" s="68" t="n">
        <v>604.4299999999999</v>
      </c>
      <c r="W356" s="68" t="n">
        <v>32356070</v>
      </c>
      <c r="X356" s="67" t="n">
        <v>7.08</v>
      </c>
      <c r="Y356" s="63" t="inlineStr">
        <is>
          <t>LI Huifeng ( ኇᅆჾ); June Star Global Limited; SPC-XtalPi AI Fund SP; Marketingforce Management Ltd; DENG Haifeng; Palace Investments Pte. Ltd; BioTrack AA Limited; BioTrack BZ Limited</t>
        </is>
      </c>
      <c r="Z356" s="63" t="inlineStr">
        <is>
          <t>li-huifeng;june;xtalpi;marketingforce;deng-haifeng;palace;biotrack</t>
        </is>
      </c>
      <c r="AA356" s="67" t="n">
        <v>11.19</v>
      </c>
      <c r="AB356" s="72" t="n"/>
      <c r="AC356" s="66" t="n"/>
      <c r="AD356" s="72" t="n"/>
      <c r="AE356" s="63" t="n"/>
      <c r="AF356" s="63" t="n"/>
      <c r="AG356" s="63" t="n"/>
      <c r="AH356" s="63" t="n"/>
      <c r="AI356" s="63" t="inlineStr">
        <is>
          <t>CLSA Limited</t>
        </is>
      </c>
      <c r="AJ356" s="63" t="inlineStr">
        <is>
          <t>CLSA</t>
        </is>
      </c>
      <c r="AK356" s="73" t="n">
        <v>206.48</v>
      </c>
      <c r="AL356" s="72" t="n">
        <v>285.44</v>
      </c>
      <c r="AM356" s="72" t="n">
        <v>-20.49</v>
      </c>
      <c r="AN356" s="72" t="n">
        <v>183.73</v>
      </c>
      <c r="AO356" s="72" t="n">
        <v>137.37</v>
      </c>
      <c r="AP356" s="72" t="n">
        <v>84.58</v>
      </c>
      <c r="AQ356" s="72" t="n">
        <v>-7.42</v>
      </c>
      <c r="AR356" s="72" t="n">
        <v>-22.55</v>
      </c>
      <c r="AS356" s="72" t="n">
        <v>-39.77</v>
      </c>
      <c r="AT356" s="72" t="n">
        <v>180.94</v>
      </c>
      <c r="AU356" s="72" t="n">
        <v>131.52</v>
      </c>
      <c r="AV356" s="72" t="n">
        <v>86.28</v>
      </c>
      <c r="AW356" s="72" t="n">
        <v>-26.92</v>
      </c>
      <c r="AX356" s="72" t="n">
        <v>5.85</v>
      </c>
      <c r="AY356" s="72" t="n">
        <v>4.37</v>
      </c>
      <c r="AZ356" s="63" t="inlineStr">
        <is>
          <t>China Biotech ETF (HS biotech proxy)</t>
        </is>
      </c>
      <c r="BA356" s="72" t="n">
        <v>-79.68000000000001</v>
      </c>
      <c r="BB356" s="64" t="inlineStr">
        <is>
          <t>2026-08-28</t>
        </is>
      </c>
      <c r="BC356" s="65" t="n">
        <v>42</v>
      </c>
      <c r="BD356" s="68" t="n">
        <v>-68.09999999999999</v>
      </c>
      <c r="BE356" s="63" t="inlineStr">
        <is>
          <t>N</t>
        </is>
      </c>
      <c r="BF356" s="63" t="inlineStr">
        <is>
          <t>n/m</t>
        </is>
      </c>
      <c r="BG356" s="74" t="n"/>
      <c r="BH356" s="74" t="n"/>
      <c r="BI356" s="74" t="n">
        <v>203.2</v>
      </c>
      <c r="BJ356" s="75">
        <f>IF('BBG Verify'!S356="","not filed — run on terminal",'BBG Verify'!S356)</f>
        <v/>
      </c>
      <c r="BK356" s="76" t="inlineStr">
        <is>
          <t>N</t>
        </is>
      </c>
      <c r="BL356" s="77">
        <f>IF('BBG Verify'!K356="","not filed — run on terminal",'BBG Verify'!K356)</f>
        <v/>
      </c>
      <c r="BM356" s="63" t="inlineStr">
        <is>
          <t>N/A</t>
        </is>
      </c>
      <c r="BN356" s="63" t="inlineStr">
        <is>
          <t>N/A</t>
        </is>
      </c>
      <c r="BO356" s="63" t="inlineStr">
        <is>
          <t>N/A</t>
        </is>
      </c>
      <c r="BP356" s="63" t="inlineStr">
        <is>
          <t>N/A</t>
        </is>
      </c>
      <c r="BQ356" s="63" t="inlineStr">
        <is>
          <t>N/A</t>
        </is>
      </c>
      <c r="BR356" s="63" t="inlineStr">
        <is>
          <t>N/A</t>
        </is>
      </c>
      <c r="BS356" s="76" t="inlineStr">
        <is>
          <t>CITIC Securities (Hong Kong) Limited; China International Capital Corporation Hong Kong Securities Limited</t>
        </is>
      </c>
      <c r="BT356" s="63" t="inlineStr">
        <is>
          <t>China International Capital Corporation Hong Kong Securities Limited; CITIC Securities (Hong Kong) Limited</t>
        </is>
      </c>
      <c r="BU356" s="63" t="inlineStr">
        <is>
          <t>CLSA Limited; China International Capital Corporation Hong Kong Securities Limited; (in no particular order ) Deutsche Bank AG, Hong Kong Branch; Macquarie Capital Limited; China Galaxy International Securities (Hong Kong) Co., Limited; ABCI Capital Limited; BOCOM International Securities Limited; CMB International Capital Limited; Futu Securities International (Hong Kong) Limited; FUZE SECURITIES (INTERNATIONAL) LIMITED; Hafoo Securities Limited; Tiger Brokers (HK) Global Limited</t>
        </is>
      </c>
      <c r="BV356" s="63" t="inlineStr">
        <is>
          <t>ABCI Securities Company Limited; BOCOM International Securities Limited; China Galaxy International Securities (Hong Kong) Company Limited; China International Capital Corporation Hong Kong Securities Limited; CLSA Limited; CMB International Capital Limited; Deutsche Bank AG; Fosun International Securities Limited; Futu Securities International (Hong Kong) Limited; FUZE SECURITIES (INTERNATIONAL) LIMITED; Hafoo Securities Limited; Macquarie Capital Limited</t>
        </is>
      </c>
      <c r="BW356" s="78">
        <f>HYPERLINK("https://www1.hkexnews.hk/listedco/listconews/sehk/2025/0807/2025080700013.pdf","prospectus")</f>
        <v/>
      </c>
      <c r="BX356" s="78">
        <f>HYPERLINK("https://www1.hkexnews.hk/listedco/listconews/sehk/2025/0814/2025081401622.pdf","allotment")</f>
        <v/>
      </c>
      <c r="BY356" s="63" t="n"/>
      <c r="BZ356" s="76" t="n"/>
      <c r="CA356" s="63" t="inlineStr">
        <is>
          <t>P/E: n/m — loss-making at IPO (use P/S) · greenshoe: end-of-stabilisation notice not located · range low: cap-only pricing — the filing publishes a Maximum Offer Price and no indicative floor · A/H: no A-share listing · grey market: no grey-market headline on file for this deal — AAStocks publishes one per listing but keeps only recent items on the stock's news page, and no public archive of past evening sessions exists; captured from this run onward</t>
        </is>
      </c>
    </row>
    <row r="357" ht="15" customHeight="1">
      <c r="A357" s="62" t="inlineStr">
        <is>
          <t>2631</t>
        </is>
      </c>
      <c r="B357" s="63" t="inlineStr">
        <is>
          <t>SICC</t>
        </is>
      </c>
      <c r="C357" s="63" t="inlineStr">
        <is>
          <t>天岳先進</t>
        </is>
      </c>
      <c r="D357" s="63" t="inlineStr">
        <is>
          <t>Tech/AI</t>
        </is>
      </c>
      <c r="E357" s="63" t="inlineStr">
        <is>
          <t>AI chips &amp; semis</t>
        </is>
      </c>
      <c r="F357" s="63" t="inlineStr">
        <is>
          <t>Semiconductors &amp; Semiconductor Equipment</t>
        </is>
      </c>
      <c r="G357" s="63" t="inlineStr">
        <is>
          <t>Standard</t>
        </is>
      </c>
      <c r="H357" s="64" t="n">
        <v>45889</v>
      </c>
      <c r="I357" s="65" t="n">
        <v>2043.5</v>
      </c>
      <c r="J357" s="63" t="inlineStr">
        <is>
          <t>gross (stated)</t>
        </is>
      </c>
      <c r="K357" s="66" t="n"/>
      <c r="L357" s="66" t="n">
        <v>42.8</v>
      </c>
      <c r="M357" s="66" t="n">
        <v>42.8</v>
      </c>
      <c r="N357" s="63" t="inlineStr">
        <is>
          <t>Y</t>
        </is>
      </c>
      <c r="O357" s="67" t="n">
        <v>100</v>
      </c>
      <c r="P357" s="67" t="n"/>
      <c r="Q357" s="68" t="n">
        <v>18084.1</v>
      </c>
      <c r="R357" s="63" t="inlineStr">
        <is>
          <t>derived:deal size / offer % of enlarged capital</t>
        </is>
      </c>
      <c r="S357" s="69" t="n">
        <v>2809.19</v>
      </c>
      <c r="T357" s="70" t="n">
        <v>9.039999999999999</v>
      </c>
      <c r="U357" s="71" t="n">
        <v>36.2</v>
      </c>
      <c r="V357" s="68" t="n">
        <v>1303.75</v>
      </c>
      <c r="W357" s="68" t="n">
        <v>30461757</v>
      </c>
      <c r="X357" s="67" t="n">
        <v>7.21</v>
      </c>
      <c r="Y357" s="63" t="inlineStr">
        <is>
          <t>H&amp;T Intelligent Control International Co., Limited; Mr. Lan Kun ( ᚆտ)</t>
        </is>
      </c>
      <c r="Z357" s="63" t="inlineStr">
        <is>
          <t>intelligent;mr-lan</t>
        </is>
      </c>
      <c r="AA357" s="67" t="n">
        <v>15</v>
      </c>
      <c r="AB357" s="72" t="n"/>
      <c r="AC357" s="66" t="n"/>
      <c r="AD357" s="72" t="n"/>
      <c r="AE357" s="63" t="n"/>
      <c r="AF357" s="63" t="n"/>
      <c r="AG357" s="63" t="inlineStr">
        <is>
          <t>full</t>
        </is>
      </c>
      <c r="AH357" s="63" t="inlineStr">
        <is>
          <t>2025-09-14</t>
        </is>
      </c>
      <c r="AI357" s="63" t="inlineStr">
        <is>
          <t>China International Capital Corporation Hong Kong Securities Limited</t>
        </is>
      </c>
      <c r="AJ357" s="63" t="inlineStr">
        <is>
          <t>China International</t>
        </is>
      </c>
      <c r="AK357" s="73" t="n">
        <v>6.4</v>
      </c>
      <c r="AL357" s="72" t="n">
        <v>6.54</v>
      </c>
      <c r="AM357" s="72" t="n">
        <v>-0.13</v>
      </c>
      <c r="AN357" s="72" t="n">
        <v>2.34</v>
      </c>
      <c r="AO357" s="72" t="n">
        <v>42.29</v>
      </c>
      <c r="AP357" s="72" t="n">
        <v>23.25</v>
      </c>
      <c r="AQ357" s="72" t="n">
        <v>-3.82</v>
      </c>
      <c r="AR357" s="72" t="n">
        <v>33.73</v>
      </c>
      <c r="AS357" s="72" t="n">
        <v>15.84</v>
      </c>
      <c r="AT357" s="72" t="n">
        <v>-0.41</v>
      </c>
      <c r="AU357" s="72" t="n">
        <v>29.25</v>
      </c>
      <c r="AV357" s="72" t="n">
        <v>22.79</v>
      </c>
      <c r="AW357" s="72" t="n">
        <v>20.59</v>
      </c>
      <c r="AX357" s="72" t="n">
        <v>13.04</v>
      </c>
      <c r="AY357" s="72" t="n">
        <v>13.14</v>
      </c>
      <c r="AZ357" s="63" t="inlineStr">
        <is>
          <t>HSTECH (Hang Seng TECH ETF)</t>
        </is>
      </c>
      <c r="BA357" s="72" t="n">
        <v>54.67</v>
      </c>
      <c r="BB357" s="64" t="inlineStr">
        <is>
          <t>2026-08-28</t>
        </is>
      </c>
      <c r="BC357" s="65" t="n">
        <v>1945</v>
      </c>
      <c r="BD357" s="68" t="n">
        <v>196.9</v>
      </c>
      <c r="BE357" s="63" t="inlineStr">
        <is>
          <t>Y</t>
        </is>
      </c>
      <c r="BF357" s="74" t="n">
        <v>91.8</v>
      </c>
      <c r="BG357" s="74" t="n">
        <v>203.2</v>
      </c>
      <c r="BH357" s="74" t="n"/>
      <c r="BI357" s="74" t="n">
        <v>9.300000000000001</v>
      </c>
      <c r="BJ357" s="75">
        <f>IF('BBG Verify'!S357="","not filed — run on terminal",'BBG Verify'!S357)</f>
        <v/>
      </c>
      <c r="BK357" s="76" t="inlineStr">
        <is>
          <t>Y</t>
        </is>
      </c>
      <c r="BL357" s="63" t="inlineStr">
        <is>
          <t>688234.SS</t>
        </is>
      </c>
      <c r="BM357" s="72" t="n">
        <v>70.04000000000001</v>
      </c>
      <c r="BN357" s="66" t="n">
        <v>72.779</v>
      </c>
      <c r="BO357" s="80" t="n">
        <v>0.904</v>
      </c>
      <c r="BP357" s="68" t="n">
        <v>60737.1</v>
      </c>
      <c r="BQ357" s="75">
        <f>IF('BBG Verify'!Q357="","run on terminal",'BBG Verify'!Q357)</f>
        <v/>
      </c>
      <c r="BR357" s="75">
        <f>IF('BBG Verify'!R357="","run on terminal",'BBG Verify'!R357)</f>
        <v/>
      </c>
      <c r="BS357" s="76" t="inlineStr">
        <is>
          <t>China International Capital Corporation Hong Kong Securities Limited; CITIC Securities (Hong Kong) Limited; Sponsor-OC China International Capital Corporation Hong Kong Securities Limited; CLSA Limited</t>
        </is>
      </c>
      <c r="BT357" s="63" t="inlineStr">
        <is>
          <t>China International Capital Corporation Hong Kong Securities Limited; CITIC Securities (Hong Kong) Limited</t>
        </is>
      </c>
      <c r="BU357" s="63" t="inlineStr">
        <is>
          <t>China International Capital Corporation Hong Kong Securities Limited; CLSA Limited; Haitong International Securities Company Limited; BOCI Asia Limited; The Hongkong and Shanghai Banking Corporation Limited; Zhongtai International Securities Limited; ICBC International Securities Limited; CMB International Capital Limited; CCB International Capital Limited; ABCI Capital Limited; China Galaxy International Securities (Hong Kong) Co., Limited; Shenwan Hongyuan Securities (H.K.) Limited</t>
        </is>
      </c>
      <c r="BV357" s="63" t="inlineStr">
        <is>
          <t>ABCI Securities Company Limited; BOCI Asia Limited; CCB International Capital Limited; China Galaxy International Securities (Hong Kong) Company Limited; China International Capital Corporation Hong Kong Securities Limited; CLSA Limited; CMB International Capital Limited; Fosun International Securities Limited; Futu Securities International (Hong Kong) Limited; GF Securities (Hong Kong) Brokerage Limited; Huafu International Securities Limited; Haitong International Securities Company Limited</t>
        </is>
      </c>
      <c r="BW357" s="78">
        <f>HYPERLINK("https://www1.hkexnews.hk/listedco/listconews/sehk/2025/0811/2025081100005.pdf","prospectus")</f>
        <v/>
      </c>
      <c r="BX357" s="78">
        <f>HYPERLINK("https://www1.hkexnews.hk/listedco/listconews/sehk/2025/0819/2025081901728.pdf","allotment")</f>
        <v/>
      </c>
      <c r="BY357" s="78">
        <f>HYPERLINK("https://www1.hkexnews.hk/listedco/listconews/sehk/2025/0914/2025091400109.pdf","stabilisation")</f>
        <v/>
      </c>
      <c r="BZ357" s="76" t="n"/>
      <c r="CA357" s="63" t="inlineStr">
        <is>
          <t>range low: cap-only pricing — the filing publishes a Maximum Offer Price and no indicative floor · A/H: Aug 2025 H listing (SiC substrates) · grey market: no grey-market headline on file for this deal — AAStocks publishes one per listing but keeps only recent items on the stock's news page, and no public archive of past evening sessions exists; captured from this run onward</t>
        </is>
      </c>
    </row>
    <row r="358" ht="15" customHeight="1">
      <c r="A358" s="62" t="inlineStr">
        <is>
          <t>6960</t>
        </is>
      </c>
      <c r="B358" s="63" t="inlineStr">
        <is>
          <t>SHUANGDENG</t>
        </is>
      </c>
      <c r="C358" s="63" t="inlineStr">
        <is>
          <t>雙登股份</t>
        </is>
      </c>
      <c r="D358" s="63" t="inlineStr">
        <is>
          <t>Industrials</t>
        </is>
      </c>
      <c r="E358" s="63" t="inlineStr">
        <is>
          <t>Batteries / energy storage</t>
        </is>
      </c>
      <c r="F358" s="63" t="inlineStr">
        <is>
          <t>Battery Products</t>
        </is>
      </c>
      <c r="G358" s="63" t="inlineStr">
        <is>
          <t>Standard</t>
        </is>
      </c>
      <c r="H358" s="64" t="n">
        <v>45895</v>
      </c>
      <c r="I358" s="65" t="n">
        <v>849.66</v>
      </c>
      <c r="J358" s="63" t="inlineStr">
        <is>
          <t>gross (stated)</t>
        </is>
      </c>
      <c r="K358" s="66" t="n"/>
      <c r="L358" s="66" t="n">
        <v>14.51</v>
      </c>
      <c r="M358" s="66" t="n">
        <v>14.51</v>
      </c>
      <c r="N358" s="63" t="inlineStr">
        <is>
          <t>Y</t>
        </is>
      </c>
      <c r="O358" s="67" t="n">
        <v>100</v>
      </c>
      <c r="P358" s="67" t="n"/>
      <c r="Q358" s="68" t="n">
        <v>6048.1</v>
      </c>
      <c r="R358" s="63" t="inlineStr">
        <is>
          <t>prospectus:stated market capitalisation</t>
        </is>
      </c>
      <c r="S358" s="69" t="n">
        <v>3876.25</v>
      </c>
      <c r="T358" s="70" t="n">
        <v>18.75</v>
      </c>
      <c r="U358" s="71" t="n">
        <v>28.47</v>
      </c>
      <c r="V358" s="68" t="n">
        <v>607.76</v>
      </c>
      <c r="W358" s="68" t="n">
        <v>41885822</v>
      </c>
      <c r="X358" s="67" t="n">
        <v>10.05</v>
      </c>
      <c r="Y358" s="63" t="inlineStr">
        <is>
          <t>CCB International Capital Limited; Huatai Capital Investment Limited; Connected Client CSOP Asset Management Limited</t>
        </is>
      </c>
      <c r="Z358" s="63" t="inlineStr">
        <is>
          <t>ccb;huatai;connected</t>
        </is>
      </c>
      <c r="AA358" s="67" t="n">
        <v>15</v>
      </c>
      <c r="AB358" s="72" t="n">
        <v>73</v>
      </c>
      <c r="AC358" s="66" t="n">
        <v>25.1</v>
      </c>
      <c r="AD358" s="72" t="n">
        <v>-24.11</v>
      </c>
      <c r="AE358" s="63" t="inlineStr">
        <is>
          <t>Y</t>
        </is>
      </c>
      <c r="AF358" s="63" t="inlineStr">
        <is>
          <t>2025-08-25</t>
        </is>
      </c>
      <c r="AG358" s="63" t="inlineStr">
        <is>
          <t>full</t>
        </is>
      </c>
      <c r="AH358" s="63" t="n"/>
      <c r="AI358" s="63" t="n"/>
      <c r="AJ358" s="63" t="n"/>
      <c r="AK358" s="73" t="n">
        <v>31.29</v>
      </c>
      <c r="AL358" s="72" t="n">
        <v>55.07</v>
      </c>
      <c r="AM358" s="72" t="n">
        <v>-15.34</v>
      </c>
      <c r="AN358" s="72" t="n">
        <v>20.06</v>
      </c>
      <c r="AO358" s="72" t="n">
        <v>24.4</v>
      </c>
      <c r="AP358" s="72" t="n">
        <v>20.06</v>
      </c>
      <c r="AQ358" s="72" t="n">
        <v>-8.550000000000001</v>
      </c>
      <c r="AR358" s="72" t="n">
        <v>-5.25</v>
      </c>
      <c r="AS358" s="72" t="n">
        <v>-8.550000000000001</v>
      </c>
      <c r="AT358" s="72" t="n">
        <v>20.83</v>
      </c>
      <c r="AU358" s="72" t="n">
        <v>18.63</v>
      </c>
      <c r="AV358" s="72" t="n">
        <v>22.09</v>
      </c>
      <c r="AW358" s="72" t="n">
        <v>-11.98</v>
      </c>
      <c r="AX358" s="72" t="n">
        <v>5.77</v>
      </c>
      <c r="AY358" s="72" t="n">
        <v>6.73</v>
      </c>
      <c r="AZ358" s="63" t="inlineStr">
        <is>
          <t>Hang Seng Commerce &amp; Industry sub-index</t>
        </is>
      </c>
      <c r="BA358" s="72" t="n">
        <v>-49.69</v>
      </c>
      <c r="BB358" s="64" t="inlineStr">
        <is>
          <t>2026-08-28</t>
        </is>
      </c>
      <c r="BC358" s="65" t="n">
        <v>4948.4</v>
      </c>
      <c r="BD358" s="68" t="n">
        <v>388.7</v>
      </c>
      <c r="BE358" s="63" t="inlineStr">
        <is>
          <t>Y</t>
        </is>
      </c>
      <c r="BF358" s="74" t="n">
        <v>15.6</v>
      </c>
      <c r="BG358" s="74" t="n"/>
      <c r="BH358" s="74" t="n">
        <v>10.2</v>
      </c>
      <c r="BI358" s="74" t="n">
        <v>1.2</v>
      </c>
      <c r="BJ358" s="75">
        <f>IF('BBG Verify'!S358="","not filed — run on terminal",'BBG Verify'!S358)</f>
        <v/>
      </c>
      <c r="BK358" s="76" t="inlineStr">
        <is>
          <t>N</t>
        </is>
      </c>
      <c r="BL358" s="77">
        <f>IF('BBG Verify'!K358="","not filed — run on terminal",'BBG Verify'!K358)</f>
        <v/>
      </c>
      <c r="BM358" s="63" t="inlineStr">
        <is>
          <t>N/A</t>
        </is>
      </c>
      <c r="BN358" s="63" t="inlineStr">
        <is>
          <t>N/A</t>
        </is>
      </c>
      <c r="BO358" s="63" t="inlineStr">
        <is>
          <t>N/A</t>
        </is>
      </c>
      <c r="BP358" s="63" t="inlineStr">
        <is>
          <t>N/A</t>
        </is>
      </c>
      <c r="BQ358" s="63" t="inlineStr">
        <is>
          <t>N/A</t>
        </is>
      </c>
      <c r="BR358" s="63" t="inlineStr">
        <is>
          <t>N/A</t>
        </is>
      </c>
      <c r="BS358" s="76" t="inlineStr">
        <is>
          <t>China International Capital Corporation Hong Kong Securities Limited; Huatai Financial Holdings (Hong Kong) Limited; CCB International Capital Limited</t>
        </is>
      </c>
      <c r="BT358" s="63" t="inlineStr">
        <is>
          <t>China International Capital Corporation Hong Kong Securities Limited; CCB International Capital Limited; Huatai Financial Holdings (Hong Kong) Limited</t>
        </is>
      </c>
      <c r="BU358" s="63" t="inlineStr">
        <is>
          <t>China International Capital Corporation Hong Kong Securities Limited; Huatai Financial Holdings (Hong Kong) Limited; CCB International Capital Limited; ICBC International Securities Limited; ABCI Capital Limited; Livermore Holdings Limited; C h i n aG a l a x yI n t e r n a t i o n a lSecurities (Hong Kong) Co., Limited; ABCI Securities Company Limited</t>
        </is>
      </c>
      <c r="BV358" s="63" t="inlineStr">
        <is>
          <t>ABCI Securities Company Limited; CCB International Capital Limited; China Galaxy International Securities (Hong Kong) Company Limited; China International Capital Corporation Hong Kong Securities Limited; Huatai Financial Holdings (Hong Kong) Limited; ICBC International Securities Limited; Livermore Holdings Limited</t>
        </is>
      </c>
      <c r="BW358" s="78">
        <f>HYPERLINK("https://www1.hkexnews.hk/listedco/listconews/sehk/2025/0818/2025081800011.pdf","prospectus")</f>
        <v/>
      </c>
      <c r="BX358" s="78">
        <f>HYPERLINK("https://www1.hkexnews.hk/listedco/listconews/sehk/2025/0825/2025082502151.pdf","allotment")</f>
        <v/>
      </c>
      <c r="BY358" s="78">
        <f>HYPERLINK("https://www1.hkexnews.hk/listedco/listconews/sehk/2025/0921/2025092100013.pdf","stabilisation")</f>
        <v/>
      </c>
      <c r="BZ358" s="76" t="n"/>
      <c r="CA358" s="63" t="inlineStr">
        <is>
          <t>greenshoe: over-allotment outcome already published, and the allotment announcement does not state the stabilisation expiry in a parsable form — the expiry no longer matters once resolved · range low: cap-only pricing — the filing publishes a Maximum Offer Price and no indicative floor · A/H: no A-share listing · stabilising manager: neither the allotment announcement's cover sentence nor the prospectus definitions glossary names one in a form the parser reads — not inferred from the sponsor</t>
        </is>
      </c>
    </row>
    <row r="359" ht="15" customHeight="1">
      <c r="A359" s="62" t="inlineStr">
        <is>
          <t>3858</t>
        </is>
      </c>
      <c r="B359" s="63" t="inlineStr">
        <is>
          <t>JIAXIN INTL RES</t>
        </is>
      </c>
      <c r="C359" s="63" t="inlineStr">
        <is>
          <t>佳鑫國際資源</t>
        </is>
      </c>
      <c r="D359" s="63" t="inlineStr">
        <is>
          <t>Materials/Energy</t>
        </is>
      </c>
      <c r="E359" s="63" t="inlineStr">
        <is>
          <t>Mining / metals</t>
        </is>
      </c>
      <c r="F359" s="63" t="inlineStr">
        <is>
          <t>Diversified Metals &amp; Minerals</t>
        </is>
      </c>
      <c r="G359" s="63" t="inlineStr">
        <is>
          <t>Standard</t>
        </is>
      </c>
      <c r="H359" s="64" t="n">
        <v>45897</v>
      </c>
      <c r="I359" s="65" t="n">
        <v>1199.1</v>
      </c>
      <c r="J359" s="63" t="inlineStr">
        <is>
          <t>gross (stated)</t>
        </is>
      </c>
      <c r="K359" s="66" t="n"/>
      <c r="L359" s="66" t="n">
        <v>10.92</v>
      </c>
      <c r="M359" s="66" t="n">
        <v>10.92</v>
      </c>
      <c r="N359" s="63" t="inlineStr">
        <is>
          <t>Y</t>
        </is>
      </c>
      <c r="O359" s="67" t="n">
        <v>100</v>
      </c>
      <c r="P359" s="67" t="n"/>
      <c r="Q359" s="68" t="n">
        <v>4796.4</v>
      </c>
      <c r="R359" s="63" t="inlineStr">
        <is>
          <t>prospectus:stated market capitalisation</t>
        </is>
      </c>
      <c r="S359" s="69" t="n">
        <v>2041.62</v>
      </c>
      <c r="T359" s="70" t="n">
        <v>21.11</v>
      </c>
      <c r="U359" s="71" t="n">
        <v>31.7</v>
      </c>
      <c r="V359" s="68" t="n">
        <v>818.99</v>
      </c>
      <c r="W359" s="68" t="n">
        <v>74999410</v>
      </c>
      <c r="X359" s="67" t="n">
        <v>17.07</v>
      </c>
      <c r="Y359" s="63" t="inlineStr">
        <is>
          <t>GF Fund Management Co., Ltd; Fullgoal Asset Management (HK) Limited; Fullgoal Fund Management Co., Ltd; CICC Financial Trading Limited</t>
        </is>
      </c>
      <c r="Z359" s="63" t="inlineStr">
        <is>
          <t>gf;fullgoal;china-international</t>
        </is>
      </c>
      <c r="AA359" s="67" t="n">
        <v>15</v>
      </c>
      <c r="AB359" s="72" t="n"/>
      <c r="AC359" s="66" t="n"/>
      <c r="AD359" s="72" t="n"/>
      <c r="AE359" s="63" t="n"/>
      <c r="AF359" s="63" t="n"/>
      <c r="AG359" s="63" t="inlineStr">
        <is>
          <t>full</t>
        </is>
      </c>
      <c r="AH359" s="63" t="n"/>
      <c r="AI359" s="63" t="inlineStr">
        <is>
          <t>China International Capital Corporation Hong Kong Securities Limited</t>
        </is>
      </c>
      <c r="AJ359" s="63" t="inlineStr">
        <is>
          <t>China International</t>
        </is>
      </c>
      <c r="AK359" s="73" t="n">
        <v>177.84</v>
      </c>
      <c r="AL359" s="72" t="n">
        <v>108.79</v>
      </c>
      <c r="AM359" s="72" t="n">
        <v>33.07</v>
      </c>
      <c r="AN359" s="72" t="n">
        <v>193.59</v>
      </c>
      <c r="AO359" s="72" t="n">
        <v>146.34</v>
      </c>
      <c r="AP359" s="72" t="n">
        <v>225.09</v>
      </c>
      <c r="AQ359" s="72" t="n">
        <v>5.67</v>
      </c>
      <c r="AR359" s="72" t="n">
        <v>-11.34</v>
      </c>
      <c r="AS359" s="72" t="n">
        <v>17.01</v>
      </c>
      <c r="AT359" s="72" t="n">
        <v>194.12</v>
      </c>
      <c r="AU359" s="72" t="n">
        <v>140.11</v>
      </c>
      <c r="AV359" s="72" t="n">
        <v>225.18</v>
      </c>
      <c r="AW359" s="72" t="n">
        <v>-19.23</v>
      </c>
      <c r="AX359" s="72" t="n">
        <v>6.23</v>
      </c>
      <c r="AY359" s="72" t="n">
        <v>7.89</v>
      </c>
      <c r="AZ359" s="63" t="inlineStr">
        <is>
          <t>Hang Seng Commerce &amp; Industry sub-index</t>
        </is>
      </c>
      <c r="BA359" s="72" t="n">
        <v>508.06</v>
      </c>
      <c r="BB359" s="64" t="inlineStr">
        <is>
          <t>2026-08-28</t>
        </is>
      </c>
      <c r="BC359" s="65" t="n">
        <v>126.3</v>
      </c>
      <c r="BD359" s="68" t="n">
        <v>-176.5</v>
      </c>
      <c r="BE359" s="63" t="inlineStr">
        <is>
          <t>N</t>
        </is>
      </c>
      <c r="BF359" s="63" t="inlineStr">
        <is>
          <t>n/m</t>
        </is>
      </c>
      <c r="BG359" s="74" t="n"/>
      <c r="BH359" s="74" t="n">
        <v>76.59999999999999</v>
      </c>
      <c r="BI359" s="74" t="n">
        <v>38</v>
      </c>
      <c r="BJ359" s="75">
        <f>IF('BBG Verify'!S359="","not filed — run on terminal",'BBG Verify'!S359)</f>
        <v/>
      </c>
      <c r="BK359" s="76" t="inlineStr">
        <is>
          <t>N</t>
        </is>
      </c>
      <c r="BL359" s="77">
        <f>IF('BBG Verify'!K359="","not filed — run on terminal",'BBG Verify'!K359)</f>
        <v/>
      </c>
      <c r="BM359" s="63" t="inlineStr">
        <is>
          <t>N/A</t>
        </is>
      </c>
      <c r="BN359" s="63" t="inlineStr">
        <is>
          <t>N/A</t>
        </is>
      </c>
      <c r="BO359" s="63" t="inlineStr">
        <is>
          <t>N/A</t>
        </is>
      </c>
      <c r="BP359" s="63" t="inlineStr">
        <is>
          <t>N/A</t>
        </is>
      </c>
      <c r="BQ359" s="63" t="inlineStr">
        <is>
          <t>N/A</t>
        </is>
      </c>
      <c r="BR359" s="63" t="inlineStr">
        <is>
          <t>N/A</t>
        </is>
      </c>
      <c r="BS359" s="76" t="inlineStr">
        <is>
          <t>China International Capital Corporation Hong Kong Securities Limited</t>
        </is>
      </c>
      <c r="BT359" s="63" t="inlineStr">
        <is>
          <t>China International Capital Corporation Hong Kong Securities Limited</t>
        </is>
      </c>
      <c r="BU359" s="63" t="inlineStr">
        <is>
          <t>China International Capital Corporation Hong Kong Securities Limited; China Galaxy International Securities (Hong Kong) Co., Limited; CMB International Capital Limited; Celestial Securities Limited; ABCI Capital Limited; Tiger Brokers (HK) Global Limited</t>
        </is>
      </c>
      <c r="BV359" s="63" t="inlineStr">
        <is>
          <t>ABCI Securities Company Limited; AVICT Global Asset Management Limited; China Galaxy International Securities (Hong Kong) Company Limited; China International Capital Corporation Hong Kong Securities Limited; CMB International Capital Limited; Celestial Securities Limited; Lighthouse Capital (HK) Financial Limited; Tiger Brokers (HK) Global Limited</t>
        </is>
      </c>
      <c r="BW359" s="78">
        <f>HYPERLINK("https://www1.hkexnews.hk/listedco/listconews/sehk/2025/0820/2025082000021.pdf","prospectus")</f>
        <v/>
      </c>
      <c r="BX359" s="78">
        <f>HYPERLINK("https://www1.hkexnews.hk/listedco/listconews/sehk/2025/0827/2025082702293.pdf","allotment")</f>
        <v/>
      </c>
      <c r="BY359" s="78">
        <f>HYPERLINK("https://www1.hkexnews.hk/listedco/listconews/sehk/2025/0924/2025092401050.pdf","stabilisation")</f>
        <v/>
      </c>
      <c r="BZ359" s="76" t="n"/>
      <c r="CA359" s="63" t="inlineStr">
        <is>
          <t>P/E: n/m — loss-making at IPO (use P/S) · greenshoe: over-allotment outcome already published, and the allotment announcement does not state the stabilisation expiry in a parsable form — the expiry no longer matters once resolved · range low: cap-only pricing — the filing publishes a Maximum Offer Price and no indicative floor · A/H: no A-share listing · grey market: no grey-market headline on file for this deal — AAStocks publishes one per listing but keeps only recent items on the stock's news page, and no public archive of past evening sessions exists; captured from this run onward</t>
        </is>
      </c>
    </row>
    <row r="360" ht="15" customHeight="1">
      <c r="A360" s="62" t="inlineStr">
        <is>
          <t>2580</t>
        </is>
      </c>
      <c r="B360" s="63" t="inlineStr">
        <is>
          <t>AUX ELECTRIC</t>
        </is>
      </c>
      <c r="C360" s="63" t="inlineStr">
        <is>
          <t>奧克斯電氣</t>
        </is>
      </c>
      <c r="D360" s="63" t="inlineStr">
        <is>
          <t>Tech/AI</t>
        </is>
      </c>
      <c r="E360" s="63" t="inlineStr">
        <is>
          <t>Smart hardware / consumer electronics</t>
        </is>
      </c>
      <c r="F360" s="63" t="inlineStr">
        <is>
          <t>Household Appliances</t>
        </is>
      </c>
      <c r="G360" s="63" t="inlineStr">
        <is>
          <t>Standard</t>
        </is>
      </c>
      <c r="H360" s="64" t="n">
        <v>45902</v>
      </c>
      <c r="I360" s="65" t="n">
        <v>4150.1</v>
      </c>
      <c r="J360" s="63" t="inlineStr">
        <is>
          <t>gross (stated)</t>
        </is>
      </c>
      <c r="K360" s="66" t="n"/>
      <c r="L360" s="66" t="n">
        <v>17.42</v>
      </c>
      <c r="M360" s="66" t="n">
        <v>17.42</v>
      </c>
      <c r="N360" s="63" t="inlineStr">
        <is>
          <t>Y</t>
        </is>
      </c>
      <c r="O360" s="67" t="n">
        <v>100</v>
      </c>
      <c r="P360" s="67" t="n"/>
      <c r="Q360" s="68" t="n">
        <v>24914.6</v>
      </c>
      <c r="R360" s="63" t="inlineStr">
        <is>
          <t>prospectus:stated market capitalisation</t>
        </is>
      </c>
      <c r="S360" s="69" t="n">
        <v>557.2</v>
      </c>
      <c r="T360" s="70" t="n">
        <v>8.300000000000001</v>
      </c>
      <c r="U360" s="71" t="n">
        <v>33.9</v>
      </c>
      <c r="V360" s="68" t="n">
        <v>2743.22</v>
      </c>
      <c r="W360" s="68" t="n">
        <v>157473467</v>
      </c>
      <c r="X360" s="67" t="n">
        <v>11.01</v>
      </c>
      <c r="Y360" s="63" t="inlineStr">
        <is>
          <t>China Post Insurance; PSBC WM</t>
        </is>
      </c>
      <c r="Z360" s="63" t="inlineStr">
        <is>
          <t>post;psbc</t>
        </is>
      </c>
      <c r="AA360" s="67" t="n">
        <v>15</v>
      </c>
      <c r="AB360" s="72" t="n">
        <v>-4.1</v>
      </c>
      <c r="AC360" s="66" t="n">
        <v>16.7</v>
      </c>
      <c r="AD360" s="72" t="n">
        <v>-1.36</v>
      </c>
      <c r="AE360" s="63" t="inlineStr">
        <is>
          <t>Y</t>
        </is>
      </c>
      <c r="AF360" s="63" t="inlineStr">
        <is>
          <t>2025-09-01</t>
        </is>
      </c>
      <c r="AG360" s="63" t="inlineStr">
        <is>
          <t>lapsed</t>
        </is>
      </c>
      <c r="AH360" s="63" t="inlineStr">
        <is>
          <t>2025-09-27</t>
        </is>
      </c>
      <c r="AI360" s="63" t="inlineStr">
        <is>
          <t>China International Capital Corporation Hong Kong Securities Limited</t>
        </is>
      </c>
      <c r="AJ360" s="63" t="inlineStr">
        <is>
          <t>China International</t>
        </is>
      </c>
      <c r="AK360" s="73" t="n">
        <v>-5.4</v>
      </c>
      <c r="AL360" s="72" t="n">
        <v>-7.58</v>
      </c>
      <c r="AM360" s="72" t="n">
        <v>2.36</v>
      </c>
      <c r="AN360" s="72" t="n">
        <v>-7.58</v>
      </c>
      <c r="AO360" s="72" t="n">
        <v>-20.49</v>
      </c>
      <c r="AP360" s="72" t="n">
        <v>-9.300000000000001</v>
      </c>
      <c r="AQ360" s="72" t="n">
        <v>-2.3</v>
      </c>
      <c r="AR360" s="72" t="n">
        <v>-15.95</v>
      </c>
      <c r="AS360" s="72" t="n">
        <v>-4.12</v>
      </c>
      <c r="AT360" s="72" t="n">
        <v>-8.109999999999999</v>
      </c>
      <c r="AU360" s="72" t="n">
        <v>-35.88</v>
      </c>
      <c r="AV360" s="72" t="n">
        <v>-4.64</v>
      </c>
      <c r="AW360" s="72" t="n">
        <v>-32.47</v>
      </c>
      <c r="AX360" s="72" t="n">
        <v>15.39</v>
      </c>
      <c r="AY360" s="72" t="n">
        <v>16.52</v>
      </c>
      <c r="AZ360" s="63" t="inlineStr">
        <is>
          <t>HSTECH (Hang Seng TECH ETF)</t>
        </is>
      </c>
      <c r="BA360" s="72" t="n">
        <v>-43.17</v>
      </c>
      <c r="BB360" s="64" t="inlineStr">
        <is>
          <t>2026-08-28</t>
        </is>
      </c>
      <c r="BC360" s="65" t="n">
        <v>32735.3</v>
      </c>
      <c r="BD360" s="68" t="n">
        <v>3201.2</v>
      </c>
      <c r="BE360" s="63" t="inlineStr">
        <is>
          <t>Y</t>
        </is>
      </c>
      <c r="BF360" s="74" t="n">
        <v>7.8</v>
      </c>
      <c r="BG360" s="74" t="n">
        <v>6.8</v>
      </c>
      <c r="BH360" s="74" t="n">
        <v>5.6</v>
      </c>
      <c r="BI360" s="74" t="n">
        <v>0.8</v>
      </c>
      <c r="BJ360" s="75">
        <f>IF('BBG Verify'!S360="","not filed — run on terminal",'BBG Verify'!S360)</f>
        <v/>
      </c>
      <c r="BK360" s="76" t="inlineStr">
        <is>
          <t>N</t>
        </is>
      </c>
      <c r="BL360" s="77">
        <f>IF('BBG Verify'!K360="","not filed — run on terminal",'BBG Verify'!K360)</f>
        <v/>
      </c>
      <c r="BM360" s="63" t="inlineStr">
        <is>
          <t>N/A</t>
        </is>
      </c>
      <c r="BN360" s="63" t="inlineStr">
        <is>
          <t>N/A</t>
        </is>
      </c>
      <c r="BO360" s="63" t="inlineStr">
        <is>
          <t>N/A</t>
        </is>
      </c>
      <c r="BP360" s="63" t="inlineStr">
        <is>
          <t>N/A</t>
        </is>
      </c>
      <c r="BQ360" s="63" t="inlineStr">
        <is>
          <t>N/A</t>
        </is>
      </c>
      <c r="BR360" s="63" t="inlineStr">
        <is>
          <t>N/A</t>
        </is>
      </c>
      <c r="BS360" s="76" t="inlineStr">
        <is>
          <t>CICC</t>
        </is>
      </c>
      <c r="BT360" s="63" t="inlineStr">
        <is>
          <t>China International Capital Corporation Hong Kong Securities Limited</t>
        </is>
      </c>
      <c r="BU360" s="63" t="inlineStr">
        <is>
          <t>ABCI Securities Company Limited; China International Capital Corporation Hong Kong Securities Limited; Futu Securities International (Hong Kong) Limited; ICBC International Securities Limited; Orient Securities (Hong Kong) Limited</t>
        </is>
      </c>
      <c r="BV360" s="63" t="inlineStr">
        <is>
          <t>ABCI Securities Company Limited; China International Capital Corporation Hong Kong Securities Limited; Futu Securities International (Hong Kong) Limited; ICBC International Securities Limited; Orient Securities (Hong Kong) Limited</t>
        </is>
      </c>
      <c r="BW360" s="78">
        <f>HYPERLINK("https://www1.hkexnews.hk/listedco/listconews/sehk/2025/0825/2025082500020.htm","prospectus")</f>
        <v/>
      </c>
      <c r="BX360" s="78">
        <f>HYPERLINK("https://www1.hkexnews.hk/listedco/listconews/sehk/2025/0901/2025090103683.pdf","allotment")</f>
        <v/>
      </c>
      <c r="BY360" s="78">
        <f>HYPERLINK("https://www1.hkexnews.hk/listedco/listconews/sehk/2025/0928/2025092800005.pdf","stabilisation")</f>
        <v/>
      </c>
      <c r="BZ360" s="76" t="n"/>
      <c r="CA360" s="63" t="inlineStr">
        <is>
          <t>range low: cap-only pricing — the filing publishes a Maximum Offer Price and no indicative floor · A/H: no A-share listing</t>
        </is>
      </c>
    </row>
    <row r="361" ht="15" customHeight="1">
      <c r="A361" s="62" t="inlineStr">
        <is>
          <t>2543</t>
        </is>
      </c>
      <c r="B361" s="63" t="inlineStr">
        <is>
          <t>DAHON TECH</t>
        </is>
      </c>
      <c r="C361" s="63" t="inlineStr">
        <is>
          <t>大行科工</t>
        </is>
      </c>
      <c r="D361" s="63" t="inlineStr">
        <is>
          <t>Tech/AI</t>
        </is>
      </c>
      <c r="E361" s="63" t="inlineStr">
        <is>
          <t>Smart hardware / consumer electronics</t>
        </is>
      </c>
      <c r="F361" s="63" t="inlineStr">
        <is>
          <t>Leisure Products</t>
        </is>
      </c>
      <c r="G361" s="63" t="inlineStr">
        <is>
          <t>Standard</t>
        </is>
      </c>
      <c r="H361" s="64" t="n">
        <v>45909</v>
      </c>
      <c r="I361" s="65" t="n">
        <v>392.04</v>
      </c>
      <c r="J361" s="63" t="inlineStr">
        <is>
          <t>gross (stated)</t>
        </is>
      </c>
      <c r="K361" s="66" t="n"/>
      <c r="L361" s="66" t="n">
        <v>49.5</v>
      </c>
      <c r="M361" s="66" t="n">
        <v>49.5</v>
      </c>
      <c r="N361" s="63" t="inlineStr">
        <is>
          <t>Y</t>
        </is>
      </c>
      <c r="O361" s="67" t="n">
        <v>100</v>
      </c>
      <c r="P361" s="67" t="n"/>
      <c r="Q361" s="68" t="n">
        <v>1567.6</v>
      </c>
      <c r="R361" s="63" t="inlineStr">
        <is>
          <t>prospectus:stated market capitalisation</t>
        </is>
      </c>
      <c r="S361" s="69" t="n">
        <v>7558.4</v>
      </c>
      <c r="T361" s="70" t="n">
        <v>21.65</v>
      </c>
      <c r="U361" s="71" t="n">
        <v>25.43</v>
      </c>
      <c r="V361" s="68" t="n">
        <v>292.34</v>
      </c>
      <c r="W361" s="68" t="n">
        <v>5905944</v>
      </c>
      <c r="X361" s="67" t="n">
        <v>18.65</v>
      </c>
      <c r="Y361" s="63" t="inlineStr">
        <is>
          <t>Asia Pacific Limited; Allianz Global Investors Asia Pacific Limited; GBAD Fund Management; Dahon Tech Enterprise LP</t>
        </is>
      </c>
      <c r="Z361" s="63" t="inlineStr">
        <is>
          <t>asia-pacific;allianz;gbad;dahon</t>
        </is>
      </c>
      <c r="AA361" s="67" t="n">
        <v>14.9</v>
      </c>
      <c r="AB361" s="72" t="n">
        <v>37.6</v>
      </c>
      <c r="AC361" s="66" t="n">
        <v>68.09999999999999</v>
      </c>
      <c r="AD361" s="72" t="n">
        <v>-16.46</v>
      </c>
      <c r="AE361" s="63" t="inlineStr">
        <is>
          <t>Y</t>
        </is>
      </c>
      <c r="AF361" s="63" t="inlineStr">
        <is>
          <t>2025-09-08</t>
        </is>
      </c>
      <c r="AG361" s="63" t="inlineStr">
        <is>
          <t>partial</t>
        </is>
      </c>
      <c r="AH361" s="63" t="inlineStr">
        <is>
          <t>2025-10-04</t>
        </is>
      </c>
      <c r="AI361" s="63" t="inlineStr">
        <is>
          <t>China Securities</t>
        </is>
      </c>
      <c r="AJ361" s="63" t="inlineStr">
        <is>
          <t>China Securities</t>
        </is>
      </c>
      <c r="AK361" s="73" t="n">
        <v>14.95</v>
      </c>
      <c r="AL361" s="72" t="n">
        <v>36.36</v>
      </c>
      <c r="AM361" s="72" t="n">
        <v>-15.7</v>
      </c>
      <c r="AN361" s="72" t="n">
        <v>30</v>
      </c>
      <c r="AO361" s="72" t="n">
        <v>0.89</v>
      </c>
      <c r="AP361" s="72" t="n">
        <v>-17.45</v>
      </c>
      <c r="AQ361" s="72" t="n">
        <v>13.09</v>
      </c>
      <c r="AR361" s="72" t="n">
        <v>-12.23</v>
      </c>
      <c r="AS361" s="72" t="n">
        <v>-28.19</v>
      </c>
      <c r="AT361" s="72" t="n">
        <v>24.33</v>
      </c>
      <c r="AU361" s="72" t="n">
        <v>-8.15</v>
      </c>
      <c r="AV361" s="72" t="n">
        <v>-14.17</v>
      </c>
      <c r="AW361" s="72" t="n">
        <v>-19.84</v>
      </c>
      <c r="AX361" s="72" t="n">
        <v>9.039999999999999</v>
      </c>
      <c r="AY361" s="72" t="n">
        <v>7.61</v>
      </c>
      <c r="AZ361" s="63" t="inlineStr">
        <is>
          <t>HSTECH (Hang Seng TECH ETF)</t>
        </is>
      </c>
      <c r="BA361" s="72" t="n">
        <v>-26.22</v>
      </c>
      <c r="BB361" s="64" t="inlineStr">
        <is>
          <t>2026-08-28</t>
        </is>
      </c>
      <c r="BC361" s="65" t="n">
        <v>495.8</v>
      </c>
      <c r="BD361" s="68" t="n">
        <v>57.5</v>
      </c>
      <c r="BE361" s="63" t="inlineStr">
        <is>
          <t>Y</t>
        </is>
      </c>
      <c r="BF361" s="74" t="n">
        <v>27.3</v>
      </c>
      <c r="BG361" s="74" t="n"/>
      <c r="BH361" s="74" t="n"/>
      <c r="BI361" s="74" t="n">
        <v>3.2</v>
      </c>
      <c r="BJ361" s="75">
        <f>IF('BBG Verify'!S361="","not filed — run on terminal",'BBG Verify'!S361)</f>
        <v/>
      </c>
      <c r="BK361" s="76" t="inlineStr">
        <is>
          <t>N</t>
        </is>
      </c>
      <c r="BL361" s="77">
        <f>IF('BBG Verify'!K361="","not filed — run on terminal",'BBG Verify'!K361)</f>
        <v/>
      </c>
      <c r="BM361" s="63" t="inlineStr">
        <is>
          <t>N/A</t>
        </is>
      </c>
      <c r="BN361" s="63" t="inlineStr">
        <is>
          <t>N/A</t>
        </is>
      </c>
      <c r="BO361" s="63" t="inlineStr">
        <is>
          <t>N/A</t>
        </is>
      </c>
      <c r="BP361" s="63" t="inlineStr">
        <is>
          <t>N/A</t>
        </is>
      </c>
      <c r="BQ361" s="63" t="inlineStr">
        <is>
          <t>N/A</t>
        </is>
      </c>
      <c r="BR361" s="63" t="inlineStr">
        <is>
          <t>N/A</t>
        </is>
      </c>
      <c r="BS361" s="76" t="inlineStr">
        <is>
          <t>China Securities (International) Corporate Finance Company Limited</t>
        </is>
      </c>
      <c r="BT361" s="63" t="inlineStr">
        <is>
          <t>China Securities (International) Corporate Finance Company Limited</t>
        </is>
      </c>
      <c r="BU361" s="63" t="inlineStr">
        <is>
          <t>China Securities (International) Corporate Finance Company Limited; ABCI Capital Limited; BOCI Asia Limited; CCB International Capital Limited; CMB International Capital Limited; Futu Securities International (Hong Kong) Limited</t>
        </is>
      </c>
      <c r="BV361" s="63" t="inlineStr">
        <is>
          <t>ABCI Securities Company Limited; BOCI Asia Limited; CCB International Capital Limited; CMB International Capital Corporation Limited; China Securities (International) Corporate Finance Company Limited; Futu Securities International (Hong Kong) Limited</t>
        </is>
      </c>
      <c r="BW361" s="78">
        <f>HYPERLINK("https://www1.hkexnews.hk/listedco/listconews/sehk/2025/0901/2025090100007.pdf","prospectus")</f>
        <v/>
      </c>
      <c r="BX361" s="78">
        <f>HYPERLINK("https://www1.hkexnews.hk/listedco/listconews/sehk/2025/0908/2025090801334.pdf","allotment")</f>
        <v/>
      </c>
      <c r="BY361" s="78">
        <f>HYPERLINK("https://www1.hkexnews.hk/listedco/listconews/sehk/2025/1005/2025100500245.pdf","stabilisation")</f>
        <v/>
      </c>
      <c r="BZ361" s="76" t="n"/>
      <c r="CA361" s="63" t="inlineStr">
        <is>
          <t>range low: cap-only pricing — the filing publishes a Maximum Offer Price and no indicative floor · A/H: no A-share listing</t>
        </is>
      </c>
    </row>
    <row r="362" ht="15" customHeight="1">
      <c r="A362" s="62" t="inlineStr">
        <is>
          <t>2525</t>
        </is>
      </c>
      <c r="B362" s="63" t="inlineStr">
        <is>
          <t>HESAI-W</t>
        </is>
      </c>
      <c r="C362" s="63" t="inlineStr">
        <is>
          <t>禾賽科技</t>
        </is>
      </c>
      <c r="D362" s="63" t="inlineStr">
        <is>
          <t>Tech/AI</t>
        </is>
      </c>
      <c r="E362" s="63" t="inlineStr">
        <is>
          <t>Robotics &amp; autonomous driving</t>
        </is>
      </c>
      <c r="F362" s="63" t="inlineStr">
        <is>
          <t>Systems Software</t>
        </is>
      </c>
      <c r="G362" s="63" t="inlineStr">
        <is>
          <t>WVR</t>
        </is>
      </c>
      <c r="H362" s="64" t="n">
        <v>45916</v>
      </c>
      <c r="I362" s="65" t="n">
        <v>4160.24</v>
      </c>
      <c r="J362" s="63" t="inlineStr">
        <is>
          <t>gross (stated)</t>
        </is>
      </c>
      <c r="K362" s="66" t="n"/>
      <c r="L362" s="66" t="n">
        <v>228</v>
      </c>
      <c r="M362" s="66" t="n">
        <v>212.8</v>
      </c>
      <c r="N362" s="63" t="inlineStr">
        <is>
          <t>N</t>
        </is>
      </c>
      <c r="O362" s="67" t="n">
        <v>93.3</v>
      </c>
      <c r="P362" s="67" t="n"/>
      <c r="Q362" s="68" t="n">
        <v>244720</v>
      </c>
      <c r="R362" s="63" t="inlineStr">
        <is>
          <t>derived:deal size / offer % of enlarged capital</t>
        </is>
      </c>
      <c r="S362" s="69" t="n">
        <v>168.65</v>
      </c>
      <c r="T362" s="70" t="n">
        <v>14.09</v>
      </c>
      <c r="U362" s="71" t="n">
        <v>4.3</v>
      </c>
      <c r="V362" s="68" t="n">
        <v>3981.35</v>
      </c>
      <c r="W362" s="68" t="n">
        <v>18709350</v>
      </c>
      <c r="X362" s="67" t="n">
        <v>1.63</v>
      </c>
      <c r="Y362" s="63" t="inlineStr">
        <is>
          <t>HHLRA; Taikang Life; Hongda Group; Trading Limited; WT Asset Management Limited; Grab Inc; Commando Global Fund</t>
        </is>
      </c>
      <c r="Z362" s="63" t="inlineStr">
        <is>
          <t>hhlra;taikang;hongda;trading;wt;grab;commando</t>
        </is>
      </c>
      <c r="AA362" s="67" t="n">
        <v>15</v>
      </c>
      <c r="AB362" s="72" t="n"/>
      <c r="AC362" s="66" t="n"/>
      <c r="AD362" s="72" t="n"/>
      <c r="AE362" s="63" t="n"/>
      <c r="AF362" s="63" t="n"/>
      <c r="AG362" s="63" t="inlineStr">
        <is>
          <t>full</t>
        </is>
      </c>
      <c r="AH362" s="63" t="inlineStr">
        <is>
          <t>2025-10-11</t>
        </is>
      </c>
      <c r="AI362" s="63" t="inlineStr">
        <is>
          <t>China International Capital Corporation Hong Kong Securities Limited</t>
        </is>
      </c>
      <c r="AJ362" s="63" t="inlineStr">
        <is>
          <t>China International</t>
        </is>
      </c>
      <c r="AK362" s="73" t="n">
        <v>9.960000000000001</v>
      </c>
      <c r="AL362" s="72" t="n">
        <v>7.71</v>
      </c>
      <c r="AM362" s="72" t="n">
        <v>2.09</v>
      </c>
      <c r="AN362" s="72" t="n">
        <v>8.08</v>
      </c>
      <c r="AO362" s="72" t="n">
        <v>-20.49</v>
      </c>
      <c r="AP362" s="72" t="n">
        <v>-20.39</v>
      </c>
      <c r="AQ362" s="72" t="n">
        <v>-1.71</v>
      </c>
      <c r="AR362" s="72" t="n">
        <v>-27.69</v>
      </c>
      <c r="AS362" s="72" t="n">
        <v>-27.6</v>
      </c>
      <c r="AT362" s="72" t="n">
        <v>6.14</v>
      </c>
      <c r="AU362" s="72" t="n">
        <v>-15.52</v>
      </c>
      <c r="AV362" s="72" t="n">
        <v>-10.61</v>
      </c>
      <c r="AW362" s="72" t="n">
        <v>-22.24</v>
      </c>
      <c r="AX362" s="72" t="n">
        <v>-4.97</v>
      </c>
      <c r="AY362" s="72" t="n">
        <v>-5.45</v>
      </c>
      <c r="AZ362" s="63" t="inlineStr">
        <is>
          <t>HSTECH (Hang Seng TECH ETF)</t>
        </is>
      </c>
      <c r="BA362" s="72" t="n">
        <v>-38.65</v>
      </c>
      <c r="BB362" s="64" t="inlineStr">
        <is>
          <t>2026-08-31</t>
        </is>
      </c>
      <c r="BC362" s="65" t="n">
        <v>2284.9</v>
      </c>
      <c r="BD362" s="68" t="n">
        <v>-112.6</v>
      </c>
      <c r="BE362" s="63" t="inlineStr">
        <is>
          <t>N</t>
        </is>
      </c>
      <c r="BF362" s="63" t="inlineStr">
        <is>
          <t>n/m</t>
        </is>
      </c>
      <c r="BG362" s="74" t="n">
        <v>293.1</v>
      </c>
      <c r="BH362" s="74" t="n">
        <v>39.2</v>
      </c>
      <c r="BI362" s="74" t="n">
        <v>107.1</v>
      </c>
      <c r="BJ362" s="75">
        <f>IF('BBG Verify'!S362="","not filed — run on terminal",'BBG Verify'!S362)</f>
        <v/>
      </c>
      <c r="BK362" s="76" t="inlineStr">
        <is>
          <t>N</t>
        </is>
      </c>
      <c r="BL362" s="77">
        <f>IF('BBG Verify'!K362="","not filed — run on terminal",'BBG Verify'!K362)</f>
        <v/>
      </c>
      <c r="BM362" s="63" t="inlineStr">
        <is>
          <t>N/A</t>
        </is>
      </c>
      <c r="BN362" s="63" t="inlineStr">
        <is>
          <t>N/A</t>
        </is>
      </c>
      <c r="BO362" s="63" t="inlineStr">
        <is>
          <t>N/A</t>
        </is>
      </c>
      <c r="BP362" s="63" t="inlineStr">
        <is>
          <t>N/A</t>
        </is>
      </c>
      <c r="BQ362" s="63" t="inlineStr">
        <is>
          <t>N/A</t>
        </is>
      </c>
      <c r="BR362" s="63" t="inlineStr">
        <is>
          <t>N/A</t>
        </is>
      </c>
      <c r="BS362" s="76" t="inlineStr">
        <is>
          <t>China International Capital Corporation Hong Kong Securities Limited; Guotai Junan Capital Limited; CMB International Capital Limited; Sponsor-OCs China International Capital Corporation Hong Kong Securities Limited; Guotai Junan Securities (Hong Kong) Limited</t>
        </is>
      </c>
      <c r="BT362" s="63" t="inlineStr">
        <is>
          <t>China International Capital Corporation Hong Kong Securities Limited; Guotai Junan Capital Limited; CMB International Capital Limited</t>
        </is>
      </c>
      <c r="BU362" s="63" t="inlineStr">
        <is>
          <t>China International Capital Corporation Hong Kong Securities Limited; Guotai Junan Securities (Hong Kong) Limited; CMB International Capital Limited; Haitong International Securities Company Limited; BOCI Asia Limited; Futu Securities International (Hong Kong) Limited; DBS Asia Capital Limited; ICBC International Securities Limited; ABCI Capital Limited; CCB International Capital Limited</t>
        </is>
      </c>
      <c r="BV362" s="63" t="inlineStr">
        <is>
          <t>ABCI Securities Company Limited; BOCI Asia Limited; CCB International Capital Limited; China International Capital Corporation Hong Kong Securities Limited; CMB International Capital Limited; DBS Asia Capital Limited; Futu Securities International (Hong Kong) Limited; Guotai Junan Securities (Hong Kong) Limited; Haitong International Securities Company Limited; ICBC International Securities Limited</t>
        </is>
      </c>
      <c r="BW362" s="78">
        <f>HYPERLINK("https://www1.hkexnews.hk/listedco/listconews/sehk/2025/0908/2025090800017.pdf","prospectus")</f>
        <v/>
      </c>
      <c r="BX362" s="78">
        <f>HYPERLINK("https://www1.hkexnews.hk/listedco/listconews/sehk/2025/0915/2025091501458.pdf","allotment")</f>
        <v/>
      </c>
      <c r="BY362" s="78">
        <f>HYPERLINK("https://www1.hkexnews.hk/listedco/listconews/sehk/2025/1012/2025101200001.pdf","stabilisation")</f>
        <v/>
      </c>
      <c r="BZ362" s="76" t="n"/>
      <c r="CA362" s="63" t="inlineStr">
        <is>
          <t>P/E: n/m — loss-making at IPO (use P/S) · range low: cap-only pricing — the filing publishes a Maximum Offer Price and no indicative floor · A/H: no A-share listing · grey market: no grey-market headline on file for this deal — AAStocks publishes one per listing but keeps only recent items on the stock's news page, and no public archive of past evening sessions exists; captured from this run onward</t>
        </is>
      </c>
    </row>
    <row r="363" ht="15" customHeight="1">
      <c r="A363" s="62" t="inlineStr">
        <is>
          <t>2656</t>
        </is>
      </c>
      <c r="B363" s="63" t="inlineStr">
        <is>
          <t>160 HEALTH</t>
        </is>
      </c>
      <c r="C363" s="63" t="inlineStr">
        <is>
          <t>健康１６０</t>
        </is>
      </c>
      <c r="D363" s="63" t="inlineStr">
        <is>
          <t>Healthcare</t>
        </is>
      </c>
      <c r="E363" s="63" t="inlineStr">
        <is>
          <t>Digital health</t>
        </is>
      </c>
      <c r="F363" s="63" t="inlineStr">
        <is>
          <t>Health Care Supplies</t>
        </is>
      </c>
      <c r="G363" s="63" t="inlineStr">
        <is>
          <t>Standard</t>
        </is>
      </c>
      <c r="H363" s="64" t="n">
        <v>45917</v>
      </c>
      <c r="I363" s="65" t="n">
        <v>400</v>
      </c>
      <c r="J363" s="63" t="inlineStr">
        <is>
          <t>gross (stated)</t>
        </is>
      </c>
      <c r="K363" s="66" t="n"/>
      <c r="L363" s="66" t="n">
        <v>14.86</v>
      </c>
      <c r="M363" s="66" t="n">
        <v>11.89</v>
      </c>
      <c r="N363" s="63" t="inlineStr">
        <is>
          <t>N</t>
        </is>
      </c>
      <c r="O363" s="67" t="n">
        <v>80</v>
      </c>
      <c r="P363" s="67" t="n"/>
      <c r="Q363" s="68" t="n">
        <v>4000.4</v>
      </c>
      <c r="R363" s="63" t="inlineStr">
        <is>
          <t>derived:price x shares upon listing</t>
        </is>
      </c>
      <c r="S363" s="69" t="n">
        <v>751.77</v>
      </c>
      <c r="T363" s="70" t="n">
        <v>1.92</v>
      </c>
      <c r="U363" s="71" t="n">
        <v>0</v>
      </c>
      <c r="V363" s="68" t="n">
        <v>400</v>
      </c>
      <c r="W363" s="68" t="n">
        <v>33645500</v>
      </c>
      <c r="X363" s="67" t="n">
        <v>10</v>
      </c>
      <c r="Y363" s="63" t="n"/>
      <c r="Z363" s="63" t="n"/>
      <c r="AA363" s="67" t="n">
        <v>11.33</v>
      </c>
      <c r="AB363" s="72" t="n">
        <v>143.9</v>
      </c>
      <c r="AC363" s="66" t="n">
        <v>29</v>
      </c>
      <c r="AD363" s="72" t="n">
        <v>-2.69</v>
      </c>
      <c r="AE363" s="63" t="inlineStr">
        <is>
          <t>Y</t>
        </is>
      </c>
      <c r="AF363" s="63" t="inlineStr">
        <is>
          <t>2025-09-16</t>
        </is>
      </c>
      <c r="AG363" s="63" t="n"/>
      <c r="AH363" s="63" t="inlineStr">
        <is>
          <t>2025-10-12</t>
        </is>
      </c>
      <c r="AI363" s="63" t="inlineStr">
        <is>
          <t>Shenwan Hongyuan Securities</t>
        </is>
      </c>
      <c r="AJ363" s="63" t="inlineStr">
        <is>
          <t>Shenwan Hongyuan</t>
        </is>
      </c>
      <c r="AK363" s="73" t="n">
        <v>137.34</v>
      </c>
      <c r="AL363" s="72" t="n">
        <v>152.14</v>
      </c>
      <c r="AM363" s="72" t="n">
        <v>-5.87</v>
      </c>
      <c r="AN363" s="72" t="n">
        <v>139.7</v>
      </c>
      <c r="AO363" s="72" t="n">
        <v>236.92</v>
      </c>
      <c r="AP363" s="72" t="n">
        <v>337.76</v>
      </c>
      <c r="AQ363" s="72" t="n">
        <v>0.99</v>
      </c>
      <c r="AR363" s="72" t="n">
        <v>41.96</v>
      </c>
      <c r="AS363" s="72" t="n">
        <v>84.44</v>
      </c>
      <c r="AT363" s="72" t="n">
        <v>140.29</v>
      </c>
      <c r="AU363" s="72" t="n">
        <v>243.75</v>
      </c>
      <c r="AV363" s="72" t="n">
        <v>351.57</v>
      </c>
      <c r="AW363" s="72" t="n">
        <v>48.93</v>
      </c>
      <c r="AX363" s="72" t="n">
        <v>-6.83</v>
      </c>
      <c r="AY363" s="72" t="n">
        <v>-6.97</v>
      </c>
      <c r="AZ363" s="63" t="inlineStr">
        <is>
          <t>China Biotech ETF (HS biotech proxy)</t>
        </is>
      </c>
      <c r="BA363" s="72" t="n">
        <v>-13.29</v>
      </c>
      <c r="BB363" s="64" t="inlineStr">
        <is>
          <t>2026-08-28</t>
        </is>
      </c>
      <c r="BC363" s="65" t="n">
        <v>682.8</v>
      </c>
      <c r="BD363" s="68" t="n">
        <v>-119.1</v>
      </c>
      <c r="BE363" s="63" t="inlineStr">
        <is>
          <t>N</t>
        </is>
      </c>
      <c r="BF363" s="63" t="inlineStr">
        <is>
          <t>n/m</t>
        </is>
      </c>
      <c r="BG363" s="74" t="n"/>
      <c r="BH363" s="74" t="n"/>
      <c r="BI363" s="74" t="n">
        <v>5.9</v>
      </c>
      <c r="BJ363" s="75">
        <f>IF('BBG Verify'!S363="","not filed — run on terminal",'BBG Verify'!S363)</f>
        <v/>
      </c>
      <c r="BK363" s="76" t="inlineStr">
        <is>
          <t>N</t>
        </is>
      </c>
      <c r="BL363" s="77">
        <f>IF('BBG Verify'!K363="","not filed — run on terminal",'BBG Verify'!K363)</f>
        <v/>
      </c>
      <c r="BM363" s="63" t="inlineStr">
        <is>
          <t>N/A</t>
        </is>
      </c>
      <c r="BN363" s="63" t="inlineStr">
        <is>
          <t>N/A</t>
        </is>
      </c>
      <c r="BO363" s="63" t="inlineStr">
        <is>
          <t>N/A</t>
        </is>
      </c>
      <c r="BP363" s="63" t="inlineStr">
        <is>
          <t>N/A</t>
        </is>
      </c>
      <c r="BQ363" s="63" t="inlineStr">
        <is>
          <t>N/A</t>
        </is>
      </c>
      <c r="BR363" s="63" t="inlineStr">
        <is>
          <t>N/A</t>
        </is>
      </c>
      <c r="BS363" s="76" t="inlineStr">
        <is>
          <t>Shenwan Hongyuan Capital (H.K.) Limited; Zero2IPO Capital Limited</t>
        </is>
      </c>
      <c r="BT363" s="63" t="inlineStr">
        <is>
          <t>Zero2IPO Capital Limited; Shenwan Hongyuan Capital (H.K.) Limited</t>
        </is>
      </c>
      <c r="BU363" s="63" t="inlineStr">
        <is>
          <t>Shenwan Hongyuan Securities (H.K.) Limited; Zero2IPO Securities Limited; ABCI Capital Limited; BOCI Asia Limited; Eddid Securities and Futures Limited; Innovation Securities Co., Limited; Sun Securities Limited; South China Securities Limited; Livermore Holdings Limited; uSMART Securities Limited; Valuable Capital Limited; ABCI Securities Company Limited</t>
        </is>
      </c>
      <c r="BV363" s="63" t="inlineStr">
        <is>
          <t>ABCI Securities Company Limited; BOCI Asia Limited; Eddid Securities and Futures Limited; Innovation Securities Co., Limited; Livermore Holdings Limited; South China Securities Limited; Shenwan Hongyuan Securities (H.K.) Limited; Sun Securities Limited</t>
        </is>
      </c>
      <c r="BW363" s="78">
        <f>HYPERLINK("https://www1.hkexnews.hk/listedco/listconews/sehk/2025/0909/2025090900019.pdf","prospectus")</f>
        <v/>
      </c>
      <c r="BX363" s="78">
        <f>HYPERLINK("https://www1.hkexnews.hk/listedco/listconews/sehk/2025/0916/2025091601472.pdf","allotment")</f>
        <v/>
      </c>
      <c r="BY363" s="63" t="n"/>
      <c r="BZ363" s="76" t="n"/>
      <c r="CA363" s="63" t="inlineStr">
        <is>
          <t>P/E: n/m — loss-making at IPO (use P/S) · greenshoe: end-of-stabilisation notice not located · range low: cap-only pricing — the filing publishes a Maximum Offer Price and no indicative floor · A/H: no A-share listing · market cap: prospectus 'market capitalisation' line rejected — it is the listing-rule threshold, not the issuer's figure ("llion), which is over HK$500 million; and (ii) our expected market capitalization at the time of Listing, whic") · cornerstone list: no cornerstone tranche in this deal</t>
        </is>
      </c>
    </row>
    <row r="364" ht="15" customHeight="1">
      <c r="A364" s="62" t="inlineStr">
        <is>
          <t>2595</t>
        </is>
      </c>
      <c r="B364" s="63" t="inlineStr">
        <is>
          <t>GENFLEET-B</t>
        </is>
      </c>
      <c r="C364" s="63" t="inlineStr">
        <is>
          <t>勁方醫藥－Ｂ</t>
        </is>
      </c>
      <c r="D364" s="63" t="inlineStr">
        <is>
          <t>Healthcare</t>
        </is>
      </c>
      <c r="E364" s="63" t="inlineStr">
        <is>
          <t>Biotech pre-revenue (18A)</t>
        </is>
      </c>
      <c r="F364" s="63" t="inlineStr">
        <is>
          <t>Biotechnology - Pharmaceuticals</t>
        </is>
      </c>
      <c r="G364" s="63" t="inlineStr">
        <is>
          <t>18A</t>
        </is>
      </c>
      <c r="H364" s="64" t="n">
        <v>45919</v>
      </c>
      <c r="I364" s="65" t="n">
        <v>1819.6</v>
      </c>
      <c r="J364" s="63" t="inlineStr">
        <is>
          <t>gross (stated)</t>
        </is>
      </c>
      <c r="K364" s="66" t="n"/>
      <c r="L364" s="66" t="n">
        <v>20.39</v>
      </c>
      <c r="M364" s="66" t="n">
        <v>20.39</v>
      </c>
      <c r="N364" s="63" t="inlineStr">
        <is>
          <t>Y</t>
        </is>
      </c>
      <c r="O364" s="67" t="n">
        <v>100</v>
      </c>
      <c r="P364" s="67" t="n"/>
      <c r="Q364" s="68" t="n">
        <v>7041.5</v>
      </c>
      <c r="R364" s="63" t="inlineStr">
        <is>
          <t>prospectus:stated market capitalisation</t>
        </is>
      </c>
      <c r="S364" s="69" t="n">
        <v>2662.79</v>
      </c>
      <c r="T364" s="70" t="n">
        <v>39.05</v>
      </c>
      <c r="U364" s="71" t="n">
        <v>42.84</v>
      </c>
      <c r="V364" s="68" t="n">
        <v>1040.08</v>
      </c>
      <c r="W364" s="68" t="n">
        <v>51009584</v>
      </c>
      <c r="X364" s="67" t="n">
        <v>14.77</v>
      </c>
      <c r="Y364" s="63" t="inlineStr">
        <is>
          <t>RTW Master Fund, Ltd; The Biotech Growth Trust PLC; LBC HK Opportunity Fund Limited; Lake Bleu Innovation Fund; GF International; Value Partners Limited; E Fund Hong Kong</t>
        </is>
      </c>
      <c r="Z364" s="63" t="inlineStr">
        <is>
          <t>rtw;biotech;lbc;lake;gf;value;fund-hong</t>
        </is>
      </c>
      <c r="AA364" s="67" t="n">
        <v>15</v>
      </c>
      <c r="AB364" s="72" t="n"/>
      <c r="AC364" s="66" t="n"/>
      <c r="AD364" s="72" t="n"/>
      <c r="AE364" s="63" t="n"/>
      <c r="AF364" s="63" t="n"/>
      <c r="AG364" s="63" t="inlineStr">
        <is>
          <t>full</t>
        </is>
      </c>
      <c r="AH364" s="63" t="inlineStr">
        <is>
          <t>2025-10-16</t>
        </is>
      </c>
      <c r="AI364" s="63" t="inlineStr">
        <is>
          <t>CLSA Limited</t>
        </is>
      </c>
      <c r="AJ364" s="63" t="inlineStr">
        <is>
          <t>CLSA</t>
        </is>
      </c>
      <c r="AK364" s="73" t="n">
        <v>106.47</v>
      </c>
      <c r="AL364" s="72" t="n">
        <v>115.79</v>
      </c>
      <c r="AM364" s="72" t="n">
        <v>-4.32</v>
      </c>
      <c r="AN364" s="72" t="n">
        <v>87.34999999999999</v>
      </c>
      <c r="AO364" s="72" t="n">
        <v>30.06</v>
      </c>
      <c r="AP364" s="72" t="n">
        <v>25.75</v>
      </c>
      <c r="AQ364" s="72" t="n">
        <v>-9.26</v>
      </c>
      <c r="AR364" s="72" t="n">
        <v>-37.01</v>
      </c>
      <c r="AS364" s="72" t="n">
        <v>-39.1</v>
      </c>
      <c r="AT364" s="72" t="n">
        <v>89.94</v>
      </c>
      <c r="AU364" s="72" t="n">
        <v>37.77</v>
      </c>
      <c r="AV364" s="72" t="n">
        <v>39.29</v>
      </c>
      <c r="AW364" s="72" t="n">
        <v>-30.89</v>
      </c>
      <c r="AX364" s="72" t="n">
        <v>-7.71</v>
      </c>
      <c r="AY364" s="72" t="n">
        <v>-6.12</v>
      </c>
      <c r="AZ364" s="63" t="inlineStr">
        <is>
          <t>China Biotech ETF (HS biotech proxy)</t>
        </is>
      </c>
      <c r="BA364" s="72" t="n">
        <v>54.39</v>
      </c>
      <c r="BB364" s="64" t="inlineStr">
        <is>
          <t>2026-08-28</t>
        </is>
      </c>
      <c r="BC364" s="65" t="n">
        <v>115.2</v>
      </c>
      <c r="BD364" s="68" t="n">
        <v>-745.4</v>
      </c>
      <c r="BE364" s="63" t="inlineStr">
        <is>
          <t>N</t>
        </is>
      </c>
      <c r="BF364" s="63" t="inlineStr">
        <is>
          <t>n/m</t>
        </is>
      </c>
      <c r="BG364" s="74" t="n"/>
      <c r="BH364" s="74" t="n"/>
      <c r="BI364" s="74" t="n">
        <v>61.1</v>
      </c>
      <c r="BJ364" s="75">
        <f>IF('BBG Verify'!S364="","not filed — run on terminal",'BBG Verify'!S364)</f>
        <v/>
      </c>
      <c r="BK364" s="76" t="inlineStr">
        <is>
          <t>N</t>
        </is>
      </c>
      <c r="BL364" s="77">
        <f>IF('BBG Verify'!K364="","not filed — run on terminal",'BBG Verify'!K364)</f>
        <v/>
      </c>
      <c r="BM364" s="63" t="inlineStr">
        <is>
          <t>N/A</t>
        </is>
      </c>
      <c r="BN364" s="63" t="inlineStr">
        <is>
          <t>N/A</t>
        </is>
      </c>
      <c r="BO364" s="63" t="inlineStr">
        <is>
          <t>N/A</t>
        </is>
      </c>
      <c r="BP364" s="63" t="inlineStr">
        <is>
          <t>N/A</t>
        </is>
      </c>
      <c r="BQ364" s="63" t="inlineStr">
        <is>
          <t>N/A</t>
        </is>
      </c>
      <c r="BR364" s="63" t="inlineStr">
        <is>
          <t>N/A</t>
        </is>
      </c>
      <c r="BS364" s="76" t="inlineStr">
        <is>
          <t>CITIC Securities (Hong Kong) Limited; CLSA Limited</t>
        </is>
      </c>
      <c r="BT364" s="63" t="inlineStr">
        <is>
          <t>CITIC Securities (Hong Kong) Limited</t>
        </is>
      </c>
      <c r="BU364" s="63" t="inlineStr">
        <is>
          <t>CLSA Limited; Fosun International Securities Limited; ABCI Capital Limited; CCB International Capital Limited; BOCOM International Securities Limited; China Renaissance Securities (Hong Kong) Limited; GF Securities (Hong Kong) Brokerage Limited</t>
        </is>
      </c>
      <c r="BV364" s="63" t="inlineStr">
        <is>
          <t>ABCI Securities Company Limited; BOCOM International Securities Limited; CCB International Capital Limited; CLSA Limited; China Renaissance Securities (Hong Kong) Limited; Fosun International Securities Limited; GF Securities (Hong Kong) Brokerage Limited</t>
        </is>
      </c>
      <c r="BW364" s="78">
        <f>HYPERLINK("https://www1.hkexnews.hk/listedco/listconews/sehk/2025/0911/2025091100031.pdf","prospectus")</f>
        <v/>
      </c>
      <c r="BX364" s="78">
        <f>HYPERLINK("https://www1.hkexnews.hk/listedco/listconews/sehk/2025/0918/2025091801757.pdf","allotment")</f>
        <v/>
      </c>
      <c r="BY364" s="78">
        <f>HYPERLINK("https://www1.hkexnews.hk/listedco/listconews/sehk/2025/1016/2025101601000.pdf","stabilisation")</f>
        <v/>
      </c>
      <c r="BZ364" s="76" t="n"/>
      <c r="CA364" s="63" t="inlineStr">
        <is>
          <t>P/E: n/m — loss-making at IPO (use P/S) · range low: cap-only pricing — the filing publishes a Maximum Offer Price and no indicative floor · A/H: no A-share listing · grey market: no grey-market headline on file for this deal — AAStocks publishes one per listing but keeps only recent items on the stock's news page, and no public archive of past evening sessions exists; captured from this run onward</t>
        </is>
      </c>
    </row>
    <row r="365" ht="15" customHeight="1">
      <c r="A365" s="62" t="inlineStr">
        <is>
          <t>6090</t>
        </is>
      </c>
      <c r="B365" s="63" t="inlineStr">
        <is>
          <t>BUTONG GROUP</t>
        </is>
      </c>
      <c r="C365" s="63" t="inlineStr">
        <is>
          <t>不同集團</t>
        </is>
      </c>
      <c r="D365" s="63" t="inlineStr">
        <is>
          <t>Consumer</t>
        </is>
      </c>
      <c r="E365" s="63" t="inlineStr">
        <is>
          <t>Retail / distribution</t>
        </is>
      </c>
      <c r="F365" s="63" t="inlineStr">
        <is>
          <t>Children's and Infant Products</t>
        </is>
      </c>
      <c r="G365" s="63" t="inlineStr">
        <is>
          <t>Standard</t>
        </is>
      </c>
      <c r="H365" s="64" t="n">
        <v>45923</v>
      </c>
      <c r="I365" s="65" t="n">
        <v>781.84</v>
      </c>
      <c r="J365" s="63" t="inlineStr">
        <is>
          <t>gross (stated)</t>
        </is>
      </c>
      <c r="K365" s="66" t="n"/>
      <c r="L365" s="66" t="n">
        <v>71.2</v>
      </c>
      <c r="M365" s="66" t="n">
        <v>71.2</v>
      </c>
      <c r="N365" s="63" t="inlineStr">
        <is>
          <t>Y</t>
        </is>
      </c>
      <c r="O365" s="67" t="n">
        <v>100</v>
      </c>
      <c r="P365" s="67" t="n"/>
      <c r="Q365" s="68" t="n">
        <v>6461.5</v>
      </c>
      <c r="R365" s="63" t="inlineStr">
        <is>
          <t>derived:price x shares upon listing</t>
        </is>
      </c>
      <c r="S365" s="69" t="n">
        <v>3317.47</v>
      </c>
      <c r="T365" s="70" t="n">
        <v>7.37</v>
      </c>
      <c r="U365" s="71" t="n">
        <v>14.96</v>
      </c>
      <c r="V365" s="68" t="n">
        <v>664.88</v>
      </c>
      <c r="W365" s="68" t="n">
        <v>9338157</v>
      </c>
      <c r="X365" s="67" t="n">
        <v>10.29</v>
      </c>
      <c r="Y365" s="63" t="inlineStr">
        <is>
          <t>Cithara Fund; Great Praise</t>
        </is>
      </c>
      <c r="Z365" s="63" t="inlineStr">
        <is>
          <t>cithara;great-praise</t>
        </is>
      </c>
      <c r="AA365" s="67" t="n"/>
      <c r="AB365" s="72" t="n"/>
      <c r="AC365" s="66" t="n"/>
      <c r="AD365" s="72" t="n"/>
      <c r="AE365" s="63" t="n"/>
      <c r="AF365" s="63" t="n"/>
      <c r="AG365" s="63" t="n"/>
      <c r="AH365" s="63" t="inlineStr">
        <is>
          <t>2025-10-17</t>
        </is>
      </c>
      <c r="AI365" s="63" t="inlineStr">
        <is>
          <t>CLSA Limited</t>
        </is>
      </c>
      <c r="AJ365" s="63" t="inlineStr">
        <is>
          <t>CLSA</t>
        </is>
      </c>
      <c r="AK365" s="73" t="n">
        <v>43.96</v>
      </c>
      <c r="AL365" s="72" t="n">
        <v>41.01</v>
      </c>
      <c r="AM365" s="72" t="n">
        <v>2.09</v>
      </c>
      <c r="AN365" s="72" t="n">
        <v>46.07</v>
      </c>
      <c r="AO365" s="72" t="n">
        <v>36.31</v>
      </c>
      <c r="AP365" s="72" t="n">
        <v>44.66</v>
      </c>
      <c r="AQ365" s="72" t="n">
        <v>1.47</v>
      </c>
      <c r="AR365" s="72" t="n">
        <v>-5.31</v>
      </c>
      <c r="AS365" s="72" t="n">
        <v>0.49</v>
      </c>
      <c r="AT365" s="72" t="n">
        <v>43.57</v>
      </c>
      <c r="AU365" s="72" t="n">
        <v>38.3</v>
      </c>
      <c r="AV365" s="72" t="n">
        <v>53.02</v>
      </c>
      <c r="AW365" s="72" t="n">
        <v>-4.43</v>
      </c>
      <c r="AX365" s="72" t="n">
        <v>-1.99</v>
      </c>
      <c r="AY365" s="72" t="n">
        <v>-0.88</v>
      </c>
      <c r="AZ365" s="63" t="inlineStr">
        <is>
          <t>Hang Seng Commerce &amp; Industry sub-index</t>
        </is>
      </c>
      <c r="BA365" s="72" t="n">
        <v>-41.07</v>
      </c>
      <c r="BB365" s="64" t="inlineStr">
        <is>
          <t>2026-08-31</t>
        </is>
      </c>
      <c r="BC365" s="65" t="n">
        <v>1373.8</v>
      </c>
      <c r="BD365" s="68" t="n">
        <v>64.40000000000001</v>
      </c>
      <c r="BE365" s="63" t="inlineStr">
        <is>
          <t>Y</t>
        </is>
      </c>
      <c r="BF365" s="74" t="n">
        <v>100.3</v>
      </c>
      <c r="BG365" s="74" t="n"/>
      <c r="BH365" s="74" t="n"/>
      <c r="BI365" s="74" t="n">
        <v>4.7</v>
      </c>
      <c r="BJ365" s="75">
        <f>IF('BBG Verify'!S365="","not filed — run on terminal",'BBG Verify'!S365)</f>
        <v/>
      </c>
      <c r="BK365" s="76" t="inlineStr">
        <is>
          <t>N</t>
        </is>
      </c>
      <c r="BL365" s="77">
        <f>IF('BBG Verify'!K365="","not filed — run on terminal",'BBG Verify'!K365)</f>
        <v/>
      </c>
      <c r="BM365" s="63" t="inlineStr">
        <is>
          <t>N/A</t>
        </is>
      </c>
      <c r="BN365" s="63" t="inlineStr">
        <is>
          <t>N/A</t>
        </is>
      </c>
      <c r="BO365" s="63" t="inlineStr">
        <is>
          <t>N/A</t>
        </is>
      </c>
      <c r="BP365" s="63" t="inlineStr">
        <is>
          <t>N/A</t>
        </is>
      </c>
      <c r="BQ365" s="63" t="inlineStr">
        <is>
          <t>N/A</t>
        </is>
      </c>
      <c r="BR365" s="63" t="inlineStr">
        <is>
          <t>N/A</t>
        </is>
      </c>
      <c r="BS365" s="76" t="n"/>
      <c r="BT365" s="63" t="inlineStr">
        <is>
          <t>Haitong International Capital Limited; CITIC Securities (Hong Kong) Limited</t>
        </is>
      </c>
      <c r="BU365" s="63" t="inlineStr">
        <is>
          <t>CLSA Limited; Futu Securities International (Hong Kong) Limited; Huatai Financial Holdings (Hong Kong) Limited; Haitong International Securities Company Limited; Livermore Holdings Limited; Patrons Securities Limited</t>
        </is>
      </c>
      <c r="BV365" s="63" t="inlineStr">
        <is>
          <t>CLSA Limited; Futu Securities International (Hong Kong) Limited; Huatai Financial Holdings (Hong Kong) Limited; Haitong International Securities Company Limited; Livermore Holdings Limited; Patrons Securities Limited; SPDB International Capital Limited</t>
        </is>
      </c>
      <c r="BW365" s="63" t="n"/>
      <c r="BX365" s="78">
        <f>HYPERLINK("https://www1.hkexnews.hk/listedco/listconews/sehk/2025/0922/2025092201984.pdf","allotment")</f>
        <v/>
      </c>
      <c r="BY365" s="63" t="n"/>
      <c r="BZ365" s="76" t="n"/>
      <c r="CA365" s="63" t="inlineStr">
        <is>
          <t>greenshoe: no over-allotment option in the offer structure · price range: fixed-price offering (no indicative range) · range low: cap-only pricing — the filing publishes a Maximum Offer Price and no indicative floor · A/H: no A-share listing · sponsor: English name not in the filing text; AAStocks 保薦人 shown · greenshoe size: no over-allotment option in the offer structure · filing links: no prospectus document returned by the HKEX per-stock search for this code — the allotment announcement is linked beside it · grey market: no grey-market headline on file for this deal — AAStocks publishes one per listing but keeps only recent items on the stock's news page, and no public archive of past evening sessions exists; captured from this run onward</t>
        </is>
      </c>
    </row>
    <row r="366" ht="15" customHeight="1">
      <c r="A366" s="62" t="inlineStr">
        <is>
          <t>9973</t>
        </is>
      </c>
      <c r="B366" s="63" t="inlineStr">
        <is>
          <t>CHERY AUTO</t>
        </is>
      </c>
      <c r="C366" s="63" t="inlineStr">
        <is>
          <t>奇瑞汽車</t>
        </is>
      </c>
      <c r="D366" s="63" t="inlineStr">
        <is>
          <t>Consumer</t>
        </is>
      </c>
      <c r="E366" s="63" t="inlineStr">
        <is>
          <t>Autos (NEV OEM)</t>
        </is>
      </c>
      <c r="F366" s="63" t="inlineStr">
        <is>
          <t>Automobile Manufacturers</t>
        </is>
      </c>
      <c r="G366" s="63" t="inlineStr">
        <is>
          <t>Standard</t>
        </is>
      </c>
      <c r="H366" s="64" t="n">
        <v>45925</v>
      </c>
      <c r="I366" s="65" t="n">
        <v>9145</v>
      </c>
      <c r="J366" s="63" t="inlineStr">
        <is>
          <t>gross (stated)</t>
        </is>
      </c>
      <c r="K366" s="66" t="n"/>
      <c r="L366" s="66" t="n">
        <v>30.75</v>
      </c>
      <c r="M366" s="66" t="n">
        <v>30.75</v>
      </c>
      <c r="N366" s="63" t="inlineStr">
        <is>
          <t>Y</t>
        </is>
      </c>
      <c r="O366" s="67" t="n">
        <v>100</v>
      </c>
      <c r="P366" s="67" t="n"/>
      <c r="Q366" s="68" t="n">
        <v>160041</v>
      </c>
      <c r="R366" s="63" t="inlineStr">
        <is>
          <t>prospectus:stated market capitalisation</t>
        </is>
      </c>
      <c r="S366" s="69" t="n">
        <v>308.18</v>
      </c>
      <c r="T366" s="70" t="n">
        <v>11.61</v>
      </c>
      <c r="U366" s="71" t="n">
        <v>50.1</v>
      </c>
      <c r="V366" s="68" t="n">
        <v>4563.35</v>
      </c>
      <c r="W366" s="68" t="n">
        <v>148401103</v>
      </c>
      <c r="X366" s="67" t="n">
        <v>2.85</v>
      </c>
      <c r="Y366" s="63" t="inlineStr">
        <is>
          <t>HHLR Advisors, Ltd; Martis Fund, L.P; Xingyu Automotive Lighting (Hong Kong) Company Limited; Gotion; HK Greenwoods; Horizon Together; Dajia Life; Tulip Fund, L.P; CICC FT; GF Global Capital Limited</t>
        </is>
      </c>
      <c r="Z366" s="63" t="inlineStr">
        <is>
          <t>hhlr;martis;xingyu;gotion;greenwoods;horizon;dajia;tulip;china-international;gf</t>
        </is>
      </c>
      <c r="AA366" s="67" t="n">
        <v>15</v>
      </c>
      <c r="AB366" s="72" t="n"/>
      <c r="AC366" s="66" t="n"/>
      <c r="AD366" s="72" t="n"/>
      <c r="AE366" s="63" t="n"/>
      <c r="AF366" s="63" t="n"/>
      <c r="AG366" s="63" t="inlineStr">
        <is>
          <t>partial</t>
        </is>
      </c>
      <c r="AH366" s="63" t="n"/>
      <c r="AI366" s="63" t="inlineStr">
        <is>
          <t>China International Capital Corporation Hong Kong Securities Limited</t>
        </is>
      </c>
      <c r="AJ366" s="63" t="inlineStr">
        <is>
          <t>China International</t>
        </is>
      </c>
      <c r="AK366" s="73" t="n">
        <v>3.8</v>
      </c>
      <c r="AL366" s="72" t="n">
        <v>11.22</v>
      </c>
      <c r="AM366" s="72" t="n">
        <v>-6.67</v>
      </c>
      <c r="AN366" s="72" t="n">
        <v>3.67</v>
      </c>
      <c r="AO366" s="72" t="n">
        <v>6.41</v>
      </c>
      <c r="AP366" s="72" t="n">
        <v>-0.16</v>
      </c>
      <c r="AQ366" s="72" t="n">
        <v>-0.13</v>
      </c>
      <c r="AR366" s="72" t="n">
        <v>2.51</v>
      </c>
      <c r="AS366" s="72" t="n">
        <v>-3.82</v>
      </c>
      <c r="AT366" s="72" t="n">
        <v>0.61</v>
      </c>
      <c r="AU366" s="72" t="n">
        <v>9.49</v>
      </c>
      <c r="AV366" s="72" t="n">
        <v>9.07</v>
      </c>
      <c r="AW366" s="72" t="n">
        <v>5.94</v>
      </c>
      <c r="AX366" s="72" t="n">
        <v>-3.08</v>
      </c>
      <c r="AY366" s="72" t="n">
        <v>-3.43</v>
      </c>
      <c r="AZ366" s="63" t="inlineStr">
        <is>
          <t>Hang Seng Commerce &amp; Industry sub-index</t>
        </is>
      </c>
      <c r="BA366" s="72" t="n">
        <v>-15.84</v>
      </c>
      <c r="BB366" s="64" t="inlineStr">
        <is>
          <t>2026-08-28</t>
        </is>
      </c>
      <c r="BC366" s="65" t="n">
        <v>296886.7</v>
      </c>
      <c r="BD366" s="68" t="n">
        <v>15548.5</v>
      </c>
      <c r="BE366" s="63" t="inlineStr">
        <is>
          <t>Y</t>
        </is>
      </c>
      <c r="BF366" s="74" t="n">
        <v>10.3</v>
      </c>
      <c r="BG366" s="74" t="n">
        <v>10</v>
      </c>
      <c r="BH366" s="74" t="n">
        <v>6.5</v>
      </c>
      <c r="BI366" s="74" t="n">
        <v>0.5</v>
      </c>
      <c r="BJ366" s="75">
        <f>IF('BBG Verify'!S366="","not filed — run on terminal",'BBG Verify'!S366)</f>
        <v/>
      </c>
      <c r="BK366" s="76" t="inlineStr">
        <is>
          <t>N</t>
        </is>
      </c>
      <c r="BL366" s="77">
        <f>IF('BBG Verify'!K366="","not filed — run on terminal",'BBG Verify'!K366)</f>
        <v/>
      </c>
      <c r="BM366" s="63" t="inlineStr">
        <is>
          <t>N/A</t>
        </is>
      </c>
      <c r="BN366" s="63" t="inlineStr">
        <is>
          <t>N/A</t>
        </is>
      </c>
      <c r="BO366" s="63" t="inlineStr">
        <is>
          <t>N/A</t>
        </is>
      </c>
      <c r="BP366" s="63" t="inlineStr">
        <is>
          <t>N/A</t>
        </is>
      </c>
      <c r="BQ366" s="63" t="inlineStr">
        <is>
          <t>N/A</t>
        </is>
      </c>
      <c r="BR366" s="63" t="inlineStr">
        <is>
          <t>N/A</t>
        </is>
      </c>
      <c r="BS366" s="76" t="inlineStr">
        <is>
          <t>China International Capital Corporation Hong Kong Securities Limited; Huatai Financial Holdings (Hong Kong) Limited; GF Capital (Hong Kong) Limited</t>
        </is>
      </c>
      <c r="BT366" s="63" t="inlineStr">
        <is>
          <t>China International Capital Corporation Hong Kong Securities Limited; Huatai Financial Holdings (Hong Kong) Limited; GF Capital (Hong Kong) Limited</t>
        </is>
      </c>
      <c r="BU366" s="63" t="inlineStr">
        <is>
          <t>China International Capital Corporation Hong Kong Securities Limited; Huatai Financial Holdings (Hong Kong) Limited; GF Securities (Hong Kong) Brokerage Limited; DIRECTORS, SUPERVISORS AND PARTIES INVOLVED IN THE GLOBAL OFFERING CLSA Limited; CLSA Limited; BOCI Asia Limited; CMB International Capital Limited; Futu Securities International (Hong Kong) Limited</t>
        </is>
      </c>
      <c r="BV366" s="63" t="inlineStr">
        <is>
          <t>ABCI Securities Company Limited; BOCI Asia Limited; China International Capital Corporation Hong Kong Securities Limited; CLSA Limited; CMB International Capital Limited; Futu Securities International (Hong Kong) Limited; GF Securities (Hong Kong) Brokerage Limited; Huatai Financial Holdings (Hong Kong) Limited</t>
        </is>
      </c>
      <c r="BW366" s="78">
        <f>HYPERLINK("https://www1.hkexnews.hk/listedco/listconews/sehk/2025/0917/2025091700013.pdf","prospectus")</f>
        <v/>
      </c>
      <c r="BX366" s="78">
        <f>HYPERLINK("https://www1.hkexnews.hk/listedco/listconews/sehk/2025/0924/2025092401262.pdf","allotment")</f>
        <v/>
      </c>
      <c r="BY366" s="78">
        <f>HYPERLINK("https://www1.hkexnews.hk/listedco/listconews/sehk/2025/1022/2025102201148.pdf","stabilisation")</f>
        <v/>
      </c>
      <c r="BZ366" s="76" t="n"/>
      <c r="CA366" s="63" t="inlineStr">
        <is>
          <t>greenshoe: over-allotment outcome already published, and the allotment announcement does not state the stabilisation expiry in a parsable form — the expiry no longer matters once resolved · range low: cap-only pricing — the filing publishes a Maximum Offer Price and no indicative floor · A/H: no A-share listing · grey market: no grey-market headline on file for this deal — AAStocks publishes one per listing but keeps only recent items on the stock's news page, and no public archive of past evening sessions exists; captured from this run onward</t>
        </is>
      </c>
    </row>
    <row r="367" ht="15" customHeight="1">
      <c r="A367" s="62" t="inlineStr">
        <is>
          <t>2583</t>
        </is>
      </c>
      <c r="B367" s="63" t="inlineStr">
        <is>
          <t>HIPINE</t>
        </is>
      </c>
      <c r="C367" s="63" t="inlineStr">
        <is>
          <t>西普尼</t>
        </is>
      </c>
      <c r="D367" s="63" t="inlineStr">
        <is>
          <t>Consumer</t>
        </is>
      </c>
      <c r="E367" s="63" t="inlineStr">
        <is>
          <t>Apparel / luxury</t>
        </is>
      </c>
      <c r="F367" s="63" t="inlineStr">
        <is>
          <t>Watch &amp; Jewellery</t>
        </is>
      </c>
      <c r="G367" s="63" t="inlineStr">
        <is>
          <t>Standard</t>
        </is>
      </c>
      <c r="H367" s="64" t="n">
        <v>45930</v>
      </c>
      <c r="I367" s="65" t="n">
        <v>313.76</v>
      </c>
      <c r="J367" s="63" t="inlineStr">
        <is>
          <t>gross (stated)</t>
        </is>
      </c>
      <c r="K367" s="66" t="n">
        <v>27</v>
      </c>
      <c r="L367" s="66" t="n">
        <v>29.6</v>
      </c>
      <c r="M367" s="66" t="n">
        <v>29.6</v>
      </c>
      <c r="N367" s="63" t="inlineStr">
        <is>
          <t>Y</t>
        </is>
      </c>
      <c r="O367" s="67" t="n">
        <v>100</v>
      </c>
      <c r="P367" s="67" t="n">
        <v>100</v>
      </c>
      <c r="Q367" s="68" t="n">
        <v>1741.2</v>
      </c>
      <c r="R367" s="63" t="inlineStr">
        <is>
          <t>derived:price x shares upon listing</t>
        </is>
      </c>
      <c r="S367" s="69" t="n">
        <v>2505.9</v>
      </c>
      <c r="T367" s="70" t="n">
        <v>3.9</v>
      </c>
      <c r="U367" s="71" t="n"/>
      <c r="V367" s="68" t="n"/>
      <c r="W367" s="68" t="n"/>
      <c r="X367" s="67" t="n"/>
      <c r="Y367" s="63" t="inlineStr">
        <is>
          <t>Ms. Fan; Jinyingu Investment</t>
        </is>
      </c>
      <c r="Z367" s="63" t="inlineStr">
        <is>
          <t>ms-fan;jinyingu</t>
        </is>
      </c>
      <c r="AA367" s="67" t="n"/>
      <c r="AB367" s="72" t="n">
        <v>189.4</v>
      </c>
      <c r="AC367" s="66" t="n">
        <v>85.65000000000001</v>
      </c>
      <c r="AD367" s="72" t="n">
        <v>23.74</v>
      </c>
      <c r="AE367" s="63" t="inlineStr">
        <is>
          <t>Y</t>
        </is>
      </c>
      <c r="AF367" s="63" t="inlineStr">
        <is>
          <t>2025-09-29</t>
        </is>
      </c>
      <c r="AG367" s="63" t="n"/>
      <c r="AH367" s="63" t="n"/>
      <c r="AI367" s="63" t="n"/>
      <c r="AJ367" s="63" t="n"/>
      <c r="AK367" s="73" t="n">
        <v>258.11</v>
      </c>
      <c r="AL367" s="72" t="n">
        <v>183.78</v>
      </c>
      <c r="AM367" s="72" t="n">
        <v>26.19</v>
      </c>
      <c r="AN367" s="72" t="n">
        <v>457.43</v>
      </c>
      <c r="AO367" s="72" t="n">
        <v>456.42</v>
      </c>
      <c r="AP367" s="72" t="n">
        <v>467.23</v>
      </c>
      <c r="AQ367" s="72" t="n">
        <v>55.66</v>
      </c>
      <c r="AR367" s="72" t="n">
        <v>55.38</v>
      </c>
      <c r="AS367" s="72" t="n">
        <v>58.4</v>
      </c>
      <c r="AT367" s="72" t="n">
        <v>456.21</v>
      </c>
      <c r="AU367" s="72" t="n">
        <v>461.42</v>
      </c>
      <c r="AV367" s="72" t="n">
        <v>474.36</v>
      </c>
      <c r="AW367" s="72" t="n">
        <v>61.55</v>
      </c>
      <c r="AX367" s="72" t="n">
        <v>-5</v>
      </c>
      <c r="AY367" s="72" t="n">
        <v>-6.17</v>
      </c>
      <c r="AZ367" s="63" t="inlineStr">
        <is>
          <t>Hang Seng Commerce &amp; Industry sub-index</t>
        </is>
      </c>
      <c r="BA367" s="72" t="n">
        <v>169.26</v>
      </c>
      <c r="BB367" s="64" t="inlineStr">
        <is>
          <t>2026-08-28</t>
        </is>
      </c>
      <c r="BC367" s="65" t="n">
        <v>502.2</v>
      </c>
      <c r="BD367" s="68" t="n">
        <v>54.3</v>
      </c>
      <c r="BE367" s="63" t="inlineStr">
        <is>
          <t>Y</t>
        </is>
      </c>
      <c r="BF367" s="74" t="n">
        <v>32.1</v>
      </c>
      <c r="BG367" s="74" t="n"/>
      <c r="BH367" s="74" t="n">
        <v>25</v>
      </c>
      <c r="BI367" s="74" t="n">
        <v>3.5</v>
      </c>
      <c r="BJ367" s="75">
        <f>IF('BBG Verify'!S367="","not filed — run on terminal",'BBG Verify'!S367)</f>
        <v/>
      </c>
      <c r="BK367" s="76" t="inlineStr">
        <is>
          <t>N</t>
        </is>
      </c>
      <c r="BL367" s="77">
        <f>IF('BBG Verify'!K367="","not filed — run on terminal",'BBG Verify'!K367)</f>
        <v/>
      </c>
      <c r="BM367" s="63" t="inlineStr">
        <is>
          <t>N/A</t>
        </is>
      </c>
      <c r="BN367" s="63" t="inlineStr">
        <is>
          <t>N/A</t>
        </is>
      </c>
      <c r="BO367" s="63" t="inlineStr">
        <is>
          <t>N/A</t>
        </is>
      </c>
      <c r="BP367" s="63" t="inlineStr">
        <is>
          <t>N/A</t>
        </is>
      </c>
      <c r="BQ367" s="63" t="inlineStr">
        <is>
          <t>N/A</t>
        </is>
      </c>
      <c r="BR367" s="63" t="inlineStr">
        <is>
          <t>N/A</t>
        </is>
      </c>
      <c r="BS367" s="76" t="inlineStr">
        <is>
          <t>Ping An of China Capital (Hong Kong) Company Limited</t>
        </is>
      </c>
      <c r="BT367" s="63" t="inlineStr">
        <is>
          <t>Ping An of China Capital (Hong Kong) Company Limited</t>
        </is>
      </c>
      <c r="BU367" s="63" t="inlineStr">
        <is>
          <t>Ping An Securities (Hong Kong) Company Limited; A VICT Global Asset Management Limited; uSMART Securities Limited; ABCI Capital Limited</t>
        </is>
      </c>
      <c r="BV367" s="63" t="inlineStr">
        <is>
          <t>ABCI Securities Company Limited; AVICT Global Asset Management Limited; Ping An Securities (Hong Kong) Company Limited; Patrons Securities Limited; Ruibang Securities Limited</t>
        </is>
      </c>
      <c r="BW367" s="78">
        <f>HYPERLINK("https://www1.hkexnews.hk/listedco/listconews/sehk/2025/0919/2025091900019.pdf","prospectus")</f>
        <v/>
      </c>
      <c r="BX367" s="78">
        <f>HYPERLINK("https://www1.hkexnews.hk/listedco/listconews/sehk/2025/0929/2025092902274.pdf","allotment")</f>
        <v/>
      </c>
      <c r="BY367" s="63" t="n"/>
      <c r="BZ367" s="76" t="n"/>
      <c r="CA367" s="63" t="inlineStr">
        <is>
          <t>greenshoe: no over-allotment option in the offer structure · A/H: no A-share listing · market cap: prospectus 'market capitalisation' line rejected — it is the listing-rule threshold, not the issuer's figure ("d, mid-point and the upper-end, respectively), the expected market capitalization of the Company’s H Shares wo") · cornerstone %: cornerstone aggregate not stated in the filing · greenshoe size: no over-allotment option in the offer structure · stabilising manager: no over-allotment option in the offer structure, so no stabilising manager is appointed · eff free float: not computable as a % of cap — cornerstone % unknown</t>
        </is>
      </c>
    </row>
    <row r="368" ht="15" customHeight="1">
      <c r="A368" s="62" t="inlineStr">
        <is>
          <t>2889</t>
        </is>
      </c>
      <c r="B368" s="63" t="inlineStr">
        <is>
          <t>PATEO</t>
        </is>
      </c>
      <c r="C368" s="63" t="inlineStr">
        <is>
          <t>博泰車聯</t>
        </is>
      </c>
      <c r="D368" s="63" t="inlineStr">
        <is>
          <t>Consumer</t>
        </is>
      </c>
      <c r="E368" s="63" t="inlineStr">
        <is>
          <t>Auto parts / supply chain</t>
        </is>
      </c>
      <c r="F368" s="63" t="inlineStr">
        <is>
          <t>Auto Parts &amp; Equipment</t>
        </is>
      </c>
      <c r="G368" s="63" t="inlineStr">
        <is>
          <t>Standard</t>
        </is>
      </c>
      <c r="H368" s="64" t="n">
        <v>45930</v>
      </c>
      <c r="I368" s="65" t="n">
        <v>1066.96</v>
      </c>
      <c r="J368" s="63" t="inlineStr">
        <is>
          <t>gross (stated)</t>
        </is>
      </c>
      <c r="K368" s="66" t="n"/>
      <c r="L368" s="66" t="n">
        <v>102.23</v>
      </c>
      <c r="M368" s="66" t="n">
        <v>102.23</v>
      </c>
      <c r="N368" s="63" t="inlineStr">
        <is>
          <t>Y</t>
        </is>
      </c>
      <c r="O368" s="67" t="n">
        <v>100</v>
      </c>
      <c r="P368" s="67" t="n"/>
      <c r="Q368" s="68" t="n">
        <v>15334</v>
      </c>
      <c r="R368" s="63" t="inlineStr">
        <is>
          <t>press:sina: 按102.23港元发行价计总市值153.34亿</t>
        </is>
      </c>
      <c r="S368" s="69" t="n">
        <v>529.79</v>
      </c>
      <c r="T368" s="70" t="n">
        <v>3.72</v>
      </c>
      <c r="U368" s="71" t="n">
        <v>22.8</v>
      </c>
      <c r="V368" s="68" t="n">
        <v>823.6900000000001</v>
      </c>
      <c r="W368" s="68" t="n">
        <v>8057287</v>
      </c>
      <c r="X368" s="67" t="n">
        <v>5.37</v>
      </c>
      <c r="Y368" s="63" t="n"/>
      <c r="Z368" s="63" t="n"/>
      <c r="AA368" s="67" t="n"/>
      <c r="AB368" s="72" t="n"/>
      <c r="AC368" s="66" t="n"/>
      <c r="AD368" s="72" t="n"/>
      <c r="AE368" s="63" t="n"/>
      <c r="AF368" s="63" t="n"/>
      <c r="AG368" s="63" t="n"/>
      <c r="AH368" s="63" t="n"/>
      <c r="AI368" s="63" t="inlineStr">
        <is>
          <t>China International Capital Corporation Hong Kong Securities Limited</t>
        </is>
      </c>
      <c r="AJ368" s="63" t="inlineStr">
        <is>
          <t>China International</t>
        </is>
      </c>
      <c r="AK368" s="73" t="n">
        <v>53.58</v>
      </c>
      <c r="AL368" s="72" t="n">
        <v>32.06</v>
      </c>
      <c r="AM368" s="72" t="n">
        <v>16.3</v>
      </c>
      <c r="AN368" s="72" t="n">
        <v>98.95999999999999</v>
      </c>
      <c r="AO368" s="72" t="n">
        <v>68.05</v>
      </c>
      <c r="AP368" s="72" t="n">
        <v>110.51</v>
      </c>
      <c r="AQ368" s="72" t="n">
        <v>29.55</v>
      </c>
      <c r="AR368" s="72" t="n">
        <v>9.42</v>
      </c>
      <c r="AS368" s="72" t="n">
        <v>37.07</v>
      </c>
      <c r="AT368" s="72" t="n">
        <v>97.73999999999999</v>
      </c>
      <c r="AU368" s="72" t="n">
        <v>73.05</v>
      </c>
      <c r="AV368" s="72" t="n">
        <v>117.64</v>
      </c>
      <c r="AW368" s="72" t="n">
        <v>15.59</v>
      </c>
      <c r="AX368" s="72" t="n">
        <v>-5</v>
      </c>
      <c r="AY368" s="72" t="n">
        <v>-6.17</v>
      </c>
      <c r="AZ368" s="63" t="inlineStr">
        <is>
          <t>Hang Seng Commerce &amp; Industry sub-index</t>
        </is>
      </c>
      <c r="BA368" s="72" t="n">
        <v>56.61</v>
      </c>
      <c r="BB368" s="64" t="inlineStr">
        <is>
          <t>2026-08-28</t>
        </is>
      </c>
      <c r="BC368" s="65" t="n">
        <v>2812.7</v>
      </c>
      <c r="BD368" s="68" t="n">
        <v>-595.4</v>
      </c>
      <c r="BE368" s="63" t="inlineStr">
        <is>
          <t>N</t>
        </is>
      </c>
      <c r="BF368" s="63" t="inlineStr">
        <is>
          <t>n/m</t>
        </is>
      </c>
      <c r="BG368" s="74" t="n"/>
      <c r="BH368" s="74" t="n"/>
      <c r="BI368" s="74" t="n">
        <v>5.5</v>
      </c>
      <c r="BJ368" s="75">
        <f>IF('BBG Verify'!S368="","not filed — run on terminal",'BBG Verify'!S368)</f>
        <v/>
      </c>
      <c r="BK368" s="76" t="inlineStr">
        <is>
          <t>N</t>
        </is>
      </c>
      <c r="BL368" s="77">
        <f>IF('BBG Verify'!K368="","not filed — run on terminal",'BBG Verify'!K368)</f>
        <v/>
      </c>
      <c r="BM368" s="63" t="inlineStr">
        <is>
          <t>N/A</t>
        </is>
      </c>
      <c r="BN368" s="63" t="inlineStr">
        <is>
          <t>N/A</t>
        </is>
      </c>
      <c r="BO368" s="63" t="inlineStr">
        <is>
          <t>N/A</t>
        </is>
      </c>
      <c r="BP368" s="63" t="inlineStr">
        <is>
          <t>N/A</t>
        </is>
      </c>
      <c r="BQ368" s="63" t="inlineStr">
        <is>
          <t>N/A</t>
        </is>
      </c>
      <c r="BR368" s="63" t="inlineStr">
        <is>
          <t>N/A</t>
        </is>
      </c>
      <c r="BS368" s="76" t="n"/>
      <c r="BT368" s="63" t="inlineStr">
        <is>
          <t>China International Capital Corporation Hong Kong Securities Limited; Huatai Financial Holdings (Hong Kong) Limited; CITIC Securities (Hong Kong) Limited; Guotai Junan Capital Limited; CMB International Capital Limited</t>
        </is>
      </c>
      <c r="BU368" s="63" t="inlineStr">
        <is>
          <t>ABCI Securities Company Limited; BOCI Asia Limited; China International Capital Corporation Hong Kong Securities Limited; CLSA Limited; CMB International Capital Limited; Guotai Junan Securities (Hong Kong) Limited</t>
        </is>
      </c>
      <c r="BV368" s="63" t="inlineStr">
        <is>
          <t>ABCI Securities Company Limited; BOCI Asia Limited; China International Capital Corporation Hong Kong Securities Limited; CLSA Limited; CMB International Capital Limited; Guotai Junan Securities (Hong Kong) Limited; Huatai Financial Holdings (Hong Kong) Limited; Livermore Holdings Limited; Tiger Brokers (HK) Global Limited</t>
        </is>
      </c>
      <c r="BW368" s="63" t="n"/>
      <c r="BX368" s="78">
        <f>HYPERLINK("https://www1.hkexnews.hk/listedco/listconews/sehk/2025/0929/2025092903622.pdf","allotment")</f>
        <v/>
      </c>
      <c r="BY368" s="63" t="n"/>
      <c r="BZ368" s="76" t="n"/>
      <c r="CA368" s="63" t="inlineStr">
        <is>
          <t>P/E: n/m — loss-making at IPO (use P/S) · greenshoe: no over-allotment option in the offer structure · price range: fixed-price offering (no indicative range) · range low: cap-only pricing — the filing publishes a Maximum Offer Price and no indicative floor · A/H: no A-share listing · sponsor: English name not in the filing text; AAStocks 保薦人 shown · cornerstone list: tranche parsed (22.8% locked) but the per-investor table did not machine-parse — names are in the prospectus Cornerstone section (link on this row) · greenshoe size: no over-allotment option in the offer structure · filing links: no prospectus document returned by the HKEX per-stock search for this code — the allotment announcement is linked beside it · grey market: no grey-market headline on file for this deal — AAStocks publishes one per listing but keeps only recent items on the stock's news page, and no public archive of past evening sessions exists; captured from this run onward</t>
        </is>
      </c>
    </row>
    <row r="369" ht="15" customHeight="1">
      <c r="A369" s="62" t="inlineStr">
        <is>
          <t>2259</t>
        </is>
      </c>
      <c r="B369" s="63" t="inlineStr">
        <is>
          <t>ZIJIN GOLD INTL</t>
        </is>
      </c>
      <c r="C369" s="63" t="inlineStr">
        <is>
          <t>紫金黃金國際</t>
        </is>
      </c>
      <c r="D369" s="63" t="inlineStr">
        <is>
          <t>Materials/Energy</t>
        </is>
      </c>
      <c r="E369" s="63" t="inlineStr">
        <is>
          <t>Mining / metals</t>
        </is>
      </c>
      <c r="F369" s="63" t="inlineStr">
        <is>
          <t>Gold &amp; Precious Metals</t>
        </is>
      </c>
      <c r="G369" s="63" t="inlineStr">
        <is>
          <t>Standard</t>
        </is>
      </c>
      <c r="H369" s="64" t="n">
        <v>45930</v>
      </c>
      <c r="I369" s="65" t="n">
        <v>24984.2</v>
      </c>
      <c r="J369" s="63" t="inlineStr">
        <is>
          <t>gross (stated)</t>
        </is>
      </c>
      <c r="K369" s="66" t="n"/>
      <c r="L369" s="66" t="n">
        <v>71.59</v>
      </c>
      <c r="M369" s="66" t="n">
        <v>71.59</v>
      </c>
      <c r="N369" s="63" t="inlineStr">
        <is>
          <t>Y</t>
        </is>
      </c>
      <c r="O369" s="67" t="n">
        <v>100</v>
      </c>
      <c r="P369" s="67" t="n"/>
      <c r="Q369" s="68" t="n">
        <v>187900</v>
      </c>
      <c r="R369" s="63" t="inlineStr">
        <is>
          <t>prospectus:stated market capitalisation</t>
        </is>
      </c>
      <c r="S369" s="69" t="n">
        <v>240.74</v>
      </c>
      <c r="T369" s="70" t="n">
        <v>20.38</v>
      </c>
      <c r="U369" s="71" t="n">
        <v>1.6</v>
      </c>
      <c r="V369" s="68" t="n">
        <v>24584.45</v>
      </c>
      <c r="W369" s="68" t="n">
        <v>343406849</v>
      </c>
      <c r="X369" s="67" t="n">
        <v>13.08</v>
      </c>
      <c r="Y369" s="63" t="inlineStr">
        <is>
          <t>UBS AM Singapore</t>
        </is>
      </c>
      <c r="Z369" s="63" t="inlineStr">
        <is>
          <t>ubs</t>
        </is>
      </c>
      <c r="AA369" s="67" t="n">
        <v>5</v>
      </c>
      <c r="AB369" s="72" t="n"/>
      <c r="AC369" s="66" t="n"/>
      <c r="AD369" s="72" t="n"/>
      <c r="AE369" s="63" t="n"/>
      <c r="AF369" s="63" t="n"/>
      <c r="AG369" s="63" t="n"/>
      <c r="AH369" s="63" t="n"/>
      <c r="AI369" s="63" t="inlineStr">
        <is>
          <t>Morgan Stanley Asia Limited</t>
        </is>
      </c>
      <c r="AJ369" s="63" t="inlineStr">
        <is>
          <t>Morgan Stanley</t>
        </is>
      </c>
      <c r="AK369" s="73" t="n">
        <v>68.45999999999999</v>
      </c>
      <c r="AL369" s="72" t="n">
        <v>55.75</v>
      </c>
      <c r="AM369" s="72" t="n">
        <v>8.16</v>
      </c>
      <c r="AN369" s="72" t="n">
        <v>97.37</v>
      </c>
      <c r="AO369" s="72" t="n">
        <v>81.45</v>
      </c>
      <c r="AP369" s="72" t="n">
        <v>100.73</v>
      </c>
      <c r="AQ369" s="72" t="n">
        <v>17.16</v>
      </c>
      <c r="AR369" s="72" t="n">
        <v>7.71</v>
      </c>
      <c r="AS369" s="72" t="n">
        <v>19.16</v>
      </c>
      <c r="AT369" s="72" t="n">
        <v>96.15000000000001</v>
      </c>
      <c r="AU369" s="72" t="n">
        <v>86.45</v>
      </c>
      <c r="AV369" s="72" t="n">
        <v>107.86</v>
      </c>
      <c r="AW369" s="72" t="n">
        <v>13.88</v>
      </c>
      <c r="AX369" s="72" t="n">
        <v>-5</v>
      </c>
      <c r="AY369" s="72" t="n">
        <v>-6.17</v>
      </c>
      <c r="AZ369" s="63" t="inlineStr">
        <is>
          <t>Hang Seng Commerce &amp; Industry sub-index</t>
        </is>
      </c>
      <c r="BA369" s="72" t="n">
        <v>125.17</v>
      </c>
      <c r="BB369" s="64" t="inlineStr">
        <is>
          <t>2026-08-28</t>
        </is>
      </c>
      <c r="BC369" s="65" t="n">
        <v>23293</v>
      </c>
      <c r="BD369" s="68" t="n">
        <v>4840.7</v>
      </c>
      <c r="BE369" s="63" t="inlineStr">
        <is>
          <t>Y</t>
        </is>
      </c>
      <c r="BF369" s="74" t="n">
        <v>38.8</v>
      </c>
      <c r="BG369" s="74" t="n">
        <v>21.6</v>
      </c>
      <c r="BH369" s="74" t="n">
        <v>14.3</v>
      </c>
      <c r="BI369" s="74" t="n">
        <v>8.1</v>
      </c>
      <c r="BJ369" s="75">
        <f>IF('BBG Verify'!S369="","not filed — run on terminal",'BBG Verify'!S369)</f>
        <v/>
      </c>
      <c r="BK369" s="76" t="inlineStr">
        <is>
          <t>N</t>
        </is>
      </c>
      <c r="BL369" s="77">
        <f>IF('BBG Verify'!K369="","not filed — run on terminal",'BBG Verify'!K369)</f>
        <v/>
      </c>
      <c r="BM369" s="63" t="inlineStr">
        <is>
          <t>N/A</t>
        </is>
      </c>
      <c r="BN369" s="63" t="inlineStr">
        <is>
          <t>N/A</t>
        </is>
      </c>
      <c r="BO369" s="63" t="inlineStr">
        <is>
          <t>N/A</t>
        </is>
      </c>
      <c r="BP369" s="63" t="inlineStr">
        <is>
          <t>N/A</t>
        </is>
      </c>
      <c r="BQ369" s="63" t="inlineStr">
        <is>
          <t>N/A</t>
        </is>
      </c>
      <c r="BR369" s="63" t="inlineStr">
        <is>
          <t>N/A</t>
        </is>
      </c>
      <c r="BS369" s="76" t="inlineStr">
        <is>
          <t>Morgan Stanley Asia Limited; CITIC Securities (Hong Kong) Limited</t>
        </is>
      </c>
      <c r="BT369" s="63" t="inlineStr">
        <is>
          <t>Morgan Stanley Asia Limited; CITIC Securities (Hong Kong) Limited</t>
        </is>
      </c>
      <c r="BU369" s="63" t="inlineStr">
        <is>
          <t>Morgan Stanley &amp; Co. International plc; Canary Wharf London E14 4QA United Kingdom CLSA Limited; GF Securities (Hong Kong) Brokerage Limited; Huatai Financial Holdings (Hong Kong) Limited</t>
        </is>
      </c>
      <c r="BV369" s="63" t="inlineStr">
        <is>
          <t>China Industrial Securities International Capital Limited; CLSA Limited; GF Securities (Hong Kong) Brokerage Limited; Huatai Financial Holdings (Hong Kong) Limited; Macquarie Capital Limited; Morgan Stanley Asia Limited</t>
        </is>
      </c>
      <c r="BW369" s="78">
        <f>HYPERLINK("https://www1.hkexnews.hk/listedco/listconews/sehk/2025/0919/2025091900073.pdf","prospectus")</f>
        <v/>
      </c>
      <c r="BX369" s="78">
        <f>HYPERLINK("https://www1.hkexnews.hk/listedco/listconews/sehk/2025/0929/2025092903788.pdf","allotment")</f>
        <v/>
      </c>
      <c r="BY369" s="78">
        <f>HYPERLINK("https://www1.hkexnews.hk/listedco/listconews/sehk/2025/1026/2025102600001.pdf","stabilisation")</f>
        <v/>
      </c>
      <c r="BZ369" s="76" t="n"/>
      <c r="CA369" s="63" t="inlineStr">
        <is>
          <t>greenshoe: end-of-stabilisation notice not located · range low: cap-only pricing — the filing publishes a Maximum Offer Price and no indicative floor · A/H: no A-share listing · grey market: no grey-market headline on file for this deal — AAStocks publishes one per listing but keeps only recent items on the stock's news page, and no public archive of past evening sessions exists; captured from this run onward · stabilisation notice: notice located and linked; its outcome wording is not one of the recognised forms, so the over-allotment result is left blank rather than guessed</t>
        </is>
      </c>
    </row>
    <row r="370" ht="15" customHeight="1">
      <c r="A370" s="62" t="inlineStr">
        <is>
          <t>2652</t>
        </is>
      </c>
      <c r="B370" s="63" t="inlineStr">
        <is>
          <t>CF PHARMTECH</t>
        </is>
      </c>
      <c r="C370" s="63" t="inlineStr">
        <is>
          <t>長風藥業</t>
        </is>
      </c>
      <c r="D370" s="63" t="inlineStr">
        <is>
          <t>Healthcare</t>
        </is>
      </c>
      <c r="E370" s="63" t="inlineStr">
        <is>
          <t>Biopharma commercial</t>
        </is>
      </c>
      <c r="F370" s="63" t="inlineStr">
        <is>
          <t>Pharmaceuticals</t>
        </is>
      </c>
      <c r="G370" s="63" t="inlineStr">
        <is>
          <t>Standard</t>
        </is>
      </c>
      <c r="H370" s="64" t="n">
        <v>45938</v>
      </c>
      <c r="I370" s="65" t="n">
        <v>607.7</v>
      </c>
      <c r="J370" s="63" t="inlineStr">
        <is>
          <t>gross (price x shares)</t>
        </is>
      </c>
      <c r="K370" s="66" t="n"/>
      <c r="L370" s="66" t="n">
        <v>14.75</v>
      </c>
      <c r="M370" s="66" t="n">
        <v>14.75</v>
      </c>
      <c r="N370" s="63" t="inlineStr">
        <is>
          <t>Y</t>
        </is>
      </c>
      <c r="O370" s="67" t="n">
        <v>100</v>
      </c>
      <c r="P370" s="67" t="n"/>
      <c r="Q370" s="68" t="n">
        <v>6076.7</v>
      </c>
      <c r="R370" s="63" t="inlineStr">
        <is>
          <t>derived:price x shares upon listing</t>
        </is>
      </c>
      <c r="S370" s="69" t="n">
        <v>6697.8</v>
      </c>
      <c r="T370" s="70" t="n">
        <v>12.74</v>
      </c>
      <c r="U370" s="71" t="n"/>
      <c r="V370" s="68" t="n"/>
      <c r="W370" s="68" t="n"/>
      <c r="X370" s="67" t="n"/>
      <c r="Y370" s="63" t="inlineStr">
        <is>
          <t>Shanghai Yangtze River Delta Industry Upgrade Equity Investment</t>
        </is>
      </c>
      <c r="Z370" s="63" t="inlineStr">
        <is>
          <t>shanghai-yangtze</t>
        </is>
      </c>
      <c r="AA370" s="67" t="n"/>
      <c r="AB370" s="72" t="n"/>
      <c r="AC370" s="66" t="n"/>
      <c r="AD370" s="72" t="n"/>
      <c r="AE370" s="63" t="n"/>
      <c r="AF370" s="63" t="n"/>
      <c r="AG370" s="63" t="n"/>
      <c r="AH370" s="63" t="n"/>
      <c r="AI370" s="63" t="n"/>
      <c r="AJ370" s="63" t="n"/>
      <c r="AK370" s="73" t="n">
        <v>161.02</v>
      </c>
      <c r="AL370" s="72" t="n">
        <v>218.64</v>
      </c>
      <c r="AM370" s="72" t="n">
        <v>-18.08</v>
      </c>
      <c r="AN370" s="72" t="n">
        <v>94.58</v>
      </c>
      <c r="AO370" s="72" t="n">
        <v>89.83</v>
      </c>
      <c r="AP370" s="72" t="n">
        <v>112.88</v>
      </c>
      <c r="AQ370" s="72" t="n">
        <v>-25.45</v>
      </c>
      <c r="AR370" s="72" t="n">
        <v>-27.27</v>
      </c>
      <c r="AS370" s="72" t="n">
        <v>-18.44</v>
      </c>
      <c r="AT370" s="72" t="n">
        <v>103.84</v>
      </c>
      <c r="AU370" s="72" t="n">
        <v>102.26</v>
      </c>
      <c r="AV370" s="72" t="n">
        <v>122.87</v>
      </c>
      <c r="AW370" s="72" t="n">
        <v>-13.89</v>
      </c>
      <c r="AX370" s="72" t="n">
        <v>-12.43</v>
      </c>
      <c r="AY370" s="72" t="n">
        <v>-13.38</v>
      </c>
      <c r="AZ370" s="63" t="inlineStr">
        <is>
          <t>China Biotech ETF (HS biotech proxy)</t>
        </is>
      </c>
      <c r="BA370" s="72" t="n">
        <v>-1.63</v>
      </c>
      <c r="BB370" s="64" t="inlineStr">
        <is>
          <t>2026-08-28</t>
        </is>
      </c>
      <c r="BC370" s="65" t="n">
        <v>668.5</v>
      </c>
      <c r="BD370" s="68" t="n"/>
      <c r="BE370" s="63" t="inlineStr">
        <is>
          <t>Y</t>
        </is>
      </c>
      <c r="BF370" s="75">
        <f>IF('BBG Verify'!O370="","not filed — run on terminal",'BBG Verify'!O370)</f>
        <v/>
      </c>
      <c r="BG370" s="74" t="n"/>
      <c r="BH370" s="74" t="n"/>
      <c r="BI370" s="74" t="n">
        <v>9.1</v>
      </c>
      <c r="BJ370" s="75">
        <f>IF('BBG Verify'!S370="","not filed — run on terminal",'BBG Verify'!S370)</f>
        <v/>
      </c>
      <c r="BK370" s="76" t="inlineStr">
        <is>
          <t>N</t>
        </is>
      </c>
      <c r="BL370" s="77">
        <f>IF('BBG Verify'!K370="","not filed — run on terminal",'BBG Verify'!K370)</f>
        <v/>
      </c>
      <c r="BM370" s="63" t="inlineStr">
        <is>
          <t>N/A</t>
        </is>
      </c>
      <c r="BN370" s="63" t="inlineStr">
        <is>
          <t>N/A</t>
        </is>
      </c>
      <c r="BO370" s="63" t="inlineStr">
        <is>
          <t>N/A</t>
        </is>
      </c>
      <c r="BP370" s="63" t="inlineStr">
        <is>
          <t>N/A</t>
        </is>
      </c>
      <c r="BQ370" s="63" t="inlineStr">
        <is>
          <t>N/A</t>
        </is>
      </c>
      <c r="BR370" s="63" t="inlineStr">
        <is>
          <t>N/A</t>
        </is>
      </c>
      <c r="BS370" s="76" t="inlineStr">
        <is>
          <t>CITIC Securities (Hong Kong) Limited; CMB International Capital Limited</t>
        </is>
      </c>
      <c r="BT370" s="63" t="inlineStr">
        <is>
          <t>CITIC Securities (Hong Kong) Limited</t>
        </is>
      </c>
      <c r="BU370" s="63" t="inlineStr">
        <is>
          <t>CLSA Limited; CMB International Capital Limited; CCB International Capital Limited; Shenwan Hongyuan Securities (H.K.) Limited; SPDB International Capital Limited; SDICS International Securities (Hong Kong) Limited; ICBC International Securities Limited; Central China International Securities Co., Limited; BOCOM International Securities Limited; Guosen Securities (HK) Brokerage Company, Limited</t>
        </is>
      </c>
      <c r="BV370" s="63" t="inlineStr">
        <is>
          <t>ABCI Securities Company Limited; BOCOM International Securities Limited; CCB International Capital Limited; Central China International Securities Co., Limited; CLSA Limited; CMB International Capital Limited; Guosen Securities (HK) Brokerage Company, Limited; ICBC International Securities Limited; SDICS International Securities (Hong Kong) Limited; Shenwan Hongyuan Securities (H.K.) Limited; SPDB International Capital Limited; Soochow Securities International Brokerage Limited</t>
        </is>
      </c>
      <c r="BW370" s="78">
        <f>HYPERLINK("https://www1.hkexnews.hk/listedco/listconews/sehk/2025/0926/2025092600041.pdf","prospectus")</f>
        <v/>
      </c>
      <c r="BX370" s="78">
        <f>HYPERLINK("https://www1.hkexnews.hk/listedco/listconews/sehk/2025/1006/2025100601430.pdf","allotment")</f>
        <v/>
      </c>
      <c r="BY370" s="63" t="n"/>
      <c r="BZ370" s="76" t="n"/>
      <c r="CA370" s="63" t="inlineStr">
        <is>
          <t>P/E: withheld — mktcap / net income gives 1,558x, which fails the 300x plausibility check; the extracted net income (HK$3.9m) is not trustworthy · greenshoe: no over-allotment option in the offer structure · range low: cap-only pricing — the filing publishes a Maximum Offer Price and no indicative floor · A/H: no A-share listing · cornerstone %: cornerstone aggregate not stated in the filing · greenshoe size: no over-allotment option in the offer structure · stabilising manager: no over-allotment option in the offer structure, so no stabilising manager is appointed · financials: financial tables not machine-extractable and the pre-IPO year is outside AAStocks' 5-year window · grey market: no grey-market headline on file for this deal — AAStocks publishes one per listing but keeps only recent items on the stock's news page, and no public archive of past evening sessions exists; captured from this run onward · eff free float: not computable as a % of cap — cornerstone % unknown</t>
        </is>
      </c>
    </row>
    <row r="371" ht="15" customHeight="1">
      <c r="A371" s="62" t="inlineStr">
        <is>
          <t>2650</t>
        </is>
      </c>
      <c r="B371" s="63" t="inlineStr">
        <is>
          <t>ZHIDA TECH</t>
        </is>
      </c>
      <c r="C371" s="63" t="inlineStr">
        <is>
          <t>摯達科技</t>
        </is>
      </c>
      <c r="D371" s="63" t="inlineStr">
        <is>
          <t>Consumer</t>
        </is>
      </c>
      <c r="E371" s="63" t="inlineStr">
        <is>
          <t>Auto parts / supply chain</t>
        </is>
      </c>
      <c r="F371" s="63" t="inlineStr">
        <is>
          <t>Auto Parts &amp; Equipment</t>
        </is>
      </c>
      <c r="G371" s="63" t="inlineStr">
        <is>
          <t>Standard</t>
        </is>
      </c>
      <c r="H371" s="64" t="n">
        <v>45940</v>
      </c>
      <c r="I371" s="65" t="n">
        <v>400.12</v>
      </c>
      <c r="J371" s="63" t="inlineStr">
        <is>
          <t>gross (stated)</t>
        </is>
      </c>
      <c r="K371" s="66" t="n">
        <v>66.92</v>
      </c>
      <c r="L371" s="66" t="n">
        <v>83.63</v>
      </c>
      <c r="M371" s="66" t="n">
        <v>66.92</v>
      </c>
      <c r="N371" s="63" t="inlineStr">
        <is>
          <t>N</t>
        </is>
      </c>
      <c r="O371" s="67" t="n">
        <v>80</v>
      </c>
      <c r="P371" s="67" t="n">
        <v>0</v>
      </c>
      <c r="Q371" s="68" t="n">
        <v>4001.1</v>
      </c>
      <c r="R371" s="63" t="inlineStr">
        <is>
          <t>derived:price x shares upon listing</t>
        </is>
      </c>
      <c r="S371" s="69" t="n">
        <v>5440.8</v>
      </c>
      <c r="T371" s="70" t="n">
        <v>2.37</v>
      </c>
      <c r="U371" s="71" t="n">
        <v>0</v>
      </c>
      <c r="V371" s="68" t="n">
        <v>400.12</v>
      </c>
      <c r="W371" s="68" t="n">
        <v>5978900</v>
      </c>
      <c r="X371" s="67" t="n">
        <v>10</v>
      </c>
      <c r="Y371" s="63" t="n"/>
      <c r="Z371" s="63" t="n"/>
      <c r="AA371" s="67" t="n">
        <v>11.33</v>
      </c>
      <c r="AB371" s="72" t="n">
        <v>181.4</v>
      </c>
      <c r="AC371" s="66" t="n">
        <v>188.3</v>
      </c>
      <c r="AD371" s="72" t="n">
        <v>3.82</v>
      </c>
      <c r="AE371" s="63" t="inlineStr">
        <is>
          <t>Y</t>
        </is>
      </c>
      <c r="AF371" s="63" t="inlineStr">
        <is>
          <t>2025-10-09</t>
        </is>
      </c>
      <c r="AG371" s="63" t="inlineStr">
        <is>
          <t>lapsed</t>
        </is>
      </c>
      <c r="AH371" s="63" t="inlineStr">
        <is>
          <t>2025-11-05</t>
        </is>
      </c>
      <c r="AI371" s="63" t="inlineStr">
        <is>
          <t>Shenwan Hongyuan Securities</t>
        </is>
      </c>
      <c r="AJ371" s="63" t="inlineStr">
        <is>
          <t>Shenwan Hongyuan</t>
        </is>
      </c>
      <c r="AK371" s="73" t="n">
        <v>192.14</v>
      </c>
      <c r="AL371" s="72" t="n">
        <v>183.92</v>
      </c>
      <c r="AM371" s="72" t="n">
        <v>2.9</v>
      </c>
      <c r="AN371" s="72" t="n">
        <v>171.22</v>
      </c>
      <c r="AO371" s="72" t="n">
        <v>167.04</v>
      </c>
      <c r="AP371" s="72" t="n">
        <v>258.64</v>
      </c>
      <c r="AQ371" s="72" t="n">
        <v>-7.16</v>
      </c>
      <c r="AR371" s="72" t="n">
        <v>-8.59</v>
      </c>
      <c r="AS371" s="72" t="n">
        <v>22.76</v>
      </c>
      <c r="AT371" s="72" t="n">
        <v>179.37</v>
      </c>
      <c r="AU371" s="72" t="n">
        <v>172.3</v>
      </c>
      <c r="AV371" s="72" t="n">
        <v>265.13</v>
      </c>
      <c r="AW371" s="72" t="n">
        <v>-5.91</v>
      </c>
      <c r="AX371" s="72" t="n">
        <v>-5.26</v>
      </c>
      <c r="AY371" s="72" t="n">
        <v>-2.68</v>
      </c>
      <c r="AZ371" s="63" t="inlineStr">
        <is>
          <t>Hang Seng Commerce &amp; Industry sub-index</t>
        </is>
      </c>
      <c r="BA371" s="72" t="n">
        <v>-33.28</v>
      </c>
      <c r="BB371" s="64" t="inlineStr">
        <is>
          <t>2026-08-31</t>
        </is>
      </c>
      <c r="BC371" s="65" t="n">
        <v>652.7</v>
      </c>
      <c r="BD371" s="68" t="n">
        <v>-259.5</v>
      </c>
      <c r="BE371" s="63" t="inlineStr">
        <is>
          <t>N</t>
        </is>
      </c>
      <c r="BF371" s="63" t="inlineStr">
        <is>
          <t>n/m</t>
        </is>
      </c>
      <c r="BG371" s="74" t="n"/>
      <c r="BH371" s="74" t="n"/>
      <c r="BI371" s="74" t="n">
        <v>6.1</v>
      </c>
      <c r="BJ371" s="75">
        <f>IF('BBG Verify'!S371="","not filed — run on terminal",'BBG Verify'!S371)</f>
        <v/>
      </c>
      <c r="BK371" s="76" t="inlineStr">
        <is>
          <t>N</t>
        </is>
      </c>
      <c r="BL371" s="77">
        <f>IF('BBG Verify'!K371="","not filed — run on terminal",'BBG Verify'!K371)</f>
        <v/>
      </c>
      <c r="BM371" s="63" t="inlineStr">
        <is>
          <t>N/A</t>
        </is>
      </c>
      <c r="BN371" s="63" t="inlineStr">
        <is>
          <t>N/A</t>
        </is>
      </c>
      <c r="BO371" s="63" t="inlineStr">
        <is>
          <t>N/A</t>
        </is>
      </c>
      <c r="BP371" s="63" t="inlineStr">
        <is>
          <t>N/A</t>
        </is>
      </c>
      <c r="BQ371" s="63" t="inlineStr">
        <is>
          <t>N/A</t>
        </is>
      </c>
      <c r="BR371" s="63" t="inlineStr">
        <is>
          <t>N/A</t>
        </is>
      </c>
      <c r="BS371" s="76" t="inlineStr">
        <is>
          <t>Shenwan Hongyuan Capital (H.K.) Limited</t>
        </is>
      </c>
      <c r="BT371" s="63" t="inlineStr">
        <is>
          <t>Shenwan Hongyuan Capital (H.K.) Limited</t>
        </is>
      </c>
      <c r="BU371" s="63" t="inlineStr">
        <is>
          <t>Shenwan Hongyuan Securities (H.K.) Limited; BOCOM International Securities Limited; First Shanghai Securities Limited; China Industrial Securities International Capital Limited; Livermore Holdings Limited; SPDB International Capital Limited</t>
        </is>
      </c>
      <c r="BV371" s="63" t="inlineStr">
        <is>
          <t>BOCOM International Securities Limited; China Industrial Securities International Capital Limited; First Shanghai Securities Limited; Livermore Holdings Limited; Shenwan Hongyuan Securities (H.K.) Limited; SPDB International Capital Limited; West Bull Securities Limited; Yuen Meta (International) Securities Limited; Yellow River Securities Limited</t>
        </is>
      </c>
      <c r="BW371" s="78">
        <f>HYPERLINK("https://www1.hkexnews.hk/listedco/listconews/sehk/2025/0930/2025093000033.pdf","prospectus")</f>
        <v/>
      </c>
      <c r="BX371" s="78">
        <f>HYPERLINK("https://www1.hkexnews.hk/listedco/listconews/sehk/2025/1009/2025100901252.pdf","allotment")</f>
        <v/>
      </c>
      <c r="BY371" s="78">
        <f>HYPERLINK("https://www1.hkexnews.hk/listedco/listconews/sehk/2025/1105/2025110500584.pdf","stabilisation")</f>
        <v/>
      </c>
      <c r="BZ371" s="76" t="n"/>
      <c r="CA371" s="63" t="inlineStr">
        <is>
          <t>P/E: n/m — loss-making at IPO (use P/S) · A/H: no A-share listing · market cap: prospectus 'market capitalisation' line rejected — it is the listing-rule threshold, not the issuer's figure ("e upper-end of the Offer Price, respectively), the expected market capitalization of the Company’s H Shares wo") · cornerstone list: no cornerstone tranche in this deal</t>
        </is>
      </c>
    </row>
    <row r="372" ht="15" customHeight="1">
      <c r="A372" s="62" t="inlineStr">
        <is>
          <t>2575</t>
        </is>
      </c>
      <c r="B372" s="63" t="inlineStr">
        <is>
          <t>XUANZHUBIO-B</t>
        </is>
      </c>
      <c r="C372" s="63" t="inlineStr">
        <is>
          <t>軒竹生物－Ｂ</t>
        </is>
      </c>
      <c r="D372" s="63" t="inlineStr">
        <is>
          <t>Healthcare</t>
        </is>
      </c>
      <c r="E372" s="63" t="inlineStr">
        <is>
          <t>Biotech pre-revenue (18A)</t>
        </is>
      </c>
      <c r="F372" s="63" t="inlineStr">
        <is>
          <t>Biotechnology - Pharmaceuticals</t>
        </is>
      </c>
      <c r="G372" s="63" t="inlineStr">
        <is>
          <t>18A</t>
        </is>
      </c>
      <c r="H372" s="64" t="n">
        <v>45945</v>
      </c>
      <c r="I372" s="65" t="n">
        <v>781.1</v>
      </c>
      <c r="J372" s="63" t="inlineStr">
        <is>
          <t>gross (stated)</t>
        </is>
      </c>
      <c r="K372" s="66" t="n"/>
      <c r="L372" s="66" t="n">
        <v>11.6</v>
      </c>
      <c r="M372" s="66" t="n">
        <v>11.6</v>
      </c>
      <c r="N372" s="63" t="inlineStr">
        <is>
          <t>Y</t>
        </is>
      </c>
      <c r="O372" s="67" t="n">
        <v>100</v>
      </c>
      <c r="P372" s="67" t="n"/>
      <c r="Q372" s="68" t="n">
        <v>6008.2</v>
      </c>
      <c r="R372" s="63" t="inlineStr">
        <is>
          <t>derived:price x shares upon listing</t>
        </is>
      </c>
      <c r="S372" s="69" t="n">
        <v>4908.33</v>
      </c>
      <c r="T372" s="70" t="n">
        <v>10.15</v>
      </c>
      <c r="U372" s="71" t="n">
        <v>78</v>
      </c>
      <c r="V372" s="68" t="n">
        <v>171.84</v>
      </c>
      <c r="W372" s="68" t="n">
        <v>14813370</v>
      </c>
      <c r="X372" s="67" t="n">
        <v>2.86</v>
      </c>
      <c r="Y372" s="63" t="inlineStr">
        <is>
          <t>Xu Yanjun; Li Jia Kui</t>
        </is>
      </c>
      <c r="Z372" s="63" t="inlineStr">
        <is>
          <t>xu-yanjun;li-jia</t>
        </is>
      </c>
      <c r="AA372" s="67" t="n">
        <v>15</v>
      </c>
      <c r="AB372" s="72" t="n"/>
      <c r="AC372" s="66" t="n"/>
      <c r="AD372" s="72" t="n"/>
      <c r="AE372" s="63" t="n"/>
      <c r="AF372" s="63" t="n"/>
      <c r="AG372" s="63" t="n"/>
      <c r="AH372" s="63" t="n"/>
      <c r="AI372" s="63" t="n"/>
      <c r="AJ372" s="63" t="n"/>
      <c r="AK372" s="73" t="n">
        <v>126.72</v>
      </c>
      <c r="AL372" s="72" t="n">
        <v>153.97</v>
      </c>
      <c r="AM372" s="72" t="n">
        <v>-10.73</v>
      </c>
      <c r="AN372" s="72" t="n">
        <v>417.24</v>
      </c>
      <c r="AO372" s="72" t="n">
        <v>451.29</v>
      </c>
      <c r="AP372" s="72" t="n">
        <v>509.05</v>
      </c>
      <c r="AQ372" s="72" t="n">
        <v>128.14</v>
      </c>
      <c r="AR372" s="72" t="n">
        <v>143.16</v>
      </c>
      <c r="AS372" s="72" t="n">
        <v>168.64</v>
      </c>
      <c r="AT372" s="72" t="n">
        <v>416.05</v>
      </c>
      <c r="AU372" s="72" t="n">
        <v>448.13</v>
      </c>
      <c r="AV372" s="72" t="n">
        <v>508.14</v>
      </c>
      <c r="AW372" s="72" t="n">
        <v>141.98</v>
      </c>
      <c r="AX372" s="72" t="n">
        <v>3.16</v>
      </c>
      <c r="AY372" s="72" t="n">
        <v>1.18</v>
      </c>
      <c r="AZ372" s="63" t="inlineStr">
        <is>
          <t>China Biotech ETF (HS biotech proxy)</t>
        </is>
      </c>
      <c r="BA372" s="72" t="n">
        <v>-8.880000000000001</v>
      </c>
      <c r="BB372" s="64" t="inlineStr">
        <is>
          <t>2026-08-28</t>
        </is>
      </c>
      <c r="BC372" s="65" t="n">
        <v>17.6</v>
      </c>
      <c r="BD372" s="68" t="n">
        <v>-612.1</v>
      </c>
      <c r="BE372" s="63" t="inlineStr">
        <is>
          <t>N</t>
        </is>
      </c>
      <c r="BF372" s="63" t="inlineStr">
        <is>
          <t>n/m</t>
        </is>
      </c>
      <c r="BG372" s="74" t="n"/>
      <c r="BH372" s="74" t="n"/>
      <c r="BI372" s="74" t="n">
        <v>341.4</v>
      </c>
      <c r="BJ372" s="75">
        <f>IF('BBG Verify'!S372="","not filed — run on terminal",'BBG Verify'!S372)</f>
        <v/>
      </c>
      <c r="BK372" s="76" t="inlineStr">
        <is>
          <t>N</t>
        </is>
      </c>
      <c r="BL372" s="77">
        <f>IF('BBG Verify'!K372="","not filed — run on terminal",'BBG Verify'!K372)</f>
        <v/>
      </c>
      <c r="BM372" s="63" t="inlineStr">
        <is>
          <t>N/A</t>
        </is>
      </c>
      <c r="BN372" s="63" t="inlineStr">
        <is>
          <t>N/A</t>
        </is>
      </c>
      <c r="BO372" s="63" t="inlineStr">
        <is>
          <t>N/A</t>
        </is>
      </c>
      <c r="BP372" s="63" t="inlineStr">
        <is>
          <t>N/A</t>
        </is>
      </c>
      <c r="BQ372" s="63" t="inlineStr">
        <is>
          <t>N/A</t>
        </is>
      </c>
      <c r="BR372" s="63" t="inlineStr">
        <is>
          <t>N/A</t>
        </is>
      </c>
      <c r="BS372" s="76" t="inlineStr">
        <is>
          <t>First Shanghai Capital Limited; CMB Wing Lung Bank Limited; China CITIC Bank International Limited; Ms. Wang Y u ( ˮρ) H Share Registrar Computershare Hong Kong Investor Services Limited</t>
        </is>
      </c>
      <c r="BT372" s="63" t="inlineStr">
        <is>
          <t>China International Capital Corporation Hong Kong Securities Limited</t>
        </is>
      </c>
      <c r="BU372" s="63" t="inlineStr">
        <is>
          <t>China International Capital Corporation Hong Kong Securities Limited; CMB International Capital Limited</t>
        </is>
      </c>
      <c r="BV372" s="63" t="inlineStr">
        <is>
          <t>China International Capital Corporation Hong Kong Securities Limited; CMB International Capital Limited</t>
        </is>
      </c>
      <c r="BW372" s="78">
        <f>HYPERLINK("https://www1.hkexnews.hk/listedco/listconews/sehk/2025/1006/2025100600007.pdf","prospectus")</f>
        <v/>
      </c>
      <c r="BX372" s="78">
        <f>HYPERLINK("https://www1.hkexnews.hk/listedco/listconews/sehk/2025/1014/2025101401222.pdf","allotment")</f>
        <v/>
      </c>
      <c r="BY372" s="63" t="n"/>
      <c r="BZ372" s="76" t="n"/>
      <c r="CA372" s="63" t="inlineStr">
        <is>
          <t>P/E: n/m — loss-making at IPO (use P/S) · greenshoe: end-of-stabilisation notice not located · range low: cap-only pricing — the filing publishes a Maximum Offer Price and no indicative floor · A/H: no A-share listing · P/S: 341x on HK$17.6m revenue — effectively pre-revenue; the multiple is shown for completeness, not comparability · stabilising manager: neither the allotment announcement's cover sentence nor the prospectus definitions glossary names one in a form the parser reads — not inferred from the sponsor · grey market: no grey-market headline on file for this deal — AAStocks publishes one per listing but keeps only recent items on the stock's news page, and no public archive of past evening sessions exists; captured from this run onward</t>
        </is>
      </c>
    </row>
    <row r="373" ht="15" customHeight="1">
      <c r="A373" s="62" t="inlineStr">
        <is>
          <t>2670</t>
        </is>
      </c>
      <c r="B373" s="63" t="inlineStr">
        <is>
          <t>YUNJI</t>
        </is>
      </c>
      <c r="C373" s="63" t="inlineStr">
        <is>
          <t>雲迹</t>
        </is>
      </c>
      <c r="D373" s="63" t="inlineStr">
        <is>
          <t>Tech/AI</t>
        </is>
      </c>
      <c r="E373" s="63" t="inlineStr">
        <is>
          <t>Robotics &amp; autonomous driving</t>
        </is>
      </c>
      <c r="F373" s="63" t="inlineStr">
        <is>
          <t>Advanced hardware and software</t>
        </is>
      </c>
      <c r="G373" s="63" t="inlineStr">
        <is>
          <t>Standard</t>
        </is>
      </c>
      <c r="H373" s="64" t="n">
        <v>45946</v>
      </c>
      <c r="I373" s="65" t="n">
        <v>659.6</v>
      </c>
      <c r="J373" s="63" t="inlineStr">
        <is>
          <t>gross (stated)</t>
        </is>
      </c>
      <c r="K373" s="66" t="n"/>
      <c r="L373" s="66" t="n">
        <v>95.59999999999999</v>
      </c>
      <c r="M373" s="66" t="n">
        <v>95.59999999999999</v>
      </c>
      <c r="N373" s="63" t="inlineStr">
        <is>
          <t>Y</t>
        </is>
      </c>
      <c r="O373" s="67" t="n">
        <v>100</v>
      </c>
      <c r="P373" s="67" t="n"/>
      <c r="Q373" s="68" t="n">
        <v>5886</v>
      </c>
      <c r="R373" s="63" t="inlineStr">
        <is>
          <t>prospectus:stated market capitalisation</t>
        </is>
      </c>
      <c r="S373" s="69" t="n">
        <v>5657.2</v>
      </c>
      <c r="T373" s="70" t="n">
        <v>18.62</v>
      </c>
      <c r="U373" s="71" t="n"/>
      <c r="V373" s="68" t="n">
        <v>659.6</v>
      </c>
      <c r="W373" s="68" t="n">
        <v>6900000</v>
      </c>
      <c r="X373" s="67" t="n">
        <v>11.21</v>
      </c>
      <c r="Y373" s="63" t="n"/>
      <c r="Z373" s="63" t="n"/>
      <c r="AA373" s="67" t="n">
        <v>15</v>
      </c>
      <c r="AB373" s="72" t="n"/>
      <c r="AC373" s="66" t="n"/>
      <c r="AD373" s="72" t="n"/>
      <c r="AE373" s="63" t="n"/>
      <c r="AF373" s="63" t="n"/>
      <c r="AG373" s="63" t="inlineStr">
        <is>
          <t>full</t>
        </is>
      </c>
      <c r="AH373" s="63" t="inlineStr">
        <is>
          <t>2025-11-12</t>
        </is>
      </c>
      <c r="AI373" s="63" t="inlineStr">
        <is>
          <t>CLSA Limited</t>
        </is>
      </c>
      <c r="AJ373" s="63" t="inlineStr">
        <is>
          <t>CLSA</t>
        </is>
      </c>
      <c r="AK373" s="73" t="n">
        <v>26.05</v>
      </c>
      <c r="AL373" s="72" t="n">
        <v>49.37</v>
      </c>
      <c r="AM373" s="72" t="n">
        <v>-15.61</v>
      </c>
      <c r="AN373" s="72" t="n">
        <v>29.18</v>
      </c>
      <c r="AO373" s="72" t="n">
        <v>18.2</v>
      </c>
      <c r="AP373" s="72" t="n">
        <v>23.74</v>
      </c>
      <c r="AQ373" s="72" t="n">
        <v>2.48</v>
      </c>
      <c r="AR373" s="72" t="n">
        <v>-6.23</v>
      </c>
      <c r="AS373" s="72" t="n">
        <v>-1.83</v>
      </c>
      <c r="AT373" s="72" t="n">
        <v>31.36</v>
      </c>
      <c r="AU373" s="72" t="n">
        <v>23.4</v>
      </c>
      <c r="AV373" s="72" t="n">
        <v>29.28</v>
      </c>
      <c r="AW373" s="72" t="n">
        <v>-2.15</v>
      </c>
      <c r="AX373" s="72" t="n">
        <v>-5.2</v>
      </c>
      <c r="AY373" s="72" t="n">
        <v>-4.08</v>
      </c>
      <c r="AZ373" s="63" t="inlineStr">
        <is>
          <t>HSTECH (Hang Seng TECH ETF)</t>
        </is>
      </c>
      <c r="BA373" s="72" t="n">
        <v>31.8</v>
      </c>
      <c r="BB373" s="64" t="inlineStr">
        <is>
          <t>2026-08-28</t>
        </is>
      </c>
      <c r="BC373" s="65" t="n">
        <v>269.3</v>
      </c>
      <c r="BD373" s="68" t="n">
        <v>-64</v>
      </c>
      <c r="BE373" s="63" t="inlineStr">
        <is>
          <t>N</t>
        </is>
      </c>
      <c r="BF373" s="63" t="inlineStr">
        <is>
          <t>n/m</t>
        </is>
      </c>
      <c r="BG373" s="74" t="n"/>
      <c r="BH373" s="74" t="n"/>
      <c r="BI373" s="74" t="n">
        <v>21.9</v>
      </c>
      <c r="BJ373" s="75">
        <f>IF('BBG Verify'!S373="","not filed — run on terminal",'BBG Verify'!S373)</f>
        <v/>
      </c>
      <c r="BK373" s="76" t="inlineStr">
        <is>
          <t>N</t>
        </is>
      </c>
      <c r="BL373" s="77">
        <f>IF('BBG Verify'!K373="","not filed — run on terminal",'BBG Verify'!K373)</f>
        <v/>
      </c>
      <c r="BM373" s="63" t="inlineStr">
        <is>
          <t>N/A</t>
        </is>
      </c>
      <c r="BN373" s="63" t="inlineStr">
        <is>
          <t>N/A</t>
        </is>
      </c>
      <c r="BO373" s="63" t="inlineStr">
        <is>
          <t>N/A</t>
        </is>
      </c>
      <c r="BP373" s="63" t="inlineStr">
        <is>
          <t>N/A</t>
        </is>
      </c>
      <c r="BQ373" s="63" t="inlineStr">
        <is>
          <t>N/A</t>
        </is>
      </c>
      <c r="BR373" s="63" t="inlineStr">
        <is>
          <t>N/A</t>
        </is>
      </c>
      <c r="BS373" s="76" t="inlineStr">
        <is>
          <t>CITIC Securities (Hong Kong) Limited; CCB International Capital Limited</t>
        </is>
      </c>
      <c r="BT373" s="63" t="inlineStr">
        <is>
          <t>CCB International Capital Limited; CITIC Securities (Hong Kong) Limited</t>
        </is>
      </c>
      <c r="BU373" s="63" t="inlineStr">
        <is>
          <t>CLSA Limited; CCB International Capital Limited; SDICS International Securities (Hong Kong) Limited; Futu Securities International (Hong Kong) Limited; Fuze Securities (International) Limited; SPDB International Capital Limited; Tiger Brokers (HK) Global Limited</t>
        </is>
      </c>
      <c r="BV373" s="63" t="inlineStr">
        <is>
          <t>CCB International Capital Limited; China Harbour International Securities Limited; CLSA Limited; Futu Securities International (Hong Kong) Limited; FUZE SECURITIES (INTERNATIONAL) LIMITED; SDICS International Securities (Hong Kong) Limited; SPDB International Capital Limited; Tiger Brokers (HK) Global Limited</t>
        </is>
      </c>
      <c r="BW373" s="78">
        <f>HYPERLINK("https://www1.hkexnews.hk/listedco/listconews/sehk/2025/1008/2025100800003.pdf","prospectus")</f>
        <v/>
      </c>
      <c r="BX373" s="78">
        <f>HYPERLINK("https://www1.hkexnews.hk/listedco/listconews/sehk/2025/1015/2025101501398.pdf","allotment")</f>
        <v/>
      </c>
      <c r="BY373" s="78">
        <f>HYPERLINK("https://www1.hkexnews.hk/listedco/listconews/sehk/2025/1112/2025111201502.pdf","stabilisation")</f>
        <v/>
      </c>
      <c r="BZ373" s="76" t="n"/>
      <c r="CA373" s="63" t="inlineStr">
        <is>
          <t>P/E: n/m — loss-making at IPO (use P/S) · range low: cap-only pricing — the filing publishes a Maximum Offer Price and no indicative floor · A/H: no A-share listing · cornerstone list: cornerstone section not machine-extractable — see the prospectus link · cornerstone %: cornerstone aggregate not stated in the filing · grey market: no grey-market headline on file for this deal — AAStocks publishes one per listing but keeps only recent items on the stock's news page, and no public archive of past evening sessions exists; captured from this run onward</t>
        </is>
      </c>
    </row>
    <row r="374" ht="15" customHeight="1">
      <c r="A374" s="62" t="inlineStr">
        <is>
          <t>2637</t>
        </is>
      </c>
      <c r="B374" s="63" t="inlineStr">
        <is>
          <t>HAIXI PHARMA</t>
        </is>
      </c>
      <c r="C374" s="63" t="inlineStr">
        <is>
          <t>海西新藥</t>
        </is>
      </c>
      <c r="D374" s="63" t="inlineStr">
        <is>
          <t>Healthcare</t>
        </is>
      </c>
      <c r="E374" s="63" t="inlineStr">
        <is>
          <t>Biopharma commercial</t>
        </is>
      </c>
      <c r="F374" s="63" t="inlineStr">
        <is>
          <t>Pharmaceuticals</t>
        </is>
      </c>
      <c r="G374" s="63" t="inlineStr">
        <is>
          <t>Standard</t>
        </is>
      </c>
      <c r="H374" s="64" t="n">
        <v>45950</v>
      </c>
      <c r="I374" s="65" t="n">
        <v>993.6</v>
      </c>
      <c r="J374" s="63" t="inlineStr">
        <is>
          <t>gross (stated)</t>
        </is>
      </c>
      <c r="K374" s="66" t="n">
        <v>69.88</v>
      </c>
      <c r="L374" s="66" t="n">
        <v>86.40000000000001</v>
      </c>
      <c r="M374" s="66" t="n">
        <v>86.40000000000001</v>
      </c>
      <c r="N374" s="63" t="inlineStr">
        <is>
          <t>Y</t>
        </is>
      </c>
      <c r="O374" s="67" t="n">
        <v>100</v>
      </c>
      <c r="P374" s="67" t="n">
        <v>100</v>
      </c>
      <c r="Q374" s="68" t="n">
        <v>6800.3</v>
      </c>
      <c r="R374" s="63" t="inlineStr">
        <is>
          <t>derived:price x shares upon listing</t>
        </is>
      </c>
      <c r="S374" s="69" t="n">
        <v>3165.1</v>
      </c>
      <c r="T374" s="70" t="n">
        <v>6.3</v>
      </c>
      <c r="U374" s="71" t="n">
        <v>21.79</v>
      </c>
      <c r="V374" s="68" t="n">
        <v>777.09</v>
      </c>
      <c r="W374" s="68" t="n">
        <v>8994150</v>
      </c>
      <c r="X374" s="67" t="n">
        <v>11.43</v>
      </c>
      <c r="Y374" s="63" t="inlineStr">
        <is>
          <t>Huatai Capital Investment Limited; Guosen (HK) Financial Products Company Limited</t>
        </is>
      </c>
      <c r="Z374" s="63" t="inlineStr">
        <is>
          <t>huatai;guosen</t>
        </is>
      </c>
      <c r="AA374" s="67" t="n"/>
      <c r="AB374" s="72" t="n"/>
      <c r="AC374" s="66" t="n"/>
      <c r="AD374" s="72" t="n"/>
      <c r="AE374" s="63" t="n"/>
      <c r="AF374" s="63" t="n"/>
      <c r="AG374" s="63" t="n"/>
      <c r="AH374" s="63" t="n"/>
      <c r="AI374" s="63" t="n"/>
      <c r="AJ374" s="63" t="n"/>
      <c r="AK374" s="73" t="n">
        <v>20.6</v>
      </c>
      <c r="AL374" s="72" t="n">
        <v>18.06</v>
      </c>
      <c r="AM374" s="72" t="n">
        <v>2.15</v>
      </c>
      <c r="AN374" s="72" t="n">
        <v>30.67</v>
      </c>
      <c r="AO374" s="72" t="n">
        <v>47.57</v>
      </c>
      <c r="AP374" s="72" t="n">
        <v>62.85</v>
      </c>
      <c r="AQ374" s="72" t="n">
        <v>8.35</v>
      </c>
      <c r="AR374" s="72" t="n">
        <v>22.36</v>
      </c>
      <c r="AS374" s="72" t="n">
        <v>35.03</v>
      </c>
      <c r="AT374" s="72" t="n">
        <v>29.21</v>
      </c>
      <c r="AU374" s="72" t="n">
        <v>49.17</v>
      </c>
      <c r="AV374" s="72" t="n">
        <v>66.48</v>
      </c>
      <c r="AW374" s="72" t="n">
        <v>24.54</v>
      </c>
      <c r="AX374" s="72" t="n">
        <v>-1.6</v>
      </c>
      <c r="AY374" s="72" t="n">
        <v>-2.18</v>
      </c>
      <c r="AZ374" s="63" t="inlineStr">
        <is>
          <t>China Biotech ETF (HS biotech proxy)</t>
        </is>
      </c>
      <c r="BA374" s="72" t="n">
        <v>122.22</v>
      </c>
      <c r="BB374" s="64" t="inlineStr">
        <is>
          <t>2026-08-31</t>
        </is>
      </c>
      <c r="BC374" s="65" t="n">
        <v>513.4</v>
      </c>
      <c r="BD374" s="68" t="n">
        <v>149.7</v>
      </c>
      <c r="BE374" s="63" t="inlineStr">
        <is>
          <t>Y</t>
        </is>
      </c>
      <c r="BF374" s="74" t="n">
        <v>45.4</v>
      </c>
      <c r="BG374" s="74" t="n"/>
      <c r="BH374" s="74" t="n"/>
      <c r="BI374" s="74" t="n">
        <v>13.2</v>
      </c>
      <c r="BJ374" s="75">
        <f>IF('BBG Verify'!S374="","not filed — run on terminal",'BBG Verify'!S374)</f>
        <v/>
      </c>
      <c r="BK374" s="76" t="inlineStr">
        <is>
          <t>N</t>
        </is>
      </c>
      <c r="BL374" s="77">
        <f>IF('BBG Verify'!K374="","not filed — run on terminal",'BBG Verify'!K374)</f>
        <v/>
      </c>
      <c r="BM374" s="63" t="inlineStr">
        <is>
          <t>N/A</t>
        </is>
      </c>
      <c r="BN374" s="63" t="inlineStr">
        <is>
          <t>N/A</t>
        </is>
      </c>
      <c r="BO374" s="63" t="inlineStr">
        <is>
          <t>N/A</t>
        </is>
      </c>
      <c r="BP374" s="63" t="inlineStr">
        <is>
          <t>N/A</t>
        </is>
      </c>
      <c r="BQ374" s="63" t="inlineStr">
        <is>
          <t>N/A</t>
        </is>
      </c>
      <c r="BR374" s="63" t="inlineStr">
        <is>
          <t>N/A</t>
        </is>
      </c>
      <c r="BS374" s="76" t="inlineStr">
        <is>
          <t>Huatai Financial Holdings (Hong Kong) Limited; CMB International Capital Limited</t>
        </is>
      </c>
      <c r="BT374" s="63" t="inlineStr">
        <is>
          <t>Huatai Financial Holdings (Hong Kong) Limited; CMB International Capital Limited</t>
        </is>
      </c>
      <c r="BU374" s="63" t="inlineStr">
        <is>
          <t>Huatai Financial Holdings (Hong Kong) Limited; SDICS International Securities (Hong Kong) Limited; CMB International Capital Limited; Guosen Securities (HK) Brokerage Company, Limited; Futu Securities International (Hong Kong) Limited; China Industrial Securities International Capital Limited; Zhongtai International Securities Limited</t>
        </is>
      </c>
      <c r="BV374" s="63" t="inlineStr">
        <is>
          <t>China Industrial Securities International Capital Limited; CMBC Securities Company Limited; CMB International Capital Corporation Limited; Futu Securities International (Hong Kong) Limited; Guosen Securities (HK) Brokerage Company, Limited; Huatai Financial Holdings (Hong Kong) Limited; SDICS International Securities (Hong Kong) Limited; Zhongtai International Securities Limited</t>
        </is>
      </c>
      <c r="BW374" s="78">
        <f>HYPERLINK("https://www1.hkexnews.hk/listedco/listconews/sehk/2025/1009/2025100900041.pdf","prospectus")</f>
        <v/>
      </c>
      <c r="BX374" s="78">
        <f>HYPERLINK("https://www1.hkexnews.hk/listedco/listconews/sehk/2025/1017/2025101701654.pdf","allotment")</f>
        <v/>
      </c>
      <c r="BY374" s="63" t="n"/>
      <c r="BZ374" s="76" t="n"/>
      <c r="CA374" s="63" t="inlineStr">
        <is>
          <t>greenshoe: no over-allotment option in the offer structure · A/H: no A-share listing · greenshoe size: no over-allotment option in the offer structure · stabilising manager: no over-allotment option in the offer structure, so no stabilising manager is appointed · grey market: no grey-market headline on file for this deal — AAStocks publishes one per listing but keeps only recent items on the stock's news page, and no public archive of past evening sessions exists; captured from this run onward</t>
        </is>
      </c>
    </row>
    <row r="375" ht="15" customHeight="1">
      <c r="A375" s="62" t="inlineStr">
        <is>
          <t>6687</t>
        </is>
      </c>
      <c r="B375" s="63" t="inlineStr">
        <is>
          <t>JST GROUP</t>
        </is>
      </c>
      <c r="C375" s="63" t="inlineStr">
        <is>
          <t>聚水潭</t>
        </is>
      </c>
      <c r="D375" s="63" t="inlineStr">
        <is>
          <t>Tech/AI</t>
        </is>
      </c>
      <c r="E375" s="63" t="inlineStr">
        <is>
          <t>SaaS / enterprise software</t>
        </is>
      </c>
      <c r="F375" s="63" t="inlineStr">
        <is>
          <t>Application Software</t>
        </is>
      </c>
      <c r="G375" s="63" t="inlineStr">
        <is>
          <t>Standard</t>
        </is>
      </c>
      <c r="H375" s="64" t="n">
        <v>45951</v>
      </c>
      <c r="I375" s="65" t="n">
        <v>2085.89</v>
      </c>
      <c r="J375" s="63" t="inlineStr">
        <is>
          <t>gross (stated)</t>
        </is>
      </c>
      <c r="K375" s="66" t="n"/>
      <c r="L375" s="66" t="n">
        <v>30.6</v>
      </c>
      <c r="M375" s="66" t="n">
        <v>30.6</v>
      </c>
      <c r="N375" s="63" t="inlineStr">
        <is>
          <t>Y</t>
        </is>
      </c>
      <c r="O375" s="67" t="n">
        <v>100</v>
      </c>
      <c r="P375" s="67" t="n"/>
      <c r="Q375" s="68" t="n">
        <v>13000</v>
      </c>
      <c r="R375" s="63" t="inlineStr">
        <is>
          <t>prospectus:stated market capitalisation</t>
        </is>
      </c>
      <c r="S375" s="69" t="n">
        <v>1952.95</v>
      </c>
      <c r="T375" s="70" t="n">
        <v>22.89</v>
      </c>
      <c r="U375" s="71" t="n">
        <v>48.5</v>
      </c>
      <c r="V375" s="68" t="n">
        <v>1074.23</v>
      </c>
      <c r="W375" s="68" t="n">
        <v>35105593</v>
      </c>
      <c r="X375" s="67" t="n">
        <v>8.26</v>
      </c>
      <c r="Y375" s="63" t="inlineStr">
        <is>
          <t>Stoneylake Global Alpha Fund; Blue Lake Capital Opportunity Fund; Zhou Keting; CUAM Entities; Fourier Capital; GTCS Holdings; Jain Global Master Fund Ltd; Perseverance Asset Management; WT Asset Management Limited</t>
        </is>
      </c>
      <c r="Z375" s="63" t="inlineStr">
        <is>
          <t>stoneylake;blue;zhou-keting;cuam;fourier;gtcs;jain;perseverance;wt</t>
        </is>
      </c>
      <c r="AA375" s="67" t="n">
        <v>15</v>
      </c>
      <c r="AB375" s="72" t="n">
        <v>37.3</v>
      </c>
      <c r="AC375" s="66" t="n">
        <v>42</v>
      </c>
      <c r="AD375" s="72" t="n">
        <v>-9.789999999999999</v>
      </c>
      <c r="AE375" s="63" t="inlineStr">
        <is>
          <t>Y</t>
        </is>
      </c>
      <c r="AF375" s="63" t="inlineStr">
        <is>
          <t>2025-10-20</t>
        </is>
      </c>
      <c r="AG375" s="63" t="inlineStr">
        <is>
          <t>full</t>
        </is>
      </c>
      <c r="AH375" s="63" t="n"/>
      <c r="AI375" s="63" t="inlineStr">
        <is>
          <t>China International Capital Corporation Hong Kong Securities Limited</t>
        </is>
      </c>
      <c r="AJ375" s="63" t="inlineStr">
        <is>
          <t>China International</t>
        </is>
      </c>
      <c r="AK375" s="73" t="n">
        <v>23.86</v>
      </c>
      <c r="AL375" s="72" t="n">
        <v>24.18</v>
      </c>
      <c r="AM375" s="72" t="n">
        <v>-0.26</v>
      </c>
      <c r="AN375" s="72" t="n">
        <v>8.5</v>
      </c>
      <c r="AO375" s="72" t="n">
        <v>-15.1</v>
      </c>
      <c r="AP375" s="72" t="n">
        <v>-6.27</v>
      </c>
      <c r="AQ375" s="72" t="n">
        <v>-12.4</v>
      </c>
      <c r="AR375" s="72" t="n">
        <v>-31.45</v>
      </c>
      <c r="AS375" s="72" t="n">
        <v>-24.33</v>
      </c>
      <c r="AT375" s="72" t="n">
        <v>6.01</v>
      </c>
      <c r="AU375" s="72" t="n">
        <v>-9.17</v>
      </c>
      <c r="AV375" s="72" t="n">
        <v>-3.26</v>
      </c>
      <c r="AW375" s="72" t="n">
        <v>-24.32</v>
      </c>
      <c r="AX375" s="72" t="n">
        <v>-5.93</v>
      </c>
      <c r="AY375" s="72" t="n">
        <v>-7.13</v>
      </c>
      <c r="AZ375" s="63" t="inlineStr">
        <is>
          <t>HSTECH (Hang Seng TECH ETF)</t>
        </is>
      </c>
      <c r="BA375" s="72" t="n">
        <v>-48.63</v>
      </c>
      <c r="BB375" s="64" t="inlineStr">
        <is>
          <t>2026-08-28</t>
        </is>
      </c>
      <c r="BC375" s="65" t="n">
        <v>1000.7</v>
      </c>
      <c r="BD375" s="68" t="n"/>
      <c r="BE375" s="63" t="inlineStr">
        <is>
          <t>Y</t>
        </is>
      </c>
      <c r="BF375" s="75">
        <f>IF('BBG Verify'!O375="","not filed — run on terminal",'BBG Verify'!O375)</f>
        <v/>
      </c>
      <c r="BG375" s="74" t="n"/>
      <c r="BH375" s="74" t="n"/>
      <c r="BI375" s="74" t="n">
        <v>13</v>
      </c>
      <c r="BJ375" s="75">
        <f>IF('BBG Verify'!S375="","not filed — run on terminal",'BBG Verify'!S375)</f>
        <v/>
      </c>
      <c r="BK375" s="76" t="inlineStr">
        <is>
          <t>N</t>
        </is>
      </c>
      <c r="BL375" s="77">
        <f>IF('BBG Verify'!K375="","not filed — run on terminal",'BBG Verify'!K375)</f>
        <v/>
      </c>
      <c r="BM375" s="63" t="inlineStr">
        <is>
          <t>N/A</t>
        </is>
      </c>
      <c r="BN375" s="63" t="inlineStr">
        <is>
          <t>N/A</t>
        </is>
      </c>
      <c r="BO375" s="63" t="inlineStr">
        <is>
          <t>N/A</t>
        </is>
      </c>
      <c r="BP375" s="63" t="inlineStr">
        <is>
          <t>N/A</t>
        </is>
      </c>
      <c r="BQ375" s="63" t="inlineStr">
        <is>
          <t>N/A</t>
        </is>
      </c>
      <c r="BR375" s="63" t="inlineStr">
        <is>
          <t>N/A</t>
        </is>
      </c>
      <c r="BS375" s="76" t="inlineStr">
        <is>
          <t>China International Capital Corporation Hong Kong Securities Limited; J.P. Morgan Securities (Far East) Limited</t>
        </is>
      </c>
      <c r="BT375" s="63" t="inlineStr">
        <is>
          <t>China International Capital Corporation Hong Kong Securities Limited; J.P. Morgan Securities (Far East) Limited</t>
        </is>
      </c>
      <c r="BU375" s="63" t="inlineStr">
        <is>
          <t>China International Capital Corporation Hong Kong Securities Limited; J.P. Morgan Securities (Asia Pacific) Limited</t>
        </is>
      </c>
      <c r="BV375" s="63" t="inlineStr">
        <is>
          <t>China International Capital Corporation Hong Kong Securities Limited; Futu Securities International (Hong Kong) Limited; J.P. Morgan Securities (Asia Pacific) Limited</t>
        </is>
      </c>
      <c r="BW375" s="78">
        <f>HYPERLINK("https://www1.hkexnews.hk/listedco/listconews/sehk/2025/1013/2025101300005.pdf","prospectus")</f>
        <v/>
      </c>
      <c r="BX375" s="78">
        <f>HYPERLINK("https://www1.hkexnews.hk/listedco/listconews/sehk/2025/1020/2025102001624.pdf","allotment")</f>
        <v/>
      </c>
      <c r="BY375" s="78">
        <f>HYPERLINK("https://www1.hkexnews.hk/listedco/listconews/sehk/2025/1116/2025111600017.pdf","stabilisation")</f>
        <v/>
      </c>
      <c r="BZ375" s="76" t="n"/>
      <c r="CA375" s="63" t="inlineStr">
        <is>
          <t>P/E: withheld — mktcap / net income gives 1,121x, which fails the 300x plausibility check; the extracted net income (HK$11.6m) is not trustworthy · greenshoe: over-allotment outcome already published, and the allotment announcement does not state the stabilisation expiry in a parsable form — the expiry no longer matters once resolved · range low: cap-only pricing — the filing publishes a Maximum Offer Price and no indicative floor · A/H: no A-share listing · financials: financial tables not machine-extractable and the pre-IPO year is outside AAStocks' 5-year window</t>
        </is>
      </c>
    </row>
    <row r="376" ht="15" customHeight="1">
      <c r="A376" s="62" t="inlineStr">
        <is>
          <t>0638</t>
        </is>
      </c>
      <c r="B376" s="63" t="inlineStr">
        <is>
          <t>FIBOCOM</t>
        </is>
      </c>
      <c r="C376" s="63" t="inlineStr">
        <is>
          <t>廣和通</t>
        </is>
      </c>
      <c r="D376" s="63" t="inlineStr">
        <is>
          <t>Tech/AI</t>
        </is>
      </c>
      <c r="E376" s="63" t="inlineStr">
        <is>
          <t>Smart hardware / consumer electronics</t>
        </is>
      </c>
      <c r="F376" s="63" t="inlineStr">
        <is>
          <t>Telecommunication Services</t>
        </is>
      </c>
      <c r="G376" s="63" t="inlineStr">
        <is>
          <t>Standard</t>
        </is>
      </c>
      <c r="H376" s="64" t="n">
        <v>45952</v>
      </c>
      <c r="I376" s="65" t="n">
        <v>2904.2</v>
      </c>
      <c r="J376" s="63" t="inlineStr">
        <is>
          <t>gross (stated)</t>
        </is>
      </c>
      <c r="K376" s="66" t="n"/>
      <c r="L376" s="66" t="n">
        <v>21.5</v>
      </c>
      <c r="M376" s="66" t="n">
        <v>21.5</v>
      </c>
      <c r="N376" s="63" t="inlineStr">
        <is>
          <t>Y</t>
        </is>
      </c>
      <c r="O376" s="67" t="n">
        <v>100</v>
      </c>
      <c r="P376" s="67" t="n"/>
      <c r="Q376" s="68" t="n">
        <v>18632</v>
      </c>
      <c r="R376" s="63" t="inlineStr">
        <is>
          <t>aastocks:上市市值 at the struck price</t>
        </is>
      </c>
      <c r="S376" s="69" t="n">
        <v>550.99</v>
      </c>
      <c r="T376" s="70" t="n">
        <v>9.16</v>
      </c>
      <c r="U376" s="71" t="n">
        <v>43.04</v>
      </c>
      <c r="V376" s="68" t="n">
        <v>1654.23</v>
      </c>
      <c r="W376" s="68" t="n">
        <v>76941682</v>
      </c>
      <c r="X376" s="67" t="n">
        <v>8.880000000000001</v>
      </c>
      <c r="Y376" s="63" t="inlineStr">
        <is>
          <t>Qindao Gantong; Pacific Asset Management Co., Limited; CPIC; GF Fund Management Co., Ltd; GF International; Ruihua Investment; Genimous Investment; Mr. Zhang Xiaolei; GTINV; Dreamee HK Fund</t>
        </is>
      </c>
      <c r="Z376" s="63" t="inlineStr">
        <is>
          <t>qindao;pacific-asset;cpic;gf;ruihua;genimous;mr-zhang;gtinv;dreamee</t>
        </is>
      </c>
      <c r="AA376" s="67" t="n">
        <v>15</v>
      </c>
      <c r="AB376" s="72" t="n">
        <v>0</v>
      </c>
      <c r="AC376" s="66" t="n">
        <v>21.5</v>
      </c>
      <c r="AD376" s="72" t="n">
        <v>-11.72</v>
      </c>
      <c r="AE376" s="63" t="inlineStr">
        <is>
          <t>Y</t>
        </is>
      </c>
      <c r="AF376" s="63" t="inlineStr">
        <is>
          <t>2025-10-21</t>
        </is>
      </c>
      <c r="AG376" s="63" t="n"/>
      <c r="AH376" s="63" t="inlineStr">
        <is>
          <t>2025-11-16</t>
        </is>
      </c>
      <c r="AI376" s="63" t="n"/>
      <c r="AJ376" s="63" t="n"/>
      <c r="AK376" s="73" t="n">
        <v>-11.72</v>
      </c>
      <c r="AL376" s="72" t="n">
        <v>0</v>
      </c>
      <c r="AM376" s="72" t="n">
        <v>-11.72</v>
      </c>
      <c r="AN376" s="72" t="n">
        <v>-10.23</v>
      </c>
      <c r="AO376" s="72" t="n">
        <v>-27.91</v>
      </c>
      <c r="AP376" s="72" t="n">
        <v>-24.88</v>
      </c>
      <c r="AQ376" s="72" t="n">
        <v>1.69</v>
      </c>
      <c r="AR376" s="72" t="n">
        <v>-18.34</v>
      </c>
      <c r="AS376" s="72" t="n">
        <v>-14.91</v>
      </c>
      <c r="AT376" s="72" t="n">
        <v>-10.99</v>
      </c>
      <c r="AU376" s="72" t="n">
        <v>-17.38</v>
      </c>
      <c r="AV376" s="72" t="n">
        <v>-21.14</v>
      </c>
      <c r="AW376" s="72" t="n">
        <v>-9.039999999999999</v>
      </c>
      <c r="AX376" s="72" t="n">
        <v>-10.53</v>
      </c>
      <c r="AY376" s="72" t="n">
        <v>-9.300000000000001</v>
      </c>
      <c r="AZ376" s="63" t="inlineStr">
        <is>
          <t>HSTECH (Hang Seng TECH ETF)</t>
        </is>
      </c>
      <c r="BA376" s="72" t="n">
        <v>-64.95</v>
      </c>
      <c r="BB376" s="64" t="inlineStr">
        <is>
          <t>2026-08-28</t>
        </is>
      </c>
      <c r="BC376" s="65" t="n">
        <v>9007.700000000001</v>
      </c>
      <c r="BD376" s="68" t="n">
        <v>734.8</v>
      </c>
      <c r="BE376" s="63" t="inlineStr">
        <is>
          <t>Y</t>
        </is>
      </c>
      <c r="BF376" s="74" t="n">
        <v>25.4</v>
      </c>
      <c r="BG376" s="74" t="n"/>
      <c r="BH376" s="74" t="n"/>
      <c r="BI376" s="74" t="n">
        <v>2.1</v>
      </c>
      <c r="BJ376" s="75">
        <f>IF('BBG Verify'!S376="","not filed — run on terminal",'BBG Verify'!S376)</f>
        <v/>
      </c>
      <c r="BK376" s="76" t="inlineStr">
        <is>
          <t>Y</t>
        </is>
      </c>
      <c r="BL376" s="63" t="inlineStr">
        <is>
          <t>300638.SZ</t>
        </is>
      </c>
      <c r="BM376" s="72" t="n">
        <v>51.88</v>
      </c>
      <c r="BN376" s="66" t="n">
        <v>32.6548</v>
      </c>
      <c r="BO376" s="80" t="n">
        <v>1.9709</v>
      </c>
      <c r="BP376" s="68" t="n">
        <v>20864.2</v>
      </c>
      <c r="BQ376" s="75">
        <f>IF('BBG Verify'!Q376="","run on terminal",'BBG Verify'!Q376)</f>
        <v/>
      </c>
      <c r="BR376" s="75">
        <f>IF('BBG Verify'!R376="","run on terminal",'BBG Verify'!R376)</f>
        <v/>
      </c>
      <c r="BS376" s="76" t="n"/>
      <c r="BT376" s="63" t="inlineStr">
        <is>
          <t>CITIC Securities (Hong Kong) Limited</t>
        </is>
      </c>
      <c r="BU376" s="63" t="inlineStr">
        <is>
          <t>ABCI Securities Company Limited; CLSA Limited; CMB International Capital Limited; China Sunrise Securities (International) Limited; Futu Securities International (Hong Kong) Limited; SDICS International Securities (Hong Kong) Limited</t>
        </is>
      </c>
      <c r="BV376" s="63" t="inlineStr">
        <is>
          <t>ABCI Securities Company Limited; CLSA Limited; CMB International Capital Limited; China Sunrise Securities (International) Limited; Futu Securities International (Hong Kong) Limited; SDICS International Securities (Hong Kong) Limited</t>
        </is>
      </c>
      <c r="BW376" s="63" t="n"/>
      <c r="BX376" s="78">
        <f>HYPERLINK("https://www1.hkexnews.hk/listedco/listconews/sehk/2025/1021/2025102101036.pdf","allotment")</f>
        <v/>
      </c>
      <c r="BY376" s="63" t="n"/>
      <c r="BZ376" s="76" t="n"/>
      <c r="CA376" s="63" t="inlineStr">
        <is>
          <t>greenshoe: end-of-stabilisation notice not located · price range: fixed-price offering (no indicative range) · range low: cap-only pricing — the filing publishes a Maximum Offer Price and no indicative floor · A/H: Oct 2025 H listing (IoT wireless modules) · sponsor: English name not in the filing text; AAStocks 保薦人 shown · stabilising manager: neither the allotment announcement's cover sentence nor the prospectus definitions glossary names one in a form the parser reads — not inferred from the sponsor · filing links: no prospectus document returned by the HKEX per-stock search for this code — the allotment announcement is linked beside it</t>
        </is>
      </c>
    </row>
    <row r="377" ht="15" customHeight="1">
      <c r="A377" s="62" t="inlineStr">
        <is>
          <t>1384</t>
        </is>
      </c>
      <c r="B377" s="63" t="inlineStr">
        <is>
          <t>DEEPEXI TECH</t>
        </is>
      </c>
      <c r="C377" s="63" t="inlineStr">
        <is>
          <t>滴普科技</t>
        </is>
      </c>
      <c r="D377" s="63" t="inlineStr">
        <is>
          <t>Tech/AI</t>
        </is>
      </c>
      <c r="E377" s="63" t="inlineStr">
        <is>
          <t>AI application / agent software</t>
        </is>
      </c>
      <c r="F377" s="63" t="inlineStr">
        <is>
          <t>Advanced hardware and software</t>
        </is>
      </c>
      <c r="G377" s="63" t="inlineStr">
        <is>
          <t>Standard</t>
        </is>
      </c>
      <c r="H377" s="64" t="n">
        <v>45958</v>
      </c>
      <c r="I377" s="65" t="n">
        <v>710.01</v>
      </c>
      <c r="J377" s="63" t="inlineStr">
        <is>
          <t>gross (stated)</t>
        </is>
      </c>
      <c r="K377" s="66" t="n"/>
      <c r="L377" s="66" t="n">
        <v>26.66</v>
      </c>
      <c r="M377" s="66" t="n">
        <v>26.66</v>
      </c>
      <c r="N377" s="63" t="inlineStr">
        <is>
          <t>Y</t>
        </is>
      </c>
      <c r="O377" s="67" t="n">
        <v>100</v>
      </c>
      <c r="P377" s="67" t="n"/>
      <c r="Q377" s="68" t="n">
        <v>8708</v>
      </c>
      <c r="R377" s="63" t="inlineStr">
        <is>
          <t>derived:price x shares upon listing</t>
        </is>
      </c>
      <c r="S377" s="69" t="n">
        <v>7569.83</v>
      </c>
      <c r="T377" s="70" t="n">
        <v>16.61</v>
      </c>
      <c r="U377" s="71" t="n">
        <v>0</v>
      </c>
      <c r="V377" s="68" t="n">
        <v>710.01</v>
      </c>
      <c r="W377" s="68" t="n">
        <v>26632000</v>
      </c>
      <c r="X377" s="67" t="n">
        <v>8.15</v>
      </c>
      <c r="Y377" s="63" t="n"/>
      <c r="Z377" s="63" t="n"/>
      <c r="AA377" s="67" t="n"/>
      <c r="AB377" s="72" t="n"/>
      <c r="AC377" s="66" t="n"/>
      <c r="AD377" s="72" t="n"/>
      <c r="AE377" s="63" t="n"/>
      <c r="AF377" s="63" t="n"/>
      <c r="AG377" s="63" t="n"/>
      <c r="AH377" s="63" t="n"/>
      <c r="AI377" s="63" t="n"/>
      <c r="AJ377" s="63" t="n"/>
      <c r="AK377" s="73" t="n">
        <v>150.56</v>
      </c>
      <c r="AL377" s="72" t="n">
        <v>111.93</v>
      </c>
      <c r="AM377" s="72" t="n">
        <v>18.23</v>
      </c>
      <c r="AN377" s="72" t="n">
        <v>278.84</v>
      </c>
      <c r="AO377" s="72" t="n">
        <v>169.5</v>
      </c>
      <c r="AP377" s="72" t="n">
        <v>205.51</v>
      </c>
      <c r="AQ377" s="72" t="n">
        <v>51.2</v>
      </c>
      <c r="AR377" s="72" t="n">
        <v>7.56</v>
      </c>
      <c r="AS377" s="72" t="n">
        <v>21.93</v>
      </c>
      <c r="AT377" s="72" t="n">
        <v>285.12</v>
      </c>
      <c r="AU377" s="72" t="n">
        <v>178.84</v>
      </c>
      <c r="AV377" s="72" t="n">
        <v>211.13</v>
      </c>
      <c r="AW377" s="72" t="n">
        <v>15.53</v>
      </c>
      <c r="AX377" s="72" t="n">
        <v>-9.34</v>
      </c>
      <c r="AY377" s="72" t="n">
        <v>-7.97</v>
      </c>
      <c r="AZ377" s="63" t="inlineStr">
        <is>
          <t>HSTECH (Hang Seng TECH ETF)</t>
        </is>
      </c>
      <c r="BA377" s="72" t="n">
        <v>24.61</v>
      </c>
      <c r="BB377" s="64" t="inlineStr">
        <is>
          <t>2026-08-28</t>
        </is>
      </c>
      <c r="BC377" s="65" t="n">
        <v>267.2</v>
      </c>
      <c r="BD377" s="68" t="n">
        <v>-1380.5</v>
      </c>
      <c r="BE377" s="63" t="inlineStr">
        <is>
          <t>N</t>
        </is>
      </c>
      <c r="BF377" s="63" t="inlineStr">
        <is>
          <t>n/m</t>
        </is>
      </c>
      <c r="BG377" s="74" t="n"/>
      <c r="BH377" s="74" t="n"/>
      <c r="BI377" s="74" t="n">
        <v>32.6</v>
      </c>
      <c r="BJ377" s="75">
        <f>IF('BBG Verify'!S377="","not filed — run on terminal",'BBG Verify'!S377)</f>
        <v/>
      </c>
      <c r="BK377" s="76" t="inlineStr">
        <is>
          <t>N</t>
        </is>
      </c>
      <c r="BL377" s="77">
        <f>IF('BBG Verify'!K377="","not filed — run on terminal",'BBG Verify'!K377)</f>
        <v/>
      </c>
      <c r="BM377" s="63" t="inlineStr">
        <is>
          <t>N/A</t>
        </is>
      </c>
      <c r="BN377" s="63" t="inlineStr">
        <is>
          <t>N/A</t>
        </is>
      </c>
      <c r="BO377" s="63" t="inlineStr">
        <is>
          <t>N/A</t>
        </is>
      </c>
      <c r="BP377" s="63" t="inlineStr">
        <is>
          <t>N/A</t>
        </is>
      </c>
      <c r="BQ377" s="63" t="inlineStr">
        <is>
          <t>N/A</t>
        </is>
      </c>
      <c r="BR377" s="63" t="inlineStr">
        <is>
          <t>N/A</t>
        </is>
      </c>
      <c r="BS377" s="76" t="inlineStr">
        <is>
          <t>CITIC Securities (Hong Kong) Limited; CMBC International Capital Limited; Guotai Junan Capital Limited; SPDB International Capital Limited; BOCOM International (Asia) Limited</t>
        </is>
      </c>
      <c r="BT377" s="63" t="inlineStr">
        <is>
          <t>CITIC Securities (Hong Kong) Limited; BOCOM International (Asia) Limited; Guotai Junan Capital Limited; CMBC International Capital Limited; SPDB International Capital Limited</t>
        </is>
      </c>
      <c r="BU377" s="63" t="inlineStr">
        <is>
          <t>BOCOM International Securities Limited; CLSA Limited; CMBC Securities Company Limited; Guotai Junan Securities (Hong Kong) Limited; Livermore Holdings Limited; SPDB International Capital Limited</t>
        </is>
      </c>
      <c r="BV377" s="63" t="inlineStr">
        <is>
          <t>BOCOM International Securities Limited; CLSA Limited; CMBC Securities Company Limited; Guotai Junan Securities (Hong Kong) Limited; Livermore Holdings Limited; SPDB International Capital Limited; Yellow River Securities Limited</t>
        </is>
      </c>
      <c r="BW377" s="78">
        <f>HYPERLINK("https://www1.hkexnews.hk/listedco/listconews/sehk/2025/1020/2025102000015.pdf","prospectus")</f>
        <v/>
      </c>
      <c r="BX377" s="78">
        <f>HYPERLINK("https://www1.hkexnews.hk/listedco/listconews/sehk/2025/1027/2025102701434.pdf","allotment")</f>
        <v/>
      </c>
      <c r="BY377" s="63" t="n"/>
      <c r="BZ377" s="76" t="n"/>
      <c r="CA377" s="63" t="inlineStr">
        <is>
          <t>P/E: n/m — loss-making at IPO (use P/S) · greenshoe: no over-allotment option in the offer structure · range low: cap-only pricing — the filing publishes a Maximum Offer Price and no indicative floor · A/H: no A-share listing · cornerstone list: no cornerstone tranche in this deal · greenshoe size: no over-allotment option in the offer structure · stabilising manager: no over-allotment option in the offer structure, so no stabilising manager is appointed · grey market: no grey-market headline on file for this deal — AAStocks publishes one per listing but keeps only recent items on the stock's news page, and no public archive of past evening sessions exists; captured from this run onward</t>
        </is>
      </c>
    </row>
    <row r="378" ht="15" customHeight="1">
      <c r="A378" s="62" t="inlineStr">
        <is>
          <t>6031</t>
        </is>
      </c>
      <c r="B378" s="63" t="inlineStr">
        <is>
          <t>SANY HEAVY IND</t>
        </is>
      </c>
      <c r="C378" s="63" t="inlineStr">
        <is>
          <t>三一重工</t>
        </is>
      </c>
      <c r="D378" s="63" t="inlineStr">
        <is>
          <t>Industrials</t>
        </is>
      </c>
      <c r="E378" s="63" t="inlineStr">
        <is>
          <t>Capital goods / machinery</t>
        </is>
      </c>
      <c r="F378" s="63" t="inlineStr">
        <is>
          <t>Heavy Electrical Equipment</t>
        </is>
      </c>
      <c r="G378" s="63" t="inlineStr">
        <is>
          <t>Standard</t>
        </is>
      </c>
      <c r="H378" s="64" t="n">
        <v>45958</v>
      </c>
      <c r="I378" s="65" t="n">
        <v>13453.1</v>
      </c>
      <c r="J378" s="63" t="inlineStr">
        <is>
          <t>gross (stated)</t>
        </is>
      </c>
      <c r="K378" s="66" t="n"/>
      <c r="L378" s="66" t="n">
        <v>21.3</v>
      </c>
      <c r="M378" s="66" t="n">
        <v>21.3</v>
      </c>
      <c r="N378" s="63" t="inlineStr">
        <is>
          <t>Y</t>
        </is>
      </c>
      <c r="O378" s="67" t="n">
        <v>100</v>
      </c>
      <c r="P378" s="67" t="n"/>
      <c r="Q378" s="68" t="n">
        <v>184289</v>
      </c>
      <c r="R378" s="63" t="inlineStr">
        <is>
          <t>derived:deal size / offer % of enlarged capital</t>
        </is>
      </c>
      <c r="S378" s="69" t="n">
        <v>52.93</v>
      </c>
      <c r="T378" s="70" t="n">
        <v>13.96</v>
      </c>
      <c r="U378" s="71" t="n">
        <v>43.8</v>
      </c>
      <c r="V378" s="68" t="n">
        <v>7560.64</v>
      </c>
      <c r="W378" s="68" t="n">
        <v>354958526</v>
      </c>
      <c r="X378" s="67" t="n">
        <v>4.1</v>
      </c>
      <c r="Y378" s="63" t="inlineStr">
        <is>
          <t>Temasek; Hillhouse (HHLR); BlackRock, Inc; UBS Asset Management; Infore Capital; Oaktree Capital; Jane Street; Weichai Power</t>
        </is>
      </c>
      <c r="Z378" s="63" t="inlineStr">
        <is>
          <t>temasek;hillhouse;blackrock;ubs;infore;oaktree;jane;weichai</t>
        </is>
      </c>
      <c r="AA378" s="67" t="n">
        <v>15</v>
      </c>
      <c r="AB378" s="72" t="n"/>
      <c r="AC378" s="66" t="n"/>
      <c r="AD378" s="72" t="n"/>
      <c r="AE378" s="63" t="n"/>
      <c r="AF378" s="63" t="n"/>
      <c r="AG378" s="63" t="inlineStr">
        <is>
          <t>partial</t>
        </is>
      </c>
      <c r="AH378" s="63" t="inlineStr">
        <is>
          <t>2025-11-22</t>
        </is>
      </c>
      <c r="AI378" s="63" t="inlineStr">
        <is>
          <t>CLSA Limited</t>
        </is>
      </c>
      <c r="AJ378" s="63" t="inlineStr">
        <is>
          <t>CLSA</t>
        </is>
      </c>
      <c r="AK378" s="73" t="n">
        <v>2.82</v>
      </c>
      <c r="AL378" s="72" t="n">
        <v>0</v>
      </c>
      <c r="AM378" s="72" t="n">
        <v>2.82</v>
      </c>
      <c r="AN378" s="72" t="n">
        <v>6.67</v>
      </c>
      <c r="AO378" s="72" t="n">
        <v>0.19</v>
      </c>
      <c r="AP378" s="72" t="n">
        <v>18.78</v>
      </c>
      <c r="AQ378" s="72" t="n">
        <v>3.74</v>
      </c>
      <c r="AR378" s="72" t="n">
        <v>-2.56</v>
      </c>
      <c r="AS378" s="72" t="n">
        <v>15.52</v>
      </c>
      <c r="AT378" s="72" t="n">
        <v>11.46</v>
      </c>
      <c r="AU378" s="72" t="n">
        <v>6.17</v>
      </c>
      <c r="AV378" s="72" t="n">
        <v>19.75</v>
      </c>
      <c r="AW378" s="72" t="n">
        <v>2.09</v>
      </c>
      <c r="AX378" s="72" t="n">
        <v>-5.98</v>
      </c>
      <c r="AY378" s="72" t="n">
        <v>-4.65</v>
      </c>
      <c r="AZ378" s="63" t="inlineStr">
        <is>
          <t>Hang Seng Commerce &amp; Industry sub-index</t>
        </is>
      </c>
      <c r="BA378" s="72" t="n">
        <v>-12.72</v>
      </c>
      <c r="BB378" s="64" t="inlineStr">
        <is>
          <t>2026-08-28</t>
        </is>
      </c>
      <c r="BC378" s="65" t="n">
        <v>86221.7</v>
      </c>
      <c r="BD378" s="68" t="n">
        <v>6701.8</v>
      </c>
      <c r="BE378" s="63" t="inlineStr">
        <is>
          <t>Y</t>
        </is>
      </c>
      <c r="BF378" s="74" t="n">
        <v>27.5</v>
      </c>
      <c r="BG378" s="74" t="n">
        <v>22.3</v>
      </c>
      <c r="BH378" s="74" t="n">
        <v>16.3</v>
      </c>
      <c r="BI378" s="74" t="n">
        <v>2.1</v>
      </c>
      <c r="BJ378" s="75">
        <f>IF('BBG Verify'!S378="","not filed — run on terminal",'BBG Verify'!S378)</f>
        <v/>
      </c>
      <c r="BK378" s="76" t="inlineStr">
        <is>
          <t>Y</t>
        </is>
      </c>
      <c r="BL378" s="63" t="inlineStr">
        <is>
          <t>600031.SS</t>
        </is>
      </c>
      <c r="BM378" s="72" t="n">
        <v>15.4</v>
      </c>
      <c r="BN378" s="66" t="n">
        <v>24.5793</v>
      </c>
      <c r="BO378" s="80" t="n">
        <v>0.1893</v>
      </c>
      <c r="BP378" s="68" t="n">
        <v>214697.9</v>
      </c>
      <c r="BQ378" s="75">
        <f>IF('BBG Verify'!Q378="","run on terminal",'BBG Verify'!Q378)</f>
        <v/>
      </c>
      <c r="BR378" s="75">
        <f>IF('BBG Verify'!R378="","run on terminal",'BBG Verify'!R378)</f>
        <v/>
      </c>
      <c r="BS378" s="76" t="inlineStr">
        <is>
          <t>CITIC Securities (Hong Kong) Limited</t>
        </is>
      </c>
      <c r="BT378" s="63" t="inlineStr">
        <is>
          <t>CITIC Securities (Hong Kong) Limited</t>
        </is>
      </c>
      <c r="BU378" s="63" t="inlineStr">
        <is>
          <t>CLSA Limited; China International Capital Corporation Hong Kong Securities Limited; BOCI Asia Limited; ABCI Capital Limited; ICBC International Securities Limited; China Merchants Securities (HK) Co., Limited</t>
        </is>
      </c>
      <c r="BV378" s="63" t="inlineStr">
        <is>
          <t>ABCI Securities Company Limited; BOCI Asia Limited; China International Capital Corporation Hong Kong Securities Limited; CLSA Limited; China Merchants Securities (HK) Company Limited; ICBC International Securities Limited</t>
        </is>
      </c>
      <c r="BW378" s="78">
        <f>HYPERLINK("https://www1.hkexnews.hk/listedco/listconews/sehk/2025/1020/2025102000017.pdf","prospectus")</f>
        <v/>
      </c>
      <c r="BX378" s="78">
        <f>HYPERLINK("https://www1.hkexnews.hk/listedco/listconews/sehk/2025/1027/2025102701586.pdf","allotment")</f>
        <v/>
      </c>
      <c r="BY378" s="78">
        <f>HYPERLINK("https://www1.hkexnews.hk/listedco/listconews/sehk/2025/1123/2025112300093.pdf","stabilisation")</f>
        <v/>
      </c>
      <c r="BZ378" s="76" t="n"/>
      <c r="CA378" s="63" t="inlineStr">
        <is>
          <t>range low: cap-only pricing — the filing publishes a Maximum Offer Price and no indicative floor · A/H: Oct 2025, ~US$1.72bn · grey market: no grey-market headline on file for this deal — AAStocks publishes one per listing but keeps only recent items on the stock's news page, and no public archive of past evening sessions exists; captured from this run onward</t>
        </is>
      </c>
    </row>
    <row r="379" ht="15" customHeight="1">
      <c r="A379" s="62" t="inlineStr">
        <is>
          <t>6166</t>
        </is>
      </c>
      <c r="B379" s="63" t="inlineStr">
        <is>
          <t>CIG</t>
        </is>
      </c>
      <c r="C379" s="63" t="inlineStr">
        <is>
          <t>劍橋科技</t>
        </is>
      </c>
      <c r="D379" s="63" t="inlineStr">
        <is>
          <t>Tech/AI</t>
        </is>
      </c>
      <c r="E379" s="63" t="inlineStr">
        <is>
          <t>Smart hardware / consumer electronics</t>
        </is>
      </c>
      <c r="F379" s="63" t="inlineStr">
        <is>
          <t>Telecommunications &amp; Networking Equipment</t>
        </is>
      </c>
      <c r="G379" s="63" t="inlineStr">
        <is>
          <t>Standard</t>
        </is>
      </c>
      <c r="H379" s="64" t="n">
        <v>45958</v>
      </c>
      <c r="I379" s="65" t="n">
        <v>4615.7</v>
      </c>
      <c r="J379" s="63" t="inlineStr">
        <is>
          <t>gross (stated)</t>
        </is>
      </c>
      <c r="K379" s="66" t="n"/>
      <c r="L379" s="66" t="n">
        <v>68.88</v>
      </c>
      <c r="M379" s="66" t="n">
        <v>68.88</v>
      </c>
      <c r="N379" s="63" t="inlineStr">
        <is>
          <t>Y</t>
        </is>
      </c>
      <c r="O379" s="67" t="n">
        <v>100</v>
      </c>
      <c r="P379" s="67" t="n"/>
      <c r="Q379" s="68" t="n">
        <v>25365.2</v>
      </c>
      <c r="R379" s="63" t="inlineStr">
        <is>
          <t>derived:A-line total share capital x H offer price</t>
        </is>
      </c>
      <c r="S379" s="69" t="n">
        <v>338.7</v>
      </c>
      <c r="T379" s="70" t="n">
        <v>16.5</v>
      </c>
      <c r="U379" s="71" t="n">
        <v>48.9</v>
      </c>
      <c r="V379" s="68" t="n">
        <v>2358.62</v>
      </c>
      <c r="W379" s="68" t="n">
        <v>34242366</v>
      </c>
      <c r="X379" s="67" t="n">
        <v>9.300000000000001</v>
      </c>
      <c r="Y379" s="63" t="inlineStr">
        <is>
          <t>Barings; Morgan Stanley Investment Management; HCEP (HongShan); Boyu Capital; Taikang Life; ICBC Wealth Management Co., Ltd; Schonfeld; Dymon Asia</t>
        </is>
      </c>
      <c r="Z379" s="63" t="inlineStr">
        <is>
          <t>barings;morgan;hcep;boyu;taikang;icbc;schonfeld;dymon</t>
        </is>
      </c>
      <c r="AA379" s="67" t="n">
        <v>15</v>
      </c>
      <c r="AB379" s="72" t="n"/>
      <c r="AC379" s="66" t="n"/>
      <c r="AD379" s="72" t="n"/>
      <c r="AE379" s="63" t="n"/>
      <c r="AF379" s="63" t="n"/>
      <c r="AG379" s="63" t="n"/>
      <c r="AH379" s="63" t="inlineStr">
        <is>
          <t>2025-11-22</t>
        </is>
      </c>
      <c r="AI379" s="63" t="inlineStr">
        <is>
          <t>Guotai Junan Securities</t>
        </is>
      </c>
      <c r="AJ379" s="63" t="inlineStr">
        <is>
          <t>Guotai Junan</t>
        </is>
      </c>
      <c r="AK379" s="73" t="n">
        <v>33.86</v>
      </c>
      <c r="AL379" s="72" t="n">
        <v>36.47</v>
      </c>
      <c r="AM379" s="72" t="n">
        <v>-1.91</v>
      </c>
      <c r="AN379" s="72" t="n">
        <v>13.53</v>
      </c>
      <c r="AO379" s="72" t="n">
        <v>14.76</v>
      </c>
      <c r="AP379" s="72" t="n">
        <v>19.05</v>
      </c>
      <c r="AQ379" s="72" t="n">
        <v>-15.19</v>
      </c>
      <c r="AR379" s="72" t="n">
        <v>-14.27</v>
      </c>
      <c r="AS379" s="72" t="n">
        <v>-11.06</v>
      </c>
      <c r="AT379" s="72" t="n">
        <v>19.81</v>
      </c>
      <c r="AU379" s="72" t="n">
        <v>24.1</v>
      </c>
      <c r="AV379" s="72" t="n">
        <v>24.67</v>
      </c>
      <c r="AW379" s="72" t="n">
        <v>-6.3</v>
      </c>
      <c r="AX379" s="72" t="n">
        <v>-9.34</v>
      </c>
      <c r="AY379" s="72" t="n">
        <v>-7.97</v>
      </c>
      <c r="AZ379" s="63" t="inlineStr">
        <is>
          <t>HSTECH (Hang Seng TECH ETF)</t>
        </is>
      </c>
      <c r="BA379" s="72" t="n">
        <v>49.39</v>
      </c>
      <c r="BB379" s="64" t="inlineStr">
        <is>
          <t>2026-08-28</t>
        </is>
      </c>
      <c r="BC379" s="65" t="n">
        <v>4014.9</v>
      </c>
      <c r="BD379" s="68" t="n">
        <v>183.3</v>
      </c>
      <c r="BE379" s="63" t="inlineStr">
        <is>
          <t>Y</t>
        </is>
      </c>
      <c r="BF379" s="74" t="n">
        <v>138.4</v>
      </c>
      <c r="BG379" s="74" t="n">
        <v>107.9</v>
      </c>
      <c r="BH379" s="74" t="n">
        <v>93.7</v>
      </c>
      <c r="BI379" s="74" t="n">
        <v>6.3</v>
      </c>
      <c r="BJ379" s="75">
        <f>IF('BBG Verify'!S379="","not filed — run on terminal",'BBG Verify'!S379)</f>
        <v/>
      </c>
      <c r="BK379" s="76" t="inlineStr">
        <is>
          <t>Y</t>
        </is>
      </c>
      <c r="BL379" s="63" t="inlineStr">
        <is>
          <t>603083.SS</t>
        </is>
      </c>
      <c r="BM379" s="72" t="n">
        <v>88.48</v>
      </c>
      <c r="BN379" s="66" t="n">
        <v>129.8239</v>
      </c>
      <c r="BO379" s="80" t="n">
        <v>1.1758</v>
      </c>
      <c r="BP379" s="68" t="n">
        <v>80609.5</v>
      </c>
      <c r="BQ379" s="75">
        <f>IF('BBG Verify'!Q379="","run on terminal",'BBG Verify'!Q379)</f>
        <v/>
      </c>
      <c r="BR379" s="75">
        <f>IF('BBG Verify'!R379="","run on terminal",'BBG Verify'!R379)</f>
        <v/>
      </c>
      <c r="BS379" s="76" t="n"/>
      <c r="BT379" s="63" t="inlineStr">
        <is>
          <t>Guotai Junan Capital Limited</t>
        </is>
      </c>
      <c r="BU379" s="63" t="inlineStr">
        <is>
          <t>CLSA Limited; DBS Asia Capital Limited; Guotai Junan Securities (Hong Kong) Limited; Star River Securities Limited</t>
        </is>
      </c>
      <c r="BV379" s="63" t="inlineStr">
        <is>
          <t>CLSA Limited; DBS Asia Capital Limited; Guotai Junan Securities (Hong Kong) Limited; Star River Securities Limited</t>
        </is>
      </c>
      <c r="BW379" s="63" t="n"/>
      <c r="BX379" s="78">
        <f>HYPERLINK("https://www1.hkexnews.hk/listedco/listconews/sehk/2025/1027/2025102701698.pdf","allotment")</f>
        <v/>
      </c>
      <c r="BY379" s="63" t="n"/>
      <c r="BZ379" s="76" t="n"/>
      <c r="CA379" s="63" t="inlineStr">
        <is>
          <t>greenshoe: end-of-stabilisation notice not located · range low: cap-only pricing — the filing publishes a Maximum Offer Price and no indicative floor · A/H: Oct 2025 H listing (telecom/AI networking hardware) · sponsor: English name not in the filing text; AAStocks 保薦人 shown · market cap: no share count or stated cap in the filings — company cap proxied by today's A-line total share capital x the H offer price; a capitalisation issue since listing would overstate it · filing links: no prospectus document returned by the HKEX per-stock search for this code — the allotment announcement is linked beside it · grey market: no grey-market headline on file for this deal — AAStocks publishes one per listing but keeps only recent items on the stock's news page, and no public archive of past evening sessions exists; captured from this run onward</t>
        </is>
      </c>
    </row>
    <row r="380" ht="15" customHeight="1">
      <c r="A380" s="62" t="inlineStr">
        <is>
          <t>6980</t>
        </is>
      </c>
      <c r="B380" s="63" t="inlineStr">
        <is>
          <t>BAMA TEA</t>
        </is>
      </c>
      <c r="C380" s="63" t="inlineStr">
        <is>
          <t>八馬茶業</t>
        </is>
      </c>
      <c r="D380" s="63" t="inlineStr">
        <is>
          <t>Consumer</t>
        </is>
      </c>
      <c r="E380" s="63" t="inlineStr">
        <is>
          <t>Beverages / packaged food</t>
        </is>
      </c>
      <c r="F380" s="63" t="inlineStr">
        <is>
          <t>Beverages (Non-alcoholic)</t>
        </is>
      </c>
      <c r="G380" s="63" t="inlineStr">
        <is>
          <t>Standard</t>
        </is>
      </c>
      <c r="H380" s="64" t="n">
        <v>45958</v>
      </c>
      <c r="I380" s="65" t="n">
        <v>450</v>
      </c>
      <c r="J380" s="63" t="inlineStr">
        <is>
          <t>gross (stated)</t>
        </is>
      </c>
      <c r="K380" s="66" t="n"/>
      <c r="L380" s="66" t="n">
        <v>50</v>
      </c>
      <c r="M380" s="66" t="n">
        <v>50</v>
      </c>
      <c r="N380" s="63" t="inlineStr">
        <is>
          <t>Y</t>
        </is>
      </c>
      <c r="O380" s="67" t="n">
        <v>100</v>
      </c>
      <c r="P380" s="67" t="n"/>
      <c r="Q380" s="68" t="n">
        <v>4250</v>
      </c>
      <c r="R380" s="63" t="inlineStr">
        <is>
          <t>derived:price x shares upon listing</t>
        </is>
      </c>
      <c r="S380" s="69" t="n">
        <v>2680.04</v>
      </c>
      <c r="T380" s="70" t="n">
        <v>13.58</v>
      </c>
      <c r="U380" s="71" t="n">
        <v>0</v>
      </c>
      <c r="V380" s="68" t="n">
        <v>450</v>
      </c>
      <c r="W380" s="68" t="n">
        <v>9000000</v>
      </c>
      <c r="X380" s="67" t="n">
        <v>10.59</v>
      </c>
      <c r="Y380" s="63" t="n"/>
      <c r="Z380" s="63" t="n"/>
      <c r="AA380" s="67" t="n">
        <v>15</v>
      </c>
      <c r="AB380" s="72" t="n">
        <v>60.2</v>
      </c>
      <c r="AC380" s="66" t="n">
        <v>80.09999999999999</v>
      </c>
      <c r="AD380" s="72" t="n">
        <v>16.54</v>
      </c>
      <c r="AE380" s="63" t="inlineStr">
        <is>
          <t>Y</t>
        </is>
      </c>
      <c r="AF380" s="63" t="inlineStr">
        <is>
          <t>2025-10-27</t>
        </is>
      </c>
      <c r="AG380" s="63" t="n"/>
      <c r="AH380" s="63" t="n"/>
      <c r="AI380" s="63" t="n"/>
      <c r="AJ380" s="63" t="n"/>
      <c r="AK380" s="73" t="n">
        <v>86.7</v>
      </c>
      <c r="AL380" s="72" t="n">
        <v>60.2</v>
      </c>
      <c r="AM380" s="72" t="n">
        <v>16.54</v>
      </c>
      <c r="AN380" s="72" t="n">
        <v>46</v>
      </c>
      <c r="AO380" s="72" t="n">
        <v>5</v>
      </c>
      <c r="AP380" s="72" t="n">
        <v>-40.04</v>
      </c>
      <c r="AQ380" s="72" t="n">
        <v>-21.8</v>
      </c>
      <c r="AR380" s="72" t="n">
        <v>-43.76</v>
      </c>
      <c r="AS380" s="72" t="n">
        <v>-67.88</v>
      </c>
      <c r="AT380" s="72" t="n">
        <v>50.79</v>
      </c>
      <c r="AU380" s="72" t="n">
        <v>10.98</v>
      </c>
      <c r="AV380" s="72" t="n">
        <v>-39.07</v>
      </c>
      <c r="AW380" s="72" t="n">
        <v>-39.11</v>
      </c>
      <c r="AX380" s="72" t="n">
        <v>-5.98</v>
      </c>
      <c r="AY380" s="72" t="n">
        <v>-4.65</v>
      </c>
      <c r="AZ380" s="63" t="inlineStr">
        <is>
          <t>Hang Seng Commerce &amp; Industry sub-index</t>
        </is>
      </c>
      <c r="BA380" s="72" t="n">
        <v>-36.32</v>
      </c>
      <c r="BB380" s="64" t="inlineStr">
        <is>
          <t>2026-08-28</t>
        </is>
      </c>
      <c r="BC380" s="65" t="n">
        <v>2357.6</v>
      </c>
      <c r="BD380" s="68" t="n">
        <v>246.6</v>
      </c>
      <c r="BE380" s="63" t="inlineStr">
        <is>
          <t>Y</t>
        </is>
      </c>
      <c r="BF380" s="74" t="n">
        <v>17.2</v>
      </c>
      <c r="BG380" s="74" t="n">
        <v>32.7</v>
      </c>
      <c r="BH380" s="74" t="n">
        <v>7.7</v>
      </c>
      <c r="BI380" s="74" t="n">
        <v>1.8</v>
      </c>
      <c r="BJ380" s="75">
        <f>IF('BBG Verify'!S380="","not filed — run on terminal",'BBG Verify'!S380)</f>
        <v/>
      </c>
      <c r="BK380" s="76" t="inlineStr">
        <is>
          <t>N</t>
        </is>
      </c>
      <c r="BL380" s="77">
        <f>IF('BBG Verify'!K380="","not filed — run on terminal",'BBG Verify'!K380)</f>
        <v/>
      </c>
      <c r="BM380" s="63" t="inlineStr">
        <is>
          <t>N/A</t>
        </is>
      </c>
      <c r="BN380" s="63" t="inlineStr">
        <is>
          <t>N/A</t>
        </is>
      </c>
      <c r="BO380" s="63" t="inlineStr">
        <is>
          <t>N/A</t>
        </is>
      </c>
      <c r="BP380" s="63" t="inlineStr">
        <is>
          <t>N/A</t>
        </is>
      </c>
      <c r="BQ380" s="63" t="inlineStr">
        <is>
          <t>N/A</t>
        </is>
      </c>
      <c r="BR380" s="63" t="inlineStr">
        <is>
          <t>N/A</t>
        </is>
      </c>
      <c r="BS380" s="76" t="inlineStr">
        <is>
          <t>Huatai Financial Holdings (Hong Kong) Limited; ABCI Capital Limited; TFI Capital Limited</t>
        </is>
      </c>
      <c r="BT380" s="63" t="inlineStr">
        <is>
          <t>Huatai Financial Holdings (Hong Kong) Limited; TFI Capital Limited; ABCI Capital Limited</t>
        </is>
      </c>
      <c r="BU380" s="63" t="inlineStr">
        <is>
          <t>Huatai Financial Holdings (Hong Kong) Limited; ABCI Capital Limited; TFI Securities and Futures Limited; CLSA Limited; Shenwan Hongyuan Securities (H.K.) Limited; China Galaxy International Securities (Hong Kong) Co., Limited; UOB Kay Hian (Hong Kong) Limited; SPDB International Capital Limited; CMBC Securities Company Limited; Funde Securities Limited</t>
        </is>
      </c>
      <c r="BV380" s="63" t="inlineStr">
        <is>
          <t>ABCI Securities Company Limited; AVICT Global Asset Management Limited; China Galaxy International Securities (Hong Kong) Company Limited; CLSA Limited; CMBC Securities Company Limited; Funde Securities Limited; First Shanghai Securities Limited; Futu Securities International (Hong Kong) Limited; Huatai Financial Holdings (Hong Kong) Limited; Maxa Capital Limited; Shenwan Hongyuan Securities (H.K.) Limited; SPDB International Capital Limited</t>
        </is>
      </c>
      <c r="BW380" s="78">
        <f>HYPERLINK("https://www1.hkexnews.hk/listedco/listconews/sehk/2025/1020/2025102000021.pdf","prospectus")</f>
        <v/>
      </c>
      <c r="BX380" s="78">
        <f>HYPERLINK("https://www1.hkexnews.hk/listedco/listconews/sehk/2025/1027/2025102701732.pdf","allotment")</f>
        <v/>
      </c>
      <c r="BY380" s="63" t="n"/>
      <c r="BZ380" s="76" t="n"/>
      <c r="CA380" s="63" t="inlineStr">
        <is>
          <t>greenshoe: end-of-stabilisation notice not located · range low: cap-only pricing — the filing publishes a Maximum Offer Price and no indicative floor · A/H: no A-share listing · cornerstone list: no cornerstone tranche in this deal · stabilising manager: the filing states no stabilising manager will be appointed — a filed fact, not an extraction gap (prospectus: 'no stabilizing manager will be appointed' stated in the filing)</t>
        </is>
      </c>
    </row>
    <row r="381" ht="15" customHeight="1">
      <c r="A381" s="62" t="inlineStr">
        <is>
          <t>2718</t>
        </is>
      </c>
      <c r="B381" s="63" t="inlineStr">
        <is>
          <t>MININGLAMP-W</t>
        </is>
      </c>
      <c r="C381" s="63" t="inlineStr">
        <is>
          <t>明略科技－Ｗ</t>
        </is>
      </c>
      <c r="D381" s="63" t="inlineStr">
        <is>
          <t>Tech/AI</t>
        </is>
      </c>
      <c r="E381" s="63" t="inlineStr">
        <is>
          <t>AI application / agent software</t>
        </is>
      </c>
      <c r="F381" s="63" t="inlineStr">
        <is>
          <t>Advanced hardware and software</t>
        </is>
      </c>
      <c r="G381" s="63" t="inlineStr">
        <is>
          <t>WVR</t>
        </is>
      </c>
      <c r="H381" s="64" t="n">
        <v>45964</v>
      </c>
      <c r="I381" s="65" t="n">
        <v>1017.9</v>
      </c>
      <c r="J381" s="63" t="inlineStr">
        <is>
          <t>gross (stated)</t>
        </is>
      </c>
      <c r="K381" s="66" t="n"/>
      <c r="L381" s="66" t="n">
        <v>141</v>
      </c>
      <c r="M381" s="66" t="n">
        <v>141</v>
      </c>
      <c r="N381" s="63" t="inlineStr">
        <is>
          <t>Y</t>
        </is>
      </c>
      <c r="O381" s="67" t="n">
        <v>100</v>
      </c>
      <c r="P381" s="67" t="n"/>
      <c r="Q381" s="68" t="n">
        <v>20357</v>
      </c>
      <c r="R381" s="63" t="inlineStr">
        <is>
          <t>press:chiefgroup 2718: 上市價141.0 市值203.57億</t>
        </is>
      </c>
      <c r="S381" s="69" t="n">
        <v>4452.86</v>
      </c>
      <c r="T381" s="70" t="n">
        <v>13.93</v>
      </c>
      <c r="U381" s="71" t="n">
        <v>45.1</v>
      </c>
      <c r="V381" s="68" t="n">
        <v>558.83</v>
      </c>
      <c r="W381" s="68" t="n">
        <v>3963231</v>
      </c>
      <c r="X381" s="67" t="n">
        <v>2.75</v>
      </c>
      <c r="Y381" s="63" t="inlineStr">
        <is>
          <t>Huang River Investment Limited; Hundreds Capital; GFH Financial Group B.S.C; QuantumPharm Limited; International Capital Management Limited; China AMC; Huatai Capital Investment Limited</t>
        </is>
      </c>
      <c r="Z381" s="63" t="inlineStr">
        <is>
          <t>huang-river;hundreds;gfh;quantumpharm;international-capital;amc;huatai</t>
        </is>
      </c>
      <c r="AA381" s="67" t="n">
        <v>15</v>
      </c>
      <c r="AB381" s="72" t="n">
        <v>110.6</v>
      </c>
      <c r="AC381" s="66" t="n">
        <v>297</v>
      </c>
      <c r="AD381" s="72" t="n">
        <v>-2.14</v>
      </c>
      <c r="AE381" s="63" t="inlineStr">
        <is>
          <t>Y</t>
        </is>
      </c>
      <c r="AF381" s="63" t="inlineStr">
        <is>
          <t>2025-10-31</t>
        </is>
      </c>
      <c r="AG381" s="63" t="n"/>
      <c r="AH381" s="63" t="inlineStr">
        <is>
          <t>2025-11-27</t>
        </is>
      </c>
      <c r="AI381" s="63" t="inlineStr">
        <is>
          <t>China International Capital Corporation Hong Kong Securities Limited</t>
        </is>
      </c>
      <c r="AJ381" s="63" t="inlineStr">
        <is>
          <t>China International</t>
        </is>
      </c>
      <c r="AK381" s="73" t="n">
        <v>106.1</v>
      </c>
      <c r="AL381" s="72" t="n">
        <v>98.58</v>
      </c>
      <c r="AM381" s="72" t="n">
        <v>3.79</v>
      </c>
      <c r="AN381" s="72" t="n">
        <v>57.16</v>
      </c>
      <c r="AO381" s="72" t="n">
        <v>45.25</v>
      </c>
      <c r="AP381" s="72" t="n">
        <v>77.87</v>
      </c>
      <c r="AQ381" s="72" t="n">
        <v>-23.75</v>
      </c>
      <c r="AR381" s="72" t="n">
        <v>-29.52</v>
      </c>
      <c r="AS381" s="72" t="n">
        <v>-13.7</v>
      </c>
      <c r="AT381" s="72" t="n">
        <v>57.42</v>
      </c>
      <c r="AU381" s="72" t="n">
        <v>50.16</v>
      </c>
      <c r="AV381" s="72" t="n">
        <v>85.79000000000001</v>
      </c>
      <c r="AW381" s="72" t="n">
        <v>-24.52</v>
      </c>
      <c r="AX381" s="72" t="n">
        <v>-4.91</v>
      </c>
      <c r="AY381" s="72" t="n">
        <v>-5</v>
      </c>
      <c r="AZ381" s="63" t="inlineStr">
        <is>
          <t>HSTECH (Hang Seng TECH ETF)</t>
        </is>
      </c>
      <c r="BA381" s="72" t="n">
        <v>-70.28</v>
      </c>
      <c r="BB381" s="64" t="inlineStr">
        <is>
          <t>2026-08-28</t>
        </is>
      </c>
      <c r="BC381" s="65" t="n">
        <v>1519.5</v>
      </c>
      <c r="BD381" s="68" t="n"/>
      <c r="BE381" s="63" t="inlineStr">
        <is>
          <t>Y</t>
        </is>
      </c>
      <c r="BF381" s="75">
        <f>IF('BBG Verify'!O381="","not filed — run on terminal",'BBG Verify'!O381)</f>
        <v/>
      </c>
      <c r="BG381" s="74" t="n"/>
      <c r="BH381" s="74" t="n"/>
      <c r="BI381" s="74" t="n">
        <v>13.4</v>
      </c>
      <c r="BJ381" s="75">
        <f>IF('BBG Verify'!S381="","not filed — run on terminal",'BBG Verify'!S381)</f>
        <v/>
      </c>
      <c r="BK381" s="76" t="inlineStr">
        <is>
          <t>N</t>
        </is>
      </c>
      <c r="BL381" s="77">
        <f>IF('BBG Verify'!K381="","not filed — run on terminal",'BBG Verify'!K381)</f>
        <v/>
      </c>
      <c r="BM381" s="63" t="inlineStr">
        <is>
          <t>N/A</t>
        </is>
      </c>
      <c r="BN381" s="63" t="inlineStr">
        <is>
          <t>N/A</t>
        </is>
      </c>
      <c r="BO381" s="63" t="inlineStr">
        <is>
          <t>N/A</t>
        </is>
      </c>
      <c r="BP381" s="63" t="inlineStr">
        <is>
          <t>N/A</t>
        </is>
      </c>
      <c r="BQ381" s="63" t="inlineStr">
        <is>
          <t>N/A</t>
        </is>
      </c>
      <c r="BR381" s="63" t="inlineStr">
        <is>
          <t>N/A</t>
        </is>
      </c>
      <c r="BS381" s="76" t="n"/>
      <c r="BT381" s="63" t="inlineStr">
        <is>
          <t>China International Capital Corporation Hong Kong Securities Limited</t>
        </is>
      </c>
      <c r="BU381" s="63" t="inlineStr">
        <is>
          <t>China International Capital Corporation Hong Kong Securities Limited; Citrus Securities Limited; CLSA Limited; China Renaissance Securities (Hong Kong) Limited; Futu Securities International (Hong Kong) Limited; FUZE SECURITIES (INTERNATIONAL) LIMITED</t>
        </is>
      </c>
      <c r="BV381" s="63" t="inlineStr">
        <is>
          <t>China International Capital Corporation Hong Kong Securities Limited; Citrus Securities Limited; CLSA Limited; China Renaissance Securities (Hong Kong) Limited; Futu Securities International (Hong Kong) Limited; FUZE SECURITIES (INTERNATIONAL) LIMITED; Livermore Holdings Limited; Mulana Investment Management Limited; Tiger Brokers (HK) Global Limited</t>
        </is>
      </c>
      <c r="BW381" s="63" t="n"/>
      <c r="BX381" s="78">
        <f>HYPERLINK("https://www1.hkexnews.hk/listedco/listconews/sehk/2025/1031/2025103103042.pdf","allotment")</f>
        <v/>
      </c>
      <c r="BY381" s="63" t="n"/>
      <c r="BZ381" s="76" t="n"/>
      <c r="CA381" s="63" t="inlineStr">
        <is>
          <t>P/E: withheld — mktcap / net income gives 3,915x, which fails the 300x plausibility check; the extracted net income (HK$5.2m) is not trustworthy · greenshoe: end-of-stabilisation notice not located · price range: fixed-price offering (no indicative range) · range low: cap-only pricing — the filing publishes a Maximum Offer Price and no indicative floor · A/H: no A-share listing · sponsor: English name not in the filing text; AAStocks 保薦人 shown · financials: financial tables not machine-extractable and the pre-IPO year is outside AAStocks' 5-year window · filing links: no prospectus document returned by the HKEX per-stock search for this code — the allotment announcement is linked beside it</t>
        </is>
      </c>
    </row>
    <row r="382" ht="15" customHeight="1">
      <c r="A382" s="62" t="inlineStr">
        <is>
          <t>9927</t>
        </is>
      </c>
      <c r="B382" s="63" t="inlineStr">
        <is>
          <t>SERES</t>
        </is>
      </c>
      <c r="C382" s="63" t="inlineStr">
        <is>
          <t>賽力斯</t>
        </is>
      </c>
      <c r="D382" s="63" t="inlineStr">
        <is>
          <t>Consumer</t>
        </is>
      </c>
      <c r="E382" s="63" t="inlineStr">
        <is>
          <t>Autos (NEV OEM)</t>
        </is>
      </c>
      <c r="F382" s="63" t="inlineStr">
        <is>
          <t>Automobile Manufacturers</t>
        </is>
      </c>
      <c r="G382" s="63" t="inlineStr">
        <is>
          <t>Standard</t>
        </is>
      </c>
      <c r="H382" s="64" t="n">
        <v>45966</v>
      </c>
      <c r="I382" s="65" t="n">
        <v>14283.4</v>
      </c>
      <c r="J382" s="63" t="inlineStr">
        <is>
          <t>gross (stated)</t>
        </is>
      </c>
      <c r="K382" s="66" t="n"/>
      <c r="L382" s="66" t="n">
        <v>131.5</v>
      </c>
      <c r="M382" s="66" t="n">
        <v>131.5</v>
      </c>
      <c r="N382" s="63" t="inlineStr">
        <is>
          <t>Y</t>
        </is>
      </c>
      <c r="O382" s="67" t="n">
        <v>100</v>
      </c>
      <c r="P382" s="67" t="n"/>
      <c r="Q382" s="68" t="n">
        <v>216743.6</v>
      </c>
      <c r="R382" s="63" t="inlineStr">
        <is>
          <t>derived:deal size / offer % of enlarged capital</t>
        </is>
      </c>
      <c r="S382" s="69" t="n">
        <v>132.68</v>
      </c>
      <c r="T382" s="70" t="n">
        <v>8.609999999999999</v>
      </c>
      <c r="U382" s="71" t="n">
        <v>44.8</v>
      </c>
      <c r="V382" s="68" t="n">
        <v>7884.44</v>
      </c>
      <c r="W382" s="68" t="n">
        <v>59957688</v>
      </c>
      <c r="X382" s="67" t="n">
        <v>3.64</v>
      </c>
      <c r="Y382" s="63" t="inlineStr">
        <is>
          <t>Lin Yuan; GF Fund Management Co., Ltd; New China Asset Management; Sanhua (Hong Kong); Zhink International; Gold Wings; Honour Goal Investments; Hichain Logistics; Schroder Investment Management (Singapore) Ltd; Mirae Securities; Mirae Asset Securities (HK) Limited; New Alternative Limited; China Meidong; Ghisallo Capital Management (HK) Limited</t>
        </is>
      </c>
      <c r="Z382" s="63" t="inlineStr">
        <is>
          <t>lin-yuan;gf;new;sanhua;zhink;gold;honour;hichain;schroder;mirae;new-alternative;meidong;ghisallo</t>
        </is>
      </c>
      <c r="AA382" s="67" t="n">
        <v>5.78</v>
      </c>
      <c r="AB382" s="72" t="n"/>
      <c r="AC382" s="66" t="n"/>
      <c r="AD382" s="72" t="n"/>
      <c r="AE382" s="63" t="n"/>
      <c r="AF382" s="63" t="n"/>
      <c r="AG382" s="63" t="inlineStr">
        <is>
          <t>partial</t>
        </is>
      </c>
      <c r="AH382" s="63" t="inlineStr">
        <is>
          <t>2025-11-30</t>
        </is>
      </c>
      <c r="AI382" s="63" t="inlineStr">
        <is>
          <t>China International Capital Corporation Hong Kong Securities Limited</t>
        </is>
      </c>
      <c r="AJ382" s="63" t="inlineStr">
        <is>
          <t>China International</t>
        </is>
      </c>
      <c r="AK382" s="73" t="n">
        <v>0</v>
      </c>
      <c r="AL382" s="72" t="n">
        <v>-1.98</v>
      </c>
      <c r="AM382" s="72" t="n">
        <v>2.02</v>
      </c>
      <c r="AN382" s="72" t="n">
        <v>-12.17</v>
      </c>
      <c r="AO382" s="72" t="n">
        <v>-11.94</v>
      </c>
      <c r="AP382" s="72" t="n">
        <v>-26.2</v>
      </c>
      <c r="AQ382" s="72" t="n">
        <v>-12.17</v>
      </c>
      <c r="AR382" s="72" t="n">
        <v>-11.94</v>
      </c>
      <c r="AS382" s="72" t="n">
        <v>-26.2</v>
      </c>
      <c r="AT382" s="72" t="n">
        <v>-15.09</v>
      </c>
      <c r="AU382" s="72" t="n">
        <v>-11.49</v>
      </c>
      <c r="AV382" s="72" t="n">
        <v>-24.44</v>
      </c>
      <c r="AW382" s="72" t="n">
        <v>-11.54</v>
      </c>
      <c r="AX382" s="72" t="n">
        <v>-0.45</v>
      </c>
      <c r="AY382" s="72" t="n">
        <v>-0.4</v>
      </c>
      <c r="AZ382" s="63" t="inlineStr">
        <is>
          <t>Hang Seng Commerce &amp; Industry sub-index</t>
        </is>
      </c>
      <c r="BA382" s="72" t="n">
        <v>-68.97</v>
      </c>
      <c r="BB382" s="64" t="inlineStr">
        <is>
          <t>2026-08-28</t>
        </is>
      </c>
      <c r="BC382" s="65" t="n">
        <v>159625</v>
      </c>
      <c r="BD382" s="68" t="n">
        <v>-1527.6</v>
      </c>
      <c r="BE382" s="63" t="inlineStr">
        <is>
          <t>N</t>
        </is>
      </c>
      <c r="BF382" s="63" t="inlineStr">
        <is>
          <t>n/m</t>
        </is>
      </c>
      <c r="BG382" s="74" t="n">
        <v>25.5</v>
      </c>
      <c r="BH382" s="74" t="n">
        <v>9.699999999999999</v>
      </c>
      <c r="BI382" s="74" t="n">
        <v>1.4</v>
      </c>
      <c r="BJ382" s="75">
        <f>IF('BBG Verify'!S382="","not filed — run on terminal",'BBG Verify'!S382)</f>
        <v/>
      </c>
      <c r="BK382" s="76" t="inlineStr">
        <is>
          <t>Y</t>
        </is>
      </c>
      <c r="BL382" s="63" t="inlineStr">
        <is>
          <t>601127.SS</t>
        </is>
      </c>
      <c r="BM382" s="72" t="n">
        <v>27.41</v>
      </c>
      <c r="BN382" s="66" t="n">
        <v>167.5467</v>
      </c>
      <c r="BO382" s="80" t="n">
        <v>0.4643</v>
      </c>
      <c r="BP382" s="68" t="n">
        <v>100820.2</v>
      </c>
      <c r="BQ382" s="75">
        <f>IF('BBG Verify'!Q382="","run on terminal",'BBG Verify'!Q382)</f>
        <v/>
      </c>
      <c r="BR382" s="75">
        <f>IF('BBG Verify'!R382="","run on terminal",'BBG Verify'!R382)</f>
        <v/>
      </c>
      <c r="BS382" s="76" t="inlineStr">
        <is>
          <t>CICC; China Galaxy International</t>
        </is>
      </c>
      <c r="BT382" s="63" t="inlineStr">
        <is>
          <t>China International Capital Corporation Hong Kong Securities Limited; China Galaxy International Securities (Hong Kong) Company Limited</t>
        </is>
      </c>
      <c r="BU382" s="63" t="inlineStr">
        <is>
          <t>China International Capital Corporation Hong Kong Securities Limited; China Galaxy International Securities (Hong Kong) Co., Limited; Huatai Financial Holdings (Hong Kong) Limited</t>
        </is>
      </c>
      <c r="BV382" s="63" t="inlineStr">
        <is>
          <t>China Galaxy International Securities (Hong Kong) Company Limited; China International Capital Corporation Hong Kong Securities Limited; Huatai Financial Holdings (Hong Kong) Limited</t>
        </is>
      </c>
      <c r="BW382" s="78">
        <f>HYPERLINK("https://www1.hkexnews.hk/listedco/listconews/sehk/2025/1027/2025102700059.pdf","prospectus")</f>
        <v/>
      </c>
      <c r="BX382" s="78">
        <f>HYPERLINK("https://www1.hkexnews.hk/listedco/listconews/sehk/2025/1104/2025110402282.pdf","allotment")</f>
        <v/>
      </c>
      <c r="BY382" s="78">
        <f>HYPERLINK("https://www1.hkexnews.hk/listedco/listconews/sehk/2025/1130/2025113000281.pdf","stabilisation")</f>
        <v/>
      </c>
      <c r="BZ382" s="76" t="n"/>
      <c r="CA382" s="63" t="inlineStr">
        <is>
          <t>P/E: n/m — loss-making at IPO (use P/S) · range low: cap-only pricing — the filing publishes a Maximum Offer Price and no indicative floor · A/H: Nov 2025, HK$14.28bn (~US$1.8bn) — 3rd-largest HK IPO of 2025; flat debut · grey market: no grey-market headline on file for this deal — AAStocks publishes one per listing but keeps only recent items on the stock's news page, and no public archive of past evening sessions exists; captured from this run onward</t>
        </is>
      </c>
    </row>
    <row r="383" ht="15" customHeight="1">
      <c r="A383" s="62" t="inlineStr">
        <is>
          <t>2630</t>
        </is>
      </c>
      <c r="B383" s="63" t="inlineStr">
        <is>
          <t>VIGONVITA-B</t>
        </is>
      </c>
      <c r="C383" s="63" t="inlineStr">
        <is>
          <t>旺山旺水－Ｂ</t>
        </is>
      </c>
      <c r="D383" s="63" t="inlineStr">
        <is>
          <t>Healthcare</t>
        </is>
      </c>
      <c r="E383" s="63" t="inlineStr">
        <is>
          <t>Biotech pre-revenue (18A)</t>
        </is>
      </c>
      <c r="F383" s="63" t="inlineStr">
        <is>
          <t>Biotechnology - Pharmaceuticals</t>
        </is>
      </c>
      <c r="G383" s="63" t="inlineStr">
        <is>
          <t>18A</t>
        </is>
      </c>
      <c r="H383" s="64" t="n">
        <v>45967</v>
      </c>
      <c r="I383" s="65" t="n">
        <v>587.24</v>
      </c>
      <c r="J383" s="63" t="inlineStr">
        <is>
          <t>gross (stated)</t>
        </is>
      </c>
      <c r="K383" s="66" t="n"/>
      <c r="L383" s="66" t="n">
        <v>34</v>
      </c>
      <c r="M383" s="66" t="n">
        <v>33.37</v>
      </c>
      <c r="N383" s="63" t="inlineStr">
        <is>
          <t>N</t>
        </is>
      </c>
      <c r="O383" s="67" t="n">
        <v>98.09999999999999</v>
      </c>
      <c r="P383" s="67" t="n"/>
      <c r="Q383" s="68" t="n">
        <v>5592.7</v>
      </c>
      <c r="R383" s="63" t="inlineStr">
        <is>
          <t>derived:price x shares upon listing</t>
        </is>
      </c>
      <c r="S383" s="69" t="n">
        <v>6238.42</v>
      </c>
      <c r="T383" s="70" t="n">
        <v>16.87</v>
      </c>
      <c r="U383" s="71" t="n"/>
      <c r="V383" s="68" t="n"/>
      <c r="W383" s="68" t="n"/>
      <c r="X383" s="67" t="n"/>
      <c r="Y383" s="63" t="inlineStr">
        <is>
          <t>Ms. Jin Jie; Dr. Shen; Suzhou Industrial Investment</t>
        </is>
      </c>
      <c r="Z383" s="63" t="inlineStr">
        <is>
          <t>ms-jin;dr-shen;suzhou</t>
        </is>
      </c>
      <c r="AA383" s="67" t="n">
        <v>6.24</v>
      </c>
      <c r="AB383" s="72" t="n">
        <v>154.7</v>
      </c>
      <c r="AC383" s="66" t="n">
        <v>85</v>
      </c>
      <c r="AD383" s="72" t="n">
        <v>-3.52</v>
      </c>
      <c r="AE383" s="63" t="inlineStr">
        <is>
          <t>Y</t>
        </is>
      </c>
      <c r="AF383" s="63" t="inlineStr">
        <is>
          <t>2025-11-05</t>
        </is>
      </c>
      <c r="AG383" s="63" t="inlineStr">
        <is>
          <t>lapsed (no over-allocation)</t>
        </is>
      </c>
      <c r="AH383" s="63" t="inlineStr">
        <is>
          <t>2025-12-03</t>
        </is>
      </c>
      <c r="AI383" s="63" t="inlineStr">
        <is>
          <t>CLSA Limited</t>
        </is>
      </c>
      <c r="AJ383" s="63" t="inlineStr">
        <is>
          <t>CLSA</t>
        </is>
      </c>
      <c r="AK383" s="73" t="n">
        <v>145.73</v>
      </c>
      <c r="AL383" s="72" t="n">
        <v>184.69</v>
      </c>
      <c r="AM383" s="72" t="n">
        <v>-13.69</v>
      </c>
      <c r="AN383" s="72" t="n">
        <v>64.97</v>
      </c>
      <c r="AO383" s="72" t="n">
        <v>131.05</v>
      </c>
      <c r="AP383" s="72" t="n">
        <v>216.15</v>
      </c>
      <c r="AQ383" s="72" t="n">
        <v>-32.87</v>
      </c>
      <c r="AR383" s="72" t="n">
        <v>-5.97</v>
      </c>
      <c r="AS383" s="72" t="n">
        <v>28.66</v>
      </c>
      <c r="AT383" s="72" t="n">
        <v>61.71</v>
      </c>
      <c r="AU383" s="72" t="n">
        <v>132.59</v>
      </c>
      <c r="AV383" s="72" t="n">
        <v>223.02</v>
      </c>
      <c r="AW383" s="72" t="n">
        <v>-4.04</v>
      </c>
      <c r="AX383" s="72" t="n">
        <v>-1.54</v>
      </c>
      <c r="AY383" s="72" t="n">
        <v>-1.93</v>
      </c>
      <c r="AZ383" s="63" t="inlineStr">
        <is>
          <t>China Biotech ETF (HS biotech proxy)</t>
        </is>
      </c>
      <c r="BA383" s="72" t="n">
        <v>198.62</v>
      </c>
      <c r="BB383" s="64" t="inlineStr">
        <is>
          <t>2026-08-28</t>
        </is>
      </c>
      <c r="BC383" s="65" t="n">
        <v>3.5</v>
      </c>
      <c r="BD383" s="68" t="n">
        <v>-81.2</v>
      </c>
      <c r="BE383" s="63" t="inlineStr">
        <is>
          <t>N</t>
        </is>
      </c>
      <c r="BF383" s="63" t="inlineStr">
        <is>
          <t>n/m</t>
        </is>
      </c>
      <c r="BG383" s="74" t="n"/>
      <c r="BH383" s="74" t="n"/>
      <c r="BI383" s="74" t="n">
        <v>1597.9</v>
      </c>
      <c r="BJ383" s="75">
        <f>IF('BBG Verify'!S383="","not filed — run on terminal",'BBG Verify'!S383)</f>
        <v/>
      </c>
      <c r="BK383" s="76" t="inlineStr">
        <is>
          <t>N</t>
        </is>
      </c>
      <c r="BL383" s="77">
        <f>IF('BBG Verify'!K383="","not filed — run on terminal",'BBG Verify'!K383)</f>
        <v/>
      </c>
      <c r="BM383" s="63" t="inlineStr">
        <is>
          <t>N/A</t>
        </is>
      </c>
      <c r="BN383" s="63" t="inlineStr">
        <is>
          <t>N/A</t>
        </is>
      </c>
      <c r="BO383" s="63" t="inlineStr">
        <is>
          <t>N/A</t>
        </is>
      </c>
      <c r="BP383" s="63" t="inlineStr">
        <is>
          <t>N/A</t>
        </is>
      </c>
      <c r="BQ383" s="63" t="inlineStr">
        <is>
          <t>N/A</t>
        </is>
      </c>
      <c r="BR383" s="63" t="inlineStr">
        <is>
          <t>N/A</t>
        </is>
      </c>
      <c r="BS383" s="76" t="inlineStr">
        <is>
          <t>CITIC Securities (Hong Kong) Limited</t>
        </is>
      </c>
      <c r="BT383" s="63" t="inlineStr">
        <is>
          <t>CITIC Securities (Hong Kong) Limited</t>
        </is>
      </c>
      <c r="BU383" s="63" t="inlineStr">
        <is>
          <t>CLSA Limited; China International Capital Corporation Hong Kong Securities Limited; ABCI Capital Limited; China Galaxy International Securities (Hong Kong) Co., Limited; CCB International Capital Limited; China Everbright Securities (HK) Limited; Futu Securities International (Hong Kong) Limited; Tiger Brokers (HK) Global Limited; Zhongtai International Securities Limited</t>
        </is>
      </c>
      <c r="BV383" s="63" t="inlineStr">
        <is>
          <t>ABCI Securities Company Limited; CCB International Capital Limited; China Everbright Securities (HK) Limited; China Galaxy International Securities (Hong Kong) Company Limited; China International Capital Corporation Hong Kong Securities Limited; CLSA Limited; Futu Securities International (Hong Kong) Limited; Tiger Brokers (HK) Global Limited; Zhongtai International Securities Limited</t>
        </is>
      </c>
      <c r="BW383" s="78">
        <f>HYPERLINK("https://www1.hkexnews.hk/listedco/listconews/sehk/2025/1028/2025102800017.pdf","prospectus")</f>
        <v/>
      </c>
      <c r="BX383" s="78">
        <f>HYPERLINK("https://www1.hkexnews.hk/listedco/listconews/sehk/2025/1105/2025110502006.pdf","allotment")</f>
        <v/>
      </c>
      <c r="BY383" s="78">
        <f>HYPERLINK("https://www1.hkexnews.hk/listedco/listconews/sehk/2025/1203/2025120300845.pdf","stabilisation")</f>
        <v/>
      </c>
      <c r="BZ383" s="76" t="n"/>
      <c r="CA383" s="63" t="inlineStr">
        <is>
          <t>P/E: n/m — loss-making at IPO (use P/S) · range low: cap-only pricing — the filing publishes a Maximum Offer Price and no indicative floor · A/H: no A-share listing · market cap: prospectus 'market capitalisation' line rejected — it is the listing-rule threshold, not the issuer's figure ("range of HK$32.00 to HK$34.00 per Offer Share, the expected market capitalization of the Company’s Shares woul") · cornerstone %: cornerstone aggregate not stated in the filing · P/S: 1,598x on HK$3.5m revenue — effectively pre-revenue; the multiple is shown for completeness, not comparability · eff free float: not computable as a % of cap — cornerstone % unknown</t>
        </is>
      </c>
    </row>
    <row r="384" ht="15" customHeight="1">
      <c r="A384" s="62" t="inlineStr">
        <is>
          <t>2026</t>
        </is>
      </c>
      <c r="B384" s="63" t="inlineStr">
        <is>
          <t>PONY-W</t>
        </is>
      </c>
      <c r="C384" s="63" t="inlineStr">
        <is>
          <t>小馬智行</t>
        </is>
      </c>
      <c r="D384" s="63" t="inlineStr">
        <is>
          <t>Tech/AI</t>
        </is>
      </c>
      <c r="E384" s="63" t="inlineStr">
        <is>
          <t>Robotics &amp; autonomous driving</t>
        </is>
      </c>
      <c r="F384" s="63" t="inlineStr">
        <is>
          <t>Trucking</t>
        </is>
      </c>
      <c r="G384" s="63" t="inlineStr">
        <is>
          <t>WVR</t>
        </is>
      </c>
      <c r="H384" s="64" t="n">
        <v>45967</v>
      </c>
      <c r="I384" s="65" t="n">
        <v>6706.61</v>
      </c>
      <c r="J384" s="63" t="inlineStr">
        <is>
          <t>gross (stated)</t>
        </is>
      </c>
      <c r="K384" s="66" t="n"/>
      <c r="L384" s="66" t="n">
        <v>180</v>
      </c>
      <c r="M384" s="66" t="n">
        <v>139</v>
      </c>
      <c r="N384" s="63" t="inlineStr">
        <is>
          <t>N</t>
        </is>
      </c>
      <c r="O384" s="67" t="n">
        <v>77.2</v>
      </c>
      <c r="P384" s="67" t="n"/>
      <c r="Q384" s="68" t="n">
        <v>60419.9</v>
      </c>
      <c r="R384" s="63" t="inlineStr">
        <is>
          <t>derived:deal size / offer % of enlarged capital</t>
        </is>
      </c>
      <c r="S384" s="69" t="n">
        <v>15.88</v>
      </c>
      <c r="T384" s="70" t="n">
        <v>7.72</v>
      </c>
      <c r="U384" s="71" t="n">
        <v>1.9</v>
      </c>
      <c r="V384" s="68" t="n">
        <v>6579.18</v>
      </c>
      <c r="W384" s="68" t="n">
        <v>47332269</v>
      </c>
      <c r="X384" s="67" t="n">
        <v>10.89</v>
      </c>
      <c r="Y384" s="63" t="inlineStr">
        <is>
          <t>Ghisallo Fund Master Ltd; Athos Capital Limited; Hel Ved Master Fund; Ocean Arete Limited; Eastspring</t>
        </is>
      </c>
      <c r="Z384" s="63" t="inlineStr">
        <is>
          <t>ghisallo;athos;hel;ocean;eastspring</t>
        </is>
      </c>
      <c r="AA384" s="67" t="n">
        <v>15</v>
      </c>
      <c r="AB384" s="72" t="n"/>
      <c r="AC384" s="66" t="n"/>
      <c r="AD384" s="72" t="n"/>
      <c r="AE384" s="63" t="n"/>
      <c r="AF384" s="63" t="n"/>
      <c r="AG384" s="63" t="inlineStr">
        <is>
          <t>lapsed</t>
        </is>
      </c>
      <c r="AH384" s="63" t="inlineStr">
        <is>
          <t>2025-12-03</t>
        </is>
      </c>
      <c r="AI384" s="63" t="inlineStr">
        <is>
          <t>Goldman Sachs</t>
        </is>
      </c>
      <c r="AJ384" s="63" t="inlineStr">
        <is>
          <t>Goldman Sachs</t>
        </is>
      </c>
      <c r="AK384" s="73" t="n">
        <v>-9.279999999999999</v>
      </c>
      <c r="AL384" s="72" t="n">
        <v>-10.79</v>
      </c>
      <c r="AM384" s="72" t="n">
        <v>1.69</v>
      </c>
      <c r="AN384" s="72" t="n">
        <v>-22.3</v>
      </c>
      <c r="AO384" s="72" t="n">
        <v>-16.47</v>
      </c>
      <c r="AP384" s="72" t="n">
        <v>-25.4</v>
      </c>
      <c r="AQ384" s="72" t="n">
        <v>-14.35</v>
      </c>
      <c r="AR384" s="72" t="n">
        <v>-7.93</v>
      </c>
      <c r="AS384" s="72" t="n">
        <v>-17.77</v>
      </c>
      <c r="AT384" s="72" t="n">
        <v>-25.56</v>
      </c>
      <c r="AU384" s="72" t="n">
        <v>-14.18</v>
      </c>
      <c r="AV384" s="72" t="n">
        <v>-17.64</v>
      </c>
      <c r="AW384" s="72" t="n">
        <v>-3.04</v>
      </c>
      <c r="AX384" s="72" t="n">
        <v>-2.29</v>
      </c>
      <c r="AY384" s="72" t="n">
        <v>-4.89</v>
      </c>
      <c r="AZ384" s="63" t="inlineStr">
        <is>
          <t>HSTECH (Hang Seng TECH ETF)</t>
        </is>
      </c>
      <c r="BA384" s="72" t="n">
        <v>-59.78</v>
      </c>
      <c r="BB384" s="64" t="inlineStr">
        <is>
          <t>2026-08-31</t>
        </is>
      </c>
      <c r="BC384" s="65" t="n">
        <v>585.2</v>
      </c>
      <c r="BD384" s="68" t="n">
        <v>-2138.1</v>
      </c>
      <c r="BE384" s="63" t="inlineStr">
        <is>
          <t>N</t>
        </is>
      </c>
      <c r="BF384" s="63" t="inlineStr">
        <is>
          <t>n/m</t>
        </is>
      </c>
      <c r="BG384" s="74" t="n"/>
      <c r="BH384" s="74" t="n"/>
      <c r="BI384" s="74" t="n">
        <v>103.2</v>
      </c>
      <c r="BJ384" s="75">
        <f>IF('BBG Verify'!S384="","not filed — run on terminal",'BBG Verify'!S384)</f>
        <v/>
      </c>
      <c r="BK384" s="76" t="inlineStr">
        <is>
          <t>N</t>
        </is>
      </c>
      <c r="BL384" s="77">
        <f>IF('BBG Verify'!K384="","not filed — run on terminal",'BBG Verify'!K384)</f>
        <v/>
      </c>
      <c r="BM384" s="63" t="inlineStr">
        <is>
          <t>N/A</t>
        </is>
      </c>
      <c r="BN384" s="63" t="inlineStr">
        <is>
          <t>N/A</t>
        </is>
      </c>
      <c r="BO384" s="63" t="inlineStr">
        <is>
          <t>N/A</t>
        </is>
      </c>
      <c r="BP384" s="63" t="inlineStr">
        <is>
          <t>N/A</t>
        </is>
      </c>
      <c r="BQ384" s="63" t="inlineStr">
        <is>
          <t>N/A</t>
        </is>
      </c>
      <c r="BR384" s="63" t="inlineStr">
        <is>
          <t>N/A</t>
        </is>
      </c>
      <c r="BS384" s="82" t="inlineStr">
        <is>
          <t>Goldman Sachs (Asia) L.L.C; Merrill Lynch (Asia Pacific) Limited; Deutsche Securities Asia Limited; Huatai Financial Holdings (Hong Kong) Limited</t>
        </is>
      </c>
      <c r="BT384" s="63" t="inlineStr">
        <is>
          <t>Merrill Lynch (Asia Pacific) Limited; Goldman Sachs (Asia) L.L.C.; Huatai Financial Holdings (Hong Kong) Limited; Deutsche Securities Asia Limited</t>
        </is>
      </c>
      <c r="BU384" s="63" t="inlineStr">
        <is>
          <t>Goldman Sachs (Asia) L.L.C; Merrill Lynch (Asia Pacific) Limited; Deutsche Bank AG, Hong Kong Branch; Huatai Financial Holdings (Hong Kong) Limited; CLSA Limited; BOCI Asia Limited</t>
        </is>
      </c>
      <c r="BV384" s="63" t="inlineStr">
        <is>
          <t>BOCI Asia Limited; CLSA Limited; Deutsche Bank AG, Hong Kong Branch; Futu Securities International (Hong Kong) Limited; Goldman Sachs (Asia) L.L.C.; Huatai Financial Holdings (Hong Kong) Limited; Macquarie Capital Limited; Merrill Lynch (Asia Pacific) Limited; Tiger Brokers (HK) Global Limited</t>
        </is>
      </c>
      <c r="BW384" s="78">
        <f>HYPERLINK("https://www1.hkexnews.hk/listedco/listconews/sehk/2025/1028/2025102800087.pdf","prospectus")</f>
        <v/>
      </c>
      <c r="BX384" s="78">
        <f>HYPERLINK("https://www1.hkexnews.hk/listedco/listconews/sehk/2025/1105/2025110502018.pdf","allotment")</f>
        <v/>
      </c>
      <c r="BY384" s="78">
        <f>HYPERLINK("https://www1.hkexnews.hk/listedco/listconews/sehk/2025/1203/2025120302148.pdf","stabilisation")</f>
        <v/>
      </c>
      <c r="BZ384" s="76" t="n"/>
      <c r="CA384" s="63" t="inlineStr">
        <is>
          <t>P/E: n/m — loss-making at IPO (use P/S) · range low: cap-only pricing — the filing publishes a Maximum Offer Price and no indicative floor · A/H: no A-share listing · grey market: no grey-market headline on file for this deal — AAStocks publishes one per listing but keeps only recent items on the stock's news page, and no public archive of past evening sessions exists; captured from this run onward</t>
        </is>
      </c>
    </row>
    <row r="385" ht="15" customHeight="1">
      <c r="A385" s="62" t="inlineStr">
        <is>
          <t>0699</t>
        </is>
      </c>
      <c r="B385" s="63" t="inlineStr">
        <is>
          <t>JOYSON ELEC</t>
        </is>
      </c>
      <c r="C385" s="63" t="inlineStr">
        <is>
          <t>均勝電子</t>
        </is>
      </c>
      <c r="D385" s="63" t="inlineStr">
        <is>
          <t>Consumer</t>
        </is>
      </c>
      <c r="E385" s="63" t="inlineStr">
        <is>
          <t>Auto parts / supply chain</t>
        </is>
      </c>
      <c r="F385" s="63" t="inlineStr">
        <is>
          <t>Auto Parts &amp; Equipment</t>
        </is>
      </c>
      <c r="G385" s="63" t="inlineStr">
        <is>
          <t>Standard</t>
        </is>
      </c>
      <c r="H385" s="64" t="n">
        <v>45967</v>
      </c>
      <c r="I385" s="65" t="n">
        <v>3412.2</v>
      </c>
      <c r="J385" s="63" t="inlineStr">
        <is>
          <t>gross (stated)</t>
        </is>
      </c>
      <c r="K385" s="66" t="n"/>
      <c r="L385" s="66" t="n">
        <v>23.6</v>
      </c>
      <c r="M385" s="66" t="n">
        <v>22</v>
      </c>
      <c r="N385" s="63" t="inlineStr">
        <is>
          <t>N</t>
        </is>
      </c>
      <c r="O385" s="67" t="n">
        <v>93.2</v>
      </c>
      <c r="P385" s="67" t="n"/>
      <c r="Q385" s="68" t="n">
        <v>34117.2</v>
      </c>
      <c r="R385" s="63" t="inlineStr">
        <is>
          <t>derived:A-line total share capital x H offer price</t>
        </is>
      </c>
      <c r="S385" s="69" t="n">
        <v>147.67</v>
      </c>
      <c r="T385" s="70" t="n">
        <v>9.779999999999999</v>
      </c>
      <c r="U385" s="71" t="n">
        <v>24.5</v>
      </c>
      <c r="V385" s="68" t="n">
        <v>2576.21</v>
      </c>
      <c r="W385" s="68" t="n">
        <v>117100500</v>
      </c>
      <c r="X385" s="67" t="n">
        <v>7.55</v>
      </c>
      <c r="Y385" s="63" t="inlineStr">
        <is>
          <t>JSC (chairman vehicle); Ningbo Xinzhi; Jump Trading; Zhongding Capital Fund VIII; China Post Wealth Management; Vandi (CCB International); Fidelidade (Fosun)</t>
        </is>
      </c>
      <c r="Z385" s="63" t="inlineStr">
        <is>
          <t>jsc;ningbo;jump;zhongding;post;vandi;fidelidade</t>
        </is>
      </c>
      <c r="AA385" s="67" t="n">
        <v>15</v>
      </c>
      <c r="AB385" s="72" t="n"/>
      <c r="AC385" s="66" t="n"/>
      <c r="AD385" s="72" t="n"/>
      <c r="AE385" s="63" t="n"/>
      <c r="AF385" s="63" t="n"/>
      <c r="AG385" s="63" t="n"/>
      <c r="AH385" s="63" t="n"/>
      <c r="AI385" s="63" t="inlineStr">
        <is>
          <t>China International Capital Corporation Hong Kong Securities Limited</t>
        </is>
      </c>
      <c r="AJ385" s="63" t="inlineStr">
        <is>
          <t>China International</t>
        </is>
      </c>
      <c r="AK385" s="73" t="n">
        <v>-8</v>
      </c>
      <c r="AL385" s="72" t="n">
        <v>-2.27</v>
      </c>
      <c r="AM385" s="72" t="n">
        <v>-5.86</v>
      </c>
      <c r="AN385" s="72" t="n">
        <v>-20.45</v>
      </c>
      <c r="AO385" s="72" t="n">
        <v>-20.82</v>
      </c>
      <c r="AP385" s="72" t="n">
        <v>-22.86</v>
      </c>
      <c r="AQ385" s="72" t="n">
        <v>-13.53</v>
      </c>
      <c r="AR385" s="72" t="n">
        <v>-13.93</v>
      </c>
      <c r="AS385" s="72" t="n">
        <v>-16.15</v>
      </c>
      <c r="AT385" s="72" t="n">
        <v>-24.17</v>
      </c>
      <c r="AU385" s="72" t="n">
        <v>-20.92</v>
      </c>
      <c r="AV385" s="72" t="n">
        <v>-20.29</v>
      </c>
      <c r="AW385" s="72" t="n">
        <v>-11.74</v>
      </c>
      <c r="AX385" s="72" t="n">
        <v>0.1</v>
      </c>
      <c r="AY385" s="72" t="n">
        <v>-2.19</v>
      </c>
      <c r="AZ385" s="63" t="inlineStr">
        <is>
          <t>Hang Seng Commerce &amp; Industry sub-index</t>
        </is>
      </c>
      <c r="BA385" s="72" t="n">
        <v>-44.55</v>
      </c>
      <c r="BB385" s="64" t="inlineStr">
        <is>
          <t>2026-08-28</t>
        </is>
      </c>
      <c r="BC385" s="65" t="n">
        <v>61449.9</v>
      </c>
      <c r="BD385" s="68" t="n">
        <v>1049.7</v>
      </c>
      <c r="BE385" s="63" t="inlineStr">
        <is>
          <t>Y</t>
        </is>
      </c>
      <c r="BF385" s="74" t="n">
        <v>32.5</v>
      </c>
      <c r="BG385" s="74" t="n"/>
      <c r="BH385" s="74" t="n"/>
      <c r="BI385" s="74" t="n">
        <v>0.6</v>
      </c>
      <c r="BJ385" s="75">
        <f>IF('BBG Verify'!S385="","not filed — run on terminal",'BBG Verify'!S385)</f>
        <v/>
      </c>
      <c r="BK385" s="76" t="inlineStr">
        <is>
          <t>Y</t>
        </is>
      </c>
      <c r="BL385" s="63" t="inlineStr">
        <is>
          <t>600699.SS</t>
        </is>
      </c>
      <c r="BM385" s="72" t="n">
        <v>48.18</v>
      </c>
      <c r="BN385" s="66" t="n">
        <v>32.5992</v>
      </c>
      <c r="BO385" s="80" t="n">
        <v>0.8457</v>
      </c>
      <c r="BP385" s="68" t="n">
        <v>34668.6</v>
      </c>
      <c r="BQ385" s="75">
        <f>IF('BBG Verify'!Q385="","run on terminal",'BBG Verify'!Q385)</f>
        <v/>
      </c>
      <c r="BR385" s="75">
        <f>IF('BBG Verify'!R385="","run on terminal",'BBG Verify'!R385)</f>
        <v/>
      </c>
      <c r="BS385" s="76" t="inlineStr">
        <is>
          <t>China International Capital Corporation Hong Kong Securities Limited; UBS Securities Hong Kong Limited</t>
        </is>
      </c>
      <c r="BT385" s="63" t="inlineStr">
        <is>
          <t>China International Capital Corporation Hong Kong Securities Limited; UBS Securities Hong Kong Limited</t>
        </is>
      </c>
      <c r="BU385" s="63" t="inlineStr">
        <is>
          <t>ABCI Securities Company Limited; China International Capital Corporation Hong Kong Securities Limited; China Renaissance Securities (Hong Kong) Limited; GF Securities (Hong Kong) Brokerage Limited; UBS AG Hong Kong Branch</t>
        </is>
      </c>
      <c r="BV385" s="63" t="inlineStr">
        <is>
          <t>ABCI Securities Company Limited; China International Capital Corporation Hong Kong Securities Limited; China Renaissance Securities (Hong Kong) Limited; GF Securities (Hong Kong) Brokerage Limited; UBS AG Hong Kong Branch</t>
        </is>
      </c>
      <c r="BW385" s="63" t="n"/>
      <c r="BX385" s="78">
        <f>HYPERLINK("https://www1.hkexnews.hk/listedco/listconews/sehk/2025/1105/2025110502028.pdf","allotment")</f>
        <v/>
      </c>
      <c r="BY385" s="63" t="n"/>
      <c r="BZ385" s="76" t="n"/>
      <c r="CA385" s="63" t="inlineStr">
        <is>
          <t>greenshoe: end-of-stabilisation notice not located · range low: cap-only pricing — the filing publishes a Maximum Offer Price and no indicative floor · A/H: Nov 2025 H listing (auto electronics/safety) · market cap: no share count or stated cap in the filings — company cap proxied by today's A-line total share capital x the H offer price; a capitalisation issue since listing would overstate it · filing links: no prospectus document returned by the HKEX per-stock search for this code — the allotment announcement is linked beside it · grey market: no grey-market headline on file for this deal — AAStocks publishes one per listing but keeps only recent items on the stock's news page, and no public archive of past evening sessions exists; captured from this run onward</t>
        </is>
      </c>
    </row>
    <row r="386" ht="15" customHeight="1">
      <c r="A386" s="62" t="inlineStr">
        <is>
          <t>2698</t>
        </is>
      </c>
      <c r="B386" s="63" t="inlineStr">
        <is>
          <t>SOFTCARE</t>
        </is>
      </c>
      <c r="C386" s="63" t="inlineStr">
        <is>
          <t>樂舒適</t>
        </is>
      </c>
      <c r="D386" s="63" t="inlineStr">
        <is>
          <t>Consumer</t>
        </is>
      </c>
      <c r="E386" s="63" t="inlineStr">
        <is>
          <t>Retail / distribution</t>
        </is>
      </c>
      <c r="F386" s="63" t="inlineStr">
        <is>
          <t>Children's and Infant Products</t>
        </is>
      </c>
      <c r="G386" s="63" t="inlineStr">
        <is>
          <t>Standard</t>
        </is>
      </c>
      <c r="H386" s="64" t="n">
        <v>45971</v>
      </c>
      <c r="I386" s="65" t="n">
        <v>2381.16</v>
      </c>
      <c r="J386" s="63" t="inlineStr">
        <is>
          <t>gross (stated)</t>
        </is>
      </c>
      <c r="K386" s="66" t="n"/>
      <c r="L386" s="66" t="n">
        <v>26.2</v>
      </c>
      <c r="M386" s="66" t="n">
        <v>26.2</v>
      </c>
      <c r="N386" s="63" t="inlineStr">
        <is>
          <t>Y</t>
        </is>
      </c>
      <c r="O386" s="67" t="n">
        <v>100</v>
      </c>
      <c r="P386" s="67" t="n"/>
      <c r="Q386" s="68" t="n">
        <v>15611.8</v>
      </c>
      <c r="R386" s="63" t="inlineStr">
        <is>
          <t>aastocks:上市市值 at the struck price</t>
        </is>
      </c>
      <c r="S386" s="69" t="n">
        <v>1813.77</v>
      </c>
      <c r="T386" s="70" t="n">
        <v>34.33</v>
      </c>
      <c r="U386" s="71" t="n">
        <v>4.6</v>
      </c>
      <c r="V386" s="68" t="n">
        <v>2271.63</v>
      </c>
      <c r="W386" s="68" t="n">
        <v>86703336</v>
      </c>
      <c r="X386" s="67" t="n">
        <v>14.55</v>
      </c>
      <c r="Y386" s="63" t="inlineStr">
        <is>
          <t>NewTrails Capital; NewTrails Forest; Co Limited (China Southern); Fullgoal Fund; E Fund Management Co., Ltd; Relationship E Fund; CICC FT; Qihui Runjin; China AMC; Relationship CITIC AM</t>
        </is>
      </c>
      <c r="Z386" s="63" t="inlineStr">
        <is>
          <t>newtrails;co-limited;fullgoal;fund-management;relationship;china-international;qihui;amc</t>
        </is>
      </c>
      <c r="AA386" s="67" t="n">
        <v>15</v>
      </c>
      <c r="AB386" s="72" t="n"/>
      <c r="AC386" s="66" t="n"/>
      <c r="AD386" s="72" t="n"/>
      <c r="AE386" s="63" t="n"/>
      <c r="AF386" s="63" t="n"/>
      <c r="AG386" s="63" t="n"/>
      <c r="AH386" s="63" t="inlineStr">
        <is>
          <t>2025-12-05</t>
        </is>
      </c>
      <c r="AI386" s="63" t="inlineStr">
        <is>
          <t>China International Capital Corporation Hong Kong Securities Limited</t>
        </is>
      </c>
      <c r="AJ386" s="63" t="inlineStr">
        <is>
          <t>China International</t>
        </is>
      </c>
      <c r="AK386" s="73" t="n">
        <v>25.95</v>
      </c>
      <c r="AL386" s="72" t="n">
        <v>33.51</v>
      </c>
      <c r="AM386" s="72" t="n">
        <v>-5.66</v>
      </c>
      <c r="AN386" s="72" t="n">
        <v>17.71</v>
      </c>
      <c r="AO386" s="72" t="n">
        <v>14.5</v>
      </c>
      <c r="AP386" s="72" t="n">
        <v>17.1</v>
      </c>
      <c r="AQ386" s="72" t="n">
        <v>-6.54</v>
      </c>
      <c r="AR386" s="72" t="n">
        <v>-9.09</v>
      </c>
      <c r="AS386" s="72" t="n">
        <v>-7.03</v>
      </c>
      <c r="AT386" s="72" t="n">
        <v>17.93</v>
      </c>
      <c r="AU386" s="72" t="n">
        <v>17.89</v>
      </c>
      <c r="AV386" s="72" t="n">
        <v>18.47</v>
      </c>
      <c r="AW386" s="72" t="n">
        <v>-3.92</v>
      </c>
      <c r="AX386" s="72" t="n">
        <v>-3.39</v>
      </c>
      <c r="AY386" s="72" t="n">
        <v>-5.17</v>
      </c>
      <c r="AZ386" s="63" t="inlineStr">
        <is>
          <t>Hang Seng Commerce &amp; Industry sub-index</t>
        </is>
      </c>
      <c r="BA386" s="72" t="n">
        <v>23.28</v>
      </c>
      <c r="BB386" s="64" t="inlineStr">
        <is>
          <t>2026-08-28</t>
        </is>
      </c>
      <c r="BC386" s="65" t="n">
        <v>3544.2</v>
      </c>
      <c r="BD386" s="68" t="n">
        <v>741.9</v>
      </c>
      <c r="BE386" s="63" t="inlineStr">
        <is>
          <t>Y</t>
        </is>
      </c>
      <c r="BF386" s="74" t="n">
        <v>21</v>
      </c>
      <c r="BG386" s="74" t="n">
        <v>22.3</v>
      </c>
      <c r="BH386" s="74" t="n">
        <v>19.1</v>
      </c>
      <c r="BI386" s="74" t="n">
        <v>4.4</v>
      </c>
      <c r="BJ386" s="75">
        <f>IF('BBG Verify'!S386="","not filed — run on terminal",'BBG Verify'!S386)</f>
        <v/>
      </c>
      <c r="BK386" s="76" t="inlineStr">
        <is>
          <t>N</t>
        </is>
      </c>
      <c r="BL386" s="77">
        <f>IF('BBG Verify'!K386="","not filed — run on terminal",'BBG Verify'!K386)</f>
        <v/>
      </c>
      <c r="BM386" s="63" t="inlineStr">
        <is>
          <t>N/A</t>
        </is>
      </c>
      <c r="BN386" s="63" t="inlineStr">
        <is>
          <t>N/A</t>
        </is>
      </c>
      <c r="BO386" s="63" t="inlineStr">
        <is>
          <t>N/A</t>
        </is>
      </c>
      <c r="BP386" s="63" t="inlineStr">
        <is>
          <t>N/A</t>
        </is>
      </c>
      <c r="BQ386" s="63" t="inlineStr">
        <is>
          <t>N/A</t>
        </is>
      </c>
      <c r="BR386" s="63" t="inlineStr">
        <is>
          <t>N/A</t>
        </is>
      </c>
      <c r="BS386" s="76" t="n"/>
      <c r="BT386" s="63" t="inlineStr">
        <is>
          <t>China International Capital Corporation Hong Kong Securities Limited; CITIC Securities (Hong Kong) Limited; GF Capital (Hong Kong) Limited</t>
        </is>
      </c>
      <c r="BU386" s="63" t="inlineStr">
        <is>
          <t>China International Capital Corporation Hong Kong Securities Limited; CLSA Limited; GF Securities (Hong Kong) Brokerage Limited</t>
        </is>
      </c>
      <c r="BV386" s="63" t="inlineStr">
        <is>
          <t>China International Capital Corporation Hong Kong Securities Limited; CLSA Limited; GF Securities (Hong Kong) Brokerage Limited</t>
        </is>
      </c>
      <c r="BW386" s="63" t="n"/>
      <c r="BX386" s="78">
        <f>HYPERLINK("https://www1.hkexnews.hk/listedco/listconews/sehk/2025/1107/2025110701708.pdf","allotment")</f>
        <v/>
      </c>
      <c r="BY386" s="63" t="n"/>
      <c r="BZ386" s="76" t="n"/>
      <c r="CA386" s="63" t="inlineStr">
        <is>
          <t>greenshoe: end-of-stabilisation notice not located · price range: fixed-price offering (no indicative range) · range low: cap-only pricing — the filing publishes a Maximum Offer Price and no indicative floor · A/H: no A-share listing · sponsor: English name not in the filing text; AAStocks 保薦人 shown · filing links: no prospectus document returned by the HKEX per-stock search for this code — the allotment announcement is linked beside it · grey market: no grey-market headline on file for this deal — AAStocks publishes one per listing but keeps only recent items on the stock's news page, and no public archive of past evening sessions exists; captured from this run onward</t>
        </is>
      </c>
    </row>
    <row r="387" ht="15" customHeight="1">
      <c r="A387" s="62" t="inlineStr">
        <is>
          <t>2579</t>
        </is>
      </c>
      <c r="B387" s="63" t="inlineStr">
        <is>
          <t>CNGR</t>
        </is>
      </c>
      <c r="C387" s="63" t="inlineStr">
        <is>
          <t>中偉新材</t>
        </is>
      </c>
      <c r="D387" s="63" t="inlineStr">
        <is>
          <t>Industrials</t>
        </is>
      </c>
      <c r="E387" s="63" t="inlineStr">
        <is>
          <t>Batteries / energy storage</t>
        </is>
      </c>
      <c r="F387" s="63" t="inlineStr">
        <is>
          <t>Diversified Chemicals</t>
        </is>
      </c>
      <c r="G387" s="63" t="inlineStr">
        <is>
          <t>Standard</t>
        </is>
      </c>
      <c r="H387" s="64" t="n">
        <v>45978</v>
      </c>
      <c r="I387" s="65" t="n">
        <v>3543.7</v>
      </c>
      <c r="J387" s="63" t="inlineStr">
        <is>
          <t>gross (price x shares)</t>
        </is>
      </c>
      <c r="K387" s="66" t="n"/>
      <c r="L387" s="66" t="n">
        <v>37.8</v>
      </c>
      <c r="M387" s="66" t="n">
        <v>34</v>
      </c>
      <c r="N387" s="63" t="inlineStr">
        <is>
          <t>N</t>
        </is>
      </c>
      <c r="O387" s="67" t="n">
        <v>89.90000000000001</v>
      </c>
      <c r="P387" s="67" t="n"/>
      <c r="Q387" s="68" t="n">
        <v>38999</v>
      </c>
      <c r="R387" s="63" t="inlineStr">
        <is>
          <t>aastocks:上市市值 at the struck price</t>
        </is>
      </c>
      <c r="S387" s="69" t="n">
        <v>27.9</v>
      </c>
      <c r="T387" s="70" t="n">
        <v>4.08</v>
      </c>
      <c r="U387" s="71" t="n">
        <v>46.8</v>
      </c>
      <c r="V387" s="68" t="n">
        <v>1885.25</v>
      </c>
      <c r="W387" s="68" t="n">
        <v>55447913</v>
      </c>
      <c r="X387" s="67" t="n">
        <v>4.83</v>
      </c>
      <c r="Y387" s="63" t="inlineStr">
        <is>
          <t>Guizhou New Industrialization Fund; Baoda Investment; CALB Co., Ltd; LENS TECHNOLOGY (HK) CO., LIMITED; Sunwoda; Gaoyi Asset Management; North Rock; Hunan Xingxiang Industry Fund</t>
        </is>
      </c>
      <c r="Z387" s="63" t="inlineStr">
        <is>
          <t>guizhou;baoda;calb;lens;sunwoda;gaoyi;north-rock;hunan</t>
        </is>
      </c>
      <c r="AA387" s="67" t="n">
        <v>15</v>
      </c>
      <c r="AB387" s="72" t="n">
        <v>-1.5</v>
      </c>
      <c r="AC387" s="66" t="n">
        <v>33.5</v>
      </c>
      <c r="AD387" s="72" t="n">
        <v>1.4</v>
      </c>
      <c r="AE387" s="63" t="inlineStr">
        <is>
          <t>Y</t>
        </is>
      </c>
      <c r="AF387" s="63" t="inlineStr">
        <is>
          <t>2025-11-16</t>
        </is>
      </c>
      <c r="AG387" s="63" t="inlineStr">
        <is>
          <t>lapsed</t>
        </is>
      </c>
      <c r="AH387" s="63" t="n"/>
      <c r="AI387" s="63" t="inlineStr">
        <is>
          <t>Morgan Stanley Asia Limited</t>
        </is>
      </c>
      <c r="AJ387" s="63" t="inlineStr">
        <is>
          <t>Morgan Stanley</t>
        </is>
      </c>
      <c r="AK387" s="73" t="n">
        <v>-0.12</v>
      </c>
      <c r="AL387" s="72" t="n">
        <v>0</v>
      </c>
      <c r="AM387" s="72" t="n">
        <v>-0.12</v>
      </c>
      <c r="AN387" s="72" t="n">
        <v>-10.88</v>
      </c>
      <c r="AO387" s="72" t="n">
        <v>-22.65</v>
      </c>
      <c r="AP387" s="72" t="n">
        <v>2.53</v>
      </c>
      <c r="AQ387" s="72" t="n">
        <v>-10.77</v>
      </c>
      <c r="AR387" s="72" t="n">
        <v>-22.56</v>
      </c>
      <c r="AS387" s="72" t="n">
        <v>2.65</v>
      </c>
      <c r="AT387" s="72" t="n">
        <v>-7.61</v>
      </c>
      <c r="AU387" s="72" t="n">
        <v>-16.86</v>
      </c>
      <c r="AV387" s="72" t="n">
        <v>7.46</v>
      </c>
      <c r="AW387" s="72" t="n">
        <v>-17.39</v>
      </c>
      <c r="AX387" s="72" t="n">
        <v>-5.79</v>
      </c>
      <c r="AY387" s="72" t="n">
        <v>-5.17</v>
      </c>
      <c r="AZ387" s="63" t="inlineStr">
        <is>
          <t>Hang Seng Commerce &amp; Industry sub-index</t>
        </is>
      </c>
      <c r="BA387" s="72" t="n">
        <v>-22.41</v>
      </c>
      <c r="BB387" s="64" t="inlineStr">
        <is>
          <t>2026-08-28</t>
        </is>
      </c>
      <c r="BC387" s="65" t="n">
        <v>44245.2</v>
      </c>
      <c r="BD387" s="68" t="n">
        <v>1966.5</v>
      </c>
      <c r="BE387" s="63" t="inlineStr">
        <is>
          <t>Y</t>
        </is>
      </c>
      <c r="BF387" s="74" t="n">
        <v>19.8</v>
      </c>
      <c r="BG387" s="74" t="n">
        <v>21.5</v>
      </c>
      <c r="BH387" s="74" t="n">
        <v>13.4</v>
      </c>
      <c r="BI387" s="74" t="n">
        <v>0.9</v>
      </c>
      <c r="BJ387" s="75">
        <f>IF('BBG Verify'!S387="","not filed — run on terminal",'BBG Verify'!S387)</f>
        <v/>
      </c>
      <c r="BK387" s="76" t="inlineStr">
        <is>
          <t>Y</t>
        </is>
      </c>
      <c r="BL387" s="63" t="inlineStr">
        <is>
          <t>300919.SZ</t>
        </is>
      </c>
      <c r="BM387" s="72" t="n">
        <v>59.33</v>
      </c>
      <c r="BN387" s="66" t="n">
        <v>54.1727</v>
      </c>
      <c r="BO387" s="80" t="n">
        <v>0.8403</v>
      </c>
      <c r="BP387" s="68" t="n">
        <v>48729.7</v>
      </c>
      <c r="BQ387" s="75">
        <f>IF('BBG Verify'!Q387="","run on terminal",'BBG Verify'!Q387)</f>
        <v/>
      </c>
      <c r="BR387" s="75">
        <f>IF('BBG Verify'!R387="","run on terminal",'BBG Verify'!R387)</f>
        <v/>
      </c>
      <c r="BS387" s="76" t="n"/>
      <c r="BT387" s="63" t="inlineStr">
        <is>
          <t>Morgan Stanley Asia Limited; Huatai Financial Holdings (Hong Kong) Limited</t>
        </is>
      </c>
      <c r="BU387" s="63" t="inlineStr">
        <is>
          <t>ABCI Capital Limited; BNP Paribas Securities (Asia) Limited; BOCI Asia Limited; CCB International Capital Limited; China International Capital Corporation Hong Kong Securities Limited; First Shanghai Securities Limited</t>
        </is>
      </c>
      <c r="BV387" s="63" t="inlineStr">
        <is>
          <t>ABCI Capital Limited; BNP Paribas Securities (Asia) Limited; BOCI Asia Limited; CCB International Capital Limited; China International Capital Corporation Hong Kong Securities Limited; First Shanghai Securities Limited; Huatai Financial Holdings (Hong Kong) Limited; ICBC International Securities Limited; Morgan Stanley Asia Limited; Mizuho Securities Asia Limited; Tiger Brokers (HK) Global Limited</t>
        </is>
      </c>
      <c r="BW387" s="78">
        <f>HYPERLINK("https://www1.hkexnews.hk/listedco/listconews/sehk/2025/1107/2025110700058.htm","prospectus")</f>
        <v/>
      </c>
      <c r="BX387" s="78">
        <f>HYPERLINK("https://www1.hkexnews.hk/listedco/listconews/sehk/2025/1116/2025111600003.pdf","allotment")</f>
        <v/>
      </c>
      <c r="BY387" s="78">
        <f>HYPERLINK("https://www1.hkexnews.hk/listedco/listconews/sehk/2025/1212/2025121200406.pdf","stabilisation")</f>
        <v/>
      </c>
      <c r="BZ387" s="76" t="n"/>
      <c r="CA387" s="63" t="inlineStr">
        <is>
          <t>greenshoe: over-allotment outcome already published, and the allotment announcement does not state the stabilisation expiry in a parsable form — the expiry no longer matters once resolved · range low: cap-only pricing — the filing publishes a Maximum Offer Price and no indicative floor · A/H: Nov 2025 H listing (battery precursor materials) · sponsor: English name not in the filing text; AAStocks 保薦人 shown</t>
        </is>
      </c>
    </row>
    <row r="388" ht="15" customHeight="1">
      <c r="A388" s="62" t="inlineStr">
        <is>
          <t>2788</t>
        </is>
      </c>
      <c r="B388" s="63" t="inlineStr">
        <is>
          <t>CHUANGXIN IND</t>
        </is>
      </c>
      <c r="C388" s="63" t="inlineStr">
        <is>
          <t>創新實業</t>
        </is>
      </c>
      <c r="D388" s="63" t="inlineStr">
        <is>
          <t>Materials/Energy</t>
        </is>
      </c>
      <c r="E388" s="63" t="inlineStr">
        <is>
          <t>Mining / metals</t>
        </is>
      </c>
      <c r="F388" s="63" t="inlineStr">
        <is>
          <t>Aluminum</t>
        </is>
      </c>
      <c r="G388" s="63" t="inlineStr">
        <is>
          <t>Standard</t>
        </is>
      </c>
      <c r="H388" s="64" t="n">
        <v>45985</v>
      </c>
      <c r="I388" s="65" t="n">
        <v>5495</v>
      </c>
      <c r="J388" s="63" t="inlineStr">
        <is>
          <t>gross (stated)</t>
        </is>
      </c>
      <c r="K388" s="66" t="n"/>
      <c r="L388" s="66" t="n">
        <v>10.99</v>
      </c>
      <c r="M388" s="66" t="n">
        <v>10.99</v>
      </c>
      <c r="N388" s="63" t="inlineStr">
        <is>
          <t>Y</t>
        </is>
      </c>
      <c r="O388" s="67" t="n">
        <v>100</v>
      </c>
      <c r="P388" s="67" t="n"/>
      <c r="Q388" s="68" t="n">
        <v>21963.8</v>
      </c>
      <c r="R388" s="63" t="inlineStr">
        <is>
          <t>aastocks:上市市值 at the struck price</t>
        </is>
      </c>
      <c r="S388" s="69" t="n">
        <v>447.2</v>
      </c>
      <c r="T388" s="70" t="n">
        <v>19.85</v>
      </c>
      <c r="U388" s="71" t="n">
        <v>49.66</v>
      </c>
      <c r="V388" s="68" t="n">
        <v>2766.18</v>
      </c>
      <c r="W388" s="68" t="n">
        <v>251700000</v>
      </c>
      <c r="X388" s="67" t="n">
        <v>12.59</v>
      </c>
      <c r="Y388" s="63" t="inlineStr">
        <is>
          <t>HHLR Advisors, Ltd; China Hongqiao Group Limited; Jane Street Asia Trading Limited; Management (HK) Limited</t>
        </is>
      </c>
      <c r="Z388" s="63" t="inlineStr">
        <is>
          <t>hhlr;hongqiao;jane;management-limited</t>
        </is>
      </c>
      <c r="AA388" s="67" t="n">
        <v>15</v>
      </c>
      <c r="AB388" s="72" t="n"/>
      <c r="AC388" s="66" t="n"/>
      <c r="AD388" s="72" t="n"/>
      <c r="AE388" s="63" t="n"/>
      <c r="AF388" s="63" t="n"/>
      <c r="AG388" s="63" t="n"/>
      <c r="AH388" s="63" t="inlineStr">
        <is>
          <t>2025-12-19</t>
        </is>
      </c>
      <c r="AI388" s="63" t="inlineStr">
        <is>
          <t>China International Capital Corporation Hong Kong Securities Limited</t>
        </is>
      </c>
      <c r="AJ388" s="63" t="inlineStr">
        <is>
          <t>China International</t>
        </is>
      </c>
      <c r="AK388" s="73" t="n">
        <v>32.76</v>
      </c>
      <c r="AL388" s="72" t="n">
        <v>38.31</v>
      </c>
      <c r="AM388" s="72" t="n">
        <v>-4.01</v>
      </c>
      <c r="AN388" s="72" t="n">
        <v>59.42</v>
      </c>
      <c r="AO388" s="72" t="n">
        <v>78.34</v>
      </c>
      <c r="AP388" s="72" t="n">
        <v>115.65</v>
      </c>
      <c r="AQ388" s="72" t="n">
        <v>20.08</v>
      </c>
      <c r="AR388" s="72" t="n">
        <v>34.33</v>
      </c>
      <c r="AS388" s="72" t="n">
        <v>62.44</v>
      </c>
      <c r="AT388" s="72" t="n">
        <v>55.74</v>
      </c>
      <c r="AU388" s="72" t="n">
        <v>77.44</v>
      </c>
      <c r="AV388" s="72" t="n">
        <v>115.98</v>
      </c>
      <c r="AW388" s="72" t="n">
        <v>35.65</v>
      </c>
      <c r="AX388" s="72" t="n">
        <v>0.9</v>
      </c>
      <c r="AY388" s="72" t="n">
        <v>-1.32</v>
      </c>
      <c r="AZ388" s="63" t="inlineStr">
        <is>
          <t>Hang Seng Commerce &amp; Industry sub-index</t>
        </is>
      </c>
      <c r="BA388" s="72" t="n">
        <v>60.05</v>
      </c>
      <c r="BB388" s="64" t="inlineStr">
        <is>
          <t>2026-08-28</t>
        </is>
      </c>
      <c r="BC388" s="65" t="n">
        <v>16679.5</v>
      </c>
      <c r="BD388" s="68" t="n">
        <v>2261.8</v>
      </c>
      <c r="BE388" s="63" t="inlineStr">
        <is>
          <t>Y</t>
        </is>
      </c>
      <c r="BF388" s="74" t="n">
        <v>9.699999999999999</v>
      </c>
      <c r="BG388" s="74" t="n"/>
      <c r="BH388" s="74" t="n"/>
      <c r="BI388" s="74" t="n">
        <v>1.3</v>
      </c>
      <c r="BJ388" s="75">
        <f>IF('BBG Verify'!S388="","not filed — run on terminal",'BBG Verify'!S388)</f>
        <v/>
      </c>
      <c r="BK388" s="76" t="inlineStr">
        <is>
          <t>N</t>
        </is>
      </c>
      <c r="BL388" s="77">
        <f>IF('BBG Verify'!K388="","not filed — run on terminal",'BBG Verify'!K388)</f>
        <v/>
      </c>
      <c r="BM388" s="63" t="inlineStr">
        <is>
          <t>N/A</t>
        </is>
      </c>
      <c r="BN388" s="63" t="inlineStr">
        <is>
          <t>N/A</t>
        </is>
      </c>
      <c r="BO388" s="63" t="inlineStr">
        <is>
          <t>N/A</t>
        </is>
      </c>
      <c r="BP388" s="63" t="inlineStr">
        <is>
          <t>N/A</t>
        </is>
      </c>
      <c r="BQ388" s="63" t="inlineStr">
        <is>
          <t>N/A</t>
        </is>
      </c>
      <c r="BR388" s="63" t="inlineStr">
        <is>
          <t>N/A</t>
        </is>
      </c>
      <c r="BS388" s="76" t="n"/>
      <c r="BT388" s="63" t="inlineStr">
        <is>
          <t>China International Capital Corporation Hong Kong Securities Limited; Huatai Financial Holdings (Hong Kong) Limited</t>
        </is>
      </c>
      <c r="BU388" s="63" t="inlineStr">
        <is>
          <t>AVICT Global Asset Management Limited; BOCI Asia Limited; China International Capital Corporation Hong Kong Securities Limited; CMB International Capital Limited; Futu Securities International (Hong Kong) Limited; Huatai Financial Holdings (Hong Kong) Limited</t>
        </is>
      </c>
      <c r="BV388" s="63" t="inlineStr">
        <is>
          <t>AVICT Global Asset Management Limited; BOCI Asia Limited; China International Capital Corporation Hong Kong Securities Limited; CMB International Capital Limited; Futu Securities International (Hong Kong) Limited; Huatai Financial Holdings (Hong Kong) Limited; Livermore Holdings Limited; South China Securities Limited; Tiger Brokers (HK) Global Limited; UOB Kay Hian (Hong Kong) Limited</t>
        </is>
      </c>
      <c r="BW388" s="63" t="n"/>
      <c r="BX388" s="78">
        <f>HYPERLINK("https://www1.hkexnews.hk/listedco/listconews/sehk/2025/1121/2025112101421.pdf","allotment")</f>
        <v/>
      </c>
      <c r="BY388" s="63" t="n"/>
      <c r="BZ388" s="76" t="n"/>
      <c r="CA388" s="63" t="inlineStr">
        <is>
          <t>greenshoe: end-of-stabilisation notice not located · price range: fixed-price offering (no indicative range) · range low: cap-only pricing — the filing publishes a Maximum Offer Price and no indicative floor · A/H: no A-share listing · sponsor: English name not in the filing text; AAStocks 保薦人 shown · filing links: no prospectus document returned by the HKEX per-stock search for this code — the allotment announcement is linked beside it · grey market: no grey-market headline on file for this deal — AAStocks publishes one per listing but keeps only recent items on the stock's news page, and no public archive of past evening sessions exists; captured from this run onward</t>
        </is>
      </c>
    </row>
    <row r="389" ht="15" customHeight="1">
      <c r="A389" s="62" t="inlineStr">
        <is>
          <t>2685</t>
        </is>
      </c>
      <c r="B389" s="63" t="inlineStr">
        <is>
          <t>QUANTGROUP</t>
        </is>
      </c>
      <c r="C389" s="63" t="inlineStr">
        <is>
          <t>量化派</t>
        </is>
      </c>
      <c r="D389" s="63" t="inlineStr">
        <is>
          <t>Tech/AI</t>
        </is>
      </c>
      <c r="E389" s="63" t="inlineStr">
        <is>
          <t>Internet platform / e-commerce</t>
        </is>
      </c>
      <c r="F389" s="63" t="inlineStr">
        <is>
          <t>e-Commerce &amp; Internet Services</t>
        </is>
      </c>
      <c r="G389" s="63" t="inlineStr">
        <is>
          <t>Standard</t>
        </is>
      </c>
      <c r="H389" s="64" t="n">
        <v>45988</v>
      </c>
      <c r="I389" s="65" t="n">
        <v>130.81</v>
      </c>
      <c r="J389" s="63" t="inlineStr">
        <is>
          <t>gross (stated)</t>
        </is>
      </c>
      <c r="K389" s="66" t="n">
        <v>8.800000000000001</v>
      </c>
      <c r="L389" s="66" t="n">
        <v>9.800000000000001</v>
      </c>
      <c r="M389" s="66" t="n">
        <v>9.800000000000001</v>
      </c>
      <c r="N389" s="63" t="inlineStr">
        <is>
          <t>Y</t>
        </is>
      </c>
      <c r="O389" s="67" t="n">
        <v>100</v>
      </c>
      <c r="P389" s="67" t="n">
        <v>100</v>
      </c>
      <c r="Q389" s="68" t="n">
        <v>5031.2</v>
      </c>
      <c r="R389" s="63" t="inlineStr">
        <is>
          <t>derived:deal size / offer % of enlarged capital</t>
        </is>
      </c>
      <c r="S389" s="69" t="n">
        <v>9366.280000000001</v>
      </c>
      <c r="T389" s="70" t="n">
        <v>15.07</v>
      </c>
      <c r="U389" s="71" t="n">
        <v>0</v>
      </c>
      <c r="V389" s="68" t="n">
        <v>130.81</v>
      </c>
      <c r="W389" s="68" t="n"/>
      <c r="X389" s="67" t="n">
        <v>2.6</v>
      </c>
      <c r="Y389" s="63" t="n"/>
      <c r="Z389" s="63" t="n"/>
      <c r="AA389" s="67" t="n">
        <v>15</v>
      </c>
      <c r="AB389" s="72" t="n"/>
      <c r="AC389" s="66" t="n"/>
      <c r="AD389" s="72" t="n"/>
      <c r="AE389" s="63" t="n"/>
      <c r="AF389" s="63" t="n"/>
      <c r="AG389" s="63" t="inlineStr">
        <is>
          <t>partial</t>
        </is>
      </c>
      <c r="AH389" s="63" t="inlineStr">
        <is>
          <t>2025-12-24</t>
        </is>
      </c>
      <c r="AI389" s="63" t="inlineStr">
        <is>
          <t>China International Capital Corporation Hong Kong Securities Limited</t>
        </is>
      </c>
      <c r="AJ389" s="63" t="inlineStr">
        <is>
          <t>China International</t>
        </is>
      </c>
      <c r="AK389" s="73" t="n">
        <v>88.78</v>
      </c>
      <c r="AL389" s="72" t="n">
        <v>165.31</v>
      </c>
      <c r="AM389" s="72" t="n">
        <v>-28.85</v>
      </c>
      <c r="AN389" s="72" t="n">
        <v>189.8</v>
      </c>
      <c r="AO389" s="72" t="n">
        <v>177.76</v>
      </c>
      <c r="AP389" s="72" t="n">
        <v>208.98</v>
      </c>
      <c r="AQ389" s="72" t="n">
        <v>53.51</v>
      </c>
      <c r="AR389" s="72" t="n">
        <v>47.13</v>
      </c>
      <c r="AS389" s="72" t="n">
        <v>63.67</v>
      </c>
      <c r="AT389" s="72" t="n">
        <v>189.89</v>
      </c>
      <c r="AU389" s="72" t="n">
        <v>178.58</v>
      </c>
      <c r="AV389" s="72" t="n">
        <v>223.24</v>
      </c>
      <c r="AW389" s="72" t="n">
        <v>47.59</v>
      </c>
      <c r="AX389" s="72" t="n">
        <v>-0.82</v>
      </c>
      <c r="AY389" s="72" t="n">
        <v>-0.46</v>
      </c>
      <c r="AZ389" s="63" t="inlineStr">
        <is>
          <t>HSTECH (Hang Seng TECH ETF)</t>
        </is>
      </c>
      <c r="BA389" s="72" t="n">
        <v>-61.43</v>
      </c>
      <c r="BB389" s="64" t="inlineStr">
        <is>
          <t>2026-08-28</t>
        </is>
      </c>
      <c r="BC389" s="65" t="n">
        <v>1092.3</v>
      </c>
      <c r="BD389" s="68" t="n">
        <v>161.8</v>
      </c>
      <c r="BE389" s="63" t="inlineStr">
        <is>
          <t>Y</t>
        </is>
      </c>
      <c r="BF389" s="74" t="n">
        <v>31.1</v>
      </c>
      <c r="BG389" s="74" t="n"/>
      <c r="BH389" s="74" t="n"/>
      <c r="BI389" s="74" t="n">
        <v>4.6</v>
      </c>
      <c r="BJ389" s="75">
        <f>IF('BBG Verify'!S389="","not filed — run on terminal",'BBG Verify'!S389)</f>
        <v/>
      </c>
      <c r="BK389" s="76" t="inlineStr">
        <is>
          <t>N</t>
        </is>
      </c>
      <c r="BL389" s="77">
        <f>IF('BBG Verify'!K389="","not filed — run on terminal",'BBG Verify'!K389)</f>
        <v/>
      </c>
      <c r="BM389" s="63" t="inlineStr">
        <is>
          <t>N/A</t>
        </is>
      </c>
      <c r="BN389" s="63" t="inlineStr">
        <is>
          <t>N/A</t>
        </is>
      </c>
      <c r="BO389" s="63" t="inlineStr">
        <is>
          <t>N/A</t>
        </is>
      </c>
      <c r="BP389" s="63" t="inlineStr">
        <is>
          <t>N/A</t>
        </is>
      </c>
      <c r="BQ389" s="63" t="inlineStr">
        <is>
          <t>N/A</t>
        </is>
      </c>
      <c r="BR389" s="63" t="inlineStr">
        <is>
          <t>N/A</t>
        </is>
      </c>
      <c r="BS389" s="76" t="inlineStr">
        <is>
          <t>China International Capital Corporation Hong Kong Securities Limited; Hong Kong SAR CITIC Securities (Hong Kong) Limited</t>
        </is>
      </c>
      <c r="BT389" s="63" t="inlineStr">
        <is>
          <t>China International Capital Corporation Hong Kong Securities Limited; CITIC Securities (Hong Kong) Limited</t>
        </is>
      </c>
      <c r="BU389" s="63" t="inlineStr">
        <is>
          <t>China International Capital Corporation Hong Kong Securities Limited; CLSA Limited; Hong Kong SAR Fosun International Securities Limited; Hong Kong SAR CLSA Limited; Hong Kong SAR Futu Securities International (Hong Kong) Limited; No.95 Queensway Admiralty Hong Kong SAR Tiger Brokers (HK) Global Limited</t>
        </is>
      </c>
      <c r="BV389" s="63" t="inlineStr">
        <is>
          <t>China International Capital Corporation Hong Kong Securities Limited; CLSA Limited; Fosun International Securities Limited; Futu Securities International (Hong Kong) Limited; Tiger Brokers (HK) Global Limited</t>
        </is>
      </c>
      <c r="BW389" s="78">
        <f>HYPERLINK("https://www1.hkexnews.hk/listedco/listconews/sehk/2025/1119/2025111900009.pdf","prospectus")</f>
        <v/>
      </c>
      <c r="BX389" s="78">
        <f>HYPERLINK("https://www1.hkexnews.hk/listedco/listconews/sehk/2025/1126/2025112601522.pdf","allotment")</f>
        <v/>
      </c>
      <c r="BY389" s="78">
        <f>HYPERLINK("https://www1.hkexnews.hk/listedco/listconews/sehk/2025/1224/2025122401992.pdf","stabilisation")</f>
        <v/>
      </c>
      <c r="BZ389" s="76" t="n"/>
      <c r="CA389" s="63" t="inlineStr">
        <is>
          <t>A/H: no A-share listing · cornerstone list: no cornerstone tranche in this deal · grey market: no grey-market headline on file for this deal — AAStocks publishes one per listing but keeps only recent items on the stock's news page, and no public archive of past evening sessions exists; captured from this run onward · eff float shares: share count unavailable or rejected as implausible — the money figure (eff_free_float_hkdm) is still exact</t>
        </is>
      </c>
    </row>
    <row r="390" ht="15" customHeight="1">
      <c r="A390" s="62" t="inlineStr">
        <is>
          <t>9609</t>
        </is>
      </c>
      <c r="B390" s="63" t="inlineStr">
        <is>
          <t>HAIWEI ELEC</t>
        </is>
      </c>
      <c r="C390" s="63" t="inlineStr">
        <is>
          <t>海偉股份</t>
        </is>
      </c>
      <c r="D390" s="63" t="inlineStr">
        <is>
          <t>Materials/Energy</t>
        </is>
      </c>
      <c r="E390" s="63" t="inlineStr">
        <is>
          <t>Chemicals</t>
        </is>
      </c>
      <c r="F390" s="63" t="inlineStr">
        <is>
          <t>Electrical Components &amp; Equipment</t>
        </is>
      </c>
      <c r="G390" s="63" t="inlineStr">
        <is>
          <t>Standard</t>
        </is>
      </c>
      <c r="H390" s="64" t="n">
        <v>45989</v>
      </c>
      <c r="I390" s="65" t="n">
        <v>506.31</v>
      </c>
      <c r="J390" s="63" t="inlineStr">
        <is>
          <t>gross (stated)</t>
        </is>
      </c>
      <c r="K390" s="66" t="n"/>
      <c r="L390" s="66" t="n">
        <v>14.28</v>
      </c>
      <c r="M390" s="66" t="n">
        <v>14.28</v>
      </c>
      <c r="N390" s="63" t="inlineStr">
        <is>
          <t>Y</t>
        </is>
      </c>
      <c r="O390" s="67" t="n">
        <v>100</v>
      </c>
      <c r="P390" s="67" t="n"/>
      <c r="Q390" s="68" t="n">
        <v>17399</v>
      </c>
      <c r="R390" s="63" t="inlineStr">
        <is>
          <t>derived:deal size / offer % of enlarged capital</t>
        </is>
      </c>
      <c r="S390" s="69" t="n">
        <v>5426.27</v>
      </c>
      <c r="T390" s="70" t="n">
        <v>6.11</v>
      </c>
      <c r="U390" s="71" t="n">
        <v>43.1</v>
      </c>
      <c r="V390" s="68" t="n">
        <v>288.09</v>
      </c>
      <c r="W390" s="68" t="n">
        <v>20174464</v>
      </c>
      <c r="X390" s="67" t="n">
        <v>1.66</v>
      </c>
      <c r="Y390" s="63" t="inlineStr">
        <is>
          <t>Huatai Capital Investment Limited; BYD Company Limited –; Sungrow Power Note 1 –; CICC Pucheng Investment Co., Ltd. –; Horizon Splendor</t>
        </is>
      </c>
      <c r="Z390" s="63" t="inlineStr">
        <is>
          <t>huatai;byd;sungrow;china-international;horizon</t>
        </is>
      </c>
      <c r="AA390" s="67" t="n">
        <v>15</v>
      </c>
      <c r="AB390" s="72" t="n">
        <v>0.5</v>
      </c>
      <c r="AC390" s="66" t="n">
        <v>14.35</v>
      </c>
      <c r="AD390" s="72" t="n">
        <v>-23.35</v>
      </c>
      <c r="AE390" s="63" t="inlineStr">
        <is>
          <t>N</t>
        </is>
      </c>
      <c r="AF390" s="63" t="inlineStr">
        <is>
          <t>2025-11-28</t>
        </is>
      </c>
      <c r="AG390" s="63" t="inlineStr">
        <is>
          <t>partial</t>
        </is>
      </c>
      <c r="AH390" s="63" t="inlineStr">
        <is>
          <t>2025-12-25</t>
        </is>
      </c>
      <c r="AI390" s="63" t="inlineStr">
        <is>
          <t>China International Capital Corporation Hong Kong Securities Limited</t>
        </is>
      </c>
      <c r="AJ390" s="63" t="inlineStr">
        <is>
          <t>China International</t>
        </is>
      </c>
      <c r="AK390" s="73" t="n">
        <v>-22.97</v>
      </c>
      <c r="AL390" s="72" t="n">
        <v>-5.46</v>
      </c>
      <c r="AM390" s="72" t="n">
        <v>-18.52</v>
      </c>
      <c r="AN390" s="72" t="n">
        <v>-21.5</v>
      </c>
      <c r="AO390" s="72" t="n">
        <v>-35.43</v>
      </c>
      <c r="AP390" s="72" t="n">
        <v>-36.2</v>
      </c>
      <c r="AQ390" s="72" t="n">
        <v>1.91</v>
      </c>
      <c r="AR390" s="72" t="n">
        <v>-16.18</v>
      </c>
      <c r="AS390" s="72" t="n">
        <v>-17.18</v>
      </c>
      <c r="AT390" s="72" t="n">
        <v>-22.87</v>
      </c>
      <c r="AU390" s="72" t="n">
        <v>-32.73</v>
      </c>
      <c r="AV390" s="72" t="n">
        <v>-27.85</v>
      </c>
      <c r="AW390" s="72" t="n">
        <v>-13.63</v>
      </c>
      <c r="AX390" s="72" t="n">
        <v>-2.7</v>
      </c>
      <c r="AY390" s="72" t="n">
        <v>-2.55</v>
      </c>
      <c r="AZ390" s="63" t="inlineStr">
        <is>
          <t>Hang Seng Commerce &amp; Industry sub-index</t>
        </is>
      </c>
      <c r="BA390" s="72" t="n">
        <v>-44.43</v>
      </c>
      <c r="BB390" s="64" t="inlineStr">
        <is>
          <t>2026-08-28</t>
        </is>
      </c>
      <c r="BC390" s="65" t="n">
        <v>463.9</v>
      </c>
      <c r="BD390" s="68" t="n">
        <v>95.09999999999999</v>
      </c>
      <c r="BE390" s="63" t="inlineStr">
        <is>
          <t>Y</t>
        </is>
      </c>
      <c r="BF390" s="74" t="n">
        <v>183</v>
      </c>
      <c r="BG390" s="74" t="n"/>
      <c r="BH390" s="74" t="n"/>
      <c r="BI390" s="74" t="n">
        <v>37.5</v>
      </c>
      <c r="BJ390" s="75">
        <f>IF('BBG Verify'!S390="","not filed — run on terminal",'BBG Verify'!S390)</f>
        <v/>
      </c>
      <c r="BK390" s="76" t="inlineStr">
        <is>
          <t>N</t>
        </is>
      </c>
      <c r="BL390" s="77">
        <f>IF('BBG Verify'!K390="","not filed — run on terminal",'BBG Verify'!K390)</f>
        <v/>
      </c>
      <c r="BM390" s="63" t="inlineStr">
        <is>
          <t>N/A</t>
        </is>
      </c>
      <c r="BN390" s="63" t="inlineStr">
        <is>
          <t>N/A</t>
        </is>
      </c>
      <c r="BO390" s="63" t="inlineStr">
        <is>
          <t>N/A</t>
        </is>
      </c>
      <c r="BP390" s="63" t="inlineStr">
        <is>
          <t>N/A</t>
        </is>
      </c>
      <c r="BQ390" s="63" t="inlineStr">
        <is>
          <t>N/A</t>
        </is>
      </c>
      <c r="BR390" s="63" t="inlineStr">
        <is>
          <t>N/A</t>
        </is>
      </c>
      <c r="BS390" s="76" t="inlineStr">
        <is>
          <t>China International Capital Corporation Hong Kong Securities Limited</t>
        </is>
      </c>
      <c r="BT390" s="63" t="inlineStr">
        <is>
          <t>China International Capital Corporation Hong Kong Securities Limited</t>
        </is>
      </c>
      <c r="BU390" s="63" t="inlineStr">
        <is>
          <t>China International Capital Corporation Hong Kong Securities Limited; China Securities (International) Corporate Finance Company Limited; CLSA Limited; CCB International Capital Limited; BOCI Asia Limited; Huizhi International Capital Holdings Co., Limited</t>
        </is>
      </c>
      <c r="BV390" s="63" t="inlineStr">
        <is>
          <t>BOCI Asia Limited; CCB International Capital Limited; China International Capital Corporation Hong Kong Securities Limited; CLSA Limited; China Securities (International) Corporate Finance Company Limited; Futu Securities International (Hong Kong) Limited; Huizhi International Capital Holdings Co., Limited; Livermore Holdings Limited</t>
        </is>
      </c>
      <c r="BW390" s="78">
        <f>HYPERLINK("https://www1.hkexnews.hk/listedco/listconews/sehk/2025/1120/2025112000009.pdf","prospectus")</f>
        <v/>
      </c>
      <c r="BX390" s="78">
        <f>HYPERLINK("https://www1.hkexnews.hk/listedco/listconews/sehk/2025/1127/2025112701630.pdf","allotment")</f>
        <v/>
      </c>
      <c r="BY390" s="78">
        <f>HYPERLINK("https://www1.hkexnews.hk/listedco/listconews/sehk/2025/1228/2025122800169.pdf","stabilisation")</f>
        <v/>
      </c>
      <c r="BZ390" s="76" t="n"/>
      <c r="CA390" s="63" t="inlineStr">
        <is>
          <t>range low: cap-only pricing — the filing publishes a Maximum Offer Price and no indicative floor · A/H: no A-share listing</t>
        </is>
      </c>
    </row>
    <row r="391" ht="15" customHeight="1">
      <c r="A391" s="62" t="inlineStr">
        <is>
          <t>2539</t>
        </is>
      </c>
      <c r="B391" s="63" t="inlineStr">
        <is>
          <t>LEMO SERVICES</t>
        </is>
      </c>
      <c r="C391" s="63" t="inlineStr">
        <is>
          <t>樂摩科技</t>
        </is>
      </c>
      <c r="D391" s="63" t="inlineStr">
        <is>
          <t>Real Estate</t>
        </is>
      </c>
      <c r="E391" s="63" t="inlineStr">
        <is>
          <t>Property management</t>
        </is>
      </c>
      <c r="F391" s="63" t="inlineStr">
        <is>
          <t>Leisure Products</t>
        </is>
      </c>
      <c r="G391" s="63" t="inlineStr">
        <is>
          <t>Standard</t>
        </is>
      </c>
      <c r="H391" s="64" t="n">
        <v>45994</v>
      </c>
      <c r="I391" s="65" t="n">
        <v>222.22</v>
      </c>
      <c r="J391" s="63" t="inlineStr">
        <is>
          <t>gross (stated)</t>
        </is>
      </c>
      <c r="K391" s="66" t="n">
        <v>27</v>
      </c>
      <c r="L391" s="66" t="n">
        <v>40</v>
      </c>
      <c r="M391" s="66" t="n">
        <v>40</v>
      </c>
      <c r="N391" s="63" t="inlineStr">
        <is>
          <t>Y</t>
        </is>
      </c>
      <c r="O391" s="67" t="n">
        <v>100</v>
      </c>
      <c r="P391" s="67" t="n">
        <v>100</v>
      </c>
      <c r="Q391" s="68" t="n">
        <v>2222.2</v>
      </c>
      <c r="R391" s="63" t="inlineStr">
        <is>
          <t>derived:price x shares upon listing</t>
        </is>
      </c>
      <c r="S391" s="69" t="n">
        <v>7324.29</v>
      </c>
      <c r="T391" s="70" t="n">
        <v>6.78</v>
      </c>
      <c r="U391" s="71" t="n">
        <v>0</v>
      </c>
      <c r="V391" s="68" t="n">
        <v>222.22</v>
      </c>
      <c r="W391" s="68" t="n">
        <v>5555600</v>
      </c>
      <c r="X391" s="67" t="n">
        <v>10</v>
      </c>
      <c r="Y391" s="63" t="n"/>
      <c r="Z391" s="63" t="n"/>
      <c r="AA391" s="67" t="n"/>
      <c r="AB391" s="72" t="n">
        <v>62.5</v>
      </c>
      <c r="AC391" s="66" t="n">
        <v>65</v>
      </c>
      <c r="AD391" s="72" t="n">
        <v>-16.15</v>
      </c>
      <c r="AE391" s="63" t="inlineStr">
        <is>
          <t>Y</t>
        </is>
      </c>
      <c r="AF391" s="63" t="inlineStr">
        <is>
          <t>2025-12-02</t>
        </is>
      </c>
      <c r="AG391" s="63" t="n"/>
      <c r="AH391" s="63" t="n"/>
      <c r="AI391" s="63" t="n"/>
      <c r="AJ391" s="63" t="n"/>
      <c r="AK391" s="73" t="n">
        <v>36.25</v>
      </c>
      <c r="AL391" s="72" t="n">
        <v>62</v>
      </c>
      <c r="AM391" s="72" t="n">
        <v>-15.9</v>
      </c>
      <c r="AN391" s="72" t="n">
        <v>66.75</v>
      </c>
      <c r="AO391" s="72" t="n">
        <v>-16.05</v>
      </c>
      <c r="AP391" s="72" t="n">
        <v>-55.7</v>
      </c>
      <c r="AQ391" s="72" t="n">
        <v>22.39</v>
      </c>
      <c r="AR391" s="72" t="n">
        <v>-38.39</v>
      </c>
      <c r="AS391" s="72" t="n">
        <v>-67.48999999999999</v>
      </c>
      <c r="AT391" s="72" t="n">
        <v>71.5</v>
      </c>
      <c r="AU391" s="72" t="n">
        <v>-14.01</v>
      </c>
      <c r="AV391" s="72" t="n">
        <v>-68.91</v>
      </c>
      <c r="AW391" s="72" t="n">
        <v>-37.95</v>
      </c>
      <c r="AX391" s="72" t="n">
        <v>-2.04</v>
      </c>
      <c r="AY391" s="72" t="n">
        <v>-0.44</v>
      </c>
      <c r="AZ391" s="63" t="inlineStr">
        <is>
          <t>Hang Seng Properties sub-index</t>
        </is>
      </c>
      <c r="BA391" s="72" t="n">
        <v>-76.59999999999999</v>
      </c>
      <c r="BB391" s="64" t="inlineStr">
        <is>
          <t>2026-08-28</t>
        </is>
      </c>
      <c r="BC391" s="65" t="n">
        <v>877.8</v>
      </c>
      <c r="BD391" s="68" t="n">
        <v>94.40000000000001</v>
      </c>
      <c r="BE391" s="63" t="inlineStr">
        <is>
          <t>Y</t>
        </is>
      </c>
      <c r="BF391" s="74" t="n">
        <v>23.5</v>
      </c>
      <c r="BG391" s="74" t="n"/>
      <c r="BH391" s="74" t="n"/>
      <c r="BI391" s="74" t="n">
        <v>2.5</v>
      </c>
      <c r="BJ391" s="75">
        <f>IF('BBG Verify'!S391="","not filed — run on terminal",'BBG Verify'!S391)</f>
        <v/>
      </c>
      <c r="BK391" s="76" t="inlineStr">
        <is>
          <t>N</t>
        </is>
      </c>
      <c r="BL391" s="77">
        <f>IF('BBG Verify'!K391="","not filed — run on terminal",'BBG Verify'!K391)</f>
        <v/>
      </c>
      <c r="BM391" s="63" t="inlineStr">
        <is>
          <t>N/A</t>
        </is>
      </c>
      <c r="BN391" s="63" t="inlineStr">
        <is>
          <t>N/A</t>
        </is>
      </c>
      <c r="BO391" s="63" t="inlineStr">
        <is>
          <t>N/A</t>
        </is>
      </c>
      <c r="BP391" s="63" t="inlineStr">
        <is>
          <t>N/A</t>
        </is>
      </c>
      <c r="BQ391" s="63" t="inlineStr">
        <is>
          <t>N/A</t>
        </is>
      </c>
      <c r="BR391" s="63" t="inlineStr">
        <is>
          <t>N/A</t>
        </is>
      </c>
      <c r="BS391" s="76" t="inlineStr">
        <is>
          <t>China Securities (International) Corporate Finance Company Limited; Shenwan Hongyuan Capital (H.K.) Limited</t>
        </is>
      </c>
      <c r="BT391" s="63" t="inlineStr">
        <is>
          <t>China Securities (International) Corporate Finance Company Limited; Shenwan Hongyuan Capital (H.K.) Limited</t>
        </is>
      </c>
      <c r="BU391" s="63" t="inlineStr">
        <is>
          <t>China Securities (International) Corporate Finance Company Limited; Shenwan Hongyuan Securities (H.K.) Limited; SPDB International Capital Limited; CMB International Capital Limited; BOCI Asia Limited; ICBC International Securities Limited; CCB International Capital Limited; Guoyuan Securities Brokerage (Hong Kong) Limited; ABCI Capital Limited; ABCI Securities Company Limited</t>
        </is>
      </c>
      <c r="BV391" s="63" t="inlineStr">
        <is>
          <t>ABCI Securities Company Limited; Beta International Securities Limited; BOCI Asia Limited; CCB International Capital Limited; CMB International Capital Limited; China Securities (International) Corporate Finance Company Limited; Guoyuan Securities Brokerage (Hong Kong) Limited; ICBC International Securities Limited; Livermore Holdings Limited; Quam Securities Limited; Shenwan Hongyuan Securities (H.K.) Limited; SPDB International Capital Limited</t>
        </is>
      </c>
      <c r="BW391" s="78">
        <f>HYPERLINK("https://www1.hkexnews.hk/listedco/listconews/sehk/2025/1125/2025112500051.pdf","prospectus")</f>
        <v/>
      </c>
      <c r="BX391" s="78">
        <f>HYPERLINK("https://www1.hkexnews.hk/listedco/listconews/sehk/2025/1202/2025120202454.pdf","allotment")</f>
        <v/>
      </c>
      <c r="BY391" s="63" t="n"/>
      <c r="BZ391" s="76" t="n"/>
      <c r="CA391" s="63" t="inlineStr">
        <is>
          <t>greenshoe: no over-allotment option in the offer structure · A/H: no A-share listing · market cap: prospectus 'market capitalisation' line rejected — it is the listing-rule threshold, not the issuer's figure ("d, mid-point and the upper-end, respectively), the expected market capitalization of the Company’s H Shares wo") · cornerstone list: no cornerstone tranche in this deal · greenshoe size: no over-allotment option in the offer structure · stabilising manager: the filing states no stabilising manager will be appointed — a filed fact, not an extraction gap (allotment announcement: 'no stabilizing manager will be appointed' stated in the filing)</t>
        </is>
      </c>
    </row>
    <row r="392" ht="15" customHeight="1">
      <c r="A392" s="62" t="inlineStr">
        <is>
          <t>2693</t>
        </is>
      </c>
      <c r="B392" s="63" t="inlineStr">
        <is>
          <t>JINYAN KAOLIN</t>
        </is>
      </c>
      <c r="C392" s="63" t="inlineStr">
        <is>
          <t>金岩高嶺新材</t>
        </is>
      </c>
      <c r="D392" s="63" t="inlineStr">
        <is>
          <t>Materials/Energy</t>
        </is>
      </c>
      <c r="E392" s="63" t="inlineStr">
        <is>
          <t>Mining / metals</t>
        </is>
      </c>
      <c r="F392" s="63" t="inlineStr">
        <is>
          <t>Diversified Metals &amp; Minerals</t>
        </is>
      </c>
      <c r="G392" s="63" t="inlineStr">
        <is>
          <t>Standard</t>
        </is>
      </c>
      <c r="H392" s="64" t="n">
        <v>45994</v>
      </c>
      <c r="I392" s="65" t="n">
        <v>177.4</v>
      </c>
      <c r="J392" s="63" t="inlineStr">
        <is>
          <t>gross (price x shares)</t>
        </is>
      </c>
      <c r="K392" s="66" t="n">
        <v>7.3</v>
      </c>
      <c r="L392" s="66" t="n">
        <v>7.3</v>
      </c>
      <c r="M392" s="66" t="n">
        <v>7.3</v>
      </c>
      <c r="N392" s="63" t="inlineStr">
        <is>
          <t>Y</t>
        </is>
      </c>
      <c r="O392" s="67" t="n">
        <v>100</v>
      </c>
      <c r="P392" s="67" t="n"/>
      <c r="Q392" s="68" t="n">
        <v>709.5</v>
      </c>
      <c r="R392" s="63" t="inlineStr">
        <is>
          <t>derived:price x shares upon listing</t>
        </is>
      </c>
      <c r="S392" s="69" t="n">
        <v>6876.17</v>
      </c>
      <c r="T392" s="70" t="n">
        <v>2.01</v>
      </c>
      <c r="U392" s="71" t="n">
        <v>80.2</v>
      </c>
      <c r="V392" s="68" t="n">
        <v>35.13</v>
      </c>
      <c r="W392" s="68" t="n">
        <v>4811400</v>
      </c>
      <c r="X392" s="67" t="n">
        <v>4.95</v>
      </c>
      <c r="Y392" s="63" t="n"/>
      <c r="Z392" s="63" t="n"/>
      <c r="AA392" s="67" t="n">
        <v>6.1</v>
      </c>
      <c r="AB392" s="72" t="n">
        <v>35.8</v>
      </c>
      <c r="AC392" s="66" t="n">
        <v>9.91</v>
      </c>
      <c r="AD392" s="72" t="n">
        <v>-24.75</v>
      </c>
      <c r="AE392" s="63" t="inlineStr">
        <is>
          <t>Y</t>
        </is>
      </c>
      <c r="AF392" s="63" t="inlineStr">
        <is>
          <t>2025-12-02</t>
        </is>
      </c>
      <c r="AG392" s="63" t="inlineStr">
        <is>
          <t>lapsed</t>
        </is>
      </c>
      <c r="AH392" s="63" t="n"/>
      <c r="AI392" s="63" t="inlineStr">
        <is>
          <t>Guoyuan Securities Brokerage</t>
        </is>
      </c>
      <c r="AJ392" s="63" t="inlineStr">
        <is>
          <t>Guoyuan</t>
        </is>
      </c>
      <c r="AK392" s="73" t="n">
        <v>2.19</v>
      </c>
      <c r="AL392" s="72" t="n">
        <v>27.4</v>
      </c>
      <c r="AM392" s="72" t="n">
        <v>-19.79</v>
      </c>
      <c r="AN392" s="72" t="n">
        <v>-11.51</v>
      </c>
      <c r="AO392" s="72" t="n">
        <v>-41.1</v>
      </c>
      <c r="AP392" s="72" t="n">
        <v>-39.04</v>
      </c>
      <c r="AQ392" s="72" t="n">
        <v>-13.41</v>
      </c>
      <c r="AR392" s="72" t="n">
        <v>-42.36</v>
      </c>
      <c r="AS392" s="72" t="n">
        <v>-40.35</v>
      </c>
      <c r="AT392" s="72" t="n">
        <v>-9.6</v>
      </c>
      <c r="AU392" s="72" t="n">
        <v>-41.44</v>
      </c>
      <c r="AV392" s="72" t="n">
        <v>-33.29</v>
      </c>
      <c r="AW392" s="72" t="n">
        <v>-43.88</v>
      </c>
      <c r="AX392" s="72" t="n">
        <v>0.34</v>
      </c>
      <c r="AY392" s="72" t="n">
        <v>1.52</v>
      </c>
      <c r="AZ392" s="63" t="inlineStr">
        <is>
          <t>Hang Seng Commerce &amp; Industry sub-index</t>
        </is>
      </c>
      <c r="BA392" s="72" t="n">
        <v>-58.42</v>
      </c>
      <c r="BB392" s="64" t="inlineStr">
        <is>
          <t>2026-08-28</t>
        </is>
      </c>
      <c r="BC392" s="65" t="n">
        <v>293.9</v>
      </c>
      <c r="BD392" s="68" t="n">
        <v>57.9</v>
      </c>
      <c r="BE392" s="63" t="inlineStr">
        <is>
          <t>Y</t>
        </is>
      </c>
      <c r="BF392" s="74" t="n">
        <v>12.3</v>
      </c>
      <c r="BG392" s="74" t="n"/>
      <c r="BH392" s="74" t="n"/>
      <c r="BI392" s="74" t="n">
        <v>2.4</v>
      </c>
      <c r="BJ392" s="75">
        <f>IF('BBG Verify'!S392="","not filed — run on terminal",'BBG Verify'!S392)</f>
        <v/>
      </c>
      <c r="BK392" s="76" t="inlineStr">
        <is>
          <t>N</t>
        </is>
      </c>
      <c r="BL392" s="77">
        <f>IF('BBG Verify'!K392="","not filed — run on terminal",'BBG Verify'!K392)</f>
        <v/>
      </c>
      <c r="BM392" s="63" t="inlineStr">
        <is>
          <t>N/A</t>
        </is>
      </c>
      <c r="BN392" s="63" t="inlineStr">
        <is>
          <t>N/A</t>
        </is>
      </c>
      <c r="BO392" s="63" t="inlineStr">
        <is>
          <t>N/A</t>
        </is>
      </c>
      <c r="BP392" s="63" t="inlineStr">
        <is>
          <t>N/A</t>
        </is>
      </c>
      <c r="BQ392" s="63" t="inlineStr">
        <is>
          <t>N/A</t>
        </is>
      </c>
      <c r="BR392" s="63" t="inlineStr">
        <is>
          <t>N/A</t>
        </is>
      </c>
      <c r="BS392" s="76" t="inlineStr">
        <is>
          <t>Guoyuan Capital (Hong Kong) Limited; CMBC International Capital Limited</t>
        </is>
      </c>
      <c r="BT392" s="63" t="inlineStr">
        <is>
          <t>Guoyuan Capital (Hong Kong) Limited; CMBC International Capital Limited</t>
        </is>
      </c>
      <c r="BU392" s="63" t="inlineStr">
        <is>
          <t>China Sunrise Securities (International) Limited; First Shanghai Securities Limited; Futu Securities International (Hong Kong) Limited; ICBC International Securities Limited; Shenwan Hongyuan Securities (H.K.) Limited; uSmart Securities Limited</t>
        </is>
      </c>
      <c r="BV392" s="63" t="inlineStr">
        <is>
          <t>CCB International Capital Limited; CMBC Securities Company Limited; China Sunrise Securities (International) Limited; DBS Asia Capital Limited; First Shanghai Securities Limited; Futu Securities International (Hong Kong) Limited; Guoyuan Securities Brokerage (Hong Kong) Limited; ICBC International Securities Limited; Shenwan Hongyuan Securities (H.K.) Limited</t>
        </is>
      </c>
      <c r="BW392" s="78">
        <f>HYPERLINK("https://www1.hkexnews.hk/listedco/listconews/sehk/2025/1125/2025112500049.pdf","prospectus")</f>
        <v/>
      </c>
      <c r="BX392" s="78">
        <f>HYPERLINK("https://www1.hkexnews.hk/listedco/listconews/sehk/2025/1202/2025120202632.pdf","allotment")</f>
        <v/>
      </c>
      <c r="BY392" s="78">
        <f>HYPERLINK("https://www1.hkexnews.hk/listedco/listconews/sehk/2025/1228/2025122800123.pdf","stabilisation")</f>
        <v/>
      </c>
      <c r="BZ392" s="76" t="n"/>
      <c r="CA392" s="63" t="inlineStr">
        <is>
          <t>greenshoe: over-allotment outcome already published, and the allotment announcement does not state the stabilisation expiry in a parsable form — the expiry no longer matters once resolved · price range: no usable lo&lt;hi range to position the final price in · A/H: no A-share listing · cornerstone list: tranche parsed (80.2% locked) but the per-investor table did not machine-parse — names are in the prospectus Cornerstone section (link on this row)</t>
        </is>
      </c>
    </row>
    <row r="393" ht="15" customHeight="1">
      <c r="A393" s="62" t="inlineStr">
        <is>
          <t>2408</t>
        </is>
      </c>
      <c r="B393" s="63" t="inlineStr">
        <is>
          <t>XIAO NOODLES</t>
        </is>
      </c>
      <c r="C393" s="63" t="inlineStr">
        <is>
          <t>遇見小麵</t>
        </is>
      </c>
      <c r="D393" s="63" t="inlineStr">
        <is>
          <t>Consumer</t>
        </is>
      </c>
      <c r="E393" s="63" t="inlineStr">
        <is>
          <t>F&amp;B chains / restaurants</t>
        </is>
      </c>
      <c r="F393" s="63" t="inlineStr">
        <is>
          <t>Restaurants</t>
        </is>
      </c>
      <c r="G393" s="63" t="inlineStr">
        <is>
          <t>Standard</t>
        </is>
      </c>
      <c r="H393" s="64" t="n">
        <v>45996</v>
      </c>
      <c r="I393" s="65" t="n">
        <v>685.4</v>
      </c>
      <c r="J393" s="63" t="inlineStr">
        <is>
          <t>gross (stated)</t>
        </is>
      </c>
      <c r="K393" s="66" t="n">
        <v>5.64</v>
      </c>
      <c r="L393" s="66" t="n">
        <v>7.04</v>
      </c>
      <c r="M393" s="66" t="n">
        <v>7.04</v>
      </c>
      <c r="N393" s="63" t="inlineStr">
        <is>
          <t>Y</t>
        </is>
      </c>
      <c r="O393" s="67" t="n">
        <v>100</v>
      </c>
      <c r="P393" s="67" t="n">
        <v>100</v>
      </c>
      <c r="Q393" s="68" t="n">
        <v>4796.4</v>
      </c>
      <c r="R393" s="63" t="inlineStr">
        <is>
          <t>derived:deal size / offer % of enlarged capital</t>
        </is>
      </c>
      <c r="S393" s="69" t="n">
        <v>425.97</v>
      </c>
      <c r="T393" s="70" t="n">
        <v>4.99</v>
      </c>
      <c r="U393" s="71" t="n">
        <v>24.95</v>
      </c>
      <c r="V393" s="68" t="n">
        <v>514.39</v>
      </c>
      <c r="W393" s="68" t="n">
        <v>73072057</v>
      </c>
      <c r="X393" s="67" t="n">
        <v>10.72</v>
      </c>
      <c r="Y393" s="63" t="inlineStr">
        <is>
          <t>Qingcong Capital; Mr. Su; Mr. Gao Defu; Hong Kong Shengying Investment Limited; Hai Di Lao Holdings Pte. Ltd; Pusheng Fund; China Galaxy International Investment Company Limited</t>
        </is>
      </c>
      <c r="Z393" s="63" t="inlineStr">
        <is>
          <t>qingcong;mr-su;mr-gao;shengying;hai;pusheng;galaxy</t>
        </is>
      </c>
      <c r="AA393" s="67" t="n">
        <v>5</v>
      </c>
      <c r="AB393" s="72" t="n">
        <v>-14.2</v>
      </c>
      <c r="AC393" s="66" t="n">
        <v>6.04</v>
      </c>
      <c r="AD393" s="72" t="n">
        <v>-15.9</v>
      </c>
      <c r="AE393" s="63" t="inlineStr">
        <is>
          <t>Y</t>
        </is>
      </c>
      <c r="AF393" s="63" t="inlineStr">
        <is>
          <t>2025-12-04</t>
        </is>
      </c>
      <c r="AG393" s="63" t="inlineStr">
        <is>
          <t>lapsed</t>
        </is>
      </c>
      <c r="AH393" s="63" t="inlineStr">
        <is>
          <t>2026-01-01</t>
        </is>
      </c>
      <c r="AI393" s="63" t="inlineStr">
        <is>
          <t>CMB International Global Markets Limited</t>
        </is>
      </c>
      <c r="AJ393" s="63" t="inlineStr">
        <is>
          <t>CMB</t>
        </is>
      </c>
      <c r="AK393" s="73" t="n">
        <v>-27.84</v>
      </c>
      <c r="AL393" s="72" t="n">
        <v>-28.98</v>
      </c>
      <c r="AM393" s="72" t="n">
        <v>1.61</v>
      </c>
      <c r="AN393" s="72" t="n">
        <v>-28.69</v>
      </c>
      <c r="AO393" s="72" t="n">
        <v>-37.22</v>
      </c>
      <c r="AP393" s="72" t="n">
        <v>-33.66</v>
      </c>
      <c r="AQ393" s="72" t="n">
        <v>-1.18</v>
      </c>
      <c r="AR393" s="72" t="n">
        <v>-13</v>
      </c>
      <c r="AS393" s="72" t="n">
        <v>-8.07</v>
      </c>
      <c r="AT393" s="72" t="n">
        <v>-28.28</v>
      </c>
      <c r="AU393" s="72" t="n">
        <v>-35.45</v>
      </c>
      <c r="AV393" s="72" t="n">
        <v>-27.83</v>
      </c>
      <c r="AW393" s="72" t="n">
        <v>-10.73</v>
      </c>
      <c r="AX393" s="72" t="n">
        <v>-1.77</v>
      </c>
      <c r="AY393" s="72" t="n">
        <v>-2.27</v>
      </c>
      <c r="AZ393" s="63" t="inlineStr">
        <is>
          <t>Hang Seng Commerce &amp; Industry sub-index</t>
        </is>
      </c>
      <c r="BA393" s="72" t="n">
        <v>-44.46</v>
      </c>
      <c r="BB393" s="64" t="inlineStr">
        <is>
          <t>2026-08-28</t>
        </is>
      </c>
      <c r="BC393" s="65" t="n">
        <v>1269.9</v>
      </c>
      <c r="BD393" s="68" t="n">
        <v>82.40000000000001</v>
      </c>
      <c r="BE393" s="63" t="inlineStr">
        <is>
          <t>Y</t>
        </is>
      </c>
      <c r="BF393" s="74" t="n">
        <v>58.2</v>
      </c>
      <c r="BG393" s="74" t="n">
        <v>32.8</v>
      </c>
      <c r="BH393" s="74" t="n">
        <v>14.1</v>
      </c>
      <c r="BI393" s="74" t="n">
        <v>3.8</v>
      </c>
      <c r="BJ393" s="75">
        <f>IF('BBG Verify'!S393="","not filed — run on terminal",'BBG Verify'!S393)</f>
        <v/>
      </c>
      <c r="BK393" s="76" t="inlineStr">
        <is>
          <t>N</t>
        </is>
      </c>
      <c r="BL393" s="77">
        <f>IF('BBG Verify'!K393="","not filed — run on terminal",'BBG Verify'!K393)</f>
        <v/>
      </c>
      <c r="BM393" s="63" t="inlineStr">
        <is>
          <t>N/A</t>
        </is>
      </c>
      <c r="BN393" s="63" t="inlineStr">
        <is>
          <t>N/A</t>
        </is>
      </c>
      <c r="BO393" s="63" t="inlineStr">
        <is>
          <t>N/A</t>
        </is>
      </c>
      <c r="BP393" s="63" t="inlineStr">
        <is>
          <t>N/A</t>
        </is>
      </c>
      <c r="BQ393" s="63" t="inlineStr">
        <is>
          <t>N/A</t>
        </is>
      </c>
      <c r="BR393" s="63" t="inlineStr">
        <is>
          <t>N/A</t>
        </is>
      </c>
      <c r="BS393" s="76" t="inlineStr">
        <is>
          <t>CMB International Capital Limited</t>
        </is>
      </c>
      <c r="BT393" s="63" t="inlineStr">
        <is>
          <t>CMB International Capital Limited</t>
        </is>
      </c>
      <c r="BU393" s="63" t="inlineStr">
        <is>
          <t>CMB International Capital Limited; CLSA Limited; SDIC Securities (Hong Kong) Limited; Futu Securities International (Hong Kong) Limited; BOCI Asia Limited; China Galaxy International Securities (Hong Kong) Co., Limited; Zhongtai International Securities Limited; Livermore Holdings Limited; ABCI Capital Limited; Tiger Brokers (HK) Global Limited</t>
        </is>
      </c>
      <c r="BV393" s="63" t="inlineStr">
        <is>
          <t>ABCI Securities Company Limited; BOCI Asia Limited; China Galaxy International Securities (Hong Kong) Company Limited; CLSA Limited; CMB International Capital Limited; Futu Securities International (Hong Kong) Limited; Livermore Holdings Limited; SDIC Securities (Hong Kong) Limited; Shenwan Hongyuan Securities (H.K.) Limited; Tiger Brokers (HK) Global Limited; Zhongtai International Securities Limited</t>
        </is>
      </c>
      <c r="BW393" s="78">
        <f>HYPERLINK("https://www1.hkexnews.hk/listedco/listconews/sehk/2025/1127/2025112700009.pdf","prospectus")</f>
        <v/>
      </c>
      <c r="BX393" s="78">
        <f>HYPERLINK("https://www1.hkexnews.hk/listedco/listconews/sehk/2025/1204/2025120402156.pdf","allotment")</f>
        <v/>
      </c>
      <c r="BY393" s="78">
        <f>HYPERLINK("https://www1.hkexnews.hk/listedco/listconews/sehk/2026/0101/2026010100007.pdf","stabilisation")</f>
        <v/>
      </c>
      <c r="BZ393" s="76" t="n"/>
      <c r="CA393" s="63" t="inlineStr">
        <is>
          <t>A/H: no A-share listing · market cap: prospectus 'market capitalisation' line rejected — it is the listing-rule threshold, not the issuer's figure ("e indicative Offer Price range, respectively), the expected market capitalization of our Shares at the time of")</t>
        </is>
      </c>
    </row>
    <row r="394" ht="15" customHeight="1">
      <c r="A394" s="62" t="inlineStr">
        <is>
          <t>2658</t>
        </is>
      </c>
      <c r="B394" s="63" t="inlineStr">
        <is>
          <t>TIANYU SEMI</t>
        </is>
      </c>
      <c r="C394" s="63" t="inlineStr">
        <is>
          <t>天域半導體</t>
        </is>
      </c>
      <c r="D394" s="63" t="inlineStr">
        <is>
          <t>Tech/AI</t>
        </is>
      </c>
      <c r="E394" s="63" t="inlineStr">
        <is>
          <t>AI chips &amp; semis</t>
        </is>
      </c>
      <c r="F394" s="63" t="inlineStr">
        <is>
          <t>Semiconductors &amp; Semiconductor Equipment</t>
        </is>
      </c>
      <c r="G394" s="63" t="inlineStr">
        <is>
          <t>Standard</t>
        </is>
      </c>
      <c r="H394" s="64" t="n">
        <v>45996</v>
      </c>
      <c r="I394" s="65" t="n">
        <v>1744.1</v>
      </c>
      <c r="J394" s="63" t="inlineStr">
        <is>
          <t>gross (stated)</t>
        </is>
      </c>
      <c r="K394" s="66" t="n"/>
      <c r="L394" s="66" t="n">
        <v>58</v>
      </c>
      <c r="M394" s="66" t="n">
        <v>58</v>
      </c>
      <c r="N394" s="63" t="inlineStr">
        <is>
          <t>Y</t>
        </is>
      </c>
      <c r="O394" s="67" t="n">
        <v>100</v>
      </c>
      <c r="P394" s="67" t="n"/>
      <c r="Q394" s="68" t="n">
        <v>22810</v>
      </c>
      <c r="R394" s="63" t="inlineStr">
        <is>
          <t>prospectus:stated market capitalisation</t>
        </is>
      </c>
      <c r="S394" s="69" t="n">
        <v>60.63</v>
      </c>
      <c r="T394" s="70" t="n">
        <v>2.47</v>
      </c>
      <c r="U394" s="71" t="n">
        <v>9.26</v>
      </c>
      <c r="V394" s="68" t="n">
        <v>1582.6</v>
      </c>
      <c r="W394" s="68" t="n">
        <v>27285972</v>
      </c>
      <c r="X394" s="67" t="n">
        <v>6.94</v>
      </c>
      <c r="Y394" s="63" t="inlineStr">
        <is>
          <t>Mr. Mao Xiangyu; GF International; GF Global Capital Limited; GF Securities; GF Fund</t>
        </is>
      </c>
      <c r="Z394" s="63" t="inlineStr">
        <is>
          <t>mr-mao;gf</t>
        </is>
      </c>
      <c r="AA394" s="67" t="n">
        <v>7.3537</v>
      </c>
      <c r="AB394" s="72" t="n">
        <v>-14.6</v>
      </c>
      <c r="AC394" s="66" t="n">
        <v>49.54</v>
      </c>
      <c r="AD394" s="72" t="n">
        <v>-18.23</v>
      </c>
      <c r="AE394" s="63" t="inlineStr">
        <is>
          <t>Y</t>
        </is>
      </c>
      <c r="AF394" s="63" t="inlineStr">
        <is>
          <t>2025-12-04</t>
        </is>
      </c>
      <c r="AG394" s="63" t="inlineStr">
        <is>
          <t>lapsed (no over-allocation)</t>
        </is>
      </c>
      <c r="AH394" s="63" t="n"/>
      <c r="AI394" s="63" t="inlineStr">
        <is>
          <t>CLSA Limited</t>
        </is>
      </c>
      <c r="AJ394" s="63" t="inlineStr">
        <is>
          <t>CLSA</t>
        </is>
      </c>
      <c r="AK394" s="73" t="n">
        <v>-30.17</v>
      </c>
      <c r="AL394" s="72" t="n">
        <v>-34.48</v>
      </c>
      <c r="AM394" s="72" t="n">
        <v>6.58</v>
      </c>
      <c r="AN394" s="72" t="n">
        <v>-21.69</v>
      </c>
      <c r="AO394" s="72" t="n">
        <v>-17.79</v>
      </c>
      <c r="AP394" s="72" t="n">
        <v>-17.93</v>
      </c>
      <c r="AQ394" s="72" t="n">
        <v>12.14</v>
      </c>
      <c r="AR394" s="72" t="n">
        <v>17.73</v>
      </c>
      <c r="AS394" s="72" t="n">
        <v>17.53</v>
      </c>
      <c r="AT394" s="72" t="n">
        <v>-21.96</v>
      </c>
      <c r="AU394" s="72" t="n">
        <v>-18.79</v>
      </c>
      <c r="AV394" s="72" t="n">
        <v>-7.46</v>
      </c>
      <c r="AW394" s="72" t="n">
        <v>17.46</v>
      </c>
      <c r="AX394" s="72" t="n">
        <v>1</v>
      </c>
      <c r="AY394" s="72" t="n">
        <v>0.27</v>
      </c>
      <c r="AZ394" s="63" t="inlineStr">
        <is>
          <t>HSTECH (Hang Seng TECH ETF)</t>
        </is>
      </c>
      <c r="BA394" s="72" t="n">
        <v>-33.97</v>
      </c>
      <c r="BB394" s="64" t="inlineStr">
        <is>
          <t>2026-08-28</t>
        </is>
      </c>
      <c r="BC394" s="65" t="n">
        <v>571.6</v>
      </c>
      <c r="BD394" s="68" t="n">
        <v>-610.1</v>
      </c>
      <c r="BE394" s="63" t="inlineStr">
        <is>
          <t>N</t>
        </is>
      </c>
      <c r="BF394" s="63" t="inlineStr">
        <is>
          <t>n/m</t>
        </is>
      </c>
      <c r="BG394" s="74" t="n"/>
      <c r="BH394" s="74" t="n"/>
      <c r="BI394" s="74" t="n">
        <v>39.9</v>
      </c>
      <c r="BJ394" s="75">
        <f>IF('BBG Verify'!S394="","not filed — run on terminal",'BBG Verify'!S394)</f>
        <v/>
      </c>
      <c r="BK394" s="76" t="inlineStr">
        <is>
          <t>N</t>
        </is>
      </c>
      <c r="BL394" s="77">
        <f>IF('BBG Verify'!K394="","not filed — run on terminal",'BBG Verify'!K394)</f>
        <v/>
      </c>
      <c r="BM394" s="63" t="inlineStr">
        <is>
          <t>N/A</t>
        </is>
      </c>
      <c r="BN394" s="63" t="inlineStr">
        <is>
          <t>N/A</t>
        </is>
      </c>
      <c r="BO394" s="63" t="inlineStr">
        <is>
          <t>N/A</t>
        </is>
      </c>
      <c r="BP394" s="63" t="inlineStr">
        <is>
          <t>N/A</t>
        </is>
      </c>
      <c r="BQ394" s="63" t="inlineStr">
        <is>
          <t>N/A</t>
        </is>
      </c>
      <c r="BR394" s="63" t="inlineStr">
        <is>
          <t>N/A</t>
        </is>
      </c>
      <c r="BS394" s="76" t="inlineStr">
        <is>
          <t>CITIC Securities (Hong Kong) Limited</t>
        </is>
      </c>
      <c r="BT394" s="63" t="inlineStr">
        <is>
          <t>CITIC Securities (Hong Kong) Limited</t>
        </is>
      </c>
      <c r="BU394" s="63" t="inlineStr">
        <is>
          <t>CLSA Limited; China International Capital Corporation Hong Kong Securities Limited; GF Securities (Hong Kong) Brokerage Limited; CMB International Capital Limited; ABCI Capital Limited; Cheer Union Securities Limited; CNI Securities Group Limited; Futu Securities International (Hong Kong) Limited; ICBC International Securities Limited; Livermore Holdings Limited; Shenwan Hongyuan Securities (H.K.) Limited; Sinolink Securities (Hong Kong) Company Limited</t>
        </is>
      </c>
      <c r="BV394" s="63" t="inlineStr">
        <is>
          <t>ABCI Securities Company Limited; Cheer Union Securities Limited; China International Capital Corporation Hong Kong Securities Limited; China Industrial Securities International Capital Limited; CLSA Limited; CMB International Capital Limited; CNI Securities Group Limited; Futu Securities International (Hong Kong) Limited; GF Securities (Hong Kong) Brokerage Limited; ICBC International Securities Limited; Livermore Holdings Limited; Shenwan Hongyuan Securities (H.K.) Limited</t>
        </is>
      </c>
      <c r="BW394" s="78">
        <f>HYPERLINK("https://www1.hkexnews.hk/listedco/listconews/sehk/2025/1127/2025112700013.pdf","prospectus")</f>
        <v/>
      </c>
      <c r="BX394" s="78">
        <f>HYPERLINK("https://www1.hkexnews.hk/listedco/listconews/sehk/2025/1204/2025120402598.pdf","allotment")</f>
        <v/>
      </c>
      <c r="BY394" s="78">
        <f>HYPERLINK("https://www1.hkexnews.hk/listedco/listconews/sehk/2026/0101/2026010100003.pdf","stabilisation")</f>
        <v/>
      </c>
      <c r="BZ394" s="76" t="n"/>
      <c r="CA394" s="63" t="inlineStr">
        <is>
          <t>P/E: n/m — loss-making at IPO (use P/S) · greenshoe: over-allotment outcome already published, and the allotment announcement does not state the stabilisation expiry in a parsable form — the expiry no longer matters once resolved · range low: cap-only pricing — the filing publishes a Maximum Offer Price and no indicative floor · A/H: no A-share listing</t>
        </is>
      </c>
    </row>
    <row r="395" ht="15" customHeight="1">
      <c r="A395" s="62" t="inlineStr">
        <is>
          <t>2676</t>
        </is>
      </c>
      <c r="B395" s="63" t="inlineStr">
        <is>
          <t>NOVOSENSE</t>
        </is>
      </c>
      <c r="C395" s="63" t="inlineStr">
        <is>
          <t>納芯微</t>
        </is>
      </c>
      <c r="D395" s="63" t="inlineStr">
        <is>
          <t>Tech/AI</t>
        </is>
      </c>
      <c r="E395" s="63" t="inlineStr">
        <is>
          <t>AI chips &amp; semis</t>
        </is>
      </c>
      <c r="F395" s="63" t="inlineStr">
        <is>
          <t>Semiconductors &amp; Semiconductor Equipment</t>
        </is>
      </c>
      <c r="G395" s="63" t="inlineStr">
        <is>
          <t>Standard</t>
        </is>
      </c>
      <c r="H395" s="64" t="n">
        <v>45999</v>
      </c>
      <c r="I395" s="65" t="n">
        <v>2211.9</v>
      </c>
      <c r="J395" s="63" t="inlineStr">
        <is>
          <t>gross (stated)</t>
        </is>
      </c>
      <c r="K395" s="66" t="n"/>
      <c r="L395" s="66" t="n">
        <v>116</v>
      </c>
      <c r="M395" s="66" t="n">
        <v>116</v>
      </c>
      <c r="N395" s="63" t="inlineStr">
        <is>
          <t>Y</t>
        </is>
      </c>
      <c r="O395" s="67" t="n">
        <v>100</v>
      </c>
      <c r="P395" s="67" t="n"/>
      <c r="Q395" s="68" t="n">
        <v>18745.2</v>
      </c>
      <c r="R395" s="63" t="inlineStr">
        <is>
          <t>derived:price x shares upon listing</t>
        </is>
      </c>
      <c r="S395" s="69" t="n">
        <v>25.33</v>
      </c>
      <c r="T395" s="70" t="n">
        <v>2.65</v>
      </c>
      <c r="U395" s="71" t="n">
        <v>49.23</v>
      </c>
      <c r="V395" s="68" t="n">
        <v>1122.98</v>
      </c>
      <c r="W395" s="68" t="n">
        <v>9681027</v>
      </c>
      <c r="X395" s="67" t="n">
        <v>5.99</v>
      </c>
      <c r="Y395" s="63" t="inlineStr">
        <is>
          <t>Golden Link; Hield International; Perseverance Asset Management; Green Better; Dreamee HK Fund; Oriza Naxin</t>
        </is>
      </c>
      <c r="Z395" s="63" t="inlineStr">
        <is>
          <t>golden-link;hield;perseverance;green;dreamee;oriza</t>
        </is>
      </c>
      <c r="AA395" s="67" t="n">
        <v>15</v>
      </c>
      <c r="AB395" s="72" t="n"/>
      <c r="AC395" s="66" t="n"/>
      <c r="AD395" s="72" t="n"/>
      <c r="AE395" s="63" t="n"/>
      <c r="AF395" s="63" t="n"/>
      <c r="AG395" s="63" t="inlineStr">
        <is>
          <t>partial</t>
        </is>
      </c>
      <c r="AH395" s="63" t="inlineStr">
        <is>
          <t>2026-01-02</t>
        </is>
      </c>
      <c r="AI395" s="63" t="inlineStr">
        <is>
          <t>China International Capital Corporation Hong Kong Securities Limited</t>
        </is>
      </c>
      <c r="AJ395" s="63" t="inlineStr">
        <is>
          <t>China International</t>
        </is>
      </c>
      <c r="AK395" s="73" t="n">
        <v>-4.31</v>
      </c>
      <c r="AL395" s="72" t="n">
        <v>0</v>
      </c>
      <c r="AM395" s="72" t="n">
        <v>-4.31</v>
      </c>
      <c r="AN395" s="72" t="n">
        <v>-2.5</v>
      </c>
      <c r="AO395" s="72" t="n">
        <v>20.78</v>
      </c>
      <c r="AP395" s="72" t="n">
        <v>8.619999999999999</v>
      </c>
      <c r="AQ395" s="72" t="n">
        <v>1.89</v>
      </c>
      <c r="AR395" s="72" t="n">
        <v>26.22</v>
      </c>
      <c r="AS395" s="72" t="n">
        <v>13.51</v>
      </c>
      <c r="AT395" s="72" t="n">
        <v>0.3</v>
      </c>
      <c r="AU395" s="72" t="n">
        <v>20.33</v>
      </c>
      <c r="AV395" s="72" t="n">
        <v>20.71</v>
      </c>
      <c r="AW395" s="72" t="n">
        <v>25.86</v>
      </c>
      <c r="AX395" s="72" t="n">
        <v>0.45</v>
      </c>
      <c r="AY395" s="72" t="n">
        <v>0.36</v>
      </c>
      <c r="AZ395" s="63" t="inlineStr">
        <is>
          <t>HSTECH (Hang Seng TECH ETF)</t>
        </is>
      </c>
      <c r="BA395" s="72" t="n">
        <v>40</v>
      </c>
      <c r="BB395" s="64" t="inlineStr">
        <is>
          <t>2026-08-28</t>
        </is>
      </c>
      <c r="BC395" s="65" t="n">
        <v>2156.3</v>
      </c>
      <c r="BD395" s="68" t="n">
        <v>-419.5</v>
      </c>
      <c r="BE395" s="63" t="inlineStr">
        <is>
          <t>N</t>
        </is>
      </c>
      <c r="BF395" s="63" t="inlineStr">
        <is>
          <t>n/m</t>
        </is>
      </c>
      <c r="BG395" s="74" t="n"/>
      <c r="BH395" s="74" t="n"/>
      <c r="BI395" s="74" t="n">
        <v>8.699999999999999</v>
      </c>
      <c r="BJ395" s="75">
        <f>IF('BBG Verify'!S395="","not filed — run on terminal",'BBG Verify'!S395)</f>
        <v/>
      </c>
      <c r="BK395" s="76" t="inlineStr">
        <is>
          <t>Y</t>
        </is>
      </c>
      <c r="BL395" s="63" t="inlineStr">
        <is>
          <t>688052.SS</t>
        </is>
      </c>
      <c r="BM395" s="72" t="n">
        <v>50.14</v>
      </c>
      <c r="BN395" s="66" t="n">
        <v>174.1672</v>
      </c>
      <c r="BO395" s="80" t="n">
        <v>0.8355</v>
      </c>
      <c r="BP395" s="68" t="n">
        <v>48379.7</v>
      </c>
      <c r="BQ395" s="75">
        <f>IF('BBG Verify'!Q395="","run on terminal",'BBG Verify'!Q395)</f>
        <v/>
      </c>
      <c r="BR395" s="75">
        <f>IF('BBG Verify'!R395="","run on terminal",'BBG Verify'!R395)</f>
        <v/>
      </c>
      <c r="BS395" s="76" t="inlineStr">
        <is>
          <t>China International Capital Corporation Hong Kong Securities Limited; CITIC Securities (Hong Kong) Limited; CCB International Capital Limited</t>
        </is>
      </c>
      <c r="BT395" s="63" t="inlineStr">
        <is>
          <t>China International Capital Corporation Hong Kong Securities Limited; CCB International Capital Limited; CITIC Securities (Hong Kong) Limited</t>
        </is>
      </c>
      <c r="BU395" s="63" t="inlineStr">
        <is>
          <t>China International Capital Corporation Hong Kong Securities Limited; CLSA Limited; CCB International Capital Limited; ABCI Capital Limited; Soochow Securities International Brokerage Limited; Zheshang International Financial Holdings Co., Limited; Orient Securities (Hong Kong) Limited; Beta International Securities Limited; I Win Securities Limited</t>
        </is>
      </c>
      <c r="BV395" s="63" t="inlineStr">
        <is>
          <t>ABCI Securities Company Limited; Beta International Securities Limited; CCB International Capital Limited; China International Capital Corporation Hong Kong Securities Limited; CLSA Limited; I Win Securities Limited; Orient Securities (Hong Kong) Limited; Soochow Securities International Brokerage Limited; Zheshang International Financial Holdings Co., Limited</t>
        </is>
      </c>
      <c r="BW395" s="78">
        <f>HYPERLINK("https://www1.hkexnews.hk/listedco/listconews/sehk/2025/1128/2025112800015.pdf","prospectus")</f>
        <v/>
      </c>
      <c r="BX395" s="78">
        <f>HYPERLINK("https://www1.hkexnews.hk/listedco/listconews/sehk/2025/1205/2025120501747.pdf","allotment")</f>
        <v/>
      </c>
      <c r="BY395" s="78">
        <f>HYPERLINK("https://www1.hkexnews.hk/listedco/listconews/sehk/2026/0102/2026010203002.pdf","stabilisation")</f>
        <v/>
      </c>
      <c r="BZ395" s="76" t="n"/>
      <c r="CA395" s="63" t="inlineStr">
        <is>
          <t>P/E: n/m — loss-making at IPO (use P/S) · range low: cap-only pricing — the filing publishes a Maximum Offer Price and no indicative floor · A/H: Dec 2025 H listing (analog/mixed-signal chips) · grey market: no grey-market headline on file for this deal — AAStocks publishes one per listing but keeps only recent items on the stock's news page, and no public archive of past evening sessions exists; captured from this run onward</t>
        </is>
      </c>
    </row>
    <row r="396" ht="15" customHeight="1">
      <c r="A396" s="62" t="inlineStr">
        <is>
          <t>2687</t>
        </is>
      </c>
      <c r="B396" s="63" t="inlineStr">
        <is>
          <t>ABLE DIGITAL</t>
        </is>
      </c>
      <c r="C396" s="63" t="inlineStr">
        <is>
          <t>卓越睿新</t>
        </is>
      </c>
      <c r="D396" s="63" t="inlineStr">
        <is>
          <t>Tech/AI</t>
        </is>
      </c>
      <c r="E396" s="63" t="inlineStr">
        <is>
          <t>SaaS / enterprise software</t>
        </is>
      </c>
      <c r="F396" s="63" t="inlineStr">
        <is>
          <t>Education Services</t>
        </is>
      </c>
      <c r="G396" s="63" t="inlineStr">
        <is>
          <t>Standard</t>
        </is>
      </c>
      <c r="H396" s="64" t="n">
        <v>45999</v>
      </c>
      <c r="I396" s="65" t="n">
        <v>450</v>
      </c>
      <c r="J396" s="63" t="inlineStr">
        <is>
          <t>gross (stated)</t>
        </is>
      </c>
      <c r="K396" s="66" t="n">
        <v>62.26</v>
      </c>
      <c r="L396" s="66" t="n">
        <v>76.09999999999999</v>
      </c>
      <c r="M396" s="66" t="n">
        <v>67.5</v>
      </c>
      <c r="N396" s="63" t="inlineStr">
        <is>
          <t>N</t>
        </is>
      </c>
      <c r="O396" s="67" t="n">
        <v>88.7</v>
      </c>
      <c r="P396" s="67" t="n">
        <v>37.9</v>
      </c>
      <c r="Q396" s="68" t="n">
        <v>4500</v>
      </c>
      <c r="R396" s="63" t="inlineStr">
        <is>
          <t>derived:price x shares upon listing</t>
        </is>
      </c>
      <c r="S396" s="69" t="n">
        <v>4813.4</v>
      </c>
      <c r="T396" s="70" t="n">
        <v>2.33</v>
      </c>
      <c r="U396" s="71" t="n">
        <v>0</v>
      </c>
      <c r="V396" s="68" t="n">
        <v>450</v>
      </c>
      <c r="W396" s="68" t="n">
        <v>6666700</v>
      </c>
      <c r="X396" s="67" t="n">
        <v>10</v>
      </c>
      <c r="Y396" s="63" t="n"/>
      <c r="Z396" s="63" t="n"/>
      <c r="AA396" s="67" t="n"/>
      <c r="AB396" s="72" t="n">
        <v>29.7</v>
      </c>
      <c r="AC396" s="66" t="n">
        <v>87.55</v>
      </c>
      <c r="AD396" s="72" t="n">
        <v>44.38</v>
      </c>
      <c r="AE396" s="63" t="inlineStr">
        <is>
          <t>Y</t>
        </is>
      </c>
      <c r="AF396" s="63" t="inlineStr">
        <is>
          <t>2025-12-06</t>
        </is>
      </c>
      <c r="AG396" s="63" t="n"/>
      <c r="AH396" s="63" t="n"/>
      <c r="AI396" s="63" t="n"/>
      <c r="AJ396" s="63" t="n"/>
      <c r="AK396" s="73" t="n">
        <v>87.26000000000001</v>
      </c>
      <c r="AL396" s="72" t="n">
        <v>23.85</v>
      </c>
      <c r="AM396" s="72" t="n">
        <v>51.2</v>
      </c>
      <c r="AN396" s="72" t="n">
        <v>140</v>
      </c>
      <c r="AO396" s="72" t="n">
        <v>138.52</v>
      </c>
      <c r="AP396" s="72" t="n">
        <v>107.7</v>
      </c>
      <c r="AQ396" s="72" t="n">
        <v>28.16</v>
      </c>
      <c r="AR396" s="72" t="n">
        <v>27.37</v>
      </c>
      <c r="AS396" s="72" t="n">
        <v>10.92</v>
      </c>
      <c r="AT396" s="72" t="n">
        <v>142.8</v>
      </c>
      <c r="AU396" s="72" t="n">
        <v>138.07</v>
      </c>
      <c r="AV396" s="72" t="n">
        <v>119.79</v>
      </c>
      <c r="AW396" s="72" t="n">
        <v>27.01</v>
      </c>
      <c r="AX396" s="72" t="n">
        <v>0.45</v>
      </c>
      <c r="AY396" s="72" t="n">
        <v>0.36</v>
      </c>
      <c r="AZ396" s="63" t="inlineStr">
        <is>
          <t>HSTECH (Hang Seng TECH ETF)</t>
        </is>
      </c>
      <c r="BA396" s="72" t="n">
        <v>360.74</v>
      </c>
      <c r="BB396" s="64" t="inlineStr">
        <is>
          <t>2026-08-28</t>
        </is>
      </c>
      <c r="BC396" s="65" t="n">
        <v>933</v>
      </c>
      <c r="BD396" s="68" t="n">
        <v>117.3</v>
      </c>
      <c r="BE396" s="63" t="inlineStr">
        <is>
          <t>Y</t>
        </is>
      </c>
      <c r="BF396" s="74" t="n">
        <v>38.4</v>
      </c>
      <c r="BG396" s="74" t="n">
        <v>72.59999999999999</v>
      </c>
      <c r="BH396" s="74" t="n">
        <v>113.4</v>
      </c>
      <c r="BI396" s="74" t="n">
        <v>4.8</v>
      </c>
      <c r="BJ396" s="75">
        <f>IF('BBG Verify'!S396="","not filed — run on terminal",'BBG Verify'!S396)</f>
        <v/>
      </c>
      <c r="BK396" s="76" t="inlineStr">
        <is>
          <t>N</t>
        </is>
      </c>
      <c r="BL396" s="77">
        <f>IF('BBG Verify'!K396="","not filed — run on terminal",'BBG Verify'!K396)</f>
        <v/>
      </c>
      <c r="BM396" s="63" t="inlineStr">
        <is>
          <t>N/A</t>
        </is>
      </c>
      <c r="BN396" s="63" t="inlineStr">
        <is>
          <t>N/A</t>
        </is>
      </c>
      <c r="BO396" s="63" t="inlineStr">
        <is>
          <t>N/A</t>
        </is>
      </c>
      <c r="BP396" s="63" t="inlineStr">
        <is>
          <t>N/A</t>
        </is>
      </c>
      <c r="BQ396" s="63" t="inlineStr">
        <is>
          <t>N/A</t>
        </is>
      </c>
      <c r="BR396" s="63" t="inlineStr">
        <is>
          <t>N/A</t>
        </is>
      </c>
      <c r="BS396" s="76" t="inlineStr">
        <is>
          <t>ABCI Capital Limited</t>
        </is>
      </c>
      <c r="BT396" s="63" t="inlineStr">
        <is>
          <t>ABCI Capital Limited</t>
        </is>
      </c>
      <c r="BU396" s="63" t="inlineStr">
        <is>
          <t>ABCI Capital Limited</t>
        </is>
      </c>
      <c r="BV396" s="63" t="inlineStr">
        <is>
          <t>ABCI Securities Company Limited; Livermore Holdings Limited; Tiger Brokers (HK) Global Limited</t>
        </is>
      </c>
      <c r="BW396" s="78">
        <f>HYPERLINK("https://www1.hkexnews.hk/listedco/listconews/sehk/2025/1128/2025112800005.pdf","prospectus")</f>
        <v/>
      </c>
      <c r="BX396" s="78">
        <f>HYPERLINK("https://www1.hkexnews.hk/listedco/listconews/sehk/2025/1205/2025120501787.pdf","allotment")</f>
        <v/>
      </c>
      <c r="BY396" s="63" t="n"/>
      <c r="BZ396" s="76" t="n"/>
      <c r="CA396" s="63" t="inlineStr">
        <is>
          <t>greenshoe: no over-allotment option in the offer structure · A/H: no A-share listing · market cap: prospectus 'market capitalisation' line rejected — it is the listing-rule threshold, not the issuer's figure ("d and replaced by Rule 19A.13A) of the Listing Rules, the market capitalization of our Shares upon Listing is ") · cornerstone list: no cornerstone tranche in this deal · greenshoe size: no over-allotment option in the offer structure · stabilising manager: the filing states no stabilising manager will be appointed — a filed fact, not an extraction gap (prospectus: 'no stabilizing manager will be appointed' stated in the filing)</t>
        </is>
      </c>
    </row>
    <row r="397" ht="15" customHeight="1">
      <c r="A397" s="62" t="inlineStr">
        <is>
          <t>2659</t>
        </is>
      </c>
      <c r="B397" s="63" t="inlineStr">
        <is>
          <t>BAO PHARMA-B</t>
        </is>
      </c>
      <c r="C397" s="63" t="inlineStr">
        <is>
          <t>寶濟藥業－Ｂ</t>
        </is>
      </c>
      <c r="D397" s="63" t="inlineStr">
        <is>
          <t>Healthcare</t>
        </is>
      </c>
      <c r="E397" s="63" t="inlineStr">
        <is>
          <t>Biotech pre-revenue (18A)</t>
        </is>
      </c>
      <c r="F397" s="63" t="inlineStr">
        <is>
          <t>Biotechnology - Pharmaceuticals</t>
        </is>
      </c>
      <c r="G397" s="63" t="inlineStr">
        <is>
          <t>18A</t>
        </is>
      </c>
      <c r="H397" s="64" t="n">
        <v>46001</v>
      </c>
      <c r="I397" s="65" t="n">
        <v>1000.1</v>
      </c>
      <c r="J397" s="63" t="inlineStr">
        <is>
          <t>gross (stated)</t>
        </is>
      </c>
      <c r="K397" s="66" t="n"/>
      <c r="L397" s="66" t="n">
        <v>26.38</v>
      </c>
      <c r="M397" s="66" t="n">
        <v>26.38</v>
      </c>
      <c r="N397" s="63" t="inlineStr">
        <is>
          <t>Y</t>
        </is>
      </c>
      <c r="O397" s="67" t="n">
        <v>100</v>
      </c>
      <c r="P397" s="67" t="n"/>
      <c r="Q397" s="68" t="n">
        <v>8599.4</v>
      </c>
      <c r="R397" s="63" t="inlineStr">
        <is>
          <t>derived:price x shares upon listing</t>
        </is>
      </c>
      <c r="S397" s="69" t="n">
        <v>3526.34</v>
      </c>
      <c r="T397" s="70" t="n">
        <v>6.59</v>
      </c>
      <c r="U397" s="71" t="n">
        <v>20.1</v>
      </c>
      <c r="V397" s="68" t="n">
        <v>799.08</v>
      </c>
      <c r="W397" s="68" t="n">
        <v>30291448</v>
      </c>
      <c r="X397" s="67" t="n">
        <v>9.289999999999999</v>
      </c>
      <c r="Y397" s="63" t="inlineStr">
        <is>
          <t>Center Lab; Zhang Yahong (ߎ2,838,885; Fan Hong (ߎ2,365,735; Zheng Keqing (ڡ222,220; Nie Miao ( ᔗ↿) –; Wang Jufang (ٹ581,930; Cui Hongyan (ᜮ) –; Liu Jintao (ᏹ) –; Huang Haitao ( රऎᏹ); Xu Sumin ( ஢९ઽ) –; Song Aihui ( ҂ฌฯ); Zhao Liping ( Ⴛ஁റ)</t>
        </is>
      </c>
      <c r="Z397" s="63" t="inlineStr">
        <is>
          <t>center;zhang-yahong;fan;zheng-keqing;nie;wang-jufang;cui;liu-jintao;huang-haitao;xu-sumin;song-aihui;zhao-liping</t>
        </is>
      </c>
      <c r="AA397" s="67" t="n">
        <v>15</v>
      </c>
      <c r="AB397" s="72" t="n"/>
      <c r="AC397" s="66" t="n"/>
      <c r="AD397" s="72" t="n"/>
      <c r="AE397" s="63" t="n"/>
      <c r="AF397" s="63" t="n"/>
      <c r="AG397" s="63" t="n"/>
      <c r="AH397" s="63" t="n"/>
      <c r="AI397" s="63" t="n"/>
      <c r="AJ397" s="63" t="n"/>
      <c r="AK397" s="73" t="n">
        <v>138.82</v>
      </c>
      <c r="AL397" s="72" t="n">
        <v>129.34</v>
      </c>
      <c r="AM397" s="72" t="n">
        <v>4.13</v>
      </c>
      <c r="AN397" s="72" t="n">
        <v>173.69</v>
      </c>
      <c r="AO397" s="72" t="n">
        <v>226.76</v>
      </c>
      <c r="AP397" s="72" t="n">
        <v>249.32</v>
      </c>
      <c r="AQ397" s="72" t="n">
        <v>14.6</v>
      </c>
      <c r="AR397" s="72" t="n">
        <v>36.82</v>
      </c>
      <c r="AS397" s="72" t="n">
        <v>46.27</v>
      </c>
      <c r="AT397" s="72" t="n">
        <v>177.04</v>
      </c>
      <c r="AU397" s="72" t="n">
        <v>221.06</v>
      </c>
      <c r="AV397" s="72" t="n">
        <v>245.4</v>
      </c>
      <c r="AW397" s="72" t="n">
        <v>31.2</v>
      </c>
      <c r="AX397" s="72" t="n">
        <v>5.7</v>
      </c>
      <c r="AY397" s="72" t="n">
        <v>5.62</v>
      </c>
      <c r="AZ397" s="63" t="inlineStr">
        <is>
          <t>China Biotech ETF (HS biotech proxy)</t>
        </is>
      </c>
      <c r="BA397" s="72" t="n">
        <v>-40.03</v>
      </c>
      <c r="BB397" s="64" t="inlineStr">
        <is>
          <t>2026-08-28</t>
        </is>
      </c>
      <c r="BC397" s="65" t="n">
        <v>1.6</v>
      </c>
      <c r="BD397" s="68" t="n">
        <v>-184</v>
      </c>
      <c r="BE397" s="63" t="inlineStr">
        <is>
          <t>N</t>
        </is>
      </c>
      <c r="BF397" s="63" t="inlineStr">
        <is>
          <t>n/m</t>
        </is>
      </c>
      <c r="BG397" s="74" t="n"/>
      <c r="BH397" s="74" t="n"/>
      <c r="BI397" s="74" t="n">
        <v>5374.6</v>
      </c>
      <c r="BJ397" s="75">
        <f>IF('BBG Verify'!S397="","not filed — run on terminal",'BBG Verify'!S397)</f>
        <v/>
      </c>
      <c r="BK397" s="76" t="inlineStr">
        <is>
          <t>N</t>
        </is>
      </c>
      <c r="BL397" s="77">
        <f>IF('BBG Verify'!K397="","not filed — run on terminal",'BBG Verify'!K397)</f>
        <v/>
      </c>
      <c r="BM397" s="63" t="inlineStr">
        <is>
          <t>N/A</t>
        </is>
      </c>
      <c r="BN397" s="63" t="inlineStr">
        <is>
          <t>N/A</t>
        </is>
      </c>
      <c r="BO397" s="63" t="inlineStr">
        <is>
          <t>N/A</t>
        </is>
      </c>
      <c r="BP397" s="63" t="inlineStr">
        <is>
          <t>N/A</t>
        </is>
      </c>
      <c r="BQ397" s="63" t="inlineStr">
        <is>
          <t>N/A</t>
        </is>
      </c>
      <c r="BR397" s="63" t="inlineStr">
        <is>
          <t>N/A</t>
        </is>
      </c>
      <c r="BS397" s="76" t="inlineStr">
        <is>
          <t>CITIC Securities (Hong Kong) Limited; Haitong International Capital Limited</t>
        </is>
      </c>
      <c r="BT397" s="63" t="inlineStr">
        <is>
          <t>Haitong International Capital Limited; CITIC Securities (Hong Kong) Limited</t>
        </is>
      </c>
      <c r="BU397" s="63" t="inlineStr">
        <is>
          <t>CLSA Limited; Haitong International Securities Company Limited; West Bull Securities Limited; BOCOM International Securities Limited; CCB International Capital Limited; Guoyuan Securities Brokerage (Hong Kong) Limited; Phillip Securities (Hong Kong) Limited; SDIC Securities (Hong Kong) Limited; Shenwan Hongyuan Securities (H.K.) Limited; SPDB International Capital Limited; Valuable Capital Limited</t>
        </is>
      </c>
      <c r="BV397" s="63" t="inlineStr">
        <is>
          <t>BOCOM International Securities Limited; CCB International Capital Limited; CLSA Limited; Futu Securities International (Hong Kong) Limited; Guoyuan Securities Brokerage (Hong Kong) Limited; Haitong International Securities Company Limited; Livermore Holdings Limited; Phillip Securities (Hong Kong) Limited; SDIC Securities (Hong Kong) Limited; Shenwan Hongyuan Securities (H.K.) Limited; SPDB International Capital Limited; Tiger Brokers (HK) Global Limited</t>
        </is>
      </c>
      <c r="BW397" s="78">
        <f>HYPERLINK("https://www1.hkexnews.hk/listedco/listconews/sehk/2025/1202/2025120200034.pdf","prospectus")</f>
        <v/>
      </c>
      <c r="BX397" s="78">
        <f>HYPERLINK("https://www1.hkexnews.hk/listedco/listconews/sehk/2025/1209/2025120901444.pdf","allotment")</f>
        <v/>
      </c>
      <c r="BY397" s="63" t="n"/>
      <c r="BZ397" s="76" t="n"/>
      <c r="CA397" s="63" t="inlineStr">
        <is>
          <t>P/E: n/m — loss-making at IPO (use P/S) · greenshoe: end-of-stabilisation notice not located · range low: cap-only pricing — the filing publishes a Maximum Offer Price and no indicative floor · A/H: no A-share listing · P/S: 5,375x on HK$1.6m revenue — effectively pre-revenue; the multiple is shown for completeness, not comparability · stabilising manager: neither the allotment announcement's cover sentence nor the prospectus definitions glossary names one in a form the parser reads — not inferred from the sponsor · grey market: no grey-market headline on file for this deal — AAStocks publishes one per listing but keeps only recent items on the stock's news page, and no public archive of past evening sessions exists; captured from this run onward</t>
        </is>
      </c>
    </row>
    <row r="398" ht="15" customHeight="1">
      <c r="A398" s="62" t="inlineStr">
        <is>
          <t>7618</t>
        </is>
      </c>
      <c r="B398" s="63" t="inlineStr">
        <is>
          <t>JD INDUSTRIALS</t>
        </is>
      </c>
      <c r="C398" s="63" t="inlineStr">
        <is>
          <t>京東工業</t>
        </is>
      </c>
      <c r="D398" s="63" t="inlineStr">
        <is>
          <t>Tech/AI</t>
        </is>
      </c>
      <c r="E398" s="63" t="inlineStr">
        <is>
          <t>Internet platform / e-commerce</t>
        </is>
      </c>
      <c r="F398" s="63" t="inlineStr">
        <is>
          <t>Commercial &amp; Professional Services</t>
        </is>
      </c>
      <c r="G398" s="63" t="inlineStr">
        <is>
          <t>Standard</t>
        </is>
      </c>
      <c r="H398" s="64" t="n">
        <v>46002</v>
      </c>
      <c r="I398" s="65" t="n">
        <v>2978</v>
      </c>
      <c r="J398" s="63" t="inlineStr">
        <is>
          <t>gross (stated)</t>
        </is>
      </c>
      <c r="K398" s="66" t="n"/>
      <c r="L398" s="66" t="n">
        <v>15.5</v>
      </c>
      <c r="M398" s="66" t="n">
        <v>14.1</v>
      </c>
      <c r="N398" s="63" t="inlineStr">
        <is>
          <t>N</t>
        </is>
      </c>
      <c r="O398" s="67" t="n">
        <v>91</v>
      </c>
      <c r="P398" s="67" t="n"/>
      <c r="Q398" s="68" t="n">
        <v>41038</v>
      </c>
      <c r="R398" s="63" t="inlineStr">
        <is>
          <t>aastocks:上市市值 at the struck price</t>
        </is>
      </c>
      <c r="S398" s="69" t="n">
        <v>60.52</v>
      </c>
      <c r="T398" s="70" t="n">
        <v>7.88</v>
      </c>
      <c r="U398" s="71" t="n">
        <v>44.45</v>
      </c>
      <c r="V398" s="68" t="n">
        <v>1654.28</v>
      </c>
      <c r="W398" s="68" t="n">
        <v>117326488</v>
      </c>
      <c r="X398" s="67" t="n">
        <v>4.03</v>
      </c>
      <c r="Y398" s="63" t="inlineStr">
        <is>
          <t>CPE Investment; IvyRock; CoreView; Schonfeld; Burkehill</t>
        </is>
      </c>
      <c r="Z398" s="63" t="inlineStr">
        <is>
          <t>cpe;ivyrock;coreview;schonfeld;burkehill</t>
        </is>
      </c>
      <c r="AA398" s="67" t="n">
        <v>15</v>
      </c>
      <c r="AB398" s="72" t="n"/>
      <c r="AC398" s="66" t="n"/>
      <c r="AD398" s="72" t="n"/>
      <c r="AE398" s="63" t="n"/>
      <c r="AF398" s="63" t="n"/>
      <c r="AG398" s="63" t="inlineStr">
        <is>
          <t>partial</t>
        </is>
      </c>
      <c r="AH398" s="63" t="inlineStr">
        <is>
          <t>2026-01-07</t>
        </is>
      </c>
      <c r="AI398" s="63" t="inlineStr">
        <is>
          <t>Merrill Lynch</t>
        </is>
      </c>
      <c r="AJ398" s="63" t="inlineStr">
        <is>
          <t>Merrill Lynch</t>
        </is>
      </c>
      <c r="AK398" s="73" t="n">
        <v>0</v>
      </c>
      <c r="AL398" s="72" t="n">
        <v>-7.8</v>
      </c>
      <c r="AM398" s="72" t="n">
        <v>8.460000000000001</v>
      </c>
      <c r="AN398" s="72" t="n">
        <v>-1.28</v>
      </c>
      <c r="AO398" s="72" t="n">
        <v>-3.4</v>
      </c>
      <c r="AP398" s="72" t="n">
        <v>-8.44</v>
      </c>
      <c r="AQ398" s="72" t="n">
        <v>-1.28</v>
      </c>
      <c r="AR398" s="72" t="n">
        <v>-3.4</v>
      </c>
      <c r="AS398" s="72" t="n">
        <v>-8.44</v>
      </c>
      <c r="AT398" s="72" t="n">
        <v>1.38</v>
      </c>
      <c r="AU398" s="72" t="n">
        <v>-9.17</v>
      </c>
      <c r="AV398" s="72" t="n">
        <v>-0.1</v>
      </c>
      <c r="AW398" s="72" t="n">
        <v>-9.75</v>
      </c>
      <c r="AX398" s="72" t="n">
        <v>5.77</v>
      </c>
      <c r="AY398" s="72" t="n">
        <v>6.35</v>
      </c>
      <c r="AZ398" s="63" t="inlineStr">
        <is>
          <t>HSTECH (Hang Seng TECH ETF)</t>
        </is>
      </c>
      <c r="BA398" s="72" t="n">
        <v>-4.04</v>
      </c>
      <c r="BB398" s="64" t="inlineStr">
        <is>
          <t>2026-08-28</t>
        </is>
      </c>
      <c r="BC398" s="65" t="n">
        <v>22437.5</v>
      </c>
      <c r="BD398" s="68" t="n">
        <v>837.8</v>
      </c>
      <c r="BE398" s="63" t="inlineStr">
        <is>
          <t>Y</t>
        </is>
      </c>
      <c r="BF398" s="74" t="n">
        <v>49</v>
      </c>
      <c r="BG398" s="74" t="n">
        <v>28.4</v>
      </c>
      <c r="BH398" s="74" t="n">
        <v>10</v>
      </c>
      <c r="BI398" s="74" t="n">
        <v>1.8</v>
      </c>
      <c r="BJ398" s="75">
        <f>IF('BBG Verify'!S398="","not filed — run on terminal",'BBG Verify'!S398)</f>
        <v/>
      </c>
      <c r="BK398" s="76" t="inlineStr">
        <is>
          <t>N</t>
        </is>
      </c>
      <c r="BL398" s="77">
        <f>IF('BBG Verify'!K398="","not filed — run on terminal",'BBG Verify'!K398)</f>
        <v/>
      </c>
      <c r="BM398" s="63" t="inlineStr">
        <is>
          <t>N/A</t>
        </is>
      </c>
      <c r="BN398" s="63" t="inlineStr">
        <is>
          <t>N/A</t>
        </is>
      </c>
      <c r="BO398" s="63" t="inlineStr">
        <is>
          <t>N/A</t>
        </is>
      </c>
      <c r="BP398" s="63" t="inlineStr">
        <is>
          <t>N/A</t>
        </is>
      </c>
      <c r="BQ398" s="63" t="inlineStr">
        <is>
          <t>N/A</t>
        </is>
      </c>
      <c r="BR398" s="63" t="inlineStr">
        <is>
          <t>N/A</t>
        </is>
      </c>
      <c r="BS398" s="76" t="inlineStr">
        <is>
          <t>Merrill Lynch (Asia Pacific) Limited; UBS Securities Hong Kong Limited; Haitong International Capital Limited; Goldman Sachs (Asia) L.L.C; Haitong International Securities Company Limited</t>
        </is>
      </c>
      <c r="BT398" s="63" t="inlineStr">
        <is>
          <t>Haitong International Capital Limited; UBS Securities Hong Kong Limited; Merrill Lynch (Asia Pacific) Limited; Goldman Sachs (Asia) L.L.C.</t>
        </is>
      </c>
      <c r="BU398" s="63" t="inlineStr">
        <is>
          <t>Merrill Lynch (Asia Pacific) Limited; UBS AG Hong Kong Branch; Goldman Sachs (Asia) L.L.C; Huatai Financial Holdings (Hong Kong) Limited; ABCI Capital Limited; BOCI Asia Limited; CLSA Limited; CMBC Securities Company Limited; Futu Securities International (Hong Kong) Limited; Orient Securities (Hong Kong) Limited; Haitong International Securities Company Limited</t>
        </is>
      </c>
      <c r="BV398" s="63" t="inlineStr">
        <is>
          <t>ABCI Securities Company Limited; BOCI Asia Limited; CLSA Limited; CMBC Securities Company Limited; Futu Securities International (Hong Kong) Limited; Goldman Sachs (Asia) L.L.C.; Huatai Financial Holdings (Hong Kong) Limited; Haitong International Securities Company Limited; The Hongkong and Shanghai Banking Corporation Limited; ICBC International Securities Limited; Merrill Lynch (Asia Pacific) Limited; Orient Securities (Hong Kong) Limited</t>
        </is>
      </c>
      <c r="BW398" s="78">
        <f>HYPERLINK("https://www1.hkexnews.hk/listedco/listconews/sehk/2025/1203/2025120300086.pdf","prospectus")</f>
        <v/>
      </c>
      <c r="BX398" s="78">
        <f>HYPERLINK("https://www1.hkexnews.hk/listedco/listconews/sehk/2025/1210/2025121001474.pdf","allotment")</f>
        <v/>
      </c>
      <c r="BY398" s="78">
        <f>HYPERLINK("https://www1.hkexnews.hk/listedco/listconews/sehk/2026/0107/2026010701764.pdf","stabilisation")</f>
        <v/>
      </c>
      <c r="BZ398" s="76" t="n"/>
      <c r="CA398" s="63" t="inlineStr">
        <is>
          <t>range low: cap-only pricing — the filing publishes a Maximum Offer Price and no indicative floor · A/H: no A-share listing · market cap: prospectus 'market capitalisation' line rejected — it is the listing-rule threshold, not the issuer's figure ("llion), which is over HK$500 million, and (ii) our expected market capitalization at the time of Listing, whic") · grey market: no grey-market headline on file for this deal — AAStocks publishes one per listing but keeps only recent items on the stock's news page, and no public archive of past evening sessions exists; captured from this run onward</t>
        </is>
      </c>
    </row>
    <row r="399" ht="15" customHeight="1">
      <c r="A399" s="62" t="inlineStr">
        <is>
          <t>2655</t>
        </is>
      </c>
      <c r="B399" s="63" t="inlineStr">
        <is>
          <t>GUOXIA TECH</t>
        </is>
      </c>
      <c r="C399" s="63" t="inlineStr">
        <is>
          <t>果下科技</t>
        </is>
      </c>
      <c r="D399" s="63" t="inlineStr">
        <is>
          <t>Tech/AI</t>
        </is>
      </c>
      <c r="E399" s="63" t="inlineStr">
        <is>
          <t>SaaS / enterprise software</t>
        </is>
      </c>
      <c r="F399" s="63" t="inlineStr">
        <is>
          <t>New energy and environmental protection</t>
        </is>
      </c>
      <c r="G399" s="63" t="inlineStr">
        <is>
          <t>Standard</t>
        </is>
      </c>
      <c r="H399" s="64" t="n">
        <v>46007</v>
      </c>
      <c r="I399" s="65" t="n">
        <v>782.51</v>
      </c>
      <c r="J399" s="63" t="inlineStr">
        <is>
          <t>gross (stated)</t>
        </is>
      </c>
      <c r="K399" s="66" t="n"/>
      <c r="L399" s="66" t="n">
        <v>20.1</v>
      </c>
      <c r="M399" s="66" t="n">
        <v>20.1</v>
      </c>
      <c r="N399" s="63" t="inlineStr">
        <is>
          <t>Y</t>
        </is>
      </c>
      <c r="O399" s="67" t="n">
        <v>100</v>
      </c>
      <c r="P399" s="67" t="n"/>
      <c r="Q399" s="68" t="n">
        <v>9099</v>
      </c>
      <c r="R399" s="63" t="inlineStr">
        <is>
          <t>derived:deal size / offer % of enlarged capital</t>
        </is>
      </c>
      <c r="S399" s="69" t="n">
        <v>1890.73</v>
      </c>
      <c r="T399" s="70" t="n">
        <v>3.63</v>
      </c>
      <c r="U399" s="71" t="n">
        <v>10.9</v>
      </c>
      <c r="V399" s="68" t="n">
        <v>697.22</v>
      </c>
      <c r="W399" s="68" t="n">
        <v>34687343</v>
      </c>
      <c r="X399" s="67" t="n">
        <v>7.66</v>
      </c>
      <c r="Y399" s="63" t="inlineStr">
        <is>
          <t>Dreamee HK Fund; RIME Capital Limited</t>
        </is>
      </c>
      <c r="Z399" s="63" t="inlineStr">
        <is>
          <t>dreamee;rime</t>
        </is>
      </c>
      <c r="AA399" s="67" t="n">
        <v>15</v>
      </c>
      <c r="AB399" s="72" t="n">
        <v>88.09999999999999</v>
      </c>
      <c r="AC399" s="66" t="n">
        <v>37.8</v>
      </c>
      <c r="AD399" s="72" t="n">
        <v>15.85</v>
      </c>
      <c r="AE399" s="63" t="inlineStr">
        <is>
          <t>Y</t>
        </is>
      </c>
      <c r="AF399" s="63" t="inlineStr">
        <is>
          <t>2025-12-15</t>
        </is>
      </c>
      <c r="AG399" s="63" t="inlineStr">
        <is>
          <t>full</t>
        </is>
      </c>
      <c r="AH399" s="63" t="inlineStr">
        <is>
          <t>2026-01-10</t>
        </is>
      </c>
      <c r="AI399" s="63" t="inlineStr">
        <is>
          <t>Livermore Holdings Limited</t>
        </is>
      </c>
      <c r="AJ399" s="63" t="inlineStr">
        <is>
          <t>Livermore</t>
        </is>
      </c>
      <c r="AK399" s="73" t="n">
        <v>117.91</v>
      </c>
      <c r="AL399" s="72" t="n">
        <v>89.05</v>
      </c>
      <c r="AM399" s="72" t="n">
        <v>15.27</v>
      </c>
      <c r="AN399" s="72" t="n">
        <v>107.76</v>
      </c>
      <c r="AO399" s="72" t="n">
        <v>222.39</v>
      </c>
      <c r="AP399" s="72" t="n">
        <v>141.79</v>
      </c>
      <c r="AQ399" s="72" t="n">
        <v>-4.66</v>
      </c>
      <c r="AR399" s="72" t="n">
        <v>47.95</v>
      </c>
      <c r="AS399" s="72" t="n">
        <v>10.96</v>
      </c>
      <c r="AT399" s="72" t="n">
        <v>108.04</v>
      </c>
      <c r="AU399" s="72" t="n">
        <v>217.84</v>
      </c>
      <c r="AV399" s="72" t="n">
        <v>156.26</v>
      </c>
      <c r="AW399" s="72" t="n">
        <v>41.53</v>
      </c>
      <c r="AX399" s="72" t="n">
        <v>4.55</v>
      </c>
      <c r="AY399" s="72" t="n">
        <v>6.42</v>
      </c>
      <c r="AZ399" s="63" t="inlineStr">
        <is>
          <t>HSTECH (Hang Seng TECH ETF)</t>
        </is>
      </c>
      <c r="BA399" s="72" t="n">
        <v>-20.25</v>
      </c>
      <c r="BB399" s="64" t="inlineStr">
        <is>
          <t>2026-08-28</t>
        </is>
      </c>
      <c r="BC399" s="65" t="n">
        <v>1128.2</v>
      </c>
      <c r="BD399" s="68" t="n">
        <v>35</v>
      </c>
      <c r="BE399" s="63" t="inlineStr">
        <is>
          <t>Y</t>
        </is>
      </c>
      <c r="BF399" s="74" t="n">
        <v>260</v>
      </c>
      <c r="BG399" s="74" t="n">
        <v>32</v>
      </c>
      <c r="BH399" s="74" t="n">
        <v>86.8</v>
      </c>
      <c r="BI399" s="74" t="n">
        <v>8.1</v>
      </c>
      <c r="BJ399" s="75">
        <f>IF('BBG Verify'!S399="","not filed — run on terminal",'BBG Verify'!S399)</f>
        <v/>
      </c>
      <c r="BK399" s="76" t="inlineStr">
        <is>
          <t>N</t>
        </is>
      </c>
      <c r="BL399" s="77">
        <f>IF('BBG Verify'!K399="","not filed — run on terminal",'BBG Verify'!K399)</f>
        <v/>
      </c>
      <c r="BM399" s="63" t="inlineStr">
        <is>
          <t>N/A</t>
        </is>
      </c>
      <c r="BN399" s="63" t="inlineStr">
        <is>
          <t>N/A</t>
        </is>
      </c>
      <c r="BO399" s="63" t="inlineStr">
        <is>
          <t>N/A</t>
        </is>
      </c>
      <c r="BP399" s="63" t="inlineStr">
        <is>
          <t>N/A</t>
        </is>
      </c>
      <c r="BQ399" s="63" t="inlineStr">
        <is>
          <t>N/A</t>
        </is>
      </c>
      <c r="BR399" s="63" t="inlineStr">
        <is>
          <t>N/A</t>
        </is>
      </c>
      <c r="BS399" s="76" t="inlineStr">
        <is>
          <t>China Everbright Capital Limited</t>
        </is>
      </c>
      <c r="BT399" s="63" t="inlineStr">
        <is>
          <t>China Everbright Capital Limited</t>
        </is>
      </c>
      <c r="BU399" s="63" t="inlineStr">
        <is>
          <t>ABCI Capital Limited; Yellow River Securities Limited; West Bull Securities Limited; BOCI Asia Limited; ICBC International Securities Limited; Yue Xiu Securities Company Limited; Shenwan Hongyuan Securities (H.K.) Limited; CMB International Capital Limited; CMBC Securities Company Limited; CCB International Capital Limited; Caitong International Securities Co., Limited; Futu Securities International (Hong Kong) Limited</t>
        </is>
      </c>
      <c r="BV399" s="63" t="inlineStr">
        <is>
          <t>ABCI Securities Company Limited; BOCI Asia Limited; Caitong International Securities Company Limited; CCB International Capital Limited; China Everbright Securities (HK) Limited; CMBC Securities Company Limited; CMB International Capital Limited; Futu Securities International (Hong Kong) Limited; Huafu International Securities Limited; ICBC International Securities Limited; Livermore Holdings Limited; Shenwan Hongyuan Securities (H.K.) Limited</t>
        </is>
      </c>
      <c r="BW399" s="78">
        <f>HYPERLINK("https://www1.hkexnews.hk/listedco/listconews/sehk/2025/1208/2025120800011.pdf","prospectus")</f>
        <v/>
      </c>
      <c r="BX399" s="78">
        <f>HYPERLINK("https://www1.hkexnews.hk/listedco/listconews/sehk/2025/1215/2025121501608.pdf","allotment")</f>
        <v/>
      </c>
      <c r="BY399" s="78">
        <f>HYPERLINK("https://www1.hkexnews.hk/listedco/listconews/sehk/2026/0109/2026010901587.pdf","stabilisation")</f>
        <v/>
      </c>
      <c r="BZ399" s="76" t="n"/>
      <c r="CA399" s="63" t="inlineStr">
        <is>
          <t>range low: cap-only pricing — the filing publishes a Maximum Offer Price and no indicative floor · A/H: no A-share listing</t>
        </is>
      </c>
    </row>
    <row r="400" ht="15" customHeight="1">
      <c r="A400" s="62" t="inlineStr">
        <is>
          <t>3887</t>
        </is>
      </c>
      <c r="B400" s="63" t="inlineStr">
        <is>
          <t>HASHKEY HLDGS</t>
        </is>
      </c>
      <c r="C400" s="63" t="inlineStr">
        <is>
          <t>HASHKEY HLDGS</t>
        </is>
      </c>
      <c r="D400" s="63" t="inlineStr">
        <is>
          <t>Tech/AI</t>
        </is>
      </c>
      <c r="E400" s="63" t="inlineStr">
        <is>
          <t>Fintech platform</t>
        </is>
      </c>
      <c r="F400" s="63" t="inlineStr">
        <is>
          <t>Investment Holdings &amp; Assets Management</t>
        </is>
      </c>
      <c r="G400" s="63" t="inlineStr">
        <is>
          <t>Standard</t>
        </is>
      </c>
      <c r="H400" s="64" t="n">
        <v>46008</v>
      </c>
      <c r="I400" s="65" t="n">
        <v>1607</v>
      </c>
      <c r="J400" s="63" t="inlineStr">
        <is>
          <t>gross (price x shares)</t>
        </is>
      </c>
      <c r="K400" s="66" t="n"/>
      <c r="L400" s="66" t="n">
        <v>6.95</v>
      </c>
      <c r="M400" s="66" t="n">
        <v>6.68</v>
      </c>
      <c r="N400" s="63" t="inlineStr">
        <is>
          <t>N</t>
        </is>
      </c>
      <c r="O400" s="67" t="n">
        <v>96.09999999999999</v>
      </c>
      <c r="P400" s="67" t="n"/>
      <c r="Q400" s="68" t="n">
        <v>19116.7</v>
      </c>
      <c r="R400" s="63" t="inlineStr">
        <is>
          <t>aastocks:上市市值 at the struck price</t>
        </is>
      </c>
      <c r="S400" s="69" t="n">
        <v>393.71</v>
      </c>
      <c r="T400" s="70" t="n">
        <v>5.46</v>
      </c>
      <c r="U400" s="71" t="n">
        <v>39.43</v>
      </c>
      <c r="V400" s="68" t="n">
        <v>973.36</v>
      </c>
      <c r="W400" s="68" t="n">
        <v>145713249</v>
      </c>
      <c r="X400" s="67" t="n">
        <v>5.09</v>
      </c>
      <c r="Y400" s="63" t="inlineStr">
        <is>
          <t>Space Z PTE. LTD; Cithara Fund; UBS AM Singapore; Epoch Vantage Limited; Mr. Lu Weiding; XChainX Limited; Black Shadows, L.P; Fidelity Funds; TDR Investment Inc; Tomars Limited</t>
        </is>
      </c>
      <c r="Z400" s="63" t="inlineStr">
        <is>
          <t>space;cithara;ubs;epoch;mr-lu;xchainx;black;fidelity;tdr;tomars</t>
        </is>
      </c>
      <c r="AA400" s="67" t="n">
        <v>15</v>
      </c>
      <c r="AB400" s="72" t="n"/>
      <c r="AC400" s="66" t="n"/>
      <c r="AD400" s="72" t="n"/>
      <c r="AE400" s="63" t="n"/>
      <c r="AF400" s="63" t="n"/>
      <c r="AG400" s="63" t="inlineStr">
        <is>
          <t>partial</t>
        </is>
      </c>
      <c r="AH400" s="63" t="inlineStr">
        <is>
          <t>2026-01-11</t>
        </is>
      </c>
      <c r="AI400" s="63" t="inlineStr">
        <is>
          <t>J.P. Morgan Securities</t>
        </is>
      </c>
      <c r="AJ400" s="63" t="inlineStr">
        <is>
          <t>JP Morgan</t>
        </is>
      </c>
      <c r="AK400" s="73" t="n">
        <v>-0.15</v>
      </c>
      <c r="AL400" s="72" t="n">
        <v>0.3</v>
      </c>
      <c r="AM400" s="72" t="n">
        <v>-0.45</v>
      </c>
      <c r="AN400" s="72" t="n">
        <v>-14.22</v>
      </c>
      <c r="AO400" s="72" t="n">
        <v>7.34</v>
      </c>
      <c r="AP400" s="72" t="n">
        <v>-29.34</v>
      </c>
      <c r="AQ400" s="72" t="n">
        <v>-14.09</v>
      </c>
      <c r="AR400" s="72" t="n">
        <v>7.5</v>
      </c>
      <c r="AS400" s="72" t="n">
        <v>-29.23</v>
      </c>
      <c r="AT400" s="72" t="n">
        <v>-15.83</v>
      </c>
      <c r="AU400" s="72" t="n">
        <v>2.14</v>
      </c>
      <c r="AV400" s="72" t="n">
        <v>-18.53</v>
      </c>
      <c r="AW400" s="72" t="n">
        <v>3.48</v>
      </c>
      <c r="AX400" s="72" t="n">
        <v>5.2</v>
      </c>
      <c r="AY400" s="72" t="n">
        <v>4.02</v>
      </c>
      <c r="AZ400" s="63" t="inlineStr">
        <is>
          <t>HSTECH (Hang Seng TECH ETF)</t>
        </is>
      </c>
      <c r="BA400" s="72" t="n">
        <v>-60.55</v>
      </c>
      <c r="BB400" s="64" t="inlineStr">
        <is>
          <t>2026-08-28</t>
        </is>
      </c>
      <c r="BC400" s="65" t="n">
        <v>720.7</v>
      </c>
      <c r="BD400" s="68" t="n">
        <v>-1189.6</v>
      </c>
      <c r="BE400" s="63" t="inlineStr">
        <is>
          <t>N</t>
        </is>
      </c>
      <c r="BF400" s="63" t="inlineStr">
        <is>
          <t>n/m</t>
        </is>
      </c>
      <c r="BG400" s="74" t="n"/>
      <c r="BH400" s="74" t="n"/>
      <c r="BI400" s="74" t="n">
        <v>26.5</v>
      </c>
      <c r="BJ400" s="75">
        <f>IF('BBG Verify'!S400="","not filed — run on terminal",'BBG Verify'!S400)</f>
        <v/>
      </c>
      <c r="BK400" s="76" t="inlineStr">
        <is>
          <t>N</t>
        </is>
      </c>
      <c r="BL400" s="77">
        <f>IF('BBG Verify'!K400="","not filed — run on terminal",'BBG Verify'!K400)</f>
        <v/>
      </c>
      <c r="BM400" s="63" t="inlineStr">
        <is>
          <t>N/A</t>
        </is>
      </c>
      <c r="BN400" s="63" t="inlineStr">
        <is>
          <t>N/A</t>
        </is>
      </c>
      <c r="BO400" s="63" t="inlineStr">
        <is>
          <t>N/A</t>
        </is>
      </c>
      <c r="BP400" s="63" t="inlineStr">
        <is>
          <t>N/A</t>
        </is>
      </c>
      <c r="BQ400" s="63" t="inlineStr">
        <is>
          <t>N/A</t>
        </is>
      </c>
      <c r="BR400" s="63" t="inlineStr">
        <is>
          <t>N/A</t>
        </is>
      </c>
      <c r="BS400" s="76" t="inlineStr">
        <is>
          <t>J.P. Morgan Securities (Far East) Limited; Guotai Junan Capital Limited</t>
        </is>
      </c>
      <c r="BT400" s="63" t="inlineStr">
        <is>
          <t>J.P. Morgan Securities (Far East) Limited; Guotai Junan Capital Limited</t>
        </is>
      </c>
      <c r="BU400" s="63" t="inlineStr">
        <is>
          <t>( in alphabetical order ) CMB International Capital Limited; Tiger Brokers (HK) Global Limited; Victory Securities Company Limited</t>
        </is>
      </c>
      <c r="BV400" s="63" t="inlineStr">
        <is>
          <t>CMB International Capital Limited; Eddid Securities and Futures Limited; First Shanghai Securities Limited; Futu Securities International (Hong Kong) Limited; Guotai Junan Securities (Hong Kong) Limited; Huatai Financial Holdings (Hong Kong) Limited; J.P. Morgan Securities (Asia Pacific) Limited; Tiger Brokers (HK) Global Limited; Victory Securities Company Limited</t>
        </is>
      </c>
      <c r="BW400" s="78">
        <f>HYPERLINK("https://www1.hkexnews.hk/listedco/listconews/sehk/2025/1209/2025120900025.pdf","prospectus")</f>
        <v/>
      </c>
      <c r="BX400" s="78">
        <f>HYPERLINK("https://www1.hkexnews.hk/listedco/listconews/sehk/2025/1216/2025121601390.pdf","allotment")</f>
        <v/>
      </c>
      <c r="BY400" s="78">
        <f>HYPERLINK("https://www1.hkexnews.hk/listedco/listconews/sehk/2026/0112/2026011200057.pdf","stabilisation")</f>
        <v/>
      </c>
      <c r="BZ400" s="76" t="n"/>
      <c r="CA400" s="63" t="inlineStr">
        <is>
          <t>P/E: n/m — loss-making at IPO (use P/S) · range low: cap-only pricing — the filing publishes a Maximum Offer Price and no indicative floor · A/H: no A-share listing · market cap: estimate from deal size / offer % of enlarged capital disagreed with the published listing cap — published figure adopted · grey market: no grey-market headline on file for this deal — AAStocks publishes one per listing but keeps only recent items on the stock's news page, and no public archive of past evening sessions exists; captured from this run onward</t>
        </is>
      </c>
    </row>
    <row r="401" ht="15" customHeight="1">
      <c r="A401" s="62" t="inlineStr">
        <is>
          <t>2546</t>
        </is>
      </c>
      <c r="B401" s="63" t="inlineStr">
        <is>
          <t>ZHIHUI MINING</t>
        </is>
      </c>
      <c r="C401" s="63" t="inlineStr">
        <is>
          <t>智匯礦業</t>
        </is>
      </c>
      <c r="D401" s="63" t="inlineStr">
        <is>
          <t>Materials/Energy</t>
        </is>
      </c>
      <c r="E401" s="63" t="inlineStr">
        <is>
          <t>Mining / metals</t>
        </is>
      </c>
      <c r="F401" s="63" t="inlineStr">
        <is>
          <t>Diversified Metals &amp; Minerals</t>
        </is>
      </c>
      <c r="G401" s="63" t="inlineStr">
        <is>
          <t>Standard</t>
        </is>
      </c>
      <c r="H401" s="64" t="n">
        <v>46010</v>
      </c>
      <c r="I401" s="65" t="n">
        <v>550</v>
      </c>
      <c r="J401" s="63" t="inlineStr">
        <is>
          <t>gross (stated)</t>
        </is>
      </c>
      <c r="K401" s="66" t="n"/>
      <c r="L401" s="66" t="n">
        <v>4.51</v>
      </c>
      <c r="M401" s="66" t="n">
        <v>4.51</v>
      </c>
      <c r="N401" s="63" t="inlineStr">
        <is>
          <t>Y</t>
        </is>
      </c>
      <c r="O401" s="67" t="n">
        <v>100</v>
      </c>
      <c r="P401" s="67" t="n"/>
      <c r="Q401" s="68" t="n">
        <v>2200</v>
      </c>
      <c r="R401" s="63" t="inlineStr">
        <is>
          <t>derived:price x shares upon listing</t>
        </is>
      </c>
      <c r="S401" s="69" t="n">
        <v>5248.15</v>
      </c>
      <c r="T401" s="70" t="n">
        <v>2.68</v>
      </c>
      <c r="U401" s="71" t="n">
        <v>40.78</v>
      </c>
      <c r="V401" s="68" t="n">
        <v>325.71</v>
      </c>
      <c r="W401" s="68" t="n">
        <v>72219974</v>
      </c>
      <c r="X401" s="67" t="n">
        <v>14.81</v>
      </c>
      <c r="Y401" s="63" t="inlineStr">
        <is>
          <t>Sparky International Company Limited; GIGA Industries Limited; Enterprises Limited</t>
        </is>
      </c>
      <c r="Z401" s="63" t="inlineStr">
        <is>
          <t>sparky;giga;enterprises</t>
        </is>
      </c>
      <c r="AA401" s="67" t="n"/>
      <c r="AB401" s="72" t="n">
        <v>126.6</v>
      </c>
      <c r="AC401" s="66" t="n">
        <v>10.22</v>
      </c>
      <c r="AD401" s="72" t="n">
        <v>-15.85</v>
      </c>
      <c r="AE401" s="63" t="inlineStr">
        <is>
          <t>Y</t>
        </is>
      </c>
      <c r="AF401" s="63" t="inlineStr">
        <is>
          <t>2025-12-18</t>
        </is>
      </c>
      <c r="AG401" s="63" t="n"/>
      <c r="AH401" s="63" t="n"/>
      <c r="AI401" s="63" t="n"/>
      <c r="AJ401" s="63" t="n"/>
      <c r="AK401" s="73" t="n">
        <v>90.69</v>
      </c>
      <c r="AL401" s="72" t="n">
        <v>139.47</v>
      </c>
      <c r="AM401" s="72" t="n">
        <v>-20.37</v>
      </c>
      <c r="AN401" s="72" t="n">
        <v>109.31</v>
      </c>
      <c r="AO401" s="72" t="n">
        <v>186.03</v>
      </c>
      <c r="AP401" s="72" t="n">
        <v>212.64</v>
      </c>
      <c r="AQ401" s="72" t="n">
        <v>9.76</v>
      </c>
      <c r="AR401" s="72" t="n">
        <v>50</v>
      </c>
      <c r="AS401" s="72" t="n">
        <v>63.95</v>
      </c>
      <c r="AT401" s="72" t="n">
        <v>108.33</v>
      </c>
      <c r="AU401" s="72" t="n">
        <v>181.75</v>
      </c>
      <c r="AV401" s="72" t="n">
        <v>219.56</v>
      </c>
      <c r="AW401" s="72" t="n">
        <v>46.58</v>
      </c>
      <c r="AX401" s="72" t="n">
        <v>4.28</v>
      </c>
      <c r="AY401" s="72" t="n">
        <v>3.42</v>
      </c>
      <c r="AZ401" s="63" t="inlineStr">
        <is>
          <t>Hang Seng Commerce &amp; Industry sub-index</t>
        </is>
      </c>
      <c r="BA401" s="72" t="n">
        <v>319.07</v>
      </c>
      <c r="BB401" s="64" t="inlineStr">
        <is>
          <t>2026-08-28</t>
        </is>
      </c>
      <c r="BC401" s="65" t="n">
        <v>331.6</v>
      </c>
      <c r="BD401" s="68" t="n">
        <v>69.09999999999999</v>
      </c>
      <c r="BE401" s="63" t="inlineStr">
        <is>
          <t>Y</t>
        </is>
      </c>
      <c r="BF401" s="74" t="n">
        <v>31.8</v>
      </c>
      <c r="BG401" s="74" t="n"/>
      <c r="BH401" s="74" t="n"/>
      <c r="BI401" s="74" t="n">
        <v>6.6</v>
      </c>
      <c r="BJ401" s="75">
        <f>IF('BBG Verify'!S401="","not filed — run on terminal",'BBG Verify'!S401)</f>
        <v/>
      </c>
      <c r="BK401" s="76" t="inlineStr">
        <is>
          <t>N</t>
        </is>
      </c>
      <c r="BL401" s="77">
        <f>IF('BBG Verify'!K401="","not filed — run on terminal",'BBG Verify'!K401)</f>
        <v/>
      </c>
      <c r="BM401" s="63" t="inlineStr">
        <is>
          <t>N/A</t>
        </is>
      </c>
      <c r="BN401" s="63" t="inlineStr">
        <is>
          <t>N/A</t>
        </is>
      </c>
      <c r="BO401" s="63" t="inlineStr">
        <is>
          <t>N/A</t>
        </is>
      </c>
      <c r="BP401" s="63" t="inlineStr">
        <is>
          <t>N/A</t>
        </is>
      </c>
      <c r="BQ401" s="63" t="inlineStr">
        <is>
          <t>N/A</t>
        </is>
      </c>
      <c r="BR401" s="63" t="inlineStr">
        <is>
          <t>N/A</t>
        </is>
      </c>
      <c r="BS401" s="76" t="inlineStr">
        <is>
          <t>Sinolink Securities (Hong Kong) Company Limited; Maxa Capital Limited</t>
        </is>
      </c>
      <c r="BT401" s="63" t="inlineStr">
        <is>
          <t>Maxa Capital Limited; Sinolink Securities (Hong Kong) Company Limited</t>
        </is>
      </c>
      <c r="BU401" s="63" t="inlineStr">
        <is>
          <t>Sinolink Securities (Hong Kong) Company Limited; Maxa Capital Limited; ABCI Capital Limited; ABCI Securities Company Limited</t>
        </is>
      </c>
      <c r="BV401" s="63" t="inlineStr">
        <is>
          <t>ABCI Securities Company Limited; CCB International Capital Limited; CMBC Securities Company Limited; CMB International Capital Limited; Fortune Origin Securities Limited; Get Nice Securities Limited; Grand China Securities Limited; Glory Sun Securities Limited; Huaan Securities (Hong Kong) Brokerage Limited; ICBC International Securities Limited; Lego Securities Limited; Mont Avenir Capital Limited</t>
        </is>
      </c>
      <c r="BW401" s="78">
        <f>HYPERLINK("https://www1.hkexnews.hk/listedco/listconews/sehk/2025/1211/2025121100043.pdf","prospectus")</f>
        <v/>
      </c>
      <c r="BX401" s="78">
        <f>HYPERLINK("https://www1.hkexnews.hk/listedco/listconews/sehk/2025/1218/2025121801566.pdf","allotment")</f>
        <v/>
      </c>
      <c r="BY401" s="63" t="n"/>
      <c r="BZ401" s="76" t="n"/>
      <c r="CA401" s="63" t="inlineStr">
        <is>
          <t>greenshoe: no over-allotment option in the offer structure · range low: cap-only pricing — the filing publishes a Maximum Offer Price and no indicative floor · A/H: no A-share listing · greenshoe size: no over-allotment option in the offer structure · stabilising manager: no over-allotment option in the offer structure, so no stabilising manager is appointed</t>
        </is>
      </c>
    </row>
    <row r="402" ht="15" customHeight="1">
      <c r="A402" s="62" t="inlineStr">
        <is>
          <t>3881</t>
        </is>
      </c>
      <c r="B402" s="63" t="inlineStr">
        <is>
          <t>CIDI</t>
        </is>
      </c>
      <c r="C402" s="63" t="inlineStr">
        <is>
          <t>希迪智駕</t>
        </is>
      </c>
      <c r="D402" s="63" t="inlineStr">
        <is>
          <t>Tech/AI</t>
        </is>
      </c>
      <c r="E402" s="63" t="inlineStr">
        <is>
          <t>Robotics &amp; autonomous driving</t>
        </is>
      </c>
      <c r="F402" s="63" t="inlineStr">
        <is>
          <t>Advanced hardware and software</t>
        </is>
      </c>
      <c r="G402" s="63" t="inlineStr">
        <is>
          <t>Standard</t>
        </is>
      </c>
      <c r="H402" s="64" t="n">
        <v>46010</v>
      </c>
      <c r="I402" s="65" t="n">
        <v>1422.3</v>
      </c>
      <c r="J402" s="63" t="inlineStr">
        <is>
          <t>gross (stated)</t>
        </is>
      </c>
      <c r="K402" s="66" t="n"/>
      <c r="L402" s="66" t="n">
        <v>263</v>
      </c>
      <c r="M402" s="66" t="n">
        <v>263</v>
      </c>
      <c r="N402" s="63" t="inlineStr">
        <is>
          <t>Y</t>
        </is>
      </c>
      <c r="O402" s="67" t="n">
        <v>100</v>
      </c>
      <c r="P402" s="67" t="n"/>
      <c r="Q402" s="68" t="n">
        <v>11516.6</v>
      </c>
      <c r="R402" s="63" t="inlineStr">
        <is>
          <t>prospectus:stated market capitalisation</t>
        </is>
      </c>
      <c r="S402" s="69" t="n">
        <v>22.55</v>
      </c>
      <c r="T402" s="70" t="n">
        <v>2.1</v>
      </c>
      <c r="U402" s="71" t="n">
        <v>38.39</v>
      </c>
      <c r="V402" s="68" t="n">
        <v>876.28</v>
      </c>
      <c r="W402" s="68" t="n">
        <v>3331856</v>
      </c>
      <c r="X402" s="67" t="n">
        <v>7.61</v>
      </c>
      <c r="Y402" s="63" t="inlineStr">
        <is>
          <t>Xiangjiang Zhicheng (Hunan state fund); Zhijia No. 1 (Nanning Ruiyue LP); ICBC UBS Asset Management (International); Qianhai Kaiyuan Qunwei QDII Plan</t>
        </is>
      </c>
      <c r="Z402" s="63" t="inlineStr">
        <is>
          <t>xiangjiang;zhijia;icbc;qianhai</t>
        </is>
      </c>
      <c r="AA402" s="67" t="n">
        <v>10</v>
      </c>
      <c r="AB402" s="72" t="n">
        <v>-6.1</v>
      </c>
      <c r="AC402" s="66" t="n">
        <v>247</v>
      </c>
      <c r="AD402" s="72" t="n">
        <v>-8.08</v>
      </c>
      <c r="AE402" s="63" t="inlineStr">
        <is>
          <t>Y</t>
        </is>
      </c>
      <c r="AF402" s="63" t="inlineStr">
        <is>
          <t>2025-12-18</t>
        </is>
      </c>
      <c r="AG402" s="63" t="inlineStr">
        <is>
          <t>lapsed</t>
        </is>
      </c>
      <c r="AH402" s="63" t="n"/>
      <c r="AI402" s="63" t="inlineStr">
        <is>
          <t>China International Capital Corporation Hong Kong Securities Limited</t>
        </is>
      </c>
      <c r="AJ402" s="63" t="inlineStr">
        <is>
          <t>China International</t>
        </is>
      </c>
      <c r="AK402" s="73" t="n">
        <v>-13.69</v>
      </c>
      <c r="AL402" s="72" t="n">
        <v>0</v>
      </c>
      <c r="AM402" s="72" t="n">
        <v>-13.69</v>
      </c>
      <c r="AN402" s="72" t="n">
        <v>-15.21</v>
      </c>
      <c r="AO402" s="72" t="n">
        <v>-7.83</v>
      </c>
      <c r="AP402" s="72" t="n">
        <v>-11.79</v>
      </c>
      <c r="AQ402" s="72" t="n">
        <v>-1.76</v>
      </c>
      <c r="AR402" s="72" t="n">
        <v>6.79</v>
      </c>
      <c r="AS402" s="72" t="n">
        <v>2.2</v>
      </c>
      <c r="AT402" s="72" t="n">
        <v>-18.03</v>
      </c>
      <c r="AU402" s="72" t="n">
        <v>-14.04</v>
      </c>
      <c r="AV402" s="72" t="n">
        <v>0.53</v>
      </c>
      <c r="AW402" s="72" t="n">
        <v>1.57</v>
      </c>
      <c r="AX402" s="72" t="n">
        <v>6.21</v>
      </c>
      <c r="AY402" s="72" t="n">
        <v>5.22</v>
      </c>
      <c r="AZ402" s="63" t="inlineStr">
        <is>
          <t>HSTECH (Hang Seng TECH ETF)</t>
        </is>
      </c>
      <c r="BA402" s="72" t="n">
        <v>-31.9</v>
      </c>
      <c r="BB402" s="64" t="inlineStr">
        <is>
          <t>2026-08-31</t>
        </is>
      </c>
      <c r="BC402" s="65" t="n">
        <v>451</v>
      </c>
      <c r="BD402" s="68" t="n">
        <v>-638.8</v>
      </c>
      <c r="BE402" s="63" t="inlineStr">
        <is>
          <t>N</t>
        </is>
      </c>
      <c r="BF402" s="63" t="inlineStr">
        <is>
          <t>n/m</t>
        </is>
      </c>
      <c r="BG402" s="74" t="n"/>
      <c r="BH402" s="74" t="n"/>
      <c r="BI402" s="74" t="n">
        <v>25.5</v>
      </c>
      <c r="BJ402" s="75">
        <f>IF('BBG Verify'!S402="","not filed — run on terminal",'BBG Verify'!S402)</f>
        <v/>
      </c>
      <c r="BK402" s="76" t="inlineStr">
        <is>
          <t>N</t>
        </is>
      </c>
      <c r="BL402" s="77">
        <f>IF('BBG Verify'!K402="","not filed — run on terminal",'BBG Verify'!K402)</f>
        <v/>
      </c>
      <c r="BM402" s="63" t="inlineStr">
        <is>
          <t>N/A</t>
        </is>
      </c>
      <c r="BN402" s="63" t="inlineStr">
        <is>
          <t>N/A</t>
        </is>
      </c>
      <c r="BO402" s="63" t="inlineStr">
        <is>
          <t>N/A</t>
        </is>
      </c>
      <c r="BP402" s="63" t="inlineStr">
        <is>
          <t>N/A</t>
        </is>
      </c>
      <c r="BQ402" s="63" t="inlineStr">
        <is>
          <t>N/A</t>
        </is>
      </c>
      <c r="BR402" s="63" t="inlineStr">
        <is>
          <t>N/A</t>
        </is>
      </c>
      <c r="BS402" s="76" t="inlineStr">
        <is>
          <t>China International Capital Corporation Hong Kong Securities Limited; China Securities (International) Corporate Finance Company Limited; Ping An of China Capital (Hong Kong) Company Limited</t>
        </is>
      </c>
      <c r="BT402" s="63" t="inlineStr">
        <is>
          <t>China International Capital Corporation Hong Kong Securities Limited; Ping An of China Capital (Hong Kong) Company Limited; China Securities (International) Corporate Finance Company Limited</t>
        </is>
      </c>
      <c r="BU402" s="63" t="inlineStr">
        <is>
          <t>China International Capital Corporation Hong Kong Securities Limited; China Securities (International) Corporate Finance Company Limited; Ping An Securities (Hong Kong) Company Limited; Finance Company Limited; ABCI Capital Limited; Funde Securities Limited; Guosen Securities (HK) Brokerage Company, Limited; ICBC International Securities Limited; China Everbright Securities (HK) Limited; Livermore Holdings Limited; Shenwan Hongyuan Securities (H.K.) Limited; Tiger Brokers (HK) Global Limited</t>
        </is>
      </c>
      <c r="BV402" s="63" t="inlineStr">
        <is>
          <t>ABCI Securities Company Limited; China Everbright Securities (HK) Limited; China International Capital Corporation Hong Kong Securities Limited; China Securities (International) Corporate Finance Company Limited; Funde Securities Limited; Guosen Securities (HK) Brokerage Company, Limited; ICBC International Securities Limited; Livermore Holdings Limited; Ping An Securities (Hong Kong) Company Limited; Shenwan Hongyuan Securities (H.K.) Limited; Tiger Brokers (HK) Global Limited; Winbull Securities International (HK) Limited</t>
        </is>
      </c>
      <c r="BW402" s="78">
        <f>HYPERLINK("https://www1.hkexnews.hk/listedco/listconews/sehk/2025/1211/2025121100007.pdf","prospectus")</f>
        <v/>
      </c>
      <c r="BX402" s="78">
        <f>HYPERLINK("https://www1.hkexnews.hk/listedco/listconews/sehk/2025/1218/2025121801904.pdf","allotment")</f>
        <v/>
      </c>
      <c r="BY402" s="78">
        <f>HYPERLINK("https://www1.hkexnews.hk/listedco/listconews/sehk/2026/0116/2026011600161.pdf","stabilisation")</f>
        <v/>
      </c>
      <c r="BZ402" s="76" t="n"/>
      <c r="CA402" s="63" t="inlineStr">
        <is>
          <t>P/E: n/m — loss-making at IPO (use P/S) · greenshoe: CONFLICT: our notice-parse read 'lapsed' but Bloomberg records 540,800 over-allotment shares exercised — verify the stabilisation notice by hand · range low: cap-only pricing — the filing publishes a Maximum Offer Price and no indicative floor · A/H: no A-share listing</t>
        </is>
      </c>
    </row>
    <row r="403" ht="15" customHeight="1">
      <c r="A403" s="62" t="inlineStr">
        <is>
          <t>2695</t>
        </is>
      </c>
      <c r="B403" s="63" t="inlineStr">
        <is>
          <t>IMPRESSION DHP</t>
        </is>
      </c>
      <c r="C403" s="63" t="inlineStr">
        <is>
          <t>印象大紅袍</t>
        </is>
      </c>
      <c r="D403" s="63" t="inlineStr">
        <is>
          <t>TMT-other</t>
        </is>
      </c>
      <c r="E403" s="63" t="inlineStr">
        <is>
          <t>Media / advertising</t>
        </is>
      </c>
      <c r="F403" s="63" t="inlineStr">
        <is>
          <t>Tourism</t>
        </is>
      </c>
      <c r="G403" s="63" t="inlineStr">
        <is>
          <t>Standard</t>
        </is>
      </c>
      <c r="H403" s="64" t="n">
        <v>46013</v>
      </c>
      <c r="I403" s="65" t="n">
        <v>129.96</v>
      </c>
      <c r="J403" s="63" t="inlineStr">
        <is>
          <t>gross (stated)</t>
        </is>
      </c>
      <c r="K403" s="66" t="n">
        <v>3.47</v>
      </c>
      <c r="L403" s="66" t="n">
        <v>4.1</v>
      </c>
      <c r="M403" s="66" t="n">
        <v>3.6</v>
      </c>
      <c r="N403" s="63" t="inlineStr">
        <is>
          <t>N</t>
        </is>
      </c>
      <c r="O403" s="67" t="n">
        <v>87.8</v>
      </c>
      <c r="P403" s="67" t="n">
        <v>20.6</v>
      </c>
      <c r="Q403" s="68" t="n">
        <v>519</v>
      </c>
      <c r="R403" s="63" t="inlineStr">
        <is>
          <t>derived:price x shares upon listing</t>
        </is>
      </c>
      <c r="S403" s="69" t="n">
        <v>3397.48</v>
      </c>
      <c r="T403" s="70" t="n">
        <v>1.91</v>
      </c>
      <c r="U403" s="71" t="n">
        <v>0</v>
      </c>
      <c r="V403" s="68" t="n">
        <v>129.96</v>
      </c>
      <c r="W403" s="68" t="n">
        <v>36100000</v>
      </c>
      <c r="X403" s="67" t="n">
        <v>25.04</v>
      </c>
      <c r="Y403" s="63" t="n"/>
      <c r="Z403" s="63" t="n"/>
      <c r="AA403" s="67" t="n">
        <v>11.4</v>
      </c>
      <c r="AB403" s="72" t="n">
        <v>-4.4</v>
      </c>
      <c r="AC403" s="66" t="n">
        <v>3.44</v>
      </c>
      <c r="AD403" s="72" t="n">
        <v>-32.3</v>
      </c>
      <c r="AE403" s="63" t="inlineStr">
        <is>
          <t>Y</t>
        </is>
      </c>
      <c r="AF403" s="63" t="inlineStr">
        <is>
          <t>2025-12-21</t>
        </is>
      </c>
      <c r="AG403" s="63" t="n"/>
      <c r="AH403" s="63" t="n"/>
      <c r="AI403" s="63" t="inlineStr">
        <is>
          <t>China Industrial Securities International Capital Limited</t>
        </is>
      </c>
      <c r="AJ403" s="63" t="inlineStr">
        <is>
          <t>China Industrial</t>
        </is>
      </c>
      <c r="AK403" s="73" t="n">
        <v>-35.28</v>
      </c>
      <c r="AL403" s="72" t="n">
        <v>-9.44</v>
      </c>
      <c r="AM403" s="72" t="n">
        <v>-28.53</v>
      </c>
      <c r="AN403" s="72" t="n">
        <v>-41.11</v>
      </c>
      <c r="AO403" s="72" t="n">
        <v>-35.56</v>
      </c>
      <c r="AP403" s="72" t="n">
        <v>-50.28</v>
      </c>
      <c r="AQ403" s="72" t="n">
        <v>-9.01</v>
      </c>
      <c r="AR403" s="72" t="n">
        <v>-0.43</v>
      </c>
      <c r="AS403" s="72" t="n">
        <v>-23.18</v>
      </c>
      <c r="AT403" s="72" t="n">
        <v>-40.88</v>
      </c>
      <c r="AU403" s="72" t="n">
        <v>-39.68</v>
      </c>
      <c r="AV403" s="72" t="n">
        <v>-47.4</v>
      </c>
      <c r="AW403" s="72" t="n">
        <v>-4.1</v>
      </c>
      <c r="AX403" s="72" t="n">
        <v>4.12</v>
      </c>
      <c r="AY403" s="72" t="n">
        <v>3.67</v>
      </c>
      <c r="AZ403" s="63" t="inlineStr">
        <is>
          <t>Hang Seng Index</t>
        </is>
      </c>
      <c r="BA403" s="72" t="n">
        <v>-65.14</v>
      </c>
      <c r="BB403" s="64" t="inlineStr">
        <is>
          <t>2026-08-28</t>
        </is>
      </c>
      <c r="BC403" s="65" t="n">
        <v>150.9</v>
      </c>
      <c r="BD403" s="68" t="n">
        <v>-2.9</v>
      </c>
      <c r="BE403" s="63" t="inlineStr">
        <is>
          <t>N</t>
        </is>
      </c>
      <c r="BF403" s="63" t="inlineStr">
        <is>
          <t>n/m</t>
        </is>
      </c>
      <c r="BG403" s="74" t="n">
        <v>5.6</v>
      </c>
      <c r="BH403" s="74" t="n">
        <v>3.1</v>
      </c>
      <c r="BI403" s="74" t="n">
        <v>3.4</v>
      </c>
      <c r="BJ403" s="75">
        <f>IF('BBG Verify'!S403="","not filed — run on terminal",'BBG Verify'!S403)</f>
        <v/>
      </c>
      <c r="BK403" s="76" t="inlineStr">
        <is>
          <t>N</t>
        </is>
      </c>
      <c r="BL403" s="77">
        <f>IF('BBG Verify'!K403="","not filed — run on terminal",'BBG Verify'!K403)</f>
        <v/>
      </c>
      <c r="BM403" s="63" t="inlineStr">
        <is>
          <t>N/A</t>
        </is>
      </c>
      <c r="BN403" s="63" t="inlineStr">
        <is>
          <t>N/A</t>
        </is>
      </c>
      <c r="BO403" s="63" t="inlineStr">
        <is>
          <t>N/A</t>
        </is>
      </c>
      <c r="BP403" s="63" t="inlineStr">
        <is>
          <t>N/A</t>
        </is>
      </c>
      <c r="BQ403" s="63" t="inlineStr">
        <is>
          <t>N/A</t>
        </is>
      </c>
      <c r="BR403" s="63" t="inlineStr">
        <is>
          <t>N/A</t>
        </is>
      </c>
      <c r="BS403" s="76" t="inlineStr">
        <is>
          <t>China Industrial Securities International Capital Limited; Halcyon Capital Limited</t>
        </is>
      </c>
      <c r="BT403" s="63" t="inlineStr">
        <is>
          <t>China Industrial Securities International Capital Limited; Halcyon Capital Limited</t>
        </is>
      </c>
      <c r="BU403" s="63" t="inlineStr">
        <is>
          <t>China Industrial Securities International Capital Limited; Halcyon Securities Limited; ABCI Capital Limited; ABCI Securities Company Limited</t>
        </is>
      </c>
      <c r="BV403" s="63" t="inlineStr">
        <is>
          <t>ABCI Securities Company Limited; BOCI Asia Limited; CCB International Capital Limited; China Industrial Securities International Capital Limited; CMB International Capital Limited; China Sunrise Securities (International) Limited; Futu Securities International (Hong Kong) Limited; GLAM Capital Limited; Halcyon Securities Limited; Huafu International Securities Limited; ICBC International Securities Limited; Patrons Securities Limited</t>
        </is>
      </c>
      <c r="BW403" s="78">
        <f>HYPERLINK("https://www1.hkexnews.hk/listedco/listconews/sehk/2025/1212/2025121200055.pdf","prospectus")</f>
        <v/>
      </c>
      <c r="BX403" s="78">
        <f>HYPERLINK("https://www1.hkexnews.hk/listedco/listconews/sehk/2025/1219/2025121901141.pdf","allotment")</f>
        <v/>
      </c>
      <c r="BY403" s="63" t="n"/>
      <c r="BZ403" s="76" t="n"/>
      <c r="CA403" s="63" t="inlineStr">
        <is>
          <t>P/E: n/m — loss-making at IPO (use P/S) · greenshoe: end-of-stabilisation notice not located · A/H: no A-share listing · market cap: prospectus 'market capitalisation' line rejected — it is the listing-rule threshold, not the issuer's figure ("d, mid-point and the upper-end, respectively), the expected market capitalisation of the Company’s H Shares wo") · cornerstone list: no cornerstone tranche in this deal</t>
        </is>
      </c>
    </row>
    <row r="404" ht="15" customHeight="1">
      <c r="A404" s="62" t="inlineStr">
        <is>
          <t>2396</t>
        </is>
      </c>
      <c r="B404" s="63" t="inlineStr">
        <is>
          <t>B&amp;K CORP-B</t>
        </is>
      </c>
      <c r="C404" s="63" t="inlineStr">
        <is>
          <t>青城新藥－Ｂ</t>
        </is>
      </c>
      <c r="D404" s="63" t="inlineStr">
        <is>
          <t>Healthcare</t>
        </is>
      </c>
      <c r="E404" s="63" t="inlineStr">
        <is>
          <t>Biotech pre-revenue (18A)</t>
        </is>
      </c>
      <c r="F404" s="63" t="inlineStr">
        <is>
          <t>Biotechnology - Pharmaceuticals</t>
        </is>
      </c>
      <c r="G404" s="63" t="inlineStr">
        <is>
          <t>18A</t>
        </is>
      </c>
      <c r="H404" s="64" t="n">
        <v>46013</v>
      </c>
      <c r="I404" s="65" t="n">
        <v>674.2</v>
      </c>
      <c r="J404" s="63" t="inlineStr">
        <is>
          <t>gross (price x shares)</t>
        </is>
      </c>
      <c r="K404" s="66" t="n"/>
      <c r="L404" s="66" t="n">
        <v>51</v>
      </c>
      <c r="M404" s="66" t="n">
        <v>38.2</v>
      </c>
      <c r="N404" s="63" t="inlineStr">
        <is>
          <t>N</t>
        </is>
      </c>
      <c r="O404" s="67" t="n">
        <v>74.90000000000001</v>
      </c>
      <c r="P404" s="67" t="n"/>
      <c r="Q404" s="68" t="n">
        <v>4494.5</v>
      </c>
      <c r="R404" s="63" t="inlineStr">
        <is>
          <t>derived:price x shares upon listing</t>
        </is>
      </c>
      <c r="S404" s="69" t="n">
        <v>791.95</v>
      </c>
      <c r="T404" s="70" t="n">
        <v>6.05</v>
      </c>
      <c r="U404" s="71" t="n">
        <v>0</v>
      </c>
      <c r="V404" s="68" t="n">
        <v>674.2</v>
      </c>
      <c r="W404" s="68" t="n">
        <v>17648800</v>
      </c>
      <c r="X404" s="67" t="n">
        <v>15</v>
      </c>
      <c r="Y404" s="63" t="n"/>
      <c r="Z404" s="63" t="n"/>
      <c r="AA404" s="67" t="n">
        <v>15</v>
      </c>
      <c r="AB404" s="72" t="n">
        <v>0.6</v>
      </c>
      <c r="AC404" s="66" t="n">
        <v>38.42</v>
      </c>
      <c r="AD404" s="72" t="n">
        <v>-29.74</v>
      </c>
      <c r="AE404" s="63" t="inlineStr">
        <is>
          <t>N</t>
        </is>
      </c>
      <c r="AF404" s="63" t="inlineStr">
        <is>
          <t>2025-12-21</t>
        </is>
      </c>
      <c r="AG404" s="63" t="inlineStr">
        <is>
          <t>lapsed (no over-allocation)</t>
        </is>
      </c>
      <c r="AH404" s="63" t="inlineStr">
        <is>
          <t>2026-01-16</t>
        </is>
      </c>
      <c r="AI404" s="63" t="inlineStr">
        <is>
          <t>CLSA Limited</t>
        </is>
      </c>
      <c r="AJ404" s="63" t="inlineStr">
        <is>
          <t>CLSA</t>
        </is>
      </c>
      <c r="AK404" s="73" t="n">
        <v>-29.32</v>
      </c>
      <c r="AL404" s="72" t="n">
        <v>-11.52</v>
      </c>
      <c r="AM404" s="72" t="n">
        <v>-20.12</v>
      </c>
      <c r="AN404" s="72" t="n">
        <v>-57.67</v>
      </c>
      <c r="AO404" s="72" t="n">
        <v>-71.95999999999999</v>
      </c>
      <c r="AP404" s="72" t="n">
        <v>-81.02</v>
      </c>
      <c r="AQ404" s="72" t="n">
        <v>-40.11</v>
      </c>
      <c r="AR404" s="72" t="n">
        <v>-60.33</v>
      </c>
      <c r="AS404" s="72" t="n">
        <v>-73.15000000000001</v>
      </c>
      <c r="AT404" s="72" t="n">
        <v>-53.08</v>
      </c>
      <c r="AU404" s="72" t="n">
        <v>-73.8</v>
      </c>
      <c r="AV404" s="72" t="n">
        <v>-86.11</v>
      </c>
      <c r="AW404" s="72" t="n">
        <v>-63.24</v>
      </c>
      <c r="AX404" s="72" t="n">
        <v>1.84</v>
      </c>
      <c r="AY404" s="72" t="n">
        <v>2.91</v>
      </c>
      <c r="AZ404" s="63" t="inlineStr">
        <is>
          <t>China Biotech ETF (HS biotech proxy)</t>
        </is>
      </c>
      <c r="BA404" s="72" t="n">
        <v>-87.23</v>
      </c>
      <c r="BB404" s="64" t="inlineStr">
        <is>
          <t>2026-08-28</t>
        </is>
      </c>
      <c r="BC404" s="65" t="n">
        <v>0.3</v>
      </c>
      <c r="BD404" s="68" t="n">
        <v>-180.5</v>
      </c>
      <c r="BE404" s="63" t="inlineStr">
        <is>
          <t>N</t>
        </is>
      </c>
      <c r="BF404" s="63" t="inlineStr">
        <is>
          <t>n/m</t>
        </is>
      </c>
      <c r="BG404" s="74" t="n"/>
      <c r="BH404" s="74" t="n"/>
      <c r="BI404" s="74" t="n">
        <v>14981.7</v>
      </c>
      <c r="BJ404" s="75">
        <f>IF('BBG Verify'!S404="","not filed — run on terminal",'BBG Verify'!S404)</f>
        <v/>
      </c>
      <c r="BK404" s="76" t="inlineStr">
        <is>
          <t>N</t>
        </is>
      </c>
      <c r="BL404" s="77">
        <f>IF('BBG Verify'!K404="","not filed — run on terminal",'BBG Verify'!K404)</f>
        <v/>
      </c>
      <c r="BM404" s="63" t="inlineStr">
        <is>
          <t>N/A</t>
        </is>
      </c>
      <c r="BN404" s="63" t="inlineStr">
        <is>
          <t>N/A</t>
        </is>
      </c>
      <c r="BO404" s="63" t="inlineStr">
        <is>
          <t>N/A</t>
        </is>
      </c>
      <c r="BP404" s="63" t="inlineStr">
        <is>
          <t>N/A</t>
        </is>
      </c>
      <c r="BQ404" s="63" t="inlineStr">
        <is>
          <t>N/A</t>
        </is>
      </c>
      <c r="BR404" s="63" t="inlineStr">
        <is>
          <t>N/A</t>
        </is>
      </c>
      <c r="BS404" s="76" t="inlineStr">
        <is>
          <t>Huatai Financial Holdings (Hong Kong) Limited; CITIC Securities (Hong Kong) Limited</t>
        </is>
      </c>
      <c r="BT404" s="63" t="inlineStr">
        <is>
          <t>Huatai Financial Holdings (Hong Kong) Limited; CITIC Securities (Hong Kong) Limited</t>
        </is>
      </c>
      <c r="BU404" s="63" t="inlineStr">
        <is>
          <t>Huatai Financial Holdings (Hong Kong) Limited; CLSA Limited; China Merchants Securities (HK) Co., Limited; China Galaxy International Securities (Hong Kong) Co., Limited; Guolian Securities International Capital Co., Limited; CMB International Capital Limited; CMBC Securities Company Limited; Central China International Securities Co., Limited; Futu Securities International (Hong Kong) Limited; Huafu International Securities Limited; Livermore Holdings Limited</t>
        </is>
      </c>
      <c r="BV404" s="63" t="inlineStr">
        <is>
          <t>Central China International Securities Co.; China Galaxy International Securities (Hong Kong) Company Limited; CLSA Limited; CMBC Securities Company Limited; CMB International Capital Limited; China Merchants Securities (HK) Company Limited; Fortune (HK) Securities Limited; Futu Securities International (Hong Kong) Limited; Guolian Securities International Capital Market Co., Limited; Huatai Financial Holdings (Hong Kong) Limited; Huafu International Securities Limited</t>
        </is>
      </c>
      <c r="BW404" s="78">
        <f>HYPERLINK("https://www1.hkexnews.hk/listedco/listconews/sehk/2025/1212/2025121200081.pdf","prospectus")</f>
        <v/>
      </c>
      <c r="BX404" s="78">
        <f>HYPERLINK("https://www1.hkexnews.hk/listedco/listconews/sehk/2025/1219/2025121901577.pdf","allotment")</f>
        <v/>
      </c>
      <c r="BY404" s="78">
        <f>HYPERLINK("https://www1.hkexnews.hk/listedco/listconews/sehk/2026/0118/2026011800013.pdf","stabilisation")</f>
        <v/>
      </c>
      <c r="BZ404" s="76" t="n"/>
      <c r="CA404" s="63" t="inlineStr">
        <is>
          <t>P/E: n/m — loss-making at IPO (use P/S) · range low: cap-only pricing — the filing publishes a Maximum Offer Price and no indicative floor · A/H: no A-share listing · market cap: prospectus 'market capitalisation' line rejected — it is the listing-rule threshold, not the issuer's figure ("nd, mid-point and the high-end, respectively), the expected market capitalization of the Company’s H Shares wo") · cornerstone list: no cornerstone tranche in this deal · P/S: 14,982x on HK$0.3m revenue — effectively pre-revenue; the multiple is shown for completeness, not comparability</t>
        </is>
      </c>
    </row>
    <row r="405" ht="15" customHeight="1">
      <c r="A405" s="62" t="inlineStr">
        <is>
          <t>2581</t>
        </is>
      </c>
      <c r="B405" s="63" t="inlineStr">
        <is>
          <t>BENQ HOLDING</t>
        </is>
      </c>
      <c r="C405" s="63" t="inlineStr">
        <is>
          <t>明基醫院</t>
        </is>
      </c>
      <c r="D405" s="63" t="inlineStr">
        <is>
          <t>Tech/AI</t>
        </is>
      </c>
      <c r="E405" s="63" t="inlineStr">
        <is>
          <t>Smart hardware / consumer electronics</t>
        </is>
      </c>
      <c r="F405" s="63" t="inlineStr">
        <is>
          <t>Health Care Services</t>
        </is>
      </c>
      <c r="G405" s="63" t="inlineStr">
        <is>
          <t>Standard</t>
        </is>
      </c>
      <c r="H405" s="64" t="n">
        <v>46013</v>
      </c>
      <c r="I405" s="65" t="n">
        <v>625.8</v>
      </c>
      <c r="J405" s="63" t="inlineStr">
        <is>
          <t>gross (stated)</t>
        </is>
      </c>
      <c r="K405" s="66" t="n">
        <v>9.34</v>
      </c>
      <c r="L405" s="66" t="n">
        <v>11.68</v>
      </c>
      <c r="M405" s="66" t="n">
        <v>9.34</v>
      </c>
      <c r="N405" s="63" t="inlineStr">
        <is>
          <t>N</t>
        </is>
      </c>
      <c r="O405" s="67" t="n">
        <v>80</v>
      </c>
      <c r="P405" s="67" t="n">
        <v>0</v>
      </c>
      <c r="Q405" s="68" t="n">
        <v>2913.6</v>
      </c>
      <c r="R405" s="63" t="inlineStr">
        <is>
          <t>derived:price x shares upon listing</t>
        </is>
      </c>
      <c r="S405" s="69" t="n">
        <v>6.28</v>
      </c>
      <c r="T405" s="70" t="n">
        <v>1.28</v>
      </c>
      <c r="U405" s="71" t="n">
        <v>49.63</v>
      </c>
      <c r="V405" s="68" t="n">
        <v>315.22</v>
      </c>
      <c r="W405" s="68" t="n">
        <v>33747900</v>
      </c>
      <c r="X405" s="67" t="n">
        <v>10.82</v>
      </c>
      <c r="Y405" s="63" t="inlineStr">
        <is>
          <t>Heron Neutron Medical; Cowealth (China); Suzhou Zhanxingtou</t>
        </is>
      </c>
      <c r="Z405" s="63" t="inlineStr">
        <is>
          <t>heron;cowealth;suzhou</t>
        </is>
      </c>
      <c r="AA405" s="67" t="n"/>
      <c r="AB405" s="72" t="n">
        <v>-25.4</v>
      </c>
      <c r="AC405" s="66" t="n">
        <v>6.97</v>
      </c>
      <c r="AD405" s="72" t="n">
        <v>-32.25</v>
      </c>
      <c r="AE405" s="63" t="inlineStr">
        <is>
          <t>Y</t>
        </is>
      </c>
      <c r="AF405" s="63" t="inlineStr">
        <is>
          <t>2025-12-21</t>
        </is>
      </c>
      <c r="AG405" s="63" t="n"/>
      <c r="AH405" s="63" t="n"/>
      <c r="AI405" s="63" t="n"/>
      <c r="AJ405" s="63" t="n"/>
      <c r="AK405" s="73" t="n">
        <v>-49.46</v>
      </c>
      <c r="AL405" s="72" t="n">
        <v>-30.41</v>
      </c>
      <c r="AM405" s="72" t="n">
        <v>-27.37</v>
      </c>
      <c r="AN405" s="72" t="n">
        <v>-56</v>
      </c>
      <c r="AO405" s="72" t="n">
        <v>-56.21</v>
      </c>
      <c r="AP405" s="72" t="n">
        <v>-63.06</v>
      </c>
      <c r="AQ405" s="72" t="n">
        <v>-12.94</v>
      </c>
      <c r="AR405" s="72" t="n">
        <v>-13.36</v>
      </c>
      <c r="AS405" s="72" t="n">
        <v>-26.91</v>
      </c>
      <c r="AT405" s="72" t="n">
        <v>-56.56</v>
      </c>
      <c r="AU405" s="72" t="n">
        <v>-61.99</v>
      </c>
      <c r="AV405" s="72" t="n">
        <v>-50.37</v>
      </c>
      <c r="AW405" s="72" t="n">
        <v>-18.06</v>
      </c>
      <c r="AX405" s="72" t="n">
        <v>5.78</v>
      </c>
      <c r="AY405" s="72" t="n">
        <v>4.7</v>
      </c>
      <c r="AZ405" s="63" t="inlineStr">
        <is>
          <t>HSTECH (Hang Seng TECH ETF)</t>
        </is>
      </c>
      <c r="BA405" s="72" t="n">
        <v>-70.06999999999999</v>
      </c>
      <c r="BB405" s="64" t="inlineStr">
        <is>
          <t>2026-08-28</t>
        </is>
      </c>
      <c r="BC405" s="65" t="n">
        <v>2924.9</v>
      </c>
      <c r="BD405" s="68" t="n">
        <v>119.8</v>
      </c>
      <c r="BE405" s="63" t="inlineStr">
        <is>
          <t>Y</t>
        </is>
      </c>
      <c r="BF405" s="74" t="n">
        <v>24.3</v>
      </c>
      <c r="BG405" s="74" t="n">
        <v>11.1</v>
      </c>
      <c r="BH405" s="74" t="n">
        <v>6.2</v>
      </c>
      <c r="BI405" s="74" t="n">
        <v>1</v>
      </c>
      <c r="BJ405" s="75">
        <f>IF('BBG Verify'!S405="","not filed — run on terminal",'BBG Verify'!S405)</f>
        <v/>
      </c>
      <c r="BK405" s="76" t="inlineStr">
        <is>
          <t>N</t>
        </is>
      </c>
      <c r="BL405" s="77">
        <f>IF('BBG Verify'!K405="","not filed — run on terminal",'BBG Verify'!K405)</f>
        <v/>
      </c>
      <c r="BM405" s="63" t="inlineStr">
        <is>
          <t>N/A</t>
        </is>
      </c>
      <c r="BN405" s="63" t="inlineStr">
        <is>
          <t>N/A</t>
        </is>
      </c>
      <c r="BO405" s="63" t="inlineStr">
        <is>
          <t>N/A</t>
        </is>
      </c>
      <c r="BP405" s="63" t="inlineStr">
        <is>
          <t>N/A</t>
        </is>
      </c>
      <c r="BQ405" s="63" t="inlineStr">
        <is>
          <t>N/A</t>
        </is>
      </c>
      <c r="BR405" s="63" t="inlineStr">
        <is>
          <t>N/A</t>
        </is>
      </c>
      <c r="BS405" s="76" t="n"/>
      <c r="BT405" s="63" t="inlineStr">
        <is>
          <t>China International Capital Corporation Hong Kong Securities Limited; Citigroup Global Markets Asia Limited</t>
        </is>
      </c>
      <c r="BU405" s="63" t="inlineStr">
        <is>
          <t>China International Capital Corporation Hong Kong Securities Limited; Citigroup Global Markets Asia Limited; CTBC Bank Co., Ltd; Citigroup Global Markets Limited; Canary Wharf London E14 5LB United Kingdom CTBC Bank Co., Ltd; Futu Securities International (Hong Kong) Limited; Livermore Holdings Limited; TradeGo Markets Limited; UOB Kay Hian (Hong Kong) Limited</t>
        </is>
      </c>
      <c r="BV405" s="63" t="inlineStr">
        <is>
          <t>Citigroup Global Markets Asia Limited; China International Capital Corporation Hong Kong Securities Limited; CTBC Bank Co., Ltd.; Futu Securities International (Hong Kong) Limited; Livermore Holdings Limited; TradeGo Markets Limited; UOB Kay Hian (Hong Kong) Limited</t>
        </is>
      </c>
      <c r="BW405" s="78">
        <f>HYPERLINK("https://www1.hkexnews.hk/listedco/listconews/sehk/2025/1212/2025121200057.pdf","prospectus")</f>
        <v/>
      </c>
      <c r="BX405" s="78">
        <f>HYPERLINK("https://www1.hkexnews.hk/listedco/listconews/sehk/2025/1219/2025121901603.pdf","allotment")</f>
        <v/>
      </c>
      <c r="BY405" s="63" t="n"/>
      <c r="BZ405" s="76" t="n"/>
      <c r="CA405" s="63" t="inlineStr">
        <is>
          <t>greenshoe: no over-allotment option in the offer structure · A/H: no A-share listing · sponsor: English name not in the filing text; AAStocks 保薦人 shown · market cap: prospectus 'market capitalisation' line rejected — it is the listing-rule threshold, not the issuer's figure ("e Pre-IPO Share Option Plan are not exercised, the expected market capitalization of the Shares would not exce") · greenshoe size: no over-allotment option in the offer structure · stabilising manager: the filing states no stabilising manager will be appointed — a filed fact, not an extraction gap (prospectus: 'no stabilizing manager will be appointed' stated in the filing)</t>
        </is>
      </c>
    </row>
    <row r="406" ht="15" customHeight="1">
      <c r="A406" s="62" t="inlineStr">
        <is>
          <t>2691</t>
        </is>
      </c>
      <c r="B406" s="63" t="inlineStr">
        <is>
          <t>NANHUA FUTURES</t>
        </is>
      </c>
      <c r="C406" s="63" t="inlineStr">
        <is>
          <t>南華期貨股份</t>
        </is>
      </c>
      <c r="D406" s="63" t="inlineStr">
        <is>
          <t>Financials</t>
        </is>
      </c>
      <c r="E406" s="63" t="inlineStr">
        <is>
          <t>Brokers / asset management</t>
        </is>
      </c>
      <c r="F406" s="63" t="inlineStr">
        <is>
          <t>Investment Banking &amp; Brokerage</t>
        </is>
      </c>
      <c r="G406" s="63" t="inlineStr">
        <is>
          <t>Standard</t>
        </is>
      </c>
      <c r="H406" s="64" t="n">
        <v>46013</v>
      </c>
      <c r="I406" s="65" t="n">
        <v>1291.91</v>
      </c>
      <c r="J406" s="63" t="inlineStr">
        <is>
          <t>gross (stated)</t>
        </is>
      </c>
      <c r="K406" s="66" t="n"/>
      <c r="L406" s="66" t="n">
        <v>16</v>
      </c>
      <c r="M406" s="66" t="n">
        <v>12</v>
      </c>
      <c r="N406" s="63" t="inlineStr">
        <is>
          <t>N</t>
        </is>
      </c>
      <c r="O406" s="67" t="n">
        <v>75</v>
      </c>
      <c r="P406" s="67" t="n"/>
      <c r="Q406" s="68" t="n">
        <v>10491.8</v>
      </c>
      <c r="R406" s="63" t="inlineStr">
        <is>
          <t>prospectus:stated market capitalisation, rescaled to the offer price</t>
        </is>
      </c>
      <c r="S406" s="69" t="n">
        <v>1.91</v>
      </c>
      <c r="T406" s="70" t="n">
        <v>0.99</v>
      </c>
      <c r="U406" s="71" t="n">
        <v>0</v>
      </c>
      <c r="V406" s="68" t="n">
        <v>1291.91</v>
      </c>
      <c r="W406" s="68" t="n">
        <v>107659000</v>
      </c>
      <c r="X406" s="67" t="n">
        <v>12.31</v>
      </c>
      <c r="Y406" s="63" t="n"/>
      <c r="Z406" s="63" t="n"/>
      <c r="AA406" s="67" t="n">
        <v>5</v>
      </c>
      <c r="AB406" s="72" t="n">
        <v>-7.4</v>
      </c>
      <c r="AC406" s="66" t="n">
        <v>11.11</v>
      </c>
      <c r="AD406" s="72" t="n">
        <v>-18.11</v>
      </c>
      <c r="AE406" s="63" t="inlineStr">
        <is>
          <t>Y</t>
        </is>
      </c>
      <c r="AF406" s="63" t="inlineStr">
        <is>
          <t>2025-12-21</t>
        </is>
      </c>
      <c r="AG406" s="63" t="inlineStr">
        <is>
          <t>lapsed (no over-allocation)</t>
        </is>
      </c>
      <c r="AH406" s="63" t="n"/>
      <c r="AI406" s="63" t="inlineStr">
        <is>
          <t>CLSA Limited</t>
        </is>
      </c>
      <c r="AJ406" s="63" t="inlineStr">
        <is>
          <t>CLSA</t>
        </is>
      </c>
      <c r="AK406" s="73" t="n">
        <v>-24.17</v>
      </c>
      <c r="AL406" s="72" t="n">
        <v>-23.92</v>
      </c>
      <c r="AM406" s="72" t="n">
        <v>-0.33</v>
      </c>
      <c r="AN406" s="72" t="n">
        <v>-17.42</v>
      </c>
      <c r="AO406" s="72" t="n">
        <v>-12.75</v>
      </c>
      <c r="AP406" s="72" t="n">
        <v>-9.5</v>
      </c>
      <c r="AQ406" s="72" t="n">
        <v>8.9</v>
      </c>
      <c r="AR406" s="72" t="n">
        <v>15.06</v>
      </c>
      <c r="AS406" s="72" t="n">
        <v>19.35</v>
      </c>
      <c r="AT406" s="72" t="n">
        <v>-18.24</v>
      </c>
      <c r="AU406" s="72" t="n">
        <v>-16.12</v>
      </c>
      <c r="AV406" s="72" t="n">
        <v>-12.35</v>
      </c>
      <c r="AW406" s="72" t="n">
        <v>12.22</v>
      </c>
      <c r="AX406" s="72" t="n">
        <v>3.37</v>
      </c>
      <c r="AY406" s="72" t="n">
        <v>2.84</v>
      </c>
      <c r="AZ406" s="63" t="inlineStr">
        <is>
          <t>Hang Seng Finance sub-index</t>
        </is>
      </c>
      <c r="BA406" s="72" t="n">
        <v>-20.19</v>
      </c>
      <c r="BB406" s="64" t="inlineStr">
        <is>
          <t>2026-08-31</t>
        </is>
      </c>
      <c r="BC406" s="65" t="n">
        <v>0</v>
      </c>
      <c r="BD406" s="68" t="n">
        <v>503.8</v>
      </c>
      <c r="BE406" s="63" t="inlineStr">
        <is>
          <t>Y</t>
        </is>
      </c>
      <c r="BF406" s="74" t="n">
        <v>20.8</v>
      </c>
      <c r="BG406" s="74" t="n">
        <v>10.9</v>
      </c>
      <c r="BH406" s="74" t="n">
        <v>5.8</v>
      </c>
      <c r="BI406" s="63" t="inlineStr">
        <is>
          <t>pre-rev</t>
        </is>
      </c>
      <c r="BJ406" s="75">
        <f>IF('BBG Verify'!S406="","not filed — run on terminal",'BBG Verify'!S406)</f>
        <v/>
      </c>
      <c r="BK406" s="76" t="inlineStr">
        <is>
          <t>Y</t>
        </is>
      </c>
      <c r="BL406" s="63" t="inlineStr">
        <is>
          <t>603093.SS</t>
        </is>
      </c>
      <c r="BM406" s="72" t="n">
        <v>77.34999999999999</v>
      </c>
      <c r="BN406" s="66" t="n">
        <v>21.2816</v>
      </c>
      <c r="BO406" s="80" t="n">
        <v>1.3419</v>
      </c>
      <c r="BP406" s="68" t="n">
        <v>16079.9</v>
      </c>
      <c r="BQ406" s="75">
        <f>IF('BBG Verify'!Q406="","run on terminal",'BBG Verify'!Q406)</f>
        <v/>
      </c>
      <c r="BR406" s="75">
        <f>IF('BBG Verify'!R406="","run on terminal",'BBG Verify'!R406)</f>
        <v/>
      </c>
      <c r="BS406" s="76" t="inlineStr">
        <is>
          <t>CITIC Securities (Hong Kong) Limited</t>
        </is>
      </c>
      <c r="BT406" s="63" t="inlineStr">
        <is>
          <t>CITIC Securities (Hong Kong) Limited</t>
        </is>
      </c>
      <c r="BU406" s="63" t="inlineStr">
        <is>
          <t>CLSA Limited; HGNH International Securities Co., Limited; BOCI Asia Limited; CMB International Capital Limited; ABCI Capital Limited; Zheshang International Financial Holdings Co., Limited; Caitong International Securities Co., Limited; China Everbright Securities (HK) Limited</t>
        </is>
      </c>
      <c r="BV406" s="63" t="inlineStr">
        <is>
          <t>Arta Asset Management Limited; ABCI Securities Company Limited; AVICT Global Asset Management Limited; BOCI Asia Limited; Caitong International Securities Company Limited; China Everbright Securities (HK) Limited; CLSA Limited; CMB International Capital Limited; Fortune (HK) Securities Limited; HGNH International Securities Co., Limited; Waton Securities International Limited; Yellow River Securities Limited</t>
        </is>
      </c>
      <c r="BW406" s="78">
        <f>HYPERLINK("https://www1.hkexnews.hk/listedco/listconews/sehk/2025/1212/2025121200021.pdf","prospectus")</f>
        <v/>
      </c>
      <c r="BX406" s="78">
        <f>HYPERLINK("https://www1.hkexnews.hk/listedco/listconews/sehk/2025/1219/2025121902017.pdf","allotment")</f>
        <v/>
      </c>
      <c r="BY406" s="78">
        <f>HYPERLINK("https://www1.hkexnews.hk/listedco/listconews/sehk/2026/0116/2026011600262.pdf","stabilisation")</f>
        <v/>
      </c>
      <c r="BZ406" s="76" t="n"/>
      <c r="CA406" s="63" t="inlineStr">
        <is>
          <t>greenshoe: over-allotment outcome already published, and the allotment announcement does not state the stabilisation expiry in a parsable form — the expiry no longer matters once resolved · range low: cap-only pricing — the filing publishes a Maximum Offer Price and no indicative floor · A/H: Dec 2025 H listing (futures broker) · market cap: prospectus states HK$13,989m at HK$16.00; rescaled to the struck HK$12.00 · cornerstone list: no cornerstone tranche in this deal · P/S: no revenue line in the filed P&amp;L (pre-revenue issuer) — no sales multiple can exist; the cell reads pre-rev, not blank · financials rejected: net income exceeds total income via equity-method investment gains — normal for an investment firm; both figures are as filed</t>
        </is>
      </c>
    </row>
    <row r="407" ht="15" customHeight="1">
      <c r="A407" s="62" t="inlineStr">
        <is>
          <t>2635</t>
        </is>
      </c>
      <c r="B407" s="63" t="inlineStr">
        <is>
          <t>NUOBIKAN</t>
        </is>
      </c>
      <c r="C407" s="63" t="inlineStr">
        <is>
          <t>諾比侃</t>
        </is>
      </c>
      <c r="D407" s="63" t="inlineStr">
        <is>
          <t>Tech/AI</t>
        </is>
      </c>
      <c r="E407" s="63" t="inlineStr">
        <is>
          <t>SaaS / enterprise software</t>
        </is>
      </c>
      <c r="F407" s="63" t="inlineStr">
        <is>
          <t>Advanced hardware and software</t>
        </is>
      </c>
      <c r="G407" s="63" t="inlineStr">
        <is>
          <t>Standard</t>
        </is>
      </c>
      <c r="H407" s="64" t="n">
        <v>46014</v>
      </c>
      <c r="I407" s="65" t="n">
        <v>302.93</v>
      </c>
      <c r="J407" s="63" t="inlineStr">
        <is>
          <t>gross (stated)</t>
        </is>
      </c>
      <c r="K407" s="66" t="n"/>
      <c r="L407" s="66" t="n">
        <v>106</v>
      </c>
      <c r="M407" s="66" t="n">
        <v>80</v>
      </c>
      <c r="N407" s="63" t="inlineStr">
        <is>
          <t>N</t>
        </is>
      </c>
      <c r="O407" s="67" t="n">
        <v>75.5</v>
      </c>
      <c r="P407" s="67" t="n"/>
      <c r="Q407" s="68" t="n">
        <v>3029.3</v>
      </c>
      <c r="R407" s="63" t="inlineStr">
        <is>
          <t>derived:price x shares upon listing</t>
        </is>
      </c>
      <c r="S407" s="69" t="n">
        <v>188.74</v>
      </c>
      <c r="T407" s="70" t="n">
        <v>2.08</v>
      </c>
      <c r="U407" s="71" t="n">
        <v>0</v>
      </c>
      <c r="V407" s="68" t="n">
        <v>302.93</v>
      </c>
      <c r="W407" s="68" t="n">
        <v>3786600</v>
      </c>
      <c r="X407" s="67" t="n">
        <v>10</v>
      </c>
      <c r="Y407" s="63" t="n"/>
      <c r="Z407" s="63" t="n"/>
      <c r="AA407" s="67" t="n">
        <v>19.6</v>
      </c>
      <c r="AB407" s="72" t="n"/>
      <c r="AC407" s="66" t="n"/>
      <c r="AD407" s="72" t="n"/>
      <c r="AE407" s="63" t="n"/>
      <c r="AF407" s="63" t="n"/>
      <c r="AG407" s="63" t="inlineStr">
        <is>
          <t>lapsed (no over-allocation)</t>
        </is>
      </c>
      <c r="AH407" s="63" t="n"/>
      <c r="AI407" s="63" t="inlineStr">
        <is>
          <t>China International Capital Corporation Hong Kong Securities Limited</t>
        </is>
      </c>
      <c r="AJ407" s="63" t="inlineStr">
        <is>
          <t>China International</t>
        </is>
      </c>
      <c r="AK407" s="73" t="n">
        <v>363.75</v>
      </c>
      <c r="AL407" s="72" t="n">
        <v>299.75</v>
      </c>
      <c r="AM407" s="72" t="n">
        <v>16.01</v>
      </c>
      <c r="AN407" s="72" t="n">
        <v>331.75</v>
      </c>
      <c r="AO407" s="72" t="n">
        <v>388.5</v>
      </c>
      <c r="AP407" s="72" t="n">
        <v>505</v>
      </c>
      <c r="AQ407" s="72" t="n">
        <v>-6.9</v>
      </c>
      <c r="AR407" s="72" t="n">
        <v>5.34</v>
      </c>
      <c r="AS407" s="72" t="n">
        <v>30.46</v>
      </c>
      <c r="AT407" s="72" t="n">
        <v>328.15</v>
      </c>
      <c r="AU407" s="72" t="n">
        <v>384.99</v>
      </c>
      <c r="AV407" s="72" t="n">
        <v>520.24</v>
      </c>
      <c r="AW407" s="72" t="n">
        <v>0.96</v>
      </c>
      <c r="AX407" s="72" t="n">
        <v>3.51</v>
      </c>
      <c r="AY407" s="72" t="n">
        <v>4.38</v>
      </c>
      <c r="AZ407" s="63" t="inlineStr">
        <is>
          <t>HSTECH (Hang Seng TECH ETF)</t>
        </is>
      </c>
      <c r="BA407" s="72" t="n">
        <v>33</v>
      </c>
      <c r="BB407" s="64" t="inlineStr">
        <is>
          <t>2026-08-31</t>
        </is>
      </c>
      <c r="BC407" s="65" t="n">
        <v>442.9</v>
      </c>
      <c r="BD407" s="68" t="n">
        <v>126.9</v>
      </c>
      <c r="BE407" s="63" t="inlineStr">
        <is>
          <t>Y</t>
        </is>
      </c>
      <c r="BF407" s="74" t="n">
        <v>23.9</v>
      </c>
      <c r="BG407" s="74" t="n"/>
      <c r="BH407" s="74" t="n"/>
      <c r="BI407" s="74" t="n">
        <v>6.8</v>
      </c>
      <c r="BJ407" s="75">
        <f>IF('BBG Verify'!S407="","not filed — run on terminal",'BBG Verify'!S407)</f>
        <v/>
      </c>
      <c r="BK407" s="76" t="inlineStr">
        <is>
          <t>N</t>
        </is>
      </c>
      <c r="BL407" s="77">
        <f>IF('BBG Verify'!K407="","not filed — run on terminal",'BBG Verify'!K407)</f>
        <v/>
      </c>
      <c r="BM407" s="63" t="inlineStr">
        <is>
          <t>N/A</t>
        </is>
      </c>
      <c r="BN407" s="63" t="inlineStr">
        <is>
          <t>N/A</t>
        </is>
      </c>
      <c r="BO407" s="63" t="inlineStr">
        <is>
          <t>N/A</t>
        </is>
      </c>
      <c r="BP407" s="63" t="inlineStr">
        <is>
          <t>N/A</t>
        </is>
      </c>
      <c r="BQ407" s="63" t="inlineStr">
        <is>
          <t>N/A</t>
        </is>
      </c>
      <c r="BR407" s="63" t="inlineStr">
        <is>
          <t>N/A</t>
        </is>
      </c>
      <c r="BS407" s="76" t="n"/>
      <c r="BT407" s="63" t="inlineStr">
        <is>
          <t>China International Capital Corporation Hong Kong Securities Limited</t>
        </is>
      </c>
      <c r="BU407" s="63" t="inlineStr">
        <is>
          <t>China International Capital Corporation Hong Kong Securities Limited; Livermore Holdings Limited; Patrons Securities Limited</t>
        </is>
      </c>
      <c r="BV407" s="63" t="inlineStr">
        <is>
          <t>China International Capital Corporation Hong Kong Securities Limited; Livermore Holdings Limited; Patrons Securities Limited</t>
        </is>
      </c>
      <c r="BW407" s="78">
        <f>HYPERLINK("https://www1.hkexnews.hk/listedco/listconews/sehk/2025/1215/2025121500019.pdf","prospectus")</f>
        <v/>
      </c>
      <c r="BX407" s="78">
        <f>HYPERLINK("https://www1.hkexnews.hk/listedco/listconews/sehk/2025/1222/2025122201578.pdf","allotment")</f>
        <v/>
      </c>
      <c r="BY407" s="78">
        <f>HYPERLINK("https://www1.hkexnews.hk/listedco/listconews/sehk/2026/0119/2026011900805.pdf","stabilisation")</f>
        <v/>
      </c>
      <c r="BZ407" s="76" t="n"/>
      <c r="CA407" s="63" t="inlineStr">
        <is>
          <t>greenshoe: over-allotment outcome already published, and the allotment announcement does not state the stabilisation expiry in a parsable form — the expiry no longer matters once resolved · range low: cap-only pricing — the filing publishes a Maximum Offer Price and no indicative floor · A/H: no A-share listing · sponsor: English name not in the filing text; AAStocks 保薦人 shown · cornerstone list: no cornerstone tranche in this deal · grey market: no grey-market headline on file for this deal — AAStocks publishes one per listing but keeps only recent items on the stock's news page, and no public archive of past evening sessions exists; captured from this run onward</t>
        </is>
      </c>
    </row>
    <row r="408" ht="15" customHeight="1">
      <c r="A408" s="62" t="inlineStr">
        <is>
          <t>2661</t>
        </is>
      </c>
      <c r="B408" s="63" t="inlineStr">
        <is>
          <t>QINGSONG HEALTH</t>
        </is>
      </c>
      <c r="C408" s="63" t="inlineStr">
        <is>
          <t>輕鬆健康</t>
        </is>
      </c>
      <c r="D408" s="63" t="inlineStr">
        <is>
          <t>Financials</t>
        </is>
      </c>
      <c r="E408" s="63" t="inlineStr">
        <is>
          <t>Insurance</t>
        </is>
      </c>
      <c r="F408" s="63" t="inlineStr">
        <is>
          <t>Health Care Services</t>
        </is>
      </c>
      <c r="G408" s="63" t="inlineStr">
        <is>
          <t>Standard</t>
        </is>
      </c>
      <c r="H408" s="64" t="n">
        <v>46014</v>
      </c>
      <c r="I408" s="65" t="n">
        <v>601.9299999999999</v>
      </c>
      <c r="J408" s="63" t="inlineStr">
        <is>
          <t>gross (stated)</t>
        </is>
      </c>
      <c r="K408" s="66" t="n"/>
      <c r="L408" s="66" t="n">
        <v>22.68</v>
      </c>
      <c r="M408" s="66" t="n">
        <v>22.68</v>
      </c>
      <c r="N408" s="63" t="inlineStr">
        <is>
          <t>Y</t>
        </is>
      </c>
      <c r="O408" s="67" t="n">
        <v>100</v>
      </c>
      <c r="P408" s="67" t="n"/>
      <c r="Q408" s="68" t="n">
        <v>4680.6</v>
      </c>
      <c r="R408" s="63" t="inlineStr">
        <is>
          <t>derived:price x shares upon listing</t>
        </is>
      </c>
      <c r="S408" s="69" t="n">
        <v>1421.47</v>
      </c>
      <c r="T408" s="70" t="n">
        <v>2.9</v>
      </c>
      <c r="U408" s="71" t="n">
        <v>2.33</v>
      </c>
      <c r="V408" s="68" t="n">
        <v>587.91</v>
      </c>
      <c r="W408" s="68" t="n">
        <v>25921618</v>
      </c>
      <c r="X408" s="67" t="n">
        <v>12.56</v>
      </c>
      <c r="Y408" s="63" t="inlineStr">
        <is>
          <t>Aoqin Heming; Discretionary basis</t>
        </is>
      </c>
      <c r="Z408" s="63" t="inlineStr">
        <is>
          <t>aoqin;discretionary</t>
        </is>
      </c>
      <c r="AA408" s="67" t="n">
        <v>13.61</v>
      </c>
      <c r="AB408" s="72" t="n"/>
      <c r="AC408" s="66" t="n"/>
      <c r="AD408" s="72" t="n"/>
      <c r="AE408" s="63" t="n"/>
      <c r="AF408" s="63" t="n"/>
      <c r="AG408" s="63" t="inlineStr">
        <is>
          <t>lapsed (no over-allocation)</t>
        </is>
      </c>
      <c r="AH408" s="63" t="inlineStr">
        <is>
          <t>2026-01-17</t>
        </is>
      </c>
      <c r="AI408" s="63" t="inlineStr">
        <is>
          <t>China International Capital Corporation Hong Kong Securities Limited</t>
        </is>
      </c>
      <c r="AJ408" s="63" t="inlineStr">
        <is>
          <t>China International</t>
        </is>
      </c>
      <c r="AK408" s="73" t="n">
        <v>158.82</v>
      </c>
      <c r="AL408" s="72" t="n">
        <v>120.46</v>
      </c>
      <c r="AM408" s="72" t="n">
        <v>17.4</v>
      </c>
      <c r="AN408" s="72" t="n">
        <v>229.37</v>
      </c>
      <c r="AO408" s="72" t="n">
        <v>338.71</v>
      </c>
      <c r="AP408" s="72" t="n">
        <v>592.6799999999999</v>
      </c>
      <c r="AQ408" s="72" t="n">
        <v>27.26</v>
      </c>
      <c r="AR408" s="72" t="n">
        <v>69.5</v>
      </c>
      <c r="AS408" s="72" t="n">
        <v>167.63</v>
      </c>
      <c r="AT408" s="72" t="n">
        <v>226.94</v>
      </c>
      <c r="AU408" s="72" t="n">
        <v>335.11</v>
      </c>
      <c r="AV408" s="72" t="n">
        <v>590.54</v>
      </c>
      <c r="AW408" s="72" t="n">
        <v>66.5</v>
      </c>
      <c r="AX408" s="72" t="n">
        <v>3.6</v>
      </c>
      <c r="AY408" s="72" t="n">
        <v>3</v>
      </c>
      <c r="AZ408" s="63" t="inlineStr">
        <is>
          <t>Hang Seng Finance sub-index</t>
        </is>
      </c>
      <c r="BA408" s="72" t="n">
        <v>-77.84</v>
      </c>
      <c r="BB408" s="64" t="inlineStr">
        <is>
          <t>2026-08-28</t>
        </is>
      </c>
      <c r="BC408" s="65" t="n">
        <v>1039.5</v>
      </c>
      <c r="BD408" s="68" t="n">
        <v>-0</v>
      </c>
      <c r="BE408" s="63" t="inlineStr">
        <is>
          <t>N</t>
        </is>
      </c>
      <c r="BF408" s="63" t="inlineStr">
        <is>
          <t>n/m</t>
        </is>
      </c>
      <c r="BG408" s="74" t="n"/>
      <c r="BH408" s="74" t="n"/>
      <c r="BI408" s="74" t="n">
        <v>4.5</v>
      </c>
      <c r="BJ408" s="75">
        <f>IF('BBG Verify'!S408="","not filed — run on terminal",'BBG Verify'!S408)</f>
        <v/>
      </c>
      <c r="BK408" s="76" t="inlineStr">
        <is>
          <t>N</t>
        </is>
      </c>
      <c r="BL408" s="77">
        <f>IF('BBG Verify'!K408="","not filed — run on terminal",'BBG Verify'!K408)</f>
        <v/>
      </c>
      <c r="BM408" s="63" t="inlineStr">
        <is>
          <t>N/A</t>
        </is>
      </c>
      <c r="BN408" s="63" t="inlineStr">
        <is>
          <t>N/A</t>
        </is>
      </c>
      <c r="BO408" s="63" t="inlineStr">
        <is>
          <t>N/A</t>
        </is>
      </c>
      <c r="BP408" s="63" t="inlineStr">
        <is>
          <t>N/A</t>
        </is>
      </c>
      <c r="BQ408" s="63" t="inlineStr">
        <is>
          <t>N/A</t>
        </is>
      </c>
      <c r="BR408" s="63" t="inlineStr">
        <is>
          <t>N/A</t>
        </is>
      </c>
      <c r="BS408" s="76" t="inlineStr">
        <is>
          <t>China International Capital Corporation Hong Kong Securities Limited; China Merchants Securities (HK) Co., Limited</t>
        </is>
      </c>
      <c r="BT408" s="63" t="inlineStr">
        <is>
          <t>China International Capital Corporation Hong Kong Securities Limited; China Merchants Securities (HK) Company Limited</t>
        </is>
      </c>
      <c r="BU408" s="63" t="inlineStr">
        <is>
          <t>China International Capital Corporation Hong Kong Securities Limited; China Merchants Securities (HK) Co., Limited; Futu Securities International (Hong Kong) Limited; SPDB International Capital Limited</t>
        </is>
      </c>
      <c r="BV408" s="63" t="inlineStr">
        <is>
          <t>China International Capital Corporation Hong Kong Securities Limited; China Merchants Securities (HK) Company Limited; Futu Securities International (Hong Kong) Limited; SPDB International Capital Limited</t>
        </is>
      </c>
      <c r="BW408" s="78">
        <f>HYPERLINK("https://www1.hkexnews.hk/listedco/listconews/sehk/2025/1215/2025121500031.pdf","prospectus")</f>
        <v/>
      </c>
      <c r="BX408" s="78">
        <f>HYPERLINK("https://www1.hkexnews.hk/listedco/listconews/sehk/2025/1222/2025122201716.pdf","allotment")</f>
        <v/>
      </c>
      <c r="BY408" s="78">
        <f>HYPERLINK("https://www1.hkexnews.hk/listedco/listconews/sehk/2026/0118/2026011800009.pdf","stabilisation")</f>
        <v/>
      </c>
      <c r="BZ408" s="76" t="n"/>
      <c r="CA408" s="63" t="inlineStr">
        <is>
          <t>P/E: n/m — loss-making at IPO (use P/S) · range low: cap-only pricing — the filing publishes a Maximum Offer Price and no indicative floor · A/H: no A-share listing · grey market: no grey-market headline on file for this deal — AAStocks publishes one per listing but keeps only recent items on the stock's news page, and no public archive of past evening sessions exists; captured from this run onward</t>
        </is>
      </c>
    </row>
    <row r="409" ht="15" customHeight="1">
      <c r="A409" s="62" t="inlineStr">
        <is>
          <t>3378</t>
        </is>
      </c>
      <c r="B409" s="63" t="inlineStr">
        <is>
          <t>HANXBIO-B</t>
        </is>
      </c>
      <c r="C409" s="63" t="inlineStr">
        <is>
          <t>翰思艾泰－Ｂ</t>
        </is>
      </c>
      <c r="D409" s="63" t="inlineStr">
        <is>
          <t>Healthcare</t>
        </is>
      </c>
      <c r="E409" s="63" t="inlineStr">
        <is>
          <t>Biotech pre-revenue (18A)</t>
        </is>
      </c>
      <c r="F409" s="63" t="inlineStr">
        <is>
          <t>Biotechnology - Pharmaceuticals</t>
        </is>
      </c>
      <c r="G409" s="63" t="inlineStr">
        <is>
          <t>18A</t>
        </is>
      </c>
      <c r="H409" s="64" t="n">
        <v>46014</v>
      </c>
      <c r="I409" s="65" t="n">
        <v>586.3</v>
      </c>
      <c r="J409" s="63" t="inlineStr">
        <is>
          <t>gross (stated)</t>
        </is>
      </c>
      <c r="K409" s="66" t="n"/>
      <c r="L409" s="66" t="n">
        <v>32</v>
      </c>
      <c r="M409" s="66" t="n">
        <v>32</v>
      </c>
      <c r="N409" s="63" t="inlineStr">
        <is>
          <t>Y</t>
        </is>
      </c>
      <c r="O409" s="67" t="n">
        <v>100</v>
      </c>
      <c r="P409" s="67" t="n"/>
      <c r="Q409" s="68" t="n">
        <v>4359</v>
      </c>
      <c r="R409" s="63" t="inlineStr">
        <is>
          <t>derived:price x shares upon listing</t>
        </is>
      </c>
      <c r="S409" s="69" t="n">
        <v>3074.09</v>
      </c>
      <c r="T409" s="70" t="n">
        <v>5.78</v>
      </c>
      <c r="U409" s="71" t="n"/>
      <c r="V409" s="68" t="n"/>
      <c r="W409" s="68" t="n"/>
      <c r="X409" s="67" t="n"/>
      <c r="Y409" s="63" t="inlineStr">
        <is>
          <t>Sage Partners Master Fund; Main Source Capital Limited; YStem Holding Limited; Awaken Thunder Capital Limited; Betta Pharmaceuticals Co., Ltd; Yangtze Investment (HK) Limited; Lapam Capital HK Co., Limited; Xiao Jieyu; Zou Zhiyong; Liao Tong</t>
        </is>
      </c>
      <c r="Z409" s="63" t="inlineStr">
        <is>
          <t>sage;main;ystem;awaken;betta;yangtze;lapam;xiao-jieyu;zou;liao</t>
        </is>
      </c>
      <c r="AA409" s="67" t="n"/>
      <c r="AB409" s="72" t="n"/>
      <c r="AC409" s="66" t="n"/>
      <c r="AD409" s="72" t="n"/>
      <c r="AE409" s="63" t="n"/>
      <c r="AF409" s="63" t="n"/>
      <c r="AG409" s="63" t="n"/>
      <c r="AH409" s="63" t="n"/>
      <c r="AI409" s="63" t="n"/>
      <c r="AJ409" s="63" t="n"/>
      <c r="AK409" s="73" t="n">
        <v>-46.25</v>
      </c>
      <c r="AL409" s="72" t="n">
        <v>-9.69</v>
      </c>
      <c r="AM409" s="72" t="n">
        <v>-40.48</v>
      </c>
      <c r="AN409" s="72" t="n">
        <v>-46.69</v>
      </c>
      <c r="AO409" s="72" t="n">
        <v>-46.97</v>
      </c>
      <c r="AP409" s="72" t="n">
        <v>-3.5</v>
      </c>
      <c r="AQ409" s="72" t="n">
        <v>-0.82</v>
      </c>
      <c r="AR409" s="72" t="n">
        <v>-1.34</v>
      </c>
      <c r="AS409" s="72" t="n">
        <v>79.53</v>
      </c>
      <c r="AT409" s="72" t="n">
        <v>-44.11</v>
      </c>
      <c r="AU409" s="72" t="n">
        <v>-48.39</v>
      </c>
      <c r="AV409" s="72" t="n">
        <v>-9.859999999999999</v>
      </c>
      <c r="AW409" s="72" t="n">
        <v>-3.42</v>
      </c>
      <c r="AX409" s="72" t="n">
        <v>1.42</v>
      </c>
      <c r="AY409" s="72" t="n">
        <v>2.08</v>
      </c>
      <c r="AZ409" s="63" t="inlineStr">
        <is>
          <t>China Biotech ETF (HS biotech proxy)</t>
        </is>
      </c>
      <c r="BA409" s="72" t="n">
        <v>-3.69</v>
      </c>
      <c r="BB409" s="64" t="inlineStr">
        <is>
          <t>2026-08-28</t>
        </is>
      </c>
      <c r="BC409" s="65" t="n">
        <v>0</v>
      </c>
      <c r="BD409" s="68" t="n">
        <v>-128.6</v>
      </c>
      <c r="BE409" s="63" t="inlineStr">
        <is>
          <t>N</t>
        </is>
      </c>
      <c r="BF409" s="63" t="inlineStr">
        <is>
          <t>n/m</t>
        </is>
      </c>
      <c r="BG409" s="74" t="n"/>
      <c r="BH409" s="74" t="n"/>
      <c r="BI409" s="63" t="inlineStr">
        <is>
          <t>pre-rev</t>
        </is>
      </c>
      <c r="BJ409" s="75">
        <f>IF('BBG Verify'!S409="","not filed — run on terminal",'BBG Verify'!S409)</f>
        <v/>
      </c>
      <c r="BK409" s="76" t="inlineStr">
        <is>
          <t>N</t>
        </is>
      </c>
      <c r="BL409" s="77">
        <f>IF('BBG Verify'!K409="","not filed — run on terminal",'BBG Verify'!K409)</f>
        <v/>
      </c>
      <c r="BM409" s="63" t="inlineStr">
        <is>
          <t>N/A</t>
        </is>
      </c>
      <c r="BN409" s="63" t="inlineStr">
        <is>
          <t>N/A</t>
        </is>
      </c>
      <c r="BO409" s="63" t="inlineStr">
        <is>
          <t>N/A</t>
        </is>
      </c>
      <c r="BP409" s="63" t="inlineStr">
        <is>
          <t>N/A</t>
        </is>
      </c>
      <c r="BQ409" s="63" t="inlineStr">
        <is>
          <t>N/A</t>
        </is>
      </c>
      <c r="BR409" s="63" t="inlineStr">
        <is>
          <t>N/A</t>
        </is>
      </c>
      <c r="BS409" s="76" t="n"/>
      <c r="BT409" s="63" t="inlineStr">
        <is>
          <t>ICBC International Capital Limited</t>
        </is>
      </c>
      <c r="BU409" s="63" t="inlineStr">
        <is>
          <t>ABCI Securities Company Limited; Beta International Securities Limited; CCB International Capital Limited; China Merchants Securities (HK) Company Limited; China Securities (International) Corporate Finance Company Limited; Haitong International Securities Company Limited</t>
        </is>
      </c>
      <c r="BV409" s="63" t="inlineStr">
        <is>
          <t>ABCI Securities Company Limited; Beta International Securities Limited; CCB International Capital Limited; China Merchants Securities (HK) Company Limited; China Securities (International) Corporate Finance Company Limited; Haitong International Securities Company Limited; ICBC International Securities Limited; Livermore Holdings Limited; SPDB International Capital Limited; Shanxi Securities International Limited; Tiger Brokers (HK) Global Limited; TFI Securities and Futures Limited</t>
        </is>
      </c>
      <c r="BW409" s="63" t="n"/>
      <c r="BX409" s="78">
        <f>HYPERLINK("https://www1.hkexnews.hk/listedco/listconews/sehk/2025/1222/2025122201726.pdf","allotment")</f>
        <v/>
      </c>
      <c r="BY409" s="63" t="n"/>
      <c r="BZ409" s="76" t="n"/>
      <c r="CA409" s="63" t="inlineStr">
        <is>
          <t>P/E: n/m — loss-making at IPO (use P/S) · greenshoe: no over-allotment option in the offer structure · price range: fixed-price offering (no indicative range) · range low: cap-only pricing — the filing publishes a Maximum Offer Price and no indicative floor · A/H: no A-share listing · sponsor: English name not in the filing text; AAStocks 保薦人 shown · cornerstone %: cornerstone aggregate not stated in the filing · greenshoe size: no over-allotment option in the offer structure · P/S: no revenue line in the filed P&amp;L (pre-revenue issuer) — no sales multiple can exist; the cell reads pre-rev, not blank · stabilising manager: no over-allotment option in the offer structure, so no stabilising manager is appointed · filing links: no prospectus document returned by the HKEX per-stock search for this code — the allotment announcement is linked beside it · grey market: no grey-market headline on file for this deal — AAStocks publishes one per listing but keeps only recent items on the stock's news page, and no public archive of past evening sessions exists; captured from this run onward · eff free float: not computable as a % of cap — cornerstone % unknown</t>
        </is>
      </c>
    </row>
    <row r="410" ht="15" customHeight="1">
      <c r="A410" s="62" t="inlineStr">
        <is>
          <t>3317</t>
        </is>
      </c>
      <c r="B410" s="63" t="inlineStr">
        <is>
          <t>XUNCE</t>
        </is>
      </c>
      <c r="C410" s="63" t="inlineStr">
        <is>
          <t>迅策</t>
        </is>
      </c>
      <c r="D410" s="63" t="inlineStr">
        <is>
          <t>Tech/AI</t>
        </is>
      </c>
      <c r="E410" s="63" t="inlineStr">
        <is>
          <t>SaaS / enterprise software</t>
        </is>
      </c>
      <c r="F410" s="63" t="inlineStr">
        <is>
          <t>Application Software</t>
        </is>
      </c>
      <c r="G410" s="63" t="inlineStr">
        <is>
          <t>Standard</t>
        </is>
      </c>
      <c r="H410" s="64" t="n">
        <v>46021</v>
      </c>
      <c r="I410" s="65" t="n">
        <v>1080</v>
      </c>
      <c r="J410" s="63" t="inlineStr">
        <is>
          <t>gross (stated)</t>
        </is>
      </c>
      <c r="K410" s="66" t="n">
        <v>48</v>
      </c>
      <c r="L410" s="66" t="n">
        <v>55</v>
      </c>
      <c r="M410" s="66" t="n">
        <v>48</v>
      </c>
      <c r="N410" s="63" t="inlineStr">
        <is>
          <t>N</t>
        </is>
      </c>
      <c r="O410" s="67" t="n">
        <v>87.3</v>
      </c>
      <c r="P410" s="67" t="n">
        <v>0</v>
      </c>
      <c r="Q410" s="68" t="n">
        <v>17460.7</v>
      </c>
      <c r="R410" s="63" t="inlineStr">
        <is>
          <t>aastocks:上市市值 at the struck price</t>
        </is>
      </c>
      <c r="S410" s="69" t="n">
        <v>7.24</v>
      </c>
      <c r="T410" s="70" t="n">
        <v>3.1</v>
      </c>
      <c r="U410" s="71" t="n">
        <v>28.5</v>
      </c>
      <c r="V410" s="68" t="n">
        <v>772.2</v>
      </c>
      <c r="W410" s="68" t="n">
        <v>16087500</v>
      </c>
      <c r="X410" s="67" t="n">
        <v>4.42</v>
      </c>
      <c r="Y410" s="63" t="inlineStr">
        <is>
          <t>Mr. Wang Wei; Ms. Pan Honglan; Relationship SinoMedia; Relationship WSH</t>
        </is>
      </c>
      <c r="Z410" s="63" t="inlineStr">
        <is>
          <t>mr-wang;ms-pan;relationship</t>
        </is>
      </c>
      <c r="AA410" s="67" t="n">
        <v>15</v>
      </c>
      <c r="AB410" s="72" t="n"/>
      <c r="AC410" s="66" t="n"/>
      <c r="AD410" s="72" t="n"/>
      <c r="AE410" s="63" t="n"/>
      <c r="AF410" s="63" t="n"/>
      <c r="AG410" s="63" t="inlineStr">
        <is>
          <t>partial</t>
        </is>
      </c>
      <c r="AH410" s="63" t="inlineStr">
        <is>
          <t>2026-01-22</t>
        </is>
      </c>
      <c r="AI410" s="63" t="inlineStr">
        <is>
          <t>Guotai Junan Securities</t>
        </is>
      </c>
      <c r="AJ410" s="63" t="inlineStr">
        <is>
          <t>Guotai Junan</t>
        </is>
      </c>
      <c r="AK410" s="73" t="n">
        <v>1.04</v>
      </c>
      <c r="AL410" s="72" t="n">
        <v>0.04</v>
      </c>
      <c r="AM410" s="72" t="n">
        <v>1</v>
      </c>
      <c r="AN410" s="72" t="n">
        <v>1.54</v>
      </c>
      <c r="AO410" s="72" t="n">
        <v>23.75</v>
      </c>
      <c r="AP410" s="72" t="n">
        <v>313.54</v>
      </c>
      <c r="AQ410" s="72" t="n">
        <v>0.49</v>
      </c>
      <c r="AR410" s="72" t="n">
        <v>22.48</v>
      </c>
      <c r="AS410" s="72" t="n">
        <v>309.28</v>
      </c>
      <c r="AT410" s="72" t="n">
        <v>-3.21</v>
      </c>
      <c r="AU410" s="72" t="n">
        <v>17.42</v>
      </c>
      <c r="AV410" s="72" t="n">
        <v>328.44</v>
      </c>
      <c r="AW410" s="72" t="n">
        <v>17.91</v>
      </c>
      <c r="AX410" s="72" t="n">
        <v>6.33</v>
      </c>
      <c r="AY410" s="72" t="n">
        <v>4.57</v>
      </c>
      <c r="AZ410" s="63" t="inlineStr">
        <is>
          <t>HSTECH (Hang Seng TECH ETF)</t>
        </is>
      </c>
      <c r="BA410" s="72" t="n">
        <v>164.79</v>
      </c>
      <c r="BB410" s="64" t="inlineStr">
        <is>
          <t>2026-08-28</t>
        </is>
      </c>
      <c r="BC410" s="65" t="n">
        <v>695.2</v>
      </c>
      <c r="BD410" s="68" t="n">
        <v>-107.6</v>
      </c>
      <c r="BE410" s="63" t="inlineStr">
        <is>
          <t>N</t>
        </is>
      </c>
      <c r="BF410" s="63" t="inlineStr">
        <is>
          <t>n/m</t>
        </is>
      </c>
      <c r="BG410" s="74" t="n"/>
      <c r="BH410" s="74" t="n"/>
      <c r="BI410" s="74" t="n">
        <v>25.1</v>
      </c>
      <c r="BJ410" s="75">
        <f>IF('BBG Verify'!S410="","not filed — run on terminal",'BBG Verify'!S410)</f>
        <v/>
      </c>
      <c r="BK410" s="76" t="inlineStr">
        <is>
          <t>N</t>
        </is>
      </c>
      <c r="BL410" s="77">
        <f>IF('BBG Verify'!K410="","not filed — run on terminal",'BBG Verify'!K410)</f>
        <v/>
      </c>
      <c r="BM410" s="63" t="inlineStr">
        <is>
          <t>N/A</t>
        </is>
      </c>
      <c r="BN410" s="63" t="inlineStr">
        <is>
          <t>N/A</t>
        </is>
      </c>
      <c r="BO410" s="63" t="inlineStr">
        <is>
          <t>N/A</t>
        </is>
      </c>
      <c r="BP410" s="63" t="inlineStr">
        <is>
          <t>N/A</t>
        </is>
      </c>
      <c r="BQ410" s="63" t="inlineStr">
        <is>
          <t>N/A</t>
        </is>
      </c>
      <c r="BR410" s="63" t="inlineStr">
        <is>
          <t>N/A</t>
        </is>
      </c>
      <c r="BS410" s="76" t="inlineStr">
        <is>
          <t>Guotai Junan Capital Limited</t>
        </is>
      </c>
      <c r="BT410" s="63" t="inlineStr">
        <is>
          <t>Guotai Junan Capital Limited</t>
        </is>
      </c>
      <c r="BU410" s="63" t="inlineStr">
        <is>
          <t>Guotai Junan Securities (Hong Kong) Limited; Deutsche Bank AG, Hong Kong Branch; Futu Securities International (Hong Kong) Limited; Hong Tai Securities Limited; Orient Securities (Hong Kong) Limited; North Beta International Securities Limited; ICBC International Securities Limited; CCB International Capital Limited; China Galaxy International Securities (Hong Kong) Co., Limited; TradeGo Markets Limited; China Merchants Securities (HK) Co., Limited; ABCI Capital Limited</t>
        </is>
      </c>
      <c r="BV410" s="63" t="inlineStr">
        <is>
          <t>ABCI Securities Company Limited; BOCOM International Securities Limited; CCB International Capital Limited; China Galaxy International Securities (Hong Kong) Company Limited; China Merchants Securities (HK) Company Limited; Deutsche Bank AG, Hong Kong Branch; Futu Securities International (Hong Kong) Limited; Guotai Junan Securities (Hong Kong) Limited; Hong Tai Securities Limited; ICBC International Securities Limited; North Beta International Securities Limited; Orient Securities (Hong Kong) Limited</t>
        </is>
      </c>
      <c r="BW410" s="78">
        <f>HYPERLINK("https://www1.hkexnews.hk/listedco/listconews/sehk/2025/1218/2025121800027.pdf","prospectus")</f>
        <v/>
      </c>
      <c r="BX410" s="78">
        <f>HYPERLINK("https://www1.hkexnews.hk/listedco/listconews/sehk/2025/1229/2025122902057.pdf","allotment")</f>
        <v/>
      </c>
      <c r="BY410" s="78">
        <f>HYPERLINK("https://www1.hkexnews.hk/listedco/listconews/sehk/2026/0123/2026012300001.pdf","stabilisation")</f>
        <v/>
      </c>
      <c r="BZ410" s="76" t="n"/>
      <c r="CA410" s="63" t="inlineStr">
        <is>
          <t>P/E: n/m — loss-making at IPO (use P/S) · A/H: no A-share listing · market cap: estimate from deal size / offer % of enlarged capital disagreed with the published listing cap — published figure adopted · grey market: no grey-market headline on file for this deal — AAStocks publishes one per listing but keeps only recent items on the stock's news page, and no public archive of past evening sessions exists; captured from this run onward</t>
        </is>
      </c>
    </row>
    <row r="411" ht="15" customHeight="1">
      <c r="A411" s="62" t="inlineStr">
        <is>
          <t>2657</t>
        </is>
      </c>
      <c r="B411" s="63" t="inlineStr">
        <is>
          <t>FOREST CABIN</t>
        </is>
      </c>
      <c r="C411" s="63" t="inlineStr">
        <is>
          <t>林清軒</t>
        </is>
      </c>
      <c r="D411" s="63" t="inlineStr">
        <is>
          <t>Consumer</t>
        </is>
      </c>
      <c r="E411" s="63" t="inlineStr">
        <is>
          <t>Beauty / personal care</t>
        </is>
      </c>
      <c r="F411" s="63" t="inlineStr">
        <is>
          <t>Beauty &amp; Toiletries Products and Services</t>
        </is>
      </c>
      <c r="G411" s="63" t="inlineStr">
        <is>
          <t>Standard</t>
        </is>
      </c>
      <c r="H411" s="64" t="n">
        <v>46021</v>
      </c>
      <c r="I411" s="65" t="n">
        <v>1086.2</v>
      </c>
      <c r="J411" s="63" t="inlineStr">
        <is>
          <t>gross (stated)</t>
        </is>
      </c>
      <c r="K411" s="66" t="n"/>
      <c r="L411" s="66" t="n">
        <v>77.77</v>
      </c>
      <c r="M411" s="66" t="n">
        <v>77.77</v>
      </c>
      <c r="N411" s="63" t="inlineStr">
        <is>
          <t>Y</t>
        </is>
      </c>
      <c r="O411" s="67" t="n">
        <v>100</v>
      </c>
      <c r="P411" s="67" t="n"/>
      <c r="Q411" s="68" t="n">
        <v>10861.7</v>
      </c>
      <c r="R411" s="63" t="inlineStr">
        <is>
          <t>prospectus:stated market capitalisation</t>
        </is>
      </c>
      <c r="S411" s="69" t="n">
        <v>1235.81</v>
      </c>
      <c r="T411" s="70" t="n">
        <v>19.79</v>
      </c>
      <c r="U411" s="71" t="n">
        <v>87.3</v>
      </c>
      <c r="V411" s="68" t="n">
        <v>137.95</v>
      </c>
      <c r="W411" s="68" t="n">
        <v>1773739</v>
      </c>
      <c r="X411" s="67" t="n">
        <v>1.27</v>
      </c>
      <c r="Y411" s="63" t="inlineStr">
        <is>
          <t>Loyal Valley Capital; SynerSuccess Capital Ltd; Mega Prime Development Limited; Tulip Fund, L.P; Dajia Life Insurance Co., Ltd; Mr. Sun Laichun; FIL Investment; Duckling Fund, L.P; SS Capital; Yield Royal Investment; Mr. Sun Fuchun –; Youngor Fashion –; Toutoushidao –</t>
        </is>
      </c>
      <c r="Z411" s="63" t="inlineStr">
        <is>
          <t>loyal;synersuccess;mega;tulip;dajia;mr-sun;fil;duckling;ss;yield;youngor;toutoushidao</t>
        </is>
      </c>
      <c r="AA411" s="67" t="n">
        <v>11.33</v>
      </c>
      <c r="AB411" s="72" t="n"/>
      <c r="AC411" s="66" t="n"/>
      <c r="AD411" s="72" t="n"/>
      <c r="AE411" s="63" t="n"/>
      <c r="AF411" s="63" t="n"/>
      <c r="AG411" s="63" t="n"/>
      <c r="AH411" s="63" t="inlineStr">
        <is>
          <t>2026-01-22</t>
        </is>
      </c>
      <c r="AI411" s="63" t="inlineStr">
        <is>
          <t>CLSA Limited</t>
        </is>
      </c>
      <c r="AJ411" s="63" t="inlineStr">
        <is>
          <t>CLSA</t>
        </is>
      </c>
      <c r="AK411" s="73" t="n">
        <v>9.300000000000001</v>
      </c>
      <c r="AL411" s="72" t="n">
        <v>9.300000000000001</v>
      </c>
      <c r="AM411" s="72" t="n">
        <v>0</v>
      </c>
      <c r="AN411" s="72" t="n">
        <v>6.72</v>
      </c>
      <c r="AO411" s="72" t="n">
        <v>3.64</v>
      </c>
      <c r="AP411" s="72" t="n">
        <v>-18.28</v>
      </c>
      <c r="AQ411" s="72" t="n">
        <v>-2.36</v>
      </c>
      <c r="AR411" s="72" t="n">
        <v>-5.18</v>
      </c>
      <c r="AS411" s="72" t="n">
        <v>-25.23</v>
      </c>
      <c r="AT411" s="72" t="n">
        <v>3.48</v>
      </c>
      <c r="AU411" s="72" t="n">
        <v>-4.82</v>
      </c>
      <c r="AV411" s="72" t="n">
        <v>-11.47</v>
      </c>
      <c r="AW411" s="72" t="n">
        <v>-12.41</v>
      </c>
      <c r="AX411" s="72" t="n">
        <v>8.460000000000001</v>
      </c>
      <c r="AY411" s="72" t="n">
        <v>7.23</v>
      </c>
      <c r="AZ411" s="63" t="inlineStr">
        <is>
          <t>Hang Seng Commerce &amp; Industry sub-index</t>
        </is>
      </c>
      <c r="BA411" s="72" t="n">
        <v>-24.14</v>
      </c>
      <c r="BB411" s="64" t="inlineStr">
        <is>
          <t>2026-08-28</t>
        </is>
      </c>
      <c r="BC411" s="65" t="n">
        <v>1330.6</v>
      </c>
      <c r="BD411" s="68" t="n">
        <v>-0.1</v>
      </c>
      <c r="BE411" s="63" t="inlineStr">
        <is>
          <t>N</t>
        </is>
      </c>
      <c r="BF411" s="63" t="inlineStr">
        <is>
          <t>n/m</t>
        </is>
      </c>
      <c r="BG411" s="74" t="n">
        <v>6.8</v>
      </c>
      <c r="BH411" s="74" t="n">
        <v>5.5</v>
      </c>
      <c r="BI411" s="74" t="n">
        <v>8.199999999999999</v>
      </c>
      <c r="BJ411" s="75">
        <f>IF('BBG Verify'!S411="","not filed — run on terminal",'BBG Verify'!S411)</f>
        <v/>
      </c>
      <c r="BK411" s="76" t="inlineStr">
        <is>
          <t>N</t>
        </is>
      </c>
      <c r="BL411" s="77">
        <f>IF('BBG Verify'!K411="","not filed — run on terminal",'BBG Verify'!K411)</f>
        <v/>
      </c>
      <c r="BM411" s="63" t="inlineStr">
        <is>
          <t>N/A</t>
        </is>
      </c>
      <c r="BN411" s="63" t="inlineStr">
        <is>
          <t>N/A</t>
        </is>
      </c>
      <c r="BO411" s="63" t="inlineStr">
        <is>
          <t>N/A</t>
        </is>
      </c>
      <c r="BP411" s="63" t="inlineStr">
        <is>
          <t>N/A</t>
        </is>
      </c>
      <c r="BQ411" s="63" t="inlineStr">
        <is>
          <t>N/A</t>
        </is>
      </c>
      <c r="BR411" s="63" t="inlineStr">
        <is>
          <t>N/A</t>
        </is>
      </c>
      <c r="BS411" s="76" t="inlineStr">
        <is>
          <t>CITIC Securities (Hong Kong) Limited; Huatai Financial Holdings (Hong Kong) Limited</t>
        </is>
      </c>
      <c r="BT411" s="63" t="inlineStr">
        <is>
          <t>Huatai Financial Holdings (Hong Kong) Limited; CITIC Securities (Hong Kong) Limited</t>
        </is>
      </c>
      <c r="BU411" s="63" t="inlineStr">
        <is>
          <t>CLSA Limited; Huatai Financial Holdings (Hong Kong) Limited; Futu Securities International (Hong Kong) Limited; Tiger Brokers (HK) Global Limited</t>
        </is>
      </c>
      <c r="BV411" s="63" t="inlineStr">
        <is>
          <t>CLSA Limited; Futu Securities International (Hong Kong) Limited; Huatai Financial Holdings (Hong Kong) Limited; Tiger Brokers (HK) Global Limited</t>
        </is>
      </c>
      <c r="BW411" s="78">
        <f>HYPERLINK("https://www1.hkexnews.hk/listedco/listconews/sehk/2025/1218/2025121800221.pdf","prospectus")</f>
        <v/>
      </c>
      <c r="BX411" s="78">
        <f>HYPERLINK("https://www1.hkexnews.hk/listedco/listconews/sehk/2025/1229/2025122902127.pdf","allotment")</f>
        <v/>
      </c>
      <c r="BY411" s="78">
        <f>HYPERLINK("https://www1.hkexnews.hk/listedco/listconews/sehk/2026/0122/2026012201117.pdf","stabilisation")</f>
        <v/>
      </c>
      <c r="BZ411" s="76" t="n"/>
      <c r="CA411" s="63" t="inlineStr">
        <is>
          <t>P/E: n/m — loss-making at IPO (use P/S) · greenshoe: end-of-stabilisation notice not located · range low: cap-only pricing — the filing publishes a Maximum Offer Price and no indicative floor · A/H: no A-share listing · grey market: no grey-market headline on file for this deal — AAStocks publishes one per listing but keeps only recent items on the stock's news page, and no public archive of past evening sessions exists; captured from this run onward · stabilisation notice: notice located and linked; its outcome wording is not one of the recognised forms, so the over-allotment result is left blank rather than guessed</t>
        </is>
      </c>
    </row>
    <row r="412" ht="15" customHeight="1">
      <c r="A412" s="62" t="inlineStr">
        <is>
          <t>2671</t>
        </is>
      </c>
      <c r="B412" s="63" t="inlineStr">
        <is>
          <t>USAS BUILDING</t>
        </is>
      </c>
      <c r="C412" s="63" t="inlineStr">
        <is>
          <t>美聯股份</t>
        </is>
      </c>
      <c r="D412" s="63" t="inlineStr">
        <is>
          <t>Industrials</t>
        </is>
      </c>
      <c r="E412" s="63" t="inlineStr">
        <is>
          <t>Construction / engineering</t>
        </is>
      </c>
      <c r="F412" s="63" t="inlineStr">
        <is>
          <t>Building Construction</t>
        </is>
      </c>
      <c r="G412" s="63" t="inlineStr">
        <is>
          <t>Standard</t>
        </is>
      </c>
      <c r="H412" s="64" t="n">
        <v>46021</v>
      </c>
      <c r="I412" s="65" t="n">
        <v>174.7</v>
      </c>
      <c r="J412" s="63" t="inlineStr">
        <is>
          <t>gross (price x shares)</t>
        </is>
      </c>
      <c r="K412" s="66" t="n">
        <v>7.1</v>
      </c>
      <c r="L412" s="66" t="n">
        <v>9.16</v>
      </c>
      <c r="M412" s="66" t="n">
        <v>7.1</v>
      </c>
      <c r="N412" s="63" t="inlineStr">
        <is>
          <t>N</t>
        </is>
      </c>
      <c r="O412" s="67" t="n">
        <v>77.5</v>
      </c>
      <c r="P412" s="67" t="n">
        <v>0</v>
      </c>
      <c r="Q412" s="68" t="n">
        <v>855.9</v>
      </c>
      <c r="R412" s="63" t="inlineStr">
        <is>
          <t>derived:price x shares upon listing</t>
        </is>
      </c>
      <c r="S412" s="69" t="n">
        <v>146.25</v>
      </c>
      <c r="T412" s="70" t="n">
        <v>1.48</v>
      </c>
      <c r="U412" s="71" t="n">
        <v>22.9</v>
      </c>
      <c r="V412" s="68" t="n">
        <v>134.69</v>
      </c>
      <c r="W412" s="68" t="n">
        <v>18966600</v>
      </c>
      <c r="X412" s="67" t="n">
        <v>15.74</v>
      </c>
      <c r="Y412" s="63" t="inlineStr">
        <is>
          <t>Colorful Cloud; Tiny Jade; Mr. Wu Xing Hua; Logic Selective</t>
        </is>
      </c>
      <c r="Z412" s="63" t="inlineStr">
        <is>
          <t>colorful;tiny;mr-wu;logic</t>
        </is>
      </c>
      <c r="AA412" s="67" t="n">
        <v>14.4</v>
      </c>
      <c r="AB412" s="72" t="n">
        <v>13.7</v>
      </c>
      <c r="AC412" s="66" t="n">
        <v>8.07</v>
      </c>
      <c r="AD412" s="72" t="n">
        <v>-5.36</v>
      </c>
      <c r="AE412" s="63" t="inlineStr">
        <is>
          <t>Y</t>
        </is>
      </c>
      <c r="AF412" s="63" t="inlineStr">
        <is>
          <t>2025-12-29</t>
        </is>
      </c>
      <c r="AG412" s="63" t="n"/>
      <c r="AH412" s="63" t="n"/>
      <c r="AI412" s="63" t="n"/>
      <c r="AJ412" s="63" t="n"/>
      <c r="AK412" s="73" t="n">
        <v>7.61</v>
      </c>
      <c r="AL412" s="72" t="n">
        <v>15.63</v>
      </c>
      <c r="AM412" s="72" t="n">
        <v>-6.94</v>
      </c>
      <c r="AN412" s="72" t="n">
        <v>4.23</v>
      </c>
      <c r="AO412" s="72" t="n">
        <v>-29.58</v>
      </c>
      <c r="AP412" s="72" t="n">
        <v>-42.25</v>
      </c>
      <c r="AQ412" s="72" t="n">
        <v>-3.14</v>
      </c>
      <c r="AR412" s="72" t="n">
        <v>-34.56</v>
      </c>
      <c r="AS412" s="72" t="n">
        <v>-46.33</v>
      </c>
      <c r="AT412" s="72" t="n">
        <v>0.99</v>
      </c>
      <c r="AU412" s="72" t="n">
        <v>-38.04</v>
      </c>
      <c r="AV412" s="72" t="n">
        <v>-35.44</v>
      </c>
      <c r="AW412" s="72" t="n">
        <v>-41.79</v>
      </c>
      <c r="AX412" s="72" t="n">
        <v>8.460000000000001</v>
      </c>
      <c r="AY412" s="72" t="n">
        <v>7.23</v>
      </c>
      <c r="AZ412" s="63" t="inlineStr">
        <is>
          <t>Hang Seng Commerce &amp; Industry sub-index</t>
        </is>
      </c>
      <c r="BA412" s="72" t="n">
        <v>-29.58</v>
      </c>
      <c r="BB412" s="64" t="inlineStr">
        <is>
          <t>2026-08-28</t>
        </is>
      </c>
      <c r="BC412" s="65" t="n"/>
      <c r="BD412" s="68" t="n"/>
      <c r="BE412" s="63" t="inlineStr">
        <is>
          <t>Y</t>
        </is>
      </c>
      <c r="BF412" s="74" t="n">
        <v>5.4</v>
      </c>
      <c r="BG412" s="74" t="n">
        <v>5.4</v>
      </c>
      <c r="BH412" s="74" t="n">
        <v>6.3</v>
      </c>
      <c r="BI412" s="74" t="n"/>
      <c r="BJ412" s="75">
        <f>IF('BBG Verify'!S412="","not filed — run on terminal",'BBG Verify'!S412)</f>
        <v/>
      </c>
      <c r="BK412" s="76" t="inlineStr">
        <is>
          <t>N</t>
        </is>
      </c>
      <c r="BL412" s="77">
        <f>IF('BBG Verify'!K412="","not filed — run on terminal",'BBG Verify'!K412)</f>
        <v/>
      </c>
      <c r="BM412" s="63" t="inlineStr">
        <is>
          <t>N/A</t>
        </is>
      </c>
      <c r="BN412" s="63" t="inlineStr">
        <is>
          <t>N/A</t>
        </is>
      </c>
      <c r="BO412" s="63" t="inlineStr">
        <is>
          <t>N/A</t>
        </is>
      </c>
      <c r="BP412" s="63" t="inlineStr">
        <is>
          <t>N/A</t>
        </is>
      </c>
      <c r="BQ412" s="63" t="inlineStr">
        <is>
          <t>N/A</t>
        </is>
      </c>
      <c r="BR412" s="63" t="inlineStr">
        <is>
          <t>N/A</t>
        </is>
      </c>
      <c r="BS412" s="76" t="inlineStr">
        <is>
          <t>Shenwan Hongyuan Capital (H.K.) Limited</t>
        </is>
      </c>
      <c r="BT412" s="63" t="inlineStr">
        <is>
          <t>Shenwan Hongyuan Capital (H.K.) Limited</t>
        </is>
      </c>
      <c r="BU412" s="63" t="inlineStr">
        <is>
          <t>Shenwan Hongyuan Securities (H.K.) Limited; ABCI Capital Limited; BOCI Asia Limited; Patrons Securities Limited; SPDB International Capital Limited; TradeGo Markets Limited</t>
        </is>
      </c>
      <c r="BV412" s="63" t="inlineStr">
        <is>
          <t>ABCI Securities Company Limited; BOCI Asia Limited; Patrons Securities Limited; Shenwan Hongyuan Securities (H.K.) Limited; SPDB International Capital Limited; TradeGo Markets Limited</t>
        </is>
      </c>
      <c r="BW412" s="78">
        <f>HYPERLINK("https://www1.hkexnews.hk/listedco/listconews/sehk/2025/1218/2025121800035.pdf","prospectus")</f>
        <v/>
      </c>
      <c r="BX412" s="78">
        <f>HYPERLINK("https://www1.hkexnews.hk/listedco/listconews/sehk/2025/1229/2025122902215.pdf","allotment")</f>
        <v/>
      </c>
      <c r="BY412" s="63" t="n"/>
      <c r="BZ412" s="76" t="n"/>
      <c r="CA412" s="63" t="inlineStr">
        <is>
          <t>P/E: from Bloomberg (trailing-12m EPS at listing) — the prospectus-FY multiple was not derivable · greenshoe: end-of-stabilisation notice not located · A/H: no A-share listing · P/S: revenue not extractable · stabilising manager: the filing states no stabilising manager will be appointed — a filed fact, not an extraction gap (allotment announcement: 'no stabilizing manager will be appointed' stated in the filing) · financials rejected: latest-FY net income (HK$77.9m) exceeds revenue (HK$1.7m) — the extracted pair is inconsistent, so both figures and the multiples derived from them are withheld</t>
        </is>
      </c>
    </row>
    <row r="413" ht="15" customHeight="1">
      <c r="A413" s="62" t="inlineStr">
        <is>
          <t>3696</t>
        </is>
      </c>
      <c r="B413" s="63" t="inlineStr">
        <is>
          <t>INSILICO</t>
        </is>
      </c>
      <c r="C413" s="63" t="inlineStr">
        <is>
          <t>英矽智能</t>
        </is>
      </c>
      <c r="D413" s="63" t="inlineStr">
        <is>
          <t>Tech/AI</t>
        </is>
      </c>
      <c r="E413" s="63" t="inlineStr">
        <is>
          <t>AI application / agent software</t>
        </is>
      </c>
      <c r="F413" s="63" t="inlineStr">
        <is>
          <t>Biotechnology - Pharmaceuticals</t>
        </is>
      </c>
      <c r="G413" s="63" t="inlineStr">
        <is>
          <t>Standard</t>
        </is>
      </c>
      <c r="H413" s="64" t="n">
        <v>46021</v>
      </c>
      <c r="I413" s="65" t="n">
        <v>2277.3</v>
      </c>
      <c r="J413" s="63" t="inlineStr">
        <is>
          <t>gross (stated)</t>
        </is>
      </c>
      <c r="K413" s="66" t="n"/>
      <c r="L413" s="66" t="n">
        <v>24.05</v>
      </c>
      <c r="M413" s="66" t="n">
        <v>24.05</v>
      </c>
      <c r="N413" s="63" t="inlineStr">
        <is>
          <t>Y</t>
        </is>
      </c>
      <c r="O413" s="67" t="n">
        <v>100</v>
      </c>
      <c r="P413" s="67" t="n"/>
      <c r="Q413" s="68" t="n">
        <v>13406</v>
      </c>
      <c r="R413" s="63" t="inlineStr">
        <is>
          <t>prospectus:stated market capitalisation</t>
        </is>
      </c>
      <c r="S413" s="69" t="n">
        <v>1427.37</v>
      </c>
      <c r="T413" s="70" t="n">
        <v>26.27</v>
      </c>
      <c r="U413" s="71" t="n">
        <v>39.29</v>
      </c>
      <c r="V413" s="68" t="n">
        <v>1382.55</v>
      </c>
      <c r="W413" s="68" t="n">
        <v>57486603</v>
      </c>
      <c r="X413" s="67" t="n">
        <v>10.31</v>
      </c>
      <c r="Y413" s="63" t="inlineStr">
        <is>
          <t>Tencent; Oaktree; Schroders; China AMC; E Fund Management Co., Ltd; Fullgoal Fund; Harvest; Taikang Life; Infini; Taibai Investments Pte. Ltd; UBS AM Singapore</t>
        </is>
      </c>
      <c r="Z413" s="63" t="inlineStr">
        <is>
          <t>tencent;oaktree;schroders;amc;fund-management;fullgoal;harvest;taikang;infini;taibai;ubs</t>
        </is>
      </c>
      <c r="AA413" s="67" t="n">
        <v>15</v>
      </c>
      <c r="AB413" s="72" t="n"/>
      <c r="AC413" s="66" t="n"/>
      <c r="AD413" s="72" t="n"/>
      <c r="AE413" s="63" t="n"/>
      <c r="AF413" s="63" t="n"/>
      <c r="AG413" s="63" t="inlineStr">
        <is>
          <t>full</t>
        </is>
      </c>
      <c r="AH413" s="63" t="inlineStr">
        <is>
          <t>2026-01-22</t>
        </is>
      </c>
      <c r="AI413" s="63" t="inlineStr">
        <is>
          <t>Morgan Stanley Asia Limited</t>
        </is>
      </c>
      <c r="AJ413" s="63" t="inlineStr">
        <is>
          <t>Morgan Stanley</t>
        </is>
      </c>
      <c r="AK413" s="73" t="n">
        <v>24.66</v>
      </c>
      <c r="AL413" s="72" t="n">
        <v>45.53</v>
      </c>
      <c r="AM413" s="72" t="n">
        <v>-14.34</v>
      </c>
      <c r="AN413" s="72" t="n">
        <v>68.40000000000001</v>
      </c>
      <c r="AO413" s="72" t="n">
        <v>172.35</v>
      </c>
      <c r="AP413" s="72" t="n">
        <v>138.05</v>
      </c>
      <c r="AQ413" s="72" t="n">
        <v>35.09</v>
      </c>
      <c r="AR413" s="72" t="n">
        <v>118.47</v>
      </c>
      <c r="AS413" s="72" t="n">
        <v>90.95999999999999</v>
      </c>
      <c r="AT413" s="72" t="n">
        <v>63.65</v>
      </c>
      <c r="AU413" s="72" t="n">
        <v>166.02</v>
      </c>
      <c r="AV413" s="72" t="n">
        <v>152.95</v>
      </c>
      <c r="AW413" s="72" t="n">
        <v>113.9</v>
      </c>
      <c r="AX413" s="72" t="n">
        <v>6.33</v>
      </c>
      <c r="AY413" s="72" t="n">
        <v>4.57</v>
      </c>
      <c r="AZ413" s="63" t="inlineStr">
        <is>
          <t>HSTECH (Hang Seng TECH ETF)</t>
        </is>
      </c>
      <c r="BA413" s="72" t="n">
        <v>92.52</v>
      </c>
      <c r="BB413" s="64" t="inlineStr">
        <is>
          <t>2026-08-28</t>
        </is>
      </c>
      <c r="BC413" s="65" t="n">
        <v>669.5</v>
      </c>
      <c r="BD413" s="68" t="n">
        <v>-133.3</v>
      </c>
      <c r="BE413" s="63" t="inlineStr">
        <is>
          <t>N</t>
        </is>
      </c>
      <c r="BF413" s="63" t="inlineStr">
        <is>
          <t>n/m</t>
        </is>
      </c>
      <c r="BG413" s="74" t="n"/>
      <c r="BH413" s="74" t="n"/>
      <c r="BI413" s="74" t="n">
        <v>20</v>
      </c>
      <c r="BJ413" s="75">
        <f>IF('BBG Verify'!S413="","not filed — run on terminal",'BBG Verify'!S413)</f>
        <v/>
      </c>
      <c r="BK413" s="76" t="inlineStr">
        <is>
          <t>N</t>
        </is>
      </c>
      <c r="BL413" s="77">
        <f>IF('BBG Verify'!K413="","not filed — run on terminal",'BBG Verify'!K413)</f>
        <v/>
      </c>
      <c r="BM413" s="63" t="inlineStr">
        <is>
          <t>N/A</t>
        </is>
      </c>
      <c r="BN413" s="63" t="inlineStr">
        <is>
          <t>N/A</t>
        </is>
      </c>
      <c r="BO413" s="63" t="inlineStr">
        <is>
          <t>N/A</t>
        </is>
      </c>
      <c r="BP413" s="63" t="inlineStr">
        <is>
          <t>N/A</t>
        </is>
      </c>
      <c r="BQ413" s="63" t="inlineStr">
        <is>
          <t>N/A</t>
        </is>
      </c>
      <c r="BR413" s="63" t="inlineStr">
        <is>
          <t>N/A</t>
        </is>
      </c>
      <c r="BS413" s="76" t="inlineStr">
        <is>
          <t>Morgan Stanley Asia Limited; China International Capital Corporation Hong Kong Securities Limited; GF Capital (Hong Kong) Limited</t>
        </is>
      </c>
      <c r="BT413" s="63" t="inlineStr">
        <is>
          <t>China International Capital Corporation Hong Kong Securities Limited; Morgan Stanley Asia Limited; GF Capital (Hong Kong) Limited</t>
        </is>
      </c>
      <c r="BU413" s="63" t="inlineStr">
        <is>
          <t>Morgan Stanley Asia Limited; GF Securities (Hong Kong) Brokerage Limited; BNP Paribas Securities (Asia) Limited; Sinolink Securities (Hong Kong) Company Limited; BOCI Asia Limited</t>
        </is>
      </c>
      <c r="BV413" s="63" t="inlineStr">
        <is>
          <t>BNP Paribas Securities (Asia) Limited; BOCI Asia Limited; China International Capital Corporation Hong Kong Securities Limited; GF Securities (Hong Kong) Brokerage Limited; Morgan Stanley Asia Limited; Sinolink Securities (Hong Kong) Company Limited</t>
        </is>
      </c>
      <c r="BW413" s="78">
        <f>HYPERLINK("https://www1.hkexnews.hk/listedco/listconews/sehk/2025/1218/2025121800031.pdf","prospectus")</f>
        <v/>
      </c>
      <c r="BX413" s="78">
        <f>HYPERLINK("https://www1.hkexnews.hk/listedco/listconews/sehk/2025/1229/2025122902395.pdf","allotment")</f>
        <v/>
      </c>
      <c r="BY413" s="78">
        <f>HYPERLINK("https://www1.hkexnews.hk/listedco/listconews/sehk/2026/0122/2026012201223.pdf","stabilisation")</f>
        <v/>
      </c>
      <c r="BZ413" s="76" t="n"/>
      <c r="CA413" s="63" t="inlineStr">
        <is>
          <t>P/E: n/m — loss-making at IPO (use P/S) · range low: cap-only pricing — the filing publishes a Maximum Offer Price and no indicative floor · A/H: no A-share listing · grey market: no grey-market headline on file for this deal — AAStocks publishes one per listing but keeps only recent items on the stock's news page, and no public archive of past evening sessions exists; captured from this run onward</t>
        </is>
      </c>
    </row>
    <row r="414" ht="15" customHeight="1">
      <c r="A414" s="62" t="inlineStr">
        <is>
          <t>6651</t>
        </is>
      </c>
      <c r="B414" s="63" t="inlineStr">
        <is>
          <t>51WORLD</t>
        </is>
      </c>
      <c r="C414" s="63" t="inlineStr">
        <is>
          <t>五一視界</t>
        </is>
      </c>
      <c r="D414" s="63" t="inlineStr">
        <is>
          <t>Tech/AI</t>
        </is>
      </c>
      <c r="E414" s="63" t="inlineStr">
        <is>
          <t>SaaS / enterprise software</t>
        </is>
      </c>
      <c r="F414" s="63" t="inlineStr">
        <is>
          <t>Advanced hardware and software</t>
        </is>
      </c>
      <c r="G414" s="63" t="inlineStr">
        <is>
          <t>Standard</t>
        </is>
      </c>
      <c r="H414" s="64" t="n">
        <v>46021</v>
      </c>
      <c r="I414" s="65" t="n">
        <v>731.3</v>
      </c>
      <c r="J414" s="63" t="inlineStr">
        <is>
          <t>gross (stated)</t>
        </is>
      </c>
      <c r="K414" s="66" t="n"/>
      <c r="L414" s="66" t="n">
        <v>30.5</v>
      </c>
      <c r="M414" s="66" t="n">
        <v>30.5</v>
      </c>
      <c r="N414" s="63" t="inlineStr">
        <is>
          <t>Y</t>
        </is>
      </c>
      <c r="O414" s="67" t="n">
        <v>100</v>
      </c>
      <c r="P414" s="67" t="n"/>
      <c r="Q414" s="68" t="n">
        <v>12393.9</v>
      </c>
      <c r="R414" s="63" t="inlineStr">
        <is>
          <t>derived:price x shares upon listing</t>
        </is>
      </c>
      <c r="S414" s="69" t="n">
        <v>256.01</v>
      </c>
      <c r="T414" s="70" t="n">
        <v>2.6</v>
      </c>
      <c r="U414" s="71" t="n"/>
      <c r="V414" s="68" t="n"/>
      <c r="W414" s="68" t="n"/>
      <c r="X414" s="67" t="n"/>
      <c r="Y414" s="63" t="inlineStr">
        <is>
          <t>Mr. Li Yi</t>
        </is>
      </c>
      <c r="Z414" s="63" t="inlineStr">
        <is>
          <t>mr-li</t>
        </is>
      </c>
      <c r="AA414" s="67" t="n">
        <v>16.3</v>
      </c>
      <c r="AB414" s="72" t="n"/>
      <c r="AC414" s="66" t="n"/>
      <c r="AD414" s="72" t="n"/>
      <c r="AE414" s="63" t="n"/>
      <c r="AF414" s="63" t="n"/>
      <c r="AG414" s="63" t="inlineStr">
        <is>
          <t>lapsed (no over-allocation)</t>
        </is>
      </c>
      <c r="AH414" s="63" t="n"/>
      <c r="AI414" s="63" t="inlineStr">
        <is>
          <t>China International Capital Corporation Hong Kong Securities Limited 19 DEFINITIONS</t>
        </is>
      </c>
      <c r="AJ414" s="63" t="inlineStr">
        <is>
          <t>China International</t>
        </is>
      </c>
      <c r="AK414" s="73" t="n">
        <v>29.9</v>
      </c>
      <c r="AL414" s="72" t="n">
        <v>14.75</v>
      </c>
      <c r="AM414" s="72" t="n">
        <v>13.2</v>
      </c>
      <c r="AN414" s="72" t="n">
        <v>51.48</v>
      </c>
      <c r="AO414" s="72" t="n">
        <v>212.46</v>
      </c>
      <c r="AP414" s="72" t="n">
        <v>18.82</v>
      </c>
      <c r="AQ414" s="72" t="n">
        <v>16.61</v>
      </c>
      <c r="AR414" s="72" t="n">
        <v>140.54</v>
      </c>
      <c r="AS414" s="72" t="n">
        <v>-8.529999999999999</v>
      </c>
      <c r="AT414" s="72" t="n">
        <v>46.73</v>
      </c>
      <c r="AU414" s="72" t="n">
        <v>206.13</v>
      </c>
      <c r="AV414" s="72" t="n">
        <v>33.72</v>
      </c>
      <c r="AW414" s="72" t="n">
        <v>135.97</v>
      </c>
      <c r="AX414" s="72" t="n">
        <v>6.33</v>
      </c>
      <c r="AY414" s="72" t="n">
        <v>4.57</v>
      </c>
      <c r="AZ414" s="63" t="inlineStr">
        <is>
          <t>HSTECH (Hang Seng TECH ETF)</t>
        </is>
      </c>
      <c r="BA414" s="72" t="n">
        <v>112.46</v>
      </c>
      <c r="BB414" s="64" t="inlineStr">
        <is>
          <t>2026-08-28</t>
        </is>
      </c>
      <c r="BC414" s="65" t="n">
        <v>316.1</v>
      </c>
      <c r="BD414" s="68" t="n">
        <v>-86.90000000000001</v>
      </c>
      <c r="BE414" s="63" t="inlineStr">
        <is>
          <t>N</t>
        </is>
      </c>
      <c r="BF414" s="63" t="inlineStr">
        <is>
          <t>n/m</t>
        </is>
      </c>
      <c r="BG414" s="74" t="n"/>
      <c r="BH414" s="74" t="n"/>
      <c r="BI414" s="74" t="n">
        <v>39.2</v>
      </c>
      <c r="BJ414" s="75">
        <f>IF('BBG Verify'!S414="","not filed — run on terminal",'BBG Verify'!S414)</f>
        <v/>
      </c>
      <c r="BK414" s="76" t="inlineStr">
        <is>
          <t>N</t>
        </is>
      </c>
      <c r="BL414" s="77">
        <f>IF('BBG Verify'!K414="","not filed — run on terminal",'BBG Verify'!K414)</f>
        <v/>
      </c>
      <c r="BM414" s="63" t="inlineStr">
        <is>
          <t>N/A</t>
        </is>
      </c>
      <c r="BN414" s="63" t="inlineStr">
        <is>
          <t>N/A</t>
        </is>
      </c>
      <c r="BO414" s="63" t="inlineStr">
        <is>
          <t>N/A</t>
        </is>
      </c>
      <c r="BP414" s="63" t="inlineStr">
        <is>
          <t>N/A</t>
        </is>
      </c>
      <c r="BQ414" s="63" t="inlineStr">
        <is>
          <t>N/A</t>
        </is>
      </c>
      <c r="BR414" s="63" t="inlineStr">
        <is>
          <t>N/A</t>
        </is>
      </c>
      <c r="BS414" s="76" t="inlineStr">
        <is>
          <t>and Sponsor-OCs China International Capital Corporation Hong Kong Securities Limited; Huatai Financial Holdings (Hong Kong) Limited</t>
        </is>
      </c>
      <c r="BT414" s="63" t="inlineStr">
        <is>
          <t>China International Capital Corporation Hong Kong Securities Limited; Huatai Financial Holdings (Hong Kong) Limited</t>
        </is>
      </c>
      <c r="BU414" s="63" t="inlineStr">
        <is>
          <t>China International Capital Corporation Hong Kong Securities Limited; CMB International Capital Limited; China Securities (International) Corporate Finance Company Limited; Futu Securities International (Hong Kong) Limited; Valuable Capital Limited; BOCI Asia Limited; ICBC International Securities Limited; SPDB International Capital Limited; DIRECTORS, SUPERVISORS AND PARTIES INVOLVED IN THE GLOBAL OFFERING ABCI Capital Limited; CMBC Securities Company Limited; CCB International Capital Limited</t>
        </is>
      </c>
      <c r="BV414" s="63" t="inlineStr">
        <is>
          <t>ABCI Securities Company Limited; BOCI Asia Limited; CCB International Capital Limited; China International Capital Corporation Hong Kong Securities Limited; CMBC Securities Company Limited; CMB International Capital Limited; China Securities (International) Corporate Finance Company Limited; Futu Securities International (Hong Kong) Limited; Huatai Financial Holdings (Hong Kong) Limited; ICBC International Securities Limited; SPDB International Capital Limited; Valuable Capital Limited</t>
        </is>
      </c>
      <c r="BW414" s="78">
        <f>HYPERLINK("https://www1.hkexnews.hk/listedco/listconews/sehk/2025/1218/2025121800029.pdf","prospectus")</f>
        <v/>
      </c>
      <c r="BX414" s="78">
        <f>HYPERLINK("https://www1.hkexnews.hk/listedco/listconews/sehk/2025/1229/2025122902393.pdf","allotment")</f>
        <v/>
      </c>
      <c r="BY414" s="78">
        <f>HYPERLINK("https://www1.hkexnews.hk/listedco/listconews/sehk/2026/0122/2026012200344.pdf","stabilisation")</f>
        <v/>
      </c>
      <c r="BZ414" s="76" t="n"/>
      <c r="CA414" s="63" t="inlineStr">
        <is>
          <t>P/E: n/m — loss-making at IPO (use P/S) · greenshoe: over-allotment outcome already published, and the allotment announcement does not state the stabilisation expiry in a parsable form — the expiry no longer matters once resolved · range low: cap-only pricing — the filing publishes a Maximum Offer Price and no indicative floor · A/H: no A-share listing · market cap: prospectus 'market capitalisation' line rejected — it is the listing-rule threshold, not the issuer's figure ("otment Option is not exercised). Therefore, as the expected market capitalization of our Company is expected t") · cornerstone %: cornerstone aggregate not stated in the filing · grey market: no grey-market headline on file for this deal — AAStocks publishes one per listing but keeps only recent items on the stock's news page, and no public archive of past evening sessions exists; captured from this run onward · eff free float: not computable as a % of cap — cornerstone % unknown</t>
        </is>
      </c>
    </row>
    <row r="415" ht="15" customHeight="1">
      <c r="A415" s="62" t="inlineStr">
        <is>
          <t>6600</t>
        </is>
      </c>
      <c r="B415" s="63" t="inlineStr">
        <is>
          <t>ONEROBOTICS</t>
        </is>
      </c>
      <c r="C415" s="63" t="inlineStr">
        <is>
          <t>臥安機器人</t>
        </is>
      </c>
      <c r="D415" s="63" t="inlineStr">
        <is>
          <t>Tech/AI</t>
        </is>
      </c>
      <c r="E415" s="63" t="inlineStr">
        <is>
          <t>Robotics &amp; autonomous driving</t>
        </is>
      </c>
      <c r="F415" s="63" t="inlineStr">
        <is>
          <t>Consumer Electronics</t>
        </is>
      </c>
      <c r="G415" s="63" t="inlineStr">
        <is>
          <t>Standard</t>
        </is>
      </c>
      <c r="H415" s="64" t="n">
        <v>46021</v>
      </c>
      <c r="I415" s="65" t="n">
        <v>1640.01</v>
      </c>
      <c r="J415" s="63" t="inlineStr">
        <is>
          <t>gross (stated)</t>
        </is>
      </c>
      <c r="K415" s="66" t="n"/>
      <c r="L415" s="66" t="n">
        <v>73.8</v>
      </c>
      <c r="M415" s="66" t="n">
        <v>73.8</v>
      </c>
      <c r="N415" s="63" t="inlineStr">
        <is>
          <t>Y</t>
        </is>
      </c>
      <c r="O415" s="67" t="n">
        <v>100</v>
      </c>
      <c r="P415" s="67" t="n"/>
      <c r="Q415" s="68" t="n">
        <v>16400</v>
      </c>
      <c r="R415" s="63" t="inlineStr">
        <is>
          <t>derived:price x shares upon listing</t>
        </is>
      </c>
      <c r="S415" s="69" t="n">
        <v>254.5</v>
      </c>
      <c r="T415" s="70" t="n">
        <v>8.9</v>
      </c>
      <c r="U415" s="71" t="n"/>
      <c r="V415" s="68" t="n"/>
      <c r="W415" s="68" t="n"/>
      <c r="X415" s="67" t="n"/>
      <c r="Y415" s="63" t="inlineStr">
        <is>
          <t>HHLR Advisors, Ltd; Infini Global Master Fund; Hunter Ventures Limited; Sage Partners Master Fund; Huatai Capital Investment Limited; Li Zhichen / 李志晨; Pan Yang / 潘陽; Brizan Ventures V LP; HACF, L.P</t>
        </is>
      </c>
      <c r="Z415" s="63" t="inlineStr">
        <is>
          <t>hhlr;infini;hunter;sage;huatai;li-zhichen;pan-yang;brizan;hacf</t>
        </is>
      </c>
      <c r="AA415" s="67" t="n">
        <v>15</v>
      </c>
      <c r="AB415" s="72" t="n"/>
      <c r="AC415" s="66" t="n"/>
      <c r="AD415" s="72" t="n"/>
      <c r="AE415" s="63" t="n"/>
      <c r="AF415" s="63" t="n"/>
      <c r="AG415" s="63" t="n"/>
      <c r="AH415" s="63" t="n"/>
      <c r="AI415" s="63" t="n"/>
      <c r="AJ415" s="63" t="n"/>
      <c r="AK415" s="73" t="n">
        <v>0.07000000000000001</v>
      </c>
      <c r="AL415" s="72" t="n">
        <v>0</v>
      </c>
      <c r="AM415" s="72" t="n">
        <v>0.07000000000000001</v>
      </c>
      <c r="AN415" s="72" t="n">
        <v>40.24</v>
      </c>
      <c r="AO415" s="72" t="n">
        <v>129.27</v>
      </c>
      <c r="AP415" s="72" t="n">
        <v>33.4</v>
      </c>
      <c r="AQ415" s="72" t="n">
        <v>40.14</v>
      </c>
      <c r="AR415" s="72" t="n">
        <v>129.11</v>
      </c>
      <c r="AS415" s="72" t="n">
        <v>33.31</v>
      </c>
      <c r="AT415" s="72" t="n">
        <v>35.49</v>
      </c>
      <c r="AU415" s="72" t="n">
        <v>122.94</v>
      </c>
      <c r="AV415" s="72" t="n">
        <v>48.3</v>
      </c>
      <c r="AW415" s="72" t="n">
        <v>124.54</v>
      </c>
      <c r="AX415" s="72" t="n">
        <v>6.33</v>
      </c>
      <c r="AY415" s="72" t="n">
        <v>4.57</v>
      </c>
      <c r="AZ415" s="63" t="inlineStr">
        <is>
          <t>HSTECH (Hang Seng TECH ETF)</t>
        </is>
      </c>
      <c r="BA415" s="72" t="n">
        <v>-27.71</v>
      </c>
      <c r="BB415" s="64" t="inlineStr">
        <is>
          <t>2026-08-28</t>
        </is>
      </c>
      <c r="BC415" s="65" t="n">
        <v>990.6</v>
      </c>
      <c r="BD415" s="68" t="n">
        <v>-27.1</v>
      </c>
      <c r="BE415" s="63" t="inlineStr">
        <is>
          <t>N</t>
        </is>
      </c>
      <c r="BF415" s="63" t="inlineStr">
        <is>
          <t>n/m</t>
        </is>
      </c>
      <c r="BG415" s="74" t="n"/>
      <c r="BH415" s="74" t="n"/>
      <c r="BI415" s="74" t="n">
        <v>16.6</v>
      </c>
      <c r="BJ415" s="75">
        <f>IF('BBG Verify'!S415="","not filed — run on terminal",'BBG Verify'!S415)</f>
        <v/>
      </c>
      <c r="BK415" s="76" t="inlineStr">
        <is>
          <t>N</t>
        </is>
      </c>
      <c r="BL415" s="77">
        <f>IF('BBG Verify'!K415="","not filed — run on terminal",'BBG Verify'!K415)</f>
        <v/>
      </c>
      <c r="BM415" s="63" t="inlineStr">
        <is>
          <t>N/A</t>
        </is>
      </c>
      <c r="BN415" s="63" t="inlineStr">
        <is>
          <t>N/A</t>
        </is>
      </c>
      <c r="BO415" s="63" t="inlineStr">
        <is>
          <t>N/A</t>
        </is>
      </c>
      <c r="BP415" s="63" t="inlineStr">
        <is>
          <t>N/A</t>
        </is>
      </c>
      <c r="BQ415" s="63" t="inlineStr">
        <is>
          <t>N/A</t>
        </is>
      </c>
      <c r="BR415" s="63" t="inlineStr">
        <is>
          <t>N/A</t>
        </is>
      </c>
      <c r="BS415" s="76" t="n"/>
      <c r="BT415" s="63" t="inlineStr">
        <is>
          <t>Huatai Financial Holdings (Hong Kong) Limited; Guotai Junan Capital Limited</t>
        </is>
      </c>
      <c r="BU415" s="63" t="inlineStr">
        <is>
          <t>BOCI Asia Limited; China Galaxy International Securities (Hong Kong) Company Limited; Futu Securities International (Hong Kong) Limited; Guotai Junan Securities (Hong Kong) Limited; Huatai Financial Holdings (Hong Kong) Limited</t>
        </is>
      </c>
      <c r="BV415" s="63" t="inlineStr">
        <is>
          <t>BOCI Asia Limited; China Galaxy International Securities (Hong Kong) Company Limited; Futu Securities International (Hong Kong) Limited; Guotai Junan Securities (Hong Kong) Limited; Huatai Financial Holdings (Hong Kong) Limited</t>
        </is>
      </c>
      <c r="BW415" s="63" t="n"/>
      <c r="BX415" s="78">
        <f>HYPERLINK("https://www1.hkexnews.hk/listedco/listconews/sehk/2025/1229/2025122902399.pdf","allotment")</f>
        <v/>
      </c>
      <c r="BY415" s="63" t="n"/>
      <c r="BZ415" s="76" t="n"/>
      <c r="CA415" s="63" t="inlineStr">
        <is>
          <t>P/E: n/m — loss-making at IPO (use P/S) · greenshoe: end-of-stabilisation notice not located · price range: fixed-price offering (no indicative range) · range low: cap-only pricing — the filing publishes a Maximum Offer Price and no indicative floor · A/H: no A-share listing · sponsor: English name not in the filing text; AAStocks 保薦人 shown · cornerstone %: cornerstone aggregate not stated in the filing · stabilising manager: neither the allotment announcement's cover sentence nor the prospectus definitions glossary names one in a form the parser reads — not inferred from the sponsor · filing links: no prospectus document returned by the HKEX per-stock search for this code — the allotment announcement is linked beside it · grey market: no grey-market headline on file for this deal — AAStocks publishes one per listing but keeps only recent items on the stock's news page, and no public archive of past evening sessions exists; captured from this run onward · eff free float: not computable as a % of cap — cornerstone % unknown</t>
        </is>
      </c>
    </row>
    <row r="416" ht="15" customHeight="1">
      <c r="A416" s="62" t="inlineStr">
        <is>
          <t>6082</t>
        </is>
      </c>
      <c r="B416" s="63" t="inlineStr">
        <is>
          <t>BIREN TECH</t>
        </is>
      </c>
      <c r="C416" s="63" t="inlineStr">
        <is>
          <t>壁仞科技</t>
        </is>
      </c>
      <c r="D416" s="63" t="inlineStr">
        <is>
          <t>Tech/AI</t>
        </is>
      </c>
      <c r="E416" s="63" t="inlineStr">
        <is>
          <t>AI chips &amp; semis</t>
        </is>
      </c>
      <c r="F416" s="63" t="inlineStr">
        <is>
          <t>Advanced hardware and software</t>
        </is>
      </c>
      <c r="G416" s="63" t="inlineStr">
        <is>
          <t>Standard</t>
        </is>
      </c>
      <c r="H416" s="64" t="n">
        <v>46024</v>
      </c>
      <c r="I416" s="65" t="n">
        <v>5583</v>
      </c>
      <c r="J416" s="63" t="inlineStr">
        <is>
          <t>gross (stated)</t>
        </is>
      </c>
      <c r="K416" s="66" t="n">
        <v>17</v>
      </c>
      <c r="L416" s="66" t="n">
        <v>19.6</v>
      </c>
      <c r="M416" s="66" t="n">
        <v>19.6</v>
      </c>
      <c r="N416" s="63" t="inlineStr">
        <is>
          <t>Y</t>
        </is>
      </c>
      <c r="O416" s="67" t="n">
        <v>100</v>
      </c>
      <c r="P416" s="67" t="n">
        <v>100</v>
      </c>
      <c r="Q416" s="68" t="n">
        <v>40103</v>
      </c>
      <c r="R416" s="63" t="inlineStr">
        <is>
          <t>prospectus:stated market capitalisation</t>
        </is>
      </c>
      <c r="S416" s="69" t="n">
        <v>2347.53</v>
      </c>
      <c r="T416" s="70" t="n">
        <v>25.95</v>
      </c>
      <c r="U416" s="71" t="n">
        <v>51.93</v>
      </c>
      <c r="V416" s="68" t="n">
        <v>2683.75</v>
      </c>
      <c r="W416" s="68" t="n">
        <v>136925761</v>
      </c>
      <c r="X416" s="67" t="n">
        <v>6.69</v>
      </c>
      <c r="Y416" s="63" t="inlineStr">
        <is>
          <t>Qiming Venture Partners; Aspex Master Fund; Hao Great China Focus Fund; Master Fund, L.P; 有限公司)</t>
        </is>
      </c>
      <c r="Z416" s="63" t="inlineStr">
        <is>
          <t>qiming;aspex;hao;master-fund;有限公司</t>
        </is>
      </c>
      <c r="AA416" s="67" t="n">
        <v>15</v>
      </c>
      <c r="AB416" s="72" t="n"/>
      <c r="AC416" s="66" t="n"/>
      <c r="AD416" s="72" t="n"/>
      <c r="AE416" s="63" t="n"/>
      <c r="AF416" s="63" t="n"/>
      <c r="AG416" s="63" t="inlineStr">
        <is>
          <t>full</t>
        </is>
      </c>
      <c r="AH416" s="63" t="inlineStr">
        <is>
          <t>2026-01-28</t>
        </is>
      </c>
      <c r="AI416" s="63" t="inlineStr">
        <is>
          <t>China International Capital Corporation Hong Kong Securities Limited</t>
        </is>
      </c>
      <c r="AJ416" s="63" t="inlineStr">
        <is>
          <t>China International</t>
        </is>
      </c>
      <c r="AK416" s="73" t="n">
        <v>75.81999999999999</v>
      </c>
      <c r="AL416" s="72" t="n">
        <v>82.14</v>
      </c>
      <c r="AM416" s="72" t="n">
        <v>-3.47</v>
      </c>
      <c r="AN416" s="72" t="n">
        <v>73.78</v>
      </c>
      <c r="AO416" s="72" t="n">
        <v>67.34999999999999</v>
      </c>
      <c r="AP416" s="72" t="n">
        <v>75.31</v>
      </c>
      <c r="AQ416" s="72" t="n">
        <v>-1.16</v>
      </c>
      <c r="AR416" s="72" t="n">
        <v>-4.82</v>
      </c>
      <c r="AS416" s="72" t="n">
        <v>-0.29</v>
      </c>
      <c r="AT416" s="72" t="n">
        <v>70.53</v>
      </c>
      <c r="AU416" s="72" t="n">
        <v>67.16</v>
      </c>
      <c r="AV416" s="72" t="n">
        <v>87.84999999999999</v>
      </c>
      <c r="AW416" s="72" t="n">
        <v>-1.08</v>
      </c>
      <c r="AX416" s="72" t="n">
        <v>0.19</v>
      </c>
      <c r="AY416" s="72" t="n">
        <v>-3.74</v>
      </c>
      <c r="AZ416" s="63" t="inlineStr">
        <is>
          <t>HSTECH (Hang Seng TECH ETF)</t>
        </is>
      </c>
      <c r="BA416" s="72" t="n">
        <v>100.2</v>
      </c>
      <c r="BB416" s="64" t="inlineStr">
        <is>
          <t>2026-08-28</t>
        </is>
      </c>
      <c r="BC416" s="65" t="n">
        <v>370.5</v>
      </c>
      <c r="BD416" s="68" t="n">
        <v>-1691.9</v>
      </c>
      <c r="BE416" s="63" t="inlineStr">
        <is>
          <t>N</t>
        </is>
      </c>
      <c r="BF416" s="63" t="inlineStr">
        <is>
          <t>n/m</t>
        </is>
      </c>
      <c r="BG416" s="74" t="n"/>
      <c r="BH416" s="74" t="n"/>
      <c r="BI416" s="74" t="n">
        <v>108.2</v>
      </c>
      <c r="BJ416" s="75">
        <f>IF('BBG Verify'!S416="","not filed — run on terminal",'BBG Verify'!S416)</f>
        <v/>
      </c>
      <c r="BK416" s="76" t="inlineStr">
        <is>
          <t>N</t>
        </is>
      </c>
      <c r="BL416" s="77">
        <f>IF('BBG Verify'!K416="","not filed — run on terminal",'BBG Verify'!K416)</f>
        <v/>
      </c>
      <c r="BM416" s="63" t="inlineStr">
        <is>
          <t>N/A</t>
        </is>
      </c>
      <c r="BN416" s="63" t="inlineStr">
        <is>
          <t>N/A</t>
        </is>
      </c>
      <c r="BO416" s="63" t="inlineStr">
        <is>
          <t>N/A</t>
        </is>
      </c>
      <c r="BP416" s="63" t="inlineStr">
        <is>
          <t>N/A</t>
        </is>
      </c>
      <c r="BQ416" s="63" t="inlineStr">
        <is>
          <t>N/A</t>
        </is>
      </c>
      <c r="BR416" s="63" t="inlineStr">
        <is>
          <t>N/A</t>
        </is>
      </c>
      <c r="BS416" s="76" t="inlineStr">
        <is>
          <t>China International Capital Corporation Hong Kong Securities Limited; Ping An of China Capital (Hong Kong) Company Limited; BOCI Asia Limited; Ping An Securities (Hong Kong) Company Limited</t>
        </is>
      </c>
      <c r="BT416" s="63" t="inlineStr">
        <is>
          <t>China International Capital Corporation Hong Kong Securities Limited; Ping An of China Capital (Hong Kong) Company Limited; BOCI Asia Limited</t>
        </is>
      </c>
      <c r="BU416" s="63" t="inlineStr">
        <is>
          <t>China International Capital Corporation Hong Kong Securities Limited; Ping An Securities (Hong Kong) Company Limited; BOCI Asia Limited; CLSA Limited; Orient Securities (Hong Kong) Limited; Futu Securities International (Hong Kong) Limited; SPDB International Capital Limited</t>
        </is>
      </c>
      <c r="BV416" s="63" t="inlineStr">
        <is>
          <t>BOCI Asia Limited; China International Capital Corporation Hong Kong Securities Limited; CLSA Limited; Futu Securities International (Hong Kong) Limited; Orient Securities (Hong Kong) Limited; Ping An Securities (Hong Kong) Company Limited; SPDB International Capital Limited</t>
        </is>
      </c>
      <c r="BW416" s="78">
        <f>HYPERLINK("https://www1.hkexnews.hk/listedco/listconews/sehk/2025/1222/2025122200019.pdf","prospectus")</f>
        <v/>
      </c>
      <c r="BX416" s="78">
        <f>HYPERLINK("https://www1.hkexnews.hk/listedco/listconews/sehk/2025/1231/2025123102783.pdf","allotment")</f>
        <v/>
      </c>
      <c r="BY416" s="78">
        <f>HYPERLINK("https://www1.hkexnews.hk/listedco/listconews/sehk/2026/0128/2026012800772.pdf","stabilisation")</f>
        <v/>
      </c>
      <c r="BZ416" s="76" t="n"/>
      <c r="CA416" s="63" t="inlineStr">
        <is>
          <t>P/E: n/m — loss-making at IPO (use P/S) · A/H: no A line; closest listed proxy {'code': '688256.SS', 'name': 'Cambricon Technologies', 'rationale': "The A-share domestic AI-compute (GPGPU/accelerator) pure-play — closest proxy for Biren's training-GPU story."} · grey market: no grey-market headline on file for this deal — AAStocks publishes one per listing but keeps only recent items on the stock's news page, and no public archive of past evening sessions exists; captured from this run onward</t>
        </is>
      </c>
    </row>
    <row r="417" ht="15" customHeight="1">
      <c r="A417" s="62" t="inlineStr">
        <is>
          <t>2513</t>
        </is>
      </c>
      <c r="B417" s="63" t="inlineStr">
        <is>
          <t>KNOWLEDGE ATLAS</t>
        </is>
      </c>
      <c r="C417" s="63" t="inlineStr">
        <is>
          <t>智譜</t>
        </is>
      </c>
      <c r="D417" s="63" t="inlineStr">
        <is>
          <t>Tech/AI</t>
        </is>
      </c>
      <c r="E417" s="63" t="inlineStr">
        <is>
          <t>LLM / foundation model</t>
        </is>
      </c>
      <c r="F417" s="63" t="inlineStr">
        <is>
          <t>Next-generation information technology</t>
        </is>
      </c>
      <c r="G417" s="63" t="inlineStr">
        <is>
          <t>Standard</t>
        </is>
      </c>
      <c r="H417" s="64" t="n">
        <v>46030</v>
      </c>
      <c r="I417" s="65" t="n">
        <v>4348.1</v>
      </c>
      <c r="J417" s="63" t="inlineStr">
        <is>
          <t>gross (stated)</t>
        </is>
      </c>
      <c r="K417" s="66" t="n"/>
      <c r="L417" s="66" t="n">
        <v>116.2</v>
      </c>
      <c r="M417" s="66" t="n">
        <v>116.2</v>
      </c>
      <c r="N417" s="63" t="inlineStr">
        <is>
          <t>Y</t>
        </is>
      </c>
      <c r="O417" s="67" t="n">
        <v>100</v>
      </c>
      <c r="P417" s="67" t="n"/>
      <c r="Q417" s="68" t="n">
        <v>45058</v>
      </c>
      <c r="R417" s="63" t="inlineStr">
        <is>
          <t>derived:deal size / offer % of enlarged capital</t>
        </is>
      </c>
      <c r="S417" s="69" t="n">
        <v>1159.46</v>
      </c>
      <c r="T417" s="70" t="n">
        <v>15.28</v>
      </c>
      <c r="U417" s="71" t="n">
        <v>68.63</v>
      </c>
      <c r="V417" s="68" t="n">
        <v>1364</v>
      </c>
      <c r="W417" s="68" t="n">
        <v>11738497</v>
      </c>
      <c r="X417" s="67" t="n">
        <v>3.03</v>
      </c>
      <c r="Y417" s="63" t="inlineStr">
        <is>
          <t>Taikang Life; GF Fund</t>
        </is>
      </c>
      <c r="Z417" s="63" t="inlineStr">
        <is>
          <t>taikang;gf</t>
        </is>
      </c>
      <c r="AA417" s="67" t="n">
        <v>15</v>
      </c>
      <c r="AB417" s="72" t="n"/>
      <c r="AC417" s="66" t="n"/>
      <c r="AD417" s="72" t="n"/>
      <c r="AE417" s="63" t="n"/>
      <c r="AF417" s="63" t="n"/>
      <c r="AG417" s="63" t="inlineStr">
        <is>
          <t>full</t>
        </is>
      </c>
      <c r="AH417" s="63" t="inlineStr">
        <is>
          <t>2026-02-04</t>
        </is>
      </c>
      <c r="AI417" s="63" t="inlineStr">
        <is>
          <t>China International Capital Corporation Hong Kong Securities Limited</t>
        </is>
      </c>
      <c r="AJ417" s="63" t="inlineStr">
        <is>
          <t>China International</t>
        </is>
      </c>
      <c r="AK417" s="73" t="n">
        <v>13.17</v>
      </c>
      <c r="AL417" s="72" t="n">
        <v>3.27</v>
      </c>
      <c r="AM417" s="72" t="n">
        <v>9.59</v>
      </c>
      <c r="AN417" s="72" t="n">
        <v>107.4</v>
      </c>
      <c r="AO417" s="72" t="n">
        <v>74.87</v>
      </c>
      <c r="AP417" s="72" t="n">
        <v>646.13</v>
      </c>
      <c r="AQ417" s="72" t="n">
        <v>83.26000000000001</v>
      </c>
      <c r="AR417" s="72" t="n">
        <v>54.52</v>
      </c>
      <c r="AS417" s="72" t="n">
        <v>559.3</v>
      </c>
      <c r="AT417" s="72" t="n">
        <v>105.98</v>
      </c>
      <c r="AU417" s="72" t="n">
        <v>81.89</v>
      </c>
      <c r="AV417" s="72" t="n">
        <v>660.55</v>
      </c>
      <c r="AW417" s="72" t="n">
        <v>60.37</v>
      </c>
      <c r="AX417" s="72" t="n">
        <v>-7.02</v>
      </c>
      <c r="AY417" s="72" t="n">
        <v>-5.85</v>
      </c>
      <c r="AZ417" s="63" t="inlineStr">
        <is>
          <t>HSTECH (Hang Seng TECH ETF)</t>
        </is>
      </c>
      <c r="BA417" s="72" t="n">
        <v>838.04</v>
      </c>
      <c r="BB417" s="64" t="inlineStr">
        <is>
          <t>2026-08-28</t>
        </is>
      </c>
      <c r="BC417" s="65" t="n">
        <v>343.7</v>
      </c>
      <c r="BD417" s="68" t="n">
        <v>-2110.3</v>
      </c>
      <c r="BE417" s="63" t="inlineStr">
        <is>
          <t>N</t>
        </is>
      </c>
      <c r="BF417" s="63" t="inlineStr">
        <is>
          <t>n/m</t>
        </is>
      </c>
      <c r="BG417" s="74" t="n"/>
      <c r="BH417" s="74" t="n"/>
      <c r="BI417" s="74" t="n">
        <v>131.1</v>
      </c>
      <c r="BJ417" s="75">
        <f>IF('BBG Verify'!S417="","not filed — run on terminal",'BBG Verify'!S417)</f>
        <v/>
      </c>
      <c r="BK417" s="76" t="inlineStr">
        <is>
          <t>N</t>
        </is>
      </c>
      <c r="BL417" s="77">
        <f>IF('BBG Verify'!K417="","not filed — run on terminal",'BBG Verify'!K417)</f>
        <v/>
      </c>
      <c r="BM417" s="63" t="inlineStr">
        <is>
          <t>N/A</t>
        </is>
      </c>
      <c r="BN417" s="63" t="inlineStr">
        <is>
          <t>N/A</t>
        </is>
      </c>
      <c r="BO417" s="63" t="inlineStr">
        <is>
          <t>N/A</t>
        </is>
      </c>
      <c r="BP417" s="63" t="inlineStr">
        <is>
          <t>N/A</t>
        </is>
      </c>
      <c r="BQ417" s="63" t="inlineStr">
        <is>
          <t>N/A</t>
        </is>
      </c>
      <c r="BR417" s="63" t="inlineStr">
        <is>
          <t>N/A</t>
        </is>
      </c>
      <c r="BS417" s="76" t="inlineStr">
        <is>
          <t>CICC</t>
        </is>
      </c>
      <c r="BT417" s="63" t="inlineStr">
        <is>
          <t>China International Capital Corporation Hong Kong Securities Limited</t>
        </is>
      </c>
      <c r="BU417" s="63" t="inlineStr">
        <is>
          <t>Huatai Financial Holdings (Hong Kong) Limited; BOCOM International Securities Limited; Guotai Junan Securities (Hong Kong) Limited; China Merchants Securities (HK) Co., Limited; Futu Securities International (Hong Kong) Limited; Tiger Brokers (HK) Global Limited; SPDB International Capital Limited; Zheshang International Financial Holdings Co., Limited; Riche Bright Securities Limited; UOB Kay Hian (Hong Kong) Limited</t>
        </is>
      </c>
      <c r="BV417" s="63" t="inlineStr">
        <is>
          <t>BOCOM International Securities Limited; China International Capital Corporation Hong Kong Securities Limited; CMB International Capital Limited; China Merchants Securities (HK) Company Limited; Futu Securities International (Hong Kong) Limited; Guotai Junan Securities (Hong Kong) Limited; Huatai Financial Holdings (Hong Kong) Limited; Riche Bright Securities Limited; SPDB International Capital Limited; Tiger Brokers (HK) Global Limited; UOB Kay Hian (Hong Kong) Limited; Zheshang International Financial Holdings Co., Limited</t>
        </is>
      </c>
      <c r="BW417" s="78">
        <f>HYPERLINK("https://www1.hkexnews.hk/listedco/listconews/sehk/2025/1230/2025123000017.pdf","prospectus")</f>
        <v/>
      </c>
      <c r="BX417" s="78">
        <f>HYPERLINK("https://www1.hkexnews.hk/listedco/listconews/sehk/2026/0107/2026010701798.pdf","allotment")</f>
        <v/>
      </c>
      <c r="BY417" s="78">
        <f>HYPERLINK("https://www1.hkexnews.hk/listedco/listconews/sehk/2026/0204/2026020402110.pdf","stabilisation")</f>
        <v/>
      </c>
      <c r="BZ417" s="76" t="n"/>
      <c r="CA417" s="63" t="inlineStr">
        <is>
          <t>P/E: n/m — loss-making at IPO (use P/S) · range low: cap-only pricing — the filing publishes a Maximum Offer Price and no indicative floor · A/H: no A-share listing · grey market: no grey-market headline on file for this deal — AAStocks publishes one per listing but keeps only recent items on the stock's news page, and no public archive of past evening sessions exists; captured from this run onward</t>
        </is>
      </c>
    </row>
    <row r="418" ht="15" customHeight="1">
      <c r="A418" s="62" t="inlineStr">
        <is>
          <t>9903</t>
        </is>
      </c>
      <c r="B418" s="63" t="inlineStr">
        <is>
          <t>ILUVATAR COREX</t>
        </is>
      </c>
      <c r="C418" s="63" t="inlineStr">
        <is>
          <t>天數智芯</t>
        </is>
      </c>
      <c r="D418" s="63" t="inlineStr">
        <is>
          <t>Tech/AI</t>
        </is>
      </c>
      <c r="E418" s="63" t="inlineStr">
        <is>
          <t>AI chips &amp; semis</t>
        </is>
      </c>
      <c r="F418" s="63" t="inlineStr">
        <is>
          <t>Semiconductors &amp; Semiconductor Equipment</t>
        </is>
      </c>
      <c r="G418" s="63" t="inlineStr">
        <is>
          <t>Standard</t>
        </is>
      </c>
      <c r="H418" s="64" t="n">
        <v>46030</v>
      </c>
      <c r="I418" s="65" t="n">
        <v>3677.4</v>
      </c>
      <c r="J418" s="63" t="inlineStr">
        <is>
          <t>gross (stated)</t>
        </is>
      </c>
      <c r="K418" s="66" t="n"/>
      <c r="L418" s="66" t="n">
        <v>144.6</v>
      </c>
      <c r="M418" s="66" t="n">
        <v>144.6</v>
      </c>
      <c r="N418" s="63" t="inlineStr">
        <is>
          <t>Y</t>
        </is>
      </c>
      <c r="O418" s="67" t="n">
        <v>100</v>
      </c>
      <c r="P418" s="67" t="n"/>
      <c r="Q418" s="68" t="n">
        <v>36774.3</v>
      </c>
      <c r="R418" s="63" t="inlineStr">
        <is>
          <t>derived:price x shares upon listing</t>
        </is>
      </c>
      <c r="S418" s="69" t="n">
        <v>414.24</v>
      </c>
      <c r="T418" s="70" t="n">
        <v>10.68</v>
      </c>
      <c r="U418" s="71" t="n">
        <v>43.02</v>
      </c>
      <c r="V418" s="68" t="n">
        <v>2095.38</v>
      </c>
      <c r="W418" s="68" t="n">
        <v>14491040</v>
      </c>
      <c r="X418" s="67" t="n">
        <v>5.7</v>
      </c>
      <c r="Y418" s="63" t="inlineStr">
        <is>
          <t>Wind Sabre Fund SPC; Alphahill Capital Limited; CMB International Capital Limited; XN Mountain International Limited; Huatai Capital; Engine International Technology Co., Limited; Duckling Fund, L.P; DeepRoot Alpha Ltd; China Orient Enhanced Income Fund; China Orient Multi-Strategy Master Fund; CFIG Holdings Limited; York House Investment Limited; Wind Sabre Opportunities Fund SP UBS Asset Management</t>
        </is>
      </c>
      <c r="Z418" s="63" t="inlineStr">
        <is>
          <t>wind;alphahill;cmb;xn;huatai;engine;duckling;deeproot;orient;cfig;york</t>
        </is>
      </c>
      <c r="AA418" s="67" t="n"/>
      <c r="AB418" s="72" t="n"/>
      <c r="AC418" s="66" t="n"/>
      <c r="AD418" s="72" t="n"/>
      <c r="AE418" s="63" t="n"/>
      <c r="AF418" s="63" t="n"/>
      <c r="AG418" s="63" t="n"/>
      <c r="AH418" s="63" t="n"/>
      <c r="AI418" s="63" t="n"/>
      <c r="AJ418" s="63" t="n"/>
      <c r="AK418" s="73" t="n">
        <v>8.44</v>
      </c>
      <c r="AL418" s="72" t="n">
        <v>31.54</v>
      </c>
      <c r="AM418" s="72" t="n">
        <v>-17.56</v>
      </c>
      <c r="AN418" s="72" t="n">
        <v>21.72</v>
      </c>
      <c r="AO418" s="72" t="n">
        <v>14.25</v>
      </c>
      <c r="AP418" s="72" t="n">
        <v>156.57</v>
      </c>
      <c r="AQ418" s="72" t="n">
        <v>12.25</v>
      </c>
      <c r="AR418" s="72" t="n">
        <v>5.36</v>
      </c>
      <c r="AS418" s="72" t="n">
        <v>136.6</v>
      </c>
      <c r="AT418" s="72" t="n">
        <v>20.3</v>
      </c>
      <c r="AU418" s="72" t="n">
        <v>21.27</v>
      </c>
      <c r="AV418" s="72" t="n">
        <v>170.99</v>
      </c>
      <c r="AW418" s="72" t="n">
        <v>11.21</v>
      </c>
      <c r="AX418" s="72" t="n">
        <v>-7.02</v>
      </c>
      <c r="AY418" s="72" t="n">
        <v>-5.85</v>
      </c>
      <c r="AZ418" s="63" t="inlineStr">
        <is>
          <t>HSTECH (Hang Seng TECH ETF)</t>
        </is>
      </c>
      <c r="BA418" s="72" t="n">
        <v>174.41</v>
      </c>
      <c r="BB418" s="64" t="inlineStr">
        <is>
          <t>2026-08-28</t>
        </is>
      </c>
      <c r="BC418" s="65" t="n">
        <v>593.5</v>
      </c>
      <c r="BD418" s="68" t="n">
        <v>-1104</v>
      </c>
      <c r="BE418" s="63" t="inlineStr">
        <is>
          <t>N</t>
        </is>
      </c>
      <c r="BF418" s="63" t="inlineStr">
        <is>
          <t>n/m</t>
        </is>
      </c>
      <c r="BG418" s="74" t="n"/>
      <c r="BH418" s="74" t="n"/>
      <c r="BI418" s="74" t="n">
        <v>62</v>
      </c>
      <c r="BJ418" s="75">
        <f>IF('BBG Verify'!S418="","not filed — run on terminal",'BBG Verify'!S418)</f>
        <v/>
      </c>
      <c r="BK418" s="76" t="inlineStr">
        <is>
          <t>N</t>
        </is>
      </c>
      <c r="BL418" s="77">
        <f>IF('BBG Verify'!K418="","not filed — run on terminal",'BBG Verify'!K418)</f>
        <v/>
      </c>
      <c r="BM418" s="63" t="inlineStr">
        <is>
          <t>N/A</t>
        </is>
      </c>
      <c r="BN418" s="63" t="inlineStr">
        <is>
          <t>N/A</t>
        </is>
      </c>
      <c r="BO418" s="63" t="inlineStr">
        <is>
          <t>N/A</t>
        </is>
      </c>
      <c r="BP418" s="63" t="inlineStr">
        <is>
          <t>N/A</t>
        </is>
      </c>
      <c r="BQ418" s="63" t="inlineStr">
        <is>
          <t>N/A</t>
        </is>
      </c>
      <c r="BR418" s="63" t="inlineStr">
        <is>
          <t>N/A</t>
        </is>
      </c>
      <c r="BS418" s="76" t="inlineStr">
        <is>
          <t>Huatai Financial Holdings (Hong Kong) Limited</t>
        </is>
      </c>
      <c r="BT418" s="63" t="inlineStr">
        <is>
          <t>Huatai Financial Holdings (Hong Kong) Limited</t>
        </is>
      </c>
      <c r="BU418" s="63" t="inlineStr">
        <is>
          <t>Huatai Financial Holdings (Hong Kong) Limited; CMB International Capital Limited; Zhongtai International Securities Limited; Guosen Securities (HK) Brokerage Company, Limited; Bowlea Securities Limited; Carnegie Hill Capital Partners Limited; Star River Securities Limited</t>
        </is>
      </c>
      <c r="BV418" s="63" t="inlineStr">
        <is>
          <t>Bowlea Securities Limited; Carnegie Hill Capital Partners Limited; CMB International Capital Limited; Guosen Securities (HK) Brokerage Company, Limited; Huatai Financial Holdings (Hong Kong) Limited; Star River Securities Limited; Zhongtai International Securities Limited</t>
        </is>
      </c>
      <c r="BW418" s="78">
        <f>HYPERLINK("https://www1.hkexnews.hk/listedco/listconews/sehk/2025/1230/2025123000019.pdf","prospectus")</f>
        <v/>
      </c>
      <c r="BX418" s="78">
        <f>HYPERLINK("https://www1.hkexnews.hk/listedco/listconews/sehk/2026/0107/2026010701802.pdf","allotment")</f>
        <v/>
      </c>
      <c r="BY418" s="63" t="n"/>
      <c r="BZ418" s="76" t="n"/>
      <c r="CA418" s="63" t="inlineStr">
        <is>
          <t>P/E: n/m — loss-making at IPO (use P/S) · greenshoe: no over-allotment option in the offer structure · range low: cap-only pricing — the filing publishes a Maximum Offer Price and no indicative floor · A/H: no A line; closest listed proxy {'code': '688256.SS', 'name': 'Cambricon Technologies', 'rationale': 'Same domestic AI-accelerator substitution theme; Cambricon is the only liquid A pure-play.'} · greenshoe size: no over-allotment option in the offer structure · stabilising manager: no over-allotment option in the offer structure, so no stabilising manager is appointed · grey market: no grey-market headline on file for this deal — AAStocks publishes one per listing but keeps only recent items on the stock's news page, and no public archive of past evening sessions exists; captured from this run onward</t>
        </is>
      </c>
    </row>
    <row r="419" ht="15" customHeight="1">
      <c r="A419" s="62" t="inlineStr">
        <is>
          <t>2675</t>
        </is>
      </c>
      <c r="B419" s="63" t="inlineStr">
        <is>
          <t>EDGE MEDICAL-B</t>
        </is>
      </c>
      <c r="C419" s="63" t="inlineStr">
        <is>
          <t>精鋒醫療－Ｂ</t>
        </is>
      </c>
      <c r="D419" s="63" t="inlineStr">
        <is>
          <t>Healthcare</t>
        </is>
      </c>
      <c r="E419" s="63" t="inlineStr">
        <is>
          <t>Medical devices</t>
        </is>
      </c>
      <c r="F419" s="63" t="inlineStr">
        <is>
          <t>Biotechnology - Medical Devices</t>
        </is>
      </c>
      <c r="G419" s="63" t="inlineStr">
        <is>
          <t>18A</t>
        </is>
      </c>
      <c r="H419" s="64" t="n">
        <v>46030</v>
      </c>
      <c r="I419" s="65" t="n">
        <v>1198.7</v>
      </c>
      <c r="J419" s="63" t="inlineStr">
        <is>
          <t>gross (stated)</t>
        </is>
      </c>
      <c r="K419" s="66" t="n"/>
      <c r="L419" s="66" t="n">
        <v>43.24</v>
      </c>
      <c r="M419" s="66" t="n">
        <v>43.24</v>
      </c>
      <c r="N419" s="63" t="inlineStr">
        <is>
          <t>Y</t>
        </is>
      </c>
      <c r="O419" s="67" t="n">
        <v>100</v>
      </c>
      <c r="P419" s="67" t="n"/>
      <c r="Q419" s="68" t="n">
        <v>16765.1</v>
      </c>
      <c r="R419" s="63" t="inlineStr">
        <is>
          <t>derived:price x shares upon listing</t>
        </is>
      </c>
      <c r="S419" s="69" t="n">
        <v>1091.94</v>
      </c>
      <c r="T419" s="70" t="n">
        <v>25.18</v>
      </c>
      <c r="U419" s="71" t="n">
        <v>48.68</v>
      </c>
      <c r="V419" s="68" t="n">
        <v>615.17</v>
      </c>
      <c r="W419" s="68" t="n">
        <v>14227033</v>
      </c>
      <c r="X419" s="67" t="n">
        <v>3.67</v>
      </c>
      <c r="Y419" s="63" t="inlineStr">
        <is>
          <t>Abu Dhabi Investment Authority; OrbiMed Genesis Master Fund, L.P; Huang River Investment Limited; LYFE Capital Fund IV (Dragon), L.P.; Poly Platinum Enterprises Limited; Mega Prime Development Limited; China Asset Management (Hong Kong) Limited; China Alpha Fund Management (HK) Ltd; Tekful Limited; Integrated Core Strategies (Asia) Pte. Ltd; Sage Partners Master Fund; Panjing Harbourview Investment Fund; Infini Global Master Fund</t>
        </is>
      </c>
      <c r="Z419" s="63" t="inlineStr">
        <is>
          <t>abu;orbimed;huang-river;lyfe;poly;mega;china-asset;alpha;tekful;integrated;sage;panjing;infini</t>
        </is>
      </c>
      <c r="AA419" s="67" t="n">
        <v>15</v>
      </c>
      <c r="AB419" s="72" t="n"/>
      <c r="AC419" s="66" t="n"/>
      <c r="AD419" s="72" t="n"/>
      <c r="AE419" s="63" t="n"/>
      <c r="AF419" s="63" t="n"/>
      <c r="AG419" s="63" t="inlineStr">
        <is>
          <t>full</t>
        </is>
      </c>
      <c r="AH419" s="63" t="n"/>
      <c r="AI419" s="63" t="inlineStr">
        <is>
          <t>Morgan Stanley Asia Limited</t>
        </is>
      </c>
      <c r="AJ419" s="63" t="inlineStr">
        <is>
          <t>Morgan Stanley</t>
        </is>
      </c>
      <c r="AK419" s="73" t="n">
        <v>30.9</v>
      </c>
      <c r="AL419" s="72" t="n">
        <v>36.45</v>
      </c>
      <c r="AM419" s="72" t="n">
        <v>-4.07</v>
      </c>
      <c r="AN419" s="72" t="n">
        <v>55.53</v>
      </c>
      <c r="AO419" s="72" t="n">
        <v>37.72</v>
      </c>
      <c r="AP419" s="72" t="n">
        <v>24.88</v>
      </c>
      <c r="AQ419" s="72" t="n">
        <v>18.82</v>
      </c>
      <c r="AR419" s="72" t="n">
        <v>5.21</v>
      </c>
      <c r="AS419" s="72" t="n">
        <v>-4.6</v>
      </c>
      <c r="AT419" s="72" t="n">
        <v>54.65</v>
      </c>
      <c r="AU419" s="72" t="n">
        <v>44.87</v>
      </c>
      <c r="AV419" s="72" t="n">
        <v>14.69</v>
      </c>
      <c r="AW419" s="72" t="n">
        <v>11.68</v>
      </c>
      <c r="AX419" s="72" t="n">
        <v>-7.15</v>
      </c>
      <c r="AY419" s="72" t="n">
        <v>-6.47</v>
      </c>
      <c r="AZ419" s="63" t="inlineStr">
        <is>
          <t>China Biotech ETF (HS biotech proxy)</t>
        </is>
      </c>
      <c r="BA419" s="72" t="n">
        <v>-16.37</v>
      </c>
      <c r="BB419" s="64" t="inlineStr">
        <is>
          <t>2026-08-28</t>
        </is>
      </c>
      <c r="BC419" s="65" t="n">
        <v>33.3</v>
      </c>
      <c r="BD419" s="68" t="n">
        <v>-145.8</v>
      </c>
      <c r="BE419" s="63" t="inlineStr">
        <is>
          <t>N</t>
        </is>
      </c>
      <c r="BF419" s="63" t="inlineStr">
        <is>
          <t>n/m</t>
        </is>
      </c>
      <c r="BG419" s="74" t="n"/>
      <c r="BH419" s="74" t="n"/>
      <c r="BI419" s="74" t="n">
        <v>503.5</v>
      </c>
      <c r="BJ419" s="75">
        <f>IF('BBG Verify'!S419="","not filed — run on terminal",'BBG Verify'!S419)</f>
        <v/>
      </c>
      <c r="BK419" s="76" t="inlineStr">
        <is>
          <t>N</t>
        </is>
      </c>
      <c r="BL419" s="77">
        <f>IF('BBG Verify'!K419="","not filed — run on terminal",'BBG Verify'!K419)</f>
        <v/>
      </c>
      <c r="BM419" s="63" t="inlineStr">
        <is>
          <t>N/A</t>
        </is>
      </c>
      <c r="BN419" s="63" t="inlineStr">
        <is>
          <t>N/A</t>
        </is>
      </c>
      <c r="BO419" s="63" t="inlineStr">
        <is>
          <t>N/A</t>
        </is>
      </c>
      <c r="BP419" s="63" t="inlineStr">
        <is>
          <t>N/A</t>
        </is>
      </c>
      <c r="BQ419" s="63" t="inlineStr">
        <is>
          <t>N/A</t>
        </is>
      </c>
      <c r="BR419" s="63" t="inlineStr">
        <is>
          <t>N/A</t>
        </is>
      </c>
      <c r="BS419" s="76" t="inlineStr">
        <is>
          <t>Morgan Stanley Asia Limited; GF Capital (Hong Kong) Limited</t>
        </is>
      </c>
      <c r="BT419" s="63" t="inlineStr">
        <is>
          <t>Morgan Stanley Asia Limited; GF Capital (Hong Kong) Limited</t>
        </is>
      </c>
      <c r="BU419" s="63" t="inlineStr">
        <is>
          <t>China International Capital Corporation Hong Kong Securities Limited; CLSA Limited; CMBC Securities Company Limited; GF Securities (Hong Kong) Brokerage Limited; Morgan Stanley Asia Limited</t>
        </is>
      </c>
      <c r="BV419" s="63" t="inlineStr">
        <is>
          <t>China International Capital Corporation Hong Kong Securities Limited; CLSA Limited; CMBC Securities Company Limited; GF Securities (Hong Kong) Brokerage Limited; Morgan Stanley Asia Limited</t>
        </is>
      </c>
      <c r="BW419" s="78">
        <f>HYPERLINK("https://www1.hkexnews.hk/listedco/listconews/sehk/2025/1230/2025123000029.pdf","prospectus")</f>
        <v/>
      </c>
      <c r="BX419" s="78">
        <f>HYPERLINK("https://www1.hkexnews.hk/listedco/listconews/sehk/2026/0107/2026010701900.pdf","allotment")</f>
        <v/>
      </c>
      <c r="BY419" s="78">
        <f>HYPERLINK("https://www1.hkexnews.hk/listedco/listconews/sehk/2026/0204/2026020402144.pdf","stabilisation")</f>
        <v/>
      </c>
      <c r="BZ419" s="76" t="n"/>
      <c r="CA419" s="63" t="inlineStr">
        <is>
          <t>P/E: n/m — loss-making at IPO (use P/S) · greenshoe: over-allotment outcome already published, and the allotment announcement does not state the stabilisation expiry in a parsable form — the expiry no longer matters once resolved · range low: cap-only pricing — the filing publishes a Maximum Offer Price and no indicative floor · A/H: no A-share listing · P/S: 504x on HK$33.3m revenue — effectively pre-revenue; the multiple is shown for completeness, not comparability · grey market: no grey-market headline on file for this deal — AAStocks publishes one per listing but keeps only recent items on the stock's news page, and no public archive of past evening sessions exists; captured from this run onward</t>
        </is>
      </c>
    </row>
    <row r="420" ht="15" customHeight="1">
      <c r="A420" s="62" t="inlineStr">
        <is>
          <t>0100</t>
        </is>
      </c>
      <c r="B420" s="63" t="inlineStr">
        <is>
          <t>MINIMAX-WP</t>
        </is>
      </c>
      <c r="C420" s="63" t="inlineStr">
        <is>
          <t>MINIMAX-W</t>
        </is>
      </c>
      <c r="D420" s="63" t="inlineStr">
        <is>
          <t>Tech/AI</t>
        </is>
      </c>
      <c r="E420" s="63" t="inlineStr">
        <is>
          <t>LLM / foundation model</t>
        </is>
      </c>
      <c r="F420" s="63" t="inlineStr">
        <is>
          <t>Next-generation information technology</t>
        </is>
      </c>
      <c r="G420" s="63" t="inlineStr">
        <is>
          <t>WVR + 18C</t>
        </is>
      </c>
      <c r="H420" s="64" t="n">
        <v>46031</v>
      </c>
      <c r="I420" s="65" t="n">
        <v>4817.6</v>
      </c>
      <c r="J420" s="63" t="inlineStr">
        <is>
          <t>gross (stated)</t>
        </is>
      </c>
      <c r="K420" s="66" t="n"/>
      <c r="L420" s="66" t="n">
        <v>165</v>
      </c>
      <c r="M420" s="66" t="n">
        <v>165</v>
      </c>
      <c r="N420" s="63" t="inlineStr">
        <is>
          <t>Y</t>
        </is>
      </c>
      <c r="O420" s="67" t="n">
        <v>100</v>
      </c>
      <c r="P420" s="67" t="n"/>
      <c r="Q420" s="68" t="n">
        <v>49554.4</v>
      </c>
      <c r="R420" s="63" t="inlineStr">
        <is>
          <t>aastocks:上市市值 at the struck price</t>
        </is>
      </c>
      <c r="S420" s="69" t="n">
        <v>1837.17</v>
      </c>
      <c r="T420" s="70" t="n">
        <v>36.76</v>
      </c>
      <c r="U420" s="71" t="n">
        <v>56.53</v>
      </c>
      <c r="V420" s="68" t="n">
        <v>2094.21</v>
      </c>
      <c r="W420" s="68" t="n">
        <v>12692197</v>
      </c>
      <c r="X420" s="67" t="n">
        <v>4.23</v>
      </c>
      <c r="Y420" s="63" t="inlineStr">
        <is>
          <t>Authority; Aspex Master Fund; Abstract Enigma Limited; Universal (HK)); Martis Fund, L.P; MPC VII Pte. Ltd; (Perseverance; Alisoft China</t>
        </is>
      </c>
      <c r="Z420" s="63" t="inlineStr">
        <is>
          <t>authority;aspex;abstract;universal;martis;mpc;perseverance;alisoft</t>
        </is>
      </c>
      <c r="AA420" s="67" t="n">
        <v>15</v>
      </c>
      <c r="AB420" s="72" t="n"/>
      <c r="AC420" s="66" t="n"/>
      <c r="AD420" s="72" t="n"/>
      <c r="AE420" s="63" t="n"/>
      <c r="AF420" s="63" t="n"/>
      <c r="AG420" s="63" t="n"/>
      <c r="AH420" s="63" t="inlineStr">
        <is>
          <t>2026-02-05</t>
        </is>
      </c>
      <c r="AI420" s="63" t="inlineStr">
        <is>
          <t>China International Capital Corporation Hong Kong Securities Limited</t>
        </is>
      </c>
      <c r="AJ420" s="63" t="inlineStr">
        <is>
          <t>China International</t>
        </is>
      </c>
      <c r="AK420" s="73" t="n">
        <v>109.09</v>
      </c>
      <c r="AL420" s="72" t="n">
        <v>42.67</v>
      </c>
      <c r="AM420" s="72" t="n">
        <v>46.55</v>
      </c>
      <c r="AN420" s="72" t="n">
        <v>165.45</v>
      </c>
      <c r="AO420" s="72" t="n">
        <v>212.12</v>
      </c>
      <c r="AP420" s="72" t="n">
        <v>445.76</v>
      </c>
      <c r="AQ420" s="72" t="n">
        <v>26.95</v>
      </c>
      <c r="AR420" s="72" t="n">
        <v>49.28</v>
      </c>
      <c r="AS420" s="72" t="n">
        <v>161.02</v>
      </c>
      <c r="AT420" s="72" t="n">
        <v>162.84</v>
      </c>
      <c r="AU420" s="72" t="n">
        <v>216.71</v>
      </c>
      <c r="AV420" s="72" t="n">
        <v>455.86</v>
      </c>
      <c r="AW420" s="72" t="n">
        <v>54.04</v>
      </c>
      <c r="AX420" s="72" t="n">
        <v>-4.59</v>
      </c>
      <c r="AY420" s="72" t="n">
        <v>-4.76</v>
      </c>
      <c r="AZ420" s="63" t="inlineStr">
        <is>
          <t>HSTECH (Hang Seng TECH ETF)</t>
        </is>
      </c>
      <c r="BA420" s="72" t="n">
        <v>82.06</v>
      </c>
      <c r="BB420" s="64" t="inlineStr">
        <is>
          <t>2026-08-28</t>
        </is>
      </c>
      <c r="BC420" s="65" t="n">
        <v>616.2</v>
      </c>
      <c r="BD420" s="68" t="n">
        <v>-14598.6</v>
      </c>
      <c r="BE420" s="63" t="inlineStr">
        <is>
          <t>N</t>
        </is>
      </c>
      <c r="BF420" s="63" t="inlineStr">
        <is>
          <t>n/m</t>
        </is>
      </c>
      <c r="BG420" s="74" t="n"/>
      <c r="BH420" s="74" t="n"/>
      <c r="BI420" s="74" t="n">
        <v>80.40000000000001</v>
      </c>
      <c r="BJ420" s="75">
        <f>IF('BBG Verify'!S420="","not filed — run on terminal",'BBG Verify'!S420)</f>
        <v/>
      </c>
      <c r="BK420" s="76" t="inlineStr">
        <is>
          <t>N</t>
        </is>
      </c>
      <c r="BL420" s="77">
        <f>IF('BBG Verify'!K420="","not filed — run on terminal",'BBG Verify'!K420)</f>
        <v/>
      </c>
      <c r="BM420" s="63" t="inlineStr">
        <is>
          <t>N/A</t>
        </is>
      </c>
      <c r="BN420" s="63" t="inlineStr">
        <is>
          <t>N/A</t>
        </is>
      </c>
      <c r="BO420" s="63" t="inlineStr">
        <is>
          <t>N/A</t>
        </is>
      </c>
      <c r="BP420" s="63" t="inlineStr">
        <is>
          <t>N/A</t>
        </is>
      </c>
      <c r="BQ420" s="63" t="inlineStr">
        <is>
          <t>N/A</t>
        </is>
      </c>
      <c r="BR420" s="63" t="inlineStr">
        <is>
          <t>N/A</t>
        </is>
      </c>
      <c r="BS420" s="76" t="inlineStr">
        <is>
          <t>CICC</t>
        </is>
      </c>
      <c r="BT420" s="63" t="inlineStr">
        <is>
          <t>China International Capital Corporation Hong Kong Securities Limited; UBS Securities Hong Kong Limited</t>
        </is>
      </c>
      <c r="BU420" s="63" t="inlineStr">
        <is>
          <t>China International Capital Corporation Hong Kong Securities Limited; Futu Securities International (Hong Kong) Limited; Goldman Sachs (Asia) L.L.C.; Morgan Stanley Asia Limited; Tiger Brokers (HK) Global Limited; UBS AG Hong Kong Branch</t>
        </is>
      </c>
      <c r="BV420" s="63" t="inlineStr">
        <is>
          <t>China International Capital Corporation Hong Kong Securities Limited; Futu Securities International (Hong Kong) Limited; Goldman Sachs (Asia) L.L.C.; Morgan Stanley Asia Limited; Tiger Brokers (HK) Global Limited; UBS AG Hong Kong Branch</t>
        </is>
      </c>
      <c r="BW420" s="63" t="n"/>
      <c r="BX420" s="78">
        <f>HYPERLINK("https://www1.hkexnews.hk/listedco/listconews/sehk/2026/0108/2026010801342.pdf","allotment")</f>
        <v/>
      </c>
      <c r="BY420" s="63" t="n"/>
      <c r="BZ420" s="76" t="n"/>
      <c r="CA420" s="63" t="inlineStr">
        <is>
          <t>P/E: n/m — loss-making at IPO (use P/S) · greenshoe: end-of-stabilisation notice not located · price range: fixed-price offering (no indicative range) · range low: cap-only pricing — the filing publishes a Maximum Offer Price and no indicative floor · A/H: no A line; closest listed proxy {'code': '300418.SZ', 'name': 'Kunlun Tech', 'rationale': 'Owns the in-house Skywork/Tiangong LLM family — the nearest A-share to a pure LLM-developer exposure.'} · filing links: no prospectus document returned by the HKEX per-stock search for this code — the allotment announcement is linked beside it · grey market: no grey-market headline on file for this deal — AAStocks publishes one per listing but keeps only recent items on the stock's news page, and no public archive of past evening sessions exists; captured from this run onward</t>
        </is>
      </c>
    </row>
    <row r="421" ht="15" customHeight="1">
      <c r="A421" s="62" t="inlineStr">
        <is>
          <t>6938</t>
        </is>
      </c>
      <c r="B421" s="63" t="inlineStr">
        <is>
          <t>RIBOLIFE-B</t>
        </is>
      </c>
      <c r="C421" s="63" t="inlineStr">
        <is>
          <t>瑞博生物－Ｂ</t>
        </is>
      </c>
      <c r="D421" s="63" t="inlineStr">
        <is>
          <t>Healthcare</t>
        </is>
      </c>
      <c r="E421" s="63" t="inlineStr">
        <is>
          <t>Biotech pre-revenue (18A)</t>
        </is>
      </c>
      <c r="F421" s="63" t="inlineStr">
        <is>
          <t>Biotechnology - Pharmaceuticals</t>
        </is>
      </c>
      <c r="G421" s="63" t="inlineStr">
        <is>
          <t>18A</t>
        </is>
      </c>
      <c r="H421" s="64" t="n">
        <v>46031</v>
      </c>
      <c r="I421" s="65" t="n">
        <v>1832.45</v>
      </c>
      <c r="J421" s="63" t="inlineStr">
        <is>
          <t>gross (stated)</t>
        </is>
      </c>
      <c r="K421" s="66" t="n"/>
      <c r="L421" s="66" t="n">
        <v>57.97</v>
      </c>
      <c r="M421" s="66" t="n">
        <v>57.97</v>
      </c>
      <c r="N421" s="63" t="inlineStr">
        <is>
          <t>Y</t>
        </is>
      </c>
      <c r="O421" s="67" t="n">
        <v>100</v>
      </c>
      <c r="P421" s="67" t="n"/>
      <c r="Q421" s="68" t="n">
        <v>9373.200000000001</v>
      </c>
      <c r="R421" s="63" t="inlineStr">
        <is>
          <t>prospectus:stated market capitalisation</t>
        </is>
      </c>
      <c r="S421" s="69" t="n">
        <v>101.06</v>
      </c>
      <c r="T421" s="70" t="n">
        <v>16.7</v>
      </c>
      <c r="U421" s="71" t="n">
        <v>42.5</v>
      </c>
      <c r="V421" s="68" t="n">
        <v>1053.66</v>
      </c>
      <c r="W421" s="68" t="n">
        <v>18175980</v>
      </c>
      <c r="X421" s="67" t="n">
        <v>11.24</v>
      </c>
      <c r="Y421" s="63" t="inlineStr">
        <is>
          <t>Arc Avenue Asset Management Pte. Ltd; Bright Stone Holdings Limited; China Asset Management Co., Ltd; Erik Selin Fastigheter Aktiebolag; Himension Fund; Mingxin Growth Ventures LS2 Limited; Springs Capital (Hong Kong) Limited; Taikang Life Insurance Co., Ltd; William WONG ( ˮጳ਷); Worldstar Global Holdings Limited; Blue Bay Healthcare Anchor Fund SPC; ABCI Asset Management Limited; ICBC UBS Asset Management Co., Ltd; Fullgoal Fund Management Co., Ltd; Wise Vigour Limited</t>
        </is>
      </c>
      <c r="Z421" s="63" t="inlineStr">
        <is>
          <t>arc;bright;china-asset;erik;himension;mingxin;springs;taikang;william;worldstar;blue;agricultural;icbc;fullgoal;wise</t>
        </is>
      </c>
      <c r="AA421" s="67" t="n">
        <v>15</v>
      </c>
      <c r="AB421" s="72" t="n"/>
      <c r="AC421" s="66" t="n"/>
      <c r="AD421" s="72" t="n"/>
      <c r="AE421" s="63" t="n"/>
      <c r="AF421" s="63" t="n"/>
      <c r="AG421" s="63" t="inlineStr">
        <is>
          <t>full</t>
        </is>
      </c>
      <c r="AH421" s="63" t="inlineStr">
        <is>
          <t>2026-02-05</t>
        </is>
      </c>
      <c r="AI421" s="63" t="inlineStr">
        <is>
          <t>China International Capital Corporation Hong Kong Securities Limited</t>
        </is>
      </c>
      <c r="AJ421" s="63" t="inlineStr">
        <is>
          <t>China International</t>
        </is>
      </c>
      <c r="AK421" s="73" t="n">
        <v>41.62</v>
      </c>
      <c r="AL421" s="72" t="n">
        <v>29.38</v>
      </c>
      <c r="AM421" s="72" t="n">
        <v>9.460000000000001</v>
      </c>
      <c r="AN421" s="72" t="n">
        <v>30.76</v>
      </c>
      <c r="AO421" s="72" t="n">
        <v>18.25</v>
      </c>
      <c r="AP421" s="72" t="n">
        <v>14.63</v>
      </c>
      <c r="AQ421" s="72" t="n">
        <v>-7.67</v>
      </c>
      <c r="AR421" s="72" t="n">
        <v>-16.5</v>
      </c>
      <c r="AS421" s="72" t="n">
        <v>-19.06</v>
      </c>
      <c r="AT421" s="72" t="n">
        <v>29.59</v>
      </c>
      <c r="AU421" s="72" t="n">
        <v>23.78</v>
      </c>
      <c r="AV421" s="72" t="n">
        <v>2.94</v>
      </c>
      <c r="AW421" s="72" t="n">
        <v>-9.67</v>
      </c>
      <c r="AX421" s="72" t="n">
        <v>-5.53</v>
      </c>
      <c r="AY421" s="72" t="n">
        <v>-6.83</v>
      </c>
      <c r="AZ421" s="63" t="inlineStr">
        <is>
          <t>China Biotech ETF (HS biotech proxy)</t>
        </is>
      </c>
      <c r="BA421" s="72" t="n">
        <v>6.61</v>
      </c>
      <c r="BB421" s="64" t="inlineStr">
        <is>
          <t>2026-08-28</t>
        </is>
      </c>
      <c r="BC421" s="65" t="n">
        <v>72.90000000000001</v>
      </c>
      <c r="BD421" s="68" t="n">
        <v>-155.7</v>
      </c>
      <c r="BE421" s="63" t="inlineStr">
        <is>
          <t>N</t>
        </is>
      </c>
      <c r="BF421" s="63" t="inlineStr">
        <is>
          <t>n/m</t>
        </is>
      </c>
      <c r="BG421" s="74" t="n"/>
      <c r="BH421" s="74" t="n"/>
      <c r="BI421" s="74" t="n">
        <v>128.6</v>
      </c>
      <c r="BJ421" s="75">
        <f>IF('BBG Verify'!S421="","not filed — run on terminal",'BBG Verify'!S421)</f>
        <v/>
      </c>
      <c r="BK421" s="76" t="inlineStr">
        <is>
          <t>N</t>
        </is>
      </c>
      <c r="BL421" s="77">
        <f>IF('BBG Verify'!K421="","not filed — run on terminal",'BBG Verify'!K421)</f>
        <v/>
      </c>
      <c r="BM421" s="63" t="inlineStr">
        <is>
          <t>N/A</t>
        </is>
      </c>
      <c r="BN421" s="63" t="inlineStr">
        <is>
          <t>N/A</t>
        </is>
      </c>
      <c r="BO421" s="63" t="inlineStr">
        <is>
          <t>N/A</t>
        </is>
      </c>
      <c r="BP421" s="63" t="inlineStr">
        <is>
          <t>N/A</t>
        </is>
      </c>
      <c r="BQ421" s="63" t="inlineStr">
        <is>
          <t>N/A</t>
        </is>
      </c>
      <c r="BR421" s="63" t="inlineStr">
        <is>
          <t>N/A</t>
        </is>
      </c>
      <c r="BS421" s="76" t="inlineStr">
        <is>
          <t>Citigroup Global Markets Asia Limited</t>
        </is>
      </c>
      <c r="BT421" s="63" t="inlineStr">
        <is>
          <t>China International Capital Corporation Hong Kong Securities Limited; Citigroup Global Markets Asia Limited</t>
        </is>
      </c>
      <c r="BU421" s="63" t="inlineStr">
        <is>
          <t>China International Capital Corporation Hong Kong Securities Limited; Citigroup Global Markets Asia Limited; ICBC International Securities Limited; BOCI Asia Limited; Macquarie Capital Limited; ABCI Capital Limited; SDIC Securities (Hong Kong) Limited; Citigroup Global Markets Limited; Canary Wharf London E14 5LB United Kingdom ICBC International Securities Limited; Futu Securities International (Hong Kong) Limited</t>
        </is>
      </c>
      <c r="BV421" s="63" t="inlineStr">
        <is>
          <t>ABCI Securities Company Limited; BOCI Asia Limited; Citigroup Global Markets Asia Limited; China International Capital Corporation Hong Kong Securities Limited; Futu Securities International (Hong Kong) Limited; ICBC International Securities Limited; Macquarie Capital Limited; SDIC Securities (Hong Kong) Limited</t>
        </is>
      </c>
      <c r="BW421" s="78">
        <f>HYPERLINK("https://www1.hkexnews.hk/listedco/listconews/sehk/2025/1231/2025123100037.pdf","prospectus")</f>
        <v/>
      </c>
      <c r="BX421" s="78">
        <f>HYPERLINK("https://www1.hkexnews.hk/listedco/listconews/sehk/2026/0108/2026010801352.pdf","allotment")</f>
        <v/>
      </c>
      <c r="BY421" s="78">
        <f>HYPERLINK("https://www1.hkexnews.hk/listedco/listconews/sehk/2026/0205/2026020502414.pdf","stabilisation")</f>
        <v/>
      </c>
      <c r="BZ421" s="76" t="n"/>
      <c r="CA421" s="63" t="inlineStr">
        <is>
          <t>P/E: n/m — loss-making at IPO (use P/S) · range low: cap-only pricing — the filing publishes a Maximum Offer Price and no indicative floor · A/H: no A-share listing · grey market: no grey-market headline on file for this deal — AAStocks publishes one per listing but keeps only recent items on the stock's news page, and no public archive of past evening sessions exists; captured from this run onward</t>
        </is>
      </c>
    </row>
    <row r="422" ht="15" customHeight="1">
      <c r="A422" s="62" t="inlineStr">
        <is>
          <t>3636</t>
        </is>
      </c>
      <c r="B422" s="63" t="inlineStr">
        <is>
          <t>JINXUN RESOURCE</t>
        </is>
      </c>
      <c r="C422" s="63" t="inlineStr">
        <is>
          <t>金潯資源</t>
        </is>
      </c>
      <c r="D422" s="63" t="inlineStr">
        <is>
          <t>Materials/Energy</t>
        </is>
      </c>
      <c r="E422" s="63" t="inlineStr">
        <is>
          <t>Mining / metals</t>
        </is>
      </c>
      <c r="F422" s="63" t="inlineStr">
        <is>
          <t>Diversified Metals &amp; Minerals</t>
        </is>
      </c>
      <c r="G422" s="63" t="inlineStr">
        <is>
          <t>Standard</t>
        </is>
      </c>
      <c r="H422" s="64" t="n">
        <v>46031</v>
      </c>
      <c r="I422" s="65" t="n">
        <v>1102.97</v>
      </c>
      <c r="J422" s="63" t="inlineStr">
        <is>
          <t>gross (stated)</t>
        </is>
      </c>
      <c r="K422" s="66" t="n"/>
      <c r="L422" s="66" t="n">
        <v>30</v>
      </c>
      <c r="M422" s="66" t="n">
        <v>30</v>
      </c>
      <c r="N422" s="63" t="inlineStr">
        <is>
          <t>Y</t>
        </is>
      </c>
      <c r="O422" s="67" t="n">
        <v>100</v>
      </c>
      <c r="P422" s="67" t="n"/>
      <c r="Q422" s="81">
        <f>IF('BBG Verify'!M422="","not filed — run on terminal",'BBG Verify'!M422)</f>
        <v/>
      </c>
      <c r="R422" s="63" t="n"/>
      <c r="S422" s="69" t="n">
        <v>143.46</v>
      </c>
      <c r="T422" s="70" t="n">
        <v>12.78</v>
      </c>
      <c r="U422" s="71" t="n">
        <v>42.5</v>
      </c>
      <c r="V422" s="68" t="n">
        <v>634.21</v>
      </c>
      <c r="W422" s="68" t="n">
        <v>21140220</v>
      </c>
      <c r="X422" s="67" t="n"/>
      <c r="Y422" s="63" t="inlineStr">
        <is>
          <t>Glencore International AG; Stoneylake Global Alpha Fund; Zhengxin Group Investment Limited; China Asset Management (Hong Kong) Limited; New Asia Ferrell Asset Management Limited; Bridge Zone Group Limited</t>
        </is>
      </c>
      <c r="Z422" s="63" t="inlineStr">
        <is>
          <t>glencore;stoneylake;zhengxin;china-asset;new-ferrell;bridge</t>
        </is>
      </c>
      <c r="AA422" s="67" t="n">
        <v>15</v>
      </c>
      <c r="AB422" s="72" t="n"/>
      <c r="AC422" s="66" t="n"/>
      <c r="AD422" s="72" t="n"/>
      <c r="AE422" s="63" t="n"/>
      <c r="AF422" s="63" t="n"/>
      <c r="AG422" s="63" t="n"/>
      <c r="AH422" s="63" t="inlineStr">
        <is>
          <t>2026-02-05</t>
        </is>
      </c>
      <c r="AI422" s="63" t="inlineStr">
        <is>
          <t>Huatai Financial Holdings</t>
        </is>
      </c>
      <c r="AJ422" s="63" t="inlineStr">
        <is>
          <t>Huatai</t>
        </is>
      </c>
      <c r="AK422" s="73" t="n">
        <v>26</v>
      </c>
      <c r="AL422" s="72" t="n">
        <v>26.67</v>
      </c>
      <c r="AM422" s="72" t="n">
        <v>-0.53</v>
      </c>
      <c r="AN422" s="72" t="n">
        <v>31.27</v>
      </c>
      <c r="AO422" s="72" t="n">
        <v>25.53</v>
      </c>
      <c r="AP422" s="72" t="n">
        <v>-12.67</v>
      </c>
      <c r="AQ422" s="72" t="n">
        <v>4.18</v>
      </c>
      <c r="AR422" s="72" t="n">
        <v>-0.37</v>
      </c>
      <c r="AS422" s="72" t="n">
        <v>-30.69</v>
      </c>
      <c r="AT422" s="72" t="n">
        <v>28.08</v>
      </c>
      <c r="AU422" s="72" t="n">
        <v>24.65</v>
      </c>
      <c r="AV422" s="72" t="n">
        <v>-9.619999999999999</v>
      </c>
      <c r="AW422" s="72" t="n">
        <v>-0.86</v>
      </c>
      <c r="AX422" s="72" t="n">
        <v>0.88</v>
      </c>
      <c r="AY422" s="72" t="n">
        <v>0.49</v>
      </c>
      <c r="AZ422" s="63" t="inlineStr">
        <is>
          <t>Hang Seng Commerce &amp; Industry sub-index</t>
        </is>
      </c>
      <c r="BA422" s="72" t="n">
        <v>-42.27</v>
      </c>
      <c r="BB422" s="64" t="inlineStr">
        <is>
          <t>2026-08-28</t>
        </is>
      </c>
      <c r="BC422" s="65" t="n">
        <v>2498.2</v>
      </c>
      <c r="BD422" s="68" t="n">
        <v>361.7</v>
      </c>
      <c r="BE422" s="63" t="inlineStr">
        <is>
          <t>Y</t>
        </is>
      </c>
      <c r="BF422" s="74" t="n">
        <v>11.4</v>
      </c>
      <c r="BG422" s="74" t="n">
        <v>11.4</v>
      </c>
      <c r="BH422" s="74" t="n">
        <v>5</v>
      </c>
      <c r="BI422" s="74" t="n"/>
      <c r="BJ422" s="75">
        <f>IF('BBG Verify'!S422="","not filed — run on terminal",'BBG Verify'!S422)</f>
        <v/>
      </c>
      <c r="BK422" s="76" t="inlineStr">
        <is>
          <t>N</t>
        </is>
      </c>
      <c r="BL422" s="77">
        <f>IF('BBG Verify'!K422="","not filed — run on terminal",'BBG Verify'!K422)</f>
        <v/>
      </c>
      <c r="BM422" s="63" t="inlineStr">
        <is>
          <t>N/A</t>
        </is>
      </c>
      <c r="BN422" s="63" t="inlineStr">
        <is>
          <t>N/A</t>
        </is>
      </c>
      <c r="BO422" s="63" t="inlineStr">
        <is>
          <t>N/A</t>
        </is>
      </c>
      <c r="BP422" s="63" t="inlineStr">
        <is>
          <t>N/A</t>
        </is>
      </c>
      <c r="BQ422" s="63" t="inlineStr">
        <is>
          <t>N/A</t>
        </is>
      </c>
      <c r="BR422" s="63" t="inlineStr">
        <is>
          <t>N/A</t>
        </is>
      </c>
      <c r="BS422" s="76" t="n"/>
      <c r="BT422" s="63" t="inlineStr">
        <is>
          <t>Huatai Financial Holdings (Hong Kong) Limited</t>
        </is>
      </c>
      <c r="BU422" s="63" t="inlineStr">
        <is>
          <t>ABCI Securities Company Limited; BOCI Asia Limited; CLSA Limited; Futu Securities International (Hong Kong) Limited; Huatai Financial Holdings (Hong Kong) Limited; Tiger Brokers (HK) Global Limited</t>
        </is>
      </c>
      <c r="BV422" s="63" t="inlineStr">
        <is>
          <t>ABCI Securities Company Limited; BOCI Asia Limited; CLSA Limited; Futu Securities International (Hong Kong) Limited; Huatai Financial Holdings (Hong Kong) Limited; Tiger Brokers (HK) Global Limited; TFI Securities and Futures Limited; UOB Kay Hian (Hong Kong) Limited</t>
        </is>
      </c>
      <c r="BW422" s="63" t="n"/>
      <c r="BX422" s="78">
        <f>HYPERLINK("https://www1.hkexnews.hk/listedco/listconews/sehk/2026/0108/2026010801368.pdf","allotment")</f>
        <v/>
      </c>
      <c r="BY422" s="63" t="n"/>
      <c r="BZ422" s="76" t="n"/>
      <c r="CA422" s="63" t="inlineStr">
        <is>
          <t>P/E: from Bloomberg (trailing-12m EPS at listing) — the prospectus-FY multiple was not derivable · greenshoe: end-of-stabilisation notice not located · price range: fixed-price offering (no indicative range) · range low: cap-only pricing — the filing publishes a Maximum Offer Price and no indicative floor · A/H: no A-share listing · sponsor: English name not in the filing text; AAStocks 保薦人 shown · market cap: no share count, offer-%-of-capital or published listing cap available · P/S: market cap not derivable — P/S cannot be formed · filing links: no prospectus document returned by the HKEX per-stock search for this code — the allotment announcement is linked beside it · grey market: no grey-market headline on file for this deal — AAStocks publishes one per listing but keeps only recent items on the stock's news page, and no public archive of past evening sessions exists; captured from this run onward · eff free float: not computable as a % of cap — market cap not derivable</t>
        </is>
      </c>
    </row>
    <row r="423" ht="15" customHeight="1">
      <c r="A423" s="62" t="inlineStr">
        <is>
          <t>0501</t>
        </is>
      </c>
      <c r="B423" s="63" t="inlineStr">
        <is>
          <t>OMNIVISION</t>
        </is>
      </c>
      <c r="C423" s="63" t="inlineStr">
        <is>
          <t>豪威集團</t>
        </is>
      </c>
      <c r="D423" s="63" t="inlineStr">
        <is>
          <t>Tech/AI</t>
        </is>
      </c>
      <c r="E423" s="63" t="inlineStr">
        <is>
          <t>AI chips &amp; semis</t>
        </is>
      </c>
      <c r="F423" s="63" t="inlineStr">
        <is>
          <t>Semiconductors &amp; Semiconductor Equipment</t>
        </is>
      </c>
      <c r="G423" s="63" t="inlineStr">
        <is>
          <t>Standard</t>
        </is>
      </c>
      <c r="H423" s="64" t="n">
        <v>46034</v>
      </c>
      <c r="I423" s="65" t="n">
        <v>4799.8</v>
      </c>
      <c r="J423" s="63" t="inlineStr">
        <is>
          <t>gross (stated)</t>
        </is>
      </c>
      <c r="K423" s="66" t="n"/>
      <c r="L423" s="66" t="n">
        <v>104.8</v>
      </c>
      <c r="M423" s="66" t="n">
        <v>104.8</v>
      </c>
      <c r="N423" s="63" t="inlineStr">
        <is>
          <t>Y</t>
        </is>
      </c>
      <c r="O423" s="67" t="n">
        <v>100</v>
      </c>
      <c r="P423" s="67" t="n"/>
      <c r="Q423" s="68" t="n">
        <v>131807.4</v>
      </c>
      <c r="R423" s="63" t="inlineStr">
        <is>
          <t>derived:A-line total share capital x H offer price</t>
        </is>
      </c>
      <c r="S423" s="69" t="n">
        <v>9.279999999999999</v>
      </c>
      <c r="T423" s="70" t="n">
        <v>9.73</v>
      </c>
      <c r="U423" s="71" t="n">
        <v>45.3</v>
      </c>
      <c r="V423" s="68" t="n">
        <v>2625.49</v>
      </c>
      <c r="W423" s="68" t="n">
        <v>25052600</v>
      </c>
      <c r="X423" s="67" t="n">
        <v>1.99</v>
      </c>
      <c r="Y423" s="63" t="inlineStr">
        <is>
          <t>Boyu Capital; UBS Asset Management; UG Investment; Huaqin (HK); OPPO (Tiantian Trading); Dajia Life Insurance Co., Ltd; China Post Wealth Management; Ghisallo</t>
        </is>
      </c>
      <c r="Z423" s="63" t="inlineStr">
        <is>
          <t>boyu;ubs;ug;huaqin;oppo;dajia;post;ghisallo</t>
        </is>
      </c>
      <c r="AA423" s="67" t="n"/>
      <c r="AB423" s="72" t="n"/>
      <c r="AC423" s="66" t="n"/>
      <c r="AD423" s="72" t="n"/>
      <c r="AE423" s="63" t="n"/>
      <c r="AF423" s="63" t="n"/>
      <c r="AG423" s="63" t="n"/>
      <c r="AH423" s="63" t="inlineStr">
        <is>
          <t>2026-02-06</t>
        </is>
      </c>
      <c r="AI423" s="63" t="inlineStr">
        <is>
          <t>China International Capital Corporation Hong Kong Securities Limited</t>
        </is>
      </c>
      <c r="AJ423" s="63" t="inlineStr">
        <is>
          <t>China International</t>
        </is>
      </c>
      <c r="AK423" s="73" t="n">
        <v>16.22</v>
      </c>
      <c r="AL423" s="72" t="n">
        <v>3.05</v>
      </c>
      <c r="AM423" s="72" t="n">
        <v>12.78</v>
      </c>
      <c r="AN423" s="72" t="n">
        <v>11.16</v>
      </c>
      <c r="AO423" s="72" t="n">
        <v>-0.1</v>
      </c>
      <c r="AP423" s="72" t="n">
        <v>-25.05</v>
      </c>
      <c r="AQ423" s="72" t="n">
        <v>-4.35</v>
      </c>
      <c r="AR423" s="72" t="n">
        <v>-14.04</v>
      </c>
      <c r="AS423" s="72" t="n">
        <v>-35.51</v>
      </c>
      <c r="AT423" s="72" t="n">
        <v>9.99</v>
      </c>
      <c r="AU423" s="72" t="n">
        <v>4.21</v>
      </c>
      <c r="AV423" s="72" t="n">
        <v>-13.75</v>
      </c>
      <c r="AW423" s="72" t="n">
        <v>-6.82</v>
      </c>
      <c r="AX423" s="72" t="n">
        <v>-4.31</v>
      </c>
      <c r="AY423" s="72" t="n">
        <v>-7.22</v>
      </c>
      <c r="AZ423" s="63" t="inlineStr">
        <is>
          <t>HSTECH (Hang Seng TECH ETF)</t>
        </is>
      </c>
      <c r="BA423" s="72" t="n">
        <v>-30.77</v>
      </c>
      <c r="BB423" s="64" t="inlineStr">
        <is>
          <t>2026-08-31</t>
        </is>
      </c>
      <c r="BC423" s="65" t="n">
        <v>31740.3</v>
      </c>
      <c r="BD423" s="68" t="n">
        <v>4450</v>
      </c>
      <c r="BE423" s="63" t="inlineStr">
        <is>
          <t>Y</t>
        </is>
      </c>
      <c r="BF423" s="74" t="n">
        <v>29.6</v>
      </c>
      <c r="BG423" s="74" t="n"/>
      <c r="BH423" s="74" t="n"/>
      <c r="BI423" s="74" t="n">
        <v>4.2</v>
      </c>
      <c r="BJ423" s="75">
        <f>IF('BBG Verify'!S423="","not filed — run on terminal",'BBG Verify'!S423)</f>
        <v/>
      </c>
      <c r="BK423" s="76" t="inlineStr">
        <is>
          <t>Y</t>
        </is>
      </c>
      <c r="BL423" s="63" t="inlineStr">
        <is>
          <t>603501.SS</t>
        </is>
      </c>
      <c r="BM423" s="72" t="n">
        <v>40</v>
      </c>
      <c r="BN423" s="66" t="n">
        <v>146.7186</v>
      </c>
      <c r="BO423" s="80" t="n">
        <v>0.3378</v>
      </c>
      <c r="BP423" s="68" t="n">
        <v>122209.4</v>
      </c>
      <c r="BQ423" s="75">
        <f>IF('BBG Verify'!Q423="","run on terminal",'BBG Verify'!Q423)</f>
        <v/>
      </c>
      <c r="BR423" s="75">
        <f>IF('BBG Verify'!R423="","run on terminal",'BBG Verify'!R423)</f>
        <v/>
      </c>
      <c r="BS423" s="76" t="inlineStr">
        <is>
          <t>CICC; Ping An of China Capital (Hong Kong); GF Capital (Hong Kong)</t>
        </is>
      </c>
      <c r="BT423" s="63" t="inlineStr">
        <is>
          <t>China International Capital Corporation Hong Kong Securities Limited; UBS Securities Hong Kong Limited; GF Capital (Hong Kong) Limited; Ping An of China Capital (Hong Kong) Company Limited</t>
        </is>
      </c>
      <c r="BU423" s="63" t="inlineStr">
        <is>
          <t>China International Capital Corporation Hong Kong Securities Limited; CLSA Limited; GF Securities (Hong Kong) Brokerage Limited; Haitong International Securities Company Limited; Ping An Securities (Hong Kong) Company Limited; TradeMaster Securities (Hong Kong) Limited</t>
        </is>
      </c>
      <c r="BV423" s="63" t="inlineStr">
        <is>
          <t>China International Capital Corporation Hong Kong Securities Limited; CLSA Limited; GF Securities (Hong Kong) Brokerage Limited; Haitong International Securities Company Limited; Ping An Securities (Hong Kong) Company Limited; TradeMaster Securities (Hong Kong) Limited; UBS AG Hong Kong Branch</t>
        </is>
      </c>
      <c r="BW423" s="63" t="n"/>
      <c r="BX423" s="78">
        <f>HYPERLINK("https://www1.hkexnews.hk/listedco/listconews/sehk/2026/0109/2026010901581.pdf","allotment")</f>
        <v/>
      </c>
      <c r="BY423" s="63" t="n"/>
      <c r="BZ423" s="76" t="n"/>
      <c r="CA423" s="63" t="inlineStr">
        <is>
          <t>greenshoe: no over-allotment option in the offer structure · price range: fixed-price offering (no indicative range) · range low: cap-only pricing — the filing publishes a Maximum Offer Price and no indicative floor · A/H: Jan 2026, US$616m offering; rose on debut · market cap: no share count or stated cap in the filings — company cap proxied by today's A-line total share capital x the H offer price; a capitalisation issue since listing would overstate it · greenshoe size: no over-allotment option in the offer structure · filing links: no prospectus document returned by the HKEX per-stock search for this code — the allotment announcement is linked beside it · grey market: no grey-market headline on file for this deal — AAStocks publishes one per listing but keeps only recent items on the stock's news page, and no public archive of past evening sessions exists; captured from this run onward</t>
        </is>
      </c>
    </row>
    <row r="424" ht="15" customHeight="1">
      <c r="A424" s="62" t="inlineStr">
        <is>
          <t>1641</t>
        </is>
      </c>
      <c r="B424" s="63" t="inlineStr">
        <is>
          <t>HX COLDCHAIN</t>
        </is>
      </c>
      <c r="C424" s="63" t="inlineStr">
        <is>
          <t>紅星冷鏈</t>
        </is>
      </c>
      <c r="D424" s="63" t="inlineStr">
        <is>
          <t>Industrials</t>
        </is>
      </c>
      <c r="E424" s="63" t="inlineStr">
        <is>
          <t>Logistics</t>
        </is>
      </c>
      <c r="F424" s="63" t="inlineStr">
        <is>
          <t>Packaged Foods</t>
        </is>
      </c>
      <c r="G424" s="63" t="inlineStr">
        <is>
          <t>Standard</t>
        </is>
      </c>
      <c r="H424" s="64" t="n">
        <v>46035</v>
      </c>
      <c r="I424" s="65" t="n">
        <v>285.2</v>
      </c>
      <c r="J424" s="63" t="inlineStr">
        <is>
          <t>gross (stated)</t>
        </is>
      </c>
      <c r="K424" s="66" t="n"/>
      <c r="L424" s="66" t="n">
        <v>12.26</v>
      </c>
      <c r="M424" s="66" t="n">
        <v>12.26</v>
      </c>
      <c r="N424" s="63" t="inlineStr">
        <is>
          <t>Y</t>
        </is>
      </c>
      <c r="O424" s="67" t="n">
        <v>100</v>
      </c>
      <c r="P424" s="67" t="n"/>
      <c r="Q424" s="68" t="n">
        <v>1204.7</v>
      </c>
      <c r="R424" s="63" t="inlineStr">
        <is>
          <t>derived:price x shares upon listing</t>
        </is>
      </c>
      <c r="S424" s="69" t="n">
        <v>2309.25</v>
      </c>
      <c r="T424" s="70" t="n">
        <v>1.65</v>
      </c>
      <c r="U424" s="71" t="n">
        <v>7.66</v>
      </c>
      <c r="V424" s="68" t="n">
        <v>263.35</v>
      </c>
      <c r="W424" s="68" t="n">
        <v>21481054</v>
      </c>
      <c r="X424" s="67" t="n">
        <v>21.86</v>
      </c>
      <c r="Y424" s="63" t="inlineStr">
        <is>
          <t>FUHUIDA HK; Huang Fusheng (黃福生); Cheng Yan (成燕); Luo Tiexing (羅鐵興); Li Changxiao (李昌孝); Kong Yu (孔昱); Zou Songqiu (鄒松球); Li Zhenbin (李振斌); Li Zhenwu (李振武); Li Dengyun (李登雲); Zhang Ying (張穎)</t>
        </is>
      </c>
      <c r="Z424" s="63" t="inlineStr">
        <is>
          <t>fuhuida;huang-fusheng;cheng-yan;luo-tiexing;li-changxiao;yu;zou;li-zhenbin;li-zhenwu;li-dengyun;zhang-ying</t>
        </is>
      </c>
      <c r="AA424" s="67" t="n">
        <v>15</v>
      </c>
      <c r="AB424" s="72" t="n">
        <v>47.4</v>
      </c>
      <c r="AC424" s="66" t="n">
        <v>18.07</v>
      </c>
      <c r="AD424" s="72" t="n">
        <v>-31.93</v>
      </c>
      <c r="AE424" s="63" t="inlineStr">
        <is>
          <t>Y</t>
        </is>
      </c>
      <c r="AF424" s="63" t="inlineStr">
        <is>
          <t>2026-01-12</t>
        </is>
      </c>
      <c r="AG424" s="63" t="n"/>
      <c r="AH424" s="63" t="n"/>
      <c r="AI424" s="63" t="n"/>
      <c r="AJ424" s="63" t="n"/>
      <c r="AK424" s="73" t="n">
        <v>0.33</v>
      </c>
      <c r="AL424" s="72" t="n">
        <v>59.71</v>
      </c>
      <c r="AM424" s="72" t="n">
        <v>-37.18</v>
      </c>
      <c r="AN424" s="72" t="n">
        <v>-18.76</v>
      </c>
      <c r="AO424" s="72" t="n">
        <v>-30.51</v>
      </c>
      <c r="AP424" s="72" t="n">
        <v>-42.09</v>
      </c>
      <c r="AQ424" s="72" t="n">
        <v>-19.03</v>
      </c>
      <c r="AR424" s="72" t="n">
        <v>-30.74</v>
      </c>
      <c r="AS424" s="72" t="n">
        <v>-42.28</v>
      </c>
      <c r="AT424" s="72" t="n">
        <v>-17.31</v>
      </c>
      <c r="AU424" s="72" t="n">
        <v>-30.22</v>
      </c>
      <c r="AV424" s="72" t="n">
        <v>-36.03</v>
      </c>
      <c r="AW424" s="72" t="n">
        <v>-29.76</v>
      </c>
      <c r="AX424" s="72" t="n">
        <v>-0.29</v>
      </c>
      <c r="AY424" s="72" t="n">
        <v>-0.98</v>
      </c>
      <c r="AZ424" s="63" t="inlineStr">
        <is>
          <t>Hang Seng Commerce &amp; Industry sub-index</t>
        </is>
      </c>
      <c r="BA424" s="72" t="n">
        <v>-66.23</v>
      </c>
      <c r="BB424" s="64" t="inlineStr">
        <is>
          <t>2026-08-28</t>
        </is>
      </c>
      <c r="BC424" s="65" t="n">
        <v>256.9</v>
      </c>
      <c r="BD424" s="68" t="n">
        <v>91.2</v>
      </c>
      <c r="BE424" s="63" t="inlineStr">
        <is>
          <t>Y</t>
        </is>
      </c>
      <c r="BF424" s="74" t="n">
        <v>13.2</v>
      </c>
      <c r="BG424" s="74" t="n">
        <v>10.8</v>
      </c>
      <c r="BH424" s="74" t="n">
        <v>3.5</v>
      </c>
      <c r="BI424" s="74" t="n">
        <v>4.7</v>
      </c>
      <c r="BJ424" s="75">
        <f>IF('BBG Verify'!S424="","not filed — run on terminal",'BBG Verify'!S424)</f>
        <v/>
      </c>
      <c r="BK424" s="76" t="inlineStr">
        <is>
          <t>N</t>
        </is>
      </c>
      <c r="BL424" s="77">
        <f>IF('BBG Verify'!K424="","not filed — run on terminal",'BBG Verify'!K424)</f>
        <v/>
      </c>
      <c r="BM424" s="63" t="inlineStr">
        <is>
          <t>N/A</t>
        </is>
      </c>
      <c r="BN424" s="63" t="inlineStr">
        <is>
          <t>N/A</t>
        </is>
      </c>
      <c r="BO424" s="63" t="inlineStr">
        <is>
          <t>N/A</t>
        </is>
      </c>
      <c r="BP424" s="63" t="inlineStr">
        <is>
          <t>N/A</t>
        </is>
      </c>
      <c r="BQ424" s="63" t="inlineStr">
        <is>
          <t>N/A</t>
        </is>
      </c>
      <c r="BR424" s="63" t="inlineStr">
        <is>
          <t>N/A</t>
        </is>
      </c>
      <c r="BS424" s="76" t="inlineStr">
        <is>
          <t>CCB International Capital Limited; ABCI Capital Limited</t>
        </is>
      </c>
      <c r="BT424" s="63" t="inlineStr">
        <is>
          <t>CCB International Capital Limited; ABCI Capital Limited</t>
        </is>
      </c>
      <c r="BU424" s="63" t="inlineStr">
        <is>
          <t>CCB International Capital Limited; ABCI Capital Limited; A VICT Global Asset Management Limited; BOCOM International Securities Limited; CEB International Capital Corporation Limited; CMBC Securities Company Limited; Guosen Securities (HK) Brokerage Company, Limited; Huafu International Securities Limited; MoneyMore Securities Limited; Orient Securities (Hong Kong) Limited; Ruibang Securities Limited; Shanxi Securities International Limited</t>
        </is>
      </c>
      <c r="BV424" s="63" t="inlineStr">
        <is>
          <t>ABCI Securities Company Limited; AVICT Global Asset Management Limited; BOCOM International Securities Limited; CCB International Capital Limited; CEB International Capital Corporation Limited; China Industrial Securities International Capital Limited; CMBC Securities Company Limited; Guosen Securities (HK) Brokerage Company, Limited; Huafu International Securities Limited; MoneyMore Securities Limited; Orient Securities (Hong Kong) Limited; Ruibang Securities Limited</t>
        </is>
      </c>
      <c r="BW424" s="78">
        <f>HYPERLINK("https://www1.hkexnews.hk/listedco/listconews/sehk/2025/1231/2025123100085.pdf","prospectus")</f>
        <v/>
      </c>
      <c r="BX424" s="78">
        <f>HYPERLINK("https://www1.hkexnews.hk/listedco/listconews/sehk/2026/0112/2026011201301.pdf","allotment")</f>
        <v/>
      </c>
      <c r="BY424" s="63" t="n"/>
      <c r="BZ424" s="76" t="n"/>
      <c r="CA424" s="63" t="inlineStr">
        <is>
          <t>greenshoe: end-of-stabilisation notice not located · range low: cap-only pricing — the filing publishes a Maximum Offer Price and no indicative floor · A/H: no A-share listing · market cap: prospectus 'market capitalisation' line rejected — it is the listing-rule threshold, not the issuer's figure ("o the Offer Price of HK$12.26 per Offer Share, the expected market capitalization of the Company’s total issue") · stabilising manager: neither the allotment announcement's cover sentence nor the prospectus definitions glossary names one in a form the parser reads — not inferred from the sponsor</t>
        </is>
      </c>
    </row>
    <row r="425" ht="15" customHeight="1">
      <c r="A425" s="62" t="inlineStr">
        <is>
          <t>3986</t>
        </is>
      </c>
      <c r="B425" s="63" t="inlineStr">
        <is>
          <t>GIGADEVICE</t>
        </is>
      </c>
      <c r="C425" s="63" t="inlineStr">
        <is>
          <t>兆易創新</t>
        </is>
      </c>
      <c r="D425" s="63" t="inlineStr">
        <is>
          <t>Tech/AI</t>
        </is>
      </c>
      <c r="E425" s="63" t="inlineStr">
        <is>
          <t>AI chips &amp; semis</t>
        </is>
      </c>
      <c r="F425" s="63" t="inlineStr">
        <is>
          <t>Semiconductors &amp; Semiconductor Equipment</t>
        </is>
      </c>
      <c r="G425" s="63" t="inlineStr">
        <is>
          <t>Standard</t>
        </is>
      </c>
      <c r="H425" s="64" t="n">
        <v>46035</v>
      </c>
      <c r="I425" s="65" t="n">
        <v>4684.4</v>
      </c>
      <c r="J425" s="63" t="inlineStr">
        <is>
          <t>gross (stated)</t>
        </is>
      </c>
      <c r="K425" s="66" t="n"/>
      <c r="L425" s="66" t="n">
        <v>162</v>
      </c>
      <c r="M425" s="66" t="n">
        <v>162</v>
      </c>
      <c r="N425" s="63" t="inlineStr">
        <is>
          <t>Y</t>
        </is>
      </c>
      <c r="O425" s="67" t="n">
        <v>100</v>
      </c>
      <c r="P425" s="67" t="n"/>
      <c r="Q425" s="68" t="n">
        <v>113578.6</v>
      </c>
      <c r="R425" s="63" t="inlineStr">
        <is>
          <t>aastocks:上市市值 at the struck price</t>
        </is>
      </c>
      <c r="S425" s="69" t="n">
        <v>542.22</v>
      </c>
      <c r="T425" s="70" t="n">
        <v>18.52</v>
      </c>
      <c r="U425" s="71" t="n">
        <v>49.8</v>
      </c>
      <c r="V425" s="68" t="n">
        <v>2351.57</v>
      </c>
      <c r="W425" s="68" t="n">
        <v>14515732</v>
      </c>
      <c r="X425" s="67" t="n">
        <v>2.07</v>
      </c>
      <c r="Y425" s="63" t="inlineStr">
        <is>
          <t>Yunfeng Capital; Xiaomi; TCL Industries; Huaqin Technology; China Pinnacle Equity Management Limited; Greenwoods (Jinglin)</t>
        </is>
      </c>
      <c r="Z425" s="63" t="inlineStr">
        <is>
          <t>yunfeng;xiaomi;tcl;huaqin;pinnacle;greenwoods</t>
        </is>
      </c>
      <c r="AA425" s="67" t="n">
        <v>15</v>
      </c>
      <c r="AB425" s="72" t="n"/>
      <c r="AC425" s="66" t="n"/>
      <c r="AD425" s="72" t="n"/>
      <c r="AE425" s="63" t="n"/>
      <c r="AF425" s="63" t="n"/>
      <c r="AG425" s="63" t="inlineStr">
        <is>
          <t>full</t>
        </is>
      </c>
      <c r="AH425" s="63" t="inlineStr">
        <is>
          <t>2026-02-07</t>
        </is>
      </c>
      <c r="AI425" s="63" t="inlineStr">
        <is>
          <t>Huatai Financial Holdings</t>
        </is>
      </c>
      <c r="AJ425" s="63" t="inlineStr">
        <is>
          <t>Huatai</t>
        </is>
      </c>
      <c r="AK425" s="73" t="n">
        <v>37.53</v>
      </c>
      <c r="AL425" s="72" t="n">
        <v>45.06</v>
      </c>
      <c r="AM425" s="72" t="n">
        <v>-5.19</v>
      </c>
      <c r="AN425" s="72" t="n">
        <v>88.89</v>
      </c>
      <c r="AO425" s="72" t="n">
        <v>82.72</v>
      </c>
      <c r="AP425" s="72" t="n">
        <v>161.11</v>
      </c>
      <c r="AQ425" s="72" t="n">
        <v>37.34</v>
      </c>
      <c r="AR425" s="72" t="n">
        <v>32.86</v>
      </c>
      <c r="AS425" s="72" t="n">
        <v>89.86</v>
      </c>
      <c r="AT425" s="72" t="n">
        <v>91.94</v>
      </c>
      <c r="AU425" s="72" t="n">
        <v>88.98999999999999</v>
      </c>
      <c r="AV425" s="72" t="n">
        <v>174.87</v>
      </c>
      <c r="AW425" s="72" t="n">
        <v>39.13</v>
      </c>
      <c r="AX425" s="72" t="n">
        <v>-6.27</v>
      </c>
      <c r="AY425" s="72" t="n">
        <v>-6.27</v>
      </c>
      <c r="AZ425" s="63" t="inlineStr">
        <is>
          <t>HSTECH (Hang Seng TECH ETF)</t>
        </is>
      </c>
      <c r="BA425" s="72" t="n">
        <v>200</v>
      </c>
      <c r="BB425" s="64" t="inlineStr">
        <is>
          <t>2026-08-28</t>
        </is>
      </c>
      <c r="BC425" s="65" t="n">
        <v>8091.6</v>
      </c>
      <c r="BD425" s="68" t="n">
        <v>1211</v>
      </c>
      <c r="BE425" s="63" t="inlineStr">
        <is>
          <t>Y</t>
        </is>
      </c>
      <c r="BF425" s="74" t="n">
        <v>93.8</v>
      </c>
      <c r="BG425" s="74" t="n">
        <v>80.3</v>
      </c>
      <c r="BH425" s="74" t="n">
        <v>191.8</v>
      </c>
      <c r="BI425" s="74" t="n">
        <v>14</v>
      </c>
      <c r="BJ425" s="75">
        <f>IF('BBG Verify'!S425="","not filed — run on terminal",'BBG Verify'!S425)</f>
        <v/>
      </c>
      <c r="BK425" s="76" t="inlineStr">
        <is>
          <t>Y</t>
        </is>
      </c>
      <c r="BL425" s="63" t="inlineStr">
        <is>
          <t>603986.SS</t>
        </is>
      </c>
      <c r="BM425" s="72" t="n">
        <v>80.54000000000001</v>
      </c>
      <c r="BN425" s="66" t="n">
        <v>292.4683</v>
      </c>
      <c r="BO425" s="80" t="n">
        <v>-0.0267</v>
      </c>
      <c r="BP425" s="68" t="n">
        <v>332461.5</v>
      </c>
      <c r="BQ425" s="75">
        <f>IF('BBG Verify'!Q425="","run on terminal",'BBG Verify'!Q425)</f>
        <v/>
      </c>
      <c r="BR425" s="75">
        <f>IF('BBG Verify'!R425="","run on terminal",'BBG Verify'!R425)</f>
        <v/>
      </c>
      <c r="BS425" s="76" t="inlineStr">
        <is>
          <t>China International Capital Corporation Hong Kong Securities Limited; Huatai Financial Holdings (Hong Kong) Limited</t>
        </is>
      </c>
      <c r="BT425" s="63" t="inlineStr">
        <is>
          <t>China International Capital Corporation Hong Kong Securities Limited; Huatai Financial Holdings (Hong Kong) Limited</t>
        </is>
      </c>
      <c r="BU425" s="63" t="inlineStr">
        <is>
          <t>China International Capital Corporation Hong Kong Securities Limited; Huatai Financial Holdings (Hong Kong) Limited</t>
        </is>
      </c>
      <c r="BV425" s="63" t="inlineStr">
        <is>
          <t>China International Capital Corporation Hong Kong Securities Limited; Huatai Financial Holdings (Hong Kong) Limited</t>
        </is>
      </c>
      <c r="BW425" s="78">
        <f>HYPERLINK("https://www1.hkexnews.hk/listedco/listconews/sehk/2025/1231/2025123100035.pdf","prospectus")</f>
        <v/>
      </c>
      <c r="BX425" s="78">
        <f>HYPERLINK("https://www1.hkexnews.hk/listedco/listconews/sehk/2026/0112/2026011201539.pdf","allotment")</f>
        <v/>
      </c>
      <c r="BY425" s="78">
        <f>HYPERLINK("https://www1.hkexnews.hk/listedco/listconews/sehk/2026/0208/2026020800007.pdf","stabilisation")</f>
        <v/>
      </c>
      <c r="BZ425" s="76" t="n"/>
      <c r="CA425" s="63" t="inlineStr">
        <is>
          <t>range low: cap-only pricing — the filing publishes a Maximum Offer Price and no indicative floor · A/H: Jan 2026, ~US$600m at top of range; closed +37.5% on debut · market cap: estimate from stated market capitalisation disagreed with the published listing cap — published figure adopted · grey market: no grey-market headline on file for this deal — AAStocks publishes one per listing but keeps only recent items on the stock's news page, and no public archive of past evening sessions exists; captured from this run onward</t>
        </is>
      </c>
    </row>
    <row r="426" ht="15" customHeight="1">
      <c r="A426" s="62" t="inlineStr">
        <is>
          <t>9611</t>
        </is>
      </c>
      <c r="B426" s="63" t="inlineStr">
        <is>
          <t>LONGCHEER</t>
        </is>
      </c>
      <c r="C426" s="63" t="inlineStr">
        <is>
          <t>龍旗科技</t>
        </is>
      </c>
      <c r="D426" s="63" t="inlineStr">
        <is>
          <t>Tech/AI</t>
        </is>
      </c>
      <c r="E426" s="63" t="inlineStr">
        <is>
          <t>Smart hardware / consumer electronics</t>
        </is>
      </c>
      <c r="F426" s="63" t="inlineStr">
        <is>
          <t>Smartphone</t>
        </is>
      </c>
      <c r="G426" s="63" t="inlineStr">
        <is>
          <t>Standard</t>
        </is>
      </c>
      <c r="H426" s="64" t="n">
        <v>46044</v>
      </c>
      <c r="I426" s="65" t="n">
        <v>1620</v>
      </c>
      <c r="J426" s="63" t="inlineStr">
        <is>
          <t>gross (stated)</t>
        </is>
      </c>
      <c r="K426" s="66" t="n"/>
      <c r="L426" s="66" t="n">
        <v>31</v>
      </c>
      <c r="M426" s="66" t="n">
        <v>31</v>
      </c>
      <c r="N426" s="63" t="inlineStr">
        <is>
          <t>Y</t>
        </is>
      </c>
      <c r="O426" s="67" t="n">
        <v>100</v>
      </c>
      <c r="P426" s="67" t="n"/>
      <c r="Q426" s="68" t="n">
        <v>16200.3</v>
      </c>
      <c r="R426" s="63" t="inlineStr">
        <is>
          <t>derived:price x shares upon listing</t>
        </is>
      </c>
      <c r="S426" s="69" t="n">
        <v>1149.76</v>
      </c>
      <c r="T426" s="70" t="n">
        <v>9.02</v>
      </c>
      <c r="U426" s="71" t="n">
        <v>27.17</v>
      </c>
      <c r="V426" s="68" t="n">
        <v>1179.85</v>
      </c>
      <c r="W426" s="68" t="n">
        <v>38060303</v>
      </c>
      <c r="X426" s="67" t="n">
        <v>7.28</v>
      </c>
      <c r="Y426" s="63" t="inlineStr">
        <is>
          <t>Guokong Xinzhi Co., Limited; Endless Growth NH Limited; Qualcomm Ventures LLC; Hong Kong Yuto Printing Company Limited; Fullgoal Fund; Huatai Capital Investment Limited; ABCI Asset Management Limited; GF Global Capital Limited; Fund Management; China Galaxy International Investment Company Limited; GTJA Securities</t>
        </is>
      </c>
      <c r="Z426" s="63" t="inlineStr">
        <is>
          <t>guokong;endless;qualcomm;yuto;fullgoal;huatai;agricultural;gf;fund-management;galaxy;guotai</t>
        </is>
      </c>
      <c r="AA426" s="67" t="n">
        <v>15</v>
      </c>
      <c r="AB426" s="72" t="n"/>
      <c r="AC426" s="66" t="n"/>
      <c r="AD426" s="72" t="n"/>
      <c r="AE426" s="63" t="n"/>
      <c r="AF426" s="63" t="n"/>
      <c r="AG426" s="63" t="inlineStr">
        <is>
          <t>lapsed</t>
        </is>
      </c>
      <c r="AH426" s="63" t="inlineStr">
        <is>
          <t>2026-02-18</t>
        </is>
      </c>
      <c r="AI426" s="63" t="inlineStr">
        <is>
          <t>Citigroup Global Markets Asia Limited</t>
        </is>
      </c>
      <c r="AJ426" s="63" t="inlineStr">
        <is>
          <t>Citigroup</t>
        </is>
      </c>
      <c r="AK426" s="73" t="n">
        <v>3.55</v>
      </c>
      <c r="AL426" s="72" t="n">
        <v>12.9</v>
      </c>
      <c r="AM426" s="72" t="n">
        <v>-8.279999999999999</v>
      </c>
      <c r="AN426" s="72" t="n">
        <v>-1.61</v>
      </c>
      <c r="AO426" s="72" t="n">
        <v>-3.68</v>
      </c>
      <c r="AP426" s="72" t="n">
        <v>-29.1</v>
      </c>
      <c r="AQ426" s="72" t="n">
        <v>-4.98</v>
      </c>
      <c r="AR426" s="72" t="n">
        <v>-6.98</v>
      </c>
      <c r="AS426" s="72" t="n">
        <v>-31.53</v>
      </c>
      <c r="AT426" s="72" t="n">
        <v>-3.21</v>
      </c>
      <c r="AU426" s="72" t="n">
        <v>4.86</v>
      </c>
      <c r="AV426" s="72" t="n">
        <v>-14.69</v>
      </c>
      <c r="AW426" s="72" t="n">
        <v>1.89</v>
      </c>
      <c r="AX426" s="72" t="n">
        <v>-8.539999999999999</v>
      </c>
      <c r="AY426" s="72" t="n">
        <v>-8.869999999999999</v>
      </c>
      <c r="AZ426" s="63" t="inlineStr">
        <is>
          <t>HSTECH (Hang Seng TECH ETF)</t>
        </is>
      </c>
      <c r="BA426" s="72" t="n">
        <v>-27.16</v>
      </c>
      <c r="BB426" s="64" t="inlineStr">
        <is>
          <t>2026-08-28</t>
        </is>
      </c>
      <c r="BC426" s="65" t="n">
        <v>51020.7</v>
      </c>
      <c r="BD426" s="68" t="n">
        <v>542.7</v>
      </c>
      <c r="BE426" s="63" t="inlineStr">
        <is>
          <t>Y</t>
        </is>
      </c>
      <c r="BF426" s="74" t="n">
        <v>29.9</v>
      </c>
      <c r="BG426" s="74" t="n">
        <v>22.6</v>
      </c>
      <c r="BH426" s="74" t="n">
        <v>16.3</v>
      </c>
      <c r="BI426" s="74" t="n">
        <v>0.3</v>
      </c>
      <c r="BJ426" s="75">
        <f>IF('BBG Verify'!S426="","not filed — run on terminal",'BBG Verify'!S426)</f>
        <v/>
      </c>
      <c r="BK426" s="76" t="inlineStr">
        <is>
          <t>Y</t>
        </is>
      </c>
      <c r="BL426" s="63" t="inlineStr">
        <is>
          <t>603341.SS</t>
        </is>
      </c>
      <c r="BM426" s="72" t="n">
        <v>75.63</v>
      </c>
      <c r="BN426" s="66" t="n">
        <v>54.4441</v>
      </c>
      <c r="BO426" s="80" t="n">
        <v>0.8847</v>
      </c>
      <c r="BP426" s="68" t="n">
        <v>22777.9</v>
      </c>
      <c r="BQ426" s="75">
        <f>IF('BBG Verify'!Q426="","run on terminal",'BBG Verify'!Q426)</f>
        <v/>
      </c>
      <c r="BR426" s="75">
        <f>IF('BBG Verify'!R426="","run on terminal",'BBG Verify'!R426)</f>
        <v/>
      </c>
      <c r="BS426" s="76" t="inlineStr">
        <is>
          <t>Citigroup Global Markets Asia Limited; Haitong International Capital Limited; Guotai Junan Capital Limited</t>
        </is>
      </c>
      <c r="BT426" s="63" t="inlineStr">
        <is>
          <t>Haitong International Capital Limited; Guotai Junan Capital Limited; Citigroup Global Markets Asia Limited</t>
        </is>
      </c>
      <c r="BU426" s="63" t="inlineStr">
        <is>
          <t>Citigroup Global Markets Asia Limited; Haitong International Securities Company Limited; Guotai Junan Securities (Hong Kong) Limited; Huatai Financial Holdings (Hong Kong) Limited; ABCI Capital Limited; Citigroup Global Markets Limited; Tiger Brokers (HK) Global Limited</t>
        </is>
      </c>
      <c r="BV426" s="63" t="inlineStr">
        <is>
          <t>ABCI Securities Company Limited; Citigroup Global Markets Asia Limited; Futu Securities International (Hong Kong) Limited; Guotai Junan Securities (Hong Kong) Limited; Huatai Financial Holdings (Hong Kong) Limited; Haitong International Securities Company Limited; Open Securities Limited; Tiger Brokers (HK) Global Limited</t>
        </is>
      </c>
      <c r="BW426" s="78">
        <f>HYPERLINK("https://www1.hkexnews.hk/listedco/listconews/sehk/2026/0114/2026011400011.pdf","prospectus")</f>
        <v/>
      </c>
      <c r="BX426" s="78">
        <f>HYPERLINK("https://www1.hkexnews.hk/listedco/listconews/sehk/2026/0121/2026012101145.pdf","allotment")</f>
        <v/>
      </c>
      <c r="BY426" s="78">
        <f>HYPERLINK("https://www1.hkexnews.hk/listedco/listconews/sehk/2026/0223/2026022300424.pdf","stabilisation")</f>
        <v/>
      </c>
      <c r="BZ426" s="76" t="n"/>
      <c r="CA426" s="63" t="inlineStr">
        <is>
          <t>range low: cap-only pricing — the filing publishes a Maximum Offer Price and no indicative floor · A/H: Jan 2026 H listing (smart-device ODM) · grey market: no grey-market headline on file for this deal — AAStocks publishes one per listing but keeps only recent items on the stock's news page, and no public archive of past evening sessions exists; captured from this run onward</t>
        </is>
      </c>
    </row>
    <row r="427" ht="15" customHeight="1">
      <c r="A427" s="62" t="inlineStr">
        <is>
          <t>1768</t>
        </is>
      </c>
      <c r="B427" s="63" t="inlineStr">
        <is>
          <t>BUSYMING</t>
        </is>
      </c>
      <c r="C427" s="63" t="inlineStr">
        <is>
          <t>鳴鳴很忙</t>
        </is>
      </c>
      <c r="D427" s="63" t="inlineStr">
        <is>
          <t>Consumer</t>
        </is>
      </c>
      <c r="E427" s="63" t="inlineStr">
        <is>
          <t>Beverages / packaged food</t>
        </is>
      </c>
      <c r="F427" s="63" t="inlineStr">
        <is>
          <t>Packaged Foods</t>
        </is>
      </c>
      <c r="G427" s="63" t="inlineStr">
        <is>
          <t>Standard</t>
        </is>
      </c>
      <c r="H427" s="64" t="n">
        <v>46050</v>
      </c>
      <c r="I427" s="65" t="n">
        <v>3670</v>
      </c>
      <c r="J427" s="63" t="inlineStr">
        <is>
          <t>gross (stated)</t>
        </is>
      </c>
      <c r="K427" s="66" t="n"/>
      <c r="L427" s="66" t="n">
        <v>236.6</v>
      </c>
      <c r="M427" s="66" t="n">
        <v>236.6</v>
      </c>
      <c r="N427" s="63" t="inlineStr">
        <is>
          <t>Y</t>
        </is>
      </c>
      <c r="O427" s="67" t="n">
        <v>100</v>
      </c>
      <c r="P427" s="67" t="n"/>
      <c r="Q427" s="68" t="n">
        <v>50989.9</v>
      </c>
      <c r="R427" s="63" t="inlineStr">
        <is>
          <t>derived:price x shares upon listing</t>
        </is>
      </c>
      <c r="S427" s="69" t="n">
        <v>1899.49</v>
      </c>
      <c r="T427" s="70" t="n">
        <v>44.44</v>
      </c>
      <c r="U427" s="71" t="n">
        <v>45.6</v>
      </c>
      <c r="V427" s="68" t="n">
        <v>1996.48</v>
      </c>
      <c r="W427" s="68" t="n">
        <v>8438093</v>
      </c>
      <c r="X427" s="67" t="n">
        <v>3.92</v>
      </c>
      <c r="Y427" s="63" t="inlineStr">
        <is>
          <t>Mr. Zhao; Changsha Xunmang; Changsha Jianmang; Changsha Lingmang; Changsha Zhongmang; Shanghai Bird Nest; Yichun Yikouniao; HongShan Hanchen; Gaorong LKZN; Discounter Seed; HongShan Yaheng; Shanghai Yihai; Xiamen Black Ant</t>
        </is>
      </c>
      <c r="Z427" s="63" t="inlineStr">
        <is>
          <t>mr-zhao;changsha;shanghai-bird;yichun;hongshan;gaorong;discounter;shanghai-yihai;xiamen</t>
        </is>
      </c>
      <c r="AA427" s="67" t="n">
        <v>15</v>
      </c>
      <c r="AB427" s="72" t="n"/>
      <c r="AC427" s="66" t="n"/>
      <c r="AD427" s="72" t="n"/>
      <c r="AE427" s="63" t="n"/>
      <c r="AF427" s="63" t="n"/>
      <c r="AG427" s="63" t="n"/>
      <c r="AH427" s="63" t="n"/>
      <c r="AI427" s="63" t="inlineStr">
        <is>
          <t>Goldman Sachs</t>
        </is>
      </c>
      <c r="AJ427" s="63" t="inlineStr">
        <is>
          <t>Goldman Sachs</t>
        </is>
      </c>
      <c r="AK427" s="73" t="n">
        <v>69.06</v>
      </c>
      <c r="AL427" s="72" t="n">
        <v>88.08</v>
      </c>
      <c r="AM427" s="72" t="n">
        <v>-10.11</v>
      </c>
      <c r="AN427" s="72" t="n">
        <v>68.81</v>
      </c>
      <c r="AO427" s="72" t="n">
        <v>65.17</v>
      </c>
      <c r="AP427" s="72" t="n">
        <v>84.11</v>
      </c>
      <c r="AQ427" s="72" t="n">
        <v>-0.15</v>
      </c>
      <c r="AR427" s="72" t="n">
        <v>-2.3</v>
      </c>
      <c r="AS427" s="72" t="n">
        <v>8.9</v>
      </c>
      <c r="AT427" s="72" t="n">
        <v>72.29000000000001</v>
      </c>
      <c r="AU427" s="72" t="n">
        <v>73.93000000000001</v>
      </c>
      <c r="AV427" s="72" t="n">
        <v>92.84999999999999</v>
      </c>
      <c r="AW427" s="72" t="n">
        <v>8.77</v>
      </c>
      <c r="AX427" s="72" t="n">
        <v>-8.76</v>
      </c>
      <c r="AY427" s="72" t="n">
        <v>-11.07</v>
      </c>
      <c r="AZ427" s="63" t="inlineStr">
        <is>
          <t>Hang Seng Commerce &amp; Industry sub-index</t>
        </is>
      </c>
      <c r="BA427" s="72" t="n">
        <v>88</v>
      </c>
      <c r="BB427" s="64" t="inlineStr">
        <is>
          <t>2026-08-28</t>
        </is>
      </c>
      <c r="BC427" s="65" t="n">
        <v>72787.39999999999</v>
      </c>
      <c r="BD427" s="68" t="n">
        <v>2562.1</v>
      </c>
      <c r="BE427" s="63" t="inlineStr">
        <is>
          <t>Y</t>
        </is>
      </c>
      <c r="BF427" s="74" t="n">
        <v>19.9</v>
      </c>
      <c r="BG427" s="74" t="n"/>
      <c r="BH427" s="74" t="n"/>
      <c r="BI427" s="74" t="n">
        <v>0.7</v>
      </c>
      <c r="BJ427" s="75">
        <f>IF('BBG Verify'!S427="","not filed — run on terminal",'BBG Verify'!S427)</f>
        <v/>
      </c>
      <c r="BK427" s="76" t="inlineStr">
        <is>
          <t>N</t>
        </is>
      </c>
      <c r="BL427" s="77">
        <f>IF('BBG Verify'!K427="","not filed — run on terminal",'BBG Verify'!K427)</f>
        <v/>
      </c>
      <c r="BM427" s="63" t="inlineStr">
        <is>
          <t>N/A</t>
        </is>
      </c>
      <c r="BN427" s="63" t="inlineStr">
        <is>
          <t>N/A</t>
        </is>
      </c>
      <c r="BO427" s="63" t="inlineStr">
        <is>
          <t>N/A</t>
        </is>
      </c>
      <c r="BP427" s="63" t="inlineStr">
        <is>
          <t>N/A</t>
        </is>
      </c>
      <c r="BQ427" s="63" t="inlineStr">
        <is>
          <t>N/A</t>
        </is>
      </c>
      <c r="BR427" s="63" t="inlineStr">
        <is>
          <t>N/A</t>
        </is>
      </c>
      <c r="BS427" s="76" t="inlineStr">
        <is>
          <t>Goldman Sachs; Huatai Financial Holdings (Hong Kong)</t>
        </is>
      </c>
      <c r="BT427" s="63" t="inlineStr">
        <is>
          <t>Goldman Sachs (Asia) L.L.C.; Huatai Financial Holdings (Hong Kong) Limited</t>
        </is>
      </c>
      <c r="BU427" s="63" t="inlineStr">
        <is>
          <t>Deutsche Bank AG; Hong Kong Branch; Futu Securities International (Hong Kong) Limited; Goldman Sachs (Asia) L.L.C.; Huatai Financial Holdings (Hong Kong) Limited; Haitong International Securities Company Limited</t>
        </is>
      </c>
      <c r="BV427" s="63" t="inlineStr">
        <is>
          <t>Deutsche Bank AG; Hong Kong Branch; Futu Securities International (Hong Kong) Limited; Goldman Sachs (Asia) L.L.C.; Huatai Financial Holdings (Hong Kong) Limited; Haitong International Securities Company Limited; SPDB International Capital Limited</t>
        </is>
      </c>
      <c r="BW427" s="63" t="n"/>
      <c r="BX427" s="78">
        <f>HYPERLINK("https://www1.hkexnews.hk/listedco/listconews/sehk/2026/0127/2026012701713.pdf","allotment")</f>
        <v/>
      </c>
      <c r="BY427" s="63" t="n"/>
      <c r="BZ427" s="76" t="n"/>
      <c r="CA427" s="63" t="inlineStr">
        <is>
          <t>greenshoe: end-of-stabilisation notice not located · price range: fixed-price offering (no indicative range) · range low: cap-only pricing — the filing publishes a Maximum Offer Price and no indicative floor · A/H: no A-share listing · filing links: no prospectus document returned by the HKEX per-stock search for this code — the allotment announcement is linked beside it · grey market: no grey-market headline on file for this deal — AAStocks publishes one per listing but keeps only recent items on the stock's news page, and no public archive of past evening sessions exists; captured from this run onward</t>
        </is>
      </c>
    </row>
    <row r="428" ht="15" customHeight="1">
      <c r="A428" s="62" t="inlineStr">
        <is>
          <t>9980</t>
        </is>
      </c>
      <c r="B428" s="63" t="inlineStr">
        <is>
          <t>EASTROC</t>
        </is>
      </c>
      <c r="C428" s="63" t="inlineStr">
        <is>
          <t>東鵬飲料</t>
        </is>
      </c>
      <c r="D428" s="63" t="inlineStr">
        <is>
          <t>Consumer</t>
        </is>
      </c>
      <c r="E428" s="63" t="inlineStr">
        <is>
          <t>Beverages / packaged food</t>
        </is>
      </c>
      <c r="F428" s="63" t="inlineStr">
        <is>
          <t>Beverages (Non-alcoholic)</t>
        </is>
      </c>
      <c r="G428" s="63" t="inlineStr">
        <is>
          <t>Standard</t>
        </is>
      </c>
      <c r="H428" s="64" t="n">
        <v>46056</v>
      </c>
      <c r="I428" s="65" t="n">
        <v>10140.7</v>
      </c>
      <c r="J428" s="63" t="inlineStr">
        <is>
          <t>gross (stated)</t>
        </is>
      </c>
      <c r="K428" s="66" t="n"/>
      <c r="L428" s="66" t="n">
        <v>248</v>
      </c>
      <c r="M428" s="66" t="n">
        <v>248</v>
      </c>
      <c r="N428" s="63" t="inlineStr">
        <is>
          <t>Y</t>
        </is>
      </c>
      <c r="O428" s="67" t="n">
        <v>100</v>
      </c>
      <c r="P428" s="67" t="n"/>
      <c r="Q428" s="68" t="n">
        <v>139103.9</v>
      </c>
      <c r="R428" s="63" t="inlineStr">
        <is>
          <t>derived:price x shares upon listing</t>
        </is>
      </c>
      <c r="S428" s="69" t="n">
        <v>57.46</v>
      </c>
      <c r="T428" s="70" t="n">
        <v>15.6</v>
      </c>
      <c r="U428" s="71" t="n">
        <v>49.2</v>
      </c>
      <c r="V428" s="68" t="n">
        <v>5151.48</v>
      </c>
      <c r="W428" s="68" t="n"/>
      <c r="X428" s="67" t="n">
        <v>3.7</v>
      </c>
      <c r="Y428" s="63" t="inlineStr">
        <is>
          <t>Al-Rayyan Holding LLC; Taibai Investments Pte. Ltd; True Light Investments H Pte. Ltd; Huang River Investment Limited; HSG Growth VII Holdco, Ltd; Azure Skylines Limited; Taikang Life Insurance Co., Ltd; Investments 1 Limited; Velmar Company Limited; Pinpoint Asset Management Limited; Amazing Mountain Limited; Phase II L.P</t>
        </is>
      </c>
      <c r="Z428" s="63" t="inlineStr">
        <is>
          <t>al;taibai;true;huang-river;hsg;azure;taikang;investments-limited;velmar;pinpoint;amazing;phase</t>
        </is>
      </c>
      <c r="AA428" s="67" t="n">
        <v>7.29</v>
      </c>
      <c r="AB428" s="72" t="n"/>
      <c r="AC428" s="66" t="n"/>
      <c r="AD428" s="72" t="n"/>
      <c r="AE428" s="63" t="n"/>
      <c r="AF428" s="63" t="n"/>
      <c r="AG428" s="63" t="inlineStr">
        <is>
          <t>partial</t>
        </is>
      </c>
      <c r="AH428" s="63" t="n"/>
      <c r="AI428" s="63" t="inlineStr">
        <is>
          <t>Morgan Stanley Asia Limited</t>
        </is>
      </c>
      <c r="AJ428" s="63" t="inlineStr">
        <is>
          <t>Morgan Stanley</t>
        </is>
      </c>
      <c r="AK428" s="73" t="n">
        <v>1.53</v>
      </c>
      <c r="AL428" s="72" t="n">
        <v>0</v>
      </c>
      <c r="AM428" s="72" t="n">
        <v>1.53</v>
      </c>
      <c r="AN428" s="72" t="n">
        <v>0.8100000000000001</v>
      </c>
      <c r="AO428" s="72" t="n">
        <v>-13.87</v>
      </c>
      <c r="AP428" s="72" t="n">
        <v>-12.46</v>
      </c>
      <c r="AQ428" s="72" t="n">
        <v>-0.71</v>
      </c>
      <c r="AR428" s="72" t="n">
        <v>-15.17</v>
      </c>
      <c r="AS428" s="72" t="n">
        <v>-13.78</v>
      </c>
      <c r="AT428" s="72" t="n">
        <v>-0.05</v>
      </c>
      <c r="AU428" s="72" t="n">
        <v>-7.17</v>
      </c>
      <c r="AV428" s="72" t="n">
        <v>-6.91</v>
      </c>
      <c r="AW428" s="72" t="n">
        <v>-8.83</v>
      </c>
      <c r="AX428" s="72" t="n">
        <v>-6.7</v>
      </c>
      <c r="AY428" s="72" t="n">
        <v>-6.34</v>
      </c>
      <c r="AZ428" s="63" t="inlineStr">
        <is>
          <t>Hang Seng Commerce &amp; Industry sub-index</t>
        </is>
      </c>
      <c r="BA428" s="72" t="n">
        <v>-42.86</v>
      </c>
      <c r="BB428" s="64" t="inlineStr">
        <is>
          <t>2026-08-31</t>
        </is>
      </c>
      <c r="BC428" s="65" t="n">
        <v>17413.4</v>
      </c>
      <c r="BD428" s="68" t="n">
        <v>3659.1</v>
      </c>
      <c r="BE428" s="63" t="inlineStr">
        <is>
          <t>Y</t>
        </is>
      </c>
      <c r="BF428" s="74" t="n">
        <v>38</v>
      </c>
      <c r="BG428" s="74" t="n">
        <v>26.3</v>
      </c>
      <c r="BH428" s="74" t="n">
        <v>14.4</v>
      </c>
      <c r="BI428" s="74" t="n">
        <v>8</v>
      </c>
      <c r="BJ428" s="75">
        <f>IF('BBG Verify'!S428="","not filed — run on terminal",'BBG Verify'!S428)</f>
        <v/>
      </c>
      <c r="BK428" s="76" t="inlineStr">
        <is>
          <t>Y</t>
        </is>
      </c>
      <c r="BL428" s="63" t="inlineStr">
        <is>
          <t>605499.SS</t>
        </is>
      </c>
      <c r="BM428" s="72" t="n">
        <v>16.43</v>
      </c>
      <c r="BN428" s="66" t="n">
        <v>288.7582</v>
      </c>
      <c r="BO428" s="80" t="n">
        <v>0.283</v>
      </c>
      <c r="BP428" s="68" t="n">
        <v>102792.2</v>
      </c>
      <c r="BQ428" s="75">
        <f>IF('BBG Verify'!Q428="","run on terminal",'BBG Verify'!Q428)</f>
        <v/>
      </c>
      <c r="BR428" s="75">
        <f>IF('BBG Verify'!R428="","run on terminal",'BBG Verify'!R428)</f>
        <v/>
      </c>
      <c r="BS428" s="76" t="inlineStr">
        <is>
          <t>Huatai Financial Holdings (Hong Kong) Limited; Morgan Stanley Asia Limited; UBS Securities Hong Kong Limited</t>
        </is>
      </c>
      <c r="BT428" s="63" t="inlineStr">
        <is>
          <t>Morgan Stanley Asia Limited; UBS Securities Hong Kong Limited; Huatai Financial Holdings (Hong Kong) Limited</t>
        </is>
      </c>
      <c r="BU428" s="63" t="inlineStr">
        <is>
          <t>Huatai Financial Holdings (Hong Kong) Limited; Morgan Stanley Asia Limited; UBS AG Hong Kong Branch</t>
        </is>
      </c>
      <c r="BV428" s="63" t="inlineStr">
        <is>
          <t>Huatai Financial Holdings (Hong Kong) Limited; Morgan Stanley Asia Limited; UBS AG Hong Kong Branch</t>
        </is>
      </c>
      <c r="BW428" s="78">
        <f>HYPERLINK("https://www1.hkexnews.hk/listedco/listconews/sehk/2026/0126/2026012600003.pdf","prospectus")</f>
        <v/>
      </c>
      <c r="BX428" s="78">
        <f>HYPERLINK("https://www1.hkexnews.hk/listedco/listconews/sehk/2026/0202/2026020203212.pdf","allotment")</f>
        <v/>
      </c>
      <c r="BY428" s="78">
        <f>HYPERLINK("https://www1.hkexnews.hk/listedco/listconews/sehk/2026/0301/2026030100013.pdf","stabilisation")</f>
        <v/>
      </c>
      <c r="BZ428" s="76" t="n"/>
      <c r="CA428" s="63" t="inlineStr">
        <is>
          <t>greenshoe: over-allotment outcome already published, and the allotment announcement does not state the stabilisation expiry in a parsable form — the expiry no longer matters once resolved · range low: cap-only pricing — the filing publishes a Maximum Offer Price and no indicative floor · A/H: Feb 2026, ~HK$10.1bn at HK$248/sh — largest HK IPO of early 2026 · grey market: no grey-market headline on file for this deal — AAStocks publishes one per listing but keeps only recent items on the stock's news page, and no public archive of past evening sessions exists; captured from this run onward · eff float shares: share count unavailable or rejected as implausible — the money figure (eff_free_float_hkdm) is still exact</t>
        </is>
      </c>
    </row>
    <row r="429" ht="15" customHeight="1">
      <c r="A429" s="62" t="inlineStr">
        <is>
          <t>2768</t>
        </is>
      </c>
      <c r="B429" s="63" t="inlineStr">
        <is>
          <t>GON TECHNOLOGY</t>
        </is>
      </c>
      <c r="C429" s="63" t="inlineStr">
        <is>
          <t>國恩科技</t>
        </is>
      </c>
      <c r="D429" s="63" t="inlineStr">
        <is>
          <t>Tech/AI</t>
        </is>
      </c>
      <c r="E429" s="63" t="inlineStr">
        <is>
          <t>Smart hardware / consumer electronics</t>
        </is>
      </c>
      <c r="F429" s="63" t="inlineStr">
        <is>
          <t>Diversified Chemicals</t>
        </is>
      </c>
      <c r="G429" s="63" t="inlineStr">
        <is>
          <t>Standard</t>
        </is>
      </c>
      <c r="H429" s="64" t="n">
        <v>46057</v>
      </c>
      <c r="I429" s="65" t="n">
        <v>1080</v>
      </c>
      <c r="J429" s="63" t="inlineStr">
        <is>
          <t>gross (stated)</t>
        </is>
      </c>
      <c r="K429" s="66" t="n"/>
      <c r="L429" s="66" t="n">
        <v>36</v>
      </c>
      <c r="M429" s="66" t="n">
        <v>36</v>
      </c>
      <c r="N429" s="63" t="inlineStr">
        <is>
          <t>Y</t>
        </is>
      </c>
      <c r="O429" s="67" t="n">
        <v>100</v>
      </c>
      <c r="P429" s="67" t="n"/>
      <c r="Q429" s="68" t="n">
        <v>10845</v>
      </c>
      <c r="R429" s="63" t="inlineStr">
        <is>
          <t>derived:price x shares upon listing</t>
        </is>
      </c>
      <c r="S429" s="69" t="n">
        <v>2251.85</v>
      </c>
      <c r="T429" s="70" t="n">
        <v>10.03</v>
      </c>
      <c r="U429" s="71" t="n"/>
      <c r="V429" s="68" t="n"/>
      <c r="W429" s="68" t="n"/>
      <c r="X429" s="67" t="n"/>
      <c r="Y429" s="63" t="inlineStr">
        <is>
          <t>Nice First Investments Limited; Zhou Wanyuan; GF Global Capital Limited; CMBI (Singapore) Pte. Limited; Fullgoal HK; E Fund Management Co., Ltd; SLD International Enterprises Limited; Cheng A International Co., Limited; First Seafront Fund Series SPC; Luminous Horizon</t>
        </is>
      </c>
      <c r="Z429" s="63" t="inlineStr">
        <is>
          <t>nice;zhou-wanyuan;gf;cmbi;fullgoal;fund-management;sld;cheng;first-seafront;luminous</t>
        </is>
      </c>
      <c r="AA429" s="67" t="n"/>
      <c r="AB429" s="72" t="n"/>
      <c r="AC429" s="66" t="n"/>
      <c r="AD429" s="72" t="n"/>
      <c r="AE429" s="63" t="n"/>
      <c r="AF429" s="63" t="n"/>
      <c r="AG429" s="63" t="n"/>
      <c r="AH429" s="63" t="n"/>
      <c r="AI429" s="63" t="n"/>
      <c r="AJ429" s="63" t="n"/>
      <c r="AK429" s="73" t="n">
        <v>11.56</v>
      </c>
      <c r="AL429" s="72" t="n">
        <v>25</v>
      </c>
      <c r="AM429" s="72" t="n">
        <v>-10.75</v>
      </c>
      <c r="AN429" s="72" t="n">
        <v>27.22</v>
      </c>
      <c r="AO429" s="72" t="n">
        <v>33.22</v>
      </c>
      <c r="AP429" s="72" t="n">
        <v>43.75</v>
      </c>
      <c r="AQ429" s="72" t="n">
        <v>14.04</v>
      </c>
      <c r="AR429" s="72" t="n">
        <v>19.42</v>
      </c>
      <c r="AS429" s="72" t="n">
        <v>28.85</v>
      </c>
      <c r="AT429" s="72" t="n">
        <v>26.57</v>
      </c>
      <c r="AU429" s="72" t="n">
        <v>40.68</v>
      </c>
      <c r="AV429" s="72" t="n">
        <v>50.43</v>
      </c>
      <c r="AW429" s="72" t="n">
        <v>25.2</v>
      </c>
      <c r="AX429" s="72" t="n">
        <v>-7.46</v>
      </c>
      <c r="AY429" s="72" t="n">
        <v>-5.78</v>
      </c>
      <c r="AZ429" s="63" t="inlineStr">
        <is>
          <t>HSTECH (Hang Seng TECH ETF)</t>
        </is>
      </c>
      <c r="BA429" s="72" t="n">
        <v>57.87</v>
      </c>
      <c r="BB429" s="64" t="inlineStr">
        <is>
          <t>2026-08-31</t>
        </is>
      </c>
      <c r="BC429" s="65" t="n">
        <v>23376.4</v>
      </c>
      <c r="BD429" s="68" t="n">
        <v>937.2</v>
      </c>
      <c r="BE429" s="63" t="inlineStr">
        <is>
          <t>Y</t>
        </is>
      </c>
      <c r="BF429" s="74" t="n">
        <v>11.6</v>
      </c>
      <c r="BG429" s="74" t="n">
        <v>11.2</v>
      </c>
      <c r="BH429" s="74" t="n">
        <v>16.5</v>
      </c>
      <c r="BI429" s="74" t="n">
        <v>0.5</v>
      </c>
      <c r="BJ429" s="75">
        <f>IF('BBG Verify'!S429="","not filed — run on terminal",'BBG Verify'!S429)</f>
        <v/>
      </c>
      <c r="BK429" s="76" t="inlineStr">
        <is>
          <t>Y</t>
        </is>
      </c>
      <c r="BL429" s="63" t="inlineStr">
        <is>
          <t>002768.SZ</t>
        </is>
      </c>
      <c r="BM429" s="72" t="n">
        <v>74.11</v>
      </c>
      <c r="BN429" s="66" t="n">
        <v>62.6783</v>
      </c>
      <c r="BO429" s="80" t="n">
        <v>1.0222</v>
      </c>
      <c r="BP429" s="68" t="n">
        <v>33945.1</v>
      </c>
      <c r="BQ429" s="75">
        <f>IF('BBG Verify'!Q429="","run on terminal",'BBG Verify'!Q429)</f>
        <v/>
      </c>
      <c r="BR429" s="75">
        <f>IF('BBG Verify'!R429="","run on terminal",'BBG Verify'!R429)</f>
        <v/>
      </c>
      <c r="BS429" s="76" t="n"/>
      <c r="BT429" s="63" t="inlineStr">
        <is>
          <t>China Merchants Securities (HK) Company Limited</t>
        </is>
      </c>
      <c r="BU429" s="63" t="inlineStr">
        <is>
          <t>China International Capital Corporation Hong Kong Securities Limited; CLSA Limited; CMB International Capital Limited; China Merchants Securities (HK) Company Limited; Livermore Holdings Limited; Tiger Brokers (HK) Global Limited</t>
        </is>
      </c>
      <c r="BV429" s="63" t="inlineStr">
        <is>
          <t>China International Capital Corporation Hong Kong Securities Limited; CLSA Limited; CMB International Capital Limited; China Merchants Securities (HK) Company Limited; Livermore Holdings Limited; Tiger Brokers (HK) Global Limited</t>
        </is>
      </c>
      <c r="BW429" s="63" t="n"/>
      <c r="BX429" s="78">
        <f>HYPERLINK("https://www1.hkexnews.hk/listedco/listconews/sehk/2026/0203/2026020302602.pdf","allotment")</f>
        <v/>
      </c>
      <c r="BY429" s="63" t="n"/>
      <c r="BZ429" s="76" t="n"/>
      <c r="CA429" s="63" t="inlineStr">
        <is>
          <t>greenshoe: no over-allotment option in the offer structure · price range: fixed-price offering (no indicative range) · range low: cap-only pricing — the filing publishes a Maximum Offer Price and no indicative floor · A/H: Feb 2026 H listing (polymer materials) · sponsor: English name not in the filing text; AAStocks 保薦人 shown · market cap: today's A-line share count implies HK$15,718m, 31% above the filed count at listing — a capitalisation issue after listing; the filed count is kept · cornerstone %: cornerstone aggregate not stated in the filing · greenshoe size: no over-allotment option in the offer structure · stabilising manager: no over-allotment option in the offer structure, so no stabilising manager is appointed · filing links: no prospectus document returned by the HKEX per-stock search for this code — the allotment announcement is linked beside it · grey market: no grey-market headline on file for this deal — AAStocks publishes one per listing but keeps only recent items on the stock's news page, and no public archive of past evening sessions exists; captured from this run onward · eff free float: not computable as a % of cap — cornerstone % unknown</t>
        </is>
      </c>
    </row>
    <row r="430" ht="15" customHeight="1">
      <c r="A430" s="62" t="inlineStr">
        <is>
          <t>2677</t>
        </is>
      </c>
      <c r="B430" s="63" t="inlineStr">
        <is>
          <t>DISTINCT HEALTH</t>
        </is>
      </c>
      <c r="C430" s="63" t="inlineStr">
        <is>
          <t>卓正醫療</t>
        </is>
      </c>
      <c r="D430" s="63" t="inlineStr">
        <is>
          <t>Healthcare</t>
        </is>
      </c>
      <c r="E430" s="63" t="inlineStr">
        <is>
          <t>Digital health</t>
        </is>
      </c>
      <c r="F430" s="63" t="inlineStr">
        <is>
          <t>Health Care Services</t>
        </is>
      </c>
      <c r="G430" s="63" t="inlineStr">
        <is>
          <t>Standard</t>
        </is>
      </c>
      <c r="H430" s="64" t="n">
        <v>46059</v>
      </c>
      <c r="I430" s="65" t="n">
        <v>284.53</v>
      </c>
      <c r="J430" s="63" t="inlineStr">
        <is>
          <t>gross (stated)</t>
        </is>
      </c>
      <c r="K430" s="66" t="n">
        <v>57.7</v>
      </c>
      <c r="L430" s="66" t="n">
        <v>66.59999999999999</v>
      </c>
      <c r="M430" s="66" t="n">
        <v>59.9</v>
      </c>
      <c r="N430" s="63" t="inlineStr">
        <is>
          <t>N</t>
        </is>
      </c>
      <c r="O430" s="67" t="n">
        <v>89.90000000000001</v>
      </c>
      <c r="P430" s="67" t="n">
        <v>24.7</v>
      </c>
      <c r="Q430" s="68" t="n">
        <v>3856.6</v>
      </c>
      <c r="R430" s="63" t="inlineStr">
        <is>
          <t>derived:price x shares upon listing</t>
        </is>
      </c>
      <c r="S430" s="69" t="n">
        <v>2730.73</v>
      </c>
      <c r="T430" s="70" t="n">
        <v>5.79</v>
      </c>
      <c r="U430" s="71" t="n">
        <v>29</v>
      </c>
      <c r="V430" s="68" t="n">
        <v>202.02</v>
      </c>
      <c r="W430" s="68" t="n">
        <v>3372500</v>
      </c>
      <c r="X430" s="67" t="n">
        <v>5.24</v>
      </c>
      <c r="Y430" s="63" t="inlineStr">
        <is>
          <t>Health Vision Hong Kong Limited; KingMed Diagnostics (Hong Kong) Limited (ਹᏨ᜕ (ಥ)ʮ̡; Mininglamp Technology; Galaxy Dynasty Limited</t>
        </is>
      </c>
      <c r="Z430" s="63" t="inlineStr">
        <is>
          <t>health;kingmed;mininglamp;galaxy</t>
        </is>
      </c>
      <c r="AA430" s="67" t="n">
        <v>15</v>
      </c>
      <c r="AB430" s="72" t="n">
        <v>48.2</v>
      </c>
      <c r="AC430" s="66" t="n">
        <v>88.8</v>
      </c>
      <c r="AD430" s="72" t="n">
        <v>-23.51</v>
      </c>
      <c r="AE430" s="63" t="inlineStr">
        <is>
          <t>Y</t>
        </is>
      </c>
      <c r="AF430" s="63" t="inlineStr">
        <is>
          <t>2026-02-05</t>
        </is>
      </c>
      <c r="AG430" s="63" t="inlineStr">
        <is>
          <t>partial</t>
        </is>
      </c>
      <c r="AH430" s="63" t="inlineStr">
        <is>
          <t>2026-03-05</t>
        </is>
      </c>
      <c r="AI430" s="63" t="n"/>
      <c r="AJ430" s="63" t="n"/>
      <c r="AK430" s="73" t="n">
        <v>13.36</v>
      </c>
      <c r="AL430" s="72" t="n">
        <v>35.23</v>
      </c>
      <c r="AM430" s="72" t="n">
        <v>-16.17</v>
      </c>
      <c r="AN430" s="72" t="n">
        <v>-3.17</v>
      </c>
      <c r="AO430" s="72" t="n">
        <v>9.1</v>
      </c>
      <c r="AP430" s="72" t="n">
        <v>-54.49</v>
      </c>
      <c r="AQ430" s="72" t="n">
        <v>-14.58</v>
      </c>
      <c r="AR430" s="72" t="n">
        <v>-3.76</v>
      </c>
      <c r="AS430" s="72" t="n">
        <v>-59.85</v>
      </c>
      <c r="AT430" s="72" t="n">
        <v>-4.64</v>
      </c>
      <c r="AU430" s="72" t="n">
        <v>14.97</v>
      </c>
      <c r="AV430" s="72" t="n">
        <v>-61.12</v>
      </c>
      <c r="AW430" s="72" t="n">
        <v>2.14</v>
      </c>
      <c r="AX430" s="72" t="n">
        <v>-5.87</v>
      </c>
      <c r="AY430" s="72" t="n">
        <v>-5.9</v>
      </c>
      <c r="AZ430" s="63" t="inlineStr">
        <is>
          <t>China Biotech ETF (HS biotech proxy)</t>
        </is>
      </c>
      <c r="BA430" s="72" t="n">
        <v>-60.13</v>
      </c>
      <c r="BB430" s="64" t="inlineStr">
        <is>
          <t>2026-08-28</t>
        </is>
      </c>
      <c r="BC430" s="65" t="n">
        <v>1054.4</v>
      </c>
      <c r="BD430" s="68" t="n">
        <v>88.2</v>
      </c>
      <c r="BE430" s="63" t="inlineStr">
        <is>
          <t>Y</t>
        </is>
      </c>
      <c r="BF430" s="74" t="n">
        <v>43.7</v>
      </c>
      <c r="BG430" s="74" t="n"/>
      <c r="BH430" s="74" t="n"/>
      <c r="BI430" s="74" t="n">
        <v>3.7</v>
      </c>
      <c r="BJ430" s="75">
        <f>IF('BBG Verify'!S430="","not filed — run on terminal",'BBG Verify'!S430)</f>
        <v/>
      </c>
      <c r="BK430" s="76" t="inlineStr">
        <is>
          <t>N</t>
        </is>
      </c>
      <c r="BL430" s="77">
        <f>IF('BBG Verify'!K430="","not filed — run on terminal",'BBG Verify'!K430)</f>
        <v/>
      </c>
      <c r="BM430" s="63" t="inlineStr">
        <is>
          <t>N/A</t>
        </is>
      </c>
      <c r="BN430" s="63" t="inlineStr">
        <is>
          <t>N/A</t>
        </is>
      </c>
      <c r="BO430" s="63" t="inlineStr">
        <is>
          <t>N/A</t>
        </is>
      </c>
      <c r="BP430" s="63" t="inlineStr">
        <is>
          <t>N/A</t>
        </is>
      </c>
      <c r="BQ430" s="63" t="inlineStr">
        <is>
          <t>N/A</t>
        </is>
      </c>
      <c r="BR430" s="63" t="inlineStr">
        <is>
          <t>N/A</t>
        </is>
      </c>
      <c r="BS430" s="76" t="inlineStr">
        <is>
          <t>Haitong International Capital Limited; SPDB International Capital Limited; Haitong International Securities Company Limited</t>
        </is>
      </c>
      <c r="BT430" s="63" t="inlineStr">
        <is>
          <t>Haitong International Capital Limited; SPDB International Capital Limited</t>
        </is>
      </c>
      <c r="BU430" s="63" t="inlineStr">
        <is>
          <t>Haitong International Securities Company Limited; SPDB International Capital Limited; CMB International Capital Limited; China Galaxy International Securities (Hong Kong) Co., Limited; CCB International Capital Limited; ICBC International Securities Limited; China Renaissance Securities (Hong Kong) Limited; Futu Securities International (Hong Kong) Limited; Zhongtai International Securities Limited; XCap Partners Limited; Funde Securities Limited; Tiger Brokers (HK) Global Limited</t>
        </is>
      </c>
      <c r="BV430" s="63" t="inlineStr">
        <is>
          <t>CCB International Capital Limited; China Galaxy International Securities (Hong Kong) Company Limited; CMB International Capital Limited; China Renaissance Securities (Hong Kong) Limited; Funde Securities Limited; Futu Securities International (Hong Kong) Limited; Haitong International Securities Company Limited; ICBC International Securities Limited; SPDB International Capital Limited; Tiger Brokers (HK) Global Limited; XCap Partners Limited; Zhongtai International Securities Limited</t>
        </is>
      </c>
      <c r="BW430" s="78">
        <f>HYPERLINK("https://www1.hkexnews.hk/listedco/listconews/sehk/2026/0129/2026012900021.pdf","prospectus")</f>
        <v/>
      </c>
      <c r="BX430" s="78">
        <f>HYPERLINK("https://www1.hkexnews.hk/listedco/listconews/sehk/2026/0205/2026020501800.pdf","allotment")</f>
        <v/>
      </c>
      <c r="BY430" s="78">
        <f>HYPERLINK("https://www1.hkexnews.hk/listedco/listconews/sehk/2026/0305/2026030502008.pdf","stabilisation")</f>
        <v/>
      </c>
      <c r="BZ430" s="76" t="n"/>
      <c r="CA430" s="63" t="inlineStr">
        <is>
          <t>A/H: no A-share listing · stabilising manager: neither the allotment announcement's cover sentence nor the prospectus definitions glossary names one in a form the parser reads — not inferred from the sponsor</t>
        </is>
      </c>
    </row>
    <row r="431" ht="15" customHeight="1">
      <c r="A431" s="62" t="inlineStr">
        <is>
          <t>3200</t>
        </is>
      </c>
      <c r="B431" s="63" t="inlineStr">
        <is>
          <t>HANS CNC</t>
        </is>
      </c>
      <c r="C431" s="63" t="inlineStr">
        <is>
          <t>大族數控</t>
        </is>
      </c>
      <c r="D431" s="63" t="inlineStr">
        <is>
          <t>Industrials</t>
        </is>
      </c>
      <c r="E431" s="63" t="inlineStr">
        <is>
          <t>Capital goods / machinery</t>
        </is>
      </c>
      <c r="F431" s="63" t="inlineStr">
        <is>
          <t>Printed Circuit Boards</t>
        </is>
      </c>
      <c r="G431" s="63" t="inlineStr">
        <is>
          <t>Standard</t>
        </is>
      </c>
      <c r="H431" s="64" t="n">
        <v>46059</v>
      </c>
      <c r="I431" s="65" t="n">
        <v>4833.3</v>
      </c>
      <c r="J431" s="63" t="inlineStr">
        <is>
          <t>gross (stated)</t>
        </is>
      </c>
      <c r="K431" s="66" t="n"/>
      <c r="L431" s="66" t="n">
        <v>95.8</v>
      </c>
      <c r="M431" s="66" t="n">
        <v>95.8</v>
      </c>
      <c r="N431" s="63" t="inlineStr">
        <is>
          <t>Y</t>
        </is>
      </c>
      <c r="O431" s="67" t="n">
        <v>100</v>
      </c>
      <c r="P431" s="67" t="n"/>
      <c r="Q431" s="68" t="n">
        <v>40277.5</v>
      </c>
      <c r="R431" s="63" t="inlineStr">
        <is>
          <t>derived:deal size / offer % of enlarged capital</t>
        </is>
      </c>
      <c r="S431" s="69" t="n">
        <v>446.39</v>
      </c>
      <c r="T431" s="70" t="n">
        <v>21.07</v>
      </c>
      <c r="U431" s="71" t="n">
        <v>50</v>
      </c>
      <c r="V431" s="68" t="n">
        <v>2416.65</v>
      </c>
      <c r="W431" s="68" t="n">
        <v>25225900</v>
      </c>
      <c r="X431" s="67" t="n">
        <v>6</v>
      </c>
      <c r="Y431" s="63" t="inlineStr">
        <is>
          <t>Schroders; HHLR Advisors (Hillhouse); Limited, Morgan Stanley Asia Limited; Fullgoal Fund; Hongxing International; OmniVision HK; Industrial Bank WM</t>
        </is>
      </c>
      <c r="Z431" s="63" t="inlineStr">
        <is>
          <t>schroders;hhlr;morgan;fullgoal;hongxing;omnivision;industrial</t>
        </is>
      </c>
      <c r="AA431" s="67" t="n">
        <v>15</v>
      </c>
      <c r="AB431" s="72" t="n"/>
      <c r="AC431" s="66" t="n"/>
      <c r="AD431" s="72" t="n"/>
      <c r="AE431" s="63" t="n"/>
      <c r="AF431" s="63" t="n"/>
      <c r="AG431" s="63" t="inlineStr">
        <is>
          <t>full</t>
        </is>
      </c>
      <c r="AH431" s="63" t="inlineStr">
        <is>
          <t>2026-03-05</t>
        </is>
      </c>
      <c r="AI431" s="63" t="inlineStr">
        <is>
          <t>China International Capital Corporation Hong Kong Securities Limited</t>
        </is>
      </c>
      <c r="AJ431" s="63" t="inlineStr">
        <is>
          <t>China International</t>
        </is>
      </c>
      <c r="AK431" s="73" t="n">
        <v>14.82</v>
      </c>
      <c r="AL431" s="72" t="n">
        <v>10.65</v>
      </c>
      <c r="AM431" s="72" t="n">
        <v>3.77</v>
      </c>
      <c r="AN431" s="72" t="n">
        <v>17.54</v>
      </c>
      <c r="AO431" s="72" t="n">
        <v>21.92</v>
      </c>
      <c r="AP431" s="72" t="n">
        <v>69.42</v>
      </c>
      <c r="AQ431" s="72" t="n">
        <v>2.37</v>
      </c>
      <c r="AR431" s="72" t="n">
        <v>6.18</v>
      </c>
      <c r="AS431" s="72" t="n">
        <v>47.55</v>
      </c>
      <c r="AT431" s="72" t="n">
        <v>18.24</v>
      </c>
      <c r="AU431" s="72" t="n">
        <v>26.5</v>
      </c>
      <c r="AV431" s="72" t="n">
        <v>76.59999999999999</v>
      </c>
      <c r="AW431" s="72" t="n">
        <v>9.92</v>
      </c>
      <c r="AX431" s="72" t="n">
        <v>-4.58</v>
      </c>
      <c r="AY431" s="72" t="n">
        <v>-3.74</v>
      </c>
      <c r="AZ431" s="63" t="inlineStr">
        <is>
          <t>Hang Seng Commerce &amp; Industry sub-index</t>
        </is>
      </c>
      <c r="BA431" s="72" t="n">
        <v>6.58</v>
      </c>
      <c r="BB431" s="64" t="inlineStr">
        <is>
          <t>2026-08-28</t>
        </is>
      </c>
      <c r="BC431" s="65" t="n">
        <v>3677.4</v>
      </c>
      <c r="BD431" s="68" t="n">
        <v>329.5</v>
      </c>
      <c r="BE431" s="63" t="inlineStr">
        <is>
          <t>Y</t>
        </is>
      </c>
      <c r="BF431" s="74" t="n">
        <v>122.2</v>
      </c>
      <c r="BG431" s="74" t="n">
        <v>50.1</v>
      </c>
      <c r="BH431" s="74" t="n">
        <v>50.2</v>
      </c>
      <c r="BI431" s="74" t="n">
        <v>11</v>
      </c>
      <c r="BJ431" s="75">
        <f>IF('BBG Verify'!S431="","not filed — run on terminal",'BBG Verify'!S431)</f>
        <v/>
      </c>
      <c r="BK431" s="76" t="inlineStr">
        <is>
          <t>Y</t>
        </is>
      </c>
      <c r="BL431" s="63" t="inlineStr">
        <is>
          <t>301200.SZ</t>
        </is>
      </c>
      <c r="BM431" s="72" t="n">
        <v>84.04000000000001</v>
      </c>
      <c r="BN431" s="66" t="n">
        <v>176.3149</v>
      </c>
      <c r="BO431" s="80" t="n">
        <v>1.8629</v>
      </c>
      <c r="BP431" s="68" t="n">
        <v>159771.9</v>
      </c>
      <c r="BQ431" s="75">
        <f>IF('BBG Verify'!Q431="","run on terminal",'BBG Verify'!Q431)</f>
        <v/>
      </c>
      <c r="BR431" s="75">
        <f>IF('BBG Verify'!R431="","run on terminal",'BBG Verify'!R431)</f>
        <v/>
      </c>
      <c r="BS431" s="76" t="inlineStr">
        <is>
          <t>China International Capital Corporation Hong Kong Securities Limited</t>
        </is>
      </c>
      <c r="BT431" s="63" t="inlineStr">
        <is>
          <t>China International Capital Corporation Hong Kong Securities Limited</t>
        </is>
      </c>
      <c r="BU431" s="63" t="inlineStr">
        <is>
          <t>China International Capital Corporation Hong Kong Securities Limited; Deutsche Bank AG, Hong Kong Branch; Sinolink Securities (Hong Kong) Company Limited; SDIC Securities (Hong Kong) Limited; ABCI Capital Limited</t>
        </is>
      </c>
      <c r="BV431" s="63" t="inlineStr">
        <is>
          <t>ABCI Securities Company Limited; China International Capital Corporation Hong Kong Securities Limited; Deutsche Bank AG, Hong Kong Branch; SDIC Securities (Hong Kong) Limited; Sinolink Securities (Hong Kong) Company Limited</t>
        </is>
      </c>
      <c r="BW431" s="78">
        <f>HYPERLINK("https://www1.hkexnews.hk/listedco/listconews/sehk/2026/0129/2026012900019.pdf","prospectus")</f>
        <v/>
      </c>
      <c r="BX431" s="78">
        <f>HYPERLINK("https://www1.hkexnews.hk/listedco/listconews/sehk/2026/0205/2026020502290.pdf","allotment")</f>
        <v/>
      </c>
      <c r="BY431" s="78">
        <f>HYPERLINK("https://www1.hkexnews.hk/listedco/listconews/sehk/2026/0305/2026030501746.pdf","stabilisation")</f>
        <v/>
      </c>
      <c r="BZ431" s="76" t="n"/>
      <c r="CA431" s="63" t="inlineStr">
        <is>
          <t>range low: cap-only pricing — the filing publishes a Maximum Offer Price and no indicative floor · A/H: Feb 2026 H listing (PCB drilling equipment) · grey market: no grey-market headline on file for this deal — AAStocks publishes one per listing but keeps only recent items on the stock's news page, and no public archive of past evening sessions exists; captured from this run onward</t>
        </is>
      </c>
    </row>
    <row r="432" ht="15" customHeight="1">
      <c r="A432" s="62" t="inlineStr">
        <is>
          <t>2714</t>
        </is>
      </c>
      <c r="B432" s="63" t="inlineStr">
        <is>
          <t>MUYUAN</t>
        </is>
      </c>
      <c r="C432" s="63" t="inlineStr">
        <is>
          <t>牧原股份</t>
        </is>
      </c>
      <c r="D432" s="63" t="inlineStr">
        <is>
          <t>Consumer</t>
        </is>
      </c>
      <c r="E432" s="63" t="inlineStr">
        <is>
          <t>Beverages / packaged food</t>
        </is>
      </c>
      <c r="F432" s="63" t="inlineStr">
        <is>
          <t>Poultry, Meat and Seafood</t>
        </is>
      </c>
      <c r="G432" s="63" t="inlineStr">
        <is>
          <t>Standard</t>
        </is>
      </c>
      <c r="H432" s="64" t="n">
        <v>46059</v>
      </c>
      <c r="I432" s="65" t="n">
        <v>10684.1</v>
      </c>
      <c r="J432" s="63" t="inlineStr">
        <is>
          <t>gross (stated)</t>
        </is>
      </c>
      <c r="K432" s="66" t="n"/>
      <c r="L432" s="66" t="n">
        <v>39</v>
      </c>
      <c r="M432" s="66" t="n">
        <v>39</v>
      </c>
      <c r="N432" s="63" t="inlineStr">
        <is>
          <t>Y</t>
        </is>
      </c>
      <c r="O432" s="67" t="n">
        <v>100</v>
      </c>
      <c r="P432" s="67" t="n"/>
      <c r="Q432" s="68" t="n">
        <v>286002</v>
      </c>
      <c r="R432" s="63" t="inlineStr">
        <is>
          <t>prospectus:stated market capitalisation</t>
        </is>
      </c>
      <c r="S432" s="69" t="n">
        <v>5.88</v>
      </c>
      <c r="T432" s="70" t="n">
        <v>8.619999999999999</v>
      </c>
      <c r="U432" s="71" t="n">
        <v>50</v>
      </c>
      <c r="V432" s="68" t="n">
        <v>5342.05</v>
      </c>
      <c r="W432" s="68" t="n">
        <v>136975700</v>
      </c>
      <c r="X432" s="67" t="n">
        <v>1.87</v>
      </c>
      <c r="Y432" s="63" t="inlineStr">
        <is>
          <t>Charoen Pokphand Foods (CPF); Wii Pte Ltd (Wilmar); HPRY Holdings (Wilmar); Sinochem Hong Kong (Group); Hong Kong Henan Agri International; FIL Investment Management (Hong Kong) Limited; RBC Global Asset Management (Asia) Limited; Perseverance Asset Management International (Singapore) Pte. Ltd; Shanghai Gaoyi Asset Management (via HTCI swaps); Ping An of China Asset Management (Hong Kong) Company Limited; Dajia Life Insurance Co., Ltd; UBS Asset Management (Singapore) Ltd; Midea Development Holding (BVI); Integrated Core Strategies (Asia) (Millennium); Jane Street Asia Trading Limited</t>
        </is>
      </c>
      <c r="Z432" s="63" t="inlineStr">
        <is>
          <t>charoen;wii;hpry;sinochem;henan;fil;rbc;perseverance;shanghai-gaoyi;ping;dajia;ubs;midea;integrated;jane</t>
        </is>
      </c>
      <c r="AA432" s="67" t="n">
        <v>15</v>
      </c>
      <c r="AB432" s="72" t="n"/>
      <c r="AC432" s="66" t="n"/>
      <c r="AD432" s="72" t="n"/>
      <c r="AE432" s="63" t="n"/>
      <c r="AF432" s="63" t="n"/>
      <c r="AG432" s="63" t="inlineStr">
        <is>
          <t>partial</t>
        </is>
      </c>
      <c r="AH432" s="63" t="inlineStr">
        <is>
          <t>2026-03-05</t>
        </is>
      </c>
      <c r="AI432" s="63" t="inlineStr">
        <is>
          <t>Morgan Stanley Asia Limited</t>
        </is>
      </c>
      <c r="AJ432" s="63" t="inlineStr">
        <is>
          <t>Morgan Stanley</t>
        </is>
      </c>
      <c r="AK432" s="73" t="n">
        <v>3.9</v>
      </c>
      <c r="AL432" s="72" t="n">
        <v>0</v>
      </c>
      <c r="AM432" s="72" t="n">
        <v>3.9</v>
      </c>
      <c r="AN432" s="72" t="n">
        <v>0.51</v>
      </c>
      <c r="AO432" s="72" t="n">
        <v>19.69</v>
      </c>
      <c r="AP432" s="72" t="n">
        <v>0.67</v>
      </c>
      <c r="AQ432" s="72" t="n">
        <v>-3.26</v>
      </c>
      <c r="AR432" s="72" t="n">
        <v>15.2</v>
      </c>
      <c r="AS432" s="72" t="n">
        <v>-3.11</v>
      </c>
      <c r="AT432" s="72" t="n">
        <v>1.21</v>
      </c>
      <c r="AU432" s="72" t="n">
        <v>24.27</v>
      </c>
      <c r="AV432" s="72" t="n">
        <v>7.85</v>
      </c>
      <c r="AW432" s="72" t="n">
        <v>18.94</v>
      </c>
      <c r="AX432" s="72" t="n">
        <v>-4.58</v>
      </c>
      <c r="AY432" s="72" t="n">
        <v>-3.74</v>
      </c>
      <c r="AZ432" s="63" t="inlineStr">
        <is>
          <t>Hang Seng Commerce &amp; Industry sub-index</t>
        </is>
      </c>
      <c r="BA432" s="72" t="n">
        <v>-9.029999999999999</v>
      </c>
      <c r="BB432" s="64" t="inlineStr">
        <is>
          <t>2026-08-28</t>
        </is>
      </c>
      <c r="BC432" s="65" t="n">
        <v>158559.5</v>
      </c>
      <c r="BD432" s="68" t="n">
        <v>16992.9</v>
      </c>
      <c r="BE432" s="63" t="inlineStr">
        <is>
          <t>Y</t>
        </is>
      </c>
      <c r="BF432" s="74" t="n">
        <v>16.8</v>
      </c>
      <c r="BG432" s="74" t="n">
        <v>12.5</v>
      </c>
      <c r="BH432" s="74" t="n">
        <v>9.9</v>
      </c>
      <c r="BI432" s="74" t="n">
        <v>1.8</v>
      </c>
      <c r="BJ432" s="75">
        <f>IF('BBG Verify'!S432="","not filed — run on terminal",'BBG Verify'!S432)</f>
        <v/>
      </c>
      <c r="BK432" s="76" t="inlineStr">
        <is>
          <t>Y</t>
        </is>
      </c>
      <c r="BL432" s="63" t="inlineStr">
        <is>
          <t>002714.SZ</t>
        </is>
      </c>
      <c r="BM432" s="72" t="n">
        <v>34.91</v>
      </c>
      <c r="BN432" s="66" t="n">
        <v>52.613</v>
      </c>
      <c r="BO432" s="80" t="n">
        <v>0.3875</v>
      </c>
      <c r="BP432" s="68" t="n">
        <v>285027</v>
      </c>
      <c r="BQ432" s="75">
        <f>IF('BBG Verify'!Q432="","run on terminal",'BBG Verify'!Q432)</f>
        <v/>
      </c>
      <c r="BR432" s="75">
        <f>IF('BBG Verify'!R432="","run on terminal",'BBG Verify'!R432)</f>
        <v/>
      </c>
      <c r="BS432" s="76" t="inlineStr">
        <is>
          <t>Morgan Stanley Asia Limited; CITIC Securities (Hong Kong) Limited; Goldman Sachs (Asia) L.L.C</t>
        </is>
      </c>
      <c r="BT432" s="63" t="inlineStr">
        <is>
          <t>Morgan Stanley Asia Limited; Goldman Sachs (Asia) L.L.C.; CITIC Securities (Hong Kong) Limited</t>
        </is>
      </c>
      <c r="BU432" s="63" t="inlineStr">
        <is>
          <t>Morgan Stanley Asia Limited; CLSA Limited; Goldman Sachs (Asia) L.L.C; China International Capital Corporation Hong Kong Securities Limited; Merrill Lynch (Asia Pacific) Limited; CMB International Capital Limited; China Merchants Securities (HK) Co., Limited; ABCI Capital Limited; BOCI Asia Limited; CCB International Capital Limited; BOCOM International Securities Limited</t>
        </is>
      </c>
      <c r="BV432" s="63" t="inlineStr">
        <is>
          <t>ABCI Securities Company Limited; BOCI Asia Limited; BOCOM International Securities Limited; CCB International Capital Limited; China Everbright Securities (HK) Limited; China Galaxy International Securities (Hong Kong) Company Limited; Changjiang Securities Brokerage (HK) Limited; China International Capital Corporation Hong Kong Securities Limited; CLSA Limited; CMB International Capital Corporation Limited; China Merchants Securities (HK) Company Limited; Futu Securities International (Hong Kong) Limited</t>
        </is>
      </c>
      <c r="BW432" s="78">
        <f>HYPERLINK("https://www1.hkexnews.hk/listedco/listconews/sehk/2026/0129/2026012900023.pdf","prospectus")</f>
        <v/>
      </c>
      <c r="BX432" s="78">
        <f>HYPERLINK("https://www1.hkexnews.hk/listedco/listconews/sehk/2026/0205/2026020502402.pdf","allotment")</f>
        <v/>
      </c>
      <c r="BY432" s="78">
        <f>HYPERLINK("https://www1.hkexnews.hk/listedco/listconews/sehk/2026/0305/2026030501974.pdf","stabilisation")</f>
        <v/>
      </c>
      <c r="BZ432" s="76" t="n"/>
      <c r="CA432" s="63" t="inlineStr">
        <is>
          <t>range low: cap-only pricing — the filing publishes a Maximum Offer Price and no indicative floor · A/H: Feb 2026, net proceeds up to HK$12.0bn w/ greenshoe; subdued debut · grey market: no grey-market headline on file for this deal — AAStocks publishes one per listing but keeps only recent items on the stock's news page, and no public archive of past evening sessions exists; captured from this run onward</t>
        </is>
      </c>
    </row>
    <row r="433" ht="15" customHeight="1">
      <c r="A433" s="62" t="inlineStr">
        <is>
          <t>6809</t>
        </is>
      </c>
      <c r="B433" s="63" t="inlineStr">
        <is>
          <t>MONTAGE TECH</t>
        </is>
      </c>
      <c r="C433" s="63" t="inlineStr">
        <is>
          <t>瀾起科技</t>
        </is>
      </c>
      <c r="D433" s="63" t="inlineStr">
        <is>
          <t>Tech/AI</t>
        </is>
      </c>
      <c r="E433" s="63" t="inlineStr">
        <is>
          <t>AI chips &amp; semis</t>
        </is>
      </c>
      <c r="F433" s="63" t="inlineStr">
        <is>
          <t>Semiconductors &amp; Semiconductor Equipment</t>
        </is>
      </c>
      <c r="G433" s="63" t="inlineStr">
        <is>
          <t>Standard</t>
        </is>
      </c>
      <c r="H433" s="64" t="n">
        <v>46062</v>
      </c>
      <c r="I433" s="65" t="n">
        <v>7043</v>
      </c>
      <c r="J433" s="63" t="inlineStr">
        <is>
          <t>gross (stated)</t>
        </is>
      </c>
      <c r="K433" s="66" t="n"/>
      <c r="L433" s="66" t="n">
        <v>106.89</v>
      </c>
      <c r="M433" s="66" t="n">
        <v>106.89</v>
      </c>
      <c r="N433" s="63" t="inlineStr">
        <is>
          <t>Y</t>
        </is>
      </c>
      <c r="O433" s="67" t="n">
        <v>100</v>
      </c>
      <c r="P433" s="67" t="n"/>
      <c r="Q433" s="68" t="n">
        <v>113600.4</v>
      </c>
      <c r="R433" s="63" t="inlineStr">
        <is>
          <t>derived:deal size / offer % of enlarged capital</t>
        </is>
      </c>
      <c r="S433" s="69" t="n">
        <v>707.3</v>
      </c>
      <c r="T433" s="70" t="n">
        <v>37.67</v>
      </c>
      <c r="U433" s="71" t="n">
        <v>49.8</v>
      </c>
      <c r="V433" s="68" t="n">
        <v>3535.59</v>
      </c>
      <c r="W433" s="68" t="n">
        <v>33076780</v>
      </c>
      <c r="X433" s="67" t="n">
        <v>3.11</v>
      </c>
      <c r="Y433" s="63" t="inlineStr">
        <is>
          <t>J.P. Morgan Asset Management; UBS Asset Management; Yunfeng Capital; Alibaba (Alisoft China); Aspex Management; Janchor Partners; Huaqin Technology</t>
        </is>
      </c>
      <c r="Z433" s="63" t="inlineStr">
        <is>
          <t>morgan;ubs;yunfeng;alibaba;aspex;janchor;huaqin</t>
        </is>
      </c>
      <c r="AA433" s="67" t="n">
        <v>15</v>
      </c>
      <c r="AB433" s="72" t="n"/>
      <c r="AC433" s="66" t="n"/>
      <c r="AD433" s="72" t="n"/>
      <c r="AE433" s="63" t="n"/>
      <c r="AF433" s="63" t="n"/>
      <c r="AG433" s="63" t="inlineStr">
        <is>
          <t>full</t>
        </is>
      </c>
      <c r="AH433" s="63" t="inlineStr">
        <is>
          <t>2026-03-06</t>
        </is>
      </c>
      <c r="AI433" s="63" t="inlineStr">
        <is>
          <t>Morgan Stanley Asia Limited</t>
        </is>
      </c>
      <c r="AJ433" s="63" t="inlineStr">
        <is>
          <t>Morgan Stanley</t>
        </is>
      </c>
      <c r="AK433" s="73" t="n">
        <v>63.72</v>
      </c>
      <c r="AL433" s="72" t="n">
        <v>57.17</v>
      </c>
      <c r="AM433" s="72" t="n">
        <v>4.17</v>
      </c>
      <c r="AN433" s="72" t="n">
        <v>97.40000000000001</v>
      </c>
      <c r="AO433" s="72" t="n">
        <v>64.19</v>
      </c>
      <c r="AP433" s="72" t="n">
        <v>312.39</v>
      </c>
      <c r="AQ433" s="72" t="n">
        <v>20.57</v>
      </c>
      <c r="AR433" s="72" t="n">
        <v>0.29</v>
      </c>
      <c r="AS433" s="72" t="n">
        <v>151.89</v>
      </c>
      <c r="AT433" s="72" t="n">
        <v>97.02</v>
      </c>
      <c r="AU433" s="72" t="n">
        <v>71.06999999999999</v>
      </c>
      <c r="AV433" s="72" t="n">
        <v>321.84</v>
      </c>
      <c r="AW433" s="72" t="n">
        <v>8.4</v>
      </c>
      <c r="AX433" s="72" t="n">
        <v>-6.88</v>
      </c>
      <c r="AY433" s="72" t="n">
        <v>-8.109999999999999</v>
      </c>
      <c r="AZ433" s="63" t="inlineStr">
        <is>
          <t>HSTECH (Hang Seng TECH ETF)</t>
        </is>
      </c>
      <c r="BA433" s="72" t="n">
        <v>166.63</v>
      </c>
      <c r="BB433" s="64" t="inlineStr">
        <is>
          <t>2026-08-28</t>
        </is>
      </c>
      <c r="BC433" s="65" t="n">
        <v>4002.8</v>
      </c>
      <c r="BD433" s="68" t="n">
        <v>1474.8</v>
      </c>
      <c r="BE433" s="63" t="inlineStr">
        <is>
          <t>Y</t>
        </is>
      </c>
      <c r="BF433" s="74" t="n">
        <v>77</v>
      </c>
      <c r="BG433" s="74" t="n">
        <v>79.09999999999999</v>
      </c>
      <c r="BH433" s="74" t="n">
        <v>136.4</v>
      </c>
      <c r="BI433" s="74" t="n">
        <v>28.4</v>
      </c>
      <c r="BJ433" s="75">
        <f>IF('BBG Verify'!S433="","not filed — run on terminal",'BBG Verify'!S433)</f>
        <v/>
      </c>
      <c r="BK433" s="76" t="inlineStr">
        <is>
          <t>Y</t>
        </is>
      </c>
      <c r="BL433" s="63" t="inlineStr">
        <is>
          <t>688008.SS</t>
        </is>
      </c>
      <c r="BM433" s="72" t="n">
        <v>72.29000000000001</v>
      </c>
      <c r="BN433" s="66" t="n">
        <v>184.1562</v>
      </c>
      <c r="BO433" s="80" t="n">
        <v>-0.112</v>
      </c>
      <c r="BP433" s="68" t="n">
        <v>291900</v>
      </c>
      <c r="BQ433" s="75">
        <f>IF('BBG Verify'!Q433="","run on terminal",'BBG Verify'!Q433)</f>
        <v/>
      </c>
      <c r="BR433" s="75">
        <f>IF('BBG Verify'!R433="","run on terminal",'BBG Verify'!R433)</f>
        <v/>
      </c>
      <c r="BS433" s="76" t="inlineStr">
        <is>
          <t>China International Capital Corporation Hong Kong Securities Limited; Morgan Stanley Asia Limited; UBS Securities Hong Kong Limited</t>
        </is>
      </c>
      <c r="BT433" s="63" t="inlineStr">
        <is>
          <t>China International Capital Corporation Hong Kong Securities Limited; Morgan Stanley Asia Limited; UBS Securities Hong Kong Limited</t>
        </is>
      </c>
      <c r="BU433" s="63" t="inlineStr">
        <is>
          <t>China International Capital Corporation Hong Kong Securities Limited; Morgan Stanley Asia Limited; UBS AG Hong Kong Branch</t>
        </is>
      </c>
      <c r="BV433" s="63" t="inlineStr">
        <is>
          <t>China International Capital Corporation Hong Kong Securities Limited; CLSA Limited; Goldman Sachs (Asia) L.L.C.; Morgan Stanley Asia Limited; UBS AG Hong Kong Branch</t>
        </is>
      </c>
      <c r="BW433" s="78">
        <f>HYPERLINK("https://www1.hkexnews.hk/listedco/listconews/sehk/2026/0130/2026013000007.pdf","prospectus")</f>
        <v/>
      </c>
      <c r="BX433" s="78">
        <f>HYPERLINK("https://www1.hkexnews.hk/listedco/listconews/sehk/2026/0206/2026020601350.pdf","allotment")</f>
        <v/>
      </c>
      <c r="BY433" s="78">
        <f>HYPERLINK("https://www1.hkexnews.hk/listedco/listconews/sehk/2026/0306/2026030600629.pdf","stabilisation")</f>
        <v/>
      </c>
      <c r="BZ433" s="76" t="n"/>
      <c r="CA433" s="63" t="inlineStr">
        <is>
          <t>range low: cap-only pricing — the filing publishes a Maximum Offer Price and no indicative floor · A/H: Feb 2026 H listing (memory interface chips) · grey market: no grey-market headline on file for this deal — AAStocks publishes one per listing but keeps only recent items on the stock's news page, and no public archive of past evening sessions exists; captured from this run onward</t>
        </is>
      </c>
    </row>
    <row r="434" ht="15" customHeight="1">
      <c r="A434" s="62" t="inlineStr">
        <is>
          <t>2720</t>
        </is>
      </c>
      <c r="B434" s="63" t="inlineStr">
        <is>
          <t>RIDGE OUTDOOR</t>
        </is>
      </c>
      <c r="C434" s="63" t="inlineStr">
        <is>
          <t>樂欣戶外</t>
        </is>
      </c>
      <c r="D434" s="63" t="inlineStr">
        <is>
          <t>Consumer</t>
        </is>
      </c>
      <c r="E434" s="63" t="inlineStr">
        <is>
          <t>Retail / distribution</t>
        </is>
      </c>
      <c r="F434" s="63" t="inlineStr">
        <is>
          <t>Leisure Products</t>
        </is>
      </c>
      <c r="G434" s="63" t="inlineStr">
        <is>
          <t>Standard</t>
        </is>
      </c>
      <c r="H434" s="64" t="n">
        <v>46063</v>
      </c>
      <c r="I434" s="65" t="n">
        <v>345.5</v>
      </c>
      <c r="J434" s="63" t="inlineStr">
        <is>
          <t>gross (stated)</t>
        </is>
      </c>
      <c r="K434" s="66" t="n">
        <v>11.25</v>
      </c>
      <c r="L434" s="66" t="n">
        <v>12.25</v>
      </c>
      <c r="M434" s="66" t="n">
        <v>12.25</v>
      </c>
      <c r="N434" s="63" t="inlineStr">
        <is>
          <t>Y</t>
        </is>
      </c>
      <c r="O434" s="67" t="n">
        <v>100</v>
      </c>
      <c r="P434" s="67" t="n">
        <v>100</v>
      </c>
      <c r="Q434" s="68" t="n">
        <v>1570.5</v>
      </c>
      <c r="R434" s="63" t="inlineStr">
        <is>
          <t>derived:price x shares upon listing</t>
        </is>
      </c>
      <c r="S434" s="69" t="n">
        <v>3654.23</v>
      </c>
      <c r="T434" s="70" t="n">
        <v>2.94</v>
      </c>
      <c r="U434" s="71" t="n">
        <v>37.62</v>
      </c>
      <c r="V434" s="68" t="n">
        <v>215.52</v>
      </c>
      <c r="W434" s="68" t="n">
        <v>17594279</v>
      </c>
      <c r="X434" s="67" t="n">
        <v>13.72</v>
      </c>
      <c r="Y434" s="63" t="inlineStr">
        <is>
          <t>Mr. Yang; GreatCast; Taihong; Outrider Partnership; Orbit VC; Huangshan Dejun</t>
        </is>
      </c>
      <c r="Z434" s="63" t="inlineStr">
        <is>
          <t>mr-yang;greatcast;taihong;outrider;orbit;huangshan</t>
        </is>
      </c>
      <c r="AA434" s="67" t="n"/>
      <c r="AB434" s="72" t="n">
        <v>99.8</v>
      </c>
      <c r="AC434" s="66" t="n">
        <v>24.48</v>
      </c>
      <c r="AD434" s="72" t="n">
        <v>1.25</v>
      </c>
      <c r="AE434" s="63" t="inlineStr">
        <is>
          <t>Y</t>
        </is>
      </c>
      <c r="AF434" s="63" t="inlineStr">
        <is>
          <t>2026-02-09</t>
        </is>
      </c>
      <c r="AG434" s="63" t="n"/>
      <c r="AH434" s="63" t="n"/>
      <c r="AI434" s="63" t="n"/>
      <c r="AJ434" s="63" t="n"/>
      <c r="AK434" s="73" t="n">
        <v>102.29</v>
      </c>
      <c r="AL434" s="72" t="n">
        <v>96.08</v>
      </c>
      <c r="AM434" s="72" t="n">
        <v>3.17</v>
      </c>
      <c r="AN434" s="72" t="n">
        <v>124.49</v>
      </c>
      <c r="AO434" s="72" t="n">
        <v>112.24</v>
      </c>
      <c r="AP434" s="72" t="n">
        <v>100.82</v>
      </c>
      <c r="AQ434" s="72" t="n">
        <v>10.97</v>
      </c>
      <c r="AR434" s="72" t="n">
        <v>4.92</v>
      </c>
      <c r="AS434" s="72" t="n">
        <v>-0.73</v>
      </c>
      <c r="AT434" s="72" t="n">
        <v>126.89</v>
      </c>
      <c r="AU434" s="72" t="n">
        <v>116.15</v>
      </c>
      <c r="AV434" s="72" t="n">
        <v>108.97</v>
      </c>
      <c r="AW434" s="72" t="n">
        <v>9.609999999999999</v>
      </c>
      <c r="AX434" s="72" t="n">
        <v>-3.91</v>
      </c>
      <c r="AY434" s="72" t="n">
        <v>-4.69</v>
      </c>
      <c r="AZ434" s="63" t="inlineStr">
        <is>
          <t>Hang Seng Commerce &amp; Industry sub-index</t>
        </is>
      </c>
      <c r="BA434" s="72" t="n">
        <v>97.55</v>
      </c>
      <c r="BB434" s="64" t="inlineStr">
        <is>
          <t>2026-08-28</t>
        </is>
      </c>
      <c r="BC434" s="65" t="n">
        <v>630.8</v>
      </c>
      <c r="BD434" s="68" t="n">
        <v>65.3</v>
      </c>
      <c r="BE434" s="63" t="inlineStr">
        <is>
          <t>Y</t>
        </is>
      </c>
      <c r="BF434" s="74" t="n">
        <v>24.1</v>
      </c>
      <c r="BG434" s="74" t="n"/>
      <c r="BH434" s="74" t="n"/>
      <c r="BI434" s="74" t="n">
        <v>2.5</v>
      </c>
      <c r="BJ434" s="75">
        <f>IF('BBG Verify'!S434="","not filed — run on terminal",'BBG Verify'!S434)</f>
        <v/>
      </c>
      <c r="BK434" s="76" t="inlineStr">
        <is>
          <t>N</t>
        </is>
      </c>
      <c r="BL434" s="77">
        <f>IF('BBG Verify'!K434="","not filed — run on terminal",'BBG Verify'!K434)</f>
        <v/>
      </c>
      <c r="BM434" s="63" t="inlineStr">
        <is>
          <t>N/A</t>
        </is>
      </c>
      <c r="BN434" s="63" t="inlineStr">
        <is>
          <t>N/A</t>
        </is>
      </c>
      <c r="BO434" s="63" t="inlineStr">
        <is>
          <t>N/A</t>
        </is>
      </c>
      <c r="BP434" s="63" t="inlineStr">
        <is>
          <t>N/A</t>
        </is>
      </c>
      <c r="BQ434" s="63" t="inlineStr">
        <is>
          <t>N/A</t>
        </is>
      </c>
      <c r="BR434" s="63" t="inlineStr">
        <is>
          <t>N/A</t>
        </is>
      </c>
      <c r="BS434" s="76" t="inlineStr">
        <is>
          <t>China International Capital Corporation Hong Kong Securities Limited</t>
        </is>
      </c>
      <c r="BT434" s="63" t="inlineStr">
        <is>
          <t>China International Capital Corporation Hong Kong Securities Limited</t>
        </is>
      </c>
      <c r="BU434" s="63" t="inlineStr">
        <is>
          <t>China International Capital Corporation Hong Kong Securities Limited; Futu Securities International (Hong Kong) Limited; Fuze Securities (International) Limited</t>
        </is>
      </c>
      <c r="BV434" s="63" t="inlineStr">
        <is>
          <t>China International Capital Corporation Hong Kong Securities Limited; Futu Securities International (Hong Kong) Limited; FUZE SECURITIES (INTERNATIONAL) LIMITED</t>
        </is>
      </c>
      <c r="BW434" s="78">
        <f>HYPERLINK("https://www1.hkexnews.hk/listedco/listconews/sehk/2026/0130/2026013002014.pdf","prospectus")</f>
        <v/>
      </c>
      <c r="BX434" s="78">
        <f>HYPERLINK("https://www1.hkexnews.hk/listedco/listconews/sehk/2026/0209/2026020901096.pdf","allotment")</f>
        <v/>
      </c>
      <c r="BY434" s="63" t="n"/>
      <c r="BZ434" s="76" t="n"/>
      <c r="CA434" s="63" t="inlineStr">
        <is>
          <t>greenshoe: no over-allotment option in the offer structure · A/H: no A-share listing · greenshoe size: no over-allotment option in the offer structure · stabilising manager: no over-allotment option in the offer structure, so no stabilising manager is appointed</t>
        </is>
      </c>
    </row>
    <row r="435" ht="15" customHeight="1">
      <c r="A435" s="62" t="inlineStr">
        <is>
          <t>0600</t>
        </is>
      </c>
      <c r="B435" s="63" t="inlineStr">
        <is>
          <t>AXERA</t>
        </is>
      </c>
      <c r="C435" s="63" t="inlineStr">
        <is>
          <t>愛芯元智</t>
        </is>
      </c>
      <c r="D435" s="63" t="inlineStr">
        <is>
          <t>Tech/AI</t>
        </is>
      </c>
      <c r="E435" s="63" t="inlineStr">
        <is>
          <t>AI chips &amp; semis</t>
        </is>
      </c>
      <c r="F435" s="63" t="inlineStr">
        <is>
          <t>Semiconductors &amp; Semiconductor Equipment</t>
        </is>
      </c>
      <c r="G435" s="63" t="inlineStr">
        <is>
          <t>Standard</t>
        </is>
      </c>
      <c r="H435" s="64" t="n">
        <v>46063</v>
      </c>
      <c r="I435" s="65" t="n">
        <v>2958.6</v>
      </c>
      <c r="J435" s="63" t="inlineStr">
        <is>
          <t>gross (stated)</t>
        </is>
      </c>
      <c r="K435" s="66" t="n"/>
      <c r="L435" s="66" t="n">
        <v>28.2</v>
      </c>
      <c r="M435" s="66" t="n">
        <v>28.2</v>
      </c>
      <c r="N435" s="63" t="inlineStr">
        <is>
          <t>Y</t>
        </is>
      </c>
      <c r="O435" s="67" t="n">
        <v>100</v>
      </c>
      <c r="P435" s="67" t="n"/>
      <c r="Q435" s="68" t="n">
        <v>16580</v>
      </c>
      <c r="R435" s="63" t="inlineStr">
        <is>
          <t>press:sina/HKCD 2026-02-10: 发行价28.2 市值165.8亿</t>
        </is>
      </c>
      <c r="S435" s="69" t="n">
        <v>104.82</v>
      </c>
      <c r="T435" s="70" t="n">
        <v>6.8</v>
      </c>
      <c r="U435" s="71" t="n">
        <v>48.76</v>
      </c>
      <c r="V435" s="68" t="n">
        <v>1515.99</v>
      </c>
      <c r="W435" s="68" t="n"/>
      <c r="X435" s="67" t="n">
        <v>9.140000000000001</v>
      </c>
      <c r="Y435" s="63" t="inlineStr">
        <is>
          <t>NGS Super Pty Limited; Factorial Master Fund; Hel Ved Master Fund; Alphahill Capital Limited; Jupiter Global Master Fund Ltd.; NonaVerse (Hong Kong) Limited; Jinyi Capital Multi-Strategy Fund SPC Ltd; OmniVision HK; Xin Ma Apparel International Limited; Desay SV Automotive Singapore Pte. Ltd; Valliance Asset Management Limited</t>
        </is>
      </c>
      <c r="Z435" s="63" t="inlineStr">
        <is>
          <t>ngs;factorial;hel;alphahill;jupiter;nonaverse;jinyi;omnivision;xin;desay;valliance</t>
        </is>
      </c>
      <c r="AA435" s="67" t="n"/>
      <c r="AB435" s="72" t="n"/>
      <c r="AC435" s="66" t="n"/>
      <c r="AD435" s="72" t="n"/>
      <c r="AE435" s="63" t="n"/>
      <c r="AF435" s="63" t="n"/>
      <c r="AG435" s="63" t="n"/>
      <c r="AH435" s="63" t="n"/>
      <c r="AI435" s="63" t="inlineStr">
        <is>
          <t>China International Capital Corporation Hong Kong Securities Limited</t>
        </is>
      </c>
      <c r="AJ435" s="63" t="inlineStr">
        <is>
          <t>China International</t>
        </is>
      </c>
      <c r="AK435" s="73" t="n">
        <v>0</v>
      </c>
      <c r="AL435" s="72" t="n">
        <v>0</v>
      </c>
      <c r="AM435" s="72" t="n">
        <v>0</v>
      </c>
      <c r="AN435" s="72" t="n">
        <v>20.21</v>
      </c>
      <c r="AO435" s="72" t="n">
        <v>-11.21</v>
      </c>
      <c r="AP435" s="72" t="n">
        <v>-28.01</v>
      </c>
      <c r="AQ435" s="72" t="n">
        <v>20.21</v>
      </c>
      <c r="AR435" s="72" t="n">
        <v>-11.21</v>
      </c>
      <c r="AS435" s="72" t="n">
        <v>-28.01</v>
      </c>
      <c r="AT435" s="72" t="n">
        <v>23.89</v>
      </c>
      <c r="AU435" s="72" t="n">
        <v>-5.51</v>
      </c>
      <c r="AV435" s="72" t="n">
        <v>-17.82</v>
      </c>
      <c r="AW435" s="72" t="n">
        <v>-5.07</v>
      </c>
      <c r="AX435" s="72" t="n">
        <v>-5.7</v>
      </c>
      <c r="AY435" s="72" t="n">
        <v>-6.14</v>
      </c>
      <c r="AZ435" s="63" t="inlineStr">
        <is>
          <t>HSTECH (Hang Seng TECH ETF)</t>
        </is>
      </c>
      <c r="BA435" s="72" t="n">
        <v>-38.58</v>
      </c>
      <c r="BB435" s="64" t="inlineStr">
        <is>
          <t>2026-08-28</t>
        </is>
      </c>
      <c r="BC435" s="65" t="n">
        <v>617.9</v>
      </c>
      <c r="BD435" s="68" t="n">
        <v>-249.7</v>
      </c>
      <c r="BE435" s="63" t="inlineStr">
        <is>
          <t>N</t>
        </is>
      </c>
      <c r="BF435" s="63" t="inlineStr">
        <is>
          <t>n/m</t>
        </is>
      </c>
      <c r="BG435" s="74" t="n"/>
      <c r="BH435" s="74" t="n"/>
      <c r="BI435" s="74" t="n">
        <v>26.8</v>
      </c>
      <c r="BJ435" s="75">
        <f>IF('BBG Verify'!S435="","not filed — run on terminal",'BBG Verify'!S435)</f>
        <v/>
      </c>
      <c r="BK435" s="76" t="inlineStr">
        <is>
          <t>N</t>
        </is>
      </c>
      <c r="BL435" s="77">
        <f>IF('BBG Verify'!K435="","not filed — run on terminal",'BBG Verify'!K435)</f>
        <v/>
      </c>
      <c r="BM435" s="63" t="inlineStr">
        <is>
          <t>N/A</t>
        </is>
      </c>
      <c r="BN435" s="63" t="inlineStr">
        <is>
          <t>N/A</t>
        </is>
      </c>
      <c r="BO435" s="63" t="inlineStr">
        <is>
          <t>N/A</t>
        </is>
      </c>
      <c r="BP435" s="63" t="inlineStr">
        <is>
          <t>N/A</t>
        </is>
      </c>
      <c r="BQ435" s="63" t="inlineStr">
        <is>
          <t>N/A</t>
        </is>
      </c>
      <c r="BR435" s="63" t="inlineStr">
        <is>
          <t>N/A</t>
        </is>
      </c>
      <c r="BS435" s="76" t="n"/>
      <c r="BT435" s="63" t="inlineStr">
        <is>
          <t>China International Capital Corporation Hong Kong Securities Limited; BOCOM International (Asia) Limited; Guotai Junan Capital Limited</t>
        </is>
      </c>
      <c r="BU435" s="63" t="inlineStr">
        <is>
          <t>BOCOM International Securities Limited; China International Capital Corporation Hong Kong Securities Limited; Guotai Junan Securities (Hong Kong) Limited</t>
        </is>
      </c>
      <c r="BV435" s="63" t="inlineStr">
        <is>
          <t>BOCOM International Securities Limited; China International Capital Corporation Hong Kong Securities Limited; Guotai Junan Securities (Hong Kong) Limited</t>
        </is>
      </c>
      <c r="BW435" s="63" t="n"/>
      <c r="BX435" s="78">
        <f>HYPERLINK("https://www1.hkexnews.hk/listedco/listconews/sehk/2026/0209/2026020901278.pdf","allotment")</f>
        <v/>
      </c>
      <c r="BY435" s="63" t="n"/>
      <c r="BZ435" s="76" t="n"/>
      <c r="CA435" s="63" t="inlineStr">
        <is>
          <t>P/E: n/m — loss-making at IPO (use P/S) · greenshoe: no over-allotment option in the offer structure · price range: fixed-price offering (no indicative range) · range low: cap-only pricing — the filing publishes a Maximum Offer Price and no indicative floor · A/H: no A line; closest listed proxy {'code': '603893.SS', 'name': 'Rockchip Electronics', 'rationale': "A-share edge-AI SoC designer — nearest listed comp to Axera's smart-vision/edge inference chips."} · sponsor: English name not in the filing text; AAStocks 保薦人 shown · greenshoe size: over-allocated shares stated without an offer-share base · filing links: no prospectus document returned by the HKEX per-stock search for this code — the allotment announcement is linked beside it · grey market: no grey-market headline on file for this deal — AAStocks publishes one per listing but keeps only recent items on the stock's news page, and no public archive of past evening sessions exists; captured from this run onward · eff float shares: share count unavailable or rejected as implausible — the money figure (eff_free_float_hkdm) is still exact</t>
        </is>
      </c>
    </row>
    <row r="436" ht="15" customHeight="1">
      <c r="A436" s="62" t="inlineStr">
        <is>
          <t>0470</t>
        </is>
      </c>
      <c r="B436" s="63" t="inlineStr">
        <is>
          <t>WUXI LEAD</t>
        </is>
      </c>
      <c r="C436" s="63" t="inlineStr">
        <is>
          <t>先導智能</t>
        </is>
      </c>
      <c r="D436" s="63" t="inlineStr">
        <is>
          <t>Industrials</t>
        </is>
      </c>
      <c r="E436" s="63" t="inlineStr">
        <is>
          <t>Capital goods / machinery</t>
        </is>
      </c>
      <c r="F436" s="63" t="inlineStr">
        <is>
          <t>Advanced hardware and software</t>
        </is>
      </c>
      <c r="G436" s="63" t="inlineStr">
        <is>
          <t>Standard</t>
        </is>
      </c>
      <c r="H436" s="64" t="n">
        <v>46064</v>
      </c>
      <c r="I436" s="65" t="n">
        <v>4930.8</v>
      </c>
      <c r="J436" s="63" t="inlineStr">
        <is>
          <t>gross (stated)</t>
        </is>
      </c>
      <c r="K436" s="66" t="n"/>
      <c r="L436" s="66" t="n">
        <v>45.8</v>
      </c>
      <c r="M436" s="66" t="n">
        <v>45.8</v>
      </c>
      <c r="N436" s="63" t="inlineStr">
        <is>
          <t>Y</t>
        </is>
      </c>
      <c r="O436" s="67" t="n">
        <v>100</v>
      </c>
      <c r="P436" s="67" t="n"/>
      <c r="Q436" s="68" t="n">
        <v>76661</v>
      </c>
      <c r="R436" s="63" t="inlineStr">
        <is>
          <t>derived:price x shares upon listing</t>
        </is>
      </c>
      <c r="S436" s="69" t="n">
        <v>79.54000000000001</v>
      </c>
      <c r="T436" s="79">
        <f>IF('BBG Verify'!E436="","not filed — run on terminal",'BBG Verify'!E436)</f>
        <v/>
      </c>
      <c r="U436" s="71" t="n">
        <v>43.5</v>
      </c>
      <c r="V436" s="68" t="n">
        <v>2785.9</v>
      </c>
      <c r="W436" s="68" t="n">
        <v>60826996</v>
      </c>
      <c r="X436" s="67" t="n">
        <v>3.63</v>
      </c>
      <c r="Y436" s="63" t="inlineStr">
        <is>
          <t>Pinpoint; Offshore SP3; Ovata Capital; Millennium ICSA; Oaktree; MY Asian</t>
        </is>
      </c>
      <c r="Z436" s="63" t="inlineStr">
        <is>
          <t>pinpoint;offshore;ovata;millennium;oaktree;my</t>
        </is>
      </c>
      <c r="AA436" s="67" t="n">
        <v>15</v>
      </c>
      <c r="AB436" s="72" t="n"/>
      <c r="AC436" s="66" t="n"/>
      <c r="AD436" s="72" t="n"/>
      <c r="AE436" s="63" t="n"/>
      <c r="AF436" s="63" t="n"/>
      <c r="AG436" s="63" t="inlineStr">
        <is>
          <t>partial</t>
        </is>
      </c>
      <c r="AH436" s="63" t="n"/>
      <c r="AI436" s="63" t="inlineStr">
        <is>
          <t>J.P. Morgan Securities</t>
        </is>
      </c>
      <c r="AJ436" s="63" t="inlineStr">
        <is>
          <t>JP Morgan</t>
        </is>
      </c>
      <c r="AK436" s="73" t="n">
        <v>0</v>
      </c>
      <c r="AL436" s="72" t="n">
        <v>1</v>
      </c>
      <c r="AM436" s="72" t="n">
        <v>-0.99</v>
      </c>
      <c r="AN436" s="72" t="n">
        <v>0.61</v>
      </c>
      <c r="AO436" s="72" t="n">
        <v>-9.039999999999999</v>
      </c>
      <c r="AP436" s="72" t="n">
        <v>15.5</v>
      </c>
      <c r="AQ436" s="72" t="n">
        <v>0.61</v>
      </c>
      <c r="AR436" s="72" t="n">
        <v>-9.039999999999999</v>
      </c>
      <c r="AS436" s="72" t="n">
        <v>15.5</v>
      </c>
      <c r="AT436" s="72" t="n">
        <v>1.12</v>
      </c>
      <c r="AU436" s="72" t="n">
        <v>-4.23</v>
      </c>
      <c r="AV436" s="72" t="n">
        <v>24.71</v>
      </c>
      <c r="AW436" s="72" t="n">
        <v>-3.62</v>
      </c>
      <c r="AX436" s="72" t="n">
        <v>-4.81</v>
      </c>
      <c r="AY436" s="72" t="n">
        <v>-5.42</v>
      </c>
      <c r="AZ436" s="63" t="inlineStr">
        <is>
          <t>Hang Seng Commerce &amp; Industry sub-index</t>
        </is>
      </c>
      <c r="BA436" s="72" t="n">
        <v>-34.28</v>
      </c>
      <c r="BB436" s="64" t="inlineStr">
        <is>
          <t>2026-08-28</t>
        </is>
      </c>
      <c r="BC436" s="65" t="n">
        <v>13040.6</v>
      </c>
      <c r="BD436" s="68" t="n">
        <v>314.7</v>
      </c>
      <c r="BE436" s="63" t="inlineStr">
        <is>
          <t>Y</t>
        </is>
      </c>
      <c r="BF436" s="74" t="n">
        <v>243.6</v>
      </c>
      <c r="BG436" s="74" t="n"/>
      <c r="BH436" s="74" t="n"/>
      <c r="BI436" s="74" t="n">
        <v>5.9</v>
      </c>
      <c r="BJ436" s="75">
        <f>IF('BBG Verify'!S436="","not filed — run on terminal",'BBG Verify'!S436)</f>
        <v/>
      </c>
      <c r="BK436" s="76" t="inlineStr">
        <is>
          <t>Y</t>
        </is>
      </c>
      <c r="BL436" s="63" t="inlineStr">
        <is>
          <t>300450.SZ</t>
        </is>
      </c>
      <c r="BM436" s="72" t="n">
        <v>41.82</v>
      </c>
      <c r="BN436" s="66" t="n">
        <v>64.9515</v>
      </c>
      <c r="BO436" s="80" t="n">
        <v>0.2401</v>
      </c>
      <c r="BP436" s="68" t="n">
        <v>65684.8</v>
      </c>
      <c r="BQ436" s="75">
        <f>IF('BBG Verify'!Q436="","run on terminal",'BBG Verify'!Q436)</f>
        <v/>
      </c>
      <c r="BR436" s="75">
        <f>IF('BBG Verify'!R436="","run on terminal",'BBG Verify'!R436)</f>
        <v/>
      </c>
      <c r="BS436" s="76" t="inlineStr">
        <is>
          <t>CITIC Securities (Hong Kong) Limited; J.P. Morgan Securities (Far East) Limited</t>
        </is>
      </c>
      <c r="BT436" s="63" t="inlineStr">
        <is>
          <t>J.P. Morgan Securities (Far East) Limited; CITIC Securities (Hong Kong) Limited</t>
        </is>
      </c>
      <c r="BU436" s="63" t="inlineStr">
        <is>
          <t>CMB International Capital Limited; ICBC International Securities Limited; SPDB International Capital Limited</t>
        </is>
      </c>
      <c r="BV436" s="63" t="inlineStr">
        <is>
          <t>ABCI Securities Company Limited; BOCI Asia Limited; CLSA Limited; CMB International Capital Limited; Huatai Financial Holdings (Hong Kong) Limited; ICBC International Securities Limited; J.P. Morgan Securities (Asia Pacific) Limited; SPDB International Capital Limited</t>
        </is>
      </c>
      <c r="BW436" s="78">
        <f>HYPERLINK("https://www1.hkexnews.hk/listedco/listconews/sehk/2026/0203/2026020300009.pdf","prospectus")</f>
        <v/>
      </c>
      <c r="BX436" s="78">
        <f>HYPERLINK("https://www1.hkexnews.hk/listedco/listconews/sehk/2026/0210/2026021001338.pdf","allotment")</f>
        <v/>
      </c>
      <c r="BY436" s="78">
        <f>HYPERLINK("https://www1.hkexnews.hk/listedco/listconews/sehk/2026/0308/2026030800191.pdf","stabilisation")</f>
        <v/>
      </c>
      <c r="BZ436" s="76" t="n"/>
      <c r="CA436" s="63" t="inlineStr">
        <is>
          <t>intl sub: subscription level not stated in the filing · greenshoe: over-allotment outcome already published, and the allotment announcement does not state the stabilisation expiry in a parsable form — the expiry no longer matters once resolved · range low: cap-only pricing — the filing publishes a Maximum Offer Price and no indicative floor · A/H: Feb 2026 H listing (battery-making equipment) · grey market: no grey-market headline on file for this deal — AAStocks publishes one per listing but keeps only recent items on the stock's news page, and no public archive of past evening sessions exists; captured from this run onward</t>
        </is>
      </c>
    </row>
    <row r="437" ht="15" customHeight="1">
      <c r="A437" s="62" t="inlineStr">
        <is>
          <t>2706</t>
        </is>
      </c>
      <c r="B437" s="63" t="inlineStr">
        <is>
          <t>HAIZHI TECH GP</t>
        </is>
      </c>
      <c r="C437" s="63" t="inlineStr">
        <is>
          <t>海致科技集團</t>
        </is>
      </c>
      <c r="D437" s="63" t="inlineStr">
        <is>
          <t>Tech/AI</t>
        </is>
      </c>
      <c r="E437" s="63" t="inlineStr">
        <is>
          <t>AI application / agent software</t>
        </is>
      </c>
      <c r="F437" s="63" t="inlineStr">
        <is>
          <t>Advanced hardware and software</t>
        </is>
      </c>
      <c r="G437" s="63" t="inlineStr">
        <is>
          <t>Standard</t>
        </is>
      </c>
      <c r="H437" s="64" t="n">
        <v>46066</v>
      </c>
      <c r="I437" s="65" t="n">
        <v>758.5</v>
      </c>
      <c r="J437" s="63" t="inlineStr">
        <is>
          <t>gross (stated)</t>
        </is>
      </c>
      <c r="K437" s="66" t="n">
        <v>25.6</v>
      </c>
      <c r="L437" s="66" t="n">
        <v>28</v>
      </c>
      <c r="M437" s="66" t="n">
        <v>27.06</v>
      </c>
      <c r="N437" s="63" t="inlineStr">
        <is>
          <t>N</t>
        </is>
      </c>
      <c r="O437" s="67" t="n">
        <v>96.59999999999999</v>
      </c>
      <c r="P437" s="67" t="n">
        <v>60.8</v>
      </c>
      <c r="Q437" s="68" t="n">
        <v>10835.7</v>
      </c>
      <c r="R437" s="63" t="inlineStr">
        <is>
          <t>derived:price x shares upon listing</t>
        </is>
      </c>
      <c r="S437" s="69" t="n">
        <v>5065.06</v>
      </c>
      <c r="T437" s="70" t="n">
        <v>8.390000000000001</v>
      </c>
      <c r="U437" s="71" t="n">
        <v>93</v>
      </c>
      <c r="V437" s="68" t="n">
        <v>53.09</v>
      </c>
      <c r="W437" s="68" t="n">
        <v>1962114</v>
      </c>
      <c r="X437" s="67" t="n">
        <v>0.49</v>
      </c>
      <c r="Y437" s="63" t="inlineStr">
        <is>
          <t>Ren Xuyang (任旭陽); Yang Zaifei (楊再飛); LC ELITE LIMITED; BAI GmbH; SKY FINE LIMITED; Yifang Technology Group, Ltd; Shi Youcai (史有才); Yang Juan (楊娟); Wan Pengjiang (萬澎江); I, L.P; Hu Song (胡嵩); TAL China Focus Master Fund; TAL Global Opportunities Master Fund; Alternative Fund, L.P</t>
        </is>
      </c>
      <c r="Z437" s="63" t="inlineStr">
        <is>
          <t>ren-xuyang;yang-zaifei;lc;bai-gmbh;sky;yifang;shi-youcai;yang-juan;wan-pengjiang;hu-song;tal;alternative</t>
        </is>
      </c>
      <c r="AA437" s="67" t="n"/>
      <c r="AB437" s="72" t="n"/>
      <c r="AC437" s="66" t="n"/>
      <c r="AD437" s="72" t="n"/>
      <c r="AE437" s="63" t="n"/>
      <c r="AF437" s="63" t="n"/>
      <c r="AG437" s="63" t="n"/>
      <c r="AH437" s="63" t="n"/>
      <c r="AI437" s="63" t="n"/>
      <c r="AJ437" s="63" t="n"/>
      <c r="AK437" s="73" t="n">
        <v>242.2</v>
      </c>
      <c r="AL437" s="72" t="n">
        <v>204.14</v>
      </c>
      <c r="AM437" s="72" t="n">
        <v>12.51</v>
      </c>
      <c r="AN437" s="72" t="n">
        <v>298.74</v>
      </c>
      <c r="AO437" s="72" t="n">
        <v>204.69</v>
      </c>
      <c r="AP437" s="72" t="n">
        <v>132.45</v>
      </c>
      <c r="AQ437" s="72" t="n">
        <v>16.52</v>
      </c>
      <c r="AR437" s="72" t="n">
        <v>-10.96</v>
      </c>
      <c r="AS437" s="72" t="n">
        <v>-32.07</v>
      </c>
      <c r="AT437" s="72" t="n">
        <v>301.67</v>
      </c>
      <c r="AU437" s="72" t="n">
        <v>212.53</v>
      </c>
      <c r="AV437" s="72" t="n">
        <v>142.63</v>
      </c>
      <c r="AW437" s="72" t="n">
        <v>-4.09</v>
      </c>
      <c r="AX437" s="72" t="n">
        <v>-7.84</v>
      </c>
      <c r="AY437" s="72" t="n">
        <v>-6.87</v>
      </c>
      <c r="AZ437" s="63" t="inlineStr">
        <is>
          <t>HSTECH (Hang Seng TECH ETF)</t>
        </is>
      </c>
      <c r="BA437" s="72" t="n">
        <v>85.88</v>
      </c>
      <c r="BB437" s="64" t="inlineStr">
        <is>
          <t>2026-08-28</t>
        </is>
      </c>
      <c r="BC437" s="65" t="n">
        <v>553.4</v>
      </c>
      <c r="BD437" s="68" t="n">
        <v>-103.1</v>
      </c>
      <c r="BE437" s="63" t="inlineStr">
        <is>
          <t>N</t>
        </is>
      </c>
      <c r="BF437" s="63" t="inlineStr">
        <is>
          <t>n/m</t>
        </is>
      </c>
      <c r="BG437" s="74" t="n"/>
      <c r="BH437" s="74" t="n"/>
      <c r="BI437" s="74" t="n">
        <v>19.6</v>
      </c>
      <c r="BJ437" s="75">
        <f>IF('BBG Verify'!S437="","not filed — run on terminal",'BBG Verify'!S437)</f>
        <v/>
      </c>
      <c r="BK437" s="76" t="inlineStr">
        <is>
          <t>N</t>
        </is>
      </c>
      <c r="BL437" s="77">
        <f>IF('BBG Verify'!K437="","not filed — run on terminal",'BBG Verify'!K437)</f>
        <v/>
      </c>
      <c r="BM437" s="63" t="inlineStr">
        <is>
          <t>N/A</t>
        </is>
      </c>
      <c r="BN437" s="63" t="inlineStr">
        <is>
          <t>N/A</t>
        </is>
      </c>
      <c r="BO437" s="63" t="inlineStr">
        <is>
          <t>N/A</t>
        </is>
      </c>
      <c r="BP437" s="63" t="inlineStr">
        <is>
          <t>N/A</t>
        </is>
      </c>
      <c r="BQ437" s="63" t="inlineStr">
        <is>
          <t>N/A</t>
        </is>
      </c>
      <c r="BR437" s="63" t="inlineStr">
        <is>
          <t>N/A</t>
        </is>
      </c>
      <c r="BS437" s="76" t="inlineStr">
        <is>
          <t>CMB International Capital Limited; BOCI Asia Limited; Shenwan Hongyuan Capital (H.K.) Limited</t>
        </is>
      </c>
      <c r="BT437" s="63" t="inlineStr">
        <is>
          <t>CMB International Capital Limited; BOCI Asia Limited; Shenwan Hongyuan Capital (H.K.) Limited</t>
        </is>
      </c>
      <c r="BU437" s="63" t="inlineStr">
        <is>
          <t>CMB International Capital Limited; BOCI Asia Limited; Shenwan Hongyuan Securities (H.K.) Limited; Futu Securities International (Hong Kong) Limited; Tiger Brokers (HK) Global Limited; ABCI Capital Limited; Funde Securities Limited; Huafu International Securities Limited; Livermore Holdings Limited; TradeGo Markets Limited; Eddid Securities and Futures Limited</t>
        </is>
      </c>
      <c r="BV437" s="63" t="inlineStr">
        <is>
          <t>ABCI Securities Company Limited; BOCI Asia Limited; CMB International Capital Limited; Eddid Securities and Futures Limited; Funde Securities Limited; Futu Securities International (Hong Kong) Limited; Huafu International Securities Limited; Livermore Holdings Limited; Shenwan Hongyuan Securities (H.K.) Limited; Tiger Brokers (HK) Global Limited; TradeGo Markets Limited</t>
        </is>
      </c>
      <c r="BW437" s="78">
        <f>HYPERLINK("https://www1.hkexnews.hk/listedco/listconews/sehk/2026/0205/2026020500037.pdf","prospectus")</f>
        <v/>
      </c>
      <c r="BX437" s="78">
        <f>HYPERLINK("https://www1.hkexnews.hk/listedco/listconews/sehk/2026/0212/2026021201324.pdf","allotment")</f>
        <v/>
      </c>
      <c r="BY437" s="63" t="n"/>
      <c r="BZ437" s="76" t="n"/>
      <c r="CA437" s="63" t="inlineStr">
        <is>
          <t>P/E: n/m — loss-making at IPO (use P/S) · greenshoe: no over-allotment option in the offer structure · A/H: no A-share listing · greenshoe size: no over-allotment option in the offer structure · stabilising manager: the filing states no stabilising manager will be appointed — a filed fact, not an extraction gap (allotment announcement: 'no stabilizing manager will be appointed' stated in the filing) · grey market: no grey-market headline on file for this deal — AAStocks publishes one per listing but keeps only recent items on the stock's news page, and no public archive of past evening sessions exists; captured from this run onward</t>
        </is>
      </c>
    </row>
    <row r="438" ht="15" customHeight="1">
      <c r="A438" s="62" t="inlineStr">
        <is>
          <t>9981</t>
        </is>
      </c>
      <c r="B438" s="63" t="inlineStr">
        <is>
          <t>WOER</t>
        </is>
      </c>
      <c r="C438" s="63" t="inlineStr">
        <is>
          <t>沃爾核材</t>
        </is>
      </c>
      <c r="D438" s="63" t="inlineStr">
        <is>
          <t>Materials/Energy</t>
        </is>
      </c>
      <c r="E438" s="63" t="inlineStr">
        <is>
          <t>Chemicals</t>
        </is>
      </c>
      <c r="F438" s="63" t="inlineStr">
        <is>
          <t>Electrical Components &amp; Equipment</t>
        </is>
      </c>
      <c r="G438" s="63" t="inlineStr">
        <is>
          <t>Standard</t>
        </is>
      </c>
      <c r="H438" s="64" t="n">
        <v>46066</v>
      </c>
      <c r="I438" s="65" t="n">
        <v>2812.4</v>
      </c>
      <c r="J438" s="63" t="inlineStr">
        <is>
          <t>gross (stated)</t>
        </is>
      </c>
      <c r="K438" s="66" t="n"/>
      <c r="L438" s="66" t="n">
        <v>20.09</v>
      </c>
      <c r="M438" s="66" t="n">
        <v>20.09</v>
      </c>
      <c r="N438" s="63" t="inlineStr">
        <is>
          <t>Y</t>
        </is>
      </c>
      <c r="O438" s="67" t="n">
        <v>100</v>
      </c>
      <c r="P438" s="67" t="n"/>
      <c r="Q438" s="68" t="n">
        <v>28123.7</v>
      </c>
      <c r="R438" s="63" t="inlineStr">
        <is>
          <t>derived:price x shares upon listing</t>
        </is>
      </c>
      <c r="S438" s="69" t="n">
        <v>569.58</v>
      </c>
      <c r="T438" s="70" t="n">
        <v>8.19</v>
      </c>
      <c r="U438" s="71" t="n">
        <v>34.45</v>
      </c>
      <c r="V438" s="68" t="n">
        <v>1843.53</v>
      </c>
      <c r="W438" s="68" t="n">
        <v>91762658</v>
      </c>
      <c r="X438" s="67" t="n">
        <v>6.56</v>
      </c>
      <c r="Y438" s="63" t="inlineStr">
        <is>
          <t>HHLR Advisors, Ltd; Shanghai Greenwoods (via Huatai OTC swaps); Jump Trading Pacific Pte. Ltd; Huizhou Huilian Investment Partnership (LP); Jiangxi Copper (via GTJA OTC swaps); Shen Zhen New World Investment (H.K.); Best Cheer Development; RIME Capital Limited; SCV Alpha LP; Yield Royal Investment Holding (Singapore); Guohui (HK) Holdings Co., Limited; Pu Xin (via GTJA OTC swaps); Capchem (Hongkong); Enhanced Investment Products (EIP); Factorial Master Fund</t>
        </is>
      </c>
      <c r="Z438" s="63" t="inlineStr">
        <is>
          <t>hhlr;shanghai-greenwoods;jump;huizhou;jiangxi;shen-zhen;best;rime;scv;yield;guohui;pu;capchem;enhanced;factorial</t>
        </is>
      </c>
      <c r="AA438" s="67" t="n"/>
      <c r="AB438" s="72" t="n"/>
      <c r="AC438" s="66" t="n"/>
      <c r="AD438" s="72" t="n"/>
      <c r="AE438" s="63" t="n"/>
      <c r="AF438" s="63" t="n"/>
      <c r="AG438" s="63" t="n"/>
      <c r="AH438" s="63" t="n"/>
      <c r="AI438" s="63" t="n"/>
      <c r="AJ438" s="63" t="n"/>
      <c r="AK438" s="73" t="n">
        <v>2.94</v>
      </c>
      <c r="AL438" s="72" t="n">
        <v>0.05</v>
      </c>
      <c r="AM438" s="72" t="n">
        <v>2.89</v>
      </c>
      <c r="AN438" s="72" t="n">
        <v>3.04</v>
      </c>
      <c r="AO438" s="72" t="n">
        <v>1.05</v>
      </c>
      <c r="AP438" s="72" t="n">
        <v>-28.07</v>
      </c>
      <c r="AQ438" s="72" t="n">
        <v>0.1</v>
      </c>
      <c r="AR438" s="72" t="n">
        <v>-1.84</v>
      </c>
      <c r="AS438" s="72" t="n">
        <v>-30.12</v>
      </c>
      <c r="AT438" s="72" t="n">
        <v>4.99</v>
      </c>
      <c r="AU438" s="72" t="n">
        <v>7.19</v>
      </c>
      <c r="AV438" s="72" t="n">
        <v>-18.36</v>
      </c>
      <c r="AW438" s="72" t="n">
        <v>2.93</v>
      </c>
      <c r="AX438" s="72" t="n">
        <v>-6.14</v>
      </c>
      <c r="AY438" s="72" t="n">
        <v>-4.77</v>
      </c>
      <c r="AZ438" s="63" t="inlineStr">
        <is>
          <t>Hang Seng Commerce &amp; Industry sub-index</t>
        </is>
      </c>
      <c r="BA438" s="72" t="n">
        <v>-49.58</v>
      </c>
      <c r="BB438" s="64" t="inlineStr">
        <is>
          <t>2026-08-28</t>
        </is>
      </c>
      <c r="BC438" s="65" t="n">
        <v>7612.1</v>
      </c>
      <c r="BD438" s="68" t="n">
        <v>1012.6</v>
      </c>
      <c r="BE438" s="63" t="inlineStr">
        <is>
          <t>Y</t>
        </is>
      </c>
      <c r="BF438" s="74" t="n">
        <v>27.8</v>
      </c>
      <c r="BG438" s="74" t="n">
        <v>19.9</v>
      </c>
      <c r="BH438" s="74" t="n">
        <v>10.1</v>
      </c>
      <c r="BI438" s="74" t="n">
        <v>3.7</v>
      </c>
      <c r="BJ438" s="75">
        <f>IF('BBG Verify'!S438="","not filed — run on terminal",'BBG Verify'!S438)</f>
        <v/>
      </c>
      <c r="BK438" s="76" t="inlineStr">
        <is>
          <t>Y</t>
        </is>
      </c>
      <c r="BL438" s="63" t="inlineStr">
        <is>
          <t>002130.SZ</t>
        </is>
      </c>
      <c r="BM438" s="72" t="n">
        <v>58.6</v>
      </c>
      <c r="BN438" s="66" t="n">
        <v>31.8623</v>
      </c>
      <c r="BO438" s="80" t="n">
        <v>0.9814000000000001</v>
      </c>
      <c r="BP438" s="68" t="n">
        <v>27970.6</v>
      </c>
      <c r="BQ438" s="75">
        <f>IF('BBG Verify'!Q438="","run on terminal",'BBG Verify'!Q438)</f>
        <v/>
      </c>
      <c r="BR438" s="75">
        <f>IF('BBG Verify'!R438="","run on terminal",'BBG Verify'!R438)</f>
        <v/>
      </c>
      <c r="BS438" s="76" t="n"/>
      <c r="BT438" s="63" t="inlineStr">
        <is>
          <t>China Securities (International) Corporate Finance Company Limited; China Merchants Securities (HK) Company Limited</t>
        </is>
      </c>
      <c r="BU438" s="63" t="inlineStr">
        <is>
          <t>China Merchants Securities (HK) Company Limited; China Securities (International) Corporate Finance Company Limited; DBS Asia Capital Limited; Futu Securities International (Hong Kong) Limited; Shanxi Securities International Limited; Tiger Brokers (HK) Global Limited</t>
        </is>
      </c>
      <c r="BV438" s="63" t="inlineStr">
        <is>
          <t>China Merchants Securities (HK) Company Limited; China Securities (International) Corporate Finance Company Limited; DBS Asia Capital Limited; Futu Securities International (Hong Kong) Limited; Shanxi Securities International Limited; Tiger Brokers (HK) Global Limited</t>
        </is>
      </c>
      <c r="BW438" s="78">
        <f>HYPERLINK("https://www1.hkexnews.hk/listedco/listconews/sehk/2026/0205/2026020500092.htm","prospectus")</f>
        <v/>
      </c>
      <c r="BX438" s="78">
        <f>HYPERLINK("https://www1.hkexnews.hk/listedco/listconews/sehk/2026/0212/2026021201492.pdf","allotment")</f>
        <v/>
      </c>
      <c r="BY438" s="63" t="n"/>
      <c r="BZ438" s="76" t="n"/>
      <c r="CA438" s="63" t="inlineStr">
        <is>
          <t>greenshoe: no over-allotment option in the offer structure · range low: cap-only pricing — the filing publishes a Maximum Offer Price and no indicative floor · A/H: Feb 2026 H listing · sponsor: English name not in the filing text; AAStocks 保薦人 shown · greenshoe size: no over-allotment option in the offer structure · stabilising manager: no over-allotment option in the offer structure, so no stabilising manager is appointed · grey market: no grey-market headline on file for this deal — AAStocks publishes one per listing but keeps only recent items on the stock's news page, and no public archive of past evening sessions exists; captured from this run onward</t>
        </is>
      </c>
    </row>
    <row r="439" ht="15" customHeight="1">
      <c r="A439" s="62" t="inlineStr">
        <is>
          <t>2715</t>
        </is>
      </c>
      <c r="B439" s="63" t="inlineStr">
        <is>
          <t>ESTUN</t>
        </is>
      </c>
      <c r="C439" s="63" t="inlineStr">
        <is>
          <t>埃斯頓</t>
        </is>
      </c>
      <c r="D439" s="63" t="inlineStr">
        <is>
          <t>Tech/AI</t>
        </is>
      </c>
      <c r="E439" s="63" t="inlineStr">
        <is>
          <t>Robotics &amp; autonomous driving</t>
        </is>
      </c>
      <c r="F439" s="63" t="inlineStr">
        <is>
          <t>Next-generation information technology</t>
        </is>
      </c>
      <c r="G439" s="63" t="inlineStr">
        <is>
          <t>Standard</t>
        </is>
      </c>
      <c r="H439" s="64" t="n">
        <v>46090</v>
      </c>
      <c r="I439" s="65" t="n">
        <v>1486.54</v>
      </c>
      <c r="J439" s="63" t="inlineStr">
        <is>
          <t>gross (stated)</t>
        </is>
      </c>
      <c r="K439" s="66" t="n">
        <v>15.36</v>
      </c>
      <c r="L439" s="66" t="n">
        <v>17</v>
      </c>
      <c r="M439" s="66" t="n">
        <v>15.36</v>
      </c>
      <c r="N439" s="63" t="inlineStr">
        <is>
          <t>N</t>
        </is>
      </c>
      <c r="O439" s="67" t="n">
        <v>90.40000000000001</v>
      </c>
      <c r="P439" s="67" t="n">
        <v>0</v>
      </c>
      <c r="Q439" s="68" t="n">
        <v>16299.5</v>
      </c>
      <c r="R439" s="63" t="inlineStr">
        <is>
          <t>aastocks:上市市值 at the struck price</t>
        </is>
      </c>
      <c r="S439" s="69" t="n">
        <v>19.67</v>
      </c>
      <c r="T439" s="70" t="n">
        <v>3.34</v>
      </c>
      <c r="U439" s="71" t="n">
        <v>35.1</v>
      </c>
      <c r="V439" s="68" t="n">
        <v>964.76</v>
      </c>
      <c r="W439" s="68" t="n">
        <v>62810220</v>
      </c>
      <c r="X439" s="67" t="n">
        <v>5.92</v>
      </c>
      <c r="Y439" s="63" t="inlineStr">
        <is>
          <t>Deep Source Holdings Limited; Dreamee (Hong Kong) Open-ended Fund Company; Haitian Huayuan (Singapore) Pte. Ltd; Harvest Oriental SP; Hengtong Optic-electric International Co., Limited; New Fortune Holdings Group Limited; Qianhai Hezhong Investment Holding Limited</t>
        </is>
      </c>
      <c r="Z439" s="63" t="inlineStr">
        <is>
          <t>deep;dreamee;haitian;harvest;hengtong;new-fortune;qianhai</t>
        </is>
      </c>
      <c r="AA439" s="67" t="n">
        <v>5.1</v>
      </c>
      <c r="AB439" s="72" t="n">
        <v>-8.199999999999999</v>
      </c>
      <c r="AC439" s="66" t="n">
        <v>14.1</v>
      </c>
      <c r="AD439" s="72" t="n">
        <v>-8.52</v>
      </c>
      <c r="AE439" s="63" t="inlineStr">
        <is>
          <t>Y</t>
        </is>
      </c>
      <c r="AF439" s="63" t="inlineStr">
        <is>
          <t>2026-03-08</t>
        </is>
      </c>
      <c r="AG439" s="63" t="inlineStr">
        <is>
          <t>lapsed</t>
        </is>
      </c>
      <c r="AH439" s="63" t="inlineStr">
        <is>
          <t>2026-04-03</t>
        </is>
      </c>
      <c r="AI439" s="63" t="inlineStr">
        <is>
          <t>Huatai Financial Holdings</t>
        </is>
      </c>
      <c r="AJ439" s="63" t="inlineStr">
        <is>
          <t>Huatai</t>
        </is>
      </c>
      <c r="AK439" s="73" t="n">
        <v>-16.02</v>
      </c>
      <c r="AL439" s="72" t="n">
        <v>0</v>
      </c>
      <c r="AM439" s="72" t="n">
        <v>-16.02</v>
      </c>
      <c r="AN439" s="72" t="n">
        <v>-16.41</v>
      </c>
      <c r="AO439" s="72" t="n">
        <v>-16.73</v>
      </c>
      <c r="AP439" s="72" t="n">
        <v>8.27</v>
      </c>
      <c r="AQ439" s="72" t="n">
        <v>-0.46</v>
      </c>
      <c r="AR439" s="72" t="n">
        <v>-0.85</v>
      </c>
      <c r="AS439" s="72" t="n">
        <v>28.92</v>
      </c>
      <c r="AT439" s="72" t="n">
        <v>-19.76</v>
      </c>
      <c r="AU439" s="72" t="n">
        <v>-15.12</v>
      </c>
      <c r="AV439" s="72" t="n">
        <v>13.98</v>
      </c>
      <c r="AW439" s="72" t="n">
        <v>0.47</v>
      </c>
      <c r="AX439" s="72" t="n">
        <v>-1.61</v>
      </c>
      <c r="AY439" s="72" t="n">
        <v>-1.32</v>
      </c>
      <c r="AZ439" s="63" t="inlineStr">
        <is>
          <t>HSTECH (Hang Seng TECH ETF)</t>
        </is>
      </c>
      <c r="BA439" s="72" t="n">
        <v>11</v>
      </c>
      <c r="BB439" s="64" t="inlineStr">
        <is>
          <t>2026-08-28</t>
        </is>
      </c>
      <c r="BC439" s="65" t="n">
        <v>4409.6</v>
      </c>
      <c r="BD439" s="68" t="n">
        <v>-664.6</v>
      </c>
      <c r="BE439" s="63" t="inlineStr">
        <is>
          <t>N</t>
        </is>
      </c>
      <c r="BF439" s="63" t="inlineStr">
        <is>
          <t>n/m</t>
        </is>
      </c>
      <c r="BG439" s="74" t="n">
        <v>210.8</v>
      </c>
      <c r="BH439" s="74" t="n">
        <v>303.5</v>
      </c>
      <c r="BI439" s="74" t="n">
        <v>3.7</v>
      </c>
      <c r="BJ439" s="75">
        <f>IF('BBG Verify'!S439="","not filed — run on terminal",'BBG Verify'!S439)</f>
        <v/>
      </c>
      <c r="BK439" s="76" t="inlineStr">
        <is>
          <t>Y</t>
        </is>
      </c>
      <c r="BL439" s="63" t="inlineStr">
        <is>
          <t>002747.SZ</t>
        </is>
      </c>
      <c r="BM439" s="72" t="n">
        <v>64.04000000000001</v>
      </c>
      <c r="BN439" s="66" t="n">
        <v>25.1964</v>
      </c>
      <c r="BO439" s="80" t="n">
        <v>1.1519</v>
      </c>
      <c r="BP439" s="68" t="n">
        <v>35753.8</v>
      </c>
      <c r="BQ439" s="75">
        <f>IF('BBG Verify'!Q439="","run on terminal",'BBG Verify'!Q439)</f>
        <v/>
      </c>
      <c r="BR439" s="75">
        <f>IF('BBG Verify'!R439="","run on terminal",'BBG Verify'!R439)</f>
        <v/>
      </c>
      <c r="BS439" s="76" t="inlineStr">
        <is>
          <t>Huatai Financial Holdings (Hong Kong) Limited</t>
        </is>
      </c>
      <c r="BT439" s="63" t="inlineStr">
        <is>
          <t>Huatai Financial Holdings (Hong Kong) Limited</t>
        </is>
      </c>
      <c r="BU439" s="63" t="inlineStr">
        <is>
          <t>Huatai Financial Holdings (Hong Kong) Limited; GF Securities (Hong Kong) Brokerage Limited; BOCOM International Securities Limited; CMB International Capital Limited; ABCI Capital Limited; BOCI Asia Limited; Futu Securities International (Hong Kong) Limited; Livermore Holdings Limited; TradeGo Markets Limited; Huaan Securities (Hong Kong) Brokerage Limited</t>
        </is>
      </c>
      <c r="BV439" s="63" t="inlineStr">
        <is>
          <t>ABCI Securities Company Limited; BOCI Asia Limited; BOCOM International Securities Limited; CMB International Capital Limited; Futu Securities International (Hong Kong) Limited; GF Securities (Hong Kong) Brokerage Limited; Huatai Financial Holdings (Hong Kong) Limited; Huaan Securities (Hong Kong) Brokerage Limited; ICBC International Securities Limited; Livermore Holdings Limited; TradeGo Markets Limited</t>
        </is>
      </c>
      <c r="BW439" s="78">
        <f>HYPERLINK("https://www1.hkexnews.hk/listedco/listconews/sehk/2026/0227/2026022700017.pdf","prospectus")</f>
        <v/>
      </c>
      <c r="BX439" s="78">
        <f>HYPERLINK("https://www1.hkexnews.hk/listedco/listconews/sehk/2026/0306/2026030601391.pdf","allotment")</f>
        <v/>
      </c>
      <c r="BY439" s="78">
        <f>HYPERLINK("https://www1.hkexnews.hk/listedco/listconews/sehk/2026/0407/2026040700049.pdf","stabilisation")</f>
        <v/>
      </c>
      <c r="BZ439" s="76" t="n"/>
      <c r="CA439" s="63" t="inlineStr">
        <is>
          <t>P/E: n/m — loss-making at IPO (use P/S) · A/H: Mar 2026 H listing (industrial robots) · market cap: estimate from deal size / offer % of enlarged capital disagreed with the published listing cap — published figure adopted</t>
        </is>
      </c>
    </row>
    <row r="440" ht="15" customHeight="1">
      <c r="A440" s="62" t="inlineStr">
        <is>
          <t>2649</t>
        </is>
      </c>
      <c r="B440" s="63" t="inlineStr">
        <is>
          <t>ALSCO POOLING</t>
        </is>
      </c>
      <c r="C440" s="63" t="inlineStr">
        <is>
          <t>優樂賽共享</t>
        </is>
      </c>
      <c r="D440" s="63" t="inlineStr">
        <is>
          <t>Industrials</t>
        </is>
      </c>
      <c r="E440" s="63" t="inlineStr">
        <is>
          <t>Logistics</t>
        </is>
      </c>
      <c r="F440" s="63" t="inlineStr">
        <is>
          <t>Metal &amp; Glass &amp; Plastic Packaging</t>
        </is>
      </c>
      <c r="G440" s="63" t="inlineStr">
        <is>
          <t>Standard</t>
        </is>
      </c>
      <c r="H440" s="64" t="n">
        <v>46090</v>
      </c>
      <c r="I440" s="65" t="n">
        <v>223.7</v>
      </c>
      <c r="J440" s="63" t="inlineStr">
        <is>
          <t>gross (stated)</t>
        </is>
      </c>
      <c r="K440" s="66" t="n">
        <v>11</v>
      </c>
      <c r="L440" s="66" t="n">
        <v>14</v>
      </c>
      <c r="M440" s="66" t="n">
        <v>11</v>
      </c>
      <c r="N440" s="63" t="inlineStr">
        <is>
          <t>N</t>
        </is>
      </c>
      <c r="O440" s="67" t="n">
        <v>78.59999999999999</v>
      </c>
      <c r="P440" s="67" t="n">
        <v>0</v>
      </c>
      <c r="Q440" s="68" t="n">
        <v>993.7</v>
      </c>
      <c r="R440" s="63" t="inlineStr">
        <is>
          <t>derived:price x shares upon listing</t>
        </is>
      </c>
      <c r="S440" s="69" t="n">
        <v>5297.23</v>
      </c>
      <c r="T440" s="70" t="n">
        <v>4.2</v>
      </c>
      <c r="U440" s="71" t="n">
        <v>0</v>
      </c>
      <c r="V440" s="68" t="n">
        <v>223.7</v>
      </c>
      <c r="W440" s="68" t="n">
        <v>20336000</v>
      </c>
      <c r="X440" s="67" t="n">
        <v>22.51</v>
      </c>
      <c r="Y440" s="63" t="n"/>
      <c r="Z440" s="63" t="n"/>
      <c r="AA440" s="67" t="n">
        <v>15</v>
      </c>
      <c r="AB440" s="72" t="n">
        <v>-0.9</v>
      </c>
      <c r="AC440" s="66" t="n">
        <v>10.9</v>
      </c>
      <c r="AD440" s="72" t="n">
        <v>-43.13</v>
      </c>
      <c r="AE440" s="63" t="inlineStr">
        <is>
          <t>Y</t>
        </is>
      </c>
      <c r="AF440" s="63" t="inlineStr">
        <is>
          <t>2026-03-08</t>
        </is>
      </c>
      <c r="AG440" s="63" t="n"/>
      <c r="AH440" s="63" t="n"/>
      <c r="AI440" s="63" t="inlineStr">
        <is>
          <t>China Securities</t>
        </is>
      </c>
      <c r="AJ440" s="63" t="inlineStr">
        <is>
          <t>China Securities</t>
        </is>
      </c>
      <c r="AK440" s="73" t="n">
        <v>-43.64</v>
      </c>
      <c r="AL440" s="72" t="n">
        <v>-31.82</v>
      </c>
      <c r="AM440" s="72" t="n">
        <v>-17.34</v>
      </c>
      <c r="AN440" s="72" t="n">
        <v>-53.09</v>
      </c>
      <c r="AO440" s="72" t="n">
        <v>-64.55</v>
      </c>
      <c r="AP440" s="72" t="n">
        <v>-64.55</v>
      </c>
      <c r="AQ440" s="72" t="n">
        <v>-16.77</v>
      </c>
      <c r="AR440" s="72" t="n">
        <v>-37.1</v>
      </c>
      <c r="AS440" s="72" t="n">
        <v>-37.1</v>
      </c>
      <c r="AT440" s="72" t="n">
        <v>-55.39</v>
      </c>
      <c r="AU440" s="72" t="n">
        <v>-63.77</v>
      </c>
      <c r="AV440" s="72" t="n">
        <v>-55.82</v>
      </c>
      <c r="AW440" s="72" t="n">
        <v>-37.03</v>
      </c>
      <c r="AX440" s="72" t="n">
        <v>-0.78</v>
      </c>
      <c r="AY440" s="72" t="n">
        <v>-0.07000000000000001</v>
      </c>
      <c r="AZ440" s="63" t="inlineStr">
        <is>
          <t>Hang Seng Commerce &amp; Industry sub-index</t>
        </is>
      </c>
      <c r="BA440" s="72" t="n">
        <v>-64.55</v>
      </c>
      <c r="BB440" s="64" t="inlineStr">
        <is>
          <t>2026-08-28</t>
        </is>
      </c>
      <c r="BC440" s="65" t="n">
        <v>921.4</v>
      </c>
      <c r="BD440" s="68" t="n">
        <v>55.8</v>
      </c>
      <c r="BE440" s="63" t="inlineStr">
        <is>
          <t>Y</t>
        </is>
      </c>
      <c r="BF440" s="74" t="n">
        <v>17.8</v>
      </c>
      <c r="BG440" s="74" t="n"/>
      <c r="BH440" s="74" t="n"/>
      <c r="BI440" s="74" t="n">
        <v>1.1</v>
      </c>
      <c r="BJ440" s="75">
        <f>IF('BBG Verify'!S440="","not filed — run on terminal",'BBG Verify'!S440)</f>
        <v/>
      </c>
      <c r="BK440" s="76" t="inlineStr">
        <is>
          <t>N</t>
        </is>
      </c>
      <c r="BL440" s="77">
        <f>IF('BBG Verify'!K440="","not filed — run on terminal",'BBG Verify'!K440)</f>
        <v/>
      </c>
      <c r="BM440" s="63" t="inlineStr">
        <is>
          <t>N/A</t>
        </is>
      </c>
      <c r="BN440" s="63" t="inlineStr">
        <is>
          <t>N/A</t>
        </is>
      </c>
      <c r="BO440" s="63" t="inlineStr">
        <is>
          <t>N/A</t>
        </is>
      </c>
      <c r="BP440" s="63" t="inlineStr">
        <is>
          <t>N/A</t>
        </is>
      </c>
      <c r="BQ440" s="63" t="inlineStr">
        <is>
          <t>N/A</t>
        </is>
      </c>
      <c r="BR440" s="63" t="inlineStr">
        <is>
          <t>N/A</t>
        </is>
      </c>
      <c r="BS440" s="76" t="inlineStr">
        <is>
          <t>China Securities (International) Corporate Finance Company Limited</t>
        </is>
      </c>
      <c r="BT440" s="63" t="inlineStr">
        <is>
          <t>China Securities (International) Corporate Finance Company Limited</t>
        </is>
      </c>
      <c r="BU440" s="63" t="inlineStr">
        <is>
          <t>DBS Asia Capital Limited; to our Company DBS Asia Capital Limited; ABCI Capital Limited; CMB International Capital Limited; Futu Securities International (Hong Kong) Limited; Livermore Holdings Limited; SPDB International Capital Limited; TFI Securities and Futures Limited; TradeGo Markets Limited</t>
        </is>
      </c>
      <c r="BV440" s="63" t="inlineStr">
        <is>
          <t>ABCI Securities Company Limited; CMB International Capital Limited; China Securities (International) Corporate Finance Company Limited; China Sunrise Securities (International) Limited; DBS Asia Capital Limited; Futu Securities International (Hong Kong) Limited; Livermore Holdings Limited; SPDB International Capital Limited; TFI Securities and Futures Limited; TradeGo Markets Limited</t>
        </is>
      </c>
      <c r="BW440" s="78">
        <f>HYPERLINK("https://www1.hkexnews.hk/listedco/listconews/sehk/2026/0227/2026022700013.pdf","prospectus")</f>
        <v/>
      </c>
      <c r="BX440" s="78">
        <f>HYPERLINK("https://www1.hkexnews.hk/listedco/listconews/sehk/2026/0306/2026030601405.pdf","allotment")</f>
        <v/>
      </c>
      <c r="BY440" s="63" t="n"/>
      <c r="BZ440" s="76" t="n"/>
      <c r="CA440" s="63" t="inlineStr">
        <is>
          <t>greenshoe: end-of-stabilisation notice not located · A/H: no A-share listing · cornerstone list: no cornerstone tranche in this deal</t>
        </is>
      </c>
    </row>
    <row r="441" ht="15" customHeight="1">
      <c r="A441" s="62" t="inlineStr">
        <is>
          <t>2692</t>
        </is>
      </c>
      <c r="B441" s="63" t="inlineStr">
        <is>
          <t>ZHAOWEI</t>
        </is>
      </c>
      <c r="C441" s="63" t="inlineStr">
        <is>
          <t>兆威機電</t>
        </is>
      </c>
      <c r="D441" s="63" t="inlineStr">
        <is>
          <t>Industrials</t>
        </is>
      </c>
      <c r="E441" s="63" t="inlineStr">
        <is>
          <t>Capital goods / machinery</t>
        </is>
      </c>
      <c r="F441" s="63" t="inlineStr">
        <is>
          <t>Industrial Machinery</t>
        </is>
      </c>
      <c r="G441" s="63" t="inlineStr">
        <is>
          <t>Standard</t>
        </is>
      </c>
      <c r="H441" s="64" t="n">
        <v>46090</v>
      </c>
      <c r="I441" s="65" t="n">
        <v>1906.62</v>
      </c>
      <c r="J441" s="63" t="inlineStr">
        <is>
          <t>gross (stated)</t>
        </is>
      </c>
      <c r="K441" s="66" t="n"/>
      <c r="L441" s="66" t="n">
        <v>73.68000000000001</v>
      </c>
      <c r="M441" s="66" t="n">
        <v>71.28</v>
      </c>
      <c r="N441" s="63" t="inlineStr">
        <is>
          <t>N</t>
        </is>
      </c>
      <c r="O441" s="67" t="n">
        <v>96.7</v>
      </c>
      <c r="P441" s="67" t="n"/>
      <c r="Q441" s="68" t="n">
        <v>19066.2</v>
      </c>
      <c r="R441" s="63" t="inlineStr">
        <is>
          <t>derived:price x shares upon listing</t>
        </is>
      </c>
      <c r="S441" s="69" t="n">
        <v>1536.76</v>
      </c>
      <c r="T441" s="70" t="n">
        <v>13.4</v>
      </c>
      <c r="U441" s="71" t="n">
        <v>34.17</v>
      </c>
      <c r="V441" s="68" t="n">
        <v>1255.13</v>
      </c>
      <c r="W441" s="68" t="n">
        <v>17608406</v>
      </c>
      <c r="X441" s="67" t="n">
        <v>6.58</v>
      </c>
      <c r="Y441" s="63" t="inlineStr">
        <is>
          <t>BeingBoom Capital Limited; Bridge Zone Group Limited; CMBC INTERNATIONAL INVESTMENT (HK) LIMITED; Da Cheng International Asset Management Company Limited; Factorial Master Fund; GF Management Co., Ltd; Hengbang and China Galaxy International Investment Company Limited; HHLR Advisors, Ltd; Jump Trading Pacific Pte. Ltd; Main Source Capital Limited; Mirae Asset Securities (HK) Limited; Mr. He Maoling; Mr. Luo Jie; Oakwise Growth Fund SPC – Global Select Opportunities Fund SP; Perseverance Asset Management International (Singapore) Pte. Ltd; RIME Capital Limited; Suzhou Taihu Golden Valley Construction Development Co., Ltd; TOPSTAR WORLDWIDE GROUP LIMITED; VVC Technology Fund Ltd; W Investment Company Limited</t>
        </is>
      </c>
      <c r="Z441" s="63" t="inlineStr">
        <is>
          <t>beingboom;bridge;cmbc;da;factorial;gf;hengbang;hhlr;jump;main;mirae;mr-he;mr-luo;oakwise;perseverance;rime;suzhou;topstar;vvc;investment-company</t>
        </is>
      </c>
      <c r="AA441" s="67" t="n"/>
      <c r="AB441" s="72" t="n">
        <v>16.2</v>
      </c>
      <c r="AC441" s="66" t="n">
        <v>82.8</v>
      </c>
      <c r="AD441" s="72" t="n">
        <v>-11.87</v>
      </c>
      <c r="AE441" s="63" t="inlineStr">
        <is>
          <t>Y</t>
        </is>
      </c>
      <c r="AF441" s="63" t="inlineStr">
        <is>
          <t>2026-03-08</t>
        </is>
      </c>
      <c r="AG441" s="63" t="n"/>
      <c r="AH441" s="63" t="n"/>
      <c r="AI441" s="63" t="n"/>
      <c r="AJ441" s="63" t="n"/>
      <c r="AK441" s="73" t="n">
        <v>2.41</v>
      </c>
      <c r="AL441" s="72" t="n">
        <v>9.43</v>
      </c>
      <c r="AM441" s="72" t="n">
        <v>-6.42</v>
      </c>
      <c r="AN441" s="72" t="n">
        <v>11.39</v>
      </c>
      <c r="AO441" s="72" t="n">
        <v>-7.48</v>
      </c>
      <c r="AP441" s="72" t="n">
        <v>-13.09</v>
      </c>
      <c r="AQ441" s="72" t="n">
        <v>8.77</v>
      </c>
      <c r="AR441" s="72" t="n">
        <v>-9.66</v>
      </c>
      <c r="AS441" s="72" t="n">
        <v>-15.14</v>
      </c>
      <c r="AT441" s="72" t="n">
        <v>9.09</v>
      </c>
      <c r="AU441" s="72" t="n">
        <v>-6.7</v>
      </c>
      <c r="AV441" s="72" t="n">
        <v>-4.36</v>
      </c>
      <c r="AW441" s="72" t="n">
        <v>-9.59</v>
      </c>
      <c r="AX441" s="72" t="n">
        <v>-0.78</v>
      </c>
      <c r="AY441" s="72" t="n">
        <v>-0.07000000000000001</v>
      </c>
      <c r="AZ441" s="63" t="inlineStr">
        <is>
          <t>Hang Seng Commerce &amp; Industry sub-index</t>
        </is>
      </c>
      <c r="BA441" s="72" t="n">
        <v>-42.82</v>
      </c>
      <c r="BB441" s="64" t="inlineStr">
        <is>
          <t>2026-08-28</t>
        </is>
      </c>
      <c r="BC441" s="65" t="n">
        <v>1677.1</v>
      </c>
      <c r="BD441" s="68" t="n">
        <v>248</v>
      </c>
      <c r="BE441" s="63" t="inlineStr">
        <is>
          <t>Y</t>
        </is>
      </c>
      <c r="BF441" s="74" t="n">
        <v>76.90000000000001</v>
      </c>
      <c r="BG441" s="74" t="n">
        <v>61</v>
      </c>
      <c r="BH441" s="74" t="n">
        <v>45</v>
      </c>
      <c r="BI441" s="74" t="n">
        <v>11.4</v>
      </c>
      <c r="BJ441" s="75">
        <f>IF('BBG Verify'!S441="","not filed — run on terminal",'BBG Verify'!S441)</f>
        <v/>
      </c>
      <c r="BK441" s="76" t="inlineStr">
        <is>
          <t>Y</t>
        </is>
      </c>
      <c r="BL441" s="63" t="inlineStr">
        <is>
          <t>003021.SZ</t>
        </is>
      </c>
      <c r="BM441" s="72" t="n">
        <v>87.19</v>
      </c>
      <c r="BN441" s="66" t="n">
        <v>133.4288</v>
      </c>
      <c r="BO441" s="80" t="n">
        <v>1.1195</v>
      </c>
      <c r="BP441" s="68" t="n">
        <v>23443</v>
      </c>
      <c r="BQ441" s="75">
        <f>IF('BBG Verify'!Q441="","run on terminal",'BBG Verify'!Q441)</f>
        <v/>
      </c>
      <c r="BR441" s="75">
        <f>IF('BBG Verify'!R441="","run on terminal",'BBG Verify'!R441)</f>
        <v/>
      </c>
      <c r="BS441" s="76" t="inlineStr">
        <is>
          <t>China Merchants Securities (HK) Co., Limited; Deutsche Securities Asia Limited</t>
        </is>
      </c>
      <c r="BT441" s="63" t="inlineStr">
        <is>
          <t>Deutsche Securities Asia Limited; China Merchants Securities (HK) Company Limited</t>
        </is>
      </c>
      <c r="BU441" s="63" t="inlineStr">
        <is>
          <t>China Merchants Securities (HK) Co., Limited; Deutsche Bank AG, Hong Kong Branch; CLSA Limited; ABCI Capital Limited; BOCOM International Securities Limited; Futu Securities International (Hong Kong) Limited; Y ellow River Securities Limited</t>
        </is>
      </c>
      <c r="BV441" s="63" t="inlineStr">
        <is>
          <t>ABCI Capital Limited; ABCI Securities Company Limited; BOCOM International Securities Limited; CLSA Limited; China Merchants Securities (HK) Company Limited; Deutsche Bank AG, Hong Kong Branch; Futu Securities International (Hong Kong) Limited; I Win Securities Limited; Open Securities Limited; Yellow River Securities Limited</t>
        </is>
      </c>
      <c r="BW441" s="78">
        <f>HYPERLINK("https://www1.hkexnews.hk/listedco/listconews/sehk/2026/0227/2026022700015.pdf","prospectus")</f>
        <v/>
      </c>
      <c r="BX441" s="78">
        <f>HYPERLINK("https://www1.hkexnews.hk/listedco/listconews/sehk/2026/0306/2026030601575.pdf","allotment")</f>
        <v/>
      </c>
      <c r="BY441" s="63" t="n"/>
      <c r="BZ441" s="76" t="n"/>
      <c r="CA441" s="63" t="inlineStr">
        <is>
          <t>greenshoe: no over-allotment option in the offer structure · range low: cap-only pricing — the filing publishes a Maximum Offer Price and no indicative floor · A/H: Mar 2026 H listing (micro drive systems/dexterous hands) · greenshoe size: no over-allotment option in the offer structure · stabilising manager: no over-allotment option in the offer structure, so no stabilising manager is appointed</t>
        </is>
      </c>
    </row>
    <row r="442" ht="15" customHeight="1">
      <c r="A442" s="62" t="inlineStr">
        <is>
          <t>3268</t>
        </is>
      </c>
      <c r="B442" s="63" t="inlineStr">
        <is>
          <t>MEIG</t>
        </is>
      </c>
      <c r="C442" s="63" t="inlineStr">
        <is>
          <t>美格智能</t>
        </is>
      </c>
      <c r="D442" s="63" t="inlineStr">
        <is>
          <t>Tech/AI</t>
        </is>
      </c>
      <c r="E442" s="63" t="inlineStr">
        <is>
          <t>Smart hardware / consumer electronics</t>
        </is>
      </c>
      <c r="F442" s="63" t="inlineStr">
        <is>
          <t>Telecommunications &amp; Networking Equipment</t>
        </is>
      </c>
      <c r="G442" s="63" t="inlineStr">
        <is>
          <t>Standard</t>
        </is>
      </c>
      <c r="H442" s="64" t="n">
        <v>46091</v>
      </c>
      <c r="I442" s="65" t="n">
        <v>1161.6</v>
      </c>
      <c r="J442" s="63" t="inlineStr">
        <is>
          <t>gross (stated)</t>
        </is>
      </c>
      <c r="K442" s="66" t="n"/>
      <c r="L442" s="66" t="n">
        <v>28.86</v>
      </c>
      <c r="M442" s="66" t="n">
        <v>28.86</v>
      </c>
      <c r="N442" s="63" t="inlineStr">
        <is>
          <t>Y</t>
        </is>
      </c>
      <c r="O442" s="67" t="n">
        <v>100</v>
      </c>
      <c r="P442" s="67" t="n"/>
      <c r="Q442" s="68" t="n">
        <v>8715.9</v>
      </c>
      <c r="R442" s="63" t="inlineStr">
        <is>
          <t>derived:price x shares upon listing</t>
        </is>
      </c>
      <c r="S442" s="69" t="n">
        <v>174.12</v>
      </c>
      <c r="T442" s="70" t="n">
        <v>4.5</v>
      </c>
      <c r="U442" s="71" t="n">
        <v>42.1</v>
      </c>
      <c r="V442" s="68" t="n">
        <v>672.5700000000001</v>
      </c>
      <c r="W442" s="68" t="n">
        <v>23304750</v>
      </c>
      <c r="X442" s="67" t="n">
        <v>7.72</v>
      </c>
      <c r="Y442" s="63" t="inlineStr">
        <is>
          <t>China Winning Limited; Jinyi Capital Multi-Strategy Fund SPC Ltd; Meiko Elec. Hong Kong Co., Limited; Mr. Chau Tsang Cheong; Open Wealth Management Limited; Streamax Electronics Limited</t>
        </is>
      </c>
      <c r="Z442" s="63" t="inlineStr">
        <is>
          <t>winning;jinyi;meiko;mr-chau;open;streamax</t>
        </is>
      </c>
      <c r="AA442" s="67" t="n"/>
      <c r="AB442" s="72" t="n">
        <v>1.9</v>
      </c>
      <c r="AC442" s="66" t="n">
        <v>29.4</v>
      </c>
      <c r="AD442" s="72" t="n">
        <v>-0.37</v>
      </c>
      <c r="AE442" s="63" t="inlineStr">
        <is>
          <t>Y</t>
        </is>
      </c>
      <c r="AF442" s="63" t="inlineStr">
        <is>
          <t>2026-03-09</t>
        </is>
      </c>
      <c r="AG442" s="63" t="n"/>
      <c r="AH442" s="63" t="n"/>
      <c r="AI442" s="63" t="n"/>
      <c r="AJ442" s="63" t="n"/>
      <c r="AK442" s="73" t="n">
        <v>1.52</v>
      </c>
      <c r="AL442" s="72" t="n">
        <v>0.62</v>
      </c>
      <c r="AM442" s="72" t="n">
        <v>0.89</v>
      </c>
      <c r="AN442" s="72" t="n">
        <v>-10.05</v>
      </c>
      <c r="AO442" s="72" t="n">
        <v>-20.03</v>
      </c>
      <c r="AP442" s="72" t="n">
        <v>-29.11</v>
      </c>
      <c r="AQ442" s="72" t="n">
        <v>-11.4</v>
      </c>
      <c r="AR442" s="72" t="n">
        <v>-21.23</v>
      </c>
      <c r="AS442" s="72" t="n">
        <v>-30.17</v>
      </c>
      <c r="AT442" s="72" t="n">
        <v>-13.7</v>
      </c>
      <c r="AU442" s="72" t="n">
        <v>-18</v>
      </c>
      <c r="AV442" s="72" t="n">
        <v>-24.71</v>
      </c>
      <c r="AW442" s="72" t="n">
        <v>-16.75</v>
      </c>
      <c r="AX442" s="72" t="n">
        <v>-2.03</v>
      </c>
      <c r="AY442" s="72" t="n">
        <v>-4.48</v>
      </c>
      <c r="AZ442" s="63" t="inlineStr">
        <is>
          <t>HSTECH (Hang Seng TECH ETF)</t>
        </is>
      </c>
      <c r="BA442" s="72" t="n">
        <v>-33.58</v>
      </c>
      <c r="BB442" s="64" t="inlineStr">
        <is>
          <t>2026-08-28</t>
        </is>
      </c>
      <c r="BC442" s="65" t="n">
        <v>3235.5</v>
      </c>
      <c r="BD442" s="68" t="n">
        <v>147.8</v>
      </c>
      <c r="BE442" s="63" t="inlineStr">
        <is>
          <t>Y</t>
        </is>
      </c>
      <c r="BF442" s="74" t="n">
        <v>59</v>
      </c>
      <c r="BG442" s="74" t="n">
        <v>47.3</v>
      </c>
      <c r="BH442" s="74" t="n">
        <v>28.6</v>
      </c>
      <c r="BI442" s="74" t="n">
        <v>2.7</v>
      </c>
      <c r="BJ442" s="75">
        <f>IF('BBG Verify'!S442="","not filed — run on terminal",'BBG Verify'!S442)</f>
        <v/>
      </c>
      <c r="BK442" s="76" t="inlineStr">
        <is>
          <t>Y</t>
        </is>
      </c>
      <c r="BL442" s="63" t="inlineStr">
        <is>
          <t>002881.SZ</t>
        </is>
      </c>
      <c r="BM442" s="72" t="n">
        <v>92.41</v>
      </c>
      <c r="BN442" s="66" t="n">
        <v>55.5283</v>
      </c>
      <c r="BO442" s="80" t="n">
        <v>1.2774</v>
      </c>
      <c r="BP442" s="68" t="n">
        <v>15823.2</v>
      </c>
      <c r="BQ442" s="75">
        <f>IF('BBG Verify'!Q442="","run on terminal",'BBG Verify'!Q442)</f>
        <v/>
      </c>
      <c r="BR442" s="75">
        <f>IF('BBG Verify'!R442="","run on terminal",'BBG Verify'!R442)</f>
        <v/>
      </c>
      <c r="BS442" s="76" t="inlineStr">
        <is>
          <t>China International Capital Corporation Hong Kong Securities Limited</t>
        </is>
      </c>
      <c r="BT442" s="63" t="inlineStr">
        <is>
          <t>China International Capital Corporation Hong Kong Securities Limited</t>
        </is>
      </c>
      <c r="BU442" s="63" t="inlineStr">
        <is>
          <t>China International Capital Corporation Hong Kong Securities Limited; BNP Paribas Securities (Asia) Limited; Futu Securities International (Hong Kong) Limited; Tiger Brokers (HK) Global Limited; Open Securities Limited</t>
        </is>
      </c>
      <c r="BV442" s="63" t="inlineStr">
        <is>
          <t>BNP Paribas Securities (Asia) Limited; China International Capital Corporation Hong Kong Securities Limited; China Industrial Securities International Capital Limited; Futu Securities International (Hong Kong) Limited; Open Securities Limited; Tiger Brokers (HK) Global Limited</t>
        </is>
      </c>
      <c r="BW442" s="78">
        <f>HYPERLINK("https://www1.hkexnews.hk/listedco/listconews/sehk/2026/0227/2026022700019.pdf","prospectus")</f>
        <v/>
      </c>
      <c r="BX442" s="78">
        <f>HYPERLINK("https://www1.hkexnews.hk/listedco/listconews/sehk/2026/0309/2026030901426.pdf","allotment")</f>
        <v/>
      </c>
      <c r="BY442" s="63" t="n"/>
      <c r="BZ442" s="76" t="n"/>
      <c r="CA442" s="63" t="inlineStr">
        <is>
          <t>greenshoe: no over-allotment option in the offer structure · range low: cap-only pricing — the filing publishes a Maximum Offer Price and no indicative floor · A/H: Mar 2026 H listing (IoT modules) · greenshoe size: no over-allotment option in the offer structure · stabilising manager: no over-allotment option in the offer structure, so no stabilising manager is appointed</t>
        </is>
      </c>
    </row>
    <row r="443" ht="15" customHeight="1">
      <c r="A443" s="62" t="inlineStr">
        <is>
          <t>1989</t>
        </is>
      </c>
      <c r="B443" s="63" t="inlineStr">
        <is>
          <t>DELTON</t>
        </is>
      </c>
      <c r="C443" s="63" t="inlineStr">
        <is>
          <t>廣合科技</t>
        </is>
      </c>
      <c r="D443" s="63" t="inlineStr">
        <is>
          <t>Tech/AI</t>
        </is>
      </c>
      <c r="E443" s="63" t="inlineStr">
        <is>
          <t>Smart hardware / consumer electronics</t>
        </is>
      </c>
      <c r="F443" s="63" t="inlineStr">
        <is>
          <t>Printed Circuit Boards</t>
        </is>
      </c>
      <c r="G443" s="63" t="inlineStr">
        <is>
          <t>Standard</t>
        </is>
      </c>
      <c r="H443" s="64" t="n">
        <v>46101</v>
      </c>
      <c r="I443" s="65" t="n">
        <v>3306.48</v>
      </c>
      <c r="J443" s="63" t="inlineStr">
        <is>
          <t>gross (stated)</t>
        </is>
      </c>
      <c r="K443" s="66" t="n"/>
      <c r="L443" s="66" t="n">
        <v>71.88</v>
      </c>
      <c r="M443" s="66" t="n">
        <v>71.88</v>
      </c>
      <c r="N443" s="63" t="inlineStr">
        <is>
          <t>Y</t>
        </is>
      </c>
      <c r="O443" s="67" t="n">
        <v>100</v>
      </c>
      <c r="P443" s="67" t="n"/>
      <c r="Q443" s="68" t="n">
        <v>33959.5</v>
      </c>
      <c r="R443" s="63" t="inlineStr">
        <is>
          <t>derived:price x shares upon listing</t>
        </is>
      </c>
      <c r="S443" s="69" t="n">
        <v>1070.72</v>
      </c>
      <c r="T443" s="70" t="n">
        <v>14.64</v>
      </c>
      <c r="U443" s="71" t="n">
        <v>44.94</v>
      </c>
      <c r="V443" s="68" t="n">
        <v>1820.55</v>
      </c>
      <c r="W443" s="68" t="n">
        <v>25327600</v>
      </c>
      <c r="X443" s="67" t="n">
        <v>5.36</v>
      </c>
      <c r="Y443" s="63" t="inlineStr">
        <is>
          <t>Baring Asset Management (Asia) Limited; CPE Greater China Enterprises Growth Fund及CPE Growth Fund; Dajia Life Insurance Co., Ltd; Eastspring Investments (Singapore) Limited; Greater Bay Area Homeland Investments Limited; Greenwoods Asset Management Hong Kong Limited; ICBC Wealth Management Co., Ltd; MY Asian Opportunities Master Fund, L.P; UBS Asset Management (Singapore) Ltd; Value Partners Hong Kong Limited</t>
        </is>
      </c>
      <c r="Z443" s="63" t="inlineStr">
        <is>
          <t>baring;cpe;dajia;eastspring;greater;greenwoods;icbc;my;ubs;value</t>
        </is>
      </c>
      <c r="AA443" s="67" t="n"/>
      <c r="AB443" s="72" t="n"/>
      <c r="AC443" s="66" t="n"/>
      <c r="AD443" s="72" t="n"/>
      <c r="AE443" s="63" t="n"/>
      <c r="AF443" s="63" t="n"/>
      <c r="AG443" s="63" t="n"/>
      <c r="AH443" s="63" t="n"/>
      <c r="AI443" s="63" t="n"/>
      <c r="AJ443" s="63" t="n"/>
      <c r="AK443" s="73" t="n">
        <v>33.56</v>
      </c>
      <c r="AL443" s="72" t="n">
        <v>32.23</v>
      </c>
      <c r="AM443" s="72" t="n">
        <v>1.01</v>
      </c>
      <c r="AN443" s="72" t="n">
        <v>35.99</v>
      </c>
      <c r="AO443" s="72" t="n">
        <v>111.32</v>
      </c>
      <c r="AP443" s="72" t="n">
        <v>163.63</v>
      </c>
      <c r="AQ443" s="72" t="n">
        <v>1.82</v>
      </c>
      <c r="AR443" s="72" t="n">
        <v>58.22</v>
      </c>
      <c r="AS443" s="72" t="n">
        <v>97.39</v>
      </c>
      <c r="AT443" s="72" t="n">
        <v>40.09</v>
      </c>
      <c r="AU443" s="72" t="n">
        <v>113.82</v>
      </c>
      <c r="AV443" s="72" t="n">
        <v>174.9</v>
      </c>
      <c r="AW443" s="72" t="n">
        <v>58.48</v>
      </c>
      <c r="AX443" s="72" t="n">
        <v>-2.5</v>
      </c>
      <c r="AY443" s="72" t="n">
        <v>-0.26</v>
      </c>
      <c r="AZ443" s="63" t="inlineStr">
        <is>
          <t>HSTECH (Hang Seng TECH ETF)</t>
        </is>
      </c>
      <c r="BA443" s="72" t="n">
        <v>76.27</v>
      </c>
      <c r="BB443" s="64" t="inlineStr">
        <is>
          <t>2026-08-28</t>
        </is>
      </c>
      <c r="BC443" s="65" t="n">
        <v>6033.9</v>
      </c>
      <c r="BD443" s="68" t="n">
        <v>1117.4</v>
      </c>
      <c r="BE443" s="63" t="inlineStr">
        <is>
          <t>Y</t>
        </is>
      </c>
      <c r="BF443" s="74" t="n">
        <v>30.4</v>
      </c>
      <c r="BG443" s="74" t="n">
        <v>35.4</v>
      </c>
      <c r="BH443" s="74" t="n">
        <v>38.1</v>
      </c>
      <c r="BI443" s="74" t="n">
        <v>5.6</v>
      </c>
      <c r="BJ443" s="75">
        <f>IF('BBG Verify'!S443="","not filed — run on terminal",'BBG Verify'!S443)</f>
        <v/>
      </c>
      <c r="BK443" s="76" t="inlineStr">
        <is>
          <t>Y</t>
        </is>
      </c>
      <c r="BL443" s="63" t="inlineStr">
        <is>
          <t>001389.SZ</t>
        </is>
      </c>
      <c r="BM443" s="72" t="n">
        <v>83.56</v>
      </c>
      <c r="BN443" s="66" t="n">
        <v>131.9413</v>
      </c>
      <c r="BO443" s="80" t="n">
        <v>0.4545</v>
      </c>
      <c r="BP443" s="68" t="n">
        <v>89757.89999999999</v>
      </c>
      <c r="BQ443" s="75">
        <f>IF('BBG Verify'!Q443="","run on terminal",'BBG Verify'!Q443)</f>
        <v/>
      </c>
      <c r="BR443" s="75">
        <f>IF('BBG Verify'!R443="","run on terminal",'BBG Verify'!R443)</f>
        <v/>
      </c>
      <c r="BS443" s="76" t="n"/>
      <c r="BT443" s="63" t="inlineStr">
        <is>
          <t>CITIC Securities (Hong Kong) Limited</t>
        </is>
      </c>
      <c r="BU443" s="63" t="inlineStr">
        <is>
          <t>CLSA Limited; GF Securities (Hong Kong) Brokerage Limited; Guolian Securities International Capital Market Co., Limited; Huatai Financial Holdings (Hong Kong) Limited; The Hongkong and Shanghai Banking Corporation Limited</t>
        </is>
      </c>
      <c r="BV443" s="63" t="inlineStr">
        <is>
          <t>CLSA Limited; GF Securities (Hong Kong) Brokerage Limited; Guolian Securities International Capital Market Co., Limited; Huatai Financial Holdings (Hong Kong) Limited; The Hongkong and Shanghai Banking Corporation Limited</t>
        </is>
      </c>
      <c r="BW443" s="63" t="n"/>
      <c r="BX443" s="78">
        <f>HYPERLINK("https://www1.hkexnews.hk/listedco/listconews/sehk/2026/0319/2026031901556.pdf","allotment")</f>
        <v/>
      </c>
      <c r="BY443" s="63" t="n"/>
      <c r="BZ443" s="76" t="n"/>
      <c r="CA443" s="63" t="inlineStr">
        <is>
          <t>greenshoe: no over-allotment option in the offer structure · range low: cap-only pricing — the filing publishes a Maximum Offer Price and no indicative floor · A/H: Mar 2026 H listing (PCB) · sponsor: English name not in the filing text; AAStocks 保薦人 shown · greenshoe size: no over-allotment option in the offer structure · stabilising manager: the filing states no stabilising manager will be appointed — a filed fact, not an extraction gap (prospectus: 'no stabilizing manager will be appointed' stated in the filing) · filing links: no prospectus document returned by the HKEX per-stock search for this code — the allotment announcement is linked beside it · grey market: no grey-market headline on file for this deal — AAStocks publishes one per listing but keeps only recent items on the stock's news page, and no public archive of past evening sessions exists; captured from this run onward</t>
        </is>
      </c>
    </row>
    <row r="444" ht="15" customHeight="1">
      <c r="A444" s="62" t="inlineStr">
        <is>
          <t>2701</t>
        </is>
      </c>
      <c r="B444" s="63" t="inlineStr">
        <is>
          <t>NSING TECH</t>
        </is>
      </c>
      <c r="C444" s="63" t="inlineStr">
        <is>
          <t>國民技術</t>
        </is>
      </c>
      <c r="D444" s="63" t="inlineStr">
        <is>
          <t>Tech/AI</t>
        </is>
      </c>
      <c r="E444" s="63" t="inlineStr">
        <is>
          <t>AI chips &amp; semis</t>
        </is>
      </c>
      <c r="F444" s="63" t="inlineStr">
        <is>
          <t>Semiconductors &amp; Semiconductor Equipment</t>
        </is>
      </c>
      <c r="G444" s="63" t="inlineStr">
        <is>
          <t>Standard</t>
        </is>
      </c>
      <c r="H444" s="64" t="n">
        <v>46104</v>
      </c>
      <c r="I444" s="65" t="n">
        <v>1026</v>
      </c>
      <c r="J444" s="63" t="inlineStr">
        <is>
          <t>gross (stated)</t>
        </is>
      </c>
      <c r="K444" s="66" t="n"/>
      <c r="L444" s="66" t="n">
        <v>10.8</v>
      </c>
      <c r="M444" s="66" t="n">
        <v>10.8</v>
      </c>
      <c r="N444" s="63" t="inlineStr">
        <is>
          <t>Y</t>
        </is>
      </c>
      <c r="O444" s="67" t="n">
        <v>100</v>
      </c>
      <c r="P444" s="67" t="n"/>
      <c r="Q444" s="68" t="n">
        <v>7323.8</v>
      </c>
      <c r="R444" s="63" t="inlineStr">
        <is>
          <t>derived:price x shares upon listing</t>
        </is>
      </c>
      <c r="S444" s="69" t="n">
        <v>131.83</v>
      </c>
      <c r="T444" s="70" t="n">
        <v>2.51</v>
      </c>
      <c r="U444" s="71" t="n">
        <v>13.6</v>
      </c>
      <c r="V444" s="68" t="n">
        <v>886.46</v>
      </c>
      <c r="W444" s="68" t="n">
        <v>82080000</v>
      </c>
      <c r="X444" s="67" t="n">
        <v>12.1</v>
      </c>
      <c r="Y444" s="63" t="inlineStr">
        <is>
          <t>Guohua Life Insurance Co., Ltd; Harvest Oriental II SP; Mr. An Jiangbo; Ms. Christine Tai; Sunwoda Treasury (Hong Kong) Limited</t>
        </is>
      </c>
      <c r="Z444" s="63" t="inlineStr">
        <is>
          <t>guohua;harvest;mr-an;ms-christine;sunwoda</t>
        </is>
      </c>
      <c r="AA444" s="67" t="n"/>
      <c r="AB444" s="72" t="n">
        <v>8.300000000000001</v>
      </c>
      <c r="AC444" s="66" t="n">
        <v>11.7</v>
      </c>
      <c r="AD444" s="72" t="n">
        <v>-3.81</v>
      </c>
      <c r="AE444" s="63" t="inlineStr">
        <is>
          <t>Y</t>
        </is>
      </c>
      <c r="AF444" s="63" t="inlineStr">
        <is>
          <t>2026-03-22</t>
        </is>
      </c>
      <c r="AG444" s="63" t="n"/>
      <c r="AH444" s="63" t="n"/>
      <c r="AI444" s="63" t="n"/>
      <c r="AJ444" s="63" t="n"/>
      <c r="AK444" s="73" t="n">
        <v>4.17</v>
      </c>
      <c r="AL444" s="72" t="n">
        <v>32.41</v>
      </c>
      <c r="AM444" s="72" t="n">
        <v>-21.33</v>
      </c>
      <c r="AN444" s="72" t="n">
        <v>21.11</v>
      </c>
      <c r="AO444" s="72" t="n">
        <v>14.54</v>
      </c>
      <c r="AP444" s="72" t="n">
        <v>17.78</v>
      </c>
      <c r="AQ444" s="72" t="n">
        <v>16.26</v>
      </c>
      <c r="AR444" s="72" t="n">
        <v>9.949999999999999</v>
      </c>
      <c r="AS444" s="72" t="n">
        <v>13.07</v>
      </c>
      <c r="AT444" s="72" t="n">
        <v>24.88</v>
      </c>
      <c r="AU444" s="72" t="n">
        <v>13.91</v>
      </c>
      <c r="AV444" s="72" t="n">
        <v>30.15</v>
      </c>
      <c r="AW444" s="72" t="n">
        <v>5.74</v>
      </c>
      <c r="AX444" s="72" t="n">
        <v>0.63</v>
      </c>
      <c r="AY444" s="72" t="n">
        <v>4.21</v>
      </c>
      <c r="AZ444" s="63" t="inlineStr">
        <is>
          <t>HSTECH (Hang Seng TECH ETF)</t>
        </is>
      </c>
      <c r="BA444" s="72" t="n">
        <v>-15.23</v>
      </c>
      <c r="BB444" s="64" t="inlineStr">
        <is>
          <t>2026-08-28</t>
        </is>
      </c>
      <c r="BC444" s="65" t="n">
        <v>1284.3</v>
      </c>
      <c r="BD444" s="68" t="n">
        <v>-281.3</v>
      </c>
      <c r="BE444" s="63" t="inlineStr">
        <is>
          <t>N</t>
        </is>
      </c>
      <c r="BF444" s="63" t="inlineStr">
        <is>
          <t>n/m</t>
        </is>
      </c>
      <c r="BG444" s="74" t="n"/>
      <c r="BH444" s="74" t="n"/>
      <c r="BI444" s="74" t="n">
        <v>5.7</v>
      </c>
      <c r="BJ444" s="75">
        <f>IF('BBG Verify'!S444="","not filed — run on terminal",'BBG Verify'!S444)</f>
        <v/>
      </c>
      <c r="BK444" s="76" t="inlineStr">
        <is>
          <t>Y</t>
        </is>
      </c>
      <c r="BL444" s="63" t="inlineStr">
        <is>
          <t>300077.SZ</t>
        </is>
      </c>
      <c r="BM444" s="72" t="n">
        <v>128.98</v>
      </c>
      <c r="BN444" s="66" t="n">
        <v>24.7297</v>
      </c>
      <c r="BO444" s="80" t="n">
        <v>1.6302</v>
      </c>
      <c r="BP444" s="68" t="n">
        <v>16500</v>
      </c>
      <c r="BQ444" s="75">
        <f>IF('BBG Verify'!Q444="","run on terminal",'BBG Verify'!Q444)</f>
        <v/>
      </c>
      <c r="BR444" s="75">
        <f>IF('BBG Verify'!R444="","run on terminal",'BBG Verify'!R444)</f>
        <v/>
      </c>
      <c r="BS444" s="76" t="inlineStr">
        <is>
          <t>CITIC Securities (Hong Kong) Limited</t>
        </is>
      </c>
      <c r="BT444" s="63" t="inlineStr">
        <is>
          <t>CITIC Securities (Hong Kong) Limited</t>
        </is>
      </c>
      <c r="BU444" s="63" t="inlineStr">
        <is>
          <t>CLSA Limited; BOCOM International Securities Limited; SPDB International Capital Limited; Jinluo Securities Limited</t>
        </is>
      </c>
      <c r="BV444" s="63" t="inlineStr">
        <is>
          <t>BOCOM International Securities Limited; CLSA Limited; Futu Securities International (Hong Kong) Limited; Jinluo Securities Limited; SPDB International Capital Limited</t>
        </is>
      </c>
      <c r="BW444" s="78">
        <f>HYPERLINK("https://www1.hkexnews.hk/listedco/listconews/sehk/2026/0313/2026031300049.pdf","prospectus")</f>
        <v/>
      </c>
      <c r="BX444" s="78">
        <f>HYPERLINK("https://www1.hkexnews.hk/listedco/listconews/sehk/2026/0320/2026032001594.pdf","allotment")</f>
        <v/>
      </c>
      <c r="BY444" s="63" t="n"/>
      <c r="BZ444" s="76" t="n"/>
      <c r="CA444" s="63" t="inlineStr">
        <is>
          <t>P/E: n/m — loss-making at IPO (use P/S) · greenshoe: no over-allotment option in the offer structure · range low: cap-only pricing — the filing publishes a Maximum Offer Price and no indicative floor · A/H: Mar 2026 H listing (security/MCU chips) · greenshoe size: no over-allotment option in the offer structure · stabilising manager: no over-allotment option in the offer structure, so no stabilising manager is appointed</t>
        </is>
      </c>
    </row>
    <row r="445" ht="15" customHeight="1">
      <c r="A445" s="62" t="inlineStr">
        <is>
          <t>3355</t>
        </is>
      </c>
      <c r="B445" s="63" t="inlineStr">
        <is>
          <t>FS.COM</t>
        </is>
      </c>
      <c r="C445" s="63" t="inlineStr">
        <is>
          <t>飛速創新</t>
        </is>
      </c>
      <c r="D445" s="63" t="inlineStr">
        <is>
          <t>Tech/AI</t>
        </is>
      </c>
      <c r="E445" s="63" t="inlineStr">
        <is>
          <t>Smart hardware / consumer electronics</t>
        </is>
      </c>
      <c r="F445" s="63" t="inlineStr">
        <is>
          <t>IT Consulting &amp; Other Services</t>
        </is>
      </c>
      <c r="G445" s="63" t="inlineStr">
        <is>
          <t>Standard</t>
        </is>
      </c>
      <c r="H445" s="64" t="n">
        <v>46104</v>
      </c>
      <c r="I445" s="65" t="n">
        <v>1664</v>
      </c>
      <c r="J445" s="63" t="inlineStr">
        <is>
          <t>gross (price x shares)</t>
        </is>
      </c>
      <c r="K445" s="66" t="n"/>
      <c r="L445" s="66" t="n">
        <v>41.6</v>
      </c>
      <c r="M445" s="66" t="n">
        <v>41.6</v>
      </c>
      <c r="N445" s="63" t="inlineStr">
        <is>
          <t>Y</t>
        </is>
      </c>
      <c r="O445" s="67" t="n">
        <v>100</v>
      </c>
      <c r="P445" s="67" t="n"/>
      <c r="Q445" s="68" t="n">
        <v>16640</v>
      </c>
      <c r="R445" s="63" t="inlineStr">
        <is>
          <t>derived:price x shares upon listing</t>
        </is>
      </c>
      <c r="S445" s="69" t="n">
        <v>1579.71</v>
      </c>
      <c r="T445" s="70" t="n">
        <v>10.92</v>
      </c>
      <c r="U445" s="71" t="n">
        <v>42.3</v>
      </c>
      <c r="V445" s="68" t="n">
        <v>960.13</v>
      </c>
      <c r="W445" s="68" t="n">
        <v>23080000</v>
      </c>
      <c r="X445" s="67" t="n">
        <v>5.77</v>
      </c>
      <c r="Y445" s="63" t="inlineStr">
        <is>
          <t>Aether Wave Fund L.P; Caitong Funds SPC – Strategic Equity Fund III SP; Foresight Capital Steady Growth LPF; GF Management Co., Ltd; Great Holding Development Limited; Hao Great China Focus Fund; SCGC Capital Holding Company Limited; Wider Huge Group Limited; WT Asset Management Limited</t>
        </is>
      </c>
      <c r="Z445" s="63" t="inlineStr">
        <is>
          <t>aether;caitong;foresight;gf;great-development;hao;scgc;wider;wt</t>
        </is>
      </c>
      <c r="AA445" s="67" t="n">
        <v>15</v>
      </c>
      <c r="AB445" s="72" t="n">
        <v>46.4</v>
      </c>
      <c r="AC445" s="66" t="n">
        <v>60.9</v>
      </c>
      <c r="AD445" s="72" t="n">
        <v>-22.5</v>
      </c>
      <c r="AE445" s="63" t="inlineStr">
        <is>
          <t>Y</t>
        </is>
      </c>
      <c r="AF445" s="63" t="inlineStr">
        <is>
          <t>2026-03-22</t>
        </is>
      </c>
      <c r="AG445" s="63" t="n"/>
      <c r="AH445" s="63" t="n"/>
      <c r="AI445" s="63" t="inlineStr">
        <is>
          <t>China International Capital Corporation Hong Kong Securities Limited</t>
        </is>
      </c>
      <c r="AJ445" s="63" t="inlineStr">
        <is>
          <t>China International</t>
        </is>
      </c>
      <c r="AK445" s="73" t="n">
        <v>13.46</v>
      </c>
      <c r="AL445" s="72" t="n">
        <v>34.62</v>
      </c>
      <c r="AM445" s="72" t="n">
        <v>-15.72</v>
      </c>
      <c r="AN445" s="72" t="n">
        <v>3.94</v>
      </c>
      <c r="AO445" s="72" t="n">
        <v>7.5</v>
      </c>
      <c r="AP445" s="72" t="n">
        <v>-13.99</v>
      </c>
      <c r="AQ445" s="72" t="n">
        <v>-8.390000000000001</v>
      </c>
      <c r="AR445" s="72" t="n">
        <v>-5.25</v>
      </c>
      <c r="AS445" s="72" t="n">
        <v>-24.19</v>
      </c>
      <c r="AT445" s="72" t="n">
        <v>7.71</v>
      </c>
      <c r="AU445" s="72" t="n">
        <v>6.87</v>
      </c>
      <c r="AV445" s="72" t="n">
        <v>-1.62</v>
      </c>
      <c r="AW445" s="72" t="n">
        <v>-9.460000000000001</v>
      </c>
      <c r="AX445" s="72" t="n">
        <v>0.63</v>
      </c>
      <c r="AY445" s="72" t="n">
        <v>4.21</v>
      </c>
      <c r="AZ445" s="63" t="inlineStr">
        <is>
          <t>HSTECH (Hang Seng TECH ETF)</t>
        </is>
      </c>
      <c r="BA445" s="72" t="n">
        <v>1.15</v>
      </c>
      <c r="BB445" s="64" t="inlineStr">
        <is>
          <t>2026-08-28</t>
        </is>
      </c>
      <c r="BC445" s="65" t="n">
        <v>3262.2</v>
      </c>
      <c r="BD445" s="68" t="n">
        <v>661.6</v>
      </c>
      <c r="BE445" s="63" t="inlineStr">
        <is>
          <t>Y</t>
        </is>
      </c>
      <c r="BF445" s="74" t="n">
        <v>25.2</v>
      </c>
      <c r="BG445" s="74" t="n"/>
      <c r="BH445" s="74" t="n"/>
      <c r="BI445" s="74" t="n">
        <v>5.1</v>
      </c>
      <c r="BJ445" s="75">
        <f>IF('BBG Verify'!S445="","not filed — run on terminal",'BBG Verify'!S445)</f>
        <v/>
      </c>
      <c r="BK445" s="76" t="inlineStr">
        <is>
          <t>N</t>
        </is>
      </c>
      <c r="BL445" s="77">
        <f>IF('BBG Verify'!K445="","not filed — run on terminal",'BBG Verify'!K445)</f>
        <v/>
      </c>
      <c r="BM445" s="63" t="inlineStr">
        <is>
          <t>N/A</t>
        </is>
      </c>
      <c r="BN445" s="63" t="inlineStr">
        <is>
          <t>N/A</t>
        </is>
      </c>
      <c r="BO445" s="63" t="inlineStr">
        <is>
          <t>N/A</t>
        </is>
      </c>
      <c r="BP445" s="63" t="inlineStr">
        <is>
          <t>N/A</t>
        </is>
      </c>
      <c r="BQ445" s="63" t="inlineStr">
        <is>
          <t>N/A</t>
        </is>
      </c>
      <c r="BR445" s="63" t="inlineStr">
        <is>
          <t>N/A</t>
        </is>
      </c>
      <c r="BS445" s="76" t="n"/>
      <c r="BT445" s="63" t="inlineStr">
        <is>
          <t>China International Capital Corporation Hong Kong Securities Limited; China Securities (International) Corporate Finance Company Limited; China Merchants Securities (HK) Company Limited</t>
        </is>
      </c>
      <c r="BU445" s="63" t="inlineStr">
        <is>
          <t>BOCI Asia Limited; China International Capital Corporation Hong Kong Securities Limited; China Merchants Securities (HK) Company Limited; China Securities (International) Corporate Finance Company Limited; Futu Securities International (Hong Kong) Limited; Tiger Brokers (HK) Global Limited</t>
        </is>
      </c>
      <c r="BV445" s="63" t="inlineStr">
        <is>
          <t>BOCI Asia Limited; China International Capital Corporation Hong Kong Securities Limited; China Merchants Securities (HK) Company Limited; China Securities (International) Corporate Finance Company Limited; Futu Securities International (Hong Kong) Limited; Tiger Brokers (HK) Global Limited</t>
        </is>
      </c>
      <c r="BW445" s="63" t="n"/>
      <c r="BX445" s="78">
        <f>HYPERLINK("https://www1.hkexnews.hk/listedco/listconews/sehk/2026/0320/2026032001750.pdf","allotment")</f>
        <v/>
      </c>
      <c r="BY445" s="63" t="n"/>
      <c r="BZ445" s="76" t="n"/>
      <c r="CA445" s="63" t="inlineStr">
        <is>
          <t>greenshoe: end-of-stabilisation notice not located · range low: cap-only pricing — the filing publishes a Maximum Offer Price and no indicative floor · A/H: no A-share listing · sponsor: English name not in the filing text; AAStocks 保薦人 shown · cornerstone %: AAStocks institutional-order total / deal size — an upper bound; the table can include non-cornerstone orders · filing links: no prospectus document returned by the HKEX per-stock search for this code — the allotment announcement is linked beside it</t>
        </is>
      </c>
    </row>
    <row r="446" ht="15" customHeight="1">
      <c r="A446" s="62" t="inlineStr">
        <is>
          <t>2729</t>
        </is>
      </c>
      <c r="B446" s="63" t="inlineStr">
        <is>
          <t>GALAXIS TECH</t>
        </is>
      </c>
      <c r="C446" s="63" t="inlineStr">
        <is>
          <t>凱樂士科技</t>
        </is>
      </c>
      <c r="D446" s="63" t="inlineStr">
        <is>
          <t>Tech/AI</t>
        </is>
      </c>
      <c r="E446" s="63" t="inlineStr">
        <is>
          <t>Robotics &amp; autonomous driving</t>
        </is>
      </c>
      <c r="F446" s="63" t="inlineStr">
        <is>
          <t>Advanced hardware and software</t>
        </is>
      </c>
      <c r="G446" s="63" t="inlineStr">
        <is>
          <t>Standard</t>
        </is>
      </c>
      <c r="H446" s="64" t="n">
        <v>46105</v>
      </c>
      <c r="I446" s="65" t="n">
        <v>613</v>
      </c>
      <c r="J446" s="63" t="inlineStr">
        <is>
          <t>gross (stated)</t>
        </is>
      </c>
      <c r="K446" s="66" t="n"/>
      <c r="L446" s="66" t="n">
        <v>20.4</v>
      </c>
      <c r="M446" s="66" t="n">
        <v>16.66</v>
      </c>
      <c r="N446" s="63" t="inlineStr">
        <is>
          <t>N</t>
        </is>
      </c>
      <c r="O446" s="67" t="n">
        <v>81.7</v>
      </c>
      <c r="P446" s="67" t="n"/>
      <c r="Q446" s="68" t="n">
        <v>7128.5</v>
      </c>
      <c r="R446" s="63" t="inlineStr">
        <is>
          <t>derived:price x shares upon listing</t>
        </is>
      </c>
      <c r="S446" s="69" t="n">
        <v>2153.26</v>
      </c>
      <c r="T446" s="70" t="n">
        <v>3.37</v>
      </c>
      <c r="U446" s="71" t="n">
        <v>0</v>
      </c>
      <c r="V446" s="68" t="n">
        <v>613</v>
      </c>
      <c r="W446" s="68" t="n">
        <v>36798000</v>
      </c>
      <c r="X446" s="67" t="n">
        <v>8.6</v>
      </c>
      <c r="Y446" s="63" t="n"/>
      <c r="Z446" s="63" t="n"/>
      <c r="AA446" s="67" t="n">
        <v>8.800000000000001</v>
      </c>
      <c r="AB446" s="72" t="n">
        <v>83.2</v>
      </c>
      <c r="AC446" s="66" t="n">
        <v>30.52</v>
      </c>
      <c r="AD446" s="72" t="n">
        <v>0.58</v>
      </c>
      <c r="AE446" s="63" t="inlineStr">
        <is>
          <t>Y</t>
        </is>
      </c>
      <c r="AF446" s="63" t="inlineStr">
        <is>
          <t>2026-03-23</t>
        </is>
      </c>
      <c r="AG446" s="63" t="inlineStr">
        <is>
          <t>lapsed (no over-allocation)</t>
        </is>
      </c>
      <c r="AH446" s="63" t="n"/>
      <c r="AI446" s="63" t="n"/>
      <c r="AJ446" s="63" t="n"/>
      <c r="AK446" s="73" t="n">
        <v>84.27</v>
      </c>
      <c r="AL446" s="72" t="n">
        <v>92.08</v>
      </c>
      <c r="AM446" s="72" t="n">
        <v>-4.07</v>
      </c>
      <c r="AN446" s="72" t="n">
        <v>80.19</v>
      </c>
      <c r="AO446" s="72" t="n">
        <v>126.29</v>
      </c>
      <c r="AP446" s="72" t="n">
        <v>79.34999999999999</v>
      </c>
      <c r="AQ446" s="72" t="n">
        <v>-2.21</v>
      </c>
      <c r="AR446" s="72" t="n">
        <v>22.8</v>
      </c>
      <c r="AS446" s="72" t="n">
        <v>-2.67</v>
      </c>
      <c r="AT446" s="72" t="n">
        <v>81.41</v>
      </c>
      <c r="AU446" s="72" t="n">
        <v>121.43</v>
      </c>
      <c r="AV446" s="72" t="n">
        <v>85.81999999999999</v>
      </c>
      <c r="AW446" s="72" t="n">
        <v>20.43</v>
      </c>
      <c r="AX446" s="72" t="n">
        <v>4.86</v>
      </c>
      <c r="AY446" s="72" t="n">
        <v>2.37</v>
      </c>
      <c r="AZ446" s="63" t="inlineStr">
        <is>
          <t>HSTECH (Hang Seng TECH ETF)</t>
        </is>
      </c>
      <c r="BA446" s="72" t="n">
        <v>99.16</v>
      </c>
      <c r="BB446" s="64" t="inlineStr">
        <is>
          <t>2026-08-28</t>
        </is>
      </c>
      <c r="BC446" s="65" t="n">
        <v>793.6</v>
      </c>
      <c r="BD446" s="68" t="n">
        <v>-195.9</v>
      </c>
      <c r="BE446" s="63" t="inlineStr">
        <is>
          <t>N</t>
        </is>
      </c>
      <c r="BF446" s="63" t="inlineStr">
        <is>
          <t>n/m</t>
        </is>
      </c>
      <c r="BG446" s="74" t="n"/>
      <c r="BH446" s="74" t="n"/>
      <c r="BI446" s="74" t="n">
        <v>9</v>
      </c>
      <c r="BJ446" s="75">
        <f>IF('BBG Verify'!S446="","not filed — run on terminal",'BBG Verify'!S446)</f>
        <v/>
      </c>
      <c r="BK446" s="76" t="inlineStr">
        <is>
          <t>N</t>
        </is>
      </c>
      <c r="BL446" s="77">
        <f>IF('BBG Verify'!K446="","not filed — run on terminal",'BBG Verify'!K446)</f>
        <v/>
      </c>
      <c r="BM446" s="63" t="inlineStr">
        <is>
          <t>N/A</t>
        </is>
      </c>
      <c r="BN446" s="63" t="inlineStr">
        <is>
          <t>N/A</t>
        </is>
      </c>
      <c r="BO446" s="63" t="inlineStr">
        <is>
          <t>N/A</t>
        </is>
      </c>
      <c r="BP446" s="63" t="inlineStr">
        <is>
          <t>N/A</t>
        </is>
      </c>
      <c r="BQ446" s="63" t="inlineStr">
        <is>
          <t>N/A</t>
        </is>
      </c>
      <c r="BR446" s="63" t="inlineStr">
        <is>
          <t>N/A</t>
        </is>
      </c>
      <c r="BS446" s="76" t="inlineStr">
        <is>
          <t>Guotai Junan Capital Limited; CITIC Securities (Hong Kong) Limited</t>
        </is>
      </c>
      <c r="BT446" s="63" t="inlineStr">
        <is>
          <t>CITIC Securities (Hong Kong) Limited; Guotai Junan Capital Limited</t>
        </is>
      </c>
      <c r="BU446" s="63" t="inlineStr">
        <is>
          <t>ICBC International Securities Limited; CCB International Capital Limited; Yunfeng Securities Limited; Livermore Holdings Limited; SPDB International Capital Limited; Shenwan Hongyuan Securities (H.K.) Limited; Yuen Meta (International) Securities Limited; Harmonia Capital Limited</t>
        </is>
      </c>
      <c r="BV446" s="63" t="inlineStr">
        <is>
          <t>ABCI Securities Company Limited; CCB International Capital Limited; CLSA Limited; CMB International Capital Limited; Guotai Junan Securities (Hong Kong) Limited; Harmonia Capital Limited; ICBC International Securities Limited; Livermore Holdings Limited; Shenwan Hongyuan Securities (H.K.) Limited; SPDB International Capital Limited; Yunfeng Securities Limited; Yuen Meta (International) Securities Limited</t>
        </is>
      </c>
      <c r="BW446" s="78">
        <f>HYPERLINK("https://www1.hkexnews.hk/listedco/listconews/sehk/2026/0316/2026031600013.pdf","prospectus")</f>
        <v/>
      </c>
      <c r="BX446" s="78">
        <f>HYPERLINK("https://www1.hkexnews.hk/listedco/listconews/sehk/2026/0323/2026032301408.pdf","allotment")</f>
        <v/>
      </c>
      <c r="BY446" s="78">
        <f>HYPERLINK("https://www1.hkexnews.hk/listedco/listconews/sehk/2026/0420/2026042000237.pdf","stabilisation")</f>
        <v/>
      </c>
      <c r="BZ446" s="76" t="n"/>
      <c r="CA446" s="63" t="inlineStr">
        <is>
          <t>P/E: n/m — loss-making at IPO (use P/S) · greenshoe: over-allotment outcome already published, and the allotment announcement does not state the stabilisation expiry in a parsable form — the expiry no longer matters once resolved · range low: cap-only pricing — the filing publishes a Maximum Offer Price and no indicative floor · A/H: no A-share listing · cornerstone list: no cornerstone tranche in this deal · stabilising manager: neither the allotment announcement's cover sentence nor the prospectus definitions glossary names one in a form the parser reads — not inferred from the sponsor</t>
        </is>
      </c>
    </row>
    <row r="447" ht="15" customHeight="1">
      <c r="A447" s="62" t="inlineStr">
        <is>
          <t>2632</t>
        </is>
      </c>
      <c r="B447" s="63" t="inlineStr">
        <is>
          <t>NEW VISION CO</t>
        </is>
      </c>
      <c r="C447" s="63" t="inlineStr">
        <is>
          <t>澤景股份</t>
        </is>
      </c>
      <c r="D447" s="63" t="inlineStr">
        <is>
          <t>Consumer</t>
        </is>
      </c>
      <c r="E447" s="63" t="inlineStr">
        <is>
          <t>Auto parts / supply chain</t>
        </is>
      </c>
      <c r="F447" s="63" t="inlineStr">
        <is>
          <t>Auto Parts &amp; Equipment</t>
        </is>
      </c>
      <c r="G447" s="63" t="inlineStr">
        <is>
          <t>Standard</t>
        </is>
      </c>
      <c r="H447" s="64" t="n">
        <v>46105</v>
      </c>
      <c r="I447" s="65" t="n">
        <v>717.21</v>
      </c>
      <c r="J447" s="63" t="inlineStr">
        <is>
          <t>gross (stated)</t>
        </is>
      </c>
      <c r="K447" s="66" t="n"/>
      <c r="L447" s="66" t="n">
        <v>48</v>
      </c>
      <c r="M447" s="66" t="n">
        <v>44.2</v>
      </c>
      <c r="N447" s="63" t="inlineStr">
        <is>
          <t>N</t>
        </is>
      </c>
      <c r="O447" s="67" t="n">
        <v>92.09999999999999</v>
      </c>
      <c r="P447" s="67" t="n"/>
      <c r="Q447" s="68" t="n">
        <v>5454.1</v>
      </c>
      <c r="R447" s="63" t="inlineStr">
        <is>
          <t>derived:price x shares upon listing</t>
        </is>
      </c>
      <c r="S447" s="69" t="n">
        <v>68.89</v>
      </c>
      <c r="T447" s="70" t="n">
        <v>1.34</v>
      </c>
      <c r="U447" s="71" t="n">
        <v>16.13</v>
      </c>
      <c r="V447" s="68" t="n">
        <v>601.52</v>
      </c>
      <c r="W447" s="68" t="n">
        <v>13609166</v>
      </c>
      <c r="X447" s="67" t="n">
        <v>11.03</v>
      </c>
      <c r="Y447" s="63" t="inlineStr">
        <is>
          <t>Yingke No.1 (Hongkong) Limited</t>
        </is>
      </c>
      <c r="Z447" s="63" t="inlineStr">
        <is>
          <t>yingke</t>
        </is>
      </c>
      <c r="AA447" s="67" t="n"/>
      <c r="AB447" s="72" t="n">
        <v>1</v>
      </c>
      <c r="AC447" s="66" t="n">
        <v>44.66</v>
      </c>
      <c r="AD447" s="72" t="n">
        <v>-37.54</v>
      </c>
      <c r="AE447" s="63" t="inlineStr">
        <is>
          <t>N</t>
        </is>
      </c>
      <c r="AF447" s="63" t="inlineStr">
        <is>
          <t>2026-03-24</t>
        </is>
      </c>
      <c r="AG447" s="63" t="n"/>
      <c r="AH447" s="63" t="n"/>
      <c r="AI447" s="63" t="n"/>
      <c r="AJ447" s="63" t="n"/>
      <c r="AK447" s="73" t="n">
        <v>-36.92</v>
      </c>
      <c r="AL447" s="72" t="n">
        <v>-0.68</v>
      </c>
      <c r="AM447" s="72" t="n">
        <v>-36.49</v>
      </c>
      <c r="AN447" s="72" t="n">
        <v>1.81</v>
      </c>
      <c r="AO447" s="72" t="n">
        <v>94.12</v>
      </c>
      <c r="AP447" s="72" t="n">
        <v>149.1</v>
      </c>
      <c r="AQ447" s="72" t="n">
        <v>61.4</v>
      </c>
      <c r="AR447" s="72" t="n">
        <v>207.74</v>
      </c>
      <c r="AS447" s="72" t="n">
        <v>294.9</v>
      </c>
      <c r="AT447" s="72" t="n">
        <v>2.11</v>
      </c>
      <c r="AU447" s="72" t="n">
        <v>90.3</v>
      </c>
      <c r="AV447" s="72" t="n">
        <v>160.17</v>
      </c>
      <c r="AW447" s="72" t="n">
        <v>206.4</v>
      </c>
      <c r="AX447" s="72" t="n">
        <v>3.82</v>
      </c>
      <c r="AY447" s="72" t="n">
        <v>1.34</v>
      </c>
      <c r="AZ447" s="63" t="inlineStr">
        <is>
          <t>Hang Seng Commerce &amp; Industry sub-index</t>
        </is>
      </c>
      <c r="BA447" s="72" t="n">
        <v>77.83</v>
      </c>
      <c r="BB447" s="64" t="inlineStr">
        <is>
          <t>2026-08-28</t>
        </is>
      </c>
      <c r="BC447" s="65" t="n">
        <v>635.4</v>
      </c>
      <c r="BD447" s="68" t="n">
        <v>-151.6</v>
      </c>
      <c r="BE447" s="63" t="inlineStr">
        <is>
          <t>N</t>
        </is>
      </c>
      <c r="BF447" s="63" t="inlineStr">
        <is>
          <t>n/m</t>
        </is>
      </c>
      <c r="BG447" s="74" t="n"/>
      <c r="BH447" s="74" t="n"/>
      <c r="BI447" s="74" t="n">
        <v>8.6</v>
      </c>
      <c r="BJ447" s="75">
        <f>IF('BBG Verify'!S447="","not filed — run on terminal",'BBG Verify'!S447)</f>
        <v/>
      </c>
      <c r="BK447" s="76" t="inlineStr">
        <is>
          <t>N</t>
        </is>
      </c>
      <c r="BL447" s="77">
        <f>IF('BBG Verify'!K447="","not filed — run on terminal",'BBG Verify'!K447)</f>
        <v/>
      </c>
      <c r="BM447" s="63" t="inlineStr">
        <is>
          <t>N/A</t>
        </is>
      </c>
      <c r="BN447" s="63" t="inlineStr">
        <is>
          <t>N/A</t>
        </is>
      </c>
      <c r="BO447" s="63" t="inlineStr">
        <is>
          <t>N/A</t>
        </is>
      </c>
      <c r="BP447" s="63" t="inlineStr">
        <is>
          <t>N/A</t>
        </is>
      </c>
      <c r="BQ447" s="63" t="inlineStr">
        <is>
          <t>N/A</t>
        </is>
      </c>
      <c r="BR447" s="63" t="inlineStr">
        <is>
          <t>N/A</t>
        </is>
      </c>
      <c r="BS447" s="76" t="inlineStr">
        <is>
          <t>Haitong International Capital Limited; CITIC Securities (Hong Kong) Limited</t>
        </is>
      </c>
      <c r="BT447" s="63" t="inlineStr">
        <is>
          <t>Haitong International Capital Limited; CITIC Securities (Hong Kong) Limited</t>
        </is>
      </c>
      <c r="BU447" s="63" t="inlineStr">
        <is>
          <t>BOCI Asia Limited; Patrons Securities Limited</t>
        </is>
      </c>
      <c r="BV447" s="63" t="inlineStr">
        <is>
          <t>BOCI Asia Limited; CLSA Limited; Futu Securities International (Hong Kong) Limited; Haitong International Securities Company Limited; Patrons Securities Limited</t>
        </is>
      </c>
      <c r="BW447" s="78">
        <f>HYPERLINK("https://www1.hkexnews.hk/listedco/listconews/sehk/2026/0316/2026031600011.pdf","prospectus")</f>
        <v/>
      </c>
      <c r="BX447" s="78">
        <f>HYPERLINK("https://www1.hkexnews.hk/listedco/listconews/sehk/2026/0323/2026032301630.pdf","allotment")</f>
        <v/>
      </c>
      <c r="BY447" s="63" t="n"/>
      <c r="BZ447" s="76" t="n"/>
      <c r="CA447" s="63" t="inlineStr">
        <is>
          <t>P/E: n/m — loss-making at IPO (use P/S) · greenshoe: no over-allotment option in the offer structure · range low: cap-only pricing — the filing publishes a Maximum Offer Price and no indicative floor · A/H: no A-share listing · market cap: prospectus 'market capitalisation' line rejected — it is the listing-rule threshold, not the issuer's figure ("igh-point of the indicative Offer Price range, the expected market capitalization of our Shares will not excee") · greenshoe size: no over-allotment option in the offer structure · stabilising manager: no over-allotment option in the offer structure, so no stabilising manager is appointed</t>
        </is>
      </c>
    </row>
    <row r="448" ht="15" customHeight="1">
      <c r="A448" s="62" t="inlineStr">
        <is>
          <t>2726</t>
        </is>
      </c>
      <c r="B448" s="63" t="inlineStr">
        <is>
          <t>EPIWORLD</t>
        </is>
      </c>
      <c r="C448" s="63" t="inlineStr">
        <is>
          <t>瀚天天成</t>
        </is>
      </c>
      <c r="D448" s="63" t="inlineStr">
        <is>
          <t>Tech/AI</t>
        </is>
      </c>
      <c r="E448" s="63" t="inlineStr">
        <is>
          <t>AI chips &amp; semis</t>
        </is>
      </c>
      <c r="F448" s="63" t="inlineStr">
        <is>
          <t>Semiconductors &amp; Semiconductor Equipment</t>
        </is>
      </c>
      <c r="G448" s="63" t="inlineStr">
        <is>
          <t>Standard</t>
        </is>
      </c>
      <c r="H448" s="64" t="n">
        <v>46111</v>
      </c>
      <c r="I448" s="65" t="n">
        <v>1640</v>
      </c>
      <c r="J448" s="63" t="inlineStr">
        <is>
          <t>gross (stated)</t>
        </is>
      </c>
      <c r="K448" s="66" t="n"/>
      <c r="L448" s="66" t="n">
        <v>76.26000000000001</v>
      </c>
      <c r="M448" s="66" t="n">
        <v>76.26000000000001</v>
      </c>
      <c r="N448" s="63" t="inlineStr">
        <is>
          <t>Y</t>
        </is>
      </c>
      <c r="O448" s="67" t="n">
        <v>100</v>
      </c>
      <c r="P448" s="67" t="n"/>
      <c r="Q448" s="68" t="n">
        <v>32455.1</v>
      </c>
      <c r="R448" s="63" t="inlineStr">
        <is>
          <t>derived:price x shares upon listing</t>
        </is>
      </c>
      <c r="S448" s="69" t="n">
        <v>50.66</v>
      </c>
      <c r="T448" s="70" t="n">
        <v>1.95</v>
      </c>
      <c r="U448" s="71" t="n">
        <v>47.1</v>
      </c>
      <c r="V448" s="68" t="n">
        <v>867.5599999999999</v>
      </c>
      <c r="W448" s="68" t="n">
        <v>11369294</v>
      </c>
      <c r="X448" s="67" t="n">
        <v>2.67</v>
      </c>
      <c r="Y448" s="63" t="inlineStr">
        <is>
          <t>Xiamen Advanced Intelligent Manufacturing Industry Investment Limited</t>
        </is>
      </c>
      <c r="Z448" s="63" t="inlineStr">
        <is>
          <t>xiamen</t>
        </is>
      </c>
      <c r="AA448" s="67" t="n"/>
      <c r="AB448" s="72" t="n">
        <v>37.7</v>
      </c>
      <c r="AC448" s="66" t="n">
        <v>105</v>
      </c>
      <c r="AD448" s="72" t="n">
        <v>-1.92</v>
      </c>
      <c r="AE448" s="63" t="inlineStr">
        <is>
          <t>Y</t>
        </is>
      </c>
      <c r="AF448" s="63" t="inlineStr">
        <is>
          <t>2026-03-29</t>
        </is>
      </c>
      <c r="AG448" s="63" t="n"/>
      <c r="AH448" s="63" t="n"/>
      <c r="AI448" s="63" t="n"/>
      <c r="AJ448" s="63" t="n"/>
      <c r="AK448" s="73" t="n">
        <v>35.06</v>
      </c>
      <c r="AL448" s="72" t="n">
        <v>44.24</v>
      </c>
      <c r="AM448" s="72" t="n">
        <v>-6.36</v>
      </c>
      <c r="AN448" s="72" t="n">
        <v>51.19</v>
      </c>
      <c r="AO448" s="72" t="n">
        <v>40.44</v>
      </c>
      <c r="AP448" s="72" t="n">
        <v>31.26</v>
      </c>
      <c r="AQ448" s="72" t="n">
        <v>11.94</v>
      </c>
      <c r="AR448" s="72" t="n">
        <v>3.98</v>
      </c>
      <c r="AS448" s="72" t="n">
        <v>-2.81</v>
      </c>
      <c r="AT448" s="72" t="n">
        <v>50.46</v>
      </c>
      <c r="AU448" s="72" t="n">
        <v>36.29</v>
      </c>
      <c r="AV448" s="72" t="n">
        <v>36.05</v>
      </c>
      <c r="AW448" s="72" t="n">
        <v>-2.21</v>
      </c>
      <c r="AX448" s="72" t="n">
        <v>4.15</v>
      </c>
      <c r="AY448" s="72" t="n">
        <v>6.19</v>
      </c>
      <c r="AZ448" s="63" t="inlineStr">
        <is>
          <t>HSTECH (Hang Seng TECH ETF)</t>
        </is>
      </c>
      <c r="BA448" s="72" t="n">
        <v>36.38</v>
      </c>
      <c r="BB448" s="64" t="inlineStr">
        <is>
          <t>2026-08-28</t>
        </is>
      </c>
      <c r="BC448" s="65" t="n">
        <v>1071.7</v>
      </c>
      <c r="BD448" s="68" t="n">
        <v>181.6</v>
      </c>
      <c r="BE448" s="63" t="inlineStr">
        <is>
          <t>Y</t>
        </is>
      </c>
      <c r="BF448" s="74" t="n">
        <v>178.7</v>
      </c>
      <c r="BG448" s="74" t="n"/>
      <c r="BH448" s="74" t="n"/>
      <c r="BI448" s="74" t="n">
        <v>30.3</v>
      </c>
      <c r="BJ448" s="75">
        <f>IF('BBG Verify'!S448="","not filed — run on terminal",'BBG Verify'!S448)</f>
        <v/>
      </c>
      <c r="BK448" s="76" t="inlineStr">
        <is>
          <t>N</t>
        </is>
      </c>
      <c r="BL448" s="77">
        <f>IF('BBG Verify'!K448="","not filed — run on terminal",'BBG Verify'!K448)</f>
        <v/>
      </c>
      <c r="BM448" s="63" t="inlineStr">
        <is>
          <t>N/A</t>
        </is>
      </c>
      <c r="BN448" s="63" t="inlineStr">
        <is>
          <t>N/A</t>
        </is>
      </c>
      <c r="BO448" s="63" t="inlineStr">
        <is>
          <t>N/A</t>
        </is>
      </c>
      <c r="BP448" s="63" t="inlineStr">
        <is>
          <t>N/A</t>
        </is>
      </c>
      <c r="BQ448" s="63" t="inlineStr">
        <is>
          <t>N/A</t>
        </is>
      </c>
      <c r="BR448" s="63" t="inlineStr">
        <is>
          <t>N/A</t>
        </is>
      </c>
      <c r="BS448" s="76" t="n"/>
      <c r="BT448" s="63" t="inlineStr">
        <is>
          <t>China International Capital Corporation Hong Kong Securities Limited</t>
        </is>
      </c>
      <c r="BU448" s="63" t="inlineStr">
        <is>
          <t>ABCI Capital Limited; Daokou Securities Limited; China Industrial Securities International Capital Limited; Fuze Securities (International) Limited; Kingston Securities Limited; Yuen Meta (International) Securities Limited</t>
        </is>
      </c>
      <c r="BV448" s="63" t="inlineStr">
        <is>
          <t>ABCI Securities Company Limited; CCB International Capital Limited; China International Capital Corporation Hong Kong Securities Limited; China Industrial Securities International Capital Limited; China Sunrise Securities (International) Limited; Daokou Securities Limited; Futu Securities International (Hong Kong) Limited; FUZE SECURITIES (INTERNATIONAL) LIMITED; ICBC International Securities Limited; Kingston Securities Limited; Orient Securities (Hong Kong) Limited; Yuen Meta (International) Securities Limited</t>
        </is>
      </c>
      <c r="BW448" s="78">
        <f>HYPERLINK("https://www1.hkexnews.hk/listedco/listconews/sehk/2026/0320/2026032000029.pdf","prospectus")</f>
        <v/>
      </c>
      <c r="BX448" s="78">
        <f>HYPERLINK("https://www1.hkexnews.hk/listedco/listconews/sehk/2026/0327/2026032702128.pdf","allotment")</f>
        <v/>
      </c>
      <c r="BY448" s="63" t="n"/>
      <c r="BZ448" s="76" t="n"/>
      <c r="CA448" s="63" t="inlineStr">
        <is>
          <t>greenshoe: no over-allotment option in the offer structure · range low: cap-only pricing — the filing publishes a Maximum Offer Price and no indicative floor · A/H: no A-share listing · sponsor: English name not in the filing text; AAStocks 保薦人 shown · greenshoe size: no over-allotment option in the offer structure · stabilising manager: the filing states no stabilising manager will be appointed — a filed fact, not an extraction gap (prospectus: 'no stabilizing manager will be appointed' stated in the filing)</t>
        </is>
      </c>
    </row>
    <row r="449" ht="15" customHeight="1">
      <c r="A449" s="62" t="inlineStr">
        <is>
          <t>2526</t>
        </is>
      </c>
      <c r="B449" s="63" t="inlineStr">
        <is>
          <t>DIAGENS-B</t>
        </is>
      </c>
      <c r="C449" s="63" t="inlineStr">
        <is>
          <t>德適－Ｂ</t>
        </is>
      </c>
      <c r="D449" s="63" t="inlineStr">
        <is>
          <t>Healthcare</t>
        </is>
      </c>
      <c r="E449" s="63" t="inlineStr">
        <is>
          <t>Medical devices</t>
        </is>
      </c>
      <c r="F449" s="63" t="inlineStr">
        <is>
          <t>Biotechnology - Medical Devices</t>
        </is>
      </c>
      <c r="G449" s="63" t="inlineStr">
        <is>
          <t>18A</t>
        </is>
      </c>
      <c r="H449" s="64" t="n">
        <v>46111</v>
      </c>
      <c r="I449" s="65" t="n">
        <v>791.9</v>
      </c>
      <c r="J449" s="63" t="inlineStr">
        <is>
          <t>gross (stated)</t>
        </is>
      </c>
      <c r="K449" s="66" t="n"/>
      <c r="L449" s="66" t="n">
        <v>112.5</v>
      </c>
      <c r="M449" s="66" t="n">
        <v>99</v>
      </c>
      <c r="N449" s="63" t="inlineStr">
        <is>
          <t>N</t>
        </is>
      </c>
      <c r="O449" s="67" t="n">
        <v>88</v>
      </c>
      <c r="P449" s="67" t="n"/>
      <c r="Q449" s="68" t="n">
        <v>8799</v>
      </c>
      <c r="R449" s="63" t="inlineStr">
        <is>
          <t>derived:price x shares upon listing</t>
        </is>
      </c>
      <c r="S449" s="69" t="n">
        <v>1073.37</v>
      </c>
      <c r="T449" s="70" t="n">
        <v>3.45</v>
      </c>
      <c r="U449" s="71" t="n">
        <v>0</v>
      </c>
      <c r="V449" s="68" t="n">
        <v>791.9</v>
      </c>
      <c r="W449" s="68" t="n">
        <v>7999200</v>
      </c>
      <c r="X449" s="67" t="n">
        <v>9</v>
      </c>
      <c r="Y449" s="63" t="n"/>
      <c r="Z449" s="63" t="n"/>
      <c r="AA449" s="67" t="n"/>
      <c r="AB449" s="72" t="n">
        <v>101.5</v>
      </c>
      <c r="AC449" s="66" t="n">
        <v>199.5</v>
      </c>
      <c r="AD449" s="72" t="n">
        <v>5.07</v>
      </c>
      <c r="AE449" s="63" t="inlineStr">
        <is>
          <t>Y</t>
        </is>
      </c>
      <c r="AF449" s="63" t="inlineStr">
        <is>
          <t>2026-03-29</t>
        </is>
      </c>
      <c r="AG449" s="63" t="n"/>
      <c r="AH449" s="63" t="n"/>
      <c r="AI449" s="63" t="n"/>
      <c r="AJ449" s="63" t="n"/>
      <c r="AK449" s="73" t="n">
        <v>111.72</v>
      </c>
      <c r="AL449" s="72" t="n">
        <v>121.21</v>
      </c>
      <c r="AM449" s="72" t="n">
        <v>-4.29</v>
      </c>
      <c r="AN449" s="72" t="n">
        <v>202.02</v>
      </c>
      <c r="AO449" s="72" t="n">
        <v>234.34</v>
      </c>
      <c r="AP449" s="72" t="n">
        <v>303.03</v>
      </c>
      <c r="AQ449" s="72" t="n">
        <v>42.65</v>
      </c>
      <c r="AR449" s="72" t="n">
        <v>57.92</v>
      </c>
      <c r="AS449" s="72" t="n">
        <v>90.36</v>
      </c>
      <c r="AT449" s="72" t="n">
        <v>196.11</v>
      </c>
      <c r="AU449" s="72" t="n">
        <v>230.63</v>
      </c>
      <c r="AV449" s="72" t="n">
        <v>300.15</v>
      </c>
      <c r="AW449" s="72" t="n">
        <v>54.37</v>
      </c>
      <c r="AX449" s="72" t="n">
        <v>3.71</v>
      </c>
      <c r="AY449" s="72" t="n">
        <v>3.55</v>
      </c>
      <c r="AZ449" s="63" t="inlineStr">
        <is>
          <t>China Biotech ETF (HS biotech proxy)</t>
        </is>
      </c>
      <c r="BA449" s="72" t="n">
        <v>394.75</v>
      </c>
      <c r="BB449" s="64" t="inlineStr">
        <is>
          <t>2026-08-28</t>
        </is>
      </c>
      <c r="BC449" s="65" t="n">
        <v>21.5</v>
      </c>
      <c r="BD449" s="68" t="n">
        <v>-61.7</v>
      </c>
      <c r="BE449" s="63" t="inlineStr">
        <is>
          <t>N</t>
        </is>
      </c>
      <c r="BF449" s="63" t="inlineStr">
        <is>
          <t>n/m</t>
        </is>
      </c>
      <c r="BG449" s="74" t="n"/>
      <c r="BH449" s="74" t="n"/>
      <c r="BI449" s="74" t="n">
        <v>409.3</v>
      </c>
      <c r="BJ449" s="75">
        <f>IF('BBG Verify'!S449="","not filed — run on terminal",'BBG Verify'!S449)</f>
        <v/>
      </c>
      <c r="BK449" s="76" t="inlineStr">
        <is>
          <t>N</t>
        </is>
      </c>
      <c r="BL449" s="77">
        <f>IF('BBG Verify'!K449="","not filed — run on terminal",'BBG Verify'!K449)</f>
        <v/>
      </c>
      <c r="BM449" s="63" t="inlineStr">
        <is>
          <t>N/A</t>
        </is>
      </c>
      <c r="BN449" s="63" t="inlineStr">
        <is>
          <t>N/A</t>
        </is>
      </c>
      <c r="BO449" s="63" t="inlineStr">
        <is>
          <t>N/A</t>
        </is>
      </c>
      <c r="BP449" s="63" t="inlineStr">
        <is>
          <t>N/A</t>
        </is>
      </c>
      <c r="BQ449" s="63" t="inlineStr">
        <is>
          <t>N/A</t>
        </is>
      </c>
      <c r="BR449" s="63" t="inlineStr">
        <is>
          <t>N/A</t>
        </is>
      </c>
      <c r="BS449" s="76" t="inlineStr">
        <is>
          <t>and Sponsor-overall Coordinator Huatai Financial Holdings (Hong Kong) Limited</t>
        </is>
      </c>
      <c r="BT449" s="63" t="inlineStr">
        <is>
          <t>Huatai Financial Holdings (Hong Kong) Limited</t>
        </is>
      </c>
      <c r="BU449" s="63" t="inlineStr">
        <is>
          <t>Huatai Financial Holdings (Hong Kong) Limited; Futu Securities International (Hong Kong) Limited; ABCI Capital Limited; BOCI Asia Limited; CCB International Capital Limited; China Galaxy International Securities (Hong Kong) Co., Limited; Huafu International Securities Limited; Y ellow River Securities Limited; Yuen Meta (International) Securities Limited; Yunfeng Securities Limited; Zheshang International Financial Holdings Co., Ltd</t>
        </is>
      </c>
      <c r="BV449" s="63" t="inlineStr">
        <is>
          <t>ABCI Securities Company Limited; BOCI Asia Limited; CCB International Capital Limited; China Galaxy International Securities (Hong Kong) Company Limited; Futu Securities International (Hong Kong) Limited; Huatai Financial Holdings (Hong Kong) Limited; Huafu International Securities Limited; Yunfeng Securities Limited; Yuen Meta (International) Securities Limited; Yellow River Securities Limited; Zheshang International Financial Holdings Co., Limited</t>
        </is>
      </c>
      <c r="BW449" s="78">
        <f>HYPERLINK("https://www1.hkexnews.hk/listedco/listconews/sehk/2026/0320/2026032000025.pdf","prospectus")</f>
        <v/>
      </c>
      <c r="BX449" s="78">
        <f>HYPERLINK("https://www1.hkexnews.hk/listedco/listconews/sehk/2026/0327/2026032702330.pdf","allotment")</f>
        <v/>
      </c>
      <c r="BY449" s="63" t="n"/>
      <c r="BZ449" s="76" t="n"/>
      <c r="CA449" s="63" t="inlineStr">
        <is>
          <t>P/E: n/m — loss-making at IPO (use P/S) · greenshoe: no over-allotment option in the offer structure · range low: cap-only pricing — the filing publishes a Maximum Offer Price and no indicative floor · A/H: no A-share listing · cornerstone list: no cornerstone tranche in this deal · greenshoe size: no over-allotment option in the offer structure · P/S: 409x on HK$21.5m revenue — effectively pre-revenue; the multiple is shown for completeness, not comparability · stabilising manager: the filing states no stabilising manager will be appointed — a filed fact, not an extraction gap (allotment announcement: 'no stabilizing manager will be appointed' stated in the filing)</t>
        </is>
      </c>
    </row>
    <row r="450" ht="15" customHeight="1">
      <c r="A450" s="62" t="inlineStr">
        <is>
          <t>6636</t>
        </is>
      </c>
      <c r="B450" s="63" t="inlineStr">
        <is>
          <t>EXTREME VISION</t>
        </is>
      </c>
      <c r="C450" s="63" t="inlineStr">
        <is>
          <t>極視角</t>
        </is>
      </c>
      <c r="D450" s="63" t="inlineStr">
        <is>
          <t>Tech/AI</t>
        </is>
      </c>
      <c r="E450" s="63" t="inlineStr">
        <is>
          <t>AI application / agent software</t>
        </is>
      </c>
      <c r="F450" s="63" t="inlineStr">
        <is>
          <t>Next-generation information technology</t>
        </is>
      </c>
      <c r="G450" s="63" t="inlineStr">
        <is>
          <t>Standard</t>
        </is>
      </c>
      <c r="H450" s="64" t="n">
        <v>46111</v>
      </c>
      <c r="I450" s="65" t="n">
        <v>499.2</v>
      </c>
      <c r="J450" s="63" t="inlineStr">
        <is>
          <t>gross (stated)</t>
        </is>
      </c>
      <c r="K450" s="66" t="n"/>
      <c r="L450" s="66" t="n">
        <v>40</v>
      </c>
      <c r="M450" s="66" t="n">
        <v>40</v>
      </c>
      <c r="N450" s="63" t="inlineStr">
        <is>
          <t>Y</t>
        </is>
      </c>
      <c r="O450" s="67" t="n">
        <v>100</v>
      </c>
      <c r="P450" s="67" t="n"/>
      <c r="Q450" s="68" t="n">
        <v>4516.6</v>
      </c>
      <c r="R450" s="63" t="inlineStr">
        <is>
          <t>derived:price x shares upon listing</t>
        </is>
      </c>
      <c r="S450" s="69" t="n">
        <v>4591.37</v>
      </c>
      <c r="T450" s="70" t="n">
        <v>3.41</v>
      </c>
      <c r="U450" s="71" t="n">
        <v>9.460000000000001</v>
      </c>
      <c r="V450" s="68" t="n">
        <v>451.98</v>
      </c>
      <c r="W450" s="68" t="n">
        <v>11299392</v>
      </c>
      <c r="X450" s="67" t="n">
        <v>10.01</v>
      </c>
      <c r="Y450" s="63" t="inlineStr">
        <is>
          <t>George Kent International Pte. Ltd; Zhengjin (Hong Kong) International Co., Limited</t>
        </is>
      </c>
      <c r="Z450" s="63" t="inlineStr">
        <is>
          <t>george;zhengjin</t>
        </is>
      </c>
      <c r="AA450" s="67" t="n"/>
      <c r="AB450" s="72" t="n">
        <v>54.5</v>
      </c>
      <c r="AC450" s="66" t="n">
        <v>61.8</v>
      </c>
      <c r="AD450" s="72" t="n">
        <v>61.81</v>
      </c>
      <c r="AE450" s="63" t="inlineStr">
        <is>
          <t>Y</t>
        </is>
      </c>
      <c r="AF450" s="63" t="inlineStr">
        <is>
          <t>2026-03-29</t>
        </is>
      </c>
      <c r="AG450" s="63" t="n"/>
      <c r="AH450" s="63" t="n"/>
      <c r="AI450" s="63" t="n"/>
      <c r="AJ450" s="63" t="n"/>
      <c r="AK450" s="73" t="n">
        <v>150</v>
      </c>
      <c r="AL450" s="72" t="n">
        <v>49.88</v>
      </c>
      <c r="AM450" s="72" t="n">
        <v>66.8</v>
      </c>
      <c r="AN450" s="72" t="n">
        <v>164</v>
      </c>
      <c r="AO450" s="72" t="n">
        <v>151.25</v>
      </c>
      <c r="AP450" s="72" t="n">
        <v>112.5</v>
      </c>
      <c r="AQ450" s="72" t="n">
        <v>5.6</v>
      </c>
      <c r="AR450" s="72" t="n">
        <v>0.5</v>
      </c>
      <c r="AS450" s="72" t="n">
        <v>-15</v>
      </c>
      <c r="AT450" s="72" t="n">
        <v>163.27</v>
      </c>
      <c r="AU450" s="72" t="n">
        <v>147.1</v>
      </c>
      <c r="AV450" s="72" t="n">
        <v>117.29</v>
      </c>
      <c r="AW450" s="72" t="n">
        <v>-5.69</v>
      </c>
      <c r="AX450" s="72" t="n">
        <v>4.15</v>
      </c>
      <c r="AY450" s="72" t="n">
        <v>6.19</v>
      </c>
      <c r="AZ450" s="63" t="inlineStr">
        <is>
          <t>HSTECH (Hang Seng TECH ETF)</t>
        </is>
      </c>
      <c r="BA450" s="72" t="n">
        <v>119</v>
      </c>
      <c r="BB450" s="64" t="inlineStr">
        <is>
          <t>2026-08-28</t>
        </is>
      </c>
      <c r="BC450" s="65" t="n">
        <v>283</v>
      </c>
      <c r="BD450" s="68" t="n"/>
      <c r="BE450" s="63" t="inlineStr">
        <is>
          <t>Y</t>
        </is>
      </c>
      <c r="BF450" s="75">
        <f>IF('BBG Verify'!O450="","not filed — run on terminal",'BBG Verify'!O450)</f>
        <v/>
      </c>
      <c r="BG450" s="74" t="n"/>
      <c r="BH450" s="74" t="n"/>
      <c r="BI450" s="74" t="n">
        <v>16</v>
      </c>
      <c r="BJ450" s="75">
        <f>IF('BBG Verify'!S450="","not filed — run on terminal",'BBG Verify'!S450)</f>
        <v/>
      </c>
      <c r="BK450" s="76" t="inlineStr">
        <is>
          <t>N</t>
        </is>
      </c>
      <c r="BL450" s="77">
        <f>IF('BBG Verify'!K450="","not filed — run on terminal",'BBG Verify'!K450)</f>
        <v/>
      </c>
      <c r="BM450" s="63" t="inlineStr">
        <is>
          <t>N/A</t>
        </is>
      </c>
      <c r="BN450" s="63" t="inlineStr">
        <is>
          <t>N/A</t>
        </is>
      </c>
      <c r="BO450" s="63" t="inlineStr">
        <is>
          <t>N/A</t>
        </is>
      </c>
      <c r="BP450" s="63" t="inlineStr">
        <is>
          <t>N/A</t>
        </is>
      </c>
      <c r="BQ450" s="63" t="inlineStr">
        <is>
          <t>N/A</t>
        </is>
      </c>
      <c r="BR450" s="63" t="inlineStr">
        <is>
          <t>N/A</t>
        </is>
      </c>
      <c r="BS450" s="76" t="inlineStr">
        <is>
          <t>CITIC Securities (Hong Kong) Limited</t>
        </is>
      </c>
      <c r="BT450" s="63" t="inlineStr">
        <is>
          <t>CITIC Securities (Hong Kong) Limited</t>
        </is>
      </c>
      <c r="BU450" s="63" t="inlineStr">
        <is>
          <t>CLSA Limited; CMB International Capital Limited; ABCI Capital Limited; SDIC Securities (Hong Kong) Limited; Guosen Securities (HK) Brokerage Company, Limited; Livermore Holdings Limited; China Sunrise Securities (International) Limited</t>
        </is>
      </c>
      <c r="BV450" s="63" t="inlineStr">
        <is>
          <t>ABCI Securities Company Limited; CLSA Limited; CMB International Capital Limited; China Sunrise Securities (International) Limited; Guosen Securities (HK) Brokerage Company, Limited; Livermore Holdings Limited; SDIC Securities (Hong Kong) Limited</t>
        </is>
      </c>
      <c r="BW450" s="78">
        <f>HYPERLINK("https://www1.hkexnews.hk/listedco/listconews/sehk/2026/0320/2026032000097.pdf","prospectus")</f>
        <v/>
      </c>
      <c r="BX450" s="78">
        <f>HYPERLINK("https://www1.hkexnews.hk/listedco/listconews/sehk/2026/0327/2026032703232.pdf","allotment")</f>
        <v/>
      </c>
      <c r="BY450" s="63" t="n"/>
      <c r="BZ450" s="76" t="n"/>
      <c r="CA450" s="63" t="inlineStr">
        <is>
          <t>P/E: withheld — mktcap / net income gives 45,166x, which fails the 300x plausibility check; the extracted net income (HK$0.1m) is not trustworthy · greenshoe: no over-allotment option in the offer structure · range low: cap-only pricing — the filing publishes a Maximum Offer Price and no indicative floor · A/H: no A-share listing · market cap: prospectus 'market capitalisation' line rejected — it is the listing-rule threshold, not the issuer's figure ("on the Offer Price of HK$40.0 per Offer Share, the expected market capitalization of the Company’s H Shares wo") · greenshoe size: no over-allotment option in the offer structure · stabilising manager: the filing states no stabilising manager will be appointed — a filed fact, not an extraction gap (prospectus: 'no stabilizing manager will be appointed' stated in the filing) · financials: financial tables not machine-extractable and the pre-IPO year is outside AAStocks' 5-year window</t>
        </is>
      </c>
    </row>
    <row r="451" ht="15" customHeight="1">
      <c r="A451" s="62" t="inlineStr">
        <is>
          <t>1021</t>
        </is>
      </c>
      <c r="B451" s="63" t="inlineStr">
        <is>
          <t>HUAYAN ROBOTICS</t>
        </is>
      </c>
      <c r="C451" s="63" t="inlineStr">
        <is>
          <t>華沿機器人</t>
        </is>
      </c>
      <c r="D451" s="63" t="inlineStr">
        <is>
          <t>Tech/AI</t>
        </is>
      </c>
      <c r="E451" s="63" t="inlineStr">
        <is>
          <t>Robotics &amp; autonomous driving</t>
        </is>
      </c>
      <c r="F451" s="63" t="inlineStr">
        <is>
          <t>Advanced hardware and software</t>
        </is>
      </c>
      <c r="G451" s="63" t="inlineStr">
        <is>
          <t>Standard</t>
        </is>
      </c>
      <c r="H451" s="64" t="n">
        <v>46111</v>
      </c>
      <c r="I451" s="65" t="n">
        <v>1579.34</v>
      </c>
      <c r="J451" s="63" t="inlineStr">
        <is>
          <t>gross (stated)</t>
        </is>
      </c>
      <c r="K451" s="66" t="n"/>
      <c r="L451" s="66" t="n">
        <v>17</v>
      </c>
      <c r="M451" s="66" t="n">
        <v>17</v>
      </c>
      <c r="N451" s="63" t="inlineStr">
        <is>
          <t>Y</t>
        </is>
      </c>
      <c r="O451" s="67" t="n">
        <v>100</v>
      </c>
      <c r="P451" s="67" t="n"/>
      <c r="Q451" s="68" t="n">
        <v>9000</v>
      </c>
      <c r="R451" s="63" t="inlineStr">
        <is>
          <t>press:sina/kr-asia 2026-03-30: 挂牌估值约90亿港元</t>
        </is>
      </c>
      <c r="S451" s="69" t="n">
        <v>5059.38</v>
      </c>
      <c r="T451" s="70" t="n">
        <v>16.65</v>
      </c>
      <c r="U451" s="71" t="n">
        <v>48.6</v>
      </c>
      <c r="V451" s="68" t="n">
        <v>811.78</v>
      </c>
      <c r="W451" s="68" t="n">
        <v>47751936</v>
      </c>
      <c r="X451" s="67" t="n">
        <v>9.02</v>
      </c>
      <c r="Y451" s="63" t="inlineStr">
        <is>
          <t>Eternal Summer Consulting Company Ltd; HHLR Advisors, Ltd; Huatai Capital Investment Limited; Huatai Securities Co., Ltd; Morgan Stanley &amp; Co. International plc; Richfirm (Hong Kong) Development Limited; Samson Group Limited; Shrewd Pioneer Limited; VVC Technology Fund Ltd</t>
        </is>
      </c>
      <c r="Z451" s="63" t="inlineStr">
        <is>
          <t>eternal;hhlr;huatai;morgan;richfirm;samson;shrewd;vvc</t>
        </is>
      </c>
      <c r="AA451" s="67" t="n">
        <v>15</v>
      </c>
      <c r="AB451" s="72" t="n">
        <v>10.4</v>
      </c>
      <c r="AC451" s="66" t="n">
        <v>18.77</v>
      </c>
      <c r="AD451" s="72" t="n">
        <v>-1.96</v>
      </c>
      <c r="AE451" s="63" t="inlineStr">
        <is>
          <t>Y</t>
        </is>
      </c>
      <c r="AF451" s="63" t="inlineStr">
        <is>
          <t>2026-03-29</t>
        </is>
      </c>
      <c r="AG451" s="63" t="n"/>
      <c r="AH451" s="63" t="n"/>
      <c r="AI451" s="63" t="inlineStr">
        <is>
          <t>China International Capital Corporation Hong Kong Securities Limited</t>
        </is>
      </c>
      <c r="AJ451" s="63" t="inlineStr">
        <is>
          <t>China International</t>
        </is>
      </c>
      <c r="AK451" s="73" t="n">
        <v>8.24</v>
      </c>
      <c r="AL451" s="72" t="n">
        <v>-1.18</v>
      </c>
      <c r="AM451" s="72" t="n">
        <v>9.529999999999999</v>
      </c>
      <c r="AN451" s="72" t="n">
        <v>5.41</v>
      </c>
      <c r="AO451" s="72" t="n">
        <v>16.24</v>
      </c>
      <c r="AP451" s="72" t="n">
        <v>-9.119999999999999</v>
      </c>
      <c r="AQ451" s="72" t="n">
        <v>-2.61</v>
      </c>
      <c r="AR451" s="72" t="n">
        <v>7.39</v>
      </c>
      <c r="AS451" s="72" t="n">
        <v>-16.04</v>
      </c>
      <c r="AT451" s="72" t="n">
        <v>4.68</v>
      </c>
      <c r="AU451" s="72" t="n">
        <v>12.09</v>
      </c>
      <c r="AV451" s="72" t="n">
        <v>-4.33</v>
      </c>
      <c r="AW451" s="72" t="n">
        <v>1.2</v>
      </c>
      <c r="AX451" s="72" t="n">
        <v>4.15</v>
      </c>
      <c r="AY451" s="72" t="n">
        <v>6.19</v>
      </c>
      <c r="AZ451" s="63" t="inlineStr">
        <is>
          <t>HSTECH (Hang Seng TECH ETF)</t>
        </is>
      </c>
      <c r="BA451" s="72" t="n">
        <v>-46.65</v>
      </c>
      <c r="BB451" s="64" t="inlineStr">
        <is>
          <t>2026-08-28</t>
        </is>
      </c>
      <c r="BC451" s="65" t="n">
        <v>425.6</v>
      </c>
      <c r="BD451" s="68" t="n">
        <v>-32.9</v>
      </c>
      <c r="BE451" s="63" t="inlineStr">
        <is>
          <t>N</t>
        </is>
      </c>
      <c r="BF451" s="63" t="inlineStr">
        <is>
          <t>n/m</t>
        </is>
      </c>
      <c r="BG451" s="74" t="n"/>
      <c r="BH451" s="74" t="n"/>
      <c r="BI451" s="74" t="n">
        <v>21.1</v>
      </c>
      <c r="BJ451" s="75">
        <f>IF('BBG Verify'!S451="","not filed — run on terminal",'BBG Verify'!S451)</f>
        <v/>
      </c>
      <c r="BK451" s="76" t="inlineStr">
        <is>
          <t>N</t>
        </is>
      </c>
      <c r="BL451" s="77">
        <f>IF('BBG Verify'!K451="","not filed — run on terminal",'BBG Verify'!K451)</f>
        <v/>
      </c>
      <c r="BM451" s="63" t="inlineStr">
        <is>
          <t>N/A</t>
        </is>
      </c>
      <c r="BN451" s="63" t="inlineStr">
        <is>
          <t>N/A</t>
        </is>
      </c>
      <c r="BO451" s="63" t="inlineStr">
        <is>
          <t>N/A</t>
        </is>
      </c>
      <c r="BP451" s="63" t="inlineStr">
        <is>
          <t>N/A</t>
        </is>
      </c>
      <c r="BQ451" s="63" t="inlineStr">
        <is>
          <t>N/A</t>
        </is>
      </c>
      <c r="BR451" s="63" t="inlineStr">
        <is>
          <t>N/A</t>
        </is>
      </c>
      <c r="BS451" s="76" t="n"/>
      <c r="BT451" s="63" t="inlineStr">
        <is>
          <t>China International Capital Corporation Hong Kong Securities Limited; Deutsche Securities Asia Limited</t>
        </is>
      </c>
      <c r="BU451" s="63" t="inlineStr">
        <is>
          <t>China International Capital Corporation Hong Kong Securities Limited; Deutsche Bank AG, Hong Kong Branch; Futu Securities International (Hong Kong) Limited; Zheshang International Financial Holdings Co., Limited</t>
        </is>
      </c>
      <c r="BV451" s="63" t="inlineStr">
        <is>
          <t>China International Capital Corporation Hong Kong Securities Limited; Deutsche Bank AG, Hong Kong Branch; Futu Securities International (Hong Kong) Limited; Zheshang International Financial Holdings Co., Limited</t>
        </is>
      </c>
      <c r="BW451" s="63" t="n"/>
      <c r="BX451" s="78">
        <f>HYPERLINK("https://www1.hkexnews.hk/listedco/listconews/sehk/2026/0327/2026032703804.pdf","allotment")</f>
        <v/>
      </c>
      <c r="BY451" s="63" t="n"/>
      <c r="BZ451" s="76" t="n"/>
      <c r="CA451" s="63" t="inlineStr">
        <is>
          <t>P/E: n/m — loss-making at IPO (use P/S) · greenshoe: end-of-stabilisation notice not located · price range: fixed-price offering (no indicative range) · range low: cap-only pricing — the filing publishes a Maximum Offer Price and no indicative floor · A/H: no A-share listing · sponsor: English name not in the filing text; AAStocks 保薦人 shown · cornerstone %: AAStocks institutional-order total / deal size — an upper bound; the table can include non-cornerstone orders · filing links: no prospectus document returned by the HKEX per-stock search for this code — the allotment announcement is linked beside it</t>
        </is>
      </c>
    </row>
    <row r="452" ht="15" customHeight="1">
      <c r="A452" s="62" t="inlineStr">
        <is>
          <t>0664</t>
        </is>
      </c>
      <c r="B452" s="63" t="inlineStr">
        <is>
          <t>TONGSHIFU</t>
        </is>
      </c>
      <c r="C452" s="63" t="inlineStr">
        <is>
          <t>銅師傅</t>
        </is>
      </c>
      <c r="D452" s="63" t="inlineStr">
        <is>
          <t>Consumer</t>
        </is>
      </c>
      <c r="E452" s="63" t="inlineStr">
        <is>
          <t>Beverages / packaged food</t>
        </is>
      </c>
      <c r="F452" s="63" t="inlineStr">
        <is>
          <t>Leisure Products</t>
        </is>
      </c>
      <c r="G452" s="63" t="inlineStr">
        <is>
          <t>Standard</t>
        </is>
      </c>
      <c r="H452" s="64" t="n">
        <v>46112</v>
      </c>
      <c r="I452" s="65" t="n">
        <v>444.41</v>
      </c>
      <c r="J452" s="63" t="inlineStr">
        <is>
          <t>gross (stated)</t>
        </is>
      </c>
      <c r="K452" s="66" t="n"/>
      <c r="L452" s="66" t="n">
        <v>68</v>
      </c>
      <c r="M452" s="66" t="n">
        <v>60</v>
      </c>
      <c r="N452" s="63" t="inlineStr">
        <is>
          <t>N</t>
        </is>
      </c>
      <c r="O452" s="67" t="n">
        <v>88.2</v>
      </c>
      <c r="P452" s="67" t="n"/>
      <c r="Q452" s="68" t="n">
        <v>3864.4</v>
      </c>
      <c r="R452" s="63" t="inlineStr">
        <is>
          <t>derived:price x shares upon listing</t>
        </is>
      </c>
      <c r="S452" s="69" t="n">
        <v>59.55</v>
      </c>
      <c r="T452" s="70" t="n">
        <v>1.56</v>
      </c>
      <c r="U452" s="71" t="n">
        <v>6.8</v>
      </c>
      <c r="V452" s="68" t="n">
        <v>414.19</v>
      </c>
      <c r="W452" s="68" t="n">
        <v>6903138</v>
      </c>
      <c r="X452" s="67" t="n">
        <v>10.72</v>
      </c>
      <c r="Y452" s="63" t="inlineStr">
        <is>
          <t>Jiantou International (Hong Kong) Co., Limited</t>
        </is>
      </c>
      <c r="Z452" s="63" t="inlineStr">
        <is>
          <t>jiantou</t>
        </is>
      </c>
      <c r="AA452" s="67" t="n">
        <v>6.75</v>
      </c>
      <c r="AB452" s="72" t="n">
        <v>-30.1</v>
      </c>
      <c r="AC452" s="66" t="n">
        <v>41.96</v>
      </c>
      <c r="AD452" s="72" t="n">
        <v>-27.28</v>
      </c>
      <c r="AE452" s="63" t="inlineStr">
        <is>
          <t>Y</t>
        </is>
      </c>
      <c r="AF452" s="63" t="inlineStr">
        <is>
          <t>2026-03-31</t>
        </is>
      </c>
      <c r="AG452" s="63" t="inlineStr">
        <is>
          <t>lapsed</t>
        </is>
      </c>
      <c r="AH452" s="63" t="inlineStr">
        <is>
          <t>2026-04-25</t>
        </is>
      </c>
      <c r="AI452" s="63" t="inlineStr">
        <is>
          <t>CMB International Capital Limited</t>
        </is>
      </c>
      <c r="AJ452" s="63" t="inlineStr">
        <is>
          <t>CMB</t>
        </is>
      </c>
      <c r="AK452" s="73" t="n">
        <v>-49.17</v>
      </c>
      <c r="AL452" s="72" t="n">
        <v>-40.97</v>
      </c>
      <c r="AM452" s="72" t="n">
        <v>-13.89</v>
      </c>
      <c r="AN452" s="72" t="n">
        <v>-53.17</v>
      </c>
      <c r="AO452" s="72" t="n">
        <v>-62.27</v>
      </c>
      <c r="AP452" s="72" t="n">
        <v>-74.81999999999999</v>
      </c>
      <c r="AQ452" s="72" t="n">
        <v>-7.87</v>
      </c>
      <c r="AR452" s="72" t="n">
        <v>-25.77</v>
      </c>
      <c r="AS452" s="72" t="n">
        <v>-50.46</v>
      </c>
      <c r="AT452" s="72" t="n">
        <v>-56.61</v>
      </c>
      <c r="AU452" s="72" t="n">
        <v>-65.63</v>
      </c>
      <c r="AV452" s="72" t="n">
        <v>-66.55</v>
      </c>
      <c r="AW452" s="72" t="n">
        <v>-29.71</v>
      </c>
      <c r="AX452" s="72" t="n">
        <v>3.36</v>
      </c>
      <c r="AY452" s="72" t="n">
        <v>3.94</v>
      </c>
      <c r="AZ452" s="63" t="inlineStr">
        <is>
          <t>Hang Seng Commerce &amp; Industry sub-index</t>
        </is>
      </c>
      <c r="BA452" s="72" t="n">
        <v>-77.34999999999999</v>
      </c>
      <c r="BB452" s="64" t="inlineStr">
        <is>
          <t>2026-08-28</t>
        </is>
      </c>
      <c r="BC452" s="65" t="n">
        <v>679.1</v>
      </c>
      <c r="BD452" s="68" t="n">
        <v>86.90000000000001</v>
      </c>
      <c r="BE452" s="63" t="inlineStr">
        <is>
          <t>Y</t>
        </is>
      </c>
      <c r="BF452" s="74" t="n">
        <v>44.5</v>
      </c>
      <c r="BG452" s="74" t="n"/>
      <c r="BH452" s="74" t="n"/>
      <c r="BI452" s="74" t="n">
        <v>5.7</v>
      </c>
      <c r="BJ452" s="75">
        <f>IF('BBG Verify'!S452="","not filed — run on terminal",'BBG Verify'!S452)</f>
        <v/>
      </c>
      <c r="BK452" s="76" t="inlineStr">
        <is>
          <t>N</t>
        </is>
      </c>
      <c r="BL452" s="77">
        <f>IF('BBG Verify'!K452="","not filed — run on terminal",'BBG Verify'!K452)</f>
        <v/>
      </c>
      <c r="BM452" s="63" t="inlineStr">
        <is>
          <t>N/A</t>
        </is>
      </c>
      <c r="BN452" s="63" t="inlineStr">
        <is>
          <t>N/A</t>
        </is>
      </c>
      <c r="BO452" s="63" t="inlineStr">
        <is>
          <t>N/A</t>
        </is>
      </c>
      <c r="BP452" s="63" t="inlineStr">
        <is>
          <t>N/A</t>
        </is>
      </c>
      <c r="BQ452" s="63" t="inlineStr">
        <is>
          <t>N/A</t>
        </is>
      </c>
      <c r="BR452" s="63" t="inlineStr">
        <is>
          <t>N/A</t>
        </is>
      </c>
      <c r="BS452" s="76" t="inlineStr">
        <is>
          <t>CMB International Capital Limited</t>
        </is>
      </c>
      <c r="BT452" s="63" t="inlineStr">
        <is>
          <t>CMB International Capital Limited</t>
        </is>
      </c>
      <c r="BU452" s="63" t="inlineStr">
        <is>
          <t>CMB International Capital Limited; CLSA Limited; ABCI Capital Limited; China Everbright Securities (HK) Limited; Futu Securities International (Hong Kong) Limited; Patrons Securities Limited</t>
        </is>
      </c>
      <c r="BV452" s="63" t="inlineStr">
        <is>
          <t>ABCI Securities Company Limited; China Everbright Securities (HK) Limited; CLSA Limited; CMB International Capital Limited; Futu Securities International (Hong Kong) Limited; Livermore Holdings Limited; Patrons Securities Limited</t>
        </is>
      </c>
      <c r="BW452" s="78">
        <f>HYPERLINK("https://www1.hkexnews.hk/listedco/listconews/sehk/2026/0323/2026032300037.pdf","prospectus")</f>
        <v/>
      </c>
      <c r="BX452" s="78">
        <f>HYPERLINK("https://www1.hkexnews.hk/listedco/listconews/sehk/2026/0330/2026033003120.pdf","allotment")</f>
        <v/>
      </c>
      <c r="BY452" s="78">
        <f>HYPERLINK("https://www1.hkexnews.hk/listedco/listconews/sehk/2026/0430/2026043004704.pdf","stabilisation")</f>
        <v/>
      </c>
      <c r="BZ452" s="76" t="n"/>
      <c r="CA452" s="63" t="inlineStr">
        <is>
          <t>range low: cap-only pricing — the filing publishes a Maximum Offer Price and no indicative floor · A/H: no A-share listing · cornerstone: table parse read 50% but the institutional total implies 7% — parse rejected, the filed aggregate-amount sentence used (6.8%)</t>
        </is>
      </c>
    </row>
    <row r="453" ht="15" customHeight="1">
      <c r="A453" s="62" t="inlineStr">
        <is>
          <t>3625</t>
        </is>
      </c>
      <c r="B453" s="63" t="inlineStr">
        <is>
          <t>FOURSEMI</t>
        </is>
      </c>
      <c r="C453" s="63" t="inlineStr">
        <is>
          <t>傅里葉</t>
        </is>
      </c>
      <c r="D453" s="63" t="inlineStr">
        <is>
          <t>Tech/AI</t>
        </is>
      </c>
      <c r="E453" s="63" t="inlineStr">
        <is>
          <t>AI chips &amp; semis</t>
        </is>
      </c>
      <c r="F453" s="63" t="inlineStr">
        <is>
          <t>Semiconductors &amp; Semiconductor Equipment</t>
        </is>
      </c>
      <c r="G453" s="63" t="inlineStr">
        <is>
          <t>Standard</t>
        </is>
      </c>
      <c r="H453" s="64" t="n">
        <v>46112</v>
      </c>
      <c r="I453" s="65" t="n">
        <v>480</v>
      </c>
      <c r="J453" s="63" t="inlineStr">
        <is>
          <t>gross (stated)</t>
        </is>
      </c>
      <c r="K453" s="66" t="n"/>
      <c r="L453" s="66" t="n">
        <v>50</v>
      </c>
      <c r="M453" s="66" t="n">
        <v>40</v>
      </c>
      <c r="N453" s="63" t="inlineStr">
        <is>
          <t>N</t>
        </is>
      </c>
      <c r="O453" s="67" t="n">
        <v>80</v>
      </c>
      <c r="P453" s="67" t="n"/>
      <c r="Q453" s="68" t="n">
        <v>4480</v>
      </c>
      <c r="R453" s="63" t="inlineStr">
        <is>
          <t>derived:price x shares upon listing</t>
        </is>
      </c>
      <c r="S453" s="69" t="n">
        <v>3118.43</v>
      </c>
      <c r="T453" s="70" t="n">
        <v>2.93</v>
      </c>
      <c r="U453" s="71" t="n">
        <v>0</v>
      </c>
      <c r="V453" s="68" t="n">
        <v>480</v>
      </c>
      <c r="W453" s="68" t="n">
        <v>12000000</v>
      </c>
      <c r="X453" s="67" t="n">
        <v>10.71</v>
      </c>
      <c r="Y453" s="63" t="n"/>
      <c r="Z453" s="63" t="n"/>
      <c r="AA453" s="67" t="n">
        <v>5.72</v>
      </c>
      <c r="AB453" s="72" t="n">
        <v>108.8</v>
      </c>
      <c r="AC453" s="66" t="n">
        <v>83.5</v>
      </c>
      <c r="AD453" s="72" t="n">
        <v>-4.21</v>
      </c>
      <c r="AE453" s="63" t="inlineStr">
        <is>
          <t>Y</t>
        </is>
      </c>
      <c r="AF453" s="63" t="inlineStr">
        <is>
          <t>2026-03-31</t>
        </is>
      </c>
      <c r="AG453" s="63" t="n"/>
      <c r="AH453" s="63" t="n"/>
      <c r="AI453" s="63" t="n"/>
      <c r="AJ453" s="63" t="n"/>
      <c r="AK453" s="73" t="n">
        <v>100</v>
      </c>
      <c r="AL453" s="72" t="n">
        <v>112.62</v>
      </c>
      <c r="AM453" s="72" t="n">
        <v>-5.94</v>
      </c>
      <c r="AN453" s="72" t="n">
        <v>226.25</v>
      </c>
      <c r="AO453" s="72" t="n">
        <v>244.75</v>
      </c>
      <c r="AP453" s="72" t="n">
        <v>125</v>
      </c>
      <c r="AQ453" s="72" t="n">
        <v>63.13</v>
      </c>
      <c r="AR453" s="72" t="n">
        <v>72.37</v>
      </c>
      <c r="AS453" s="72" t="n">
        <v>12.5</v>
      </c>
      <c r="AT453" s="72" t="n">
        <v>222.59</v>
      </c>
      <c r="AU453" s="72" t="n">
        <v>239.78</v>
      </c>
      <c r="AV453" s="72" t="n">
        <v>128.75</v>
      </c>
      <c r="AW453" s="72" t="n">
        <v>66.48</v>
      </c>
      <c r="AX453" s="72" t="n">
        <v>4.97</v>
      </c>
      <c r="AY453" s="72" t="n">
        <v>5.89</v>
      </c>
      <c r="AZ453" s="63" t="inlineStr">
        <is>
          <t>HSTECH (Hang Seng TECH ETF)</t>
        </is>
      </c>
      <c r="BA453" s="72" t="n">
        <v>139.5</v>
      </c>
      <c r="BB453" s="64" t="inlineStr">
        <is>
          <t>2026-08-28</t>
        </is>
      </c>
      <c r="BC453" s="65" t="n">
        <v>390.7</v>
      </c>
      <c r="BD453" s="68" t="n">
        <v>-62.5</v>
      </c>
      <c r="BE453" s="63" t="inlineStr">
        <is>
          <t>N</t>
        </is>
      </c>
      <c r="BF453" s="63" t="inlineStr">
        <is>
          <t>n/m</t>
        </is>
      </c>
      <c r="BG453" s="74" t="n"/>
      <c r="BH453" s="74" t="n"/>
      <c r="BI453" s="74" t="n">
        <v>11.5</v>
      </c>
      <c r="BJ453" s="75">
        <f>IF('BBG Verify'!S453="","not filed — run on terminal",'BBG Verify'!S453)</f>
        <v/>
      </c>
      <c r="BK453" s="76" t="inlineStr">
        <is>
          <t>N</t>
        </is>
      </c>
      <c r="BL453" s="77">
        <f>IF('BBG Verify'!K453="","not filed — run on terminal",'BBG Verify'!K453)</f>
        <v/>
      </c>
      <c r="BM453" s="63" t="inlineStr">
        <is>
          <t>N/A</t>
        </is>
      </c>
      <c r="BN453" s="63" t="inlineStr">
        <is>
          <t>N/A</t>
        </is>
      </c>
      <c r="BO453" s="63" t="inlineStr">
        <is>
          <t>N/A</t>
        </is>
      </c>
      <c r="BP453" s="63" t="inlineStr">
        <is>
          <t>N/A</t>
        </is>
      </c>
      <c r="BQ453" s="63" t="inlineStr">
        <is>
          <t>N/A</t>
        </is>
      </c>
      <c r="BR453" s="63" t="inlineStr">
        <is>
          <t>N/A</t>
        </is>
      </c>
      <c r="BS453" s="76" t="inlineStr">
        <is>
          <t>Guotai Junan Capital Limited; Orient Capital (Hong Kong) Limited</t>
        </is>
      </c>
      <c r="BT453" s="63" t="inlineStr">
        <is>
          <t>Guotai Junan Capital Limited; Orient Capital (Hong Kong) Limited</t>
        </is>
      </c>
      <c r="BU453" s="63" t="inlineStr">
        <is>
          <t>Guotai Junan Securities (Hong Kong) Limited; Orient Securities (Hong Kong) Limited; CCB International Capital Limited; ABCI Capital Limited; Futu Securities International (Hong Kong) Limited; Y ellow River Securities Limited; Shenwan Hongyuan Securities (H.K.) Limited; Livermore Holdings Limited; Huafu International Securities Limited; Zheshang International Financial Holdings Co., Limited</t>
        </is>
      </c>
      <c r="BV453" s="63" t="inlineStr">
        <is>
          <t>ABCI Securities Company Limited; CCB International Capital Limited; Futu Securities International (Hong Kong) Limited; Guotai Junan Securities (Hong Kong) Limited; Huafu International Securities Limited; Livermore Holdings Limited; Orient Securities (Hong Kong) Limited; Shenwan Hongyuan Securities (H.K.) Limited; Yuen Meta (International) Securities Limited; Yellow River Securities Limited; Zheshang International Financial Holdings Co., Limited</t>
        </is>
      </c>
      <c r="BW453" s="78">
        <f>HYPERLINK("https://www1.hkexnews.hk/listedco/listconews/sehk/2026/0323/2026032300023.pdf","prospectus")</f>
        <v/>
      </c>
      <c r="BX453" s="78">
        <f>HYPERLINK("https://www1.hkexnews.hk/listedco/listconews/sehk/2026/0330/2026033003564.pdf","allotment")</f>
        <v/>
      </c>
      <c r="BY453" s="63" t="n"/>
      <c r="BZ453" s="76" t="n"/>
      <c r="CA453" s="63" t="inlineStr">
        <is>
          <t>P/E: n/m — loss-making at IPO (use P/S) · greenshoe: end-of-stabilisation notice not located · range low: cap-only pricing — the filing publishes a Maximum Offer Price and no indicative floor · A/H: no A-share listing · cornerstone list: no cornerstone tranche in this deal · stabilising manager: the filing states no stabilising manager will be appointed — a filed fact, not an extraction gap (allotment announcement: 'no stabilizing manager will be appointed' stated in the filing)</t>
        </is>
      </c>
    </row>
    <row r="454" ht="15" customHeight="1">
      <c r="A454" s="62" t="inlineStr">
        <is>
          <t>6656</t>
        </is>
      </c>
      <c r="B454" s="63" t="inlineStr">
        <is>
          <t>SIGENERGY</t>
        </is>
      </c>
      <c r="C454" s="63" t="inlineStr">
        <is>
          <t>思格新能源</t>
        </is>
      </c>
      <c r="D454" s="63" t="inlineStr">
        <is>
          <t>Industrials</t>
        </is>
      </c>
      <c r="E454" s="63" t="inlineStr">
        <is>
          <t>Batteries / energy storage</t>
        </is>
      </c>
      <c r="F454" s="63" t="inlineStr">
        <is>
          <t>New energy and environmental protection</t>
        </is>
      </c>
      <c r="G454" s="63" t="inlineStr">
        <is>
          <t>Standard</t>
        </is>
      </c>
      <c r="H454" s="64" t="n">
        <v>46128</v>
      </c>
      <c r="I454" s="65" t="n">
        <v>4400.7</v>
      </c>
      <c r="J454" s="63" t="inlineStr">
        <is>
          <t>gross (stated)</t>
        </is>
      </c>
      <c r="K454" s="66" t="n"/>
      <c r="L454" s="66" t="n">
        <v>324.2</v>
      </c>
      <c r="M454" s="66" t="n">
        <v>324.2</v>
      </c>
      <c r="N454" s="63" t="inlineStr">
        <is>
          <t>Y</t>
        </is>
      </c>
      <c r="O454" s="67" t="n">
        <v>100</v>
      </c>
      <c r="P454" s="67" t="n"/>
      <c r="Q454" s="68" t="n">
        <v>80011.60000000001</v>
      </c>
      <c r="R454" s="63" t="inlineStr">
        <is>
          <t>prospectus:stated market capitalisation</t>
        </is>
      </c>
      <c r="S454" s="69" t="n">
        <v>1102.05</v>
      </c>
      <c r="T454" s="70" t="n">
        <v>31.2</v>
      </c>
      <c r="U454" s="71" t="n">
        <v>49.6</v>
      </c>
      <c r="V454" s="68" t="n">
        <v>2217.95</v>
      </c>
      <c r="W454" s="68" t="n">
        <v>6841246</v>
      </c>
      <c r="X454" s="67" t="n">
        <v>2.77</v>
      </c>
      <c r="Y454" s="63" t="inlineStr">
        <is>
          <t>3W Fund Management Limited; Aranda Investments Pte. Ltd; AXA Investment Managers UK Limited; Baring Asset Management (Asia) Limited; Charoen Pokphand Robot Limited; CPE Energy Investment Limited; CPIC Investment Management (H.K.) Company Limited; Fullgoal Asset Management (HK) Limited; Fullgoal Fund Management Co., Ltd; Goldman Sachs Asset Management (Hong Kong) Limited; Greenwoods Asset Management Hong Kong Limited; HHLR Advisors, Ltd; Hillhouse Investment Management, Ltd; Huadeng Technology Space Ventures Ltd; ICBC Wealth Management Co., Ltd; Lazurite Hime L.P; Perseverance Asset Management International (Singapore) Pte. Ltd; Scene Cloud Global Limited; Shanghai Lujiazui (Group) Co., Ltd; Tropical Terrain Limited; UBS Asset Management (Singapore) Ltd</t>
        </is>
      </c>
      <c r="Z454" s="63" t="inlineStr">
        <is>
          <t>3w;aranda;axa;baring;charoen;cpe;cpic;fullgoal;goldman;greenwoods;hhlr;hillhouse;huadeng;icbc;lazurite;perseverance;scene;shanghai-lujiazui;tropical;ubs</t>
        </is>
      </c>
      <c r="AA454" s="67" t="n">
        <v>15</v>
      </c>
      <c r="AB454" s="72" t="n"/>
      <c r="AC454" s="66" t="n"/>
      <c r="AD454" s="72" t="n"/>
      <c r="AE454" s="63" t="n"/>
      <c r="AF454" s="63" t="n"/>
      <c r="AG454" s="63" t="inlineStr">
        <is>
          <t>full</t>
        </is>
      </c>
      <c r="AH454" s="63" t="n"/>
      <c r="AI454" s="63" t="inlineStr">
        <is>
          <t>CLSA Limited</t>
        </is>
      </c>
      <c r="AJ454" s="63" t="inlineStr">
        <is>
          <t>CLSA</t>
        </is>
      </c>
      <c r="AK454" s="73" t="n">
        <v>103.42</v>
      </c>
      <c r="AL454" s="72" t="n">
        <v>79.20999999999999</v>
      </c>
      <c r="AM454" s="72" t="n">
        <v>13.51</v>
      </c>
      <c r="AN454" s="72" t="n">
        <v>73.66</v>
      </c>
      <c r="AO454" s="72" t="n">
        <v>64.40000000000001</v>
      </c>
      <c r="AP454" s="72" t="n">
        <v>-14.68</v>
      </c>
      <c r="AQ454" s="72" t="n">
        <v>-14.63</v>
      </c>
      <c r="AR454" s="72" t="n">
        <v>-19.18</v>
      </c>
      <c r="AS454" s="72" t="n">
        <v>-58.06</v>
      </c>
      <c r="AT454" s="72" t="n">
        <v>74.03</v>
      </c>
      <c r="AU454" s="72" t="n">
        <v>66.81</v>
      </c>
      <c r="AV454" s="72" t="n">
        <v>-9.630000000000001</v>
      </c>
      <c r="AW454" s="72" t="n">
        <v>-14.28</v>
      </c>
      <c r="AX454" s="72" t="n">
        <v>-2.41</v>
      </c>
      <c r="AY454" s="72" t="n">
        <v>-4.9</v>
      </c>
      <c r="AZ454" s="63" t="inlineStr">
        <is>
          <t>Hang Seng Commerce &amp; Industry sub-index</t>
        </is>
      </c>
      <c r="BA454" s="72" t="n">
        <v>4.87</v>
      </c>
      <c r="BB454" s="64" t="inlineStr">
        <is>
          <t>2026-08-31</t>
        </is>
      </c>
      <c r="BC454" s="65" t="n">
        <v>9900.6</v>
      </c>
      <c r="BD454" s="68" t="n">
        <v>3210.7</v>
      </c>
      <c r="BE454" s="63" t="inlineStr">
        <is>
          <t>Y</t>
        </is>
      </c>
      <c r="BF454" s="74" t="n">
        <v>24.9</v>
      </c>
      <c r="BG454" s="74" t="n"/>
      <c r="BH454" s="74" t="n"/>
      <c r="BI454" s="74" t="n">
        <v>8.1</v>
      </c>
      <c r="BJ454" s="75">
        <f>IF('BBG Verify'!S454="","not filed — run on terminal",'BBG Verify'!S454)</f>
        <v/>
      </c>
      <c r="BK454" s="76" t="inlineStr">
        <is>
          <t>N</t>
        </is>
      </c>
      <c r="BL454" s="77">
        <f>IF('BBG Verify'!K454="","not filed — run on terminal",'BBG Verify'!K454)</f>
        <v/>
      </c>
      <c r="BM454" s="63" t="inlineStr">
        <is>
          <t>N/A</t>
        </is>
      </c>
      <c r="BN454" s="63" t="inlineStr">
        <is>
          <t>N/A</t>
        </is>
      </c>
      <c r="BO454" s="63" t="inlineStr">
        <is>
          <t>N/A</t>
        </is>
      </c>
      <c r="BP454" s="63" t="inlineStr">
        <is>
          <t>N/A</t>
        </is>
      </c>
      <c r="BQ454" s="63" t="inlineStr">
        <is>
          <t>N/A</t>
        </is>
      </c>
      <c r="BR454" s="63" t="inlineStr">
        <is>
          <t>N/A</t>
        </is>
      </c>
      <c r="BS454" s="76" t="inlineStr">
        <is>
          <t>CITIC Securities (Hong Kong) Limited; BNP Paribas Securities (Asia) Limited</t>
        </is>
      </c>
      <c r="BT454" s="63" t="inlineStr">
        <is>
          <t>CITIC Securities (Hong Kong) Limited; BNP Paribas Securities (Asia) Limited</t>
        </is>
      </c>
      <c r="BU454" s="63" t="inlineStr">
        <is>
          <t>CLSA Limited; BNP Paribas Securities (Asia) Limited; China International Capital Corporation Hong Kong Securities Limited</t>
        </is>
      </c>
      <c r="BV454" s="63" t="inlineStr">
        <is>
          <t>BNP Paribas Securities (Asia) Limited; China International Capital Corporation Hong Kong Securities Limited; CLSA Limited</t>
        </is>
      </c>
      <c r="BW454" s="78">
        <f>HYPERLINK("https://www1.hkexnews.hk/listedco/listconews/sehk/2026/0408/2026040800017.pdf","prospectus")</f>
        <v/>
      </c>
      <c r="BX454" s="78">
        <f>HYPERLINK("https://www1.hkexnews.hk/listedco/listconews/sehk/2026/0415/2026041501574.pdf","allotment")</f>
        <v/>
      </c>
      <c r="BY454" s="78">
        <f>HYPERLINK("https://www1.hkexnews.hk/listedco/listconews/sehk/2026/0513/2026051301292.pdf","stabilisation")</f>
        <v/>
      </c>
      <c r="BZ454" s="76" t="n"/>
      <c r="CA454" s="63" t="inlineStr">
        <is>
          <t>greenshoe: over-allotment outcome already published, and the allotment announcement does not state the stabilisation expiry in a parsable form — the expiry no longer matters once resolved · range low: cap-only pricing — the filing publishes a Maximum Offer Price and no indicative floor · A/H: no A-share listing · grey market: no grey-market headline on file for this deal — AAStocks publishes one per listing but keeps only recent items on the stock's news page, and no public archive of past evening sessions exists; captured from this run onward</t>
        </is>
      </c>
    </row>
    <row r="455" ht="15" customHeight="1">
      <c r="A455" s="62" t="inlineStr">
        <is>
          <t>0068</t>
        </is>
      </c>
      <c r="B455" s="63" t="inlineStr">
        <is>
          <t>MANYCORE TECH</t>
        </is>
      </c>
      <c r="C455" s="63" t="inlineStr">
        <is>
          <t>MANYCORE TECH</t>
        </is>
      </c>
      <c r="D455" s="63" t="inlineStr">
        <is>
          <t>Tech/AI</t>
        </is>
      </c>
      <c r="E455" s="63" t="inlineStr">
        <is>
          <t>SaaS / enterprise software</t>
        </is>
      </c>
      <c r="F455" s="63" t="inlineStr">
        <is>
          <t>Advanced hardware and software</t>
        </is>
      </c>
      <c r="G455" s="63" t="inlineStr">
        <is>
          <t>Standard</t>
        </is>
      </c>
      <c r="H455" s="64" t="n">
        <v>46129</v>
      </c>
      <c r="I455" s="65" t="n">
        <v>1223.9</v>
      </c>
      <c r="J455" s="63" t="inlineStr">
        <is>
          <t>gross (stated)</t>
        </is>
      </c>
      <c r="K455" s="66" t="n"/>
      <c r="L455" s="66" t="n">
        <v>7.62</v>
      </c>
      <c r="M455" s="66" t="n">
        <v>7.62</v>
      </c>
      <c r="N455" s="63" t="inlineStr">
        <is>
          <t>Y</t>
        </is>
      </c>
      <c r="O455" s="67" t="n">
        <v>100</v>
      </c>
      <c r="P455" s="67" t="n"/>
      <c r="Q455" s="68" t="n">
        <v>12376.9</v>
      </c>
      <c r="R455" s="63" t="inlineStr">
        <is>
          <t>aastocks:上市市值 at the struck price</t>
        </is>
      </c>
      <c r="S455" s="69" t="n">
        <v>1590.56</v>
      </c>
      <c r="T455" s="70" t="n">
        <v>14.46</v>
      </c>
      <c r="U455" s="71" t="n">
        <v>37.14</v>
      </c>
      <c r="V455" s="68" t="n">
        <v>769.34</v>
      </c>
      <c r="W455" s="68" t="n">
        <v>100965103</v>
      </c>
      <c r="X455" s="67" t="n">
        <v>6.22</v>
      </c>
      <c r="Y455" s="63" t="inlineStr">
        <is>
          <t>CR Construction Group Holdings Limited; Guohui (HK) Holdings Co., Limited; Hesai Hong Kong Limited; Mirae Asset Securities (HK) Limited; REDWOOD ELITE LIMITED; RIME Capital Limited; Sunshine Life Insurance Corporation Limited; Taikang Life Insurance Co., Ltd</t>
        </is>
      </c>
      <c r="Z455" s="63" t="inlineStr">
        <is>
          <t>cr;guohui;hesai;mirae;redwood;rime;sunshine;taikang</t>
        </is>
      </c>
      <c r="AA455" s="67" t="n">
        <v>15</v>
      </c>
      <c r="AB455" s="72" t="n"/>
      <c r="AC455" s="66" t="n"/>
      <c r="AD455" s="72" t="n"/>
      <c r="AE455" s="63" t="n"/>
      <c r="AF455" s="63" t="n"/>
      <c r="AG455" s="63" t="n"/>
      <c r="AH455" s="63" t="n"/>
      <c r="AI455" s="63" t="inlineStr">
        <is>
          <t>J.P. Morgan Securities</t>
        </is>
      </c>
      <c r="AJ455" s="63" t="inlineStr">
        <is>
          <t>JP Morgan</t>
        </is>
      </c>
      <c r="AK455" s="73" t="n">
        <v>144.09</v>
      </c>
      <c r="AL455" s="72" t="n">
        <v>171.65</v>
      </c>
      <c r="AM455" s="72" t="n">
        <v>-10.15</v>
      </c>
      <c r="AN455" s="72" t="n">
        <v>273.75</v>
      </c>
      <c r="AO455" s="72" t="n">
        <v>142.91</v>
      </c>
      <c r="AP455" s="72" t="n">
        <v>16.54</v>
      </c>
      <c r="AQ455" s="72" t="n">
        <v>53.12</v>
      </c>
      <c r="AR455" s="72" t="n">
        <v>-0.48</v>
      </c>
      <c r="AS455" s="72" t="n">
        <v>-52.26</v>
      </c>
      <c r="AT455" s="72" t="n">
        <v>277.63</v>
      </c>
      <c r="AU455" s="72" t="n">
        <v>147.6</v>
      </c>
      <c r="AV455" s="72" t="n">
        <v>21.99</v>
      </c>
      <c r="AW455" s="72" t="n">
        <v>3.09</v>
      </c>
      <c r="AX455" s="72" t="n">
        <v>-4.69</v>
      </c>
      <c r="AY455" s="72" t="n">
        <v>-3.57</v>
      </c>
      <c r="AZ455" s="63" t="inlineStr">
        <is>
          <t>HSTECH (Hang Seng TECH ETF)</t>
        </is>
      </c>
      <c r="BA455" s="72" t="n">
        <v>13.91</v>
      </c>
      <c r="BB455" s="64" t="inlineStr">
        <is>
          <t>2026-08-28</t>
        </is>
      </c>
      <c r="BC455" s="65" t="n">
        <v>902</v>
      </c>
      <c r="BD455" s="68" t="n">
        <v>-470.7</v>
      </c>
      <c r="BE455" s="63" t="inlineStr">
        <is>
          <t>N</t>
        </is>
      </c>
      <c r="BF455" s="63" t="inlineStr">
        <is>
          <t>n/m</t>
        </is>
      </c>
      <c r="BG455" s="74" t="n"/>
      <c r="BH455" s="74" t="n"/>
      <c r="BI455" s="74" t="n">
        <v>13.7</v>
      </c>
      <c r="BJ455" s="75">
        <f>IF('BBG Verify'!S455="","not filed — run on terminal",'BBG Verify'!S455)</f>
        <v/>
      </c>
      <c r="BK455" s="76" t="inlineStr">
        <is>
          <t>N</t>
        </is>
      </c>
      <c r="BL455" s="77">
        <f>IF('BBG Verify'!K455="","not filed — run on terminal",'BBG Verify'!K455)</f>
        <v/>
      </c>
      <c r="BM455" s="63" t="inlineStr">
        <is>
          <t>N/A</t>
        </is>
      </c>
      <c r="BN455" s="63" t="inlineStr">
        <is>
          <t>N/A</t>
        </is>
      </c>
      <c r="BO455" s="63" t="inlineStr">
        <is>
          <t>N/A</t>
        </is>
      </c>
      <c r="BP455" s="63" t="inlineStr">
        <is>
          <t>N/A</t>
        </is>
      </c>
      <c r="BQ455" s="63" t="inlineStr">
        <is>
          <t>N/A</t>
        </is>
      </c>
      <c r="BR455" s="63" t="inlineStr">
        <is>
          <t>N/A</t>
        </is>
      </c>
      <c r="BS455" s="76" t="n"/>
      <c r="BT455" s="63" t="inlineStr">
        <is>
          <t>CCB International Capital Limited; J.P. Morgan Securities (Far East) Limited</t>
        </is>
      </c>
      <c r="BU455" s="63" t="inlineStr">
        <is>
          <t>ABCI Securities Company Limited; BOCI Asia Limited; CCB International Capital Limited; Futu Securities International (Hong Kong) Limited; J.P. Morgan Securities (Asia Pacific) Limited; Tiger Brokers (HK) Global Limited</t>
        </is>
      </c>
      <c r="BV455" s="63" t="inlineStr">
        <is>
          <t>ABCI Securities Company Limited; BOCI Asia Limited; CCB International Capital Limited; Futu Securities International (Hong Kong) Limited; J.P. Morgan Securities (Asia Pacific) Limited; Tiger Brokers (HK) Global Limited</t>
        </is>
      </c>
      <c r="BW455" s="63" t="n"/>
      <c r="BX455" s="78">
        <f>HYPERLINK("https://www1.hkexnews.hk/listedco/listconews/sehk/2026/0416/2026041601684.pdf","allotment")</f>
        <v/>
      </c>
      <c r="BY455" s="63" t="n"/>
      <c r="BZ455" s="76" t="n"/>
      <c r="CA455" s="63" t="inlineStr">
        <is>
          <t>P/E: n/m — loss-making at IPO (use P/S) · greenshoe: end-of-stabilisation notice not located · price range: fixed-price offering (no indicative range) · range low: cap-only pricing — the filing publishes a Maximum Offer Price and no indicative floor · A/H: no A-share listing · sponsor: English name not in the filing text; AAStocks 保薦人 shown · filing links: no prospectus document returned by the HKEX per-stock search for this code — the allotment announcement is linked beside it · grey market: no grey-market headline on file for this deal — AAStocks publishes one per listing but keeps only recent items on the stock's news page, and no public archive of past evening sessions exists; captured from this run onward</t>
        </is>
      </c>
    </row>
    <row r="456" ht="15" customHeight="1">
      <c r="A456" s="62" t="inlineStr">
        <is>
          <t>3277</t>
        </is>
      </c>
      <c r="B456" s="63" t="inlineStr">
        <is>
          <t>GPIXEL</t>
        </is>
      </c>
      <c r="C456" s="63" t="inlineStr">
        <is>
          <t>長光辰芯</t>
        </is>
      </c>
      <c r="D456" s="63" t="inlineStr">
        <is>
          <t>Tech/AI</t>
        </is>
      </c>
      <c r="E456" s="63" t="inlineStr">
        <is>
          <t>AI chips &amp; semis</t>
        </is>
      </c>
      <c r="F456" s="63" t="inlineStr">
        <is>
          <t>Electronic Equipment &amp; Instruments</t>
        </is>
      </c>
      <c r="G456" s="63" t="inlineStr">
        <is>
          <t>Standard</t>
        </is>
      </c>
      <c r="H456" s="64" t="n">
        <v>46129</v>
      </c>
      <c r="I456" s="65" t="n">
        <v>2603.9</v>
      </c>
      <c r="J456" s="63" t="inlineStr">
        <is>
          <t>gross (stated)</t>
        </is>
      </c>
      <c r="K456" s="66" t="n"/>
      <c r="L456" s="66" t="n">
        <v>39.88</v>
      </c>
      <c r="M456" s="66" t="n">
        <v>39.88</v>
      </c>
      <c r="N456" s="63" t="inlineStr">
        <is>
          <t>Y</t>
        </is>
      </c>
      <c r="O456" s="67" t="n">
        <v>100</v>
      </c>
      <c r="P456" s="67" t="n"/>
      <c r="Q456" s="68" t="n">
        <v>11600</v>
      </c>
      <c r="R456" s="63" t="inlineStr">
        <is>
          <t>prospectus:stated market capitalisation</t>
        </is>
      </c>
      <c r="S456" s="69" t="n">
        <v>1138.21</v>
      </c>
      <c r="T456" s="70" t="n">
        <v>22.69</v>
      </c>
      <c r="U456" s="71" t="n">
        <v>25.3</v>
      </c>
      <c r="V456" s="68" t="n">
        <v>1945.11</v>
      </c>
      <c r="W456" s="68" t="n">
        <v>48774767</v>
      </c>
      <c r="X456" s="67" t="n">
        <v>16.77</v>
      </c>
      <c r="Y456" s="63" t="inlineStr">
        <is>
          <t>3W Fund Management Limited; Arc Avenue Asset Management Pte. Ltd; Boyu Capital Management (Singapore) Pte. Ltd; China Asset Management (Hong Kong) Limited; CPE Peepal Investment Limited; E Fund Management (Hong Kong) Co., Ltd; Eastern Bell Capital VIII Investment Limited; Fullgoal Asset Management (HK) Limited; Fullgoal Fund Management Co., Ltd; GF Fund Management Co., Ltd; GF International Investment Management Limited; Greenwoods Asset Management Hong Kong Limited; HHLR Advisors, Ltd; ICBC Wealth Management Co., Ltd; Mirae Asset Securities (HK) Limited; Panjing Harbourview Investment Fund; Perseverance Asset Management International (Singapore) Pte. Ltd; Protium Capital Limited; Source Code Super Holdings Co; UBS Asset Management (Singapore) Ltd; Value Partners Hong Kong Limited; Voyage42 Master Fund; WT Asset Management Limited</t>
        </is>
      </c>
      <c r="Z456" s="63" t="inlineStr">
        <is>
          <t>3w;arc;boyu;china-asset;cpe;fund-management;eastern-bell;fullgoal;gf;greenwoods;hhlr;icbc;mirae;panjing;perseverance;protium;source;ubs;value;voyage42;wt</t>
        </is>
      </c>
      <c r="AA456" s="67" t="n">
        <v>18.29</v>
      </c>
      <c r="AB456" s="72" t="n">
        <v>71.3</v>
      </c>
      <c r="AC456" s="66" t="n">
        <v>68.3</v>
      </c>
      <c r="AD456" s="72" t="n">
        <v>2.47</v>
      </c>
      <c r="AE456" s="63" t="inlineStr">
        <is>
          <t>Y</t>
        </is>
      </c>
      <c r="AF456" s="63" t="inlineStr">
        <is>
          <t>2026-04-16</t>
        </is>
      </c>
      <c r="AG456" s="63" t="inlineStr">
        <is>
          <t>full</t>
        </is>
      </c>
      <c r="AH456" s="63" t="inlineStr">
        <is>
          <t>2026-05-14</t>
        </is>
      </c>
      <c r="AI456" s="63" t="inlineStr">
        <is>
          <t>CLSA Limited</t>
        </is>
      </c>
      <c r="AJ456" s="63" t="inlineStr">
        <is>
          <t>CLSA</t>
        </is>
      </c>
      <c r="AK456" s="73" t="n">
        <v>75.53</v>
      </c>
      <c r="AL456" s="72" t="n">
        <v>80.54000000000001</v>
      </c>
      <c r="AM456" s="72" t="n">
        <v>-2.78</v>
      </c>
      <c r="AN456" s="72" t="n">
        <v>112.39</v>
      </c>
      <c r="AO456" s="72" t="n">
        <v>107.62</v>
      </c>
      <c r="AP456" s="72" t="n">
        <v>81.42</v>
      </c>
      <c r="AQ456" s="72" t="n">
        <v>21</v>
      </c>
      <c r="AR456" s="72" t="n">
        <v>18.28</v>
      </c>
      <c r="AS456" s="72" t="n">
        <v>3.36</v>
      </c>
      <c r="AT456" s="72" t="n">
        <v>116.27</v>
      </c>
      <c r="AU456" s="72" t="n">
        <v>112.31</v>
      </c>
      <c r="AV456" s="72" t="n">
        <v>86.87</v>
      </c>
      <c r="AW456" s="72" t="n">
        <v>21.85</v>
      </c>
      <c r="AX456" s="72" t="n">
        <v>-4.69</v>
      </c>
      <c r="AY456" s="72" t="n">
        <v>-3.57</v>
      </c>
      <c r="AZ456" s="63" t="inlineStr">
        <is>
          <t>HSTECH (Hang Seng TECH ETF)</t>
        </is>
      </c>
      <c r="BA456" s="72" t="n">
        <v>104.99</v>
      </c>
      <c r="BB456" s="64" t="inlineStr">
        <is>
          <t>2026-08-28</t>
        </is>
      </c>
      <c r="BC456" s="65" t="n">
        <v>942.2</v>
      </c>
      <c r="BD456" s="68" t="n">
        <v>322.5</v>
      </c>
      <c r="BE456" s="63" t="inlineStr">
        <is>
          <t>Y</t>
        </is>
      </c>
      <c r="BF456" s="74" t="n">
        <v>36</v>
      </c>
      <c r="BG456" s="74" t="n"/>
      <c r="BH456" s="74" t="n"/>
      <c r="BI456" s="74" t="n">
        <v>12.3</v>
      </c>
      <c r="BJ456" s="75">
        <f>IF('BBG Verify'!S456="","not filed — run on terminal",'BBG Verify'!S456)</f>
        <v/>
      </c>
      <c r="BK456" s="76" t="inlineStr">
        <is>
          <t>N</t>
        </is>
      </c>
      <c r="BL456" s="77">
        <f>IF('BBG Verify'!K456="","not filed — run on terminal",'BBG Verify'!K456)</f>
        <v/>
      </c>
      <c r="BM456" s="63" t="inlineStr">
        <is>
          <t>N/A</t>
        </is>
      </c>
      <c r="BN456" s="63" t="inlineStr">
        <is>
          <t>N/A</t>
        </is>
      </c>
      <c r="BO456" s="63" t="inlineStr">
        <is>
          <t>N/A</t>
        </is>
      </c>
      <c r="BP456" s="63" t="inlineStr">
        <is>
          <t>N/A</t>
        </is>
      </c>
      <c r="BQ456" s="63" t="inlineStr">
        <is>
          <t>N/A</t>
        </is>
      </c>
      <c r="BR456" s="63" t="inlineStr">
        <is>
          <t>N/A</t>
        </is>
      </c>
      <c r="BS456" s="76" t="inlineStr">
        <is>
          <t>CITIC Securities (Hong Kong) Limited; Guotai Junan Capital Limited</t>
        </is>
      </c>
      <c r="BT456" s="63" t="inlineStr">
        <is>
          <t>CITIC Securities (Hong Kong) Limited; Guotai Junan Capital Limited</t>
        </is>
      </c>
      <c r="BU456" s="63" t="inlineStr">
        <is>
          <t>CLSA Limited; Guotai Junan Securities (Hong Kong) Limited</t>
        </is>
      </c>
      <c r="BV456" s="63" t="inlineStr">
        <is>
          <t>CLSA Limited; Guotai Junan Securities (Hong Kong) Limited</t>
        </is>
      </c>
      <c r="BW456" s="78">
        <f>HYPERLINK("https://www1.hkexnews.hk/listedco/listconews/sehk/2026/0409/2026040900047.pdf","prospectus")</f>
        <v/>
      </c>
      <c r="BX456" s="78">
        <f>HYPERLINK("https://www1.hkexnews.hk/listedco/listconews/sehk/2026/0416/2026041602158.pdf","allotment")</f>
        <v/>
      </c>
      <c r="BY456" s="78">
        <f>HYPERLINK("https://www1.hkexnews.hk/listedco/listconews/sehk/2026/0514/2026051400392.pdf","stabilisation")</f>
        <v/>
      </c>
      <c r="BZ456" s="76" t="n"/>
      <c r="CA456" s="63" t="inlineStr">
        <is>
          <t>range low: cap-only pricing — the filing publishes a Maximum Offer Price and no indicative floor · A/H: no A-share listing · cornerstone: AAStocks institutional table includes non-cornerstone orders (superset) — cornerstone % is from the prospectus</t>
        </is>
      </c>
    </row>
    <row r="457" ht="15" customHeight="1">
      <c r="A457" s="62" t="inlineStr">
        <is>
          <t>2476</t>
        </is>
      </c>
      <c r="B457" s="63" t="inlineStr">
        <is>
          <t>VGT</t>
        </is>
      </c>
      <c r="C457" s="63" t="inlineStr">
        <is>
          <t>勝宏科技</t>
        </is>
      </c>
      <c r="D457" s="63" t="inlineStr">
        <is>
          <t>Tech/AI</t>
        </is>
      </c>
      <c r="E457" s="63" t="inlineStr">
        <is>
          <t>Smart hardware / consumer electronics</t>
        </is>
      </c>
      <c r="F457" s="63" t="inlineStr">
        <is>
          <t>Printed Circuit Boards</t>
        </is>
      </c>
      <c r="G457" s="63" t="inlineStr">
        <is>
          <t>Standard</t>
        </is>
      </c>
      <c r="H457" s="64" t="n">
        <v>46133</v>
      </c>
      <c r="I457" s="65" t="n">
        <v>20117</v>
      </c>
      <c r="J457" s="63" t="inlineStr">
        <is>
          <t>gross (stated)</t>
        </is>
      </c>
      <c r="K457" s="66" t="n"/>
      <c r="L457" s="66" t="n">
        <v>209.88</v>
      </c>
      <c r="M457" s="66" t="n">
        <v>209.88</v>
      </c>
      <c r="N457" s="63" t="inlineStr">
        <is>
          <t>Y</t>
        </is>
      </c>
      <c r="O457" s="67" t="n">
        <v>100</v>
      </c>
      <c r="P457" s="67" t="n"/>
      <c r="Q457" s="68" t="n">
        <v>203202</v>
      </c>
      <c r="R457" s="63" t="inlineStr">
        <is>
          <t>derived:deal size / offer % of enlarged capital</t>
        </is>
      </c>
      <c r="S457" s="69" t="n">
        <v>431.15</v>
      </c>
      <c r="T457" s="70" t="n">
        <v>18.5</v>
      </c>
      <c r="U457" s="71" t="n">
        <v>33.7</v>
      </c>
      <c r="V457" s="68" t="n">
        <v>13337.57</v>
      </c>
      <c r="W457" s="68" t="n">
        <v>63548550</v>
      </c>
      <c r="X457" s="67" t="n">
        <v>6.56</v>
      </c>
      <c r="Y457" s="63" t="inlineStr">
        <is>
          <t>Black Dragon AP SPV1; Bosera Asset Management (International) Co., Limited; CloudAlpha Capital Management Limited; Cloudview Capital Limited; CNCB (Hong Kong) Investment Limited; CPE Rosewood Investment Limited; Deliante Holdings Co., Ltd; Foresight Global Superior Choice SPC; Golden K2 Falcon Open-ended Fund Company; Greenwoods Asset Management Hong Kong Limited; HHLR Advisors, Ltd; Hong Kong Mason Electronics Co., Ltd; HQ TELECOM SINGAPORE PTE. LTD; Huizhou Huilian Investment Partnership (Limited Partnership); Janchor Partners Pan-Asian Master Fund; Jump Trading Pacific Pte. Ltd; Mega Prime Development Limited; Metazone Link (HK) Limited; Mirae Asset Securities (HK) Limited; Morgan Stanley &amp; Co. International plc; Mr. Ye Guofu; MY Asian Opportunities Master Fund, L.P; New Alternative Limited; New Golden Future Limited; Ovata Capital Management Limited</t>
        </is>
      </c>
      <c r="Z457" s="63" t="inlineStr">
        <is>
          <t>black;bosera;cloudalpha;cloudview;cncb;cpe;deliante;foresight;golden-k2;greenwoods;hhlr;mason;hq;huizhou;janchor;jump;mega;metazone;mirae;morgan;mr-ye;my;new-alternative;new-golden;ovata</t>
        </is>
      </c>
      <c r="AA457" s="67" t="n">
        <v>15</v>
      </c>
      <c r="AB457" s="72" t="n"/>
      <c r="AC457" s="66" t="n"/>
      <c r="AD457" s="72" t="n"/>
      <c r="AE457" s="63" t="n"/>
      <c r="AF457" s="63" t="n"/>
      <c r="AG457" s="63" t="inlineStr">
        <is>
          <t>full</t>
        </is>
      </c>
      <c r="AH457" s="63" t="inlineStr">
        <is>
          <t>2026-05-16</t>
        </is>
      </c>
      <c r="AI457" s="63" t="inlineStr">
        <is>
          <t>J.P. Morgan Securities</t>
        </is>
      </c>
      <c r="AJ457" s="63" t="inlineStr">
        <is>
          <t>JP Morgan</t>
        </is>
      </c>
      <c r="AK457" s="73" t="n">
        <v>50.09</v>
      </c>
      <c r="AL457" s="72" t="n">
        <v>57.23</v>
      </c>
      <c r="AM457" s="72" t="n">
        <v>-4.54</v>
      </c>
      <c r="AN457" s="72" t="n">
        <v>42.94</v>
      </c>
      <c r="AO457" s="72" t="n">
        <v>64.95</v>
      </c>
      <c r="AP457" s="72" t="n">
        <v>9.59</v>
      </c>
      <c r="AQ457" s="72" t="n">
        <v>-4.76</v>
      </c>
      <c r="AR457" s="72" t="n">
        <v>9.9</v>
      </c>
      <c r="AS457" s="72" t="n">
        <v>-26.98</v>
      </c>
      <c r="AT457" s="72" t="n">
        <v>47.47</v>
      </c>
      <c r="AU457" s="72" t="n">
        <v>70.65000000000001</v>
      </c>
      <c r="AV457" s="72" t="n">
        <v>16.46</v>
      </c>
      <c r="AW457" s="72" t="n">
        <v>15.71</v>
      </c>
      <c r="AX457" s="72" t="n">
        <v>-5.7</v>
      </c>
      <c r="AY457" s="72" t="n">
        <v>-5.81</v>
      </c>
      <c r="AZ457" s="63" t="inlineStr">
        <is>
          <t>HSTECH (Hang Seng TECH ETF)</t>
        </is>
      </c>
      <c r="BA457" s="72" t="n">
        <v>4.92</v>
      </c>
      <c r="BB457" s="64" t="inlineStr">
        <is>
          <t>2026-08-28</t>
        </is>
      </c>
      <c r="BC457" s="65" t="n">
        <v>21221.5</v>
      </c>
      <c r="BD457" s="68" t="n">
        <v>1269.9</v>
      </c>
      <c r="BE457" s="63" t="inlineStr">
        <is>
          <t>Y</t>
        </is>
      </c>
      <c r="BF457" s="74" t="n">
        <v>160</v>
      </c>
      <c r="BG457" s="74" t="n"/>
      <c r="BH457" s="74" t="n"/>
      <c r="BI457" s="74" t="n">
        <v>9.6</v>
      </c>
      <c r="BJ457" s="75">
        <f>IF('BBG Verify'!S457="","not filed — run on terminal",'BBG Verify'!S457)</f>
        <v/>
      </c>
      <c r="BK457" s="76" t="inlineStr">
        <is>
          <t>Y</t>
        </is>
      </c>
      <c r="BL457" s="63" t="inlineStr">
        <is>
          <t>300476.SZ</t>
        </is>
      </c>
      <c r="BM457" s="72" t="n">
        <v>87.67</v>
      </c>
      <c r="BN457" s="66" t="n">
        <v>393.8878</v>
      </c>
      <c r="BO457" s="80" t="n">
        <v>0.287</v>
      </c>
      <c r="BP457" s="68" t="n">
        <v>278830.8</v>
      </c>
      <c r="BQ457" s="75">
        <f>IF('BBG Verify'!Q457="","run on terminal",'BBG Verify'!Q457)</f>
        <v/>
      </c>
      <c r="BR457" s="75">
        <f>IF('BBG Verify'!R457="","run on terminal",'BBG Verify'!R457)</f>
        <v/>
      </c>
      <c r="BS457" s="76" t="inlineStr">
        <is>
          <t>J.P. Morgan Securities (Far East) Limited; China Securities (International) Corporate Finance Company Limited; GF Capital (Hong Kong) Limited</t>
        </is>
      </c>
      <c r="BT457" s="63" t="inlineStr">
        <is>
          <t>J.P. Morgan Securities (Far East) Limited; GF Capital (Hong Kong) Limited; China Securities (International) Corporate Finance Company Limited</t>
        </is>
      </c>
      <c r="BU457" s="63" t="inlineStr">
        <is>
          <t>ABCI Securities Company Limited; China International Capital Corporation Hong Kong Securities Limited; China Securities (International) Corporate Finance Company Limited; GF Securities (Hong Kong) Brokerage Limited; Huatai Financial Holdings (Hong Kong) Limited; J.P. Morgan Securities (Asia Pacific) Limited</t>
        </is>
      </c>
      <c r="BV457" s="63" t="inlineStr">
        <is>
          <t>ABCI Securities Company Limited; China International Capital Corporation Hong Kong Securities Limited; China Securities (International) Corporate Finance Company Limited; GF Securities (Hong Kong) Brokerage Limited; Huatai Financial Holdings (Hong Kong) Limited; J.P. Morgan Securities (Asia Pacific) Limited</t>
        </is>
      </c>
      <c r="BW457" s="78">
        <f>HYPERLINK("https://www1.hkexnews.hk/listedco/listconews/sehk/2026/0413/2026041300005.pdf","prospectus")</f>
        <v/>
      </c>
      <c r="BX457" s="78">
        <f>HYPERLINK("https://www1.hkexnews.hk/listedco/listconews/sehk/2026/0420/2026042001650.pdf","allotment")</f>
        <v/>
      </c>
      <c r="BY457" s="78">
        <f>HYPERLINK("https://www1.hkexnews.hk/listedco/listconews/sehk/2026/0518/2026051800452.pdf","stabilisation")</f>
        <v/>
      </c>
      <c r="BZ457" s="76" t="n"/>
      <c r="CA457" s="63" t="inlineStr">
        <is>
          <t>range low: cap-only pricing — the filing publishes a Maximum Offer Price and no indicative floor · A/H: Apr 2026, HK$20.1bn (~US$2.57bn); +60% debut — Nvidia AI-PCB supplier · grey market: no grey-market headline on file for this deal — AAStocks publishes one per listing but keeps only recent items on the stock's news page, and no public archive of past evening sessions exists; captured from this run onward</t>
        </is>
      </c>
    </row>
    <row r="458" ht="15" customHeight="1">
      <c r="A458" s="62" t="inlineStr">
        <is>
          <t>3296</t>
        </is>
      </c>
      <c r="B458" s="63" t="inlineStr">
        <is>
          <t>HUAQIN</t>
        </is>
      </c>
      <c r="C458" s="63" t="inlineStr">
        <is>
          <t>華勤技術</t>
        </is>
      </c>
      <c r="D458" s="63" t="inlineStr">
        <is>
          <t>Tech/AI</t>
        </is>
      </c>
      <c r="E458" s="63" t="inlineStr">
        <is>
          <t>Smart hardware / consumer electronics</t>
        </is>
      </c>
      <c r="F458" s="63" t="inlineStr">
        <is>
          <t>Telecommunications &amp; Networking Equipment</t>
        </is>
      </c>
      <c r="G458" s="63" t="inlineStr">
        <is>
          <t>Standard</t>
        </is>
      </c>
      <c r="H458" s="64" t="n">
        <v>46135</v>
      </c>
      <c r="I458" s="65" t="n">
        <v>4549.2</v>
      </c>
      <c r="J458" s="63" t="inlineStr">
        <is>
          <t>gross (stated)</t>
        </is>
      </c>
      <c r="K458" s="66" t="n"/>
      <c r="L458" s="66" t="n">
        <v>77.7</v>
      </c>
      <c r="M458" s="66" t="n">
        <v>77.7</v>
      </c>
      <c r="N458" s="63" t="inlineStr">
        <is>
          <t>Y</t>
        </is>
      </c>
      <c r="O458" s="67" t="n">
        <v>100</v>
      </c>
      <c r="P458" s="67" t="n"/>
      <c r="Q458" s="68" t="n">
        <v>83471.60000000001</v>
      </c>
      <c r="R458" s="63" t="inlineStr">
        <is>
          <t>derived:price x shares upon listing</t>
        </is>
      </c>
      <c r="S458" s="69" t="n">
        <v>531.33</v>
      </c>
      <c r="T458" s="70" t="n">
        <v>13.34</v>
      </c>
      <c r="U458" s="71" t="n">
        <v>49.7</v>
      </c>
      <c r="V458" s="68" t="n">
        <v>2288.25</v>
      </c>
      <c r="W458" s="68" t="n">
        <v>29449745</v>
      </c>
      <c r="X458" s="67" t="n">
        <v>2.74</v>
      </c>
      <c r="Y458" s="63" t="inlineStr">
        <is>
          <t>3W Fund Management Limited; Aurora SF; Awinic Technology Limited; CICC Financial Trading Limited; Cloud Map Holdings Limited; Everbright Wealth Management Co., Ltd; Green Better; Hongxing International Technology Limited; Ingenic Semiconductor (HongKong) Group Limited; IvyRock Asset Management (HK) Limited; Jinyi Capital Multi-Strategy Fund SPC Ltd; JPMorgan Asset Management (Asia Pacific) Limited; Kingboard Investments Limited; New China Asset Management (Hong Kong) Limited; Perseverance Asset Management International (Singapore) Pte. Ltd; Taikang Life Insurance Co., Ltd; UBS Asset Management (Singapore) Ltd</t>
        </is>
      </c>
      <c r="Z458" s="63" t="inlineStr">
        <is>
          <t>3w;aurora;awinic;china-international;cloud;everbright;green;hongxing;ingenic;ivyrock;jinyi;jpmorgan;kingboard;new;perseverance;taikang;ubs</t>
        </is>
      </c>
      <c r="AA458" s="67" t="n">
        <v>15</v>
      </c>
      <c r="AB458" s="72" t="n"/>
      <c r="AC458" s="66" t="n"/>
      <c r="AD458" s="72" t="n"/>
      <c r="AE458" s="63" t="n"/>
      <c r="AF458" s="63" t="n"/>
      <c r="AG458" s="63" t="inlineStr">
        <is>
          <t>full</t>
        </is>
      </c>
      <c r="AH458" s="63" t="inlineStr">
        <is>
          <t>2026-05-20</t>
        </is>
      </c>
      <c r="AI458" s="63" t="inlineStr">
        <is>
          <t>China International Capital Corporation Hong Kong Securities Limited</t>
        </is>
      </c>
      <c r="AJ458" s="63" t="inlineStr">
        <is>
          <t>China International</t>
        </is>
      </c>
      <c r="AK458" s="73" t="n">
        <v>13.26</v>
      </c>
      <c r="AL458" s="72" t="n">
        <v>12.68</v>
      </c>
      <c r="AM458" s="72" t="n">
        <v>0.51</v>
      </c>
      <c r="AN458" s="72" t="n">
        <v>17.12</v>
      </c>
      <c r="AO458" s="72" t="n">
        <v>52.16</v>
      </c>
      <c r="AP458" s="72" t="n">
        <v>21.17</v>
      </c>
      <c r="AQ458" s="72" t="n">
        <v>3.41</v>
      </c>
      <c r="AR458" s="72" t="n">
        <v>34.35</v>
      </c>
      <c r="AS458" s="72" t="n">
        <v>6.98</v>
      </c>
      <c r="AT458" s="72" t="n">
        <v>18.81</v>
      </c>
      <c r="AU458" s="72" t="n">
        <v>52.53</v>
      </c>
      <c r="AV458" s="72" t="n">
        <v>26.15</v>
      </c>
      <c r="AW458" s="72" t="n">
        <v>32.62</v>
      </c>
      <c r="AX458" s="72" t="n">
        <v>-0.37</v>
      </c>
      <c r="AY458" s="72" t="n">
        <v>1.73</v>
      </c>
      <c r="AZ458" s="63" t="inlineStr">
        <is>
          <t>HSTECH (Hang Seng TECH ETF)</t>
        </is>
      </c>
      <c r="BA458" s="72" t="n">
        <v>41.62</v>
      </c>
      <c r="BB458" s="64" t="inlineStr">
        <is>
          <t>2026-08-31</t>
        </is>
      </c>
      <c r="BC458" s="65" t="n">
        <v>188580.6</v>
      </c>
      <c r="BD458" s="68" t="n">
        <v>4544.7</v>
      </c>
      <c r="BE458" s="63" t="inlineStr">
        <is>
          <t>Y</t>
        </is>
      </c>
      <c r="BF458" s="74" t="n">
        <v>18.4</v>
      </c>
      <c r="BG458" s="74" t="n">
        <v>19.2</v>
      </c>
      <c r="BH458" s="74" t="n">
        <v>23.6</v>
      </c>
      <c r="BI458" s="74" t="n">
        <v>0.4</v>
      </c>
      <c r="BJ458" s="75">
        <f>IF('BBG Verify'!S458="","not filed — run on terminal",'BBG Verify'!S458)</f>
        <v/>
      </c>
      <c r="BK458" s="76" t="inlineStr">
        <is>
          <t>Y</t>
        </is>
      </c>
      <c r="BL458" s="63" t="inlineStr">
        <is>
          <t>603296.SS</t>
        </is>
      </c>
      <c r="BM458" s="72" t="n">
        <v>55.23</v>
      </c>
      <c r="BN458" s="66" t="n">
        <v>120.6149</v>
      </c>
      <c r="BO458" s="80" t="n">
        <v>0.2101</v>
      </c>
      <c r="BP458" s="68" t="n">
        <v>144333.9</v>
      </c>
      <c r="BQ458" s="75">
        <f>IF('BBG Verify'!Q458="","run on terminal",'BBG Verify'!Q458)</f>
        <v/>
      </c>
      <c r="BR458" s="75">
        <f>IF('BBG Verify'!R458="","run on terminal",'BBG Verify'!R458)</f>
        <v/>
      </c>
      <c r="BS458" s="76" t="inlineStr">
        <is>
          <t>CICC; BofA Securities</t>
        </is>
      </c>
      <c r="BT458" s="63" t="inlineStr">
        <is>
          <t>China International Capital Corporation Hong Kong Securities Limited; Merrill Lynch (Asia Pacific) Limited</t>
        </is>
      </c>
      <c r="BU458" s="63" t="inlineStr">
        <is>
          <t>ABCI Capital Limited; Tiger Brokers (HK) Global Limited</t>
        </is>
      </c>
      <c r="BV458" s="63" t="inlineStr">
        <is>
          <t>ABCI Securities Company Limited; China International Capital Corporation Hong Kong Securities Limited; CLSA Limited; Futu Securities International (Hong Kong) Limited; Goldman Sachs (Asia) L.L.C.; Merrill Lynch (Asia Pacific) Limited; Tiger Brokers (HK) Global Limited</t>
        </is>
      </c>
      <c r="BW458" s="78">
        <f>HYPERLINK("https://www1.hkexnews.hk/listedco/listconews/sehk/2026/0415/2026041500011.pdf","prospectus")</f>
        <v/>
      </c>
      <c r="BX458" s="78">
        <f>HYPERLINK("https://www1.hkexnews.hk/listedco/listconews/sehk/2026/0422/2026042202072.pdf","allotment")</f>
        <v/>
      </c>
      <c r="BY458" s="78">
        <f>HYPERLINK("https://www1.hkexnews.hk/listedco/listconews/sehk/2026/0520/2026052001304.pdf","stabilisation")</f>
        <v/>
      </c>
      <c r="BZ458" s="76" t="n"/>
      <c r="CA458" s="63" t="inlineStr">
        <is>
          <t>range low: cap-only pricing — the filing publishes a Maximum Offer Price and no indicative floor · A/H: Apr 2026 H listing (smart-hardware ODM) · grey market: no grey-market headline on file for this deal — AAStocks publishes one per listing but keeps only recent items on the stock's news page, and no public archive of past evening sessions exists; captured from this run onward</t>
        </is>
      </c>
    </row>
    <row r="459" ht="15" customHeight="1">
      <c r="A459" s="62" t="inlineStr">
        <is>
          <t>2493</t>
        </is>
      </c>
      <c r="B459" s="63" t="inlineStr">
        <is>
          <t>MABWELL-B</t>
        </is>
      </c>
      <c r="C459" s="63" t="inlineStr">
        <is>
          <t>邁威生物－Ｂ</t>
        </is>
      </c>
      <c r="D459" s="63" t="inlineStr">
        <is>
          <t>Healthcare</t>
        </is>
      </c>
      <c r="E459" s="63" t="inlineStr">
        <is>
          <t>Biotech pre-revenue (18A)</t>
        </is>
      </c>
      <c r="F459" s="63" t="inlineStr">
        <is>
          <t>Biotechnology - Pharmaceuticals</t>
        </is>
      </c>
      <c r="G459" s="63" t="inlineStr">
        <is>
          <t>18A</t>
        </is>
      </c>
      <c r="H459" s="64" t="n">
        <v>46140</v>
      </c>
      <c r="I459" s="65" t="n">
        <v>1302.7</v>
      </c>
      <c r="J459" s="63" t="inlineStr">
        <is>
          <t>gross (price x shares)</t>
        </is>
      </c>
      <c r="K459" s="66" t="n">
        <v>27.64</v>
      </c>
      <c r="L459" s="66" t="n">
        <v>30.71</v>
      </c>
      <c r="M459" s="66" t="n">
        <v>27.64</v>
      </c>
      <c r="N459" s="63" t="inlineStr">
        <is>
          <t>N</t>
        </is>
      </c>
      <c r="O459" s="67" t="n">
        <v>90</v>
      </c>
      <c r="P459" s="67" t="n">
        <v>0</v>
      </c>
      <c r="Q459" s="68" t="n">
        <v>12347.6</v>
      </c>
      <c r="R459" s="63" t="inlineStr">
        <is>
          <t>derived:price x shares upon listing</t>
        </is>
      </c>
      <c r="S459" s="69" t="n">
        <v>481.71</v>
      </c>
      <c r="T459" s="70" t="n">
        <v>3.46</v>
      </c>
      <c r="U459" s="71" t="n">
        <v>31.7</v>
      </c>
      <c r="V459" s="68" t="n">
        <v>889.74</v>
      </c>
      <c r="W459" s="68" t="n">
        <v>32189927</v>
      </c>
      <c r="X459" s="67" t="n">
        <v>7.21</v>
      </c>
      <c r="Y459" s="63" t="inlineStr">
        <is>
          <t>Charm Harvest International Limited; Guohui (HK) Holdings Co., Limited; Junshi Hong Kong Limited; Sanjin International CO., LTD; Splendid Zhonghe (Tianjin) Investment Management Co., Ltd; WuXi Biologics HealthCare Venture</t>
        </is>
      </c>
      <c r="Z459" s="63" t="inlineStr">
        <is>
          <t>charm;guohui;junshi;sanjin;splendid;wuxi</t>
        </is>
      </c>
      <c r="AA459" s="67" t="n"/>
      <c r="AB459" s="72" t="n">
        <v>3.1</v>
      </c>
      <c r="AC459" s="66" t="n">
        <v>28.5</v>
      </c>
      <c r="AD459" s="72" t="n">
        <v>-2.44</v>
      </c>
      <c r="AE459" s="63" t="inlineStr">
        <is>
          <t>Y</t>
        </is>
      </c>
      <c r="AF459" s="63" t="inlineStr">
        <is>
          <t>2026-04-27</t>
        </is>
      </c>
      <c r="AG459" s="63" t="n"/>
      <c r="AH459" s="63" t="n"/>
      <c r="AI459" s="63" t="n"/>
      <c r="AJ459" s="63" t="n"/>
      <c r="AK459" s="73" t="n">
        <v>0.58</v>
      </c>
      <c r="AL459" s="72" t="n">
        <v>2.39</v>
      </c>
      <c r="AM459" s="72" t="n">
        <v>-1.77</v>
      </c>
      <c r="AN459" s="72" t="n">
        <v>-2.03</v>
      </c>
      <c r="AO459" s="72" t="n">
        <v>-17.58</v>
      </c>
      <c r="AP459" s="72" t="n">
        <v>-24.17</v>
      </c>
      <c r="AQ459" s="72" t="n">
        <v>-2.59</v>
      </c>
      <c r="AR459" s="72" t="n">
        <v>-18.06</v>
      </c>
      <c r="AS459" s="72" t="n">
        <v>-24.61</v>
      </c>
      <c r="AT459" s="72" t="n">
        <v>-2.78</v>
      </c>
      <c r="AU459" s="72" t="n">
        <v>-11.23</v>
      </c>
      <c r="AV459" s="72" t="n">
        <v>-23.18</v>
      </c>
      <c r="AW459" s="72" t="n">
        <v>-10.99</v>
      </c>
      <c r="AX459" s="72" t="n">
        <v>-6.35</v>
      </c>
      <c r="AY459" s="72" t="n">
        <v>-7.07</v>
      </c>
      <c r="AZ459" s="63" t="inlineStr">
        <is>
          <t>China Biotech ETF (HS biotech proxy)</t>
        </is>
      </c>
      <c r="BA459" s="72" t="n">
        <v>-21.49</v>
      </c>
      <c r="BB459" s="64" t="inlineStr">
        <is>
          <t>2026-08-28</t>
        </is>
      </c>
      <c r="BC459" s="65" t="n">
        <v>724.6</v>
      </c>
      <c r="BD459" s="68" t="n">
        <v>-1069.5</v>
      </c>
      <c r="BE459" s="63" t="inlineStr">
        <is>
          <t>N</t>
        </is>
      </c>
      <c r="BF459" s="63" t="inlineStr">
        <is>
          <t>n/m</t>
        </is>
      </c>
      <c r="BG459" s="74" t="n"/>
      <c r="BH459" s="74" t="n"/>
      <c r="BI459" s="74" t="n">
        <v>17</v>
      </c>
      <c r="BJ459" s="75">
        <f>IF('BBG Verify'!S459="","not filed — run on terminal",'BBG Verify'!S459)</f>
        <v/>
      </c>
      <c r="BK459" s="76" t="inlineStr">
        <is>
          <t>Y</t>
        </is>
      </c>
      <c r="BL459" s="63" t="inlineStr">
        <is>
          <t>688062.SS</t>
        </is>
      </c>
      <c r="BM459" s="72" t="n">
        <v>53.53</v>
      </c>
      <c r="BN459" s="66" t="n">
        <v>42.4365</v>
      </c>
      <c r="BO459" s="80" t="n">
        <v>0.5952</v>
      </c>
      <c r="BP459" s="68" t="n">
        <v>14773</v>
      </c>
      <c r="BQ459" s="75">
        <f>IF('BBG Verify'!Q459="","run on terminal",'BBG Verify'!Q459)</f>
        <v/>
      </c>
      <c r="BR459" s="75">
        <f>IF('BBG Verify'!R459="","run on terminal",'BBG Verify'!R459)</f>
        <v/>
      </c>
      <c r="BS459" s="76" t="inlineStr">
        <is>
          <t>CITIC Securities (Hong Kong) Limited; Haitong International Capital Limited</t>
        </is>
      </c>
      <c r="BT459" s="63" t="inlineStr">
        <is>
          <t>Haitong International Capital Limited; CITIC Securities (Hong Kong) Limited</t>
        </is>
      </c>
      <c r="BU459" s="63" t="inlineStr">
        <is>
          <t>CLSA Limited; Haitong International Securities Company Limited; CMB International Capital Limited; ABCI Capital Limited</t>
        </is>
      </c>
      <c r="BV459" s="63" t="inlineStr">
        <is>
          <t>ABCI Securities Company Limited; Bowlea Securities Limited; CCB International Capital Limited; China Industrial Securities International Capital Limited; CLSA Limited; CMB International Capital Limited; Futu Securities International (Hong Kong) Limited; Guosen Securities (HK) Brokerage Company, Limited; Haitong International Securities Company Limited</t>
        </is>
      </c>
      <c r="BW459" s="78">
        <f>HYPERLINK("https://www1.hkexnews.hk/listedco/listconews/sehk/2026/0420/2026042000011.pdf","prospectus")</f>
        <v/>
      </c>
      <c r="BX459" s="78">
        <f>HYPERLINK("https://www1.hkexnews.hk/listedco/listconews/sehk/2026/0427/2026042703128.pdf","allotment")</f>
        <v/>
      </c>
      <c r="BY459" s="63" t="n"/>
      <c r="BZ459" s="76" t="n"/>
      <c r="CA459" s="63" t="inlineStr">
        <is>
          <t>P/E: n/m — loss-making at IPO (use P/S) · greenshoe: no over-allotment option in the offer structure · A/H: Apr 2026 H listing (ADC biotech); A+H on STAR · greenshoe size: no over-allotment option in the offer structure · stabilising manager: no over-allotment option in the offer structure, so no stabilising manager is appointed</t>
        </is>
      </c>
    </row>
    <row r="460" ht="15" customHeight="1">
      <c r="A460" s="62" t="inlineStr">
        <is>
          <t>1879</t>
        </is>
      </c>
      <c r="B460" s="63" t="inlineStr">
        <is>
          <t>XIZHI TECH-P</t>
        </is>
      </c>
      <c r="C460" s="63" t="inlineStr">
        <is>
          <t>曦智科技－Ｐ</t>
        </is>
      </c>
      <c r="D460" s="63" t="inlineStr">
        <is>
          <t>Tech/AI</t>
        </is>
      </c>
      <c r="E460" s="63" t="inlineStr">
        <is>
          <t>AI application / agent software</t>
        </is>
      </c>
      <c r="F460" s="63" t="inlineStr">
        <is>
          <t>Advanced hardware and software</t>
        </is>
      </c>
      <c r="G460" s="63" t="inlineStr">
        <is>
          <t>18C</t>
        </is>
      </c>
      <c r="H460" s="64" t="n">
        <v>46140</v>
      </c>
      <c r="I460" s="65" t="n">
        <v>2527.3</v>
      </c>
      <c r="J460" s="63" t="inlineStr">
        <is>
          <t>gross (stated)</t>
        </is>
      </c>
      <c r="K460" s="66" t="n"/>
      <c r="L460" s="66" t="n">
        <v>183.2</v>
      </c>
      <c r="M460" s="66" t="n">
        <v>183.2</v>
      </c>
      <c r="N460" s="63" t="inlineStr">
        <is>
          <t>Y</t>
        </is>
      </c>
      <c r="O460" s="67" t="n">
        <v>100</v>
      </c>
      <c r="P460" s="67" t="n"/>
      <c r="Q460" s="68" t="n">
        <v>16447.1</v>
      </c>
      <c r="R460" s="63" t="inlineStr">
        <is>
          <t>aastocks:上市市值 at the struck price</t>
        </is>
      </c>
      <c r="S460" s="69" t="n">
        <v>5784.7</v>
      </c>
      <c r="T460" s="70" t="n">
        <v>53.83</v>
      </c>
      <c r="U460" s="71" t="n">
        <v>65.06</v>
      </c>
      <c r="V460" s="68" t="n">
        <v>883.04</v>
      </c>
      <c r="W460" s="68" t="n">
        <v>4820048</v>
      </c>
      <c r="X460" s="67" t="n">
        <v>5.37</v>
      </c>
      <c r="Y460" s="63" t="inlineStr">
        <is>
          <t>3W Fund Management Limited; Alibaba Investment Limited; Aspex Master Fund; Baillie Gifford Overseas Limited及Baillie Gifford &amp; Co; BlackRock, Inc; CPE Fir Investment Limited; FIL Investment Management (Hong Kong) Limited; GF Management Co., Ltd; GIC Private Limited; Greenwoods Asset Management Hong Kong Limited; HHLR Advisors, Ltd; ICBC Wealth Management Co., Ltd; Lenovo Group Limited; Mirae Asset Securities (HK) Limited; Ping An of China Asset Management (Hong Kong) Company Limited; Schroder Investment Management (Singapore) Ltd; Shanghai CM Digital Transformation Investment Fund, L.P; UBS Asset Management (Singapore) Ltd; ZTE (H.K.) Limited</t>
        </is>
      </c>
      <c r="Z460" s="63" t="inlineStr">
        <is>
          <t>3w;alibaba;aspex;baillie;blackrock;cpe;fil;gf;gic;greenwoods;hhlr;icbc;lenovo;mirae;ping;schroder;shanghai-cm;ubs;zte</t>
        </is>
      </c>
      <c r="AA460" s="67" t="n">
        <v>15</v>
      </c>
      <c r="AB460" s="72" t="n"/>
      <c r="AC460" s="66" t="n"/>
      <c r="AD460" s="72" t="n"/>
      <c r="AE460" s="63" t="n"/>
      <c r="AF460" s="63" t="n"/>
      <c r="AG460" s="63" t="n"/>
      <c r="AH460" s="63" t="inlineStr">
        <is>
          <t>2026-05-23</t>
        </is>
      </c>
      <c r="AI460" s="63" t="inlineStr">
        <is>
          <t>China International Capital Corporation Hong Kong Securities Limited</t>
        </is>
      </c>
      <c r="AJ460" s="63" t="inlineStr">
        <is>
          <t>China International</t>
        </is>
      </c>
      <c r="AK460" s="73" t="n">
        <v>383.62</v>
      </c>
      <c r="AL460" s="72" t="n">
        <v>380.35</v>
      </c>
      <c r="AM460" s="72" t="n">
        <v>0.68</v>
      </c>
      <c r="AN460" s="72" t="n">
        <v>384.99</v>
      </c>
      <c r="AO460" s="72" t="n">
        <v>236.24</v>
      </c>
      <c r="AP460" s="72" t="n">
        <v>27.29</v>
      </c>
      <c r="AQ460" s="72" t="n">
        <v>0.28</v>
      </c>
      <c r="AR460" s="72" t="n">
        <v>-30.47</v>
      </c>
      <c r="AS460" s="72" t="n">
        <v>-73.68000000000001</v>
      </c>
      <c r="AT460" s="72" t="n">
        <v>384.16</v>
      </c>
      <c r="AU460" s="72" t="n">
        <v>237.19</v>
      </c>
      <c r="AV460" s="72" t="n">
        <v>29.61</v>
      </c>
      <c r="AW460" s="72" t="n">
        <v>-31.7</v>
      </c>
      <c r="AX460" s="72" t="n">
        <v>-0.95</v>
      </c>
      <c r="AY460" s="72" t="n">
        <v>1.23</v>
      </c>
      <c r="AZ460" s="63" t="inlineStr">
        <is>
          <t>HSTECH (Hang Seng TECH ETF)</t>
        </is>
      </c>
      <c r="BA460" s="72" t="n">
        <v>70.63</v>
      </c>
      <c r="BB460" s="64" t="inlineStr">
        <is>
          <t>2026-08-28</t>
        </is>
      </c>
      <c r="BC460" s="65" t="n">
        <v>117</v>
      </c>
      <c r="BD460" s="68" t="n">
        <v>-1476.6</v>
      </c>
      <c r="BE460" s="63" t="inlineStr">
        <is>
          <t>N</t>
        </is>
      </c>
      <c r="BF460" s="63" t="inlineStr">
        <is>
          <t>n/m</t>
        </is>
      </c>
      <c r="BG460" s="74" t="n"/>
      <c r="BH460" s="74" t="n"/>
      <c r="BI460" s="74" t="n">
        <v>140.6</v>
      </c>
      <c r="BJ460" s="75">
        <f>IF('BBG Verify'!S460="","not filed — run on terminal",'BBG Verify'!S460)</f>
        <v/>
      </c>
      <c r="BK460" s="76" t="inlineStr">
        <is>
          <t>N</t>
        </is>
      </c>
      <c r="BL460" s="77">
        <f>IF('BBG Verify'!K460="","not filed — run on terminal",'BBG Verify'!K460)</f>
        <v/>
      </c>
      <c r="BM460" s="63" t="inlineStr">
        <is>
          <t>N/A</t>
        </is>
      </c>
      <c r="BN460" s="63" t="inlineStr">
        <is>
          <t>N/A</t>
        </is>
      </c>
      <c r="BO460" s="63" t="inlineStr">
        <is>
          <t>N/A</t>
        </is>
      </c>
      <c r="BP460" s="63" t="inlineStr">
        <is>
          <t>N/A</t>
        </is>
      </c>
      <c r="BQ460" s="63" t="inlineStr">
        <is>
          <t>N/A</t>
        </is>
      </c>
      <c r="BR460" s="63" t="inlineStr">
        <is>
          <t>N/A</t>
        </is>
      </c>
      <c r="BS460" s="76" t="n"/>
      <c r="BT460" s="63" t="inlineStr">
        <is>
          <t>China International Capital Corporation Hong Kong Securities Limited; Haitong International Capital Limited</t>
        </is>
      </c>
      <c r="BU460" s="63" t="inlineStr">
        <is>
          <t>China International Capital Corporation Hong Kong Securities Limited; Futu Securities International (Hong Kong) Limited; Haitong International Securities Company Limited; The Hongkong and Shanghai Banking Corporation Limited; Shenwan Hongyuan Securities (H.K.) Limited</t>
        </is>
      </c>
      <c r="BV460" s="63" t="inlineStr">
        <is>
          <t>China International Capital Corporation Hong Kong Securities Limited; Futu Securities International (Hong Kong) Limited; Haitong International Securities Company Limited; The Hongkong and Shanghai Banking Corporation Limited; Shenwan Hongyuan Securities (H.K.) Limited</t>
        </is>
      </c>
      <c r="BW460" s="63" t="n"/>
      <c r="BX460" s="78">
        <f>HYPERLINK("https://www1.hkexnews.hk/listedco/listconews/sehk/2026/0427/2026042703526.pdf","allotment")</f>
        <v/>
      </c>
      <c r="BY460" s="63" t="n"/>
      <c r="BZ460" s="76" t="n"/>
      <c r="CA460" s="63" t="inlineStr">
        <is>
          <t>P/E: n/m — loss-making at IPO (use P/S) · greenshoe: end-of-stabilisation notice not located · price range: fixed-price offering (no indicative range) · range low: cap-only pricing — the filing publishes a Maximum Offer Price and no indicative floor · A/H: no A-share listing · sponsor: English name not in the filing text; AAStocks 保薦人 shown · filing links: no prospectus document returned by the HKEX per-stock search for this code — the allotment announcement is linked beside it · grey market: no grey-market headline on file for this deal — AAStocks publishes one per listing but keeps only recent items on the stock's news page, and no public archive of past evening sessions exists; captured from this run onward</t>
        </is>
      </c>
    </row>
    <row r="461" ht="15" customHeight="1">
      <c r="A461" s="62" t="inlineStr">
        <is>
          <t>6810</t>
        </is>
      </c>
      <c r="B461" s="63" t="inlineStr">
        <is>
          <t>SUNMI TECH-W</t>
        </is>
      </c>
      <c r="C461" s="63" t="inlineStr">
        <is>
          <t>商米科技－Ｗ</t>
        </is>
      </c>
      <c r="D461" s="63" t="inlineStr">
        <is>
          <t>Tech/AI</t>
        </is>
      </c>
      <c r="E461" s="63" t="inlineStr">
        <is>
          <t>Smart hardware / consumer electronics</t>
        </is>
      </c>
      <c r="F461" s="63" t="inlineStr">
        <is>
          <t>Computer Storage &amp; Peripherals</t>
        </is>
      </c>
      <c r="G461" s="63" t="inlineStr">
        <is>
          <t>WVR</t>
        </is>
      </c>
      <c r="H461" s="64" t="n">
        <v>46141</v>
      </c>
      <c r="I461" s="65" t="n">
        <v>1059.7</v>
      </c>
      <c r="J461" s="63" t="inlineStr">
        <is>
          <t>gross (stated)</t>
        </is>
      </c>
      <c r="K461" s="66" t="n"/>
      <c r="L461" s="66" t="n">
        <v>24.86</v>
      </c>
      <c r="M461" s="66" t="n">
        <v>24.86</v>
      </c>
      <c r="N461" s="63" t="inlineStr">
        <is>
          <t>Y</t>
        </is>
      </c>
      <c r="O461" s="67" t="n">
        <v>100</v>
      </c>
      <c r="P461" s="67" t="n"/>
      <c r="Q461" s="68" t="n">
        <v>10009.3</v>
      </c>
      <c r="R461" s="63" t="inlineStr">
        <is>
          <t>derived:price x shares upon listing</t>
        </is>
      </c>
      <c r="S461" s="69" t="n">
        <v>2003.16</v>
      </c>
      <c r="T461" s="70" t="n">
        <v>7.91</v>
      </c>
      <c r="U461" s="71" t="n">
        <v>26.9</v>
      </c>
      <c r="V461" s="68" t="n">
        <v>774.64</v>
      </c>
      <c r="W461" s="68" t="n">
        <v>31160191</v>
      </c>
      <c r="X461" s="67" t="n">
        <v>7.74</v>
      </c>
      <c r="Y461" s="63" t="inlineStr">
        <is>
          <t>XINWUTANG CO., LIMITED</t>
        </is>
      </c>
      <c r="Z461" s="63" t="inlineStr">
        <is>
          <t>xinwutang</t>
        </is>
      </c>
      <c r="AA461" s="67" t="n">
        <v>15</v>
      </c>
      <c r="AB461" s="72" t="n">
        <v>282.1</v>
      </c>
      <c r="AC461" s="66" t="n">
        <v>95</v>
      </c>
      <c r="AD461" s="72" t="n">
        <v>-10.73</v>
      </c>
      <c r="AE461" s="63" t="inlineStr">
        <is>
          <t>Y</t>
        </is>
      </c>
      <c r="AF461" s="63" t="inlineStr">
        <is>
          <t>2026-04-29</t>
        </is>
      </c>
      <c r="AG461" s="63" t="n"/>
      <c r="AH461" s="63" t="n"/>
      <c r="AI461" s="63" t="n"/>
      <c r="AJ461" s="63" t="n"/>
      <c r="AK461" s="73" t="n">
        <v>241.11</v>
      </c>
      <c r="AL461" s="72" t="n">
        <v>292.2</v>
      </c>
      <c r="AM461" s="72" t="n">
        <v>-13.03</v>
      </c>
      <c r="AN461" s="72" t="n">
        <v>216.57</v>
      </c>
      <c r="AO461" s="72" t="n">
        <v>201.49</v>
      </c>
      <c r="AP461" s="72" t="n">
        <v>136.73</v>
      </c>
      <c r="AQ461" s="72" t="n">
        <v>-7.19</v>
      </c>
      <c r="AR461" s="72" t="n">
        <v>-11.62</v>
      </c>
      <c r="AS461" s="72" t="n">
        <v>-30.6</v>
      </c>
      <c r="AT461" s="72" t="n">
        <v>210.56</v>
      </c>
      <c r="AU461" s="72" t="n">
        <v>198.53</v>
      </c>
      <c r="AV461" s="72" t="n">
        <v>136.65</v>
      </c>
      <c r="AW461" s="72" t="n">
        <v>-12.78</v>
      </c>
      <c r="AX461" s="72" t="n">
        <v>2.96</v>
      </c>
      <c r="AY461" s="72" t="n">
        <v>1.16</v>
      </c>
      <c r="AZ461" s="63" t="inlineStr">
        <is>
          <t>HSTECH (Hang Seng TECH ETF)</t>
        </is>
      </c>
      <c r="BA461" s="72" t="n">
        <v>154.83</v>
      </c>
      <c r="BB461" s="64" t="inlineStr">
        <is>
          <t>2026-08-28</t>
        </is>
      </c>
      <c r="BC461" s="65" t="n">
        <v>4193</v>
      </c>
      <c r="BD461" s="68" t="n">
        <v>244.9</v>
      </c>
      <c r="BE461" s="63" t="inlineStr">
        <is>
          <t>Y</t>
        </is>
      </c>
      <c r="BF461" s="74" t="n">
        <v>40.9</v>
      </c>
      <c r="BG461" s="74" t="n"/>
      <c r="BH461" s="74" t="n"/>
      <c r="BI461" s="74" t="n">
        <v>2.4</v>
      </c>
      <c r="BJ461" s="75">
        <f>IF('BBG Verify'!S461="","not filed — run on terminal",'BBG Verify'!S461)</f>
        <v/>
      </c>
      <c r="BK461" s="76" t="inlineStr">
        <is>
          <t>N</t>
        </is>
      </c>
      <c r="BL461" s="77">
        <f>IF('BBG Verify'!K461="","not filed — run on terminal",'BBG Verify'!K461)</f>
        <v/>
      </c>
      <c r="BM461" s="63" t="inlineStr">
        <is>
          <t>N/A</t>
        </is>
      </c>
      <c r="BN461" s="63" t="inlineStr">
        <is>
          <t>N/A</t>
        </is>
      </c>
      <c r="BO461" s="63" t="inlineStr">
        <is>
          <t>N/A</t>
        </is>
      </c>
      <c r="BP461" s="63" t="inlineStr">
        <is>
          <t>N/A</t>
        </is>
      </c>
      <c r="BQ461" s="63" t="inlineStr">
        <is>
          <t>N/A</t>
        </is>
      </c>
      <c r="BR461" s="63" t="inlineStr">
        <is>
          <t>N/A</t>
        </is>
      </c>
      <c r="BS461" s="76" t="inlineStr">
        <is>
          <t>Deutsche Securities Asia Limited; CITIC Securities (Hong Kong) Limited; ABCI Capital Limited</t>
        </is>
      </c>
      <c r="BT461" s="63" t="inlineStr">
        <is>
          <t>CITIC Securities (Hong Kong) Limited; Deutsche Securities Asia Limited; ABCI Capital Limited</t>
        </is>
      </c>
      <c r="BU461" s="63" t="inlineStr">
        <is>
          <t>Deutsche Bank AG, Hong Kong Branch; CLSA Limited; ABCI Capital Limited; CMB International Capital Limited; Shenwan Hongyuan Securities (H.K.) Limited; Yue Xiu Securities Company Limited; Tiger Brokers (HK) Global Limited; Futu Securities International (Hong Kong) Limited; Tianda Securities Limited; Webull Securities Limited; Yuen Meta (International) Securities Limited; West Bull Securities Limited</t>
        </is>
      </c>
      <c r="BV461" s="63" t="inlineStr">
        <is>
          <t>ABCI Securities Company Limited; CLSA Limited; CMB International Capital Limited; Deutsche Bank AG, Hong Kong Branch; Futu Securities International (Hong Kong) Limited; Livermore Holdings Limited; Shenwan Hongyuan Securities (H.K.) Limited; Tiger Brokers (HK) Global Limited; Tianda Securities Limited; West Bull Securities Limited; Webull Securities Limited; Yuen Meta (International) Securities Limited</t>
        </is>
      </c>
      <c r="BW461" s="78">
        <f>HYPERLINK("https://www1.hkexnews.hk/listedco/listconews/sehk/2026/0421/2026042100017.pdf","prospectus")</f>
        <v/>
      </c>
      <c r="BX461" s="78">
        <f>HYPERLINK("https://www1.hkexnews.hk/listedco/listconews/sehk/2026/0428/2026042804737.pdf","allotment")</f>
        <v/>
      </c>
      <c r="BY461" s="63" t="n"/>
      <c r="BZ461" s="76" t="n"/>
      <c r="CA461" s="63" t="inlineStr">
        <is>
          <t>greenshoe: end-of-stabilisation notice not located · range low: cap-only pricing — the filing publishes a Maximum Offer Price and no indicative floor · A/H: no A-share listing · stabilising manager: the filing states no stabilising manager will be appointed — a filed fact, not an extraction gap (allotment announcement: 'no stabilizing manager will be appointed' stated in the filing)</t>
        </is>
      </c>
    </row>
    <row r="462" ht="15" customHeight="1">
      <c r="A462" s="62" t="inlineStr">
        <is>
          <t>1609</t>
        </is>
      </c>
      <c r="B462" s="63" t="inlineStr">
        <is>
          <t>STAR SPORTS MED</t>
        </is>
      </c>
      <c r="C462" s="63" t="inlineStr">
        <is>
          <t>天星醫療</t>
        </is>
      </c>
      <c r="D462" s="63" t="inlineStr">
        <is>
          <t>Healthcare</t>
        </is>
      </c>
      <c r="E462" s="63" t="inlineStr">
        <is>
          <t>Medical devices</t>
        </is>
      </c>
      <c r="F462" s="63" t="inlineStr">
        <is>
          <t>Health Care Equipment</t>
        </is>
      </c>
      <c r="G462" s="63" t="inlineStr">
        <is>
          <t>Standard</t>
        </is>
      </c>
      <c r="H462" s="64" t="n">
        <v>46147</v>
      </c>
      <c r="I462" s="65" t="n">
        <v>829.6</v>
      </c>
      <c r="J462" s="63" t="inlineStr">
        <is>
          <t>gross (stated)</t>
        </is>
      </c>
      <c r="K462" s="66" t="n"/>
      <c r="L462" s="66" t="n">
        <v>98.5</v>
      </c>
      <c r="M462" s="66" t="n">
        <v>98.5</v>
      </c>
      <c r="N462" s="63" t="inlineStr">
        <is>
          <t>Y</t>
        </is>
      </c>
      <c r="O462" s="67" t="n">
        <v>100</v>
      </c>
      <c r="P462" s="67" t="n"/>
      <c r="Q462" s="68" t="n">
        <v>5400.9</v>
      </c>
      <c r="R462" s="63" t="inlineStr">
        <is>
          <t>derived:price x shares upon listing</t>
        </is>
      </c>
      <c r="S462" s="69" t="n">
        <v>7823.13</v>
      </c>
      <c r="T462" s="70" t="n">
        <v>10.41</v>
      </c>
      <c r="U462" s="71" t="n">
        <v>34.8</v>
      </c>
      <c r="V462" s="68" t="n">
        <v>540.9</v>
      </c>
      <c r="W462" s="68" t="n">
        <v>5491046</v>
      </c>
      <c r="X462" s="67" t="n">
        <v>10.01</v>
      </c>
      <c r="Y462" s="63" t="inlineStr">
        <is>
          <t>JSC International Investment Fund SPC; Mega Prime Development Limited; OAP IV (HK) Limited; Poly Platinum Enterprises Limited</t>
        </is>
      </c>
      <c r="Z462" s="63" t="inlineStr">
        <is>
          <t>jsc;mega;oap;poly</t>
        </is>
      </c>
      <c r="AA462" s="67" t="n"/>
      <c r="AB462" s="72" t="n">
        <v>213.9</v>
      </c>
      <c r="AC462" s="66" t="n">
        <v>309.2</v>
      </c>
      <c r="AD462" s="72" t="n">
        <v>-30.47</v>
      </c>
      <c r="AE462" s="63" t="inlineStr">
        <is>
          <t>Y</t>
        </is>
      </c>
      <c r="AF462" s="63" t="inlineStr">
        <is>
          <t>2026-05-04</t>
        </is>
      </c>
      <c r="AG462" s="63" t="n"/>
      <c r="AH462" s="63" t="n"/>
      <c r="AI462" s="63" t="n"/>
      <c r="AJ462" s="63" t="n"/>
      <c r="AK462" s="73" t="n">
        <v>118.27</v>
      </c>
      <c r="AL462" s="72" t="n">
        <v>192.39</v>
      </c>
      <c r="AM462" s="72" t="n">
        <v>-25.35</v>
      </c>
      <c r="AN462" s="72" t="n">
        <v>102.44</v>
      </c>
      <c r="AO462" s="72" t="n">
        <v>94.31</v>
      </c>
      <c r="AP462" s="72" t="n">
        <v>26.4</v>
      </c>
      <c r="AQ462" s="72" t="n">
        <v>-7.25</v>
      </c>
      <c r="AR462" s="72" t="n">
        <v>-10.98</v>
      </c>
      <c r="AS462" s="72" t="n">
        <v>-42.09</v>
      </c>
      <c r="AT462" s="72" t="n">
        <v>102.24</v>
      </c>
      <c r="AU462" s="72" t="n">
        <v>108.17</v>
      </c>
      <c r="AV462" s="72" t="n">
        <v>25.77</v>
      </c>
      <c r="AW462" s="72" t="n">
        <v>2.43</v>
      </c>
      <c r="AX462" s="72" t="n">
        <v>-13.86</v>
      </c>
      <c r="AY462" s="72" t="n">
        <v>-13.41</v>
      </c>
      <c r="AZ462" s="63" t="inlineStr">
        <is>
          <t>China Biotech ETF (HS biotech proxy)</t>
        </is>
      </c>
      <c r="BA462" s="72" t="n">
        <v>51.27</v>
      </c>
      <c r="BB462" s="64" t="inlineStr">
        <is>
          <t>2026-08-28</t>
        </is>
      </c>
      <c r="BC462" s="65" t="n">
        <v>443</v>
      </c>
      <c r="BD462" s="68" t="n">
        <v>150.7</v>
      </c>
      <c r="BE462" s="63" t="inlineStr">
        <is>
          <t>Y</t>
        </is>
      </c>
      <c r="BF462" s="74" t="n">
        <v>35.8</v>
      </c>
      <c r="BG462" s="74" t="n"/>
      <c r="BH462" s="74" t="n"/>
      <c r="BI462" s="74" t="n">
        <v>12.2</v>
      </c>
      <c r="BJ462" s="75">
        <f>IF('BBG Verify'!S462="","not filed — run on terminal",'BBG Verify'!S462)</f>
        <v/>
      </c>
      <c r="BK462" s="76" t="inlineStr">
        <is>
          <t>N</t>
        </is>
      </c>
      <c r="BL462" s="77">
        <f>IF('BBG Verify'!K462="","not filed — run on terminal",'BBG Verify'!K462)</f>
        <v/>
      </c>
      <c r="BM462" s="63" t="inlineStr">
        <is>
          <t>N/A</t>
        </is>
      </c>
      <c r="BN462" s="63" t="inlineStr">
        <is>
          <t>N/A</t>
        </is>
      </c>
      <c r="BO462" s="63" t="inlineStr">
        <is>
          <t>N/A</t>
        </is>
      </c>
      <c r="BP462" s="63" t="inlineStr">
        <is>
          <t>N/A</t>
        </is>
      </c>
      <c r="BQ462" s="63" t="inlineStr">
        <is>
          <t>N/A</t>
        </is>
      </c>
      <c r="BR462" s="63" t="inlineStr">
        <is>
          <t>N/A</t>
        </is>
      </c>
      <c r="BS462" s="76" t="n"/>
      <c r="BT462" s="63" t="inlineStr">
        <is>
          <t>CCB International Capital Limited; CITIC Securities (Hong Kong) Limited</t>
        </is>
      </c>
      <c r="BU462" s="63" t="inlineStr">
        <is>
          <t>CCB International Capital Limited; China Galaxy International Securities (Hong Kong) Company Limited; CLSA Limited; CMBC Securities Company Limited; Futu Securities International (Hong Kong) Limited; Open Securities Limited</t>
        </is>
      </c>
      <c r="BV462" s="63" t="inlineStr">
        <is>
          <t>CCB International Capital Limited; China Galaxy International Securities (Hong Kong) Company Limited; CLSA Limited; CMBC Securities Company Limited; Futu Securities International (Hong Kong) Limited; Open Securities Limited; Orient Securities (Hong Kong) Limited; Zheshang International Financial Holdings Co., Limited</t>
        </is>
      </c>
      <c r="BW462" s="63" t="n"/>
      <c r="BX462" s="78">
        <f>HYPERLINK("https://www1.hkexnews.hk/listedco/listconews/sehk/2026/0504/2026050403728.pdf","allotment")</f>
        <v/>
      </c>
      <c r="BY462" s="63" t="n"/>
      <c r="BZ462" s="76" t="n"/>
      <c r="CA462" s="63" t="inlineStr">
        <is>
          <t>greenshoe: no over-allotment option in the offer structure · price range: fixed-price offering (no indicative range) · range low: cap-only pricing — the filing publishes a Maximum Offer Price and no indicative floor · A/H: no A-share listing · sponsor: English name not in the filing text; AAStocks 保薦人 shown · cornerstone %: AAStocks institutional-order total / deal size — an upper bound; the table can include non-cornerstone orders · greenshoe size: no over-allotment option in the offer structure · stabilising manager: no over-allotment option in the offer structure, so no stabilising manager is appointed · filing links: no prospectus document returned by the HKEX per-stock search for this code — the allotment announcement is linked beside it</t>
        </is>
      </c>
    </row>
    <row r="463" ht="15" customHeight="1">
      <c r="A463" s="62" t="inlineStr">
        <is>
          <t>1187</t>
        </is>
      </c>
      <c r="B463" s="63" t="inlineStr">
        <is>
          <t>COFOE MEDICAL</t>
        </is>
      </c>
      <c r="C463" s="63" t="inlineStr">
        <is>
          <t>可孚醫療</t>
        </is>
      </c>
      <c r="D463" s="63" t="inlineStr">
        <is>
          <t>Healthcare</t>
        </is>
      </c>
      <c r="E463" s="63" t="inlineStr">
        <is>
          <t>Medical devices</t>
        </is>
      </c>
      <c r="F463" s="63" t="inlineStr">
        <is>
          <t>Health Care Equipment</t>
        </is>
      </c>
      <c r="G463" s="63" t="inlineStr">
        <is>
          <t>Standard</t>
        </is>
      </c>
      <c r="H463" s="64" t="n">
        <v>46148</v>
      </c>
      <c r="I463" s="65" t="n">
        <v>1062</v>
      </c>
      <c r="J463" s="63" t="inlineStr">
        <is>
          <t>gross (stated)</t>
        </is>
      </c>
      <c r="K463" s="66" t="n"/>
      <c r="L463" s="66" t="n">
        <v>39.33</v>
      </c>
      <c r="M463" s="66" t="n">
        <v>39.33</v>
      </c>
      <c r="N463" s="63" t="inlineStr">
        <is>
          <t>Y</t>
        </is>
      </c>
      <c r="O463" s="67" t="n">
        <v>100</v>
      </c>
      <c r="P463" s="67" t="n"/>
      <c r="Q463" s="68" t="n">
        <v>9277.799999999999</v>
      </c>
      <c r="R463" s="63" t="inlineStr">
        <is>
          <t>derived:price x shares upon listing</t>
        </is>
      </c>
      <c r="S463" s="69" t="n">
        <v>399.08</v>
      </c>
      <c r="T463" s="70" t="n">
        <v>3.4</v>
      </c>
      <c r="U463" s="71" t="n">
        <v>35.6</v>
      </c>
      <c r="V463" s="68" t="n">
        <v>683.9299999999999</v>
      </c>
      <c r="W463" s="68" t="n">
        <v>17388000</v>
      </c>
      <c r="X463" s="67" t="n">
        <v>7.37</v>
      </c>
      <c r="Y463" s="63" t="inlineStr">
        <is>
          <t>Changsha Yufeng Technology Co., Ltd; Da Cheng International Asset Management Company Limited; FR M CONSULTING CO., LTD; HongKong HQD Industry Limited; LENS TECHNOLOGY (HK) CO., LIMITED; Mr. Dai Junan; Mr. Huang Xuelin; Ms. Lu Qinchao; ODI TRUST LIMITED; Panjing Harbourview Investment Fund; Sinohealth Technology Holdings Limited</t>
        </is>
      </c>
      <c r="Z463" s="63" t="inlineStr">
        <is>
          <t>changsha;da;fr;hongkong;lens;mr-dai;mr-huang;ms-lu;odi;panjing;sinohealth</t>
        </is>
      </c>
      <c r="AA463" s="67" t="n"/>
      <c r="AB463" s="72" t="n">
        <v>2.2</v>
      </c>
      <c r="AC463" s="66" t="n">
        <v>40.2</v>
      </c>
      <c r="AD463" s="72" t="n">
        <v>-3.22</v>
      </c>
      <c r="AE463" s="63" t="inlineStr">
        <is>
          <t>N</t>
        </is>
      </c>
      <c r="AF463" s="63" t="inlineStr">
        <is>
          <t>2026-05-05</t>
        </is>
      </c>
      <c r="AG463" s="63" t="n"/>
      <c r="AH463" s="63" t="n"/>
      <c r="AI463" s="63" t="n"/>
      <c r="AJ463" s="63" t="n"/>
      <c r="AK463" s="73" t="n">
        <v>-1.09</v>
      </c>
      <c r="AL463" s="72" t="n">
        <v>1.3</v>
      </c>
      <c r="AM463" s="72" t="n">
        <v>-2.36</v>
      </c>
      <c r="AN463" s="72" t="n">
        <v>-6.69</v>
      </c>
      <c r="AO463" s="72" t="n">
        <v>-16.09</v>
      </c>
      <c r="AP463" s="72" t="n">
        <v>-17.72</v>
      </c>
      <c r="AQ463" s="72" t="n">
        <v>-5.66</v>
      </c>
      <c r="AR463" s="72" t="n">
        <v>-15.17</v>
      </c>
      <c r="AS463" s="72" t="n">
        <v>-16.81</v>
      </c>
      <c r="AT463" s="72" t="n">
        <v>-6.32</v>
      </c>
      <c r="AU463" s="72" t="n">
        <v>-2.1</v>
      </c>
      <c r="AV463" s="72" t="n">
        <v>-18.53</v>
      </c>
      <c r="AW463" s="72" t="n">
        <v>-1.23</v>
      </c>
      <c r="AX463" s="72" t="n">
        <v>-13.99</v>
      </c>
      <c r="AY463" s="72" t="n">
        <v>-13.94</v>
      </c>
      <c r="AZ463" s="63" t="inlineStr">
        <is>
          <t>China Biotech ETF (HS biotech proxy)</t>
        </is>
      </c>
      <c r="BA463" s="72" t="n">
        <v>-13.6</v>
      </c>
      <c r="BB463" s="64" t="inlineStr">
        <is>
          <t>2026-08-28</t>
        </is>
      </c>
      <c r="BC463" s="65" t="n">
        <v>3726.2</v>
      </c>
      <c r="BD463" s="68" t="n">
        <v>408.8</v>
      </c>
      <c r="BE463" s="63" t="inlineStr">
        <is>
          <t>Y</t>
        </is>
      </c>
      <c r="BF463" s="74" t="n">
        <v>22.7</v>
      </c>
      <c r="BG463" s="74" t="n">
        <v>18.8</v>
      </c>
      <c r="BH463" s="74" t="n">
        <v>15.1</v>
      </c>
      <c r="BI463" s="74" t="n">
        <v>2.5</v>
      </c>
      <c r="BJ463" s="75">
        <f>IF('BBG Verify'!S463="","not filed — run on terminal",'BBG Verify'!S463)</f>
        <v/>
      </c>
      <c r="BK463" s="76" t="inlineStr">
        <is>
          <t>Y</t>
        </is>
      </c>
      <c r="BL463" s="63" t="inlineStr">
        <is>
          <t>301087.SZ</t>
        </is>
      </c>
      <c r="BM463" s="72" t="n">
        <v>54.6</v>
      </c>
      <c r="BN463" s="66" t="n">
        <v>60.8041</v>
      </c>
      <c r="BO463" s="80" t="n">
        <v>0.7816</v>
      </c>
      <c r="BP463" s="68" t="n">
        <v>13816.1</v>
      </c>
      <c r="BQ463" s="75">
        <f>IF('BBG Verify'!Q463="","run on terminal",'BBG Verify'!Q463)</f>
        <v/>
      </c>
      <c r="BR463" s="75">
        <f>IF('BBG Verify'!R463="","run on terminal",'BBG Verify'!R463)</f>
        <v/>
      </c>
      <c r="BS463" s="76" t="n"/>
      <c r="BT463" s="63" t="inlineStr">
        <is>
          <t>Huatai Financial Holdings (Hong Kong) Limited; BNP Paribas Securities (Asia) Limited</t>
        </is>
      </c>
      <c r="BU463" s="63" t="inlineStr">
        <is>
          <t>BNP Paribas Securities (Asia) Limited; Futu Securities International (Hong Kong) Limited; Huatai Financial Holdings (Hong Kong) Limited</t>
        </is>
      </c>
      <c r="BV463" s="63" t="inlineStr">
        <is>
          <t>BNP Paribas Securities (Asia) Limited; Futu Securities International (Hong Kong) Limited; Huatai Financial Holdings (Hong Kong) Limited</t>
        </is>
      </c>
      <c r="BW463" s="63" t="n"/>
      <c r="BX463" s="78">
        <f>HYPERLINK("https://www1.hkexnews.hk/listedco/listconews/sehk/2026/0505/2026050501942.pdf","allotment")</f>
        <v/>
      </c>
      <c r="BY463" s="63" t="n"/>
      <c r="BZ463" s="76" t="n"/>
      <c r="CA463" s="63" t="inlineStr">
        <is>
          <t>greenshoe: no over-allotment option in the offer structure · range low: cap-only pricing — the filing publishes a Maximum Offer Price and no indicative floor · A/H: May 2026 H listing (home medical devices) · sponsor: English name not in the filing text; AAStocks 保薦人 shown · cornerstone %: AAStocks institutional-order total / deal size — an upper bound; the table can include non-cornerstone orders · greenshoe size: no over-allotment option in the offer structure · stabilising manager: the filing states no stabilising manager will be appointed — a filed fact, not an extraction gap (prospectus: 'no stabilizing manager will be appointed' stated in the filing) · filing links: no prospectus document returned by the HKEX per-stock search for this code — the allotment announcement is linked beside it</t>
        </is>
      </c>
    </row>
    <row r="464" ht="15" customHeight="1">
      <c r="A464" s="62" t="inlineStr">
        <is>
          <t>1236</t>
        </is>
      </c>
      <c r="B464" s="63" t="inlineStr">
        <is>
          <t>LDROBOT</t>
        </is>
      </c>
      <c r="C464" s="63" t="inlineStr">
        <is>
          <t>樂動機器人</t>
        </is>
      </c>
      <c r="D464" s="63" t="inlineStr">
        <is>
          <t>Tech/AI</t>
        </is>
      </c>
      <c r="E464" s="63" t="inlineStr">
        <is>
          <t>Robotics &amp; autonomous driving</t>
        </is>
      </c>
      <c r="F464" s="63" t="inlineStr">
        <is>
          <t>Advanced hardware and software</t>
        </is>
      </c>
      <c r="G464" s="63" t="inlineStr">
        <is>
          <t>Standard</t>
        </is>
      </c>
      <c r="H464" s="64" t="n">
        <v>46153</v>
      </c>
      <c r="I464" s="65" t="n">
        <v>878.7</v>
      </c>
      <c r="J464" s="63" t="inlineStr">
        <is>
          <t>gross (stated)</t>
        </is>
      </c>
      <c r="K464" s="66" t="n"/>
      <c r="L464" s="66" t="n">
        <v>26.36</v>
      </c>
      <c r="M464" s="66" t="n">
        <v>26.36</v>
      </c>
      <c r="N464" s="63" t="inlineStr">
        <is>
          <t>Y</t>
        </is>
      </c>
      <c r="O464" s="67" t="n">
        <v>100</v>
      </c>
      <c r="P464" s="67" t="n"/>
      <c r="Q464" s="68" t="n">
        <v>9000</v>
      </c>
      <c r="R464" s="63" t="inlineStr">
        <is>
          <t>aastocks:上市市值 at the struck price</t>
        </is>
      </c>
      <c r="S464" s="69" t="n">
        <v>6707.66</v>
      </c>
      <c r="T464" s="70" t="n">
        <v>9.539999999999999</v>
      </c>
      <c r="U464" s="71" t="n">
        <v>31.52</v>
      </c>
      <c r="V464" s="68" t="n">
        <v>601.73</v>
      </c>
      <c r="W464" s="68" t="n">
        <v>22826712</v>
      </c>
      <c r="X464" s="67" t="n">
        <v>6.69</v>
      </c>
      <c r="Y464" s="63" t="inlineStr">
        <is>
          <t>KCH Vision Investment Limited</t>
        </is>
      </c>
      <c r="Z464" s="63" t="inlineStr">
        <is>
          <t>kch</t>
        </is>
      </c>
      <c r="AA464" s="67" t="n"/>
      <c r="AB464" s="72" t="n">
        <v>88.90000000000001</v>
      </c>
      <c r="AC464" s="66" t="n">
        <v>49.8</v>
      </c>
      <c r="AD464" s="72" t="n">
        <v>20.5</v>
      </c>
      <c r="AE464" s="63" t="inlineStr">
        <is>
          <t>Y</t>
        </is>
      </c>
      <c r="AF464" s="63" t="inlineStr">
        <is>
          <t>2026-05-11</t>
        </is>
      </c>
      <c r="AG464" s="63" t="n"/>
      <c r="AH464" s="63" t="n"/>
      <c r="AI464" s="63" t="inlineStr">
        <is>
          <t>Haitong International Securities Company Limited</t>
        </is>
      </c>
      <c r="AJ464" s="63" t="inlineStr">
        <is>
          <t>Haitong</t>
        </is>
      </c>
      <c r="AK464" s="73" t="n">
        <v>127.62</v>
      </c>
      <c r="AL464" s="72" t="n">
        <v>102.96</v>
      </c>
      <c r="AM464" s="72" t="n">
        <v>12.15</v>
      </c>
      <c r="AN464" s="72" t="n">
        <v>56.68</v>
      </c>
      <c r="AO464" s="72" t="n">
        <v>54.86</v>
      </c>
      <c r="AP464" s="72" t="n">
        <v>48.71</v>
      </c>
      <c r="AQ464" s="72" t="n">
        <v>-31.17</v>
      </c>
      <c r="AR464" s="72" t="n">
        <v>-31.97</v>
      </c>
      <c r="AS464" s="72" t="n">
        <v>-34.67</v>
      </c>
      <c r="AT464" s="72" t="n">
        <v>61.92</v>
      </c>
      <c r="AU464" s="72" t="n">
        <v>62.14</v>
      </c>
      <c r="AV464" s="72" t="n">
        <v>53.95</v>
      </c>
      <c r="AW464" s="72" t="n">
        <v>-24.69</v>
      </c>
      <c r="AX464" s="72" t="n">
        <v>-7.28</v>
      </c>
      <c r="AY464" s="72" t="n">
        <v>-7.28</v>
      </c>
      <c r="AZ464" s="63" t="inlineStr">
        <is>
          <t>HSTECH (Hang Seng TECH ETF)</t>
        </is>
      </c>
      <c r="BA464" s="72" t="n">
        <v>40.9</v>
      </c>
      <c r="BB464" s="64" t="inlineStr">
        <is>
          <t>2026-08-28</t>
        </is>
      </c>
      <c r="BC464" s="65" t="n">
        <v>822.6</v>
      </c>
      <c r="BD464" s="68" t="n">
        <v>-68.8</v>
      </c>
      <c r="BE464" s="63" t="inlineStr">
        <is>
          <t>N</t>
        </is>
      </c>
      <c r="BF464" s="63" t="inlineStr">
        <is>
          <t>n/m</t>
        </is>
      </c>
      <c r="BG464" s="74" t="n"/>
      <c r="BH464" s="74" t="n"/>
      <c r="BI464" s="74" t="n">
        <v>10.9</v>
      </c>
      <c r="BJ464" s="75">
        <f>IF('BBG Verify'!S464="","not filed — run on terminal",'BBG Verify'!S464)</f>
        <v/>
      </c>
      <c r="BK464" s="76" t="inlineStr">
        <is>
          <t>N</t>
        </is>
      </c>
      <c r="BL464" s="77">
        <f>IF('BBG Verify'!K464="","not filed — run on terminal",'BBG Verify'!K464)</f>
        <v/>
      </c>
      <c r="BM464" s="63" t="inlineStr">
        <is>
          <t>N/A</t>
        </is>
      </c>
      <c r="BN464" s="63" t="inlineStr">
        <is>
          <t>N/A</t>
        </is>
      </c>
      <c r="BO464" s="63" t="inlineStr">
        <is>
          <t>N/A</t>
        </is>
      </c>
      <c r="BP464" s="63" t="inlineStr">
        <is>
          <t>N/A</t>
        </is>
      </c>
      <c r="BQ464" s="63" t="inlineStr">
        <is>
          <t>N/A</t>
        </is>
      </c>
      <c r="BR464" s="63" t="inlineStr">
        <is>
          <t>N/A</t>
        </is>
      </c>
      <c r="BS464" s="76" t="n"/>
      <c r="BT464" s="63" t="inlineStr">
        <is>
          <t>Haitong International Capital Limited; Guotai Junan Capital Limited</t>
        </is>
      </c>
      <c r="BU464" s="63" t="inlineStr">
        <is>
          <t>China International Capital Corporation Hong Kong Securities Limited; CMBC Securities Company Limited; Futu Securities International (Hong Kong) Limited; Goldbridge Securities Limited; Guotai Junan Securities (Hong Kong) Limited; Haitong International Securities Company Limited</t>
        </is>
      </c>
      <c r="BV464" s="63" t="inlineStr">
        <is>
          <t>China International Capital Corporation Hong Kong Securities Limited; CMBC Securities Company Limited; Futu Securities International (Hong Kong) Limited; Goldbridge Securities Limited; Guotai Junan Securities (Hong Kong) Limited; Haitong International Securities Company Limited; Orient Securities (Hong Kong) Limited; SDIC Securities (Hong Kong) Limited; Yuet Sheung International Securities Limited</t>
        </is>
      </c>
      <c r="BW464" s="63" t="n"/>
      <c r="BX464" s="78">
        <f>HYPERLINK("https://www1.hkexnews.hk/listedco/listconews/sehk/2026/0508/2026050801854.pdf","allotment")</f>
        <v/>
      </c>
      <c r="BY464" s="63" t="n"/>
      <c r="BZ464" s="76" t="n"/>
      <c r="CA464" s="63" t="inlineStr">
        <is>
          <t>P/E: n/m — loss-making at IPO (use P/S) · greenshoe: no over-allotment option in the offer structure · price range: fixed-price offering (no indicative range) · range low: cap-only pricing — the filing publishes a Maximum Offer Price and no indicative floor · A/H: no A-share listing · sponsor: English name not in the filing text; AAStocks 保薦人 shown · greenshoe size: no over-allotment option in the offer structure · filing links: no prospectus document returned by the HKEX per-stock search for this code — the allotment announcement is linked beside it</t>
        </is>
      </c>
    </row>
    <row r="465" ht="15" customHeight="1">
      <c r="A465" s="62" t="inlineStr">
        <is>
          <t>7630</t>
        </is>
      </c>
      <c r="B465" s="63" t="inlineStr">
        <is>
          <t>IMPACT THERAP-B</t>
        </is>
      </c>
      <c r="C465" s="63" t="inlineStr">
        <is>
          <t>英派藥業－Ｂ</t>
        </is>
      </c>
      <c r="D465" s="63" t="inlineStr">
        <is>
          <t>Healthcare</t>
        </is>
      </c>
      <c r="E465" s="63" t="inlineStr">
        <is>
          <t>Biotech pre-revenue (18A)</t>
        </is>
      </c>
      <c r="F465" s="63" t="inlineStr">
        <is>
          <t>Biotechnology - Pharmaceuticals</t>
        </is>
      </c>
      <c r="G465" s="63" t="inlineStr">
        <is>
          <t>18A</t>
        </is>
      </c>
      <c r="H465" s="64" t="n">
        <v>46155</v>
      </c>
      <c r="I465" s="65" t="n">
        <v>843.7</v>
      </c>
      <c r="J465" s="63" t="inlineStr">
        <is>
          <t>gross (stated)</t>
        </is>
      </c>
      <c r="K465" s="66" t="n">
        <v>19.75</v>
      </c>
      <c r="L465" s="66" t="n">
        <v>21.75</v>
      </c>
      <c r="M465" s="66" t="n">
        <v>20.1</v>
      </c>
      <c r="N465" s="63" t="inlineStr">
        <is>
          <t>N</t>
        </is>
      </c>
      <c r="O465" s="67" t="n">
        <v>92.40000000000001</v>
      </c>
      <c r="P465" s="67" t="n">
        <v>17.5</v>
      </c>
      <c r="Q465" s="68" t="n">
        <v>4933.9</v>
      </c>
      <c r="R465" s="63" t="inlineStr">
        <is>
          <t>derived:deal size / offer % of enlarged capital</t>
        </is>
      </c>
      <c r="S465" s="69" t="n">
        <v>2282.4</v>
      </c>
      <c r="T465" s="70" t="n">
        <v>24.58</v>
      </c>
      <c r="U465" s="71" t="n">
        <v>33.19</v>
      </c>
      <c r="V465" s="68" t="n">
        <v>563.6799999999999</v>
      </c>
      <c r="W465" s="68" t="n">
        <v>28044834</v>
      </c>
      <c r="X465" s="67" t="n">
        <v>11.42</v>
      </c>
      <c r="Y465" s="63" t="inlineStr">
        <is>
          <t>First Quarter Moon OFC — Phecda Fund; Foresight Global Superior Choice SPC — Vision Fund 1 SP; Foresight Global Superior Choice SPC — Horizon Fund 1 SP; Foresight Global Superior Choice SPC — Horizon Next Fund SP; Huang River Investment Limited; LAV Star Opportunities Limited; Prosper High Holding Limited; Worldwide Healthcare Partners LLC</t>
        </is>
      </c>
      <c r="Z465" s="63" t="inlineStr">
        <is>
          <t>first-quarter;foresight;huang-river;lav;prosper;healthcare</t>
        </is>
      </c>
      <c r="AA465" s="67" t="n">
        <v>8.529999999999999</v>
      </c>
      <c r="AB465" s="72" t="n">
        <v>60</v>
      </c>
      <c r="AC465" s="66" t="n">
        <v>32.16</v>
      </c>
      <c r="AD465" s="72" t="n">
        <v>30.16</v>
      </c>
      <c r="AE465" s="63" t="inlineStr">
        <is>
          <t>Y</t>
        </is>
      </c>
      <c r="AF465" s="63" t="inlineStr">
        <is>
          <t>2026-05-13</t>
        </is>
      </c>
      <c r="AG465" s="63" t="inlineStr">
        <is>
          <t>full</t>
        </is>
      </c>
      <c r="AH465" s="63" t="inlineStr">
        <is>
          <t>2026-06-07</t>
        </is>
      </c>
      <c r="AI465" s="63" t="inlineStr">
        <is>
          <t>Goldman Sachs</t>
        </is>
      </c>
      <c r="AJ465" s="63" t="inlineStr">
        <is>
          <t>Goldman Sachs</t>
        </is>
      </c>
      <c r="AK465" s="73" t="n">
        <v>108.26</v>
      </c>
      <c r="AL465" s="72" t="n">
        <v>76.62</v>
      </c>
      <c r="AM465" s="72" t="n">
        <v>17.91</v>
      </c>
      <c r="AN465" s="72" t="n">
        <v>86.27</v>
      </c>
      <c r="AO465" s="72" t="n">
        <v>81.09</v>
      </c>
      <c r="AP465" s="72" t="n">
        <v>-39.75</v>
      </c>
      <c r="AQ465" s="72" t="n">
        <v>-10.56</v>
      </c>
      <c r="AR465" s="72" t="n">
        <v>-13.05</v>
      </c>
      <c r="AS465" s="72" t="n">
        <v>-71.06999999999999</v>
      </c>
      <c r="AT465" s="72" t="n">
        <v>93.78</v>
      </c>
      <c r="AU465" s="72" t="n">
        <v>95.55</v>
      </c>
      <c r="AV465" s="72" t="n">
        <v>-48.04</v>
      </c>
      <c r="AW465" s="72" t="n">
        <v>0.47</v>
      </c>
      <c r="AX465" s="72" t="n">
        <v>-14.46</v>
      </c>
      <c r="AY465" s="72" t="n">
        <v>-13.52</v>
      </c>
      <c r="AZ465" s="63" t="inlineStr">
        <is>
          <t>China Biotech ETF (HS biotech proxy)</t>
        </is>
      </c>
      <c r="BA465" s="72" t="n">
        <v>-22.34</v>
      </c>
      <c r="BB465" s="64" t="inlineStr">
        <is>
          <t>2026-08-28</t>
        </is>
      </c>
      <c r="BC465" s="65" t="n">
        <v>42.1</v>
      </c>
      <c r="BD465" s="68" t="n">
        <v>-325.5</v>
      </c>
      <c r="BE465" s="63" t="inlineStr">
        <is>
          <t>N</t>
        </is>
      </c>
      <c r="BF465" s="63" t="inlineStr">
        <is>
          <t>n/m</t>
        </is>
      </c>
      <c r="BG465" s="74" t="n"/>
      <c r="BH465" s="74" t="n"/>
      <c r="BI465" s="74" t="n">
        <v>117.2</v>
      </c>
      <c r="BJ465" s="75">
        <f>IF('BBG Verify'!S465="","not filed — run on terminal",'BBG Verify'!S465)</f>
        <v/>
      </c>
      <c r="BK465" s="76" t="inlineStr">
        <is>
          <t>N</t>
        </is>
      </c>
      <c r="BL465" s="77">
        <f>IF('BBG Verify'!K465="","not filed — run on terminal",'BBG Verify'!K465)</f>
        <v/>
      </c>
      <c r="BM465" s="63" t="inlineStr">
        <is>
          <t>N/A</t>
        </is>
      </c>
      <c r="BN465" s="63" t="inlineStr">
        <is>
          <t>N/A</t>
        </is>
      </c>
      <c r="BO465" s="63" t="inlineStr">
        <is>
          <t>N/A</t>
        </is>
      </c>
      <c r="BP465" s="63" t="inlineStr">
        <is>
          <t>N/A</t>
        </is>
      </c>
      <c r="BQ465" s="63" t="inlineStr">
        <is>
          <t>N/A</t>
        </is>
      </c>
      <c r="BR465" s="63" t="inlineStr">
        <is>
          <t>N/A</t>
        </is>
      </c>
      <c r="BS465" s="76" t="n"/>
      <c r="BT465" s="63" t="inlineStr">
        <is>
          <t>China International Capital Corporation Hong Kong Securities Limited; Goldman Sachs (Asia) L.L.C.</t>
        </is>
      </c>
      <c r="BU465" s="63" t="inlineStr">
        <is>
          <t>China International Capital Corporation Hong Kong Securities Limited; CMB International Capital Limited; Goldman Sachs (Asia) L.L.C.; Tiger Brokers (HK) Global Limited</t>
        </is>
      </c>
      <c r="BV465" s="63" t="inlineStr">
        <is>
          <t>China International Capital Corporation Hong Kong Securities Limited; CMB International Capital Limited; Goldman Sachs (Asia) L.L.C.; Tiger Brokers (HK) Global Limited</t>
        </is>
      </c>
      <c r="BW465" s="78">
        <f>HYPERLINK("https://www1.hkexnews.hk/listedco/listconews/sehk/2026/0505/2026050500023.pdf","prospectus")</f>
        <v/>
      </c>
      <c r="BX465" s="78">
        <f>HYPERLINK("https://www1.hkexnews.hk/listedco/listconews/sehk/2026/0512/2026051201406.pdf","allotment")</f>
        <v/>
      </c>
      <c r="BY465" s="78">
        <f>HYPERLINK("https://www1.hkexnews.hk/listedco/listconews/sehk/2026/0608/2026060800490.pdf","stabilisation")</f>
        <v/>
      </c>
      <c r="BZ465" s="76" t="n"/>
      <c r="CA465" s="63" t="inlineStr">
        <is>
          <t>P/E: n/m — loss-making at IPO (use P/S) · A/H: no A-share listing · sponsor: English name not in the filing text; AAStocks 保薦人 shown</t>
        </is>
      </c>
    </row>
    <row r="466" ht="15" customHeight="1">
      <c r="A466" s="62" t="inlineStr">
        <is>
          <t>7666</t>
        </is>
      </c>
      <c r="B466" s="63" t="inlineStr">
        <is>
          <t>METIS TECHBIO-P</t>
        </is>
      </c>
      <c r="C466" s="63" t="inlineStr">
        <is>
          <t>劑泰科技－Ｐ</t>
        </is>
      </c>
      <c r="D466" s="63" t="inlineStr">
        <is>
          <t>Healthcare</t>
        </is>
      </c>
      <c r="E466" s="63" t="inlineStr">
        <is>
          <t>Biotech pre-revenue (18A)</t>
        </is>
      </c>
      <c r="F466" s="63" t="inlineStr">
        <is>
          <t>Advanced materials</t>
        </is>
      </c>
      <c r="G466" s="63" t="inlineStr">
        <is>
          <t>18C</t>
        </is>
      </c>
      <c r="H466" s="64" t="n">
        <v>46155</v>
      </c>
      <c r="I466" s="65" t="n">
        <v>2112.9</v>
      </c>
      <c r="J466" s="63" t="inlineStr">
        <is>
          <t>gross (stated)</t>
        </is>
      </c>
      <c r="K466" s="66" t="n"/>
      <c r="L466" s="66" t="n">
        <v>10.5</v>
      </c>
      <c r="M466" s="66" t="n">
        <v>10.5</v>
      </c>
      <c r="N466" s="63" t="inlineStr">
        <is>
          <t>Y</t>
        </is>
      </c>
      <c r="O466" s="67" t="n">
        <v>100</v>
      </c>
      <c r="P466" s="67" t="n"/>
      <c r="Q466" s="68" t="n">
        <v>12101.4</v>
      </c>
      <c r="R466" s="63" t="inlineStr">
        <is>
          <t>prospectus:stated market capitalisation</t>
        </is>
      </c>
      <c r="S466" s="69" t="n">
        <v>6910.96</v>
      </c>
      <c r="T466" s="70" t="n">
        <v>33.86</v>
      </c>
      <c r="U466" s="71" t="n">
        <v>54.87</v>
      </c>
      <c r="V466" s="68" t="n">
        <v>953.55</v>
      </c>
      <c r="W466" s="68" t="n">
        <v>90814648</v>
      </c>
      <c r="X466" s="67" t="n">
        <v>7.88</v>
      </c>
      <c r="Y466" s="63" t="inlineStr">
        <is>
          <t>Arc Avenue Asset Management Pte. Ltd; BlackRock, Inc; China Asset Management (Hong Kong) Limited; China Venture Capital Innovation Investment Fund Co., Ltd; Deerfield Management Company, L.P; Fullgoal Fund Management Co., Ltd; GF Fund Management Co., Ltd; HHLR Advisors, Ltd; Huadeng Technology Piovt Ventures Ltd; ICBC UBS Asset Management Co., Ltd; ICBC Wealth Management Co., Ltd; Isometry Global Master Fund, L.P; Lake Bleu Prime Healthcare Master Fund Limited; Mirae Asset Securities (HK) Limited; ORIX Asia Asset Management Limited; RTW Master Fund, Ltd; Sage Partners Master Fund; UBS Asset Management (Singapore) Ltd</t>
        </is>
      </c>
      <c r="Z466" s="63" t="inlineStr">
        <is>
          <t>arc;blackrock;china-asset;venture;deerfield;fullgoal;gf;hhlr;huadeng;icbc;isometry;lake;mirae;orix;rtw;sage;ubs</t>
        </is>
      </c>
      <c r="AA466" s="67" t="n">
        <v>15</v>
      </c>
      <c r="AB466" s="72" t="n"/>
      <c r="AC466" s="66" t="n"/>
      <c r="AD466" s="72" t="n"/>
      <c r="AE466" s="63" t="n"/>
      <c r="AF466" s="63" t="n"/>
      <c r="AG466" s="63" t="inlineStr">
        <is>
          <t>full</t>
        </is>
      </c>
      <c r="AH466" s="63" t="inlineStr">
        <is>
          <t>2026-06-07</t>
        </is>
      </c>
      <c r="AI466" s="63" t="inlineStr">
        <is>
          <t>CLSA Limited</t>
        </is>
      </c>
      <c r="AJ466" s="63" t="inlineStr">
        <is>
          <t>CLSA</t>
        </is>
      </c>
      <c r="AK466" s="73" t="n">
        <v>126.67</v>
      </c>
      <c r="AL466" s="72" t="n">
        <v>173.14</v>
      </c>
      <c r="AM466" s="72" t="n">
        <v>-17.01</v>
      </c>
      <c r="AN466" s="72" t="n">
        <v>71.43000000000001</v>
      </c>
      <c r="AO466" s="72" t="n">
        <v>25.62</v>
      </c>
      <c r="AP466" s="72" t="n">
        <v>25.62</v>
      </c>
      <c r="AQ466" s="72" t="n">
        <v>-24.37</v>
      </c>
      <c r="AR466" s="72" t="n">
        <v>-44.58</v>
      </c>
      <c r="AS466" s="72" t="n">
        <v>-44.58</v>
      </c>
      <c r="AT466" s="72" t="n">
        <v>78.94</v>
      </c>
      <c r="AU466" s="72" t="n">
        <v>40.08</v>
      </c>
      <c r="AV466" s="72" t="n">
        <v>17.33</v>
      </c>
      <c r="AW466" s="72" t="n">
        <v>-31.06</v>
      </c>
      <c r="AX466" s="72" t="n">
        <v>-14.46</v>
      </c>
      <c r="AY466" s="72" t="n">
        <v>-13.52</v>
      </c>
      <c r="AZ466" s="63" t="inlineStr">
        <is>
          <t>China Biotech ETF (HS biotech proxy)</t>
        </is>
      </c>
      <c r="BA466" s="72" t="n">
        <v>32.19</v>
      </c>
      <c r="BB466" s="64" t="inlineStr">
        <is>
          <t>2026-08-28</t>
        </is>
      </c>
      <c r="BC466" s="65" t="n">
        <v>115.5</v>
      </c>
      <c r="BD466" s="68" t="n">
        <v>-431</v>
      </c>
      <c r="BE466" s="63" t="inlineStr">
        <is>
          <t>N</t>
        </is>
      </c>
      <c r="BF466" s="63" t="inlineStr">
        <is>
          <t>n/m</t>
        </is>
      </c>
      <c r="BG466" s="74" t="n"/>
      <c r="BH466" s="74" t="n"/>
      <c r="BI466" s="74" t="n">
        <v>104.8</v>
      </c>
      <c r="BJ466" s="75">
        <f>IF('BBG Verify'!S466="","not filed — run on terminal",'BBG Verify'!S466)</f>
        <v/>
      </c>
      <c r="BK466" s="76" t="inlineStr">
        <is>
          <t>N</t>
        </is>
      </c>
      <c r="BL466" s="77">
        <f>IF('BBG Verify'!K466="","not filed — run on terminal",'BBG Verify'!K466)</f>
        <v/>
      </c>
      <c r="BM466" s="63" t="inlineStr">
        <is>
          <t>N/A</t>
        </is>
      </c>
      <c r="BN466" s="63" t="inlineStr">
        <is>
          <t>N/A</t>
        </is>
      </c>
      <c r="BO466" s="63" t="inlineStr">
        <is>
          <t>N/A</t>
        </is>
      </c>
      <c r="BP466" s="63" t="inlineStr">
        <is>
          <t>N/A</t>
        </is>
      </c>
      <c r="BQ466" s="63" t="inlineStr">
        <is>
          <t>N/A</t>
        </is>
      </c>
      <c r="BR466" s="63" t="inlineStr">
        <is>
          <t>N/A</t>
        </is>
      </c>
      <c r="BS466" s="76" t="inlineStr">
        <is>
          <t>Jefferies Hong Kong Limited; Deutsche Securities Asia Limited; CITIC Securities (Hong Kong) Limited</t>
        </is>
      </c>
      <c r="BT466" s="63" t="inlineStr">
        <is>
          <t>Jefferies Hong Kong Limited; CITIC Securities (Hong Kong) Limited; Deutsche Securities Asia Limited</t>
        </is>
      </c>
      <c r="BU466" s="63" t="inlineStr">
        <is>
          <t>Futu Securities International (Hong Kong) Limited</t>
        </is>
      </c>
      <c r="BV466" s="63" t="inlineStr">
        <is>
          <t>CLSA Limited; CMB International Capital Limited; Deutsche Bank AG, Hong Kong Branch; Futu Securities International (Hong Kong) Limited; Jefferies Hong Kong Limited</t>
        </is>
      </c>
      <c r="BW466" s="78">
        <f>HYPERLINK("https://www1.hkexnews.hk/listedco/listconews/sehk/2026/0505/2026050500019.pdf","prospectus")</f>
        <v/>
      </c>
      <c r="BX466" s="78">
        <f>HYPERLINK("https://www1.hkexnews.hk/listedco/listconews/sehk/2026/0512/2026051201482.pdf","allotment")</f>
        <v/>
      </c>
      <c r="BY466" s="78">
        <f>HYPERLINK("https://www1.hkexnews.hk/listedco/listconews/sehk/2026/0605/2026060501450.pdf","stabilisation")</f>
        <v/>
      </c>
      <c r="BZ466" s="76" t="n"/>
      <c r="CA466" s="63" t="inlineStr">
        <is>
          <t>P/E: n/m — loss-making at IPO (use P/S) · range low: cap-only pricing — the filing publishes a Maximum Offer Price and no indicative floor · A/H: no A-share listing · grey market: no grey-market headline on file for this deal — AAStocks publishes one per listing but keeps only recent items on the stock's news page, and no public archive of past evening sessions exists; captured from this run onward</t>
        </is>
      </c>
    </row>
    <row r="467" ht="15" customHeight="1">
      <c r="A467" s="62" t="inlineStr">
        <is>
          <t>6871</t>
        </is>
      </c>
      <c r="B467" s="63" t="inlineStr">
        <is>
          <t>ROBOTPHOENIX</t>
        </is>
      </c>
      <c r="C467" s="63" t="inlineStr">
        <is>
          <t>翼菲科技</t>
        </is>
      </c>
      <c r="D467" s="63" t="inlineStr">
        <is>
          <t>Tech/AI</t>
        </is>
      </c>
      <c r="E467" s="63" t="inlineStr">
        <is>
          <t>Robotics &amp; autonomous driving</t>
        </is>
      </c>
      <c r="F467" s="63" t="inlineStr">
        <is>
          <t>Advanced hardware and software</t>
        </is>
      </c>
      <c r="G467" s="63" t="inlineStr">
        <is>
          <t>Standard</t>
        </is>
      </c>
      <c r="H467" s="64" t="n">
        <v>46160</v>
      </c>
      <c r="I467" s="65" t="n">
        <v>750.3</v>
      </c>
      <c r="J467" s="63" t="inlineStr">
        <is>
          <t>gross (stated)</t>
        </is>
      </c>
      <c r="K467" s="66" t="n"/>
      <c r="L467" s="66" t="n">
        <v>30.5</v>
      </c>
      <c r="M467" s="66" t="n">
        <v>30.5</v>
      </c>
      <c r="N467" s="63" t="inlineStr">
        <is>
          <t>Y</t>
        </is>
      </c>
      <c r="O467" s="67" t="n">
        <v>100</v>
      </c>
      <c r="P467" s="67" t="n"/>
      <c r="Q467" s="68" t="n">
        <v>7471.1</v>
      </c>
      <c r="R467" s="63" t="inlineStr">
        <is>
          <t>derived:price x shares upon listing</t>
        </is>
      </c>
      <c r="S467" s="69" t="n">
        <v>14855.4</v>
      </c>
      <c r="T467" s="70" t="n">
        <v>9.77</v>
      </c>
      <c r="U467" s="71" t="n">
        <v>0</v>
      </c>
      <c r="V467" s="68" t="n">
        <v>750.3</v>
      </c>
      <c r="W467" s="68" t="n">
        <v>24600000</v>
      </c>
      <c r="X467" s="67" t="n">
        <v>10.04</v>
      </c>
      <c r="Y467" s="63" t="n"/>
      <c r="Z467" s="63" t="n"/>
      <c r="AA467" s="67" t="n"/>
      <c r="AB467" s="72" t="n">
        <v>79.2</v>
      </c>
      <c r="AC467" s="66" t="n">
        <v>54.65</v>
      </c>
      <c r="AD467" s="72" t="n">
        <v>-1.66</v>
      </c>
      <c r="AE467" s="63" t="inlineStr">
        <is>
          <t>Y</t>
        </is>
      </c>
      <c r="AF467" s="63" t="inlineStr">
        <is>
          <t>2026-05-18</t>
        </is>
      </c>
      <c r="AG467" s="63" t="n"/>
      <c r="AH467" s="63" t="n"/>
      <c r="AI467" s="63" t="n"/>
      <c r="AJ467" s="63" t="n"/>
      <c r="AK467" s="73" t="n">
        <v>76.23</v>
      </c>
      <c r="AL467" s="72" t="n">
        <v>79.18000000000001</v>
      </c>
      <c r="AM467" s="72" t="n">
        <v>-1.65</v>
      </c>
      <c r="AN467" s="72" t="n">
        <v>12.72</v>
      </c>
      <c r="AO467" s="72" t="n">
        <v>23.28</v>
      </c>
      <c r="AP467" s="72" t="n">
        <v>7.54</v>
      </c>
      <c r="AQ467" s="72" t="n">
        <v>-36.04</v>
      </c>
      <c r="AR467" s="72" t="n">
        <v>-30.05</v>
      </c>
      <c r="AS467" s="72" t="n">
        <v>-38.98</v>
      </c>
      <c r="AT467" s="72" t="n">
        <v>12.51</v>
      </c>
      <c r="AU467" s="72" t="n">
        <v>28.75</v>
      </c>
      <c r="AV467" s="72" t="n">
        <v>11.23</v>
      </c>
      <c r="AW467" s="72" t="n">
        <v>-26.46</v>
      </c>
      <c r="AX467" s="72" t="n">
        <v>-5.47</v>
      </c>
      <c r="AY467" s="72" t="n">
        <v>-3.59</v>
      </c>
      <c r="AZ467" s="63" t="inlineStr">
        <is>
          <t>HSTECH (Hang Seng TECH ETF)</t>
        </is>
      </c>
      <c r="BA467" s="72" t="n">
        <v>-10.75</v>
      </c>
      <c r="BB467" s="64" t="inlineStr">
        <is>
          <t>2026-08-28</t>
        </is>
      </c>
      <c r="BC467" s="65" t="n">
        <v>426.1</v>
      </c>
      <c r="BD467" s="68" t="n">
        <v>-168.2</v>
      </c>
      <c r="BE467" s="63" t="inlineStr">
        <is>
          <t>N</t>
        </is>
      </c>
      <c r="BF467" s="63" t="inlineStr">
        <is>
          <t>n/m</t>
        </is>
      </c>
      <c r="BG467" s="74" t="n"/>
      <c r="BH467" s="74" t="n"/>
      <c r="BI467" s="74" t="n">
        <v>17.5</v>
      </c>
      <c r="BJ467" s="75">
        <f>IF('BBG Verify'!S467="","not filed — run on terminal",'BBG Verify'!S467)</f>
        <v/>
      </c>
      <c r="BK467" s="76" t="inlineStr">
        <is>
          <t>N</t>
        </is>
      </c>
      <c r="BL467" s="77">
        <f>IF('BBG Verify'!K467="","not filed — run on terminal",'BBG Verify'!K467)</f>
        <v/>
      </c>
      <c r="BM467" s="63" t="inlineStr">
        <is>
          <t>N/A</t>
        </is>
      </c>
      <c r="BN467" s="63" t="inlineStr">
        <is>
          <t>N/A</t>
        </is>
      </c>
      <c r="BO467" s="63" t="inlineStr">
        <is>
          <t>N/A</t>
        </is>
      </c>
      <c r="BP467" s="63" t="inlineStr">
        <is>
          <t>N/A</t>
        </is>
      </c>
      <c r="BQ467" s="63" t="inlineStr">
        <is>
          <t>N/A</t>
        </is>
      </c>
      <c r="BR467" s="63" t="inlineStr">
        <is>
          <t>N/A</t>
        </is>
      </c>
      <c r="BS467" s="76" t="inlineStr">
        <is>
          <t>ABCI Capital Limited; Sponsor-OC ABCI Capital Limited</t>
        </is>
      </c>
      <c r="BT467" s="63" t="inlineStr">
        <is>
          <t>ABCI Capital Limited</t>
        </is>
      </c>
      <c r="BU467" s="63" t="inlineStr">
        <is>
          <t>ABCI Capital Limited; CLSA Limited; Ping An Securities (Hong Kong) Company Limited; China Industrial Securities International Capital Limited; CMBC Securities Company Limited; Huafu International Securities Limited; Shenwan Hongyuan Securities (H.K.) Limited; SPDB International Capital Limited</t>
        </is>
      </c>
      <c r="BV467" s="63" t="inlineStr">
        <is>
          <t>ABCI Securities Company Limited; China Industrial Securities International Capital Limited; CLSA Limited; CMBC Securities Company Limited; Emperor Securities Limited; Futu Securities International (Hong Kong) Limited; Huafu International Securities Limited; Livermore Holdings Limited; Ping An Securities (Hong Kong) Company Limited; Shenwan Hongyuan Securities (H.K.) Limited; SPDB International Capital Limited; Tiger Brokers (HK) Global Limited</t>
        </is>
      </c>
      <c r="BW467" s="78">
        <f>HYPERLINK("https://www1.hkexnews.hk/listedco/listconews/sehk/2026/0508/2026050800015.pdf","prospectus")</f>
        <v/>
      </c>
      <c r="BX467" s="78">
        <f>HYPERLINK("https://www1.hkexnews.hk/listedco/listconews/sehk/2026/0515/2026051502141.pdf","allotment")</f>
        <v/>
      </c>
      <c r="BY467" s="63" t="n"/>
      <c r="BZ467" s="76" t="n"/>
      <c r="CA467" s="63" t="inlineStr">
        <is>
          <t>P/E: n/m — loss-making at IPO (use P/S) · greenshoe: no over-allotment option in the offer structure · range low: cap-only pricing — the filing publishes a Maximum Offer Price and no indicative floor · A/H: no A-share listing · market cap: prospectus 'market capitalisation' line rejected — it is the listing-rule threshold, not the issuer's figure ("efined in the Listing Rules) with reference to our expected market capitalization at the time of Listing, whic") · cornerstone list: no cornerstone tranche in this deal · greenshoe size: no over-allotment option in the offer structure · stabilising manager: no over-allotment option in the offer structure, so no stabilising manager is appointed</t>
        </is>
      </c>
    </row>
    <row r="468" ht="15" customHeight="1">
      <c r="A468" s="62" t="inlineStr">
        <is>
          <t>1511</t>
        </is>
      </c>
      <c r="B468" s="63" t="inlineStr">
        <is>
          <t>UISEE TECH</t>
        </is>
      </c>
      <c r="C468" s="63" t="inlineStr">
        <is>
          <t>馭勢科技</t>
        </is>
      </c>
      <c r="D468" s="63" t="inlineStr">
        <is>
          <t>Tech/AI</t>
        </is>
      </c>
      <c r="E468" s="63" t="inlineStr">
        <is>
          <t>Robotics &amp; autonomous driving</t>
        </is>
      </c>
      <c r="F468" s="63" t="inlineStr">
        <is>
          <t>Advanced hardware and software</t>
        </is>
      </c>
      <c r="G468" s="63" t="inlineStr">
        <is>
          <t>Standard</t>
        </is>
      </c>
      <c r="H468" s="64" t="n">
        <v>46162</v>
      </c>
      <c r="I468" s="65" t="n">
        <v>872</v>
      </c>
      <c r="J468" s="63" t="inlineStr">
        <is>
          <t>gross (stated)</t>
        </is>
      </c>
      <c r="K468" s="66" t="n"/>
      <c r="L468" s="66" t="n">
        <v>60.3</v>
      </c>
      <c r="M468" s="66" t="n">
        <v>60.3</v>
      </c>
      <c r="N468" s="63" t="inlineStr">
        <is>
          <t>Y</t>
        </is>
      </c>
      <c r="O468" s="67" t="n">
        <v>100</v>
      </c>
      <c r="P468" s="67" t="n"/>
      <c r="Q468" s="68" t="n">
        <v>9797.799999999999</v>
      </c>
      <c r="R468" s="63" t="inlineStr">
        <is>
          <t>derived:price x shares upon listing</t>
        </is>
      </c>
      <c r="S468" s="69" t="n">
        <v>6777.29</v>
      </c>
      <c r="T468" s="70" t="n">
        <v>5.66</v>
      </c>
      <c r="U468" s="71" t="n">
        <v>29.96</v>
      </c>
      <c r="V468" s="68" t="n">
        <v>610.75</v>
      </c>
      <c r="W468" s="68" t="n">
        <v>10128624</v>
      </c>
      <c r="X468" s="67" t="n">
        <v>6.23</v>
      </c>
      <c r="Y468" s="63" t="inlineStr">
        <is>
          <t>CYGG Holding Limited; Starwin International A LPF; Xiongan Autonomous Driving Limited</t>
        </is>
      </c>
      <c r="Z468" s="63" t="inlineStr">
        <is>
          <t>cygg;starwin;xiongan</t>
        </is>
      </c>
      <c r="AA468" s="67" t="n"/>
      <c r="AB468" s="72" t="n">
        <v>-1.2</v>
      </c>
      <c r="AC468" s="66" t="n">
        <v>59.55</v>
      </c>
      <c r="AD468" s="72" t="n">
        <v>-3.48</v>
      </c>
      <c r="AE468" s="63" t="inlineStr">
        <is>
          <t>Y</t>
        </is>
      </c>
      <c r="AF468" s="63" t="inlineStr">
        <is>
          <t>2026-05-20</t>
        </is>
      </c>
      <c r="AG468" s="63" t="n"/>
      <c r="AH468" s="63" t="n"/>
      <c r="AI468" s="63" t="n"/>
      <c r="AJ468" s="63" t="n"/>
      <c r="AK468" s="73" t="n">
        <v>-4.64</v>
      </c>
      <c r="AL468" s="72" t="n">
        <v>-7.13</v>
      </c>
      <c r="AM468" s="72" t="n">
        <v>2.68</v>
      </c>
      <c r="AN468" s="72" t="n">
        <v>22.31</v>
      </c>
      <c r="AO468" s="72" t="n">
        <v>68.66</v>
      </c>
      <c r="AP468" s="72" t="n">
        <v>-0.83</v>
      </c>
      <c r="AQ468" s="72" t="n">
        <v>28.26</v>
      </c>
      <c r="AR468" s="72" t="n">
        <v>76.87</v>
      </c>
      <c r="AS468" s="72" t="n">
        <v>4</v>
      </c>
      <c r="AT468" s="72" t="n">
        <v>21.85</v>
      </c>
      <c r="AU468" s="72" t="n">
        <v>74.88</v>
      </c>
      <c r="AV468" s="72" t="n">
        <v>2.41</v>
      </c>
      <c r="AW468" s="72" t="n">
        <v>83.29000000000001</v>
      </c>
      <c r="AX468" s="72" t="n">
        <v>-6.22</v>
      </c>
      <c r="AY468" s="72" t="n">
        <v>-6.42</v>
      </c>
      <c r="AZ468" s="63" t="inlineStr">
        <is>
          <t>HSTECH (Hang Seng TECH ETF)</t>
        </is>
      </c>
      <c r="BA468" s="72" t="n">
        <v>0.08</v>
      </c>
      <c r="BB468" s="64" t="inlineStr">
        <is>
          <t>2026-08-28</t>
        </is>
      </c>
      <c r="BC468" s="65" t="n">
        <v>161.3</v>
      </c>
      <c r="BD468" s="68" t="n">
        <v>-253.2</v>
      </c>
      <c r="BE468" s="63" t="inlineStr">
        <is>
          <t>N</t>
        </is>
      </c>
      <c r="BF468" s="63" t="inlineStr">
        <is>
          <t>n/m</t>
        </is>
      </c>
      <c r="BG468" s="74" t="n"/>
      <c r="BH468" s="74" t="n"/>
      <c r="BI468" s="74" t="n">
        <v>60.7</v>
      </c>
      <c r="BJ468" s="75">
        <f>IF('BBG Verify'!S468="","not filed — run on terminal",'BBG Verify'!S468)</f>
        <v/>
      </c>
      <c r="BK468" s="76" t="inlineStr">
        <is>
          <t>N</t>
        </is>
      </c>
      <c r="BL468" s="77">
        <f>IF('BBG Verify'!K468="","not filed — run on terminal",'BBG Verify'!K468)</f>
        <v/>
      </c>
      <c r="BM468" s="63" t="inlineStr">
        <is>
          <t>N/A</t>
        </is>
      </c>
      <c r="BN468" s="63" t="inlineStr">
        <is>
          <t>N/A</t>
        </is>
      </c>
      <c r="BO468" s="63" t="inlineStr">
        <is>
          <t>N/A</t>
        </is>
      </c>
      <c r="BP468" s="63" t="inlineStr">
        <is>
          <t>N/A</t>
        </is>
      </c>
      <c r="BQ468" s="63" t="inlineStr">
        <is>
          <t>N/A</t>
        </is>
      </c>
      <c r="BR468" s="63" t="inlineStr">
        <is>
          <t>N/A</t>
        </is>
      </c>
      <c r="BS468" s="76" t="inlineStr">
        <is>
          <t>CITIC Securities (Hong Kong) Limited</t>
        </is>
      </c>
      <c r="BT468" s="63" t="inlineStr">
        <is>
          <t>CITIC Securities (Hong Kong) Limited</t>
        </is>
      </c>
      <c r="BU468" s="63" t="inlineStr">
        <is>
          <t>Hong Tai Securities Limited; Futu Securities International (Hong Kong) Limited; CEB International Capital Corporation Limited; uSmart Securities Limited; Quam Securities Limited; Lego Securities Limited; Patrons Securities Limited; SBI China Capital Financial Services Limited; CLSA Limited; BOCOM International Securities Limited; DBS Asia Capital Limited; China Galaxy International Securities (Hong Kong) Co., Limited</t>
        </is>
      </c>
      <c r="BV468" s="63" t="inlineStr">
        <is>
          <t>BOCOM International Securities Limited; CEB International Capital Corporation Limited; China Galaxy International Securities (Hong Kong) Company Limited; CLSA Limited; CNCB (Hong Kong) Capital Limited; DBS Asia Capital Limited; Futu Securities International (Hong Kong) Limited; Hong Tai Securities Limited; Lego Securities Limited; Patrons Securities Limited; Quam Securities Limited; SBI China Capital Financial Services Limited</t>
        </is>
      </c>
      <c r="BW468" s="78">
        <f>HYPERLINK("https://www1.hkexnews.hk/listedco/listconews/sehk/2026/0512/2026051200147.pdf","prospectus")</f>
        <v/>
      </c>
      <c r="BX468" s="78">
        <f>HYPERLINK("https://www1.hkexnews.hk/listedco/listconews/sehk/2026/0519/2026051901257.pdf","allotment")</f>
        <v/>
      </c>
      <c r="BY468" s="63" t="n"/>
      <c r="BZ468" s="76" t="n"/>
      <c r="CA468" s="63" t="inlineStr">
        <is>
          <t>P/E: n/m — loss-making at IPO (use P/S) · greenshoe: no over-allotment option in the offer structure · range low: cap-only pricing — the filing publishes a Maximum Offer Price and no indicative floor · A/H: no A-share listing · market cap: prospectus 'market capitalisation' line rejected — it is the listing-rule threshold, not the issuer's figure ("024) as a Commercial Company with reference to our expected market capitalization at the time of Listing, whic") · greenshoe size: no over-allotment option in the offer structure · stabilising manager: no over-allotment option in the offer structure, so no stabilising manager is appointed</t>
        </is>
      </c>
    </row>
    <row r="469" ht="15" customHeight="1">
      <c r="A469" s="62" t="inlineStr">
        <is>
          <t>7688</t>
        </is>
      </c>
      <c r="B469" s="63" t="inlineStr">
        <is>
          <t>TOPNC</t>
        </is>
      </c>
      <c r="C469" s="63" t="inlineStr">
        <is>
          <t>拓璞數控</t>
        </is>
      </c>
      <c r="D469" s="63" t="inlineStr">
        <is>
          <t>Industrials</t>
        </is>
      </c>
      <c r="E469" s="63" t="inlineStr">
        <is>
          <t>Capital goods / machinery</t>
        </is>
      </c>
      <c r="F469" s="63" t="inlineStr">
        <is>
          <t>Electrical Components &amp; Equipment</t>
        </is>
      </c>
      <c r="G469" s="63" t="inlineStr">
        <is>
          <t>Standard</t>
        </is>
      </c>
      <c r="H469" s="64" t="n">
        <v>46162</v>
      </c>
      <c r="I469" s="65" t="n">
        <v>1724</v>
      </c>
      <c r="J469" s="63" t="inlineStr">
        <is>
          <t>gross (stated)</t>
        </is>
      </c>
      <c r="K469" s="66" t="n"/>
      <c r="L469" s="66" t="n">
        <v>26.39</v>
      </c>
      <c r="M469" s="66" t="n">
        <v>26.39</v>
      </c>
      <c r="N469" s="63" t="inlineStr">
        <is>
          <t>Y</t>
        </is>
      </c>
      <c r="O469" s="67" t="n">
        <v>100</v>
      </c>
      <c r="P469" s="67" t="n"/>
      <c r="Q469" s="68" t="n">
        <v>9631.299999999999</v>
      </c>
      <c r="R469" s="63" t="inlineStr">
        <is>
          <t>derived:deal size / offer % of enlarged capital</t>
        </is>
      </c>
      <c r="S469" s="69" t="n">
        <v>3764.63</v>
      </c>
      <c r="T469" s="70" t="n">
        <v>30.46</v>
      </c>
      <c r="U469" s="71" t="n">
        <v>50</v>
      </c>
      <c r="V469" s="68" t="n">
        <v>862</v>
      </c>
      <c r="W469" s="68" t="n">
        <v>32665000</v>
      </c>
      <c r="X469" s="67" t="n">
        <v>8.949999999999999</v>
      </c>
      <c r="Y469" s="63" t="inlineStr">
        <is>
          <t>3W Fund Management Limited; Boyu Capital Management (Singapore) Pte. Ltd; CDH Global Frontier Ventures Limited; China Asset Management (Hong Kong) Limited; Fullgoal Asset Management (HK) Limited; Fullgoal Fund Management Co., Ltd; Goldman Sachs Asset Management (Hong Kong) Limited; HHLRA Advisors, Ltd; Mirae Asset Securities (HK) Limited; RBC China Equity Fund; Shanghai Minhang Financial Investment Development Co., Ltd; UBS Asset Management (Singapore) Ltd</t>
        </is>
      </c>
      <c r="Z469" s="63" t="inlineStr">
        <is>
          <t>3w;boyu;cdh;china-asset;fullgoal;goldman;hhlra;mirae;rbc;shanghai-minhang;ubs</t>
        </is>
      </c>
      <c r="AA469" s="67" t="n">
        <v>15</v>
      </c>
      <c r="AB469" s="72" t="n"/>
      <c r="AC469" s="66" t="n"/>
      <c r="AD469" s="72" t="n"/>
      <c r="AE469" s="63" t="n"/>
      <c r="AF469" s="63" t="n"/>
      <c r="AG469" s="63" t="inlineStr">
        <is>
          <t>full</t>
        </is>
      </c>
      <c r="AH469" s="63" t="n"/>
      <c r="AI469" s="63" t="inlineStr">
        <is>
          <t>Guotai Junan Securities</t>
        </is>
      </c>
      <c r="AJ469" s="63" t="inlineStr">
        <is>
          <t>Guotai Junan</t>
        </is>
      </c>
      <c r="AK469" s="73" t="n">
        <v>79.98999999999999</v>
      </c>
      <c r="AL469" s="72" t="n">
        <v>40.2</v>
      </c>
      <c r="AM469" s="72" t="n">
        <v>28.38</v>
      </c>
      <c r="AN469" s="72" t="n">
        <v>35.66</v>
      </c>
      <c r="AO469" s="72" t="n">
        <v>11.25</v>
      </c>
      <c r="AP469" s="72" t="n">
        <v>-38.8</v>
      </c>
      <c r="AQ469" s="72" t="n">
        <v>-24.63</v>
      </c>
      <c r="AR469" s="72" t="n">
        <v>-38.19</v>
      </c>
      <c r="AS469" s="72" t="n">
        <v>-66</v>
      </c>
      <c r="AT469" s="72" t="n">
        <v>39.23</v>
      </c>
      <c r="AU469" s="72" t="n">
        <v>21.16</v>
      </c>
      <c r="AV469" s="72" t="n">
        <v>-37.74</v>
      </c>
      <c r="AW469" s="72" t="n">
        <v>-28.59</v>
      </c>
      <c r="AX469" s="72" t="n">
        <v>-9.91</v>
      </c>
      <c r="AY469" s="72" t="n">
        <v>-9.6</v>
      </c>
      <c r="AZ469" s="63" t="inlineStr">
        <is>
          <t>Hang Seng Commerce &amp; Industry sub-index</t>
        </is>
      </c>
      <c r="BA469" s="72" t="n">
        <v>-40.62</v>
      </c>
      <c r="BB469" s="64" t="inlineStr">
        <is>
          <t>2026-08-28</t>
        </is>
      </c>
      <c r="BC469" s="65" t="n">
        <v>635.8</v>
      </c>
      <c r="BD469" s="68" t="n"/>
      <c r="BE469" s="63" t="inlineStr">
        <is>
          <t>Y</t>
        </is>
      </c>
      <c r="BF469" s="75">
        <f>IF('BBG Verify'!O469="","not filed — run on terminal",'BBG Verify'!O469)</f>
        <v/>
      </c>
      <c r="BG469" s="74" t="n"/>
      <c r="BH469" s="74" t="n"/>
      <c r="BI469" s="74" t="n">
        <v>15.1</v>
      </c>
      <c r="BJ469" s="75">
        <f>IF('BBG Verify'!S469="","not filed — run on terminal",'BBG Verify'!S469)</f>
        <v/>
      </c>
      <c r="BK469" s="76" t="inlineStr">
        <is>
          <t>N</t>
        </is>
      </c>
      <c r="BL469" s="77">
        <f>IF('BBG Verify'!K469="","not filed — run on terminal",'BBG Verify'!K469)</f>
        <v/>
      </c>
      <c r="BM469" s="63" t="inlineStr">
        <is>
          <t>N/A</t>
        </is>
      </c>
      <c r="BN469" s="63" t="inlineStr">
        <is>
          <t>N/A</t>
        </is>
      </c>
      <c r="BO469" s="63" t="inlineStr">
        <is>
          <t>N/A</t>
        </is>
      </c>
      <c r="BP469" s="63" t="inlineStr">
        <is>
          <t>N/A</t>
        </is>
      </c>
      <c r="BQ469" s="63" t="inlineStr">
        <is>
          <t>N/A</t>
        </is>
      </c>
      <c r="BR469" s="63" t="inlineStr">
        <is>
          <t>N/A</t>
        </is>
      </c>
      <c r="BS469" s="76" t="inlineStr">
        <is>
          <t>Guotai Junan Capital Limited; CCB International Capital Limited</t>
        </is>
      </c>
      <c r="BT469" s="63" t="inlineStr">
        <is>
          <t>CCB International Capital Limited; Guotai Junan Capital Limited</t>
        </is>
      </c>
      <c r="BU469" s="63" t="inlineStr">
        <is>
          <t>Guotai Junan Securities (Hong Kong) Limited; CCB International Capital Limited; SBI China Capital Financial Services Limited; BOCI Asia Limited; CMB International Capital Limited</t>
        </is>
      </c>
      <c r="BV469" s="63" t="inlineStr">
        <is>
          <t>BOCI Asia Limited; CCB International Capital Limited; CMB International Capital Limited; Guotai Junan Securities (Hong Kong) Limited; SBI China Capital Financial Services Limited</t>
        </is>
      </c>
      <c r="BW469" s="78">
        <f>HYPERLINK("https://www1.hkexnews.hk/listedco/listconews/sehk/2026/0512/2026051200017.pdf","prospectus")</f>
        <v/>
      </c>
      <c r="BX469" s="78">
        <f>HYPERLINK("https://www1.hkexnews.hk/listedco/listconews/sehk/2026/0519/2026051901261.pdf","allotment")</f>
        <v/>
      </c>
      <c r="BY469" s="78">
        <f>HYPERLINK("https://www1.hkexnews.hk/listedco/listconews/sehk/2026/0614/2026061400165.pdf","stabilisation")</f>
        <v/>
      </c>
      <c r="BZ469" s="76" t="n"/>
      <c r="CA469" s="63" t="inlineStr">
        <is>
          <t>P/E: withheld — mktcap / net income gives 32,104x, which fails the 300x plausibility check; the extracted net income (HK$0.3m) is not trustworthy · greenshoe: over-allotment outcome already published, and the allotment announcement does not state the stabilisation expiry in a parsable form — the expiry no longer matters once resolved · range low: cap-only pricing — the filing publishes a Maximum Offer Price and no indicative floor · A/H: no A-share listing · financials: financial tables not machine-extractable and the pre-IPO year is outside AAStocks' 5-year window · grey market: no grey-market headline on file for this deal — AAStocks publishes one per listing but keeps only recent items on the stock's news page, and no public archive of past evening sessions exists; captured from this run onward</t>
        </is>
      </c>
    </row>
    <row r="470" ht="15" customHeight="1">
      <c r="A470" s="62" t="inlineStr">
        <is>
          <t>6872</t>
        </is>
      </c>
      <c r="B470" s="63" t="inlineStr">
        <is>
          <t>TENNOR THERAP-B</t>
        </is>
      </c>
      <c r="C470" s="63" t="inlineStr">
        <is>
          <t>丹諾醫藥－B</t>
        </is>
      </c>
      <c r="D470" s="63" t="inlineStr">
        <is>
          <t>Healthcare</t>
        </is>
      </c>
      <c r="E470" s="63" t="inlineStr">
        <is>
          <t>Biotech pre-revenue (18A)</t>
        </is>
      </c>
      <c r="F470" s="63" t="inlineStr">
        <is>
          <t>Pharmaceuticals</t>
        </is>
      </c>
      <c r="G470" s="63" t="inlineStr">
        <is>
          <t>18A</t>
        </is>
      </c>
      <c r="H470" s="64" t="n">
        <v>46164</v>
      </c>
      <c r="I470" s="65" t="n">
        <v>670.4</v>
      </c>
      <c r="J470" s="63" t="inlineStr">
        <is>
          <t>gross (stated)</t>
        </is>
      </c>
      <c r="K470" s="66" t="n"/>
      <c r="L470" s="66" t="n">
        <v>75.7</v>
      </c>
      <c r="M470" s="66" t="n">
        <v>75.7</v>
      </c>
      <c r="N470" s="63" t="inlineStr">
        <is>
          <t>Y</t>
        </is>
      </c>
      <c r="O470" s="67" t="n">
        <v>100</v>
      </c>
      <c r="P470" s="67" t="n"/>
      <c r="Q470" s="68" t="n">
        <v>3961.3</v>
      </c>
      <c r="R470" s="63" t="inlineStr">
        <is>
          <t>derived:price x shares upon listing</t>
        </is>
      </c>
      <c r="S470" s="69" t="n">
        <v>9015.110000000001</v>
      </c>
      <c r="T470" s="70" t="n">
        <v>9.24</v>
      </c>
      <c r="U470" s="71" t="n">
        <v>34.81</v>
      </c>
      <c r="V470" s="68" t="n">
        <v>437.03</v>
      </c>
      <c r="W470" s="68" t="n">
        <v>5773226</v>
      </c>
      <c r="X470" s="67" t="n">
        <v>11.03</v>
      </c>
      <c r="Y470" s="63" t="inlineStr">
        <is>
          <t>AMR Action Fund, L.P; AMR Action Fund, SCSp; Hua Yuan International Limited; June Star Global Limited; Orient Asset Management (Hong Kong) Limited</t>
        </is>
      </c>
      <c r="Z470" s="63" t="inlineStr">
        <is>
          <t>amr;hua;june;orient</t>
        </is>
      </c>
      <c r="AA470" s="67" t="n">
        <v>5.5</v>
      </c>
      <c r="AB470" s="72" t="n">
        <v>94.8</v>
      </c>
      <c r="AC470" s="66" t="n">
        <v>147.5</v>
      </c>
      <c r="AD470" s="72" t="n">
        <v>43.09</v>
      </c>
      <c r="AE470" s="63" t="inlineStr">
        <is>
          <t>Y</t>
        </is>
      </c>
      <c r="AF470" s="63" t="inlineStr">
        <is>
          <t>2026-05-22</t>
        </is>
      </c>
      <c r="AG470" s="63" t="n"/>
      <c r="AH470" s="63" t="n"/>
      <c r="AI470" s="63" t="inlineStr">
        <is>
          <t>CLSA Limited</t>
        </is>
      </c>
      <c r="AJ470" s="63" t="inlineStr">
        <is>
          <t>CLSA</t>
        </is>
      </c>
      <c r="AK470" s="73" t="n">
        <v>178.73</v>
      </c>
      <c r="AL470" s="72" t="n">
        <v>98.15000000000001</v>
      </c>
      <c r="AM470" s="72" t="n">
        <v>40.67</v>
      </c>
      <c r="AN470" s="72" t="n">
        <v>166.84</v>
      </c>
      <c r="AO470" s="72" t="n">
        <v>248.22</v>
      </c>
      <c r="AP470" s="72" t="n">
        <v>164.99</v>
      </c>
      <c r="AQ470" s="72" t="n">
        <v>-4.27</v>
      </c>
      <c r="AR470" s="72" t="n">
        <v>24.93</v>
      </c>
      <c r="AS470" s="72" t="n">
        <v>-4.93</v>
      </c>
      <c r="AT470" s="72" t="n">
        <v>169.52</v>
      </c>
      <c r="AU470" s="72" t="n">
        <v>256.1</v>
      </c>
      <c r="AV470" s="72" t="n">
        <v>153.42</v>
      </c>
      <c r="AW470" s="72" t="n">
        <v>31.94</v>
      </c>
      <c r="AX470" s="72" t="n">
        <v>-7.88</v>
      </c>
      <c r="AY470" s="72" t="n">
        <v>-7.01</v>
      </c>
      <c r="AZ470" s="63" t="inlineStr">
        <is>
          <t>China Biotech ETF (HS biotech proxy)</t>
        </is>
      </c>
      <c r="BA470" s="72" t="n">
        <v>148.61</v>
      </c>
      <c r="BB470" s="64" t="inlineStr">
        <is>
          <t>2026-08-28</t>
        </is>
      </c>
      <c r="BC470" s="65" t="n">
        <v>0</v>
      </c>
      <c r="BD470" s="68" t="n">
        <v>-168.5</v>
      </c>
      <c r="BE470" s="63" t="inlineStr">
        <is>
          <t>N</t>
        </is>
      </c>
      <c r="BF470" s="63" t="inlineStr">
        <is>
          <t>n/m</t>
        </is>
      </c>
      <c r="BG470" s="74" t="n"/>
      <c r="BH470" s="74" t="n"/>
      <c r="BI470" s="63" t="inlineStr">
        <is>
          <t>pre-rev</t>
        </is>
      </c>
      <c r="BJ470" s="75">
        <f>IF('BBG Verify'!S470="","not filed — run on terminal",'BBG Verify'!S470)</f>
        <v/>
      </c>
      <c r="BK470" s="76" t="inlineStr">
        <is>
          <t>N</t>
        </is>
      </c>
      <c r="BL470" s="77">
        <f>IF('BBG Verify'!K470="","not filed — run on terminal",'BBG Verify'!K470)</f>
        <v/>
      </c>
      <c r="BM470" s="63" t="inlineStr">
        <is>
          <t>N/A</t>
        </is>
      </c>
      <c r="BN470" s="63" t="inlineStr">
        <is>
          <t>N/A</t>
        </is>
      </c>
      <c r="BO470" s="63" t="inlineStr">
        <is>
          <t>N/A</t>
        </is>
      </c>
      <c r="BP470" s="63" t="inlineStr">
        <is>
          <t>N/A</t>
        </is>
      </c>
      <c r="BQ470" s="63" t="inlineStr">
        <is>
          <t>N/A</t>
        </is>
      </c>
      <c r="BR470" s="63" t="inlineStr">
        <is>
          <t>N/A</t>
        </is>
      </c>
      <c r="BS470" s="76" t="inlineStr">
        <is>
          <t>CITIC Securities (Hong Kong) Limited; ABCI Capital Limited</t>
        </is>
      </c>
      <c r="BT470" s="63" t="inlineStr">
        <is>
          <t>CITIC Securities (Hong Kong) Limited; ABCI Capital Limited</t>
        </is>
      </c>
      <c r="BU470" s="63" t="inlineStr">
        <is>
          <t>CLSA Limited; ABCI Capital Limited; China Renaissance Securities (Hong Kong) Limited</t>
        </is>
      </c>
      <c r="BV470" s="63" t="inlineStr">
        <is>
          <t>ABCI Securities Company Limited; CLSA Limited; China Renaissance Securities (Hong Kong) Limited; Futu Securities International (Hong Kong) Limited; Tiger Brokers (HK) Global Limited</t>
        </is>
      </c>
      <c r="BW470" s="78">
        <f>HYPERLINK("https://www1.hkexnews.hk/listedco/listconews/sehk/2026/0514/2026051400013.pdf","prospectus")</f>
        <v/>
      </c>
      <c r="BX470" s="78">
        <f>HYPERLINK("https://www1.hkexnews.hk/listedco/listconews/sehk/2026/0521/2026052101298.pdf","allotment")</f>
        <v/>
      </c>
      <c r="BY470" s="63" t="n"/>
      <c r="BZ470" s="76" t="n"/>
      <c r="CA470" s="63" t="inlineStr">
        <is>
          <t>P/E: n/m — loss-making at IPO (use P/S) · greenshoe: end-of-stabilisation notice not located · range low: cap-only pricing — the filing publishes a Maximum Offer Price and no indicative floor · A/H: no A-share listing · P/S: no revenue line in the filed P&amp;L (pre-revenue issuer) — no sales multiple can exist; the cell reads pre-rev, not blank</t>
        </is>
      </c>
    </row>
    <row r="471" ht="15" customHeight="1">
      <c r="A471" s="62" t="inlineStr">
        <is>
          <t>3310</t>
        </is>
      </c>
      <c r="B471" s="63" t="inlineStr">
        <is>
          <t>VIEWTRIX TECH</t>
        </is>
      </c>
      <c r="C471" s="63" t="inlineStr">
        <is>
          <t>雲英谷科技</t>
        </is>
      </c>
      <c r="D471" s="63" t="inlineStr">
        <is>
          <t>Tech/AI</t>
        </is>
      </c>
      <c r="E471" s="63" t="inlineStr">
        <is>
          <t>AI chips &amp; semis</t>
        </is>
      </c>
      <c r="F471" s="63" t="inlineStr">
        <is>
          <t>Semiconductors &amp; Semiconductor Equipment</t>
        </is>
      </c>
      <c r="G471" s="63" t="inlineStr">
        <is>
          <t>Standard</t>
        </is>
      </c>
      <c r="H471" s="64" t="n">
        <v>46169</v>
      </c>
      <c r="I471" s="65" t="n">
        <v>1100</v>
      </c>
      <c r="J471" s="63" t="inlineStr">
        <is>
          <t>gross (stated)</t>
        </is>
      </c>
      <c r="K471" s="66" t="n"/>
      <c r="L471" s="66" t="n">
        <v>20.81</v>
      </c>
      <c r="M471" s="66" t="n">
        <v>20.81</v>
      </c>
      <c r="N471" s="63" t="inlineStr">
        <is>
          <t>Y</t>
        </is>
      </c>
      <c r="O471" s="67" t="n">
        <v>100</v>
      </c>
      <c r="P471" s="67" t="n"/>
      <c r="Q471" s="68" t="n">
        <v>7857.1</v>
      </c>
      <c r="R471" s="63" t="inlineStr">
        <is>
          <t>derived:deal size / offer % of enlarged capital</t>
        </is>
      </c>
      <c r="S471" s="69" t="n">
        <v>3559.68</v>
      </c>
      <c r="T471" s="70" t="n">
        <v>7.05</v>
      </c>
      <c r="U471" s="71" t="n">
        <v>35.37</v>
      </c>
      <c r="V471" s="68" t="n">
        <v>710.9299999999999</v>
      </c>
      <c r="W471" s="68" t="n">
        <v>34162901</v>
      </c>
      <c r="X471" s="67" t="n">
        <v>9.050000000000001</v>
      </c>
      <c r="Y471" s="63" t="inlineStr">
        <is>
          <t>Digital Vista GD Investment LP; SpreadCom Limited</t>
        </is>
      </c>
      <c r="Z471" s="63" t="inlineStr">
        <is>
          <t>digital;spreadcom</t>
        </is>
      </c>
      <c r="AA471" s="67" t="n">
        <v>15</v>
      </c>
      <c r="AB471" s="72" t="n">
        <v>20.8</v>
      </c>
      <c r="AC471" s="66" t="n">
        <v>25.14</v>
      </c>
      <c r="AD471" s="72" t="n">
        <v>58.72</v>
      </c>
      <c r="AE471" s="63" t="inlineStr">
        <is>
          <t>Y</t>
        </is>
      </c>
      <c r="AF471" s="63" t="inlineStr">
        <is>
          <t>2026-05-27</t>
        </is>
      </c>
      <c r="AG471" s="63" t="inlineStr">
        <is>
          <t>full</t>
        </is>
      </c>
      <c r="AH471" s="63" t="inlineStr">
        <is>
          <t>2026-06-20</t>
        </is>
      </c>
      <c r="AI471" s="63" t="inlineStr">
        <is>
          <t>China International Capital Corporation Hong Kong Securities Limited</t>
        </is>
      </c>
      <c r="AJ471" s="63" t="inlineStr">
        <is>
          <t>China International</t>
        </is>
      </c>
      <c r="AK471" s="73" t="n">
        <v>91.73</v>
      </c>
      <c r="AL471" s="72" t="n">
        <v>22.44</v>
      </c>
      <c r="AM471" s="72" t="n">
        <v>56.59</v>
      </c>
      <c r="AN471" s="72" t="n">
        <v>66.94</v>
      </c>
      <c r="AO471" s="72" t="n">
        <v>60.98</v>
      </c>
      <c r="AP471" s="72" t="n">
        <v>34.45</v>
      </c>
      <c r="AQ471" s="72" t="n">
        <v>-12.93</v>
      </c>
      <c r="AR471" s="72" t="n">
        <v>-16.04</v>
      </c>
      <c r="AS471" s="72" t="n">
        <v>-29.88</v>
      </c>
      <c r="AT471" s="72" t="n">
        <v>64.67</v>
      </c>
      <c r="AU471" s="72" t="n">
        <v>74.62</v>
      </c>
      <c r="AV471" s="72" t="n">
        <v>40.81</v>
      </c>
      <c r="AW471" s="72" t="n">
        <v>-3.09</v>
      </c>
      <c r="AX471" s="72" t="n">
        <v>-13.64</v>
      </c>
      <c r="AY471" s="72" t="n">
        <v>-12.95</v>
      </c>
      <c r="AZ471" s="63" t="inlineStr">
        <is>
          <t>HSTECH (Hang Seng TECH ETF)</t>
        </is>
      </c>
      <c r="BA471" s="72" t="n">
        <v>31.09</v>
      </c>
      <c r="BB471" s="64" t="inlineStr">
        <is>
          <t>2026-08-28</t>
        </is>
      </c>
      <c r="BC471" s="65" t="n">
        <v>980.4</v>
      </c>
      <c r="BD471" s="68" t="n">
        <v>-253.4</v>
      </c>
      <c r="BE471" s="63" t="inlineStr">
        <is>
          <t>N</t>
        </is>
      </c>
      <c r="BF471" s="63" t="inlineStr">
        <is>
          <t>n/m</t>
        </is>
      </c>
      <c r="BG471" s="74" t="n"/>
      <c r="BH471" s="74" t="n"/>
      <c r="BI471" s="74" t="n">
        <v>8</v>
      </c>
      <c r="BJ471" s="75">
        <f>IF('BBG Verify'!S471="","not filed — run on terminal",'BBG Verify'!S471)</f>
        <v/>
      </c>
      <c r="BK471" s="76" t="inlineStr">
        <is>
          <t>N</t>
        </is>
      </c>
      <c r="BL471" s="77">
        <f>IF('BBG Verify'!K471="","not filed — run on terminal",'BBG Verify'!K471)</f>
        <v/>
      </c>
      <c r="BM471" s="63" t="inlineStr">
        <is>
          <t>N/A</t>
        </is>
      </c>
      <c r="BN471" s="63" t="inlineStr">
        <is>
          <t>N/A</t>
        </is>
      </c>
      <c r="BO471" s="63" t="inlineStr">
        <is>
          <t>N/A</t>
        </is>
      </c>
      <c r="BP471" s="63" t="inlineStr">
        <is>
          <t>N/A</t>
        </is>
      </c>
      <c r="BQ471" s="63" t="inlineStr">
        <is>
          <t>N/A</t>
        </is>
      </c>
      <c r="BR471" s="63" t="inlineStr">
        <is>
          <t>N/A</t>
        </is>
      </c>
      <c r="BS471" s="76" t="inlineStr">
        <is>
          <t>China International Capital Corporation Hong Kong Securities Limited; CITIC Securities (Hong Kong) Limited</t>
        </is>
      </c>
      <c r="BT471" s="63" t="inlineStr">
        <is>
          <t>China International Capital Corporation Hong Kong Securities Limited; CITIC Securities (Hong Kong) Limited</t>
        </is>
      </c>
      <c r="BU471" s="63" t="inlineStr">
        <is>
          <t>CLSA Limited; GF Securities (Hong Kong) Brokerage Limited; A VICT Global Asset Management Limited; Webull Securities Limited</t>
        </is>
      </c>
      <c r="BV471" s="63" t="inlineStr">
        <is>
          <t>AVICT Global Asset Management Limited; China International Capital Corporation Hong Kong Securities Limited; CLSA Limited; GF Securities (Hong Kong) Brokerage Limited; Webull Securities Limited</t>
        </is>
      </c>
      <c r="BW471" s="78">
        <f>HYPERLINK("https://www1.hkexnews.hk/listedco/listconews/sehk/2026/0518/2026051800021.pdf","prospectus")</f>
        <v/>
      </c>
      <c r="BX471" s="78">
        <f>HYPERLINK("https://www1.hkexnews.hk/listedco/listconews/sehk/2026/0526/2026052601908.pdf","allotment")</f>
        <v/>
      </c>
      <c r="BY471" s="78">
        <f>HYPERLINK("https://www1.hkexnews.hk/listedco/listconews/sehk/2026/0621/2026062100023.pdf","stabilisation")</f>
        <v/>
      </c>
      <c r="BZ471" s="76" t="n"/>
      <c r="CA471" s="63" t="inlineStr">
        <is>
          <t>P/E: n/m — loss-making at IPO (use P/S) · range low: cap-only pricing — the filing publishes a Maximum Offer Price and no indicative floor · A/H: no A-share listing</t>
        </is>
      </c>
    </row>
    <row r="472" ht="15" customHeight="1">
      <c r="A472" s="62" t="inlineStr">
        <is>
          <t>2723</t>
        </is>
      </c>
      <c r="B472" s="63" t="inlineStr">
        <is>
          <t>DEEPZERO</t>
        </is>
      </c>
      <c r="C472" s="63" t="inlineStr">
        <is>
          <t>深演智能</t>
        </is>
      </c>
      <c r="D472" s="63" t="inlineStr">
        <is>
          <t>Tech/AI</t>
        </is>
      </c>
      <c r="E472" s="63" t="inlineStr">
        <is>
          <t>AI application / agent software</t>
        </is>
      </c>
      <c r="F472" s="63" t="inlineStr">
        <is>
          <t>Next-generation information technology</t>
        </is>
      </c>
      <c r="G472" s="63" t="inlineStr">
        <is>
          <t>Standard</t>
        </is>
      </c>
      <c r="H472" s="64" t="n">
        <v>46169</v>
      </c>
      <c r="I472" s="65" t="n">
        <v>503.3</v>
      </c>
      <c r="J472" s="63" t="inlineStr">
        <is>
          <t>gross (stated)</t>
        </is>
      </c>
      <c r="K472" s="66" t="n">
        <v>43.5</v>
      </c>
      <c r="L472" s="66" t="n">
        <v>55.5</v>
      </c>
      <c r="M472" s="66" t="n">
        <v>55.5</v>
      </c>
      <c r="N472" s="63" t="inlineStr">
        <is>
          <t>Y</t>
        </is>
      </c>
      <c r="O472" s="67" t="n">
        <v>100</v>
      </c>
      <c r="P472" s="67" t="n">
        <v>100</v>
      </c>
      <c r="Q472" s="68" t="n">
        <v>5032.7</v>
      </c>
      <c r="R472" s="63" t="inlineStr">
        <is>
          <t>derived:price x shares upon listing</t>
        </is>
      </c>
      <c r="S472" s="69" t="n">
        <v>5480.23</v>
      </c>
      <c r="T472" s="70" t="n">
        <v>3.41</v>
      </c>
      <c r="U472" s="71" t="n">
        <v>0</v>
      </c>
      <c r="V472" s="68" t="n">
        <v>503.3</v>
      </c>
      <c r="W472" s="68" t="n">
        <v>9068000</v>
      </c>
      <c r="X472" s="67" t="n">
        <v>10</v>
      </c>
      <c r="Y472" s="63" t="n"/>
      <c r="Z472" s="63" t="n"/>
      <c r="AA472" s="67" t="n"/>
      <c r="AB472" s="72" t="n">
        <v>168.5</v>
      </c>
      <c r="AC472" s="66" t="n">
        <v>149</v>
      </c>
      <c r="AD472" s="72" t="n">
        <v>36.23</v>
      </c>
      <c r="AE472" s="63" t="inlineStr">
        <is>
          <t>Y</t>
        </is>
      </c>
      <c r="AF472" s="63" t="inlineStr">
        <is>
          <t>2026-05-27</t>
        </is>
      </c>
      <c r="AG472" s="63" t="n"/>
      <c r="AH472" s="63" t="n"/>
      <c r="AI472" s="63" t="n"/>
      <c r="AJ472" s="63" t="n"/>
      <c r="AK472" s="73" t="n">
        <v>265.77</v>
      </c>
      <c r="AL472" s="72" t="n">
        <v>179.28</v>
      </c>
      <c r="AM472" s="72" t="n">
        <v>30.97</v>
      </c>
      <c r="AN472" s="72" t="n">
        <v>543.24</v>
      </c>
      <c r="AO472" s="72" t="n">
        <v>484.14</v>
      </c>
      <c r="AP472" s="72" t="n">
        <v>1085.59</v>
      </c>
      <c r="AQ472" s="72" t="n">
        <v>75.86</v>
      </c>
      <c r="AR472" s="72" t="n">
        <v>59.7</v>
      </c>
      <c r="AS472" s="72" t="n">
        <v>224.14</v>
      </c>
      <c r="AT472" s="72" t="n">
        <v>540.97</v>
      </c>
      <c r="AU472" s="72" t="n">
        <v>497.78</v>
      </c>
      <c r="AV472" s="72" t="n">
        <v>1091.95</v>
      </c>
      <c r="AW472" s="72" t="n">
        <v>72.65000000000001</v>
      </c>
      <c r="AX472" s="72" t="n">
        <v>-13.64</v>
      </c>
      <c r="AY472" s="72" t="n">
        <v>-12.95</v>
      </c>
      <c r="AZ472" s="63" t="inlineStr">
        <is>
          <t>HSTECH (Hang Seng TECH ETF)</t>
        </is>
      </c>
      <c r="BA472" s="72" t="n">
        <v>1320.72</v>
      </c>
      <c r="BB472" s="64" t="inlineStr">
        <is>
          <t>2026-08-28</t>
        </is>
      </c>
      <c r="BC472" s="65" t="n">
        <v>634.2</v>
      </c>
      <c r="BD472" s="68" t="n"/>
      <c r="BE472" s="63" t="inlineStr">
        <is>
          <t>Y</t>
        </is>
      </c>
      <c r="BF472" s="75">
        <f>IF('BBG Verify'!O472="","not filed — run on terminal",'BBG Verify'!O472)</f>
        <v/>
      </c>
      <c r="BG472" s="74" t="n"/>
      <c r="BH472" s="74" t="n">
        <v>4730.6</v>
      </c>
      <c r="BI472" s="74" t="n">
        <v>7.9</v>
      </c>
      <c r="BJ472" s="75">
        <f>IF('BBG Verify'!S472="","not filed — run on terminal",'BBG Verify'!S472)</f>
        <v/>
      </c>
      <c r="BK472" s="76" t="inlineStr">
        <is>
          <t>N</t>
        </is>
      </c>
      <c r="BL472" s="77">
        <f>IF('BBG Verify'!K472="","not filed — run on terminal",'BBG Verify'!K472)</f>
        <v/>
      </c>
      <c r="BM472" s="63" t="inlineStr">
        <is>
          <t>N/A</t>
        </is>
      </c>
      <c r="BN472" s="63" t="inlineStr">
        <is>
          <t>N/A</t>
        </is>
      </c>
      <c r="BO472" s="63" t="inlineStr">
        <is>
          <t>N/A</t>
        </is>
      </c>
      <c r="BP472" s="63" t="inlineStr">
        <is>
          <t>N/A</t>
        </is>
      </c>
      <c r="BQ472" s="63" t="inlineStr">
        <is>
          <t>N/A</t>
        </is>
      </c>
      <c r="BR472" s="63" t="inlineStr">
        <is>
          <t>N/A</t>
        </is>
      </c>
      <c r="BS472" s="76" t="inlineStr">
        <is>
          <t>ICBC International Capital Limited</t>
        </is>
      </c>
      <c r="BT472" s="63" t="inlineStr">
        <is>
          <t>ICBC International Capital Limited</t>
        </is>
      </c>
      <c r="BU472" s="63" t="inlineStr">
        <is>
          <t>ICBC International Securities Limited; CCB International Capital Limited; BOCOM International Securities Limited; Victory Securities Company Limited; Guolian Securities International Capital Co., Limited; Zhongtai International Securities Limited; Futu Securities International (Hong Kong) Limited; Tiger Brokers (HK) Global Limited; Yuen Meta (International) Securities Limited; South China Securities Limited</t>
        </is>
      </c>
      <c r="BV472" s="63" t="inlineStr">
        <is>
          <t>BOCOM International Securities Limited; CCB International Capital Limited; Futu Securities International (Hong Kong) Limited; Get Nice Securities Limited; Guolian Securities International Capital Market Co., Limited; ICBC International Securities Limited; South China Securities Limited; Tiger Brokers (HK) Global Limited; Victory Securities Company Limited; Yuen Meta (International) Securities Limited; Zhongtai International Securities Limited</t>
        </is>
      </c>
      <c r="BW472" s="78">
        <f>HYPERLINK("https://www1.hkexnews.hk/listedco/listconews/sehk/2026/0518/2026051800023.pdf","prospectus")</f>
        <v/>
      </c>
      <c r="BX472" s="78">
        <f>HYPERLINK("https://www1.hkexnews.hk/listedco/listconews/sehk/2026/0526/2026052602298.pdf","allotment")</f>
        <v/>
      </c>
      <c r="BY472" s="63" t="n"/>
      <c r="BZ472" s="76" t="n"/>
      <c r="CA472" s="63" t="inlineStr">
        <is>
          <t>P/E: withheld — mktcap / net income gives 498x, which fails the 300x plausibility check; the extracted net income (HK$10.1m) is not trustworthy · greenshoe: no over-allotment option in the offer structure · A/H: no A-share listing · cornerstone list: no cornerstone tranche in this deal · greenshoe size: no over-allotment option in the offer structure · stabilising manager: no over-allotment option in the offer structure, so no stabilising manager is appointed · financials: financial tables not machine-extractable and the pre-IPO year is outside AAStocks' 5-year window</t>
        </is>
      </c>
    </row>
    <row r="473" ht="15" customHeight="1">
      <c r="A473" s="62" t="inlineStr">
        <is>
          <t>0901</t>
        </is>
      </c>
      <c r="B473" s="63" t="inlineStr">
        <is>
          <t>SDMC</t>
        </is>
      </c>
      <c r="C473" s="63" t="inlineStr">
        <is>
          <t>華曦達</t>
        </is>
      </c>
      <c r="D473" s="63" t="inlineStr">
        <is>
          <t>Tech/AI</t>
        </is>
      </c>
      <c r="E473" s="63" t="inlineStr">
        <is>
          <t>Smart hardware / consumer electronics</t>
        </is>
      </c>
      <c r="F473" s="63" t="inlineStr">
        <is>
          <t>Advanced hardware and software</t>
        </is>
      </c>
      <c r="G473" s="63" t="inlineStr">
        <is>
          <t>Standard</t>
        </is>
      </c>
      <c r="H473" s="64" t="n">
        <v>46169</v>
      </c>
      <c r="I473" s="65" t="n">
        <v>630</v>
      </c>
      <c r="J473" s="63" t="inlineStr">
        <is>
          <t>gross (price x shares)</t>
        </is>
      </c>
      <c r="K473" s="66" t="n"/>
      <c r="L473" s="66" t="n">
        <v>32.8</v>
      </c>
      <c r="M473" s="66" t="n">
        <v>32.8</v>
      </c>
      <c r="N473" s="63" t="inlineStr">
        <is>
          <t>Y</t>
        </is>
      </c>
      <c r="O473" s="67" t="n">
        <v>100</v>
      </c>
      <c r="P473" s="67" t="n"/>
      <c r="Q473" s="68" t="n">
        <v>6868</v>
      </c>
      <c r="R473" s="63" t="inlineStr">
        <is>
          <t>press:ifeng: H股市值达68.68亿 at 32.80</t>
        </is>
      </c>
      <c r="S473" s="69" t="n">
        <v>1972</v>
      </c>
      <c r="T473" s="79">
        <f>IF('BBG Verify'!E473="","not filed — run on terminal",'BBG Verify'!E473)</f>
        <v/>
      </c>
      <c r="U473" s="71" t="n"/>
      <c r="V473" s="68" t="n">
        <v>630</v>
      </c>
      <c r="W473" s="68" t="n">
        <v>19207300</v>
      </c>
      <c r="X473" s="67" t="n">
        <v>9.17</v>
      </c>
      <c r="Y473" s="63" t="n"/>
      <c r="Z473" s="63" t="n"/>
      <c r="AA473" s="67" t="n"/>
      <c r="AB473" s="72" t="n">
        <v>93.59999999999999</v>
      </c>
      <c r="AC473" s="66" t="n">
        <v>63.5</v>
      </c>
      <c r="AD473" s="72" t="n">
        <v>-3.62</v>
      </c>
      <c r="AE473" s="63" t="inlineStr">
        <is>
          <t>Y</t>
        </is>
      </c>
      <c r="AF473" s="63" t="inlineStr">
        <is>
          <t>2026-05-27</t>
        </is>
      </c>
      <c r="AG473" s="63" t="n"/>
      <c r="AH473" s="63" t="n"/>
      <c r="AI473" s="63" t="n"/>
      <c r="AJ473" s="63" t="n"/>
      <c r="AK473" s="73" t="n">
        <v>86.59</v>
      </c>
      <c r="AL473" s="72" t="n">
        <v>100.61</v>
      </c>
      <c r="AM473" s="72" t="n">
        <v>-6.99</v>
      </c>
      <c r="AN473" s="72" t="n">
        <v>104.57</v>
      </c>
      <c r="AO473" s="72" t="n">
        <v>96.19</v>
      </c>
      <c r="AP473" s="72" t="n">
        <v>115.55</v>
      </c>
      <c r="AQ473" s="72" t="n">
        <v>9.640000000000001</v>
      </c>
      <c r="AR473" s="72" t="n">
        <v>5.14</v>
      </c>
      <c r="AS473" s="72" t="n">
        <v>15.52</v>
      </c>
      <c r="AT473" s="72" t="n">
        <v>102.3</v>
      </c>
      <c r="AU473" s="72" t="n">
        <v>109.83</v>
      </c>
      <c r="AV473" s="72" t="n">
        <v>121.91</v>
      </c>
      <c r="AW473" s="72" t="n">
        <v>18.09</v>
      </c>
      <c r="AX473" s="72" t="n">
        <v>-13.64</v>
      </c>
      <c r="AY473" s="72" t="n">
        <v>-12.95</v>
      </c>
      <c r="AZ473" s="63" t="inlineStr">
        <is>
          <t>HSTECH (Hang Seng TECH ETF)</t>
        </is>
      </c>
      <c r="BA473" s="72" t="n">
        <v>128.05</v>
      </c>
      <c r="BB473" s="64" t="inlineStr">
        <is>
          <t>2026-08-28</t>
        </is>
      </c>
      <c r="BC473" s="65" t="n">
        <v>3704.4</v>
      </c>
      <c r="BD473" s="68" t="n">
        <v>263</v>
      </c>
      <c r="BE473" s="63" t="inlineStr">
        <is>
          <t>Y</t>
        </is>
      </c>
      <c r="BF473" s="74" t="n">
        <v>26.1</v>
      </c>
      <c r="BG473" s="74" t="n"/>
      <c r="BH473" s="74" t="n"/>
      <c r="BI473" s="74" t="n">
        <v>1.9</v>
      </c>
      <c r="BJ473" s="75">
        <f>IF('BBG Verify'!S473="","not filed — run on terminal",'BBG Verify'!S473)</f>
        <v/>
      </c>
      <c r="BK473" s="76" t="inlineStr">
        <is>
          <t>N</t>
        </is>
      </c>
      <c r="BL473" s="77">
        <f>IF('BBG Verify'!K473="","not filed — run on terminal",'BBG Verify'!K473)</f>
        <v/>
      </c>
      <c r="BM473" s="63" t="inlineStr">
        <is>
          <t>N/A</t>
        </is>
      </c>
      <c r="BN473" s="63" t="inlineStr">
        <is>
          <t>N/A</t>
        </is>
      </c>
      <c r="BO473" s="63" t="inlineStr">
        <is>
          <t>N/A</t>
        </is>
      </c>
      <c r="BP473" s="63" t="inlineStr">
        <is>
          <t>N/A</t>
        </is>
      </c>
      <c r="BQ473" s="63" t="inlineStr">
        <is>
          <t>N/A</t>
        </is>
      </c>
      <c r="BR473" s="63" t="inlineStr">
        <is>
          <t>N/A</t>
        </is>
      </c>
      <c r="BS473" s="76" t="n"/>
      <c r="BT473" s="63" t="inlineStr">
        <is>
          <t>China Securities (International) Corporate Finance Company Limited</t>
        </is>
      </c>
      <c r="BU473" s="63" t="inlineStr">
        <is>
          <t>ABCI Securities Company Limited; CCB International Capital Limited; CMB International Capital Limited; CNCB (Hong Kong) Capital Limited; China Securities (International) Corporate Finance Company Limited; Forthright Securities Company Limited</t>
        </is>
      </c>
      <c r="BV473" s="63" t="inlineStr">
        <is>
          <t>ABCI Securities Company Limited; CCB International Capital Limited; CMB International Capital Limited; CNCB (Hong Kong) Capital Limited; China Securities (International) Corporate Finance Company Limited; Forthright Securities Company Limited; Get Nice Securities Limited; Roofer Securities Limited</t>
        </is>
      </c>
      <c r="BW473" s="63" t="n"/>
      <c r="BX473" s="78">
        <f>HYPERLINK("https://www1.hkexnews.hk/listedco/listconews/sehk/2026/0526/2026052602392.pdf","allotment")</f>
        <v/>
      </c>
      <c r="BY473" s="63" t="n"/>
      <c r="BZ473" s="76" t="n"/>
      <c r="CA473" s="63" t="inlineStr">
        <is>
          <t>intl sub: subscription level not stated in the filing · greenshoe: no over-allotment option in the offer structure · price range: fixed-price offering (no indicative range) · range low: cap-only pricing — the filing publishes a Maximum Offer Price and no indicative floor · A/H: no A-share listing · sponsor: English name not in the filing text; AAStocks 保薦人 shown · cornerstone list: cornerstone section not machine-extractable — see the prospectus link · cornerstone %: cornerstone aggregate not stated in the filing · greenshoe size: no over-allotment option in the offer structure · stabilising manager: no over-allotment option in the offer structure, so no stabilising manager is appointed · filing links: no prospectus document returned by the HKEX per-stock search for this code — the allotment announcement is linked beside it</t>
        </is>
      </c>
    </row>
    <row r="474" ht="15" customHeight="1">
      <c r="A474" s="62" t="inlineStr">
        <is>
          <t>3388</t>
        </is>
      </c>
      <c r="B474" s="63" t="inlineStr">
        <is>
          <t>CREALITY</t>
        </is>
      </c>
      <c r="C474" s="63" t="inlineStr">
        <is>
          <t>創想三維</t>
        </is>
      </c>
      <c r="D474" s="63" t="inlineStr">
        <is>
          <t>Tech/AI</t>
        </is>
      </c>
      <c r="E474" s="63" t="inlineStr">
        <is>
          <t>Smart hardware / consumer electronics</t>
        </is>
      </c>
      <c r="F474" s="63" t="inlineStr">
        <is>
          <t>Computer Storage &amp; Peripherals</t>
        </is>
      </c>
      <c r="G474" s="63" t="inlineStr">
        <is>
          <t>Standard</t>
        </is>
      </c>
      <c r="H474" s="64" t="n">
        <v>46171</v>
      </c>
      <c r="I474" s="65" t="n">
        <v>1380.44</v>
      </c>
      <c r="J474" s="63" t="inlineStr">
        <is>
          <t>gross (stated)</t>
        </is>
      </c>
      <c r="K474" s="66" t="n"/>
      <c r="L474" s="66" t="n">
        <v>18.8</v>
      </c>
      <c r="M474" s="66" t="n">
        <v>18.8</v>
      </c>
      <c r="N474" s="63" t="inlineStr">
        <is>
          <t>Y</t>
        </is>
      </c>
      <c r="O474" s="67" t="n">
        <v>100</v>
      </c>
      <c r="P474" s="67" t="n"/>
      <c r="Q474" s="68" t="n">
        <v>8776.6</v>
      </c>
      <c r="R474" s="63" t="inlineStr">
        <is>
          <t>prospectus:stated market capitalisation</t>
        </is>
      </c>
      <c r="S474" s="69" t="n">
        <v>3829.42</v>
      </c>
      <c r="T474" s="70" t="n">
        <v>26.8</v>
      </c>
      <c r="U474" s="71" t="n">
        <v>49.9</v>
      </c>
      <c r="V474" s="68" t="n">
        <v>691.6</v>
      </c>
      <c r="W474" s="68" t="n">
        <v>36787203</v>
      </c>
      <c r="X474" s="67" t="n">
        <v>7.88</v>
      </c>
      <c r="Y474" s="63" t="inlineStr">
        <is>
          <t>Apex Insight Investment L.P; CITIC Industrial International Investment Limited; Colloway Group Limited; CPE Greater China Enterprises Growth Fund; Dingxin (Securities) Limited; GBA Homeland Limited; Hong Kong BoYue International Investment Fund Co., Limited; Integrated Core Strategies (Asia) Pte. Ltd; Jump Trading Pacific Pte. Ltd; Martis Fund, L.P; Oasis Investments II Master Fund Ltd; Optimas ACM Fund LP; Polymer Asia Fund LP; Seven Grand Managers, LLC; Taikang Life Insurance Co., Ltd</t>
        </is>
      </c>
      <c r="Z474" s="63" t="inlineStr">
        <is>
          <t>apex;citic;colloway;cpe;dingxin;gba;boyue;integrated;jump;martis;oasis;optimas;polymer;seven;taikang</t>
        </is>
      </c>
      <c r="AA474" s="67" t="n">
        <v>15</v>
      </c>
      <c r="AB474" s="72" t="n">
        <v>70.59999999999999</v>
      </c>
      <c r="AC474" s="66" t="n">
        <v>32.08</v>
      </c>
      <c r="AD474" s="72" t="n">
        <v>-28.91</v>
      </c>
      <c r="AE474" s="63" t="inlineStr">
        <is>
          <t>Y</t>
        </is>
      </c>
      <c r="AF474" s="63" t="inlineStr">
        <is>
          <t>2026-05-29</t>
        </is>
      </c>
      <c r="AG474" s="63" t="inlineStr">
        <is>
          <t>full</t>
        </is>
      </c>
      <c r="AH474" s="63" t="inlineStr">
        <is>
          <t>2026-06-25</t>
        </is>
      </c>
      <c r="AI474" s="63" t="inlineStr">
        <is>
          <t>China International Capital Corporation Hong Kong Securities Limited</t>
        </is>
      </c>
      <c r="AJ474" s="63" t="inlineStr">
        <is>
          <t>China International</t>
        </is>
      </c>
      <c r="AK474" s="73" t="n">
        <v>21.28</v>
      </c>
      <c r="AL474" s="72" t="n">
        <v>80.20999999999999</v>
      </c>
      <c r="AM474" s="72" t="n">
        <v>-32.7</v>
      </c>
      <c r="AN474" s="72" t="n">
        <v>11.17</v>
      </c>
      <c r="AO474" s="72" t="n">
        <v>38.72</v>
      </c>
      <c r="AP474" s="72" t="n">
        <v>25.43</v>
      </c>
      <c r="AQ474" s="72" t="n">
        <v>-8.34</v>
      </c>
      <c r="AR474" s="72" t="n">
        <v>14.38</v>
      </c>
      <c r="AS474" s="72" t="n">
        <v>3.42</v>
      </c>
      <c r="AT474" s="72" t="n">
        <v>11.09</v>
      </c>
      <c r="AU474" s="72" t="n">
        <v>46.92</v>
      </c>
      <c r="AV474" s="72" t="n"/>
      <c r="AW474" s="72" t="n">
        <v>22.62</v>
      </c>
      <c r="AX474" s="72" t="n">
        <v>-8.199999999999999</v>
      </c>
      <c r="AY474" s="72" t="n">
        <v>-8.24</v>
      </c>
      <c r="AZ474" s="63" t="inlineStr">
        <is>
          <t>HSTECH (Hang Seng TECH ETF)</t>
        </is>
      </c>
      <c r="BA474" s="72" t="n">
        <v>25.43</v>
      </c>
      <c r="BB474" s="64" t="inlineStr">
        <is>
          <t>2026-08-28</t>
        </is>
      </c>
      <c r="BC474" s="65" t="n">
        <v>3439.7</v>
      </c>
      <c r="BD474" s="68" t="n">
        <v>-226.9</v>
      </c>
      <c r="BE474" s="63" t="inlineStr">
        <is>
          <t>N</t>
        </is>
      </c>
      <c r="BF474" s="63" t="inlineStr">
        <is>
          <t>n/m</t>
        </is>
      </c>
      <c r="BG474" s="74" t="n"/>
      <c r="BH474" s="74" t="n"/>
      <c r="BI474" s="74" t="n">
        <v>2.6</v>
      </c>
      <c r="BJ474" s="75">
        <f>IF('BBG Verify'!S474="","not filed — run on terminal",'BBG Verify'!S474)</f>
        <v/>
      </c>
      <c r="BK474" s="76" t="inlineStr">
        <is>
          <t>N</t>
        </is>
      </c>
      <c r="BL474" s="77">
        <f>IF('BBG Verify'!K474="","not filed — run on terminal",'BBG Verify'!K474)</f>
        <v/>
      </c>
      <c r="BM474" s="63" t="inlineStr">
        <is>
          <t>N/A</t>
        </is>
      </c>
      <c r="BN474" s="63" t="inlineStr">
        <is>
          <t>N/A</t>
        </is>
      </c>
      <c r="BO474" s="63" t="inlineStr">
        <is>
          <t>N/A</t>
        </is>
      </c>
      <c r="BP474" s="63" t="inlineStr">
        <is>
          <t>N/A</t>
        </is>
      </c>
      <c r="BQ474" s="63" t="inlineStr">
        <is>
          <t>N/A</t>
        </is>
      </c>
      <c r="BR474" s="63" t="inlineStr">
        <is>
          <t>N/A</t>
        </is>
      </c>
      <c r="BS474" s="76" t="n"/>
      <c r="BT474" s="63" t="inlineStr">
        <is>
          <t>China International Capital Corporation Hong Kong Securities Limited</t>
        </is>
      </c>
      <c r="BU474" s="63" t="inlineStr">
        <is>
          <t>China International Capital Corporation Hong Kong Securities Limited; A VICT Global Asset Management Limited; Deutsche Bank AG, Hong Kong Branch; ABCI Capital Limited; BOCI Asia Limited; CCB International Capital Limited; SPDB International Capital Limited; Livermore Holdings Limited; ABCI Securities Company Limited</t>
        </is>
      </c>
      <c r="BV474" s="63" t="inlineStr">
        <is>
          <t>ABCI Securities Company Limited; AVICT Global Asset Management Limited; BOCI Asia Limited; CCB International Capital Limited; China International Capital Corporation Hong Kong Securities Limited; Deutsche Bank AG, Hong Kong Branch; Livermore Holdings Limited; SPDB International Capital Limited</t>
        </is>
      </c>
      <c r="BW474" s="78">
        <f>HYPERLINK("https://www1.hkexnews.hk/listedco/listconews/sehk/2026/0520/2026052000023.pdf","prospectus")</f>
        <v/>
      </c>
      <c r="BX474" s="78">
        <f>HYPERLINK("https://www1.hkexnews.hk/listedco/listconews/sehk/2026/0528/2026052802543.pdf","allotment")</f>
        <v/>
      </c>
      <c r="BY474" s="78">
        <f>HYPERLINK("https://www1.hkexnews.hk/listedco/listconews/sehk/2026/0625/2026062502150.pdf","stabilisation")</f>
        <v/>
      </c>
      <c r="BZ474" s="76" t="n"/>
      <c r="CA474" s="63" t="inlineStr">
        <is>
          <t>P/E: n/m — loss-making at IPO (use P/S) · range low: cap-only pricing — the filing publishes a Maximum Offer Price and no indicative floor · A/H: no A-share listing · sponsor: English name not in the filing text; AAStocks 保薦人 shown · alpha/index: 3m return is on file but the sector index had no bar for that window</t>
        </is>
      </c>
    </row>
    <row r="475" ht="15" customHeight="1">
      <c r="A475" s="62" t="inlineStr">
        <is>
          <t>2553</t>
        </is>
      </c>
      <c r="B475" s="63" t="inlineStr">
        <is>
          <t>SHOUGANG LANZA</t>
        </is>
      </c>
      <c r="C475" s="63" t="inlineStr">
        <is>
          <t>首鋼朗澤</t>
        </is>
      </c>
      <c r="D475" s="63" t="inlineStr">
        <is>
          <t>Materials/Energy</t>
        </is>
      </c>
      <c r="E475" s="63" t="inlineStr">
        <is>
          <t>Chemicals</t>
        </is>
      </c>
      <c r="F475" s="63" t="inlineStr">
        <is>
          <t>Diversified Chemicals</t>
        </is>
      </c>
      <c r="G475" s="63" t="inlineStr">
        <is>
          <t>Standard</t>
        </is>
      </c>
      <c r="H475" s="64" t="n">
        <v>46176</v>
      </c>
      <c r="I475" s="65" t="n">
        <v>584</v>
      </c>
      <c r="J475" s="63" t="inlineStr">
        <is>
          <t>gross (stated)</t>
        </is>
      </c>
      <c r="K475" s="66" t="n"/>
      <c r="L475" s="66" t="n">
        <v>17.1</v>
      </c>
      <c r="M475" s="66" t="n">
        <v>14.6</v>
      </c>
      <c r="N475" s="63" t="inlineStr">
        <is>
          <t>N</t>
        </is>
      </c>
      <c r="O475" s="67" t="n">
        <v>85.40000000000001</v>
      </c>
      <c r="P475" s="67" t="n"/>
      <c r="Q475" s="68" t="n">
        <v>5840</v>
      </c>
      <c r="R475" s="63" t="inlineStr">
        <is>
          <t>derived:price x shares upon listing</t>
        </is>
      </c>
      <c r="S475" s="69" t="n">
        <v>1421.54</v>
      </c>
      <c r="T475" s="70" t="n">
        <v>0.95</v>
      </c>
      <c r="U475" s="71" t="n">
        <v>0</v>
      </c>
      <c r="V475" s="68" t="n">
        <v>584</v>
      </c>
      <c r="W475" s="68" t="n">
        <v>40000000</v>
      </c>
      <c r="X475" s="67" t="n">
        <v>10</v>
      </c>
      <c r="Y475" s="63" t="n"/>
      <c r="Z475" s="63" t="n"/>
      <c r="AA475" s="67" t="n">
        <v>15.9</v>
      </c>
      <c r="AB475" s="72" t="n">
        <v>146.6</v>
      </c>
      <c r="AC475" s="66" t="n">
        <v>36</v>
      </c>
      <c r="AD475" s="72" t="n">
        <v>-41.5</v>
      </c>
      <c r="AE475" s="63" t="inlineStr">
        <is>
          <t>Y</t>
        </is>
      </c>
      <c r="AF475" s="63" t="inlineStr">
        <is>
          <t>2026-06-03</t>
        </is>
      </c>
      <c r="AG475" s="63" t="inlineStr">
        <is>
          <t>lapsed (no over-allocation)</t>
        </is>
      </c>
      <c r="AH475" s="63" t="inlineStr">
        <is>
          <t>2026-06-28</t>
        </is>
      </c>
      <c r="AI475" s="63" t="inlineStr">
        <is>
          <t>Yue Xiu Securities Company Limited</t>
        </is>
      </c>
      <c r="AJ475" s="63" t="inlineStr">
        <is>
          <t>Yue Xiu</t>
        </is>
      </c>
      <c r="AK475" s="73" t="n">
        <v>44.25</v>
      </c>
      <c r="AL475" s="72" t="n">
        <v>91.78</v>
      </c>
      <c r="AM475" s="72" t="n">
        <v>-24.78</v>
      </c>
      <c r="AN475" s="72" t="n">
        <v>115.75</v>
      </c>
      <c r="AO475" s="72" t="n">
        <v>193.84</v>
      </c>
      <c r="AP475" s="72" t="n">
        <v>67.81</v>
      </c>
      <c r="AQ475" s="72" t="n">
        <v>49.57</v>
      </c>
      <c r="AR475" s="72" t="n">
        <v>103.7</v>
      </c>
      <c r="AS475" s="72" t="n">
        <v>16.33</v>
      </c>
      <c r="AT475" s="72" t="n">
        <v>123.08</v>
      </c>
      <c r="AU475" s="72" t="n">
        <v>205.32</v>
      </c>
      <c r="AV475" s="72" t="n"/>
      <c r="AW475" s="72" t="n">
        <v>113.29</v>
      </c>
      <c r="AX475" s="72" t="n">
        <v>-11.48</v>
      </c>
      <c r="AY475" s="72" t="n">
        <v>-9.59</v>
      </c>
      <c r="AZ475" s="63" t="inlineStr">
        <is>
          <t>Hang Seng Commerce &amp; Industry sub-index</t>
        </is>
      </c>
      <c r="BA475" s="72" t="n">
        <v>64.38</v>
      </c>
      <c r="BB475" s="64" t="inlineStr">
        <is>
          <t>2026-08-31</t>
        </is>
      </c>
      <c r="BC475" s="65" t="n">
        <v>573.9</v>
      </c>
      <c r="BD475" s="68" t="n">
        <v>-357.4</v>
      </c>
      <c r="BE475" s="63" t="inlineStr">
        <is>
          <t>N</t>
        </is>
      </c>
      <c r="BF475" s="63" t="inlineStr">
        <is>
          <t>n/m</t>
        </is>
      </c>
      <c r="BG475" s="74" t="n"/>
      <c r="BH475" s="74" t="n"/>
      <c r="BI475" s="74" t="n">
        <v>10.2</v>
      </c>
      <c r="BJ475" s="75">
        <f>IF('BBG Verify'!S475="","not filed — run on terminal",'BBG Verify'!S475)</f>
        <v/>
      </c>
      <c r="BK475" s="76" t="inlineStr">
        <is>
          <t>N</t>
        </is>
      </c>
      <c r="BL475" s="77">
        <f>IF('BBG Verify'!K475="","not filed — run on terminal",'BBG Verify'!K475)</f>
        <v/>
      </c>
      <c r="BM475" s="63" t="inlineStr">
        <is>
          <t>N/A</t>
        </is>
      </c>
      <c r="BN475" s="63" t="inlineStr">
        <is>
          <t>N/A</t>
        </is>
      </c>
      <c r="BO475" s="63" t="inlineStr">
        <is>
          <t>N/A</t>
        </is>
      </c>
      <c r="BP475" s="63" t="inlineStr">
        <is>
          <t>N/A</t>
        </is>
      </c>
      <c r="BQ475" s="63" t="inlineStr">
        <is>
          <t>N/A</t>
        </is>
      </c>
      <c r="BR475" s="63" t="inlineStr">
        <is>
          <t>N/A</t>
        </is>
      </c>
      <c r="BS475" s="76" t="inlineStr">
        <is>
          <t>Yue Xiu Capital Limited</t>
        </is>
      </c>
      <c r="BT475" s="63" t="inlineStr">
        <is>
          <t>Yue Xiu Capital Limited</t>
        </is>
      </c>
      <c r="BU475" s="63" t="inlineStr">
        <is>
          <t>Yue Xiu Securities Company Limited; Mango Financial Limited; Maxa Asset Management Limited; CCB International Capital Limited; Skyvast Securities Limited; GEO Securities Limited; uSmart Securities Limited; CMBC Securities Company Limited; Futu Securities International (Hong Kong) Limited; Livermore Holdings Limited</t>
        </is>
      </c>
      <c r="BV475" s="63" t="inlineStr">
        <is>
          <t>CCB International Capital Limited; CMBC Securities Company Limited; Futu Securities International (Hong Kong) Limited; GEO Securities Limited; Livermore Holdings Limited; Maxa Asset Management Limited; Mango Financial Limited; Skyvast Securities Limited</t>
        </is>
      </c>
      <c r="BW475" s="78">
        <f>HYPERLINK("https://www1.hkexnews.hk/listedco/listconews/sehk/2026/0526/2026052600047.pdf","prospectus")</f>
        <v/>
      </c>
      <c r="BX475" s="78">
        <f>HYPERLINK("https://www1.hkexnews.hk/listedco/listconews/sehk/2026/0602/2026060202644.pdf","allotment")</f>
        <v/>
      </c>
      <c r="BY475" s="78">
        <f>HYPERLINK("https://www1.hkexnews.hk/listedco/listconews/sehk/2026/0630/2026063000051.pdf","stabilisation")</f>
        <v/>
      </c>
      <c r="BZ475" s="76" t="n"/>
      <c r="CA475" s="63" t="inlineStr">
        <is>
          <t>P/E: n/m — loss-making at IPO (use P/S) · range low: cap-only pricing — the filing publishes a Maximum Offer Price and no indicative floor · A/H: no A-share listing · cornerstone list: no cornerstone tranche in this deal · alpha/index: 3m return is on file but the sector index had no bar for that window</t>
        </is>
      </c>
    </row>
    <row r="476" ht="15" customHeight="1">
      <c r="A476" s="62" t="inlineStr">
        <is>
          <t>2290</t>
        </is>
      </c>
      <c r="B476" s="63" t="inlineStr">
        <is>
          <t>LUNG FUNG GROUP</t>
        </is>
      </c>
      <c r="C476" s="63" t="inlineStr">
        <is>
          <t>龍豐集團</t>
        </is>
      </c>
      <c r="D476" s="63" t="inlineStr">
        <is>
          <t>Consumer</t>
        </is>
      </c>
      <c r="E476" s="63" t="inlineStr">
        <is>
          <t>Retail / distribution</t>
        </is>
      </c>
      <c r="F476" s="63" t="inlineStr">
        <is>
          <t>Beauty &amp; Toiletries Products Retail</t>
        </is>
      </c>
      <c r="G476" s="63" t="inlineStr">
        <is>
          <t>Standard</t>
        </is>
      </c>
      <c r="H476" s="64" t="n">
        <v>46178</v>
      </c>
      <c r="I476" s="65" t="n">
        <v>647.5</v>
      </c>
      <c r="J476" s="63" t="inlineStr">
        <is>
          <t>gross (stated)</t>
        </is>
      </c>
      <c r="K476" s="66" t="n">
        <v>5.18</v>
      </c>
      <c r="L476" s="66" t="n">
        <v>6.38</v>
      </c>
      <c r="M476" s="66" t="n">
        <v>5.18</v>
      </c>
      <c r="N476" s="63" t="inlineStr">
        <is>
          <t>N</t>
        </is>
      </c>
      <c r="O476" s="67" t="n">
        <v>81.2</v>
      </c>
      <c r="P476" s="67" t="n">
        <v>0</v>
      </c>
      <c r="Q476" s="68" t="n">
        <v>2590</v>
      </c>
      <c r="R476" s="63" t="inlineStr">
        <is>
          <t>derived:price x shares upon listing</t>
        </is>
      </c>
      <c r="S476" s="69" t="n">
        <v>664.92</v>
      </c>
      <c r="T476" s="70" t="n">
        <v>3.18</v>
      </c>
      <c r="U476" s="71" t="n"/>
      <c r="V476" s="68" t="n">
        <v>647.5</v>
      </c>
      <c r="W476" s="68" t="n">
        <v>125000000</v>
      </c>
      <c r="X476" s="67" t="n">
        <v>25</v>
      </c>
      <c r="Y476" s="63" t="n"/>
      <c r="Z476" s="63" t="n"/>
      <c r="AA476" s="67" t="n">
        <v>15</v>
      </c>
      <c r="AB476" s="72" t="n">
        <v>-1.5</v>
      </c>
      <c r="AC476" s="66" t="n">
        <v>5.1</v>
      </c>
      <c r="AD476" s="72" t="n">
        <v>-44.92</v>
      </c>
      <c r="AE476" s="63" t="inlineStr">
        <is>
          <t>Y</t>
        </is>
      </c>
      <c r="AF476" s="63" t="inlineStr">
        <is>
          <t>2026-06-04</t>
        </is>
      </c>
      <c r="AG476" s="63" t="n"/>
      <c r="AH476" s="63" t="n"/>
      <c r="AI476" s="63" t="n"/>
      <c r="AJ476" s="63" t="n"/>
      <c r="AK476" s="73" t="n">
        <v>-45.75</v>
      </c>
      <c r="AL476" s="72" t="n">
        <v>-16.6</v>
      </c>
      <c r="AM476" s="72" t="n">
        <v>-34.95</v>
      </c>
      <c r="AN476" s="72" t="n">
        <v>-47.49</v>
      </c>
      <c r="AO476" s="72" t="n">
        <v>-28.57</v>
      </c>
      <c r="AP476" s="72" t="n"/>
      <c r="AQ476" s="72" t="n">
        <v>-3.21</v>
      </c>
      <c r="AR476" s="72" t="n">
        <v>31.67</v>
      </c>
      <c r="AS476" s="72" t="n"/>
      <c r="AT476" s="72" t="n">
        <v>-43.71</v>
      </c>
      <c r="AU476" s="72" t="n">
        <v>-23.07</v>
      </c>
      <c r="AV476" s="72" t="n"/>
      <c r="AW476" s="72" t="n">
        <v>35.88</v>
      </c>
      <c r="AX476" s="72" t="n">
        <v>-5.5</v>
      </c>
      <c r="AY476" s="72" t="n">
        <v>-4.21</v>
      </c>
      <c r="AZ476" s="63" t="inlineStr">
        <is>
          <t>Hang Seng Commerce &amp; Industry sub-index</t>
        </is>
      </c>
      <c r="BA476" s="72" t="n">
        <v>-27.61</v>
      </c>
      <c r="BB476" s="64" t="inlineStr">
        <is>
          <t>2026-08-31</t>
        </is>
      </c>
      <c r="BC476" s="65" t="n">
        <v>2460.5</v>
      </c>
      <c r="BD476" s="68" t="n">
        <v>-27.1</v>
      </c>
      <c r="BE476" s="63" t="inlineStr">
        <is>
          <t>N</t>
        </is>
      </c>
      <c r="BF476" s="63" t="inlineStr">
        <is>
          <t>n/m</t>
        </is>
      </c>
      <c r="BG476" s="74" t="n"/>
      <c r="BH476" s="74" t="n"/>
      <c r="BI476" s="74" t="n">
        <v>1.1</v>
      </c>
      <c r="BJ476" s="75">
        <f>IF('BBG Verify'!S476="","not filed — run on terminal",'BBG Verify'!S476)</f>
        <v/>
      </c>
      <c r="BK476" s="76" t="inlineStr">
        <is>
          <t>N</t>
        </is>
      </c>
      <c r="BL476" s="77">
        <f>IF('BBG Verify'!K476="","not filed — run on terminal",'BBG Verify'!K476)</f>
        <v/>
      </c>
      <c r="BM476" s="63" t="inlineStr">
        <is>
          <t>N/A</t>
        </is>
      </c>
      <c r="BN476" s="63" t="inlineStr">
        <is>
          <t>N/A</t>
        </is>
      </c>
      <c r="BO476" s="63" t="inlineStr">
        <is>
          <t>N/A</t>
        </is>
      </c>
      <c r="BP476" s="63" t="inlineStr">
        <is>
          <t>N/A</t>
        </is>
      </c>
      <c r="BQ476" s="63" t="inlineStr">
        <is>
          <t>N/A</t>
        </is>
      </c>
      <c r="BR476" s="63" t="inlineStr">
        <is>
          <t>N/A</t>
        </is>
      </c>
      <c r="BS476" s="76" t="inlineStr">
        <is>
          <t>DBS Asia Capital Limited; Industry consultant Frost &amp; Sullivan Limited; AVISTA Valuation Advisory Limited; Receiving bank DBS Bank (Hong Kong) Limited; Bank of China (Hong Kong) Limited; KY1-1111 Cayman Islands Hong Kong Share Registrar Tricor Investor Services Limited; Principal banks DBS Bank (Hong Kong) Limited; Hang Seng Bank, Limited; The Hongkong and Shanghai Banking Corporation Limited; Chong Hing Bank Limited</t>
        </is>
      </c>
      <c r="BT476" s="63" t="inlineStr">
        <is>
          <t>DBS Asia Capital Limited</t>
        </is>
      </c>
      <c r="BU476" s="63" t="inlineStr">
        <is>
          <t>CMB International Capital Limited; DBS Asia Capital Limited; Phillip Securities (Hong Kong) Limited; SPDB International Capital Limited</t>
        </is>
      </c>
      <c r="BV476" s="63" t="inlineStr">
        <is>
          <t>CMB International Capital Limited; DBS Asia Capital Limited; Phillip Securities (Hong Kong) Limited; SPDB International Capital Limited</t>
        </is>
      </c>
      <c r="BW476" s="78">
        <f>HYPERLINK("https://www1.hkexnews.hk/listedco/listconews/sehk/2026/0528/2026052800031.pdf","prospectus")</f>
        <v/>
      </c>
      <c r="BX476" s="78">
        <f>HYPERLINK("https://www1.hkexnews.hk/listedco/listconews/sehk/2026/0604/2026060402521.pdf","allotment")</f>
        <v/>
      </c>
      <c r="BY476" s="78">
        <f>HYPERLINK("https://www1.hkexnews.hk/listedco/listconews/sehk/2026/0702/2026070203049.pdf","stabilisation")</f>
        <v/>
      </c>
      <c r="BZ476" s="76" t="n"/>
      <c r="CA476" s="63" t="inlineStr">
        <is>
          <t>P/E: n/m — loss-making at IPO (use P/S) · greenshoe: end-of-stabilisation notice not located · A/H: no A-share listing · 3m: price history incomplete for this window · cornerstone list: cornerstone section not machine-extractable — see the prospectus link · cornerstone %: cornerstone aggregate not stated in the filing · stabilising manager: neither the allotment announcement's cover sentence nor the prospectus definitions glossary names one in a form the parser reads — not inferred from the sponsor · stabilisation notice: notice located and linked; its outcome wording is not one of the recognised forms, so the over-allotment result is left blank rather than guessed · alpha/index: 3m alpha needs the 3m return first — window has not elapsed yet</t>
        </is>
      </c>
    </row>
    <row r="477" ht="15" customHeight="1">
      <c r="A477" s="62" t="inlineStr">
        <is>
          <t>1081</t>
        </is>
      </c>
      <c r="B477" s="63" t="inlineStr">
        <is>
          <t>DAJIN</t>
        </is>
      </c>
      <c r="C477" s="63" t="inlineStr">
        <is>
          <t>大金重工</t>
        </is>
      </c>
      <c r="D477" s="63" t="inlineStr">
        <is>
          <t>Industrials</t>
        </is>
      </c>
      <c r="E477" s="63" t="inlineStr">
        <is>
          <t>Solar / wind supply chain</t>
        </is>
      </c>
      <c r="F477" s="63" t="inlineStr">
        <is>
          <t>Environmental Goods</t>
        </is>
      </c>
      <c r="G477" s="63" t="inlineStr">
        <is>
          <t>Standard</t>
        </is>
      </c>
      <c r="H477" s="64" t="n">
        <v>46178</v>
      </c>
      <c r="I477" s="65" t="n">
        <v>6640.7</v>
      </c>
      <c r="J477" s="63" t="inlineStr">
        <is>
          <t>gross (stated)</t>
        </is>
      </c>
      <c r="K477" s="66" t="n"/>
      <c r="L477" s="66" t="n">
        <v>66.40000000000001</v>
      </c>
      <c r="M477" s="66" t="n">
        <v>66.40000000000001</v>
      </c>
      <c r="N477" s="63" t="inlineStr">
        <is>
          <t>Y</t>
        </is>
      </c>
      <c r="O477" s="67" t="n">
        <v>100</v>
      </c>
      <c r="P477" s="67" t="n"/>
      <c r="Q477" s="68" t="n">
        <v>64686.6</v>
      </c>
      <c r="R477" s="63" t="inlineStr">
        <is>
          <t>prospectus:stated market capitalisation</t>
        </is>
      </c>
      <c r="S477" s="69" t="n">
        <v>134.39</v>
      </c>
      <c r="T477" s="70" t="n">
        <v>10.68</v>
      </c>
      <c r="U477" s="71" t="n">
        <v>48.54</v>
      </c>
      <c r="V477" s="68" t="n">
        <v>3417.3</v>
      </c>
      <c r="W477" s="68" t="n"/>
      <c r="X477" s="67" t="n">
        <v>5.28</v>
      </c>
      <c r="Y477" s="63" t="inlineStr">
        <is>
          <t>CPE Juniper Investment Limited; Eastspring Investments (Hong Kong) Limited; Eastspring Investments (Singapore) Limited; Fullgoal Asset Management (HK) Limited; Fullgoal Fund Management Co., Ltd; GIC Private Limited; HHLR Advisors, Ltd; Hillhouse Investment Management, Ltd; ICBC Wealth Management Co., Ltd; Marshall Wace Asia Limited; Millennium Capital Management (Singapore) Pte. Ltd; Pinpoint Asset Management Limited; PSBC Wealth Management Co., Ltd; Taikang Life Insurance Co., Ltd; UBS Asset Management (Singapore) Ltd</t>
        </is>
      </c>
      <c r="Z477" s="63" t="inlineStr">
        <is>
          <t>cpe;eastspring;fullgoal;gic;hhlr;hillhouse;icbc;marshall;millennium;pinpoint;psbc;taikang;ubs</t>
        </is>
      </c>
      <c r="AA477" s="67" t="n">
        <v>15</v>
      </c>
      <c r="AB477" s="72" t="n">
        <v>-5</v>
      </c>
      <c r="AC477" s="66" t="n">
        <v>63.1</v>
      </c>
      <c r="AD477" s="72" t="n">
        <v>5.26</v>
      </c>
      <c r="AE477" s="63" t="inlineStr">
        <is>
          <t>Y</t>
        </is>
      </c>
      <c r="AF477" s="63" t="inlineStr">
        <is>
          <t>2026-06-04</t>
        </is>
      </c>
      <c r="AG477" s="63" t="inlineStr">
        <is>
          <t>partial</t>
        </is>
      </c>
      <c r="AH477" s="63" t="inlineStr">
        <is>
          <t>2026-07-02</t>
        </is>
      </c>
      <c r="AI477" s="63" t="inlineStr">
        <is>
          <t>Huatai Financial Holdings</t>
        </is>
      </c>
      <c r="AJ477" s="63" t="inlineStr">
        <is>
          <t>Huatai</t>
        </is>
      </c>
      <c r="AK477" s="73" t="n">
        <v>0</v>
      </c>
      <c r="AL477" s="72" t="n">
        <v>0</v>
      </c>
      <c r="AM477" s="72" t="n">
        <v>0</v>
      </c>
      <c r="AN477" s="72" t="n">
        <v>-3.69</v>
      </c>
      <c r="AO477" s="72" t="n">
        <v>-30.72</v>
      </c>
      <c r="AP477" s="72" t="n"/>
      <c r="AQ477" s="72" t="n">
        <v>-3.69</v>
      </c>
      <c r="AR477" s="72" t="n">
        <v>-30.72</v>
      </c>
      <c r="AS477" s="72" t="n"/>
      <c r="AT477" s="72" t="n">
        <v>0.09</v>
      </c>
      <c r="AU477" s="72" t="n">
        <v>-25.22</v>
      </c>
      <c r="AV477" s="72" t="n"/>
      <c r="AW477" s="72" t="n">
        <v>-26.51</v>
      </c>
      <c r="AX477" s="72" t="n">
        <v>-5.5</v>
      </c>
      <c r="AY477" s="72" t="n">
        <v>-4.21</v>
      </c>
      <c r="AZ477" s="63" t="inlineStr">
        <is>
          <t>Hang Seng Commerce &amp; Industry sub-index</t>
        </is>
      </c>
      <c r="BA477" s="72" t="n">
        <v>-55.15</v>
      </c>
      <c r="BB477" s="64" t="inlineStr">
        <is>
          <t>2026-08-31</t>
        </is>
      </c>
      <c r="BC477" s="65" t="n">
        <v>6790.9</v>
      </c>
      <c r="BD477" s="68" t="n">
        <v>1213.6</v>
      </c>
      <c r="BE477" s="63" t="inlineStr">
        <is>
          <t>Y</t>
        </is>
      </c>
      <c r="BF477" s="74" t="n">
        <v>53.3</v>
      </c>
      <c r="BG477" s="74" t="n">
        <v>33.2</v>
      </c>
      <c r="BH477" s="74" t="n">
        <v>17.8</v>
      </c>
      <c r="BI477" s="74" t="n">
        <v>9.5</v>
      </c>
      <c r="BJ477" s="75">
        <f>IF('BBG Verify'!S477="","not filed — run on terminal",'BBG Verify'!S477)</f>
        <v/>
      </c>
      <c r="BK477" s="76" t="inlineStr">
        <is>
          <t>Y</t>
        </is>
      </c>
      <c r="BL477" s="63" t="inlineStr">
        <is>
          <t>002487.SZ</t>
        </is>
      </c>
      <c r="BM477" s="72" t="n">
        <v>17.8</v>
      </c>
      <c r="BN477" s="66" t="n">
        <v>78.2184</v>
      </c>
      <c r="BO477" s="80" t="n">
        <v>0.3797</v>
      </c>
      <c r="BP477" s="68" t="n">
        <v>30444.4</v>
      </c>
      <c r="BQ477" s="75">
        <f>IF('BBG Verify'!Q477="","run on terminal",'BBG Verify'!Q477)</f>
        <v/>
      </c>
      <c r="BR477" s="75">
        <f>IF('BBG Verify'!R477="","run on terminal",'BBG Verify'!R477)</f>
        <v/>
      </c>
      <c r="BS477" s="76" t="inlineStr">
        <is>
          <t>Huatai Financial Holdings (Hong Kong) Limited; China Merchants Securities (HK) Co., Limited</t>
        </is>
      </c>
      <c r="BT477" s="63" t="inlineStr">
        <is>
          <t>Huatai Financial Holdings (Hong Kong) Limited; China Merchants Securities (HK) Company Limited</t>
        </is>
      </c>
      <c r="BU477" s="63" t="inlineStr">
        <is>
          <t>CCB International Capital Limited; China International Capital Corporation Hong Kong Securities Limited; China Merchants Securities (HK) Company Limited; Huatai Financial Holdings (Hong Kong) Limited; Ping An Securities (Hong Kong) Company Limited</t>
        </is>
      </c>
      <c r="BV477" s="63" t="inlineStr">
        <is>
          <t>CCB International Capital Limited; China International Capital Corporation Hong Kong Securities Limited; China Merchants Securities (HK) Company Limited; Huatai Financial Holdings (Hong Kong) Limited; Ping An Securities (Hong Kong) Company Limited</t>
        </is>
      </c>
      <c r="BW477" s="78">
        <f>HYPERLINK("https://www1.hkexnews.hk/listedco/listconews/sehk/2026/0528/2026052800019.pdf","prospectus")</f>
        <v/>
      </c>
      <c r="BX477" s="78">
        <f>HYPERLINK("https://www1.hkexnews.hk/listedco/listconews/sehk/2026/0604/2026060402919.pdf","allotment")</f>
        <v/>
      </c>
      <c r="BY477" s="78">
        <f>HYPERLINK("https://www1.hkexnews.hk/listedco/listconews/sehk/2026/0702/2026070203999.pdf","stabilisation")</f>
        <v/>
      </c>
      <c r="BZ477" s="76" t="n"/>
      <c r="CA477" s="63" t="inlineStr">
        <is>
          <t>range low: cap-only pricing — the filing publishes a Maximum Offer Price and no indicative floor · A/H: Jun 2026 H listing (offshore wind towers/monopiles) · 3m: price history incomplete for this window · eff float shares: share count unavailable or rejected as implausible — the money figure (eff_free_float_hkdm) is still exact · alpha/index: 3m alpha needs the 3m return first — window has not elapsed yet</t>
        </is>
      </c>
    </row>
    <row r="478" ht="15" customHeight="1">
      <c r="A478" s="62" t="inlineStr">
        <is>
          <t>1779</t>
        </is>
      </c>
      <c r="B478" s="63" t="inlineStr">
        <is>
          <t>LONGBIO-B</t>
        </is>
      </c>
      <c r="C478" s="63" t="inlineStr">
        <is>
          <t>天辰生物－Ｂ</t>
        </is>
      </c>
      <c r="D478" s="63" t="inlineStr">
        <is>
          <t>Healthcare</t>
        </is>
      </c>
      <c r="E478" s="63" t="inlineStr">
        <is>
          <t>Biotech pre-revenue (18A)</t>
        </is>
      </c>
      <c r="F478" s="63" t="inlineStr">
        <is>
          <t>Biotechnology - Pharmaceuticals</t>
        </is>
      </c>
      <c r="G478" s="63" t="inlineStr">
        <is>
          <t>18A</t>
        </is>
      </c>
      <c r="H478" s="64" t="n">
        <v>46178</v>
      </c>
      <c r="I478" s="65" t="n">
        <v>1363.4</v>
      </c>
      <c r="J478" s="63" t="inlineStr">
        <is>
          <t>gross (stated)</t>
        </is>
      </c>
      <c r="K478" s="66" t="n"/>
      <c r="L478" s="66" t="n">
        <v>96.06</v>
      </c>
      <c r="M478" s="66" t="n">
        <v>96.06</v>
      </c>
      <c r="N478" s="63" t="inlineStr">
        <is>
          <t>Y</t>
        </is>
      </c>
      <c r="O478" s="67" t="n">
        <v>100</v>
      </c>
      <c r="P478" s="67" t="n"/>
      <c r="Q478" s="68" t="n">
        <v>7127</v>
      </c>
      <c r="R478" s="63" t="inlineStr">
        <is>
          <t>prospectus:stated market capitalisation</t>
        </is>
      </c>
      <c r="S478" s="69" t="n">
        <v>4762.58</v>
      </c>
      <c r="T478" s="70" t="n">
        <v>10.94</v>
      </c>
      <c r="U478" s="71" t="n">
        <v>49.96</v>
      </c>
      <c r="V478" s="68" t="n">
        <v>682.25</v>
      </c>
      <c r="W478" s="68" t="n">
        <v>7102252</v>
      </c>
      <c r="X478" s="67" t="n">
        <v>9.57</v>
      </c>
      <c r="Y478" s="63" t="inlineStr">
        <is>
          <t>Foresight Global Superior Choice SPC — Horizon Fund 1 SP; Foresight Global Superior Choice SPC — Horizon Next Fund SP; Foresight Global Superior Choice SPC — Vision Fund 1 SP; FR M CONSULTING CO., LTD; Fullgoal Asset Management (HK) Limited; Fullgoal Fund Management Co., Ltd; Mega Prime Development Limited; OrbiMed Genesis Master Fund, L.P; Shanghai Gaoyi Asset Management Partnership (Limited Partnership); The Biotech Growth Trust PLC; TruMed Health Innovation Fund LP; TruMed Healthcare Master Fund; Value Partners Hong Kong Limited; Wisdomshire Asset Management Co., Ltd; Yuanfeng Future Growth Fund and CGII</t>
        </is>
      </c>
      <c r="Z478" s="63" t="inlineStr">
        <is>
          <t>foresight;fr;fullgoal;mega;orbimed;shanghai-gaoyi;biotech;trumed;value;wisdomshire;yuanfeng</t>
        </is>
      </c>
      <c r="AA478" s="67" t="n">
        <v>5.73</v>
      </c>
      <c r="AB478" s="72" t="n">
        <v>57.1</v>
      </c>
      <c r="AC478" s="66" t="n">
        <v>150.9</v>
      </c>
      <c r="AD478" s="72" t="n">
        <v>-12.66</v>
      </c>
      <c r="AE478" s="63" t="inlineStr">
        <is>
          <t>Y</t>
        </is>
      </c>
      <c r="AF478" s="63" t="inlineStr">
        <is>
          <t>2026-06-04</t>
        </is>
      </c>
      <c r="AG478" s="63" t="inlineStr">
        <is>
          <t>full</t>
        </is>
      </c>
      <c r="AH478" s="63" t="inlineStr">
        <is>
          <t>2026-07-02</t>
        </is>
      </c>
      <c r="AI478" s="63" t="inlineStr">
        <is>
          <t>Sinolink Securities</t>
        </is>
      </c>
      <c r="AJ478" s="63" t="inlineStr">
        <is>
          <t>Sinolink</t>
        </is>
      </c>
      <c r="AK478" s="73" t="n">
        <v>37.21</v>
      </c>
      <c r="AL478" s="72" t="n">
        <v>50.22</v>
      </c>
      <c r="AM478" s="72" t="n">
        <v>-8.66</v>
      </c>
      <c r="AN478" s="72" t="n">
        <v>49.8</v>
      </c>
      <c r="AO478" s="72" t="n">
        <v>-1.05</v>
      </c>
      <c r="AP478" s="72" t="n"/>
      <c r="AQ478" s="72" t="n">
        <v>9.18</v>
      </c>
      <c r="AR478" s="72" t="n">
        <v>-27.88</v>
      </c>
      <c r="AS478" s="72" t="n"/>
      <c r="AT478" s="72" t="n">
        <v>50.3</v>
      </c>
      <c r="AU478" s="72" t="n">
        <v>-9.859999999999999</v>
      </c>
      <c r="AV478" s="72" t="n"/>
      <c r="AW478" s="72" t="n">
        <v>-37.41</v>
      </c>
      <c r="AX478" s="72" t="n">
        <v>8.81</v>
      </c>
      <c r="AY478" s="72" t="n">
        <v>9.529999999999999</v>
      </c>
      <c r="AZ478" s="63" t="inlineStr">
        <is>
          <t>China Biotech ETF (HS biotech proxy)</t>
        </is>
      </c>
      <c r="BA478" s="72" t="n">
        <v>26.59</v>
      </c>
      <c r="BB478" s="64" t="inlineStr">
        <is>
          <t>2026-08-31</t>
        </is>
      </c>
      <c r="BC478" s="65" t="n">
        <v>2.2</v>
      </c>
      <c r="BD478" s="68" t="n">
        <v>-151.1</v>
      </c>
      <c r="BE478" s="63" t="inlineStr">
        <is>
          <t>N</t>
        </is>
      </c>
      <c r="BF478" s="63" t="inlineStr">
        <is>
          <t>n/m</t>
        </is>
      </c>
      <c r="BG478" s="74" t="n"/>
      <c r="BH478" s="74" t="n"/>
      <c r="BI478" s="74" t="n">
        <v>3239.5</v>
      </c>
      <c r="BJ478" s="75">
        <f>IF('BBG Verify'!S478="","not filed — run on terminal",'BBG Verify'!S478)</f>
        <v/>
      </c>
      <c r="BK478" s="76" t="inlineStr">
        <is>
          <t>N</t>
        </is>
      </c>
      <c r="BL478" s="77">
        <f>IF('BBG Verify'!K478="","not filed — run on terminal",'BBG Verify'!K478)</f>
        <v/>
      </c>
      <c r="BM478" s="63" t="inlineStr">
        <is>
          <t>N/A</t>
        </is>
      </c>
      <c r="BN478" s="63" t="inlineStr">
        <is>
          <t>N/A</t>
        </is>
      </c>
      <c r="BO478" s="63" t="inlineStr">
        <is>
          <t>N/A</t>
        </is>
      </c>
      <c r="BP478" s="63" t="inlineStr">
        <is>
          <t>N/A</t>
        </is>
      </c>
      <c r="BQ478" s="63" t="inlineStr">
        <is>
          <t>N/A</t>
        </is>
      </c>
      <c r="BR478" s="63" t="inlineStr">
        <is>
          <t>N/A</t>
        </is>
      </c>
      <c r="BS478" s="76" t="inlineStr">
        <is>
          <t>Sinolink Securities (Hong Kong) Company Limited</t>
        </is>
      </c>
      <c r="BT478" s="63" t="inlineStr">
        <is>
          <t>Sinolink Securities (Hong Kong) Company Limited</t>
        </is>
      </c>
      <c r="BU478" s="63" t="inlineStr">
        <is>
          <t>GF Securities (Hong Kong) Brokerage Limited; ABCI Capital Limited; ABCI Securities Company Limited</t>
        </is>
      </c>
      <c r="BV478" s="63" t="inlineStr">
        <is>
          <t>ABCI Securities Company Limited; CCB International Capital Limited; GF Securities (Hong Kong) Brokerage Limited; Sinolink Securities (Hong Kong) Company Limited; Shanxi Securities International Limited; TradeGo Markets Limited</t>
        </is>
      </c>
      <c r="BW478" s="78">
        <f>HYPERLINK("https://www1.hkexnews.hk/listedco/listconews/sehk/2026/0528/2026052800023.pdf","prospectus")</f>
        <v/>
      </c>
      <c r="BX478" s="78">
        <f>HYPERLINK("https://www1.hkexnews.hk/listedco/listconews/sehk/2026/0604/2026060402923.pdf","allotment")</f>
        <v/>
      </c>
      <c r="BY478" s="78">
        <f>HYPERLINK("https://www1.hkexnews.hk/listedco/listconews/sehk/2026/0702/2026070203309.pdf","stabilisation")</f>
        <v/>
      </c>
      <c r="BZ478" s="76" t="n"/>
      <c r="CA478" s="63" t="inlineStr">
        <is>
          <t>P/E: n/m — loss-making at IPO (use P/S) · range low: cap-only pricing — the filing publishes a Maximum Offer Price and no indicative floor · A/H: no A-share listing · 3m: price history incomplete for this window · P/S: 3,240x on HK$2.2m revenue — effectively pre-revenue; the multiple is shown for completeness, not comparability · alpha/index: 3m alpha needs the 3m return first — window has not elapsed yet</t>
        </is>
      </c>
    </row>
    <row r="479" ht="15" customHeight="1">
      <c r="A479" s="62" t="inlineStr">
        <is>
          <t>6658</t>
        </is>
      </c>
      <c r="B479" s="63" t="inlineStr">
        <is>
          <t>LIULIUMEI</t>
        </is>
      </c>
      <c r="C479" s="63" t="inlineStr">
        <is>
          <t>溜溜梅</t>
        </is>
      </c>
      <c r="D479" s="63" t="inlineStr">
        <is>
          <t>Consumer</t>
        </is>
      </c>
      <c r="E479" s="63" t="inlineStr">
        <is>
          <t>Beverages / packaged food</t>
        </is>
      </c>
      <c r="F479" s="63" t="inlineStr">
        <is>
          <t>Packaged Foods</t>
        </is>
      </c>
      <c r="G479" s="63" t="inlineStr">
        <is>
          <t>Standard</t>
        </is>
      </c>
      <c r="H479" s="64" t="n">
        <v>46188</v>
      </c>
      <c r="I479" s="65" t="n">
        <v>499.6</v>
      </c>
      <c r="J479" s="63" t="inlineStr">
        <is>
          <t>gross (stated)</t>
        </is>
      </c>
      <c r="K479" s="66" t="n"/>
      <c r="L479" s="66" t="n">
        <v>43.58</v>
      </c>
      <c r="M479" s="66" t="n">
        <v>43.58</v>
      </c>
      <c r="N479" s="63" t="inlineStr">
        <is>
          <t>Y</t>
        </is>
      </c>
      <c r="O479" s="67" t="n">
        <v>100</v>
      </c>
      <c r="P479" s="67" t="n"/>
      <c r="Q479" s="68" t="n">
        <v>3434.6</v>
      </c>
      <c r="R479" s="63" t="inlineStr">
        <is>
          <t>derived:price x shares upon listing</t>
        </is>
      </c>
      <c r="S479" s="69" t="n">
        <v>6586.73</v>
      </c>
      <c r="T479" s="70" t="n">
        <v>2.64</v>
      </c>
      <c r="U479" s="71" t="n">
        <v>29.55</v>
      </c>
      <c r="V479" s="68" t="n">
        <v>351.97</v>
      </c>
      <c r="W479" s="68" t="n">
        <v>8076458</v>
      </c>
      <c r="X479" s="67" t="n">
        <v>10.25</v>
      </c>
      <c r="Y479" s="63" t="inlineStr">
        <is>
          <t>Top New Development Limited</t>
        </is>
      </c>
      <c r="Z479" s="63" t="inlineStr">
        <is>
          <t>top</t>
        </is>
      </c>
      <c r="AA479" s="67" t="n">
        <v>11.9</v>
      </c>
      <c r="AB479" s="72" t="n">
        <v>127.7</v>
      </c>
      <c r="AC479" s="66" t="n">
        <v>99.25</v>
      </c>
      <c r="AD479" s="72" t="n">
        <v>28.99</v>
      </c>
      <c r="AE479" s="63" t="inlineStr">
        <is>
          <t>Y</t>
        </is>
      </c>
      <c r="AF479" s="63" t="inlineStr">
        <is>
          <t>2026-06-15</t>
        </is>
      </c>
      <c r="AG479" s="63" t="n"/>
      <c r="AH479" s="63" t="n"/>
      <c r="AI479" s="63" t="n"/>
      <c r="AJ479" s="63" t="n"/>
      <c r="AK479" s="73" t="n">
        <v>193.71</v>
      </c>
      <c r="AL479" s="72" t="n">
        <v>117.99</v>
      </c>
      <c r="AM479" s="72" t="n">
        <v>34.74</v>
      </c>
      <c r="AN479" s="72" t="n">
        <v>225.61</v>
      </c>
      <c r="AO479" s="72" t="n">
        <v>277.93</v>
      </c>
      <c r="AP479" s="72" t="n"/>
      <c r="AQ479" s="72" t="n">
        <v>10.86</v>
      </c>
      <c r="AR479" s="72" t="n">
        <v>28.67</v>
      </c>
      <c r="AS479" s="72" t="n"/>
      <c r="AT479" s="72" t="n">
        <v>233.32</v>
      </c>
      <c r="AU479" s="72" t="n">
        <v>275.73</v>
      </c>
      <c r="AV479" s="72" t="n"/>
      <c r="AW479" s="72" t="n">
        <v>26.76</v>
      </c>
      <c r="AX479" s="72" t="n">
        <v>2.2</v>
      </c>
      <c r="AY479" s="72" t="n">
        <v>1.91</v>
      </c>
      <c r="AZ479" s="63" t="inlineStr">
        <is>
          <t>Hang Seng Commerce &amp; Industry sub-index</t>
        </is>
      </c>
      <c r="BA479" s="72" t="n">
        <v>216.2</v>
      </c>
      <c r="BB479" s="64" t="inlineStr">
        <is>
          <t>2026-08-31</t>
        </is>
      </c>
      <c r="BC479" s="65" t="n">
        <v>1881.8</v>
      </c>
      <c r="BD479" s="68" t="n">
        <v>200.3</v>
      </c>
      <c r="BE479" s="63" t="inlineStr">
        <is>
          <t>Y</t>
        </is>
      </c>
      <c r="BF479" s="74" t="n">
        <v>17.1</v>
      </c>
      <c r="BG479" s="74" t="n"/>
      <c r="BH479" s="74" t="n"/>
      <c r="BI479" s="74" t="n">
        <v>1.8</v>
      </c>
      <c r="BJ479" s="75">
        <f>IF('BBG Verify'!S479="","not filed — run on terminal",'BBG Verify'!S479)</f>
        <v/>
      </c>
      <c r="BK479" s="76" t="inlineStr">
        <is>
          <t>N</t>
        </is>
      </c>
      <c r="BL479" s="77">
        <f>IF('BBG Verify'!K479="","not filed — run on terminal",'BBG Verify'!K479)</f>
        <v/>
      </c>
      <c r="BM479" s="63" t="inlineStr">
        <is>
          <t>N/A</t>
        </is>
      </c>
      <c r="BN479" s="63" t="inlineStr">
        <is>
          <t>N/A</t>
        </is>
      </c>
      <c r="BO479" s="63" t="inlineStr">
        <is>
          <t>N/A</t>
        </is>
      </c>
      <c r="BP479" s="63" t="inlineStr">
        <is>
          <t>N/A</t>
        </is>
      </c>
      <c r="BQ479" s="63" t="inlineStr">
        <is>
          <t>N/A</t>
        </is>
      </c>
      <c r="BR479" s="63" t="inlineStr">
        <is>
          <t>N/A</t>
        </is>
      </c>
      <c r="BS479" s="76" t="inlineStr">
        <is>
          <t>CITIC Securities (Hong Kong) Limited; Guoyuan Capital (Hong Kong) Limited</t>
        </is>
      </c>
      <c r="BT479" s="63" t="inlineStr">
        <is>
          <t>CITIC Securities (Hong Kong) Limited; Guoyuan Capital (Hong Kong) Limited</t>
        </is>
      </c>
      <c r="BU479" s="63" t="inlineStr">
        <is>
          <t>CLSA Limited; Guoyuan Securities Brokerage (Hong Kong) Limited; Zhongtai International Securities Limited; Soochow Securities International Brokerage Limited; CEB International Capital Corporation Limited; Huafu International Securities Limited; Orient Securities (Hong Kong) Limited</t>
        </is>
      </c>
      <c r="BV479" s="63" t="inlineStr">
        <is>
          <t>CEB International Capital Corporation Limited; CLSA Limited; Guoyuan Securities Brokerage (Hong Kong) Limited; Huafu International Securities Limited; Orient Securities (Hong Kong) Limited; Soochow Securities International Brokerage Limited; Zhongtai International Securities Limited</t>
        </is>
      </c>
      <c r="BW479" s="78">
        <f>HYPERLINK("https://www1.hkexnews.hk/listedco/listconews/sehk/2026/0605/2026060500023.pdf","prospectus")</f>
        <v/>
      </c>
      <c r="BX479" s="78">
        <f>HYPERLINK("https://www1.hkexnews.hk/listedco/listconews/sehk/2026/0612/2026061202100.pdf","allotment")</f>
        <v/>
      </c>
      <c r="BY479" s="63" t="n"/>
      <c r="BZ479" s="76" t="n"/>
      <c r="CA479" s="63" t="inlineStr">
        <is>
          <t>greenshoe: end-of-stabilisation notice not located · range low: cap-only pricing — the filing publishes a Maximum Offer Price and no indicative floor · A/H: no A-share listing · 3m: listed less than 3m ago · stabilising manager: the filing states no stabilising manager will be appointed — a filed fact, not an extraction gap (allotment announcement: 'no stabilizing manager will be appointed' stated in the filing) · alpha/index: 3m alpha needs the 3m return first — window has not elapsed yet</t>
        </is>
      </c>
    </row>
    <row r="480" ht="15" customHeight="1">
      <c r="A480" s="62" t="inlineStr">
        <is>
          <t>6675</t>
        </is>
      </c>
      <c r="B480" s="63" t="inlineStr">
        <is>
          <t>SENASIC</t>
        </is>
      </c>
      <c r="C480" s="63" t="inlineStr">
        <is>
          <t>SENASIC</t>
        </is>
      </c>
      <c r="D480" s="63" t="inlineStr">
        <is>
          <t>Tech/AI</t>
        </is>
      </c>
      <c r="E480" s="63" t="inlineStr">
        <is>
          <t>AI chips &amp; semis</t>
        </is>
      </c>
      <c r="F480" s="63" t="inlineStr">
        <is>
          <t>Semiconductors &amp; Semiconductor Equipment</t>
        </is>
      </c>
      <c r="G480" s="63" t="inlineStr">
        <is>
          <t>Standard</t>
        </is>
      </c>
      <c r="H480" s="64" t="n">
        <v>46190</v>
      </c>
      <c r="I480" s="65" t="n">
        <v>980.55</v>
      </c>
      <c r="J480" s="63" t="inlineStr">
        <is>
          <t>gross (stated)</t>
        </is>
      </c>
      <c r="K480" s="66" t="n"/>
      <c r="L480" s="66" t="n">
        <v>18.36</v>
      </c>
      <c r="M480" s="66" t="n">
        <v>18.36</v>
      </c>
      <c r="N480" s="63" t="inlineStr">
        <is>
          <t>Y</t>
        </is>
      </c>
      <c r="O480" s="67" t="n">
        <v>100</v>
      </c>
      <c r="P480" s="67" t="n"/>
      <c r="Q480" s="68" t="n">
        <v>6178.6</v>
      </c>
      <c r="R480" s="63" t="inlineStr">
        <is>
          <t>derived:deal size / offer % of enlarged capital</t>
        </is>
      </c>
      <c r="S480" s="69" t="n">
        <v>5144.97</v>
      </c>
      <c r="T480" s="70" t="n">
        <v>4.44</v>
      </c>
      <c r="U480" s="71" t="n">
        <v>28.86</v>
      </c>
      <c r="V480" s="68" t="n">
        <v>697.5599999999999</v>
      </c>
      <c r="W480" s="68" t="n">
        <v>37993740</v>
      </c>
      <c r="X480" s="67" t="n">
        <v>11.29</v>
      </c>
      <c r="Y480" s="63" t="inlineStr">
        <is>
          <t>Chample International Limited; Libra Fixed Income One SP; Longwei Hong Kong Company Limited; Mr. Andrew Y Yan; Oakwise Growth Fund SPC - Greater China Fund SP; RIME Capital Limited; Sunwoda Treasury (Hong Kong) Limited; Tembusu Limited; Thalassa Capital Dynamics SPC</t>
        </is>
      </c>
      <c r="Z480" s="63" t="inlineStr">
        <is>
          <t>chample;libra;longwei;mr-andrew;oakwise;rime;sunwoda;tembusu;thalassa</t>
        </is>
      </c>
      <c r="AA480" s="67" t="n">
        <v>5.3</v>
      </c>
      <c r="AB480" s="72" t="n">
        <v>71</v>
      </c>
      <c r="AC480" s="66" t="n">
        <v>31.4</v>
      </c>
      <c r="AD480" s="72" t="n">
        <v>32.82</v>
      </c>
      <c r="AE480" s="63" t="inlineStr">
        <is>
          <t>Y</t>
        </is>
      </c>
      <c r="AF480" s="63" t="inlineStr">
        <is>
          <t>2026-06-16</t>
        </is>
      </c>
      <c r="AG480" s="63" t="inlineStr">
        <is>
          <t>partial</t>
        </is>
      </c>
      <c r="AH480" s="63" t="n"/>
      <c r="AI480" s="63" t="inlineStr">
        <is>
          <t>China International Capital Corporation Hong Kong Securities Limited</t>
        </is>
      </c>
      <c r="AJ480" s="63" t="inlineStr">
        <is>
          <t>China International</t>
        </is>
      </c>
      <c r="AK480" s="73" t="n">
        <v>127.12</v>
      </c>
      <c r="AL480" s="72" t="n">
        <v>72.11</v>
      </c>
      <c r="AM480" s="72" t="n">
        <v>31.96</v>
      </c>
      <c r="AN480" s="72" t="n">
        <v>105.88</v>
      </c>
      <c r="AO480" s="72" t="n">
        <v>10.02</v>
      </c>
      <c r="AP480" s="72" t="n"/>
      <c r="AQ480" s="72" t="n">
        <v>-9.35</v>
      </c>
      <c r="AR480" s="72" t="n">
        <v>-51.56</v>
      </c>
      <c r="AS480" s="72" t="n"/>
      <c r="AT480" s="72" t="n">
        <v>110.97</v>
      </c>
      <c r="AU480" s="72" t="n">
        <v>8.09</v>
      </c>
      <c r="AV480" s="72" t="n"/>
      <c r="AW480" s="72" t="n">
        <v>-53.4</v>
      </c>
      <c r="AX480" s="72" t="n">
        <v>1.93</v>
      </c>
      <c r="AY480" s="72" t="n">
        <v>1.84</v>
      </c>
      <c r="AZ480" s="63" t="inlineStr">
        <is>
          <t>HSTECH (Hang Seng TECH ETF)</t>
        </is>
      </c>
      <c r="BA480" s="72" t="n">
        <v>81.15000000000001</v>
      </c>
      <c r="BB480" s="64" t="inlineStr">
        <is>
          <t>2026-08-31</t>
        </is>
      </c>
      <c r="BC480" s="65" t="n">
        <v>525.6</v>
      </c>
      <c r="BD480" s="68" t="n">
        <v>-386.5</v>
      </c>
      <c r="BE480" s="63" t="inlineStr">
        <is>
          <t>N</t>
        </is>
      </c>
      <c r="BF480" s="63" t="inlineStr">
        <is>
          <t>n/m</t>
        </is>
      </c>
      <c r="BG480" s="74" t="n"/>
      <c r="BH480" s="74" t="n"/>
      <c r="BI480" s="74" t="n">
        <v>11.8</v>
      </c>
      <c r="BJ480" s="75">
        <f>IF('BBG Verify'!S480="","not filed — run on terminal",'BBG Verify'!S480)</f>
        <v/>
      </c>
      <c r="BK480" s="76" t="inlineStr">
        <is>
          <t>N</t>
        </is>
      </c>
      <c r="BL480" s="77">
        <f>IF('BBG Verify'!K480="","not filed — run on terminal",'BBG Verify'!K480)</f>
        <v/>
      </c>
      <c r="BM480" s="63" t="inlineStr">
        <is>
          <t>N/A</t>
        </is>
      </c>
      <c r="BN480" s="63" t="inlineStr">
        <is>
          <t>N/A</t>
        </is>
      </c>
      <c r="BO480" s="63" t="inlineStr">
        <is>
          <t>N/A</t>
        </is>
      </c>
      <c r="BP480" s="63" t="inlineStr">
        <is>
          <t>N/A</t>
        </is>
      </c>
      <c r="BQ480" s="63" t="inlineStr">
        <is>
          <t>N/A</t>
        </is>
      </c>
      <c r="BR480" s="63" t="inlineStr">
        <is>
          <t>N/A</t>
        </is>
      </c>
      <c r="BS480" s="76" t="inlineStr">
        <is>
          <t>China International Capital Corporation Hong Kong Securities Limited; Guotai Junan Capital Limited; OCs China International Capital Corporation Hong Kong Securities Limited; Guotai Junan Securities (Hong Kong) Limited</t>
        </is>
      </c>
      <c r="BT480" s="63" t="inlineStr">
        <is>
          <t>China International Capital Corporation Hong Kong Securities Limited; Guotai Junan Capital Limited</t>
        </is>
      </c>
      <c r="BU480" s="63" t="inlineStr">
        <is>
          <t>China International Capital Corporation Hong Kong Securities Limited; Guotai Junan Securities (Hong Kong) Limited; GF Securities (Hong Kong) Brokerage Limited; Daiwa Capital Markets Hong Kong Limited; ABCI Capital Limited; Futu Securities International (Hong Kong) Limited; Tiger Brokers (HK) Global Limited; SPDB International Capital Limited; CMBC Securities Company Limited; Shanxi Securities International Limited</t>
        </is>
      </c>
      <c r="BV480" s="63" t="inlineStr">
        <is>
          <t>ABCI Securities Company Limited; China International Capital Corporation Hong Kong Securities Limited; CMBC Securities Company Limited; Daiwa Capital Markets Hong Kong Limited; Futu Securities International (Hong Kong) Limited; GF Securities (Hong Kong) Brokerage Limited; Guotai Junan Securities (Hong Kong) Limited; Shanxi Securities International Capital Limited; SPDB International Capital Limited; Tiger Brokers (HK) Global Limited</t>
        </is>
      </c>
      <c r="BW480" s="78">
        <f>HYPERLINK("https://www1.hkexnews.hk/listedco/listconews/sehk/2026/0609/2026060900029.pdf","prospectus")</f>
        <v/>
      </c>
      <c r="BX480" s="78">
        <f>HYPERLINK("https://www1.hkexnews.hk/listedco/listconews/sehk/2026/0616/2026061601760.pdf","allotment")</f>
        <v/>
      </c>
      <c r="BY480" s="78">
        <f>HYPERLINK("https://www1.hkexnews.hk/listedco/listconews/sehk/2026/0712/2026071200003.pdf","stabilisation")</f>
        <v/>
      </c>
      <c r="BZ480" s="76" t="n"/>
      <c r="CA480" s="63" t="inlineStr">
        <is>
          <t>P/E: n/m — loss-making at IPO (use P/S) · greenshoe: over-allotment outcome already published, and the allotment announcement does not state the stabilisation expiry in a parsable form — the expiry no longer matters once resolved · range low: cap-only pricing — the filing publishes a Maximum Offer Price and no indicative floor · A/H: no A-share listing · 3m: listed less than 3m ago · alpha/index: 3m alpha needs the 3m return first — window has not elapsed yet</t>
        </is>
      </c>
    </row>
    <row r="481" ht="15" customHeight="1">
      <c r="A481" s="62" t="inlineStr">
        <is>
          <t>1392</t>
        </is>
      </c>
      <c r="B481" s="63" t="inlineStr">
        <is>
          <t>HQVT</t>
        </is>
      </c>
      <c r="C481" s="63" t="inlineStr">
        <is>
          <t>海清智元</t>
        </is>
      </c>
      <c r="D481" s="63" t="inlineStr">
        <is>
          <t>Tech/AI</t>
        </is>
      </c>
      <c r="E481" s="63" t="inlineStr">
        <is>
          <t>AI application / agent software</t>
        </is>
      </c>
      <c r="F481" s="63" t="inlineStr">
        <is>
          <t>Next-generation information technology</t>
        </is>
      </c>
      <c r="G481" s="63" t="inlineStr">
        <is>
          <t>Standard</t>
        </is>
      </c>
      <c r="H481" s="64" t="n">
        <v>46195</v>
      </c>
      <c r="I481" s="65" t="n">
        <v>613.17</v>
      </c>
      <c r="J481" s="63" t="inlineStr">
        <is>
          <t>gross (stated)</t>
        </is>
      </c>
      <c r="K481" s="66" t="n"/>
      <c r="L481" s="66" t="n">
        <v>7.2</v>
      </c>
      <c r="M481" s="66" t="n">
        <v>7.2</v>
      </c>
      <c r="N481" s="63" t="inlineStr">
        <is>
          <t>Y</t>
        </is>
      </c>
      <c r="O481" s="67" t="n">
        <v>100</v>
      </c>
      <c r="P481" s="67" t="n"/>
      <c r="Q481" s="68" t="n">
        <v>5574.3</v>
      </c>
      <c r="R481" s="63" t="inlineStr">
        <is>
          <t>derived:price x shares upon listing</t>
        </is>
      </c>
      <c r="S481" s="69" t="n">
        <v>7181.21</v>
      </c>
      <c r="T481" s="70" t="n">
        <v>4.81</v>
      </c>
      <c r="U481" s="71" t="n"/>
      <c r="V481" s="68" t="n">
        <v>613.17</v>
      </c>
      <c r="W481" s="68" t="n">
        <v>85162500</v>
      </c>
      <c r="X481" s="67" t="n">
        <v>11</v>
      </c>
      <c r="Y481" s="63" t="n"/>
      <c r="Z481" s="63" t="n"/>
      <c r="AA481" s="67" t="n"/>
      <c r="AB481" s="72" t="n">
        <v>263.9</v>
      </c>
      <c r="AC481" s="66" t="n">
        <v>26.2</v>
      </c>
      <c r="AD481" s="72" t="n">
        <v>1.9</v>
      </c>
      <c r="AE481" s="63" t="inlineStr">
        <is>
          <t>Y</t>
        </is>
      </c>
      <c r="AF481" s="63" t="inlineStr">
        <is>
          <t>2026-06-18</t>
        </is>
      </c>
      <c r="AG481" s="63" t="n"/>
      <c r="AH481" s="63" t="n"/>
      <c r="AI481" s="63" t="n"/>
      <c r="AJ481" s="63" t="n"/>
      <c r="AK481" s="73" t="n">
        <v>270.83</v>
      </c>
      <c r="AL481" s="72" t="n">
        <v>302.78</v>
      </c>
      <c r="AM481" s="72" t="n">
        <v>-7.93</v>
      </c>
      <c r="AN481" s="72" t="n">
        <v>143.75</v>
      </c>
      <c r="AO481" s="72" t="n">
        <v>95.83</v>
      </c>
      <c r="AP481" s="72" t="n"/>
      <c r="AQ481" s="72" t="n">
        <v>-34.27</v>
      </c>
      <c r="AR481" s="72" t="n">
        <v>-47.19</v>
      </c>
      <c r="AS481" s="72" t="n"/>
      <c r="AT481" s="72" t="n">
        <v>148.27</v>
      </c>
      <c r="AU481" s="72" t="n">
        <v>94.31999999999999</v>
      </c>
      <c r="AV481" s="72" t="n"/>
      <c r="AW481" s="72" t="n">
        <v>-49.79</v>
      </c>
      <c r="AX481" s="72" t="n">
        <v>1.51</v>
      </c>
      <c r="AY481" s="72" t="n">
        <v>2.6</v>
      </c>
      <c r="AZ481" s="63" t="inlineStr">
        <is>
          <t>HSTECH (Hang Seng TECH ETF)</t>
        </is>
      </c>
      <c r="BA481" s="72" t="n">
        <v>298.61</v>
      </c>
      <c r="BB481" s="64" t="inlineStr">
        <is>
          <t>2026-08-31</t>
        </is>
      </c>
      <c r="BC481" s="65" t="n">
        <v>735.4</v>
      </c>
      <c r="BD481" s="68" t="n">
        <v>32.3</v>
      </c>
      <c r="BE481" s="63" t="inlineStr">
        <is>
          <t>Y</t>
        </is>
      </c>
      <c r="BF481" s="74" t="n">
        <v>172.6</v>
      </c>
      <c r="BG481" s="74" t="n"/>
      <c r="BH481" s="74" t="n"/>
      <c r="BI481" s="74" t="n">
        <v>7.6</v>
      </c>
      <c r="BJ481" s="75">
        <f>IF('BBG Verify'!S481="","not filed — run on terminal",'BBG Verify'!S481)</f>
        <v/>
      </c>
      <c r="BK481" s="76" t="inlineStr">
        <is>
          <t>N</t>
        </is>
      </c>
      <c r="BL481" s="77">
        <f>IF('BBG Verify'!K481="","not filed — run on terminal",'BBG Verify'!K481)</f>
        <v/>
      </c>
      <c r="BM481" s="63" t="inlineStr">
        <is>
          <t>N/A</t>
        </is>
      </c>
      <c r="BN481" s="63" t="inlineStr">
        <is>
          <t>N/A</t>
        </is>
      </c>
      <c r="BO481" s="63" t="inlineStr">
        <is>
          <t>N/A</t>
        </is>
      </c>
      <c r="BP481" s="63" t="inlineStr">
        <is>
          <t>N/A</t>
        </is>
      </c>
      <c r="BQ481" s="63" t="inlineStr">
        <is>
          <t>N/A</t>
        </is>
      </c>
      <c r="BR481" s="63" t="inlineStr">
        <is>
          <t>N/A</t>
        </is>
      </c>
      <c r="BS481" s="76" t="inlineStr">
        <is>
          <t>CMBC International Capital Limited; SPDB International Capital Limited</t>
        </is>
      </c>
      <c r="BT481" s="63" t="inlineStr">
        <is>
          <t>CMBC International Capital Limited; SPDB International Capital Limited</t>
        </is>
      </c>
      <c r="BU481" s="63" t="inlineStr">
        <is>
          <t>Livermore Holdings Limited; CCB International Capital Limited; CMB International Capital Limited; DL Securities (HK) Limited; Huafu International Securities Limited; Skyvast Securities Limited; Somerley Capital Limited; Yuen Meta (International) Securities Limited; Yunfeng Securities Limited; Zheshang International Financial Holdings Co., Limited; Zhongtai International Securities Limited</t>
        </is>
      </c>
      <c r="BV481" s="63" t="inlineStr">
        <is>
          <t>CCB International Capital Limited; CEB International Capital Corporation Limited; China Harbour International Securities Limited; CMBC Securities Company Limited; CMB International Capital Limited; DL Securities (HK) Limited; Huafu International Securities Limited; Livermore Holdings Limited; Somerley Capital Limited; SPDB International Capital Limited; Skyvast Securities Limited; Yunfeng Securities Limited</t>
        </is>
      </c>
      <c r="BW481" s="78">
        <f>HYPERLINK("https://www1.hkexnews.hk/listedco/listconews/sehk/2026/0611/2026061100015.pdf","prospectus")</f>
        <v/>
      </c>
      <c r="BX481" s="78">
        <f>HYPERLINK("https://www1.hkexnews.hk/listedco/listconews/sehk/2026/0618/2026061802066.pdf","allotment")</f>
        <v/>
      </c>
      <c r="BY481" s="63" t="n"/>
      <c r="BZ481" s="76" t="n"/>
      <c r="CA481" s="63" t="inlineStr">
        <is>
          <t>greenshoe: no over-allotment option in the offer structure · range low: cap-only pricing — the filing publishes a Maximum Offer Price and no indicative floor · A/H: no A-share listing · 3m: listed less than 3m ago · cornerstone list: cornerstone section not machine-extractable — see the prospectus link · cornerstone %: cornerstone aggregate not stated in the filing · greenshoe size: no over-allotment option in the offer structure · stabilising manager: no over-allotment option in the offer structure, so no stabilising manager is appointed · alpha/index: 3m alpha needs the 3m return first — window has not elapsed yet</t>
        </is>
      </c>
    </row>
    <row r="482" ht="15" customHeight="1">
      <c r="A482" s="62" t="inlineStr">
        <is>
          <t>6132</t>
        </is>
      </c>
      <c r="B482" s="63" t="inlineStr">
        <is>
          <t>HJ SCIENCE-B</t>
        </is>
      </c>
      <c r="C482" s="63" t="inlineStr">
        <is>
          <t>華健未來－Ｂ</t>
        </is>
      </c>
      <c r="D482" s="63" t="inlineStr">
        <is>
          <t>Healthcare</t>
        </is>
      </c>
      <c r="E482" s="63" t="inlineStr">
        <is>
          <t>Biotech pre-revenue (18A)</t>
        </is>
      </c>
      <c r="F482" s="63" t="inlineStr">
        <is>
          <t>Biotechnology - Pharmaceuticals</t>
        </is>
      </c>
      <c r="G482" s="63" t="inlineStr">
        <is>
          <t>18A</t>
        </is>
      </c>
      <c r="H482" s="64" t="n">
        <v>46196</v>
      </c>
      <c r="I482" s="65" t="n">
        <v>1112.5</v>
      </c>
      <c r="J482" s="63" t="inlineStr">
        <is>
          <t>gross (stated)</t>
        </is>
      </c>
      <c r="K482" s="66" t="n"/>
      <c r="L482" s="66" t="n">
        <v>81.8</v>
      </c>
      <c r="M482" s="66" t="n">
        <v>81.8</v>
      </c>
      <c r="N482" s="63" t="inlineStr">
        <is>
          <t>Y</t>
        </is>
      </c>
      <c r="O482" s="67" t="n">
        <v>100</v>
      </c>
      <c r="P482" s="67" t="n"/>
      <c r="Q482" s="68" t="n">
        <v>6020</v>
      </c>
      <c r="R482" s="63" t="inlineStr">
        <is>
          <t>press:eastmoney 2026-06: 总市值60.20亿 at HK$81.80</t>
        </is>
      </c>
      <c r="S482" s="69" t="n">
        <v>2007.6</v>
      </c>
      <c r="T482" s="70" t="n">
        <v>7</v>
      </c>
      <c r="U482" s="71" t="n">
        <v>34.66</v>
      </c>
      <c r="V482" s="68" t="n">
        <v>726.91</v>
      </c>
      <c r="W482" s="68" t="n">
        <v>8886240</v>
      </c>
      <c r="X482" s="67" t="n">
        <v>12.07</v>
      </c>
      <c r="Y482" s="63" t="inlineStr">
        <is>
          <t>Foresight Fund Management Company Limited; Key Broad Future Limited; LBC HK Opportunity Fund Limited; Panjing Harbourview Investment Fund; Sage Partners Master Fund; Taikang Life Insurance Co., Ltd</t>
        </is>
      </c>
      <c r="Z482" s="63" t="inlineStr">
        <is>
          <t>foresight;key;lbc;panjing;sage;taikang</t>
        </is>
      </c>
      <c r="AA482" s="67" t="n">
        <v>7.5</v>
      </c>
      <c r="AB482" s="72" t="n">
        <v>0</v>
      </c>
      <c r="AC482" s="66" t="n">
        <v>81.8</v>
      </c>
      <c r="AD482" s="72" t="n">
        <v>-56.89</v>
      </c>
      <c r="AE482" s="63" t="inlineStr">
        <is>
          <t>Y</t>
        </is>
      </c>
      <c r="AF482" s="63" t="inlineStr">
        <is>
          <t>2026-06-22</t>
        </is>
      </c>
      <c r="AG482" s="63" t="inlineStr">
        <is>
          <t>lapsed</t>
        </is>
      </c>
      <c r="AH482" s="63" t="n"/>
      <c r="AI482" s="63" t="inlineStr">
        <is>
          <t>CLSA Limited</t>
        </is>
      </c>
      <c r="AJ482" s="63" t="inlineStr">
        <is>
          <t>CLSA</t>
        </is>
      </c>
      <c r="AK482" s="73" t="n">
        <v>-56.89</v>
      </c>
      <c r="AL482" s="72" t="n">
        <v>0</v>
      </c>
      <c r="AM482" s="72" t="n">
        <v>-56.89</v>
      </c>
      <c r="AN482" s="72" t="n">
        <v>-56.14</v>
      </c>
      <c r="AO482" s="72" t="n">
        <v>-42.52</v>
      </c>
      <c r="AP482" s="72" t="n"/>
      <c r="AQ482" s="72" t="n">
        <v>1.74</v>
      </c>
      <c r="AR482" s="72" t="n">
        <v>33.33</v>
      </c>
      <c r="AS482" s="72" t="n"/>
      <c r="AT482" s="72" t="n">
        <v>-64.12</v>
      </c>
      <c r="AU482" s="72" t="n">
        <v>-61.81</v>
      </c>
      <c r="AV482" s="72" t="n"/>
      <c r="AW482" s="72" t="n">
        <v>14.16</v>
      </c>
      <c r="AX482" s="72" t="n">
        <v>19.29</v>
      </c>
      <c r="AY482" s="72" t="n">
        <v>19.17</v>
      </c>
      <c r="AZ482" s="63" t="inlineStr">
        <is>
          <t>China Biotech ETF (HS biotech proxy)</t>
        </is>
      </c>
      <c r="BA482" s="72" t="n">
        <v>-43.13</v>
      </c>
      <c r="BB482" s="64" t="inlineStr">
        <is>
          <t>2026-08-31</t>
        </is>
      </c>
      <c r="BC482" s="65" t="n">
        <v>14.3</v>
      </c>
      <c r="BD482" s="68" t="n">
        <v>-148.6</v>
      </c>
      <c r="BE482" s="63" t="inlineStr">
        <is>
          <t>N</t>
        </is>
      </c>
      <c r="BF482" s="63" t="inlineStr">
        <is>
          <t>n/m</t>
        </is>
      </c>
      <c r="BG482" s="74" t="n"/>
      <c r="BH482" s="74" t="n"/>
      <c r="BI482" s="74" t="n">
        <v>421</v>
      </c>
      <c r="BJ482" s="75">
        <f>IF('BBG Verify'!S482="","not filed — run on terminal",'BBG Verify'!S482)</f>
        <v/>
      </c>
      <c r="BK482" s="76" t="inlineStr">
        <is>
          <t>N</t>
        </is>
      </c>
      <c r="BL482" s="77">
        <f>IF('BBG Verify'!K482="","not filed — run on terminal",'BBG Verify'!K482)</f>
        <v/>
      </c>
      <c r="BM482" s="63" t="inlineStr">
        <is>
          <t>N/A</t>
        </is>
      </c>
      <c r="BN482" s="63" t="inlineStr">
        <is>
          <t>N/A</t>
        </is>
      </c>
      <c r="BO482" s="63" t="inlineStr">
        <is>
          <t>N/A</t>
        </is>
      </c>
      <c r="BP482" s="63" t="inlineStr">
        <is>
          <t>N/A</t>
        </is>
      </c>
      <c r="BQ482" s="63" t="inlineStr">
        <is>
          <t>N/A</t>
        </is>
      </c>
      <c r="BR482" s="63" t="inlineStr">
        <is>
          <t>N/A</t>
        </is>
      </c>
      <c r="BS482" s="76" t="inlineStr">
        <is>
          <t>CITIC Securities (Hong Kong) Limited</t>
        </is>
      </c>
      <c r="BT482" s="63" t="inlineStr">
        <is>
          <t>CITIC Securities (Hong Kong) Limited</t>
        </is>
      </c>
      <c r="BU482" s="63" t="inlineStr">
        <is>
          <t>CLSA Limited</t>
        </is>
      </c>
      <c r="BV482" s="63" t="inlineStr">
        <is>
          <t>CLSA Limited</t>
        </is>
      </c>
      <c r="BW482" s="78">
        <f>HYPERLINK("https://www1.hkexnews.hk/listedco/listconews/sehk/2026/0612/2026061200083.pdf","prospectus")</f>
        <v/>
      </c>
      <c r="BX482" s="78">
        <f>HYPERLINK("https://www1.hkexnews.hk/listedco/listconews/sehk/2026/0622/2026062201627.pdf","allotment")</f>
        <v/>
      </c>
      <c r="BY482" s="78">
        <f>HYPERLINK("https://www1.hkexnews.hk/listedco/listconews/sehk/2026/0717/2026071700724.pdf","stabilisation")</f>
        <v/>
      </c>
      <c r="BZ482" s="76" t="n"/>
      <c r="CA482" s="63" t="inlineStr">
        <is>
          <t>P/E: n/m — loss-making at IPO (use P/S) · greenshoe: over-allotment outcome already published, and the allotment announcement does not state the stabilisation expiry in a parsable form — the expiry no longer matters once resolved · range low: cap-only pricing — the filing publishes a Maximum Offer Price and no indicative floor · A/H: no A-share listing · 3m: listed less than 3m ago · P/S: 421x on HK$14.3m revenue — effectively pre-revenue; the multiple is shown for completeness, not comparability · alpha/index: 3m alpha needs the 3m return first — window has not elapsed yet</t>
        </is>
      </c>
    </row>
    <row r="483" ht="15" customHeight="1">
      <c r="A483" s="62" t="inlineStr">
        <is>
          <t>6067</t>
        </is>
      </c>
      <c r="B483" s="63" t="inlineStr">
        <is>
          <t>SENIOR MATERIAL</t>
        </is>
      </c>
      <c r="C483" s="63" t="inlineStr">
        <is>
          <t>星源材質</t>
        </is>
      </c>
      <c r="D483" s="63" t="inlineStr">
        <is>
          <t>Industrials</t>
        </is>
      </c>
      <c r="E483" s="63" t="inlineStr">
        <is>
          <t>Batteries / energy storage</t>
        </is>
      </c>
      <c r="F483" s="63" t="inlineStr">
        <is>
          <t>Battery Products</t>
        </is>
      </c>
      <c r="G483" s="63" t="inlineStr">
        <is>
          <t>Standard</t>
        </is>
      </c>
      <c r="H483" s="64" t="n">
        <v>46196</v>
      </c>
      <c r="I483" s="65" t="n">
        <v>1342.7</v>
      </c>
      <c r="J483" s="63" t="inlineStr">
        <is>
          <t>gross (stated)</t>
        </is>
      </c>
      <c r="K483" s="66" t="n"/>
      <c r="L483" s="66" t="n">
        <v>8.98</v>
      </c>
      <c r="M483" s="66" t="n">
        <v>8.98</v>
      </c>
      <c r="N483" s="63" t="inlineStr">
        <is>
          <t>Y</t>
        </is>
      </c>
      <c r="O483" s="67" t="n">
        <v>100</v>
      </c>
      <c r="P483" s="67" t="n"/>
      <c r="Q483" s="68" t="n">
        <v>13427.2</v>
      </c>
      <c r="R483" s="63" t="inlineStr">
        <is>
          <t>derived:price x shares upon listing</t>
        </is>
      </c>
      <c r="S483" s="69" t="n">
        <v>1563.16</v>
      </c>
      <c r="T483" s="70" t="n">
        <v>14.34</v>
      </c>
      <c r="U483" s="71" t="n">
        <v>45.14</v>
      </c>
      <c r="V483" s="68" t="n">
        <v>736.61</v>
      </c>
      <c r="W483" s="68" t="n">
        <v>82028592</v>
      </c>
      <c r="X483" s="67" t="n">
        <v>5.49</v>
      </c>
      <c r="Y483" s="63" t="inlineStr">
        <is>
          <t>Bona Star Consultant Limited; CICC Financial Trading Limited; Fullgoal Fund Management Co., Ltd; GF Fund Management Co., Ltd; Harvest International Premium Value (Secondary Market) Fund SPC; JINKOSOLAR INVESTMENT LIMITED; Mondeomax Limited; Mr. Chen Feng; SHEEN NATION HOLDINGS LIMITED; SINSANWA HOLDINGS (H.K.) CO., LIMITED; Springs Capital (Hong Kong) Limited; Sunwoda Treasury (Hong Kong) Limited; Taikang Life Insurance Co., Ltd</t>
        </is>
      </c>
      <c r="Z483" s="63" t="inlineStr">
        <is>
          <t>bona;china-international;fullgoal;gf;harvest;jinkosolar;mondeomax;mr-chen;sheen;sinsanwa;springs;sunwoda;taikang</t>
        </is>
      </c>
      <c r="AA483" s="67" t="n"/>
      <c r="AB483" s="72" t="n">
        <v>40.8</v>
      </c>
      <c r="AC483" s="66" t="n">
        <v>12.64</v>
      </c>
      <c r="AD483" s="72" t="n">
        <v>-13</v>
      </c>
      <c r="AE483" s="63" t="inlineStr">
        <is>
          <t>Y</t>
        </is>
      </c>
      <c r="AF483" s="63" t="inlineStr">
        <is>
          <t>2026-06-22</t>
        </is>
      </c>
      <c r="AG483" s="63" t="n"/>
      <c r="AH483" s="63" t="n"/>
      <c r="AI483" s="63" t="n"/>
      <c r="AJ483" s="63" t="n"/>
      <c r="AK483" s="73" t="n">
        <v>22.49</v>
      </c>
      <c r="AL483" s="72" t="n">
        <v>38.42</v>
      </c>
      <c r="AM483" s="72" t="n">
        <v>-11.51</v>
      </c>
      <c r="AN483" s="72" t="n">
        <v>10.24</v>
      </c>
      <c r="AO483" s="72" t="n">
        <v>-12.25</v>
      </c>
      <c r="AP483" s="72" t="n"/>
      <c r="AQ483" s="72" t="n">
        <v>-10</v>
      </c>
      <c r="AR483" s="72" t="n">
        <v>-28.36</v>
      </c>
      <c r="AS483" s="72" t="n"/>
      <c r="AT483" s="72" t="n">
        <v>13.81</v>
      </c>
      <c r="AU483" s="72" t="n">
        <v>-18.87</v>
      </c>
      <c r="AV483" s="72" t="n"/>
      <c r="AW483" s="72" t="n">
        <v>-38.07</v>
      </c>
      <c r="AX483" s="72" t="n">
        <v>6.62</v>
      </c>
      <c r="AY483" s="72" t="n">
        <v>9.710000000000001</v>
      </c>
      <c r="AZ483" s="63" t="inlineStr">
        <is>
          <t>Hang Seng Commerce &amp; Industry sub-index</t>
        </is>
      </c>
      <c r="BA483" s="72" t="n">
        <v>-10.91</v>
      </c>
      <c r="BB483" s="64" t="inlineStr">
        <is>
          <t>2026-08-31</t>
        </is>
      </c>
      <c r="BC483" s="65" t="n">
        <v>4484.5</v>
      </c>
      <c r="BD483" s="68" t="n">
        <v>157.4</v>
      </c>
      <c r="BE483" s="63" t="inlineStr">
        <is>
          <t>Y</t>
        </is>
      </c>
      <c r="BF483" s="74" t="n">
        <v>85.3</v>
      </c>
      <c r="BG483" s="74" t="n">
        <v>297.2</v>
      </c>
      <c r="BH483" s="74" t="n">
        <v>224.7</v>
      </c>
      <c r="BI483" s="74" t="n">
        <v>3</v>
      </c>
      <c r="BJ483" s="75">
        <f>IF('BBG Verify'!S483="","not filed — run on terminal",'BBG Verify'!S483)</f>
        <v/>
      </c>
      <c r="BK483" s="76" t="inlineStr">
        <is>
          <t>Y</t>
        </is>
      </c>
      <c r="BL483" s="63" t="inlineStr">
        <is>
          <t>300568.SZ</t>
        </is>
      </c>
      <c r="BM483" s="72" t="n">
        <v>162.05</v>
      </c>
      <c r="BN483" s="66" t="n">
        <v>23.5319</v>
      </c>
      <c r="BO483" s="80" t="n">
        <v>1.1911</v>
      </c>
      <c r="BP483" s="68" t="n">
        <v>26243.6</v>
      </c>
      <c r="BQ483" s="75">
        <f>IF('BBG Verify'!Q483="","run on terminal",'BBG Verify'!Q483)</f>
        <v/>
      </c>
      <c r="BR483" s="75">
        <f>IF('BBG Verify'!R483="","run on terminal",'BBG Verify'!R483)</f>
        <v/>
      </c>
      <c r="BS483" s="76" t="inlineStr">
        <is>
          <t>China Securities (International) Corporate Finance Company Limited</t>
        </is>
      </c>
      <c r="BT483" s="63" t="inlineStr">
        <is>
          <t>China Securities (International) Corporate Finance Company Limited</t>
        </is>
      </c>
      <c r="BU483" s="63" t="inlineStr">
        <is>
          <t>CMBC Securities Company Limited; Jinluo Securities Limited; New Industrial Financial Holdings Limited; China Industrial Securities International Capital Limited; Futu Securities International (Hong Kong) Limited; Tiger Brokers (HK) Global Limited; China Securities (International) Corporate Finance Company Limited; Huatai Financial Holdings (Hong Kong) Limited; ICBC International Securities Limited</t>
        </is>
      </c>
      <c r="BV483" s="63" t="inlineStr">
        <is>
          <t>China International Capital Corporation Hong Kong Securities Limited; China Industrial Securities International Capital Limited; CMBC Securities Company Limited; China Securities (International) Corporate Finance Company Limited; Futu Securities International (Hong Kong) Limited; Huatai Financial Holdings (Hong Kong) Limited; ICBC International Securities Limited; Jinluo Securities Limited; New Industrial Financial Holdings Limited; Tiger Brokers (HK) Global Limited; Vast Harbour Securities Limited</t>
        </is>
      </c>
      <c r="BW483" s="78">
        <f>HYPERLINK("https://www1.hkexnews.hk/listedco/listconews/sehk/2026/0612/2026061200031.pdf","prospectus")</f>
        <v/>
      </c>
      <c r="BX483" s="78">
        <f>HYPERLINK("https://www1.hkexnews.hk/listedco/listconews/sehk/2026/0622/2026062202141.pdf","allotment")</f>
        <v/>
      </c>
      <c r="BY483" s="63" t="n"/>
      <c r="BZ483" s="76" t="n"/>
      <c r="CA483" s="63" t="inlineStr">
        <is>
          <t>greenshoe: no over-allotment option in the offer structure · range low: cap-only pricing — the filing publishes a Maximum Offer Price and no indicative floor · A/H: Jun 2026 H listing (battery separators) · 3m: listed less than 3m ago · greenshoe size: no over-allotment option in the offer structure · stabilising manager: no over-allotment option in the offer structure, so no stabilising manager is appointed · alpha/index: 3m alpha needs the 3m return first — window has not elapsed yet</t>
        </is>
      </c>
    </row>
    <row r="484" ht="15" customHeight="1">
      <c r="A484" s="62" t="inlineStr">
        <is>
          <t>2335</t>
        </is>
      </c>
      <c r="B484" s="63" t="inlineStr">
        <is>
          <t>MICOT PHARMA-B</t>
        </is>
      </c>
      <c r="C484" s="63" t="inlineStr">
        <is>
          <t>麥科醫藥－Ｂ</t>
        </is>
      </c>
      <c r="D484" s="63" t="inlineStr">
        <is>
          <t>Healthcare</t>
        </is>
      </c>
      <c r="E484" s="63" t="inlineStr">
        <is>
          <t>Biotech pre-revenue (18A)</t>
        </is>
      </c>
      <c r="F484" s="63" t="inlineStr">
        <is>
          <t>Biotechnology - Pharmaceuticals</t>
        </is>
      </c>
      <c r="G484" s="63" t="inlineStr">
        <is>
          <t>18A</t>
        </is>
      </c>
      <c r="H484" s="64" t="n">
        <v>46197</v>
      </c>
      <c r="I484" s="65" t="n">
        <v>1056.6</v>
      </c>
      <c r="J484" s="63" t="inlineStr">
        <is>
          <t>gross (stated)</t>
        </is>
      </c>
      <c r="K484" s="66" t="n">
        <v>18.2</v>
      </c>
      <c r="L484" s="66" t="n">
        <v>21</v>
      </c>
      <c r="M484" s="66" t="n">
        <v>18.2</v>
      </c>
      <c r="N484" s="63" t="inlineStr">
        <is>
          <t>N</t>
        </is>
      </c>
      <c r="O484" s="67" t="n">
        <v>86.7</v>
      </c>
      <c r="P484" s="67" t="n">
        <v>0</v>
      </c>
      <c r="Q484" s="68" t="n">
        <v>6037.7</v>
      </c>
      <c r="R484" s="63" t="inlineStr">
        <is>
          <t>derived:price x shares upon listing</t>
        </is>
      </c>
      <c r="S484" s="69" t="n">
        <v>1181.46</v>
      </c>
      <c r="T484" s="70" t="n">
        <v>2.52</v>
      </c>
      <c r="U484" s="71" t="n">
        <v>42.51</v>
      </c>
      <c r="V484" s="68" t="n">
        <v>607.4400000000001</v>
      </c>
      <c r="W484" s="68" t="n">
        <v>33375475</v>
      </c>
      <c r="X484" s="67" t="n">
        <v>10.06</v>
      </c>
      <c r="Y484" s="63" t="inlineStr">
        <is>
          <t>Everest Medicines Limited; Qiyuan High-tech Innovation Investment (Hong Kong) Limited; Summit Capital Limited</t>
        </is>
      </c>
      <c r="Z484" s="63" t="inlineStr">
        <is>
          <t>everest;qiyuan;summit</t>
        </is>
      </c>
      <c r="AA484" s="67" t="n">
        <v>8.24</v>
      </c>
      <c r="AB484" s="72" t="n">
        <v>95.09999999999999</v>
      </c>
      <c r="AC484" s="66" t="n">
        <v>35.5</v>
      </c>
      <c r="AD484" s="72" t="n">
        <v>3.92</v>
      </c>
      <c r="AE484" s="63" t="inlineStr">
        <is>
          <t>Y</t>
        </is>
      </c>
      <c r="AF484" s="63" t="inlineStr">
        <is>
          <t>2026-06-23</t>
        </is>
      </c>
      <c r="AG484" s="63" t="n"/>
      <c r="AH484" s="63" t="inlineStr">
        <is>
          <t>2026-07-18</t>
        </is>
      </c>
      <c r="AI484" s="63" t="inlineStr">
        <is>
          <t>CCB International Capital Limited</t>
        </is>
      </c>
      <c r="AJ484" s="63" t="inlineStr">
        <is>
          <t>CCB</t>
        </is>
      </c>
      <c r="AK484" s="73" t="n">
        <v>102.75</v>
      </c>
      <c r="AL484" s="72" t="n">
        <v>86.92</v>
      </c>
      <c r="AM484" s="72" t="n">
        <v>8.470000000000001</v>
      </c>
      <c r="AN484" s="72" t="n">
        <v>97.58</v>
      </c>
      <c r="AO484" s="72" t="n">
        <v>86.81</v>
      </c>
      <c r="AP484" s="72" t="n"/>
      <c r="AQ484" s="72" t="n">
        <v>-2.55</v>
      </c>
      <c r="AR484" s="72" t="n">
        <v>-7.86</v>
      </c>
      <c r="AS484" s="72" t="n"/>
      <c r="AT484" s="72" t="n">
        <v>86.28</v>
      </c>
      <c r="AU484" s="72" t="n">
        <v>70.06</v>
      </c>
      <c r="AV484" s="72" t="n"/>
      <c r="AW484" s="72" t="n">
        <v>-21.18</v>
      </c>
      <c r="AX484" s="72" t="n">
        <v>16.75</v>
      </c>
      <c r="AY484" s="72" t="n">
        <v>13.32</v>
      </c>
      <c r="AZ484" s="63" t="inlineStr">
        <is>
          <t>China Biotech ETF (HS biotech proxy)</t>
        </is>
      </c>
      <c r="BA484" s="72" t="n">
        <v>56.59</v>
      </c>
      <c r="BB484" s="64" t="inlineStr">
        <is>
          <t>2026-08-31</t>
        </is>
      </c>
      <c r="BC484" s="65" t="n">
        <v>2.2</v>
      </c>
      <c r="BD484" s="68" t="n">
        <v>-203.4</v>
      </c>
      <c r="BE484" s="63" t="inlineStr">
        <is>
          <t>N</t>
        </is>
      </c>
      <c r="BF484" s="63" t="inlineStr">
        <is>
          <t>n/m</t>
        </is>
      </c>
      <c r="BG484" s="74" t="n"/>
      <c r="BH484" s="74" t="n"/>
      <c r="BI484" s="74" t="n">
        <v>2744.4</v>
      </c>
      <c r="BJ484" s="75">
        <f>IF('BBG Verify'!S484="","not filed — run on terminal",'BBG Verify'!S484)</f>
        <v/>
      </c>
      <c r="BK484" s="76" t="inlineStr">
        <is>
          <t>N</t>
        </is>
      </c>
      <c r="BL484" s="77">
        <f>IF('BBG Verify'!K484="","not filed — run on terminal",'BBG Verify'!K484)</f>
        <v/>
      </c>
      <c r="BM484" s="63" t="inlineStr">
        <is>
          <t>N/A</t>
        </is>
      </c>
      <c r="BN484" s="63" t="inlineStr">
        <is>
          <t>N/A</t>
        </is>
      </c>
      <c r="BO484" s="63" t="inlineStr">
        <is>
          <t>N/A</t>
        </is>
      </c>
      <c r="BP484" s="63" t="inlineStr">
        <is>
          <t>N/A</t>
        </is>
      </c>
      <c r="BQ484" s="63" t="inlineStr">
        <is>
          <t>N/A</t>
        </is>
      </c>
      <c r="BR484" s="63" t="inlineStr">
        <is>
          <t>N/A</t>
        </is>
      </c>
      <c r="BS484" s="76" t="n"/>
      <c r="BT484" s="63" t="inlineStr">
        <is>
          <t>CCB International Capital Limited; China Merchants Securities (HK) Company Limited</t>
        </is>
      </c>
      <c r="BU484" s="63" t="inlineStr">
        <is>
          <t>CCB International Capital Limited; China Merchants Securities (HK) Company Limited; Jakota Securities Group Limited; Ruibang Securities Limited; Sinolink Securities (Hong Kong) Company Limited; Somerley Capital Limited</t>
        </is>
      </c>
      <c r="BV484" s="63" t="inlineStr">
        <is>
          <t>CCB International Capital Limited; China Merchants Securities (HK) Company Limited; Jakota Securities Group Limited; Ruibang Securities Limited; Sinolink Securities (Hong Kong) Company Limited; Somerley Capital Limited; Skyvast Securities Limited; Tiger Brokers (HK) Global Limited</t>
        </is>
      </c>
      <c r="BW484" s="78">
        <f>HYPERLINK("https://www1.hkexnews.hk/listedco/listconews/sehk/2026/0615/2026061500009.pdf","prospectus")</f>
        <v/>
      </c>
      <c r="BX484" s="78">
        <f>HYPERLINK("https://www1.hkexnews.hk/listedco/listconews/sehk/2026/0623/2026062301227.pdf","allotment")</f>
        <v/>
      </c>
      <c r="BY484" s="63" t="n"/>
      <c r="BZ484" s="76" t="n"/>
      <c r="CA484" s="63" t="inlineStr">
        <is>
          <t>P/E: n/m — loss-making at IPO (use P/S) · greenshoe: end-of-stabilisation notice not located · A/H: no A-share listing · 3m: listed less than 3m ago · sponsor: English name not in the filing text; AAStocks 保薦人 shown · P/S: 2,744x on HK$2.2m revenue — effectively pre-revenue; the multiple is shown for completeness, not comparability · alpha/index: 3m alpha needs the 3m return first — window has not elapsed yet</t>
        </is>
      </c>
    </row>
    <row r="485" ht="15" customHeight="1">
      <c r="A485" s="62" t="inlineStr">
        <is>
          <t>6106</t>
        </is>
      </c>
      <c r="B485" s="63" t="inlineStr">
        <is>
          <t>SEER TECH</t>
        </is>
      </c>
      <c r="C485" s="63" t="inlineStr">
        <is>
          <t>仙工智能</t>
        </is>
      </c>
      <c r="D485" s="63" t="inlineStr">
        <is>
          <t>Tech/AI</t>
        </is>
      </c>
      <c r="E485" s="63" t="inlineStr">
        <is>
          <t>Robotics &amp; autonomous driving</t>
        </is>
      </c>
      <c r="F485" s="63" t="inlineStr">
        <is>
          <t>Advanced hardware and software</t>
        </is>
      </c>
      <c r="G485" s="63" t="inlineStr">
        <is>
          <t>Standard</t>
        </is>
      </c>
      <c r="H485" s="64" t="n">
        <v>46197</v>
      </c>
      <c r="I485" s="65" t="n">
        <v>1066.5</v>
      </c>
      <c r="J485" s="63" t="inlineStr">
        <is>
          <t>gross (stated)</t>
        </is>
      </c>
      <c r="K485" s="66" t="n"/>
      <c r="L485" s="66" t="n">
        <v>101.6</v>
      </c>
      <c r="M485" s="66" t="n">
        <v>101.6</v>
      </c>
      <c r="N485" s="63" t="inlineStr">
        <is>
          <t>Y</t>
        </is>
      </c>
      <c r="O485" s="67" t="n">
        <v>100</v>
      </c>
      <c r="P485" s="67" t="n"/>
      <c r="Q485" s="68" t="n">
        <v>9902.5</v>
      </c>
      <c r="R485" s="63" t="inlineStr">
        <is>
          <t>derived:deal size / offer % of enlarged capital</t>
        </is>
      </c>
      <c r="S485" s="69" t="n">
        <v>5934.56</v>
      </c>
      <c r="T485" s="70" t="n">
        <v>21.29</v>
      </c>
      <c r="U485" s="71" t="n">
        <v>43.2</v>
      </c>
      <c r="V485" s="68" t="n">
        <v>605.77</v>
      </c>
      <c r="W485" s="68" t="n">
        <v>5962466</v>
      </c>
      <c r="X485" s="67" t="n">
        <v>6.12</v>
      </c>
      <c r="Y485" s="63" t="inlineStr">
        <is>
          <t>3W Fund Management Limited; GF Fund Management Co., Ltd; HHLR Advisors, Ltd; Nova Kerry Inc; Ruihua (International) Investment Limited; Splendid Zhonghe (Tianjin) Investment Management Co., Ltd; Yishao Capital Management (HK) Limited; Yuanbao Family Office Limited</t>
        </is>
      </c>
      <c r="Z485" s="63" t="inlineStr">
        <is>
          <t>3w;gf;hhlr;nova;ruihua;splendid;yishao;yuanbao</t>
        </is>
      </c>
      <c r="AA485" s="67" t="n">
        <v>15</v>
      </c>
      <c r="AB485" s="72" t="n">
        <v>-7.3</v>
      </c>
      <c r="AC485" s="66" t="n">
        <v>94.2</v>
      </c>
      <c r="AD485" s="72" t="n">
        <v>12.55</v>
      </c>
      <c r="AE485" s="63" t="inlineStr">
        <is>
          <t>N</t>
        </is>
      </c>
      <c r="AF485" s="63" t="inlineStr">
        <is>
          <t>2026-06-23</t>
        </is>
      </c>
      <c r="AG485" s="63" t="inlineStr">
        <is>
          <t>lapsed</t>
        </is>
      </c>
      <c r="AH485" s="63" t="n"/>
      <c r="AI485" s="63" t="inlineStr">
        <is>
          <t>China International Capital Corporation Hong Kong Securities Limited</t>
        </is>
      </c>
      <c r="AJ485" s="63" t="inlineStr">
        <is>
          <t>China International</t>
        </is>
      </c>
      <c r="AK485" s="73" t="n">
        <v>4.33</v>
      </c>
      <c r="AL485" s="72" t="n">
        <v>0</v>
      </c>
      <c r="AM485" s="72" t="n">
        <v>4.33</v>
      </c>
      <c r="AN485" s="72" t="n">
        <v>-19.54</v>
      </c>
      <c r="AO485" s="72" t="n">
        <v>-44.69</v>
      </c>
      <c r="AP485" s="72" t="n"/>
      <c r="AQ485" s="72" t="n">
        <v>-22.88</v>
      </c>
      <c r="AR485" s="72" t="n">
        <v>-46.99</v>
      </c>
      <c r="AS485" s="72" t="n"/>
      <c r="AT485" s="72" t="n">
        <v>-20.7</v>
      </c>
      <c r="AU485" s="72" t="n">
        <v>-49.98</v>
      </c>
      <c r="AV485" s="72" t="n"/>
      <c r="AW485" s="72" t="n">
        <v>-50.23</v>
      </c>
      <c r="AX485" s="72" t="n">
        <v>5.29</v>
      </c>
      <c r="AY485" s="72" t="n">
        <v>3.24</v>
      </c>
      <c r="AZ485" s="63" t="inlineStr">
        <is>
          <t>HSTECH (Hang Seng TECH ETF)</t>
        </is>
      </c>
      <c r="BA485" s="72" t="n">
        <v>-31.89</v>
      </c>
      <c r="BB485" s="64" t="inlineStr">
        <is>
          <t>2026-08-31</t>
        </is>
      </c>
      <c r="BC485" s="65" t="n">
        <v>486.1</v>
      </c>
      <c r="BD485" s="68" t="n">
        <v>-51.8</v>
      </c>
      <c r="BE485" s="63" t="inlineStr">
        <is>
          <t>N</t>
        </is>
      </c>
      <c r="BF485" s="63" t="inlineStr">
        <is>
          <t>n/m</t>
        </is>
      </c>
      <c r="BG485" s="74" t="n"/>
      <c r="BH485" s="74" t="n"/>
      <c r="BI485" s="74" t="n">
        <v>20.4</v>
      </c>
      <c r="BJ485" s="75">
        <f>IF('BBG Verify'!S485="","not filed — run on terminal",'BBG Verify'!S485)</f>
        <v/>
      </c>
      <c r="BK485" s="76" t="inlineStr">
        <is>
          <t>N</t>
        </is>
      </c>
      <c r="BL485" s="77">
        <f>IF('BBG Verify'!K485="","not filed — run on terminal",'BBG Verify'!K485)</f>
        <v/>
      </c>
      <c r="BM485" s="63" t="inlineStr">
        <is>
          <t>N/A</t>
        </is>
      </c>
      <c r="BN485" s="63" t="inlineStr">
        <is>
          <t>N/A</t>
        </is>
      </c>
      <c r="BO485" s="63" t="inlineStr">
        <is>
          <t>N/A</t>
        </is>
      </c>
      <c r="BP485" s="63" t="inlineStr">
        <is>
          <t>N/A</t>
        </is>
      </c>
      <c r="BQ485" s="63" t="inlineStr">
        <is>
          <t>N/A</t>
        </is>
      </c>
      <c r="BR485" s="63" t="inlineStr">
        <is>
          <t>N/A</t>
        </is>
      </c>
      <c r="BS485" s="76" t="n"/>
      <c r="BT485" s="63" t="inlineStr">
        <is>
          <t>China International Capital Corporation Hong Kong Securities Limited</t>
        </is>
      </c>
      <c r="BU485" s="63" t="inlineStr">
        <is>
          <t>Kong Securities Limited; CMB International Capital Limited; Soochow Securities International Brokerage Limited; BOCI Asia Limited; Futu Securities International (Hong Kong) Limited; Tiger Brokers (HK) Global Limited; Zheshang International Financial Holdings Co., Limited; ABCI Capital Limited; ABCI Securities Company Limited</t>
        </is>
      </c>
      <c r="BV485" s="63" t="inlineStr">
        <is>
          <t>ABCI Securities Company Limited; BOCI Asia Limited; China International Capital Corporation Hong Kong Securities Limited; CMB International Capital Limited; Futu Securities International (Hong Kong) Limited; Soochow Securities International Brokerage Limited; Tiger Brokers (HK) Global Limited; Zheshang International Financial Holdings Co., Limited</t>
        </is>
      </c>
      <c r="BW485" s="78">
        <f>HYPERLINK("https://www1.hkexnews.hk/listedco/listconews/sehk/2026/0615/2026061500013.pdf","prospectus")</f>
        <v/>
      </c>
      <c r="BX485" s="78">
        <f>HYPERLINK("https://www1.hkexnews.hk/listedco/listconews/sehk/2026/0623/2026062302143.pdf","allotment")</f>
        <v/>
      </c>
      <c r="BY485" s="78">
        <f>HYPERLINK("https://www1.hkexnews.hk/listedco/listconews/sehk/2026/0719/2026071900001.pdf","stabilisation")</f>
        <v/>
      </c>
      <c r="BZ485" s="76" t="n"/>
      <c r="CA485" s="63" t="inlineStr">
        <is>
          <t>P/E: n/m — loss-making at IPO (use P/S) · greenshoe: over-allotment outcome already published, and the allotment announcement does not state the stabilisation expiry in a parsable form — the expiry no longer matters once resolved · range low: cap-only pricing — the filing publishes a Maximum Offer Price and no indicative floor · A/H: no A-share listing · 3m: listed less than 3m ago · sponsor: English name not in the filing text; AAStocks 保薦人 shown · alpha/index: 3m alpha needs the 3m return first — window has not elapsed yet</t>
        </is>
      </c>
    </row>
    <row r="486" ht="15" customHeight="1">
      <c r="A486" s="62" t="inlineStr">
        <is>
          <t>2272</t>
        </is>
      </c>
      <c r="B486" s="63" t="inlineStr">
        <is>
          <t>KEYTOP PARKING</t>
        </is>
      </c>
      <c r="C486" s="63" t="inlineStr">
        <is>
          <t>科拓股份</t>
        </is>
      </c>
      <c r="D486" s="63" t="inlineStr">
        <is>
          <t>Tech/AI</t>
        </is>
      </c>
      <c r="E486" s="63" t="inlineStr">
        <is>
          <t>SaaS / enterprise software</t>
        </is>
      </c>
      <c r="F486" s="63" t="inlineStr">
        <is>
          <t>Application Software</t>
        </is>
      </c>
      <c r="G486" s="63" t="inlineStr">
        <is>
          <t>Standard</t>
        </is>
      </c>
      <c r="H486" s="64" t="n">
        <v>46199</v>
      </c>
      <c r="I486" s="65" t="n">
        <v>399.9</v>
      </c>
      <c r="J486" s="63" t="inlineStr">
        <is>
          <t>gross (stated)</t>
        </is>
      </c>
      <c r="K486" s="66" t="n"/>
      <c r="L486" s="66" t="n">
        <v>39.55</v>
      </c>
      <c r="M486" s="66" t="n">
        <v>39.55</v>
      </c>
      <c r="N486" s="63" t="inlineStr">
        <is>
          <t>Y</t>
        </is>
      </c>
      <c r="O486" s="67" t="n">
        <v>100</v>
      </c>
      <c r="P486" s="67" t="n"/>
      <c r="Q486" s="68" t="n">
        <v>3999.4</v>
      </c>
      <c r="R486" s="63" t="inlineStr">
        <is>
          <t>derived:price x shares upon listing</t>
        </is>
      </c>
      <c r="S486" s="69" t="n">
        <v>2115.21</v>
      </c>
      <c r="T486" s="70" t="n">
        <v>5.56</v>
      </c>
      <c r="U486" s="71" t="n">
        <v>0</v>
      </c>
      <c r="V486" s="68" t="n">
        <v>399.9</v>
      </c>
      <c r="W486" s="68" t="n">
        <v>10112280</v>
      </c>
      <c r="X486" s="67" t="n">
        <v>10</v>
      </c>
      <c r="Y486" s="63" t="n"/>
      <c r="Z486" s="63" t="n"/>
      <c r="AA486" s="67" t="n">
        <v>10</v>
      </c>
      <c r="AB486" s="72" t="n">
        <v>203.2</v>
      </c>
      <c r="AC486" s="66" t="n">
        <v>119.9</v>
      </c>
      <c r="AD486" s="72" t="n">
        <v>0.24</v>
      </c>
      <c r="AE486" s="63" t="inlineStr">
        <is>
          <t>Y</t>
        </is>
      </c>
      <c r="AF486" s="63" t="inlineStr">
        <is>
          <t>2026-06-25</t>
        </is>
      </c>
      <c r="AG486" s="63" t="n"/>
      <c r="AH486" s="63" t="n"/>
      <c r="AI486" s="63" t="inlineStr">
        <is>
          <t>China International Capital Corporation Hong Kong Securities Limited</t>
        </is>
      </c>
      <c r="AJ486" s="63" t="inlineStr">
        <is>
          <t>China International</t>
        </is>
      </c>
      <c r="AK486" s="73" t="n">
        <v>203.92</v>
      </c>
      <c r="AL486" s="72" t="n">
        <v>178.38</v>
      </c>
      <c r="AM486" s="72" t="n">
        <v>9.17</v>
      </c>
      <c r="AN486" s="72" t="n">
        <v>199.87</v>
      </c>
      <c r="AO486" s="72" t="n">
        <v>176.86</v>
      </c>
      <c r="AP486" s="72" t="n"/>
      <c r="AQ486" s="72" t="n">
        <v>-1.33</v>
      </c>
      <c r="AR486" s="72" t="n">
        <v>-8.9</v>
      </c>
      <c r="AS486" s="72" t="n"/>
      <c r="AT486" s="72" t="n">
        <v>196.96</v>
      </c>
      <c r="AU486" s="72" t="n">
        <v>169.61</v>
      </c>
      <c r="AV486" s="72" t="n"/>
      <c r="AW486" s="72" t="n">
        <v>-19.99</v>
      </c>
      <c r="AX486" s="72" t="n">
        <v>7.25</v>
      </c>
      <c r="AY486" s="72" t="n">
        <v>11.09</v>
      </c>
      <c r="AZ486" s="63" t="inlineStr">
        <is>
          <t>HSTECH (Hang Seng TECH ETF)</t>
        </is>
      </c>
      <c r="BA486" s="72" t="n">
        <v>186.22</v>
      </c>
      <c r="BB486" s="64" t="inlineStr">
        <is>
          <t>2026-08-31</t>
        </is>
      </c>
      <c r="BC486" s="65" t="n">
        <v>913.7</v>
      </c>
      <c r="BD486" s="68" t="n">
        <v>103</v>
      </c>
      <c r="BE486" s="63" t="inlineStr">
        <is>
          <t>Y</t>
        </is>
      </c>
      <c r="BF486" s="74" t="n">
        <v>38.8</v>
      </c>
      <c r="BG486" s="74" t="n"/>
      <c r="BH486" s="74" t="n"/>
      <c r="BI486" s="74" t="n">
        <v>4.4</v>
      </c>
      <c r="BJ486" s="75">
        <f>IF('BBG Verify'!S486="","not filed — run on terminal",'BBG Verify'!S486)</f>
        <v/>
      </c>
      <c r="BK486" s="76" t="inlineStr">
        <is>
          <t>N</t>
        </is>
      </c>
      <c r="BL486" s="77">
        <f>IF('BBG Verify'!K486="","not filed — run on terminal",'BBG Verify'!K486)</f>
        <v/>
      </c>
      <c r="BM486" s="63" t="inlineStr">
        <is>
          <t>N/A</t>
        </is>
      </c>
      <c r="BN486" s="63" t="inlineStr">
        <is>
          <t>N/A</t>
        </is>
      </c>
      <c r="BO486" s="63" t="inlineStr">
        <is>
          <t>N/A</t>
        </is>
      </c>
      <c r="BP486" s="63" t="inlineStr">
        <is>
          <t>N/A</t>
        </is>
      </c>
      <c r="BQ486" s="63" t="inlineStr">
        <is>
          <t>N/A</t>
        </is>
      </c>
      <c r="BR486" s="63" t="inlineStr">
        <is>
          <t>N/A</t>
        </is>
      </c>
      <c r="BS486" s="76" t="inlineStr">
        <is>
          <t>China International Capital Corporation Hong Kong Securities Limited; Sponsor-OCs China International Capital Corporation Hong Kong Securities Limited; CMBC Securities Company Limited</t>
        </is>
      </c>
      <c r="BT486" s="63" t="inlineStr">
        <is>
          <t>China International Capital Corporation Hong Kong Securities Limited; CMBC International Capital Limited</t>
        </is>
      </c>
      <c r="BU486" s="63" t="inlineStr">
        <is>
          <t>CMB International Capital Limited; Shenwan Hongyuan Securities (H.K.) Limited; CCB International Capital Limited; Somerley Capital Limited; Huafu International Securities Limited; Yue Xiu Securities Company Limited; Yuen Meta (International) Securities Limited; TFI Securities and Futures Limited</t>
        </is>
      </c>
      <c r="BV486" s="63" t="inlineStr">
        <is>
          <t>CCB International Capital Limited; China International Capital Corporation Hong Kong Securities Limited; CMBC Securities Company Limited; CMB International Capital Limited; Futu Securities International (Hong Kong) Limited; Huafu International Securities Limited; New Industrial Financial Holdings Limited; Patrons Securities Limited; SDIC Securities (Hong Kong) Limited; Shenwan Hongyuan Securities (H.K.) Limited; Somerley Capital Limited; Skyvast Securities Limited</t>
        </is>
      </c>
      <c r="BW486" s="78">
        <f>HYPERLINK("https://www1.hkexnews.hk/listedco/listconews/sehk/2026/0617/2026061700071.pdf","prospectus")</f>
        <v/>
      </c>
      <c r="BX486" s="78">
        <f>HYPERLINK("https://www1.hkexnews.hk/listedco/listconews/sehk/2026/0625/2026062501916.pdf","allotment")</f>
        <v/>
      </c>
      <c r="BY486" s="63" t="n"/>
      <c r="BZ486" s="76" t="n"/>
      <c r="CA486" s="63" t="inlineStr">
        <is>
          <t>greenshoe: end-of-stabilisation notice not located · range low: cap-only pricing — the filing publishes a Maximum Offer Price and no indicative floor · A/H: no A-share listing · 3m: listed less than 3m ago · cornerstone list: no cornerstone tranche in this deal · alpha/index: 3m alpha needs the 3m return first — window has not elapsed yet</t>
        </is>
      </c>
    </row>
    <row r="487" ht="15" customHeight="1">
      <c r="A487" s="62" t="inlineStr">
        <is>
          <t>1956</t>
        </is>
      </c>
      <c r="B487" s="63" t="inlineStr">
        <is>
          <t>WENGE AI</t>
        </is>
      </c>
      <c r="C487" s="63" t="inlineStr">
        <is>
          <t>中科聞歌</t>
        </is>
      </c>
      <c r="D487" s="63" t="inlineStr">
        <is>
          <t>Tech/AI</t>
        </is>
      </c>
      <c r="E487" s="63" t="inlineStr">
        <is>
          <t>AI application / agent software</t>
        </is>
      </c>
      <c r="F487" s="63" t="inlineStr">
        <is>
          <t>Advanced hardware and software</t>
        </is>
      </c>
      <c r="G487" s="63" t="inlineStr">
        <is>
          <t>Standard</t>
        </is>
      </c>
      <c r="H487" s="64" t="n">
        <v>46199</v>
      </c>
      <c r="I487" s="65" t="n">
        <v>900.5</v>
      </c>
      <c r="J487" s="63" t="inlineStr">
        <is>
          <t>gross (stated)</t>
        </is>
      </c>
      <c r="K487" s="66" t="n"/>
      <c r="L487" s="66" t="n">
        <v>60.7</v>
      </c>
      <c r="M487" s="66" t="n">
        <v>60.7</v>
      </c>
      <c r="N487" s="63" t="inlineStr">
        <is>
          <t>Y</t>
        </is>
      </c>
      <c r="O487" s="67" t="n">
        <v>100</v>
      </c>
      <c r="P487" s="67" t="n"/>
      <c r="Q487" s="68" t="n">
        <v>10507.6</v>
      </c>
      <c r="R487" s="63" t="inlineStr">
        <is>
          <t>derived:deal size / offer % of enlarged capital</t>
        </is>
      </c>
      <c r="S487" s="69" t="n">
        <v>5966.78</v>
      </c>
      <c r="T487" s="70" t="n">
        <v>20.7</v>
      </c>
      <c r="U487" s="71" t="n">
        <v>26.97</v>
      </c>
      <c r="V487" s="68" t="n">
        <v>657.64</v>
      </c>
      <c r="W487" s="68" t="n">
        <v>10833708</v>
      </c>
      <c r="X487" s="67" t="n">
        <v>6.26</v>
      </c>
      <c r="Y487" s="63" t="inlineStr">
        <is>
          <t>China Orient Enhanced Income Fund; CMBC INTERNATIONAL INVESTMENT (HK) LIMITED; First Seafront Asset Management Limited; Guohui (HK) Holdings Co., Limited; Harvest Global Investments Limited; Huatai Capital Investment Limited</t>
        </is>
      </c>
      <c r="Z487" s="63" t="inlineStr">
        <is>
          <t>orient;cmbc;first-seafront;guohui;harvest;huatai</t>
        </is>
      </c>
      <c r="AA487" s="67" t="n">
        <v>20</v>
      </c>
      <c r="AB487" s="72" t="n">
        <v>90.09999999999999</v>
      </c>
      <c r="AC487" s="66" t="n">
        <v>115.4</v>
      </c>
      <c r="AD487" s="72" t="n">
        <v>-3.2</v>
      </c>
      <c r="AE487" s="63" t="inlineStr">
        <is>
          <t>Y</t>
        </is>
      </c>
      <c r="AF487" s="63" t="inlineStr">
        <is>
          <t>2026-06-25</t>
        </is>
      </c>
      <c r="AG487" s="63" t="inlineStr">
        <is>
          <t>partial</t>
        </is>
      </c>
      <c r="AH487" s="63" t="inlineStr">
        <is>
          <t>2026-07-23</t>
        </is>
      </c>
      <c r="AI487" s="63" t="inlineStr">
        <is>
          <t>China International Capital Corporation Hong Kong Securities Limited</t>
        </is>
      </c>
      <c r="AJ487" s="63" t="inlineStr">
        <is>
          <t>China International</t>
        </is>
      </c>
      <c r="AK487" s="73" t="n">
        <v>84.02</v>
      </c>
      <c r="AL487" s="72" t="n">
        <v>81.22</v>
      </c>
      <c r="AM487" s="72" t="n">
        <v>1.55</v>
      </c>
      <c r="AN487" s="72" t="n">
        <v>30.07</v>
      </c>
      <c r="AO487" s="72" t="n">
        <v>0.99</v>
      </c>
      <c r="AP487" s="72" t="n"/>
      <c r="AQ487" s="72" t="n">
        <v>-29.32</v>
      </c>
      <c r="AR487" s="72" t="n">
        <v>-45.12</v>
      </c>
      <c r="AS487" s="72" t="n"/>
      <c r="AT487" s="72" t="n">
        <v>27.16</v>
      </c>
      <c r="AU487" s="72" t="n">
        <v>-6.26</v>
      </c>
      <c r="AV487" s="72" t="n"/>
      <c r="AW487" s="72" t="n">
        <v>-56.21</v>
      </c>
      <c r="AX487" s="72" t="n">
        <v>7.25</v>
      </c>
      <c r="AY487" s="72" t="n">
        <v>11.09</v>
      </c>
      <c r="AZ487" s="63" t="inlineStr">
        <is>
          <t>HSTECH (Hang Seng TECH ETF)</t>
        </is>
      </c>
      <c r="BA487" s="72" t="n">
        <v>41.68</v>
      </c>
      <c r="BB487" s="64" t="inlineStr">
        <is>
          <t>2026-08-31</t>
        </is>
      </c>
      <c r="BC487" s="65" t="n">
        <v>445.8</v>
      </c>
      <c r="BD487" s="68" t="n">
        <v>-172.8</v>
      </c>
      <c r="BE487" s="63" t="inlineStr">
        <is>
          <t>N</t>
        </is>
      </c>
      <c r="BF487" s="63" t="inlineStr">
        <is>
          <t>n/m</t>
        </is>
      </c>
      <c r="BG487" s="74" t="n"/>
      <c r="BH487" s="74" t="n"/>
      <c r="BI487" s="74" t="n">
        <v>23.6</v>
      </c>
      <c r="BJ487" s="75">
        <f>IF('BBG Verify'!S487="","not filed — run on terminal",'BBG Verify'!S487)</f>
        <v/>
      </c>
      <c r="BK487" s="76" t="inlineStr">
        <is>
          <t>N</t>
        </is>
      </c>
      <c r="BL487" s="77">
        <f>IF('BBG Verify'!K487="","not filed — run on terminal",'BBG Verify'!K487)</f>
        <v/>
      </c>
      <c r="BM487" s="63" t="inlineStr">
        <is>
          <t>N/A</t>
        </is>
      </c>
      <c r="BN487" s="63" t="inlineStr">
        <is>
          <t>N/A</t>
        </is>
      </c>
      <c r="BO487" s="63" t="inlineStr">
        <is>
          <t>N/A</t>
        </is>
      </c>
      <c r="BP487" s="63" t="inlineStr">
        <is>
          <t>N/A</t>
        </is>
      </c>
      <c r="BQ487" s="63" t="inlineStr">
        <is>
          <t>N/A</t>
        </is>
      </c>
      <c r="BR487" s="63" t="inlineStr">
        <is>
          <t>N/A</t>
        </is>
      </c>
      <c r="BS487" s="76" t="n"/>
      <c r="BT487" s="63" t="inlineStr">
        <is>
          <t>China International Capital Corporation Hong Kong Securities Limited</t>
        </is>
      </c>
      <c r="BU487" s="63" t="inlineStr">
        <is>
          <t>China International Capital Corporation Hong Kong Securities Limited; ABCI Capital Limited; China Galaxy International Securities (Hong Kong) Co., Limited; SPDB International Capital Limited; CCB International Capital Limited; Futu Securities International (Hong Kong) Limited; CMB International Capital Limited; Tiger Brokers (HK) Global Limited; Livermore Holdings Limited</t>
        </is>
      </c>
      <c r="BV487" s="63" t="inlineStr">
        <is>
          <t>ABCI Securities Company Limited; CCB International Capital Limited; China Galaxy International Securities (Hong Kong) Company Limited; China International Capital Corporation Hong Kong Securities Limited; CMB International Capital Limited; Futu Securities International (Hong Kong) Limited; Livermore Holdings Limited; SPDB International Capital Limited; Tiger Brokers (HK) Global Limited; TFI Securities and Futures Limited</t>
        </is>
      </c>
      <c r="BW487" s="78">
        <f>HYPERLINK("https://www1.hkexnews.hk/listedco/listconews/sehk/2026/0617/2026061700025.pdf","prospectus")</f>
        <v/>
      </c>
      <c r="BX487" s="78">
        <f>HYPERLINK("https://www1.hkexnews.hk/listedco/listconews/sehk/2026/0625/2026062501938.pdf","allotment")</f>
        <v/>
      </c>
      <c r="BY487" s="78">
        <f>HYPERLINK("https://www1.hkexnews.hk/listedco/listconews/sehk/2026/0724/2026072401850.pdf","stabilisation")</f>
        <v/>
      </c>
      <c r="BZ487" s="76" t="n"/>
      <c r="CA487" s="63" t="inlineStr">
        <is>
          <t>P/E: n/m — loss-making at IPO (use P/S) · range low: cap-only pricing — the filing publishes a Maximum Offer Price and no indicative floor · A/H: no A line; closest listed proxy {'code': '300229.SZ', 'name': 'TRS Information Technology', 'rationale': "A-share NLP/big-data software house serving media and government analytics — same niche as Wenge's decision-intelligence LLM stack."} · 3m: listed less than 3m ago · sponsor: English name not in the filing text; AAStocks 保薦人 shown · alpha/index: 3m alpha needs the 3m return first — window has not elapsed yet</t>
        </is>
      </c>
    </row>
    <row r="488" ht="15" customHeight="1">
      <c r="A488" s="62" t="inlineStr">
        <is>
          <t>3661</t>
        </is>
      </c>
      <c r="B488" s="63" t="inlineStr">
        <is>
          <t>SG MICRO</t>
        </is>
      </c>
      <c r="C488" s="63" t="inlineStr">
        <is>
          <t>聖邦股份</t>
        </is>
      </c>
      <c r="D488" s="63" t="inlineStr">
        <is>
          <t>Tech/AI</t>
        </is>
      </c>
      <c r="E488" s="63" t="inlineStr">
        <is>
          <t>AI chips &amp; semis</t>
        </is>
      </c>
      <c r="F488" s="63" t="inlineStr">
        <is>
          <t>Semiconductors &amp; Semiconductor Equipment</t>
        </is>
      </c>
      <c r="G488" s="63" t="inlineStr">
        <is>
          <t>Standard</t>
        </is>
      </c>
      <c r="H488" s="64" t="n">
        <v>46199</v>
      </c>
      <c r="I488" s="65" t="n">
        <v>4600.9</v>
      </c>
      <c r="J488" s="63" t="inlineStr">
        <is>
          <t>gross (stated)</t>
        </is>
      </c>
      <c r="K488" s="66" t="n"/>
      <c r="L488" s="66" t="n">
        <v>85.2</v>
      </c>
      <c r="M488" s="66" t="n">
        <v>85.2</v>
      </c>
      <c r="N488" s="63" t="inlineStr">
        <is>
          <t>Y</t>
        </is>
      </c>
      <c r="O488" s="67" t="n">
        <v>100</v>
      </c>
      <c r="P488" s="67" t="n"/>
      <c r="Q488" s="68" t="n">
        <v>57511.3</v>
      </c>
      <c r="R488" s="63" t="inlineStr">
        <is>
          <t>derived:price x shares upon listing</t>
        </is>
      </c>
      <c r="S488" s="69" t="n">
        <v>251.73</v>
      </c>
      <c r="T488" s="70" t="n">
        <v>23.5</v>
      </c>
      <c r="U488" s="71" t="n">
        <v>49.7</v>
      </c>
      <c r="V488" s="68" t="n">
        <v>2314.25</v>
      </c>
      <c r="W488" s="68" t="n">
        <v>27162604</v>
      </c>
      <c r="X488" s="67" t="n">
        <v>4.02</v>
      </c>
      <c r="Y488" s="63" t="inlineStr">
        <is>
          <t>CPE Ginkgo Investment Limited; Da Cheng International Asset Management Company Limited; Dajia Life Insurance Co., Ltd; Dymon Asia Multi-Strategy Investment Master Fund; First Sentier Investors (Hong Kong) Limited; GF Fund Management Co., Ltd; GF International Investment Management Limited; GIC Private Limited; Harvest Global Investments Limited; HHLR Advisors, Ltd; HQ TELECOM SINGAPORE PTE. LTD; Huadeng Tech Ace Investment Ltd; ICBC Wealth Management Co., Ltd; JPMorgan Asset Management (Asia Pacific) Limited; LMR Multi-Strategy Master Fund Limited; Millennium Capital Management (Singapore) Pte. Ltd; Ninety One Asia Pte. Limited; Ocean Fine Industrial Limited; PSBC Wealth Management Co., Ltd; Sungrow Power (Hong Kong) Co., Limited; Taikang Life Insurance Co., Ltd; Value Partners Hong Kong Limited</t>
        </is>
      </c>
      <c r="Z488" s="63" t="inlineStr">
        <is>
          <t>cpe;da;dajia;dymon;first-sentier;gf;gic;harvest;hhlr;hq;huadeng;icbc;jpmorgan;lmr;millennium;ninety;ocean;psbc;sungrow;taikang;value</t>
        </is>
      </c>
      <c r="AA488" s="67" t="n">
        <v>15</v>
      </c>
      <c r="AB488" s="72" t="n">
        <v>30.3</v>
      </c>
      <c r="AC488" s="66" t="n">
        <v>111</v>
      </c>
      <c r="AD488" s="72" t="n">
        <v>12.87</v>
      </c>
      <c r="AE488" s="63" t="inlineStr">
        <is>
          <t>Y</t>
        </is>
      </c>
      <c r="AF488" s="63" t="inlineStr">
        <is>
          <t>2026-06-25</t>
        </is>
      </c>
      <c r="AG488" s="63" t="inlineStr">
        <is>
          <t>full</t>
        </is>
      </c>
      <c r="AH488" s="63" t="inlineStr">
        <is>
          <t>2026-07-23</t>
        </is>
      </c>
      <c r="AI488" s="63" t="inlineStr">
        <is>
          <t>China International Capital Corporation Hong Kong Securities Limited</t>
        </is>
      </c>
      <c r="AJ488" s="63" t="inlineStr">
        <is>
          <t>China International</t>
        </is>
      </c>
      <c r="AK488" s="73" t="n">
        <v>47.07</v>
      </c>
      <c r="AL488" s="72" t="n">
        <v>23.36</v>
      </c>
      <c r="AM488" s="72" t="n">
        <v>19.22</v>
      </c>
      <c r="AN488" s="72" t="n">
        <v>37.91</v>
      </c>
      <c r="AO488" s="72" t="n">
        <v>4.93</v>
      </c>
      <c r="AP488" s="72" t="n"/>
      <c r="AQ488" s="72" t="n">
        <v>-6.23</v>
      </c>
      <c r="AR488" s="72" t="n">
        <v>-28.65</v>
      </c>
      <c r="AS488" s="72" t="n"/>
      <c r="AT488" s="72" t="n">
        <v>35</v>
      </c>
      <c r="AU488" s="72" t="n">
        <v>-2.32</v>
      </c>
      <c r="AV488" s="72" t="n"/>
      <c r="AW488" s="72" t="n">
        <v>-39.74</v>
      </c>
      <c r="AX488" s="72" t="n">
        <v>7.25</v>
      </c>
      <c r="AY488" s="72" t="n">
        <v>11.09</v>
      </c>
      <c r="AZ488" s="63" t="inlineStr">
        <is>
          <t>HSTECH (Hang Seng TECH ETF)</t>
        </is>
      </c>
      <c r="BA488" s="72" t="n">
        <v>10.68</v>
      </c>
      <c r="BB488" s="64" t="inlineStr">
        <is>
          <t>2026-08-31</t>
        </is>
      </c>
      <c r="BC488" s="65" t="n">
        <v>4287.9</v>
      </c>
      <c r="BD488" s="68" t="n">
        <v>587.8</v>
      </c>
      <c r="BE488" s="63" t="inlineStr">
        <is>
          <t>Y</t>
        </is>
      </c>
      <c r="BF488" s="74" t="n">
        <v>97.8</v>
      </c>
      <c r="BG488" s="74" t="n">
        <v>122.6</v>
      </c>
      <c r="BH488" s="74" t="n">
        <v>102.3</v>
      </c>
      <c r="BI488" s="74" t="n">
        <v>13.4</v>
      </c>
      <c r="BJ488" s="75">
        <f>IF('BBG Verify'!S488="","not filed — run on terminal",'BBG Verify'!S488)</f>
        <v/>
      </c>
      <c r="BK488" s="76" t="inlineStr">
        <is>
          <t>Y</t>
        </is>
      </c>
      <c r="BL488" s="63" t="inlineStr">
        <is>
          <t>300661.SZ</t>
        </is>
      </c>
      <c r="BM488" s="72" t="n">
        <v>87.31999999999999</v>
      </c>
      <c r="BN488" s="66" t="n">
        <v>159.5961</v>
      </c>
      <c r="BO488" s="80" t="n">
        <v>0.409</v>
      </c>
      <c r="BP488" s="68" t="n">
        <v>91193.2</v>
      </c>
      <c r="BQ488" s="75">
        <f>IF('BBG Verify'!Q488="","run on terminal",'BBG Verify'!Q488)</f>
        <v/>
      </c>
      <c r="BR488" s="75">
        <f>IF('BBG Verify'!R488="","run on terminal",'BBG Verify'!R488)</f>
        <v/>
      </c>
      <c r="BS488" s="76" t="n"/>
      <c r="BT488" s="63" t="inlineStr">
        <is>
          <t>China International Capital Corporation Hong Kong Securities Limited; Huatai Financial Holdings (Hong Kong) Limited</t>
        </is>
      </c>
      <c r="BU488" s="63" t="inlineStr">
        <is>
          <t>China International Capital Corporation Hong Kong Securities Limited; Huatai Financial Holdings (Hong Kong) Limited</t>
        </is>
      </c>
      <c r="BV488" s="63" t="inlineStr">
        <is>
          <t>China International Capital Corporation Hong Kong Securities Limited; Huatai Financial Holdings (Hong Kong) Limited</t>
        </is>
      </c>
      <c r="BW488" s="78">
        <f>HYPERLINK("https://www1.hkexnews.hk/listedco/listconews/sehk/2026/0617/2026061700162.htm","prospectus")</f>
        <v/>
      </c>
      <c r="BX488" s="78">
        <f>HYPERLINK("https://www1.hkexnews.hk/listedco/listconews/sehk/2026/0625/2026062502076.pdf","allotment")</f>
        <v/>
      </c>
      <c r="BY488" s="78">
        <f>HYPERLINK("https://www1.hkexnews.hk/listedco/listconews/sehk/2026/0723/2026072301288.pdf","stabilisation")</f>
        <v/>
      </c>
      <c r="BZ488" s="76" t="n"/>
      <c r="CA488" s="63" t="inlineStr">
        <is>
          <t>price range: fixed-price offering (no indicative range) · range low: cap-only pricing — the filing publishes a Maximum Offer Price and no indicative floor · A/H: Jun 2026 H listing (analog chips) · 3m: listed less than 3m ago · sponsor: English name not in the filing text; AAStocks 保薦人 shown · cornerstone %: AAStocks institutional-order total / deal size — an upper bound; the table can include non-cornerstone orders · alpha/index: 3m alpha needs the 3m return first — window has not elapsed yet</t>
        </is>
      </c>
    </row>
    <row r="489" ht="15" customHeight="1">
      <c r="A489" s="62" t="inlineStr">
        <is>
          <t>1688</t>
        </is>
      </c>
      <c r="B489" s="63" t="inlineStr">
        <is>
          <t>LINGYI ITECH</t>
        </is>
      </c>
      <c r="C489" s="63" t="inlineStr">
        <is>
          <t>領益智造</t>
        </is>
      </c>
      <c r="D489" s="63" t="inlineStr">
        <is>
          <t>Tech/AI</t>
        </is>
      </c>
      <c r="E489" s="63" t="inlineStr">
        <is>
          <t>Smart hardware / consumer electronics</t>
        </is>
      </c>
      <c r="F489" s="63" t="inlineStr">
        <is>
          <t>Electrical Components &amp; Equipment</t>
        </is>
      </c>
      <c r="G489" s="63" t="inlineStr">
        <is>
          <t>Standard</t>
        </is>
      </c>
      <c r="H489" s="64" t="n">
        <v>46199</v>
      </c>
      <c r="I489" s="65" t="n">
        <v>8264.200000000001</v>
      </c>
      <c r="J489" s="63" t="inlineStr">
        <is>
          <t>gross (stated)</t>
        </is>
      </c>
      <c r="K489" s="66" t="n"/>
      <c r="L489" s="66" t="n">
        <v>10.18</v>
      </c>
      <c r="M489" s="66" t="n">
        <v>10.18</v>
      </c>
      <c r="N489" s="63" t="inlineStr">
        <is>
          <t>Y</t>
        </is>
      </c>
      <c r="O489" s="67" t="n">
        <v>100</v>
      </c>
      <c r="P489" s="67" t="n"/>
      <c r="Q489" s="68" t="n">
        <v>82661.7</v>
      </c>
      <c r="R489" s="63" t="inlineStr">
        <is>
          <t>derived:price x shares upon listing</t>
        </is>
      </c>
      <c r="S489" s="69" t="n">
        <v>96.16</v>
      </c>
      <c r="T489" s="70" t="n">
        <v>10.27</v>
      </c>
      <c r="U489" s="71" t="n">
        <v>38.6</v>
      </c>
      <c r="V489" s="68" t="n">
        <v>5074.22</v>
      </c>
      <c r="W489" s="68" t="n">
        <v>498452494</v>
      </c>
      <c r="X489" s="67" t="n">
        <v>6.14</v>
      </c>
      <c r="Y489" s="63" t="inlineStr">
        <is>
          <t>3W Fund Management Limited; Da Cheng International Asset Management Company Limited; Deliante Holdings Co., Ltd; Everbright Wealth Management Co., Ltd; GF Fund Management Co., Ltd; GF International Investment Management Limited; GRANITE ASIA IX VCC; Greenwoods Asset Management Hong Kong Limited; Hongxing International Technology Limited; Honor Information Technology Limited; Jain Global Master Fund Ltd; Kaide Global Investment Ltd; Morgan Stanley &amp; Co. International plc; Qube Master Fund Ltd; Seven Grand Managers, LLC; Sunny Optical Capital Limited; Taikang Life Insurance Co., Ltd; Ti-Capital (HK) Pioneer Fund III; Value Partners Hong Kong Limited; Verition Fund Management LLC</t>
        </is>
      </c>
      <c r="Z489" s="63" t="inlineStr">
        <is>
          <t>3w;da;deliante;everbright;gf;granite;greenwoods;hongxing;honor;jain;kaide;morgan;qube;seven;sunny;taikang;ti;value;verition</t>
        </is>
      </c>
      <c r="AA489" s="67" t="n"/>
      <c r="AB489" s="72" t="n">
        <v>21.3</v>
      </c>
      <c r="AC489" s="66" t="n">
        <v>12.35</v>
      </c>
      <c r="AD489" s="72" t="n">
        <v>-21.37</v>
      </c>
      <c r="AE489" s="63" t="inlineStr">
        <is>
          <t>N</t>
        </is>
      </c>
      <c r="AF489" s="63" t="inlineStr">
        <is>
          <t>2026-06-25</t>
        </is>
      </c>
      <c r="AG489" s="63" t="n"/>
      <c r="AH489" s="63" t="n"/>
      <c r="AI489" s="63" t="n"/>
      <c r="AJ489" s="63" t="n"/>
      <c r="AK489" s="73" t="n">
        <v>-4.62</v>
      </c>
      <c r="AL489" s="72" t="n">
        <v>6.09</v>
      </c>
      <c r="AM489" s="72" t="n">
        <v>-10.1</v>
      </c>
      <c r="AN489" s="72" t="n">
        <v>-5.11</v>
      </c>
      <c r="AO489" s="72" t="n">
        <v>-37.23</v>
      </c>
      <c r="AP489" s="72" t="n"/>
      <c r="AQ489" s="72" t="n">
        <v>-0.51</v>
      </c>
      <c r="AR489" s="72" t="n">
        <v>-34.19</v>
      </c>
      <c r="AS489" s="72" t="n"/>
      <c r="AT489" s="72" t="n">
        <v>-8.02</v>
      </c>
      <c r="AU489" s="72" t="n">
        <v>-44.48</v>
      </c>
      <c r="AV489" s="72" t="n"/>
      <c r="AW489" s="72" t="n">
        <v>-45.28</v>
      </c>
      <c r="AX489" s="72" t="n">
        <v>7.25</v>
      </c>
      <c r="AY489" s="72" t="n">
        <v>11.09</v>
      </c>
      <c r="AZ489" s="63" t="inlineStr">
        <is>
          <t>HSTECH (Hang Seng TECH ETF)</t>
        </is>
      </c>
      <c r="BA489" s="72" t="n">
        <v>-35.76</v>
      </c>
      <c r="BB489" s="64" t="inlineStr">
        <is>
          <t>2026-08-31</t>
        </is>
      </c>
      <c r="BC489" s="65" t="n">
        <v>56571.8</v>
      </c>
      <c r="BD489" s="68" t="n">
        <v>2516.5</v>
      </c>
      <c r="BE489" s="63" t="inlineStr">
        <is>
          <t>Y</t>
        </is>
      </c>
      <c r="BF489" s="74" t="n">
        <v>32.8</v>
      </c>
      <c r="BG489" s="74" t="n">
        <v>28.8</v>
      </c>
      <c r="BH489" s="74" t="n">
        <v>19.6</v>
      </c>
      <c r="BI489" s="74" t="n">
        <v>1.5</v>
      </c>
      <c r="BJ489" s="75">
        <f>IF('BBG Verify'!S489="","not filed — run on terminal",'BBG Verify'!S489)</f>
        <v/>
      </c>
      <c r="BK489" s="76" t="inlineStr">
        <is>
          <t>Y</t>
        </is>
      </c>
      <c r="BL489" s="63" t="inlineStr">
        <is>
          <t>002600.SZ</t>
        </is>
      </c>
      <c r="BM489" s="72" t="n">
        <v>102.71</v>
      </c>
      <c r="BN489" s="66" t="n">
        <v>20.6362</v>
      </c>
      <c r="BO489" s="80" t="n">
        <v>1.2795</v>
      </c>
      <c r="BP489" s="68" t="n">
        <v>121194.2</v>
      </c>
      <c r="BQ489" s="75">
        <f>IF('BBG Verify'!Q489="","run on terminal",'BBG Verify'!Q489)</f>
        <v/>
      </c>
      <c r="BR489" s="75">
        <f>IF('BBG Verify'!R489="","run on terminal",'BBG Verify'!R489)</f>
        <v/>
      </c>
      <c r="BS489" s="76" t="inlineStr">
        <is>
          <t>Guotai Junan International</t>
        </is>
      </c>
      <c r="BT489" s="63" t="inlineStr">
        <is>
          <t>Guotai Junan Capital Limited</t>
        </is>
      </c>
      <c r="BU489" s="63" t="inlineStr">
        <is>
          <t>Citigroup Global Markets Asia Limited; CLSA Limited; Futu Securities International (Hong Kong) Limited; Guotai Junan Securities (Hong Kong) Limited; J.P. Morgan Securities (Asia Pacific) Limited; Tiger Brokers (HK) Global Limited</t>
        </is>
      </c>
      <c r="BV489" s="63" t="inlineStr">
        <is>
          <t>Citigroup Global Markets Asia Limited; CLSA Limited; Futu Securities International (Hong Kong) Limited; Guotai Junan Securities (Hong Kong) Limited; J.P. Morgan Securities (Asia Pacific) Limited; Tiger Brokers (HK) Global Limited</t>
        </is>
      </c>
      <c r="BW489" s="63" t="n"/>
      <c r="BX489" s="78">
        <f>HYPERLINK("https://www1.hkexnews.hk/listedco/listconews/sehk/2026/0625/2026062502292.pdf","allotment")</f>
        <v/>
      </c>
      <c r="BY489" s="63" t="n"/>
      <c r="BZ489" s="76" t="n"/>
      <c r="CA489" s="63" t="inlineStr">
        <is>
          <t>greenshoe: no over-allotment option in the offer structure · range low: cap-only pricing — the filing publishes a Maximum Offer Price and no indicative floor · A/H: Jun 2026 H listing (consumer-electronics precision parts) · 3m: listed less than 3m ago · greenshoe size: no over-allotment option in the offer structure · stabilising manager: no over-allotment option in the offer structure, so no stabilising manager is appointed · filing links: no prospectus document returned by the HKEX per-stock search for this code — the allotment announcement is linked beside it · alpha/index: 3m alpha needs the 3m return first — window has not elapsed yet</t>
        </is>
      </c>
    </row>
    <row r="490" ht="15" customHeight="1">
      <c r="A490" s="62" t="inlineStr">
        <is>
          <t>9630</t>
        </is>
      </c>
      <c r="B490" s="63" t="inlineStr">
        <is>
          <t>CFMEE</t>
        </is>
      </c>
      <c r="C490" s="63" t="inlineStr">
        <is>
          <t>芯碁微裝</t>
        </is>
      </c>
      <c r="D490" s="63" t="inlineStr">
        <is>
          <t>Tech/AI</t>
        </is>
      </c>
      <c r="E490" s="63" t="inlineStr">
        <is>
          <t>AI chips &amp; semis</t>
        </is>
      </c>
      <c r="F490" s="63" t="inlineStr">
        <is>
          <t>Next-generation information technology</t>
        </is>
      </c>
      <c r="G490" s="63" t="inlineStr">
        <is>
          <t>Standard</t>
        </is>
      </c>
      <c r="H490" s="64" t="n">
        <v>46199</v>
      </c>
      <c r="I490" s="65" t="n">
        <v>3244.7</v>
      </c>
      <c r="J490" s="63" t="inlineStr">
        <is>
          <t>gross (stated)</t>
        </is>
      </c>
      <c r="K490" s="66" t="n"/>
      <c r="L490" s="66" t="n">
        <v>252.73</v>
      </c>
      <c r="M490" s="66" t="n">
        <v>252.73</v>
      </c>
      <c r="N490" s="63" t="inlineStr">
        <is>
          <t>Y</t>
        </is>
      </c>
      <c r="O490" s="67" t="n">
        <v>100</v>
      </c>
      <c r="P490" s="67" t="n"/>
      <c r="Q490" s="68" t="n">
        <v>32189.5</v>
      </c>
      <c r="R490" s="63" t="inlineStr">
        <is>
          <t>derived:deal size / offer % of enlarged capital</t>
        </is>
      </c>
      <c r="S490" s="69" t="n">
        <v>1007.22</v>
      </c>
      <c r="T490" s="70" t="n">
        <v>27.22</v>
      </c>
      <c r="U490" s="71" t="n">
        <v>48.5</v>
      </c>
      <c r="V490" s="68" t="n">
        <v>1671.02</v>
      </c>
      <c r="W490" s="68" t="n"/>
      <c r="X490" s="67" t="n">
        <v>5.19</v>
      </c>
      <c r="Y490" s="63" t="inlineStr">
        <is>
          <t>Bosera Asset Management (International) Co., Limited; China Universal Asset Management (Hong Kong) Company Limited; CICC Financial Trading Limited; CPE Chestnut Investment Limited; GF Fund Management Co., Ltd; Hefei Jianhui Zhanxin Cornerstone Investment Company Limited; HHLR Advisors, Ltd; HK Yonglian Investment Development Co., Limited; Hong Kong Xinyao Investment Limited; Huadeng Victorious Way Limited; JPMorgan Asset Management (Asia Pacific) Limited; Lion Global Investors Limited; Montage Hong Kong Holdings Company Limited; Monterey Park Finance Limited; Nexchip Semiconductor Hong Kong Corporation Limited; Ocean Fine Industrial Limited; Sungrow Power (Hong Kong) Co., Limited; Victory Giant Technology Holdings (Hong Kong) Limited</t>
        </is>
      </c>
      <c r="Z490" s="63" t="inlineStr">
        <is>
          <t>bosera;universal;china-international;cpe;gf;hefei;hhlr;yonglian;xinyao;huadeng;jpmorgan;lion;montage;monterey;nexchip;ocean;sungrow;victory</t>
        </is>
      </c>
      <c r="AA490" s="67" t="n">
        <v>8.880000000000001</v>
      </c>
      <c r="AB490" s="72" t="n">
        <v>76.2</v>
      </c>
      <c r="AC490" s="66" t="n">
        <v>445.2</v>
      </c>
      <c r="AD490" s="72" t="n">
        <v>15.65</v>
      </c>
      <c r="AE490" s="63" t="inlineStr">
        <is>
          <t>Y</t>
        </is>
      </c>
      <c r="AF490" s="63" t="inlineStr">
        <is>
          <t>2026-06-25</t>
        </is>
      </c>
      <c r="AG490" s="63" t="inlineStr">
        <is>
          <t>full</t>
        </is>
      </c>
      <c r="AH490" s="63" t="n"/>
      <c r="AI490" s="63" t="inlineStr">
        <is>
          <t>China International Capital Corporation Hong Kong Securities Limited</t>
        </is>
      </c>
      <c r="AJ490" s="63" t="inlineStr">
        <is>
          <t>China International</t>
        </is>
      </c>
      <c r="AK490" s="73" t="n">
        <v>103.77</v>
      </c>
      <c r="AL490" s="72" t="n">
        <v>73.7</v>
      </c>
      <c r="AM490" s="72" t="n">
        <v>17.31</v>
      </c>
      <c r="AN490" s="72" t="n">
        <v>55.11</v>
      </c>
      <c r="AO490" s="72" t="n">
        <v>30.26</v>
      </c>
      <c r="AP490" s="72" t="n"/>
      <c r="AQ490" s="72" t="n">
        <v>-23.88</v>
      </c>
      <c r="AR490" s="72" t="n">
        <v>-36.07</v>
      </c>
      <c r="AS490" s="72" t="n"/>
      <c r="AT490" s="72" t="n">
        <v>52.2</v>
      </c>
      <c r="AU490" s="72" t="n">
        <v>23.01</v>
      </c>
      <c r="AV490" s="72" t="n"/>
      <c r="AW490" s="72" t="n">
        <v>-47.16</v>
      </c>
      <c r="AX490" s="72" t="n">
        <v>7.25</v>
      </c>
      <c r="AY490" s="72" t="n">
        <v>11.09</v>
      </c>
      <c r="AZ490" s="63" t="inlineStr">
        <is>
          <t>HSTECH (Hang Seng TECH ETF)</t>
        </is>
      </c>
      <c r="BA490" s="72" t="n">
        <v>35.32</v>
      </c>
      <c r="BB490" s="64" t="inlineStr">
        <is>
          <t>2026-08-31</t>
        </is>
      </c>
      <c r="BC490" s="65" t="n">
        <v>1548.9</v>
      </c>
      <c r="BD490" s="68" t="n">
        <v>318.9</v>
      </c>
      <c r="BE490" s="63" t="inlineStr">
        <is>
          <t>Y</t>
        </is>
      </c>
      <c r="BF490" s="74" t="n">
        <v>100.9</v>
      </c>
      <c r="BG490" s="74" t="n">
        <v>202.5</v>
      </c>
      <c r="BH490" s="74" t="n">
        <v>147.3</v>
      </c>
      <c r="BI490" s="74" t="n">
        <v>20.8</v>
      </c>
      <c r="BJ490" s="75">
        <f>IF('BBG Verify'!S490="","not filed — run on terminal",'BBG Verify'!S490)</f>
        <v/>
      </c>
      <c r="BK490" s="76" t="inlineStr">
        <is>
          <t>Y</t>
        </is>
      </c>
      <c r="BL490" s="63" t="inlineStr">
        <is>
          <t>688630.SS</t>
        </is>
      </c>
      <c r="BM490" s="72" t="n">
        <v>153.68</v>
      </c>
      <c r="BN490" s="66" t="n">
        <v>641.1315</v>
      </c>
      <c r="BO490" s="80" t="n">
        <v>0.4273</v>
      </c>
      <c r="BP490" s="68" t="n">
        <v>71601</v>
      </c>
      <c r="BQ490" s="75">
        <f>IF('BBG Verify'!Q490="","run on terminal",'BBG Verify'!Q490)</f>
        <v/>
      </c>
      <c r="BR490" s="75">
        <f>IF('BBG Verify'!R490="","run on terminal",'BBG Verify'!R490)</f>
        <v/>
      </c>
      <c r="BS490" s="76" t="n"/>
      <c r="BT490" s="63" t="inlineStr">
        <is>
          <t>China International Capital Corporation Hong Kong Securities Limited</t>
        </is>
      </c>
      <c r="BU490" s="63" t="inlineStr">
        <is>
          <t>BOCI Asia Limited</t>
        </is>
      </c>
      <c r="BV490" s="63" t="inlineStr">
        <is>
          <t>BOCI Asia Limited; China International Capital Corporation Hong Kong Securities Limited; CMB International Capital Limited; Futu Securities International (Hong Kong) Limited; Guoyuan Securities Brokerage (Hong Kong) Limited</t>
        </is>
      </c>
      <c r="BW490" s="78">
        <f>HYPERLINK("https://www1.hkexnews.hk/listedco/listconews/sehk/2026/0617/2026061700039.pdf","prospectus")</f>
        <v/>
      </c>
      <c r="BX490" s="78">
        <f>HYPERLINK("https://www1.hkexnews.hk/listedco/listconews/sehk/2026/0625/2026062502296.pdf","allotment")</f>
        <v/>
      </c>
      <c r="BY490" s="78">
        <f>HYPERLINK("https://www1.hkexnews.hk/listedco/listconews/sehk/2026/0723/2026072300312.pdf","stabilisation")</f>
        <v/>
      </c>
      <c r="BZ490" s="76" t="n"/>
      <c r="CA490" s="63" t="inlineStr">
        <is>
          <t>greenshoe: over-allotment outcome already published, and the allotment announcement does not state the stabilisation expiry in a parsable form — the expiry no longer matters once resolved · range low: cap-only pricing — the filing publishes a Maximum Offer Price and no indicative floor · A/H: Jun 2026 H listing (direct-write lithography equipment) · 3m: listed less than 3m ago · sponsor: English name not in the filing text; AAStocks 保薦人 shown · eff float shares: share count unavailable or rejected as implausible — the money figure (eff_free_float_hkdm) is still exact · alpha/index: 3m alpha needs the 3m return first — window has not elapsed yet</t>
        </is>
      </c>
    </row>
    <row r="491" ht="15" customHeight="1">
      <c r="A491" s="62" t="inlineStr">
        <is>
          <t>6228</t>
        </is>
      </c>
      <c r="B491" s="63" t="inlineStr">
        <is>
          <t>MERDEKAGOLD-DRS</t>
        </is>
      </c>
      <c r="C491" s="63" t="inlineStr">
        <is>
          <t>自由黃金－ＤＲＳ</t>
        </is>
      </c>
      <c r="D491" s="63" t="inlineStr">
        <is>
          <t>Materials/Energy</t>
        </is>
      </c>
      <c r="E491" s="63" t="inlineStr">
        <is>
          <t>Mining / metals</t>
        </is>
      </c>
      <c r="F491" s="63" t="inlineStr">
        <is>
          <t>Gold &amp; Precious Metals</t>
        </is>
      </c>
      <c r="G491" s="63" t="inlineStr">
        <is>
          <t>Standard</t>
        </is>
      </c>
      <c r="H491" s="64" t="n">
        <v>46199</v>
      </c>
      <c r="I491" s="65" t="n">
        <v>2385.18</v>
      </c>
      <c r="J491" s="63" t="inlineStr">
        <is>
          <t>gross (stated)</t>
        </is>
      </c>
      <c r="K491" s="66" t="n"/>
      <c r="L491" s="66" t="n">
        <v>26.6</v>
      </c>
      <c r="M491" s="66" t="n">
        <v>26.6</v>
      </c>
      <c r="N491" s="63" t="inlineStr">
        <is>
          <t>Y</t>
        </is>
      </c>
      <c r="O491" s="67" t="n">
        <v>100</v>
      </c>
      <c r="P491" s="67" t="n"/>
      <c r="Q491" s="68" t="n">
        <v>34074</v>
      </c>
      <c r="R491" s="63" t="inlineStr">
        <is>
          <t>derived:deal size / offer % of enlarged capital</t>
        </is>
      </c>
      <c r="S491" s="69" t="n">
        <v>4.42</v>
      </c>
      <c r="T491" s="70" t="n">
        <v>7.67</v>
      </c>
      <c r="U491" s="71" t="n">
        <v>49.9</v>
      </c>
      <c r="V491" s="68" t="n">
        <v>1194.98</v>
      </c>
      <c r="W491" s="68" t="n"/>
      <c r="X491" s="67" t="n">
        <v>3.51</v>
      </c>
      <c r="Y491" s="63" t="inlineStr">
        <is>
          <t>CNGR Hong Kong Material Science &amp; Technology Co., Limited; Dymon Asia Multi-Strategy Investment Master Fund; GF Fund Management Co., Ltd; Glencore International AG; Intera Mining Investment Limited; Mercuria Holdings (Singapore) Pte. Ltd; ORIX Asia Asset Management Limited; Ping An of China Asset Management (Hong Kong) Company Limited; Trafigura Group Pte. Ltd; Wanguo Gold Group Limited; Wind Sabre Fund SPC</t>
        </is>
      </c>
      <c r="Z491" s="63" t="inlineStr">
        <is>
          <t>cngr;dymon;gf;glencore;intera;mercuria;orix;ping;trafigura;wanguo;wind</t>
        </is>
      </c>
      <c r="AA491" s="67" t="n">
        <v>15</v>
      </c>
      <c r="AB491" s="72" t="n">
        <v>0</v>
      </c>
      <c r="AC491" s="66" t="n">
        <v>26.6</v>
      </c>
      <c r="AD491" s="72" t="n">
        <v>-6.54</v>
      </c>
      <c r="AE491" s="63" t="inlineStr">
        <is>
          <t>Y</t>
        </is>
      </c>
      <c r="AF491" s="63" t="inlineStr">
        <is>
          <t>2026-06-25</t>
        </is>
      </c>
      <c r="AG491" s="63" t="inlineStr">
        <is>
          <t>partial</t>
        </is>
      </c>
      <c r="AH491" s="63" t="n"/>
      <c r="AI491" s="63" t="inlineStr">
        <is>
          <t>CLSA Limited</t>
        </is>
      </c>
      <c r="AJ491" s="63" t="inlineStr">
        <is>
          <t>CLSA</t>
        </is>
      </c>
      <c r="AK491" s="73" t="n">
        <v>-6.54</v>
      </c>
      <c r="AL491" s="72" t="n">
        <v>0</v>
      </c>
      <c r="AM491" s="72" t="n">
        <v>-6.54</v>
      </c>
      <c r="AN491" s="72" t="n">
        <v>-2.26</v>
      </c>
      <c r="AO491" s="72" t="n">
        <v>-0.38</v>
      </c>
      <c r="AP491" s="72" t="n"/>
      <c r="AQ491" s="72" t="n">
        <v>4.58</v>
      </c>
      <c r="AR491" s="72" t="n">
        <v>6.59</v>
      </c>
      <c r="AS491" s="72" t="n"/>
      <c r="AT491" s="72" t="n">
        <v>-6.28</v>
      </c>
      <c r="AU491" s="72" t="n">
        <v>-10.75</v>
      </c>
      <c r="AV491" s="72" t="n"/>
      <c r="AW491" s="72" t="n">
        <v>-6.32</v>
      </c>
      <c r="AX491" s="72" t="n">
        <v>10.37</v>
      </c>
      <c r="AY491" s="72" t="n">
        <v>12.91</v>
      </c>
      <c r="AZ491" s="63" t="inlineStr">
        <is>
          <t>Hang Seng Commerce &amp; Industry sub-index</t>
        </is>
      </c>
      <c r="BA491" s="72" t="n">
        <v>49.47</v>
      </c>
      <c r="BB491" s="64" t="inlineStr">
        <is>
          <t>2026-08-31</t>
        </is>
      </c>
      <c r="BC491" s="65" t="n">
        <v>1</v>
      </c>
      <c r="BD491" s="68" t="n">
        <v>-214.4</v>
      </c>
      <c r="BE491" s="63" t="inlineStr">
        <is>
          <t>N</t>
        </is>
      </c>
      <c r="BF491" s="63" t="inlineStr">
        <is>
          <t>n/m</t>
        </is>
      </c>
      <c r="BG491" s="74" t="n"/>
      <c r="BH491" s="74" t="n"/>
      <c r="BI491" s="74" t="n">
        <v>34074</v>
      </c>
      <c r="BJ491" s="75">
        <f>IF('BBG Verify'!S491="","not filed — run on terminal",'BBG Verify'!S491)</f>
        <v/>
      </c>
      <c r="BK491" s="76" t="inlineStr">
        <is>
          <t>N</t>
        </is>
      </c>
      <c r="BL491" s="77">
        <f>IF('BBG Verify'!K491="","not filed — run on terminal",'BBG Verify'!K491)</f>
        <v/>
      </c>
      <c r="BM491" s="63" t="inlineStr">
        <is>
          <t>N/A</t>
        </is>
      </c>
      <c r="BN491" s="63" t="inlineStr">
        <is>
          <t>N/A</t>
        </is>
      </c>
      <c r="BO491" s="63" t="inlineStr">
        <is>
          <t>N/A</t>
        </is>
      </c>
      <c r="BP491" s="63" t="inlineStr">
        <is>
          <t>N/A</t>
        </is>
      </c>
      <c r="BQ491" s="63" t="inlineStr">
        <is>
          <t>N/A</t>
        </is>
      </c>
      <c r="BR491" s="63" t="inlineStr">
        <is>
          <t>N/A</t>
        </is>
      </c>
      <c r="BS491" s="76" t="inlineStr">
        <is>
          <t>UBS Securities Hong Kong Limited; CITIC Securities (Hong Kong) Limited</t>
        </is>
      </c>
      <c r="BT491" s="63" t="inlineStr">
        <is>
          <t>UBS Securities Hong Kong Limited; CITIC Securities (Hong Kong) Limited</t>
        </is>
      </c>
      <c r="BU491" s="63" t="inlineStr">
        <is>
          <t>UBS AG Hong Kong Branch; DIRECTORS, COMMISSIONERS AND PARTIES INVOLVED IN THE GLOBAL OFFERING CLSA Limited; Morgan Stanley Asia Limited; The Hongkong and Shanghai Banking Corporation Limited; China International Capital Corporation Hong Kong Securities Limited; Macquarie Capital Limited; CLSA Limited; Morgan Stanley &amp; Co. International plc; DBS Asia Capital Limited; Mizuho Securities Asia Limited; Natixis Hong Kong Branch; Oversea-Chinese Banking Corporation Limited</t>
        </is>
      </c>
      <c r="BV491" s="63" t="inlineStr">
        <is>
          <t>Credit Agricole Corporate and Investment Bank; China International Capital Corporation Hong Kong Securities Limited; CLSA Limited; DBS Asia Capital Limited; The Hongkong and Shanghai Banking Corporation Limited; Macquarie Capital Limited; Morgan Stanley Asia Limited; Mizuho Securities Asia Limited; NATIXIS; Oversea-Chinese Banking Corporation Limited; Societe Generale; UBS AG Hong Kong Branch</t>
        </is>
      </c>
      <c r="BW491" s="78">
        <f>HYPERLINK("https://www1.hkexnews.hk/listedco/listconews/sehk/2026/0617/2026061700075.pdf","prospectus")</f>
        <v/>
      </c>
      <c r="BX491" s="78">
        <f>HYPERLINK("https://www1.hkexnews.hk/listedco/listconews/sehk/2026/0625/2026062502338.pdf","allotment")</f>
        <v/>
      </c>
      <c r="BY491" s="78">
        <f>HYPERLINK("https://www1.hkexnews.hk/listedco/listconews/sehk/2026/0723/2026072301404.pdf","stabilisation")</f>
        <v/>
      </c>
      <c r="BZ491" s="76" t="n"/>
      <c r="CA491" s="63" t="inlineStr">
        <is>
          <t>P/E: n/m — loss-making at IPO (use P/S) · greenshoe: over-allotment outcome already published, and the allotment announcement does not state the stabilisation expiry in a parsable form — the expiry no longer matters once resolved · range low: cap-only pricing — the filing publishes a Maximum Offer Price and no indicative floor · A/H: no A-share listing · 3m: listed less than 3m ago · P/S: 34,074x on HK$1.0m revenue — effectively pre-revenue; the multiple is shown for completeness, not comparability · eff float shares: share count unavailable or rejected as implausible — the money figure (eff_free_float_hkdm) is still exact · alpha/index: 3m alpha needs the 3m return first — window has not elapsed yet</t>
        </is>
      </c>
    </row>
    <row r="492" ht="15" customHeight="1">
      <c r="A492" s="62" t="inlineStr">
        <is>
          <t>2672</t>
        </is>
      </c>
      <c r="B492" s="63" t="inlineStr">
        <is>
          <t>BAIGE DIGITAL</t>
        </is>
      </c>
      <c r="C492" s="63" t="inlineStr">
        <is>
          <t>白鴿在線（廈門）數字科技</t>
        </is>
      </c>
      <c r="D492" s="63" t="inlineStr">
        <is>
          <t>Financials</t>
        </is>
      </c>
      <c r="E492" s="63" t="inlineStr">
        <is>
          <t>Insurance</t>
        </is>
      </c>
      <c r="F492" s="63" t="inlineStr">
        <is>
          <t>Application Software</t>
        </is>
      </c>
      <c r="G492" s="63" t="inlineStr">
        <is>
          <t>Standard</t>
        </is>
      </c>
      <c r="H492" s="64" t="n">
        <v>46202</v>
      </c>
      <c r="I492" s="65" t="n">
        <v>520.2</v>
      </c>
      <c r="J492" s="63" t="inlineStr">
        <is>
          <t>gross (price x shares)</t>
        </is>
      </c>
      <c r="K492" s="66" t="n"/>
      <c r="L492" s="66" t="n">
        <v>20.28</v>
      </c>
      <c r="M492" s="66" t="n">
        <v>15.6</v>
      </c>
      <c r="N492" s="63" t="inlineStr">
        <is>
          <t>N</t>
        </is>
      </c>
      <c r="O492" s="67" t="n">
        <v>76.90000000000001</v>
      </c>
      <c r="P492" s="67" t="n"/>
      <c r="Q492" s="68" t="n">
        <v>5001.7</v>
      </c>
      <c r="R492" s="63" t="inlineStr">
        <is>
          <t>derived:price x shares upon listing</t>
        </is>
      </c>
      <c r="S492" s="69" t="n">
        <v>242.05</v>
      </c>
      <c r="T492" s="70" t="n">
        <v>2.44</v>
      </c>
      <c r="U492" s="71" t="n">
        <v>3.84</v>
      </c>
      <c r="V492" s="68" t="n">
        <v>500.22</v>
      </c>
      <c r="W492" s="68" t="n">
        <v>32063975</v>
      </c>
      <c r="X492" s="67" t="n">
        <v>10</v>
      </c>
      <c r="Y492" s="63" t="inlineStr">
        <is>
          <t>GLY New Mobility 2. LP; Mr. Ke Jiaqi</t>
        </is>
      </c>
      <c r="Z492" s="63" t="inlineStr">
        <is>
          <t>gly;mr-ke</t>
        </is>
      </c>
      <c r="AA492" s="67" t="n">
        <v>11.8</v>
      </c>
      <c r="AB492" s="72" t="n">
        <v>272.4</v>
      </c>
      <c r="AC492" s="66" t="n">
        <v>58.1</v>
      </c>
      <c r="AD492" s="72" t="n">
        <v>25.66</v>
      </c>
      <c r="AE492" s="63" t="inlineStr">
        <is>
          <t>Y</t>
        </is>
      </c>
      <c r="AF492" s="63" t="inlineStr">
        <is>
          <t>2026-06-27</t>
        </is>
      </c>
      <c r="AG492" s="63" t="n"/>
      <c r="AH492" s="63" t="inlineStr">
        <is>
          <t>2026-07-24</t>
        </is>
      </c>
      <c r="AI492" s="63" t="inlineStr">
        <is>
          <t>CMBC Securities Company Limited</t>
        </is>
      </c>
      <c r="AJ492" s="63" t="inlineStr">
        <is>
          <t>CMBC</t>
        </is>
      </c>
      <c r="AK492" s="73" t="n">
        <v>367.95</v>
      </c>
      <c r="AL492" s="72" t="n">
        <v>291.67</v>
      </c>
      <c r="AM492" s="72" t="n">
        <v>19.48</v>
      </c>
      <c r="AN492" s="72" t="n">
        <v>295.19</v>
      </c>
      <c r="AO492" s="72" t="n">
        <v>280.77</v>
      </c>
      <c r="AP492" s="72" t="n"/>
      <c r="AQ492" s="72" t="n">
        <v>-15.55</v>
      </c>
      <c r="AR492" s="72" t="n">
        <v>-18.63</v>
      </c>
      <c r="AS492" s="72" t="n"/>
      <c r="AT492" s="72" t="n">
        <v>294.57</v>
      </c>
      <c r="AU492" s="72" t="n">
        <v>269.3</v>
      </c>
      <c r="AV492" s="72" t="n"/>
      <c r="AW492" s="72" t="n">
        <v>-29.49</v>
      </c>
      <c r="AX492" s="72" t="n">
        <v>11.47</v>
      </c>
      <c r="AY492" s="72" t="n">
        <v>10.86</v>
      </c>
      <c r="AZ492" s="63" t="inlineStr">
        <is>
          <t>Hang Seng Finance sub-index</t>
        </is>
      </c>
      <c r="BA492" s="72" t="n">
        <v>278.85</v>
      </c>
      <c r="BB492" s="64" t="inlineStr">
        <is>
          <t>2026-08-31</t>
        </is>
      </c>
      <c r="BC492" s="65" t="n">
        <v>1349.8</v>
      </c>
      <c r="BD492" s="68" t="n">
        <v>-51.3</v>
      </c>
      <c r="BE492" s="63" t="inlineStr">
        <is>
          <t>N</t>
        </is>
      </c>
      <c r="BF492" s="63" t="inlineStr">
        <is>
          <t>n/m</t>
        </is>
      </c>
      <c r="BG492" s="74" t="n"/>
      <c r="BH492" s="74" t="n"/>
      <c r="BI492" s="74" t="n">
        <v>3.7</v>
      </c>
      <c r="BJ492" s="75">
        <f>IF('BBG Verify'!S492="","not filed — run on terminal",'BBG Verify'!S492)</f>
        <v/>
      </c>
      <c r="BK492" s="76" t="inlineStr">
        <is>
          <t>N</t>
        </is>
      </c>
      <c r="BL492" s="77">
        <f>IF('BBG Verify'!K492="","not filed — run on terminal",'BBG Verify'!K492)</f>
        <v/>
      </c>
      <c r="BM492" s="63" t="inlineStr">
        <is>
          <t>N/A</t>
        </is>
      </c>
      <c r="BN492" s="63" t="inlineStr">
        <is>
          <t>N/A</t>
        </is>
      </c>
      <c r="BO492" s="63" t="inlineStr">
        <is>
          <t>N/A</t>
        </is>
      </c>
      <c r="BP492" s="63" t="inlineStr">
        <is>
          <t>N/A</t>
        </is>
      </c>
      <c r="BQ492" s="63" t="inlineStr">
        <is>
          <t>N/A</t>
        </is>
      </c>
      <c r="BR492" s="63" t="inlineStr">
        <is>
          <t>N/A</t>
        </is>
      </c>
      <c r="BS492" s="76" t="inlineStr">
        <is>
          <t>CMBC International Capital Limited; BOCI Asia Limited</t>
        </is>
      </c>
      <c r="BT492" s="63" t="inlineStr">
        <is>
          <t>BOCI Asia Limited; CMBC International Capital Limited</t>
        </is>
      </c>
      <c r="BU492" s="63" t="inlineStr">
        <is>
          <t>ICBC International Securities Limited</t>
        </is>
      </c>
      <c r="BV492" s="63" t="inlineStr">
        <is>
          <t>ABCI Securities Company Limited; BOCI Asia Limited; CMBC Securities Company Limited; CMB International Capital Limited; Fortune (HK) Securities Limited; Futu Securities International (Hong Kong) Limited; Guoyuan Securities Brokerage (Hong Kong) Limited; Harmonia Capital Limited; Huafu International Securities Limited; ICBC International Securities Limited; SPDB International Capital Limited; Tiger Brokers (HK) Global Limited</t>
        </is>
      </c>
      <c r="BW492" s="78">
        <f>HYPERLINK("https://www1.hkexnews.hk/listedco/listconews/sehk/2026/0618/2026061800045.pdf","prospectus")</f>
        <v/>
      </c>
      <c r="BX492" s="78">
        <f>HYPERLINK("https://www1.hkexnews.hk/listedco/listconews/sehk/2026/0626/2026062602363.pdf","allotment")</f>
        <v/>
      </c>
      <c r="BY492" s="63" t="n"/>
      <c r="BZ492" s="76" t="n"/>
      <c r="CA492" s="63" t="inlineStr">
        <is>
          <t>P/E: n/m — loss-making at IPO (use P/S) · greenshoe: end-of-stabilisation notice not located · range low: cap-only pricing — the filing publishes a Maximum Offer Price and no indicative floor · A/H: no A-share listing · 3m: listed less than 3m ago · alpha/index: 3m alpha needs the 3m return first — window has not elapsed yet</t>
        </is>
      </c>
    </row>
    <row r="493" ht="15" customHeight="1">
      <c r="A493" s="62" t="inlineStr">
        <is>
          <t>1191</t>
        </is>
      </c>
      <c r="B493" s="63" t="inlineStr">
        <is>
          <t>CREALIGHTS</t>
        </is>
      </c>
      <c r="C493" s="63" t="inlineStr">
        <is>
          <t>海光芯正</t>
        </is>
      </c>
      <c r="D493" s="63" t="inlineStr">
        <is>
          <t>Tech/AI</t>
        </is>
      </c>
      <c r="E493" s="63" t="inlineStr">
        <is>
          <t>Smart hardware / consumer electronics</t>
        </is>
      </c>
      <c r="F493" s="63" t="inlineStr">
        <is>
          <t>Telecommunications &amp; Networking Equipment</t>
        </is>
      </c>
      <c r="G493" s="63" t="inlineStr">
        <is>
          <t>Standard</t>
        </is>
      </c>
      <c r="H493" s="64" t="n">
        <v>46202</v>
      </c>
      <c r="I493" s="65" t="n">
        <v>1531.19</v>
      </c>
      <c r="J493" s="63" t="inlineStr">
        <is>
          <t>gross (stated)</t>
        </is>
      </c>
      <c r="K493" s="66" t="n"/>
      <c r="L493" s="66" t="n">
        <v>114</v>
      </c>
      <c r="M493" s="66" t="n">
        <v>114</v>
      </c>
      <c r="N493" s="63" t="inlineStr">
        <is>
          <t>Y</t>
        </is>
      </c>
      <c r="O493" s="67" t="n">
        <v>100</v>
      </c>
      <c r="P493" s="67" t="n"/>
      <c r="Q493" s="68" t="n">
        <v>10208</v>
      </c>
      <c r="R493" s="63" t="inlineStr">
        <is>
          <t>press:sina 2026-06-19: 发行后总市值约102.08亿 at HK$114</t>
        </is>
      </c>
      <c r="S493" s="69" t="n">
        <v>1296.89</v>
      </c>
      <c r="T493" s="70" t="n">
        <v>15.51</v>
      </c>
      <c r="U493" s="71" t="n">
        <v>49.9</v>
      </c>
      <c r="V493" s="68" t="n">
        <v>767.13</v>
      </c>
      <c r="W493" s="68" t="n">
        <v>6729182</v>
      </c>
      <c r="X493" s="67" t="n">
        <v>7.51</v>
      </c>
      <c r="Y493" s="63" t="inlineStr">
        <is>
          <t>E Fund Management Co., Ltd; JSC International Investment Fund SPC; Kingsoft Cloud Network Corporation Limited; Perseverance Asset Management International (Singapore) Pte. Ltd; UBS Asset Management (Singapore) Ltd; Winwin Technology Investment Co., Limited</t>
        </is>
      </c>
      <c r="Z493" s="63" t="inlineStr">
        <is>
          <t>fund-management;jsc;kingsoft;perseverance;ubs;winwin</t>
        </is>
      </c>
      <c r="AA493" s="67" t="n">
        <v>15</v>
      </c>
      <c r="AB493" s="72" t="n">
        <v>86.8</v>
      </c>
      <c r="AC493" s="66" t="n">
        <v>213</v>
      </c>
      <c r="AD493" s="72" t="n">
        <v>-22.52</v>
      </c>
      <c r="AE493" s="63" t="inlineStr">
        <is>
          <t>Y</t>
        </is>
      </c>
      <c r="AF493" s="63" t="inlineStr">
        <is>
          <t>2026-06-27</t>
        </is>
      </c>
      <c r="AG493" s="63" t="n"/>
      <c r="AH493" s="63" t="n"/>
      <c r="AI493" s="63" t="inlineStr">
        <is>
          <t>Huatai Financial Holdings</t>
        </is>
      </c>
      <c r="AJ493" s="63" t="inlineStr">
        <is>
          <t>Huatai</t>
        </is>
      </c>
      <c r="AK493" s="73" t="n">
        <v>44.74</v>
      </c>
      <c r="AL493" s="72" t="n">
        <v>75.34999999999999</v>
      </c>
      <c r="AM493" s="72" t="n">
        <v>-17.46</v>
      </c>
      <c r="AN493" s="72" t="n">
        <v>60.53</v>
      </c>
      <c r="AO493" s="72" t="n">
        <v>-41.67</v>
      </c>
      <c r="AP493" s="72" t="n"/>
      <c r="AQ493" s="72" t="n">
        <v>10.91</v>
      </c>
      <c r="AR493" s="72" t="n">
        <v>-59.7</v>
      </c>
      <c r="AS493" s="72" t="n"/>
      <c r="AT493" s="72" t="n">
        <v>54.84</v>
      </c>
      <c r="AU493" s="72" t="n">
        <v>-55.74</v>
      </c>
      <c r="AV493" s="72" t="n"/>
      <c r="AW493" s="72" t="n">
        <v>-70.38</v>
      </c>
      <c r="AX493" s="72" t="n">
        <v>14.07</v>
      </c>
      <c r="AY493" s="72" t="n">
        <v>10.68</v>
      </c>
      <c r="AZ493" s="63" t="inlineStr">
        <is>
          <t>HSTECH (Hang Seng TECH ETF)</t>
        </is>
      </c>
      <c r="BA493" s="72" t="n">
        <v>-11.84</v>
      </c>
      <c r="BB493" s="64" t="inlineStr">
        <is>
          <t>2026-08-31</t>
        </is>
      </c>
      <c r="BC493" s="65" t="n">
        <v>1343.2</v>
      </c>
      <c r="BD493" s="68" t="n">
        <v>-110.2</v>
      </c>
      <c r="BE493" s="63" t="inlineStr">
        <is>
          <t>N</t>
        </is>
      </c>
      <c r="BF493" s="63" t="inlineStr">
        <is>
          <t>n/m</t>
        </is>
      </c>
      <c r="BG493" s="74" t="n"/>
      <c r="BH493" s="74" t="n"/>
      <c r="BI493" s="74" t="n">
        <v>7.6</v>
      </c>
      <c r="BJ493" s="75">
        <f>IF('BBG Verify'!S493="","not filed — run on terminal",'BBG Verify'!S493)</f>
        <v/>
      </c>
      <c r="BK493" s="76" t="inlineStr">
        <is>
          <t>N</t>
        </is>
      </c>
      <c r="BL493" s="77">
        <f>IF('BBG Verify'!K493="","not filed — run on terminal",'BBG Verify'!K493)</f>
        <v/>
      </c>
      <c r="BM493" s="63" t="inlineStr">
        <is>
          <t>N/A</t>
        </is>
      </c>
      <c r="BN493" s="63" t="inlineStr">
        <is>
          <t>N/A</t>
        </is>
      </c>
      <c r="BO493" s="63" t="inlineStr">
        <is>
          <t>N/A</t>
        </is>
      </c>
      <c r="BP493" s="63" t="inlineStr">
        <is>
          <t>N/A</t>
        </is>
      </c>
      <c r="BQ493" s="63" t="inlineStr">
        <is>
          <t>N/A</t>
        </is>
      </c>
      <c r="BR493" s="63" t="inlineStr">
        <is>
          <t>N/A</t>
        </is>
      </c>
      <c r="BS493" s="76" t="n"/>
      <c r="BT493" s="63" t="inlineStr">
        <is>
          <t>Huatai Financial Holdings (Hong Kong) Limited</t>
        </is>
      </c>
      <c r="BU493" s="63" t="inlineStr">
        <is>
          <t>Huatai Financial Holdings (Hong Kong) Limited</t>
        </is>
      </c>
      <c r="BV493" s="63" t="inlineStr">
        <is>
          <t>Huatai Financial Holdings (Hong Kong) Limited</t>
        </is>
      </c>
      <c r="BW493" s="63" t="n"/>
      <c r="BX493" s="78">
        <f>HYPERLINK("https://www1.hkexnews.hk/listedco/listconews/sehk/2026/0626/2026062602599.pdf","allotment")</f>
        <v/>
      </c>
      <c r="BY493" s="63" t="n"/>
      <c r="BZ493" s="76" t="n"/>
      <c r="CA493" s="63" t="inlineStr">
        <is>
          <t>P/E: n/m — loss-making at IPO (use P/S) · greenshoe: end-of-stabilisation notice not located · price range: fixed-price offering (no indicative range) · range low: cap-only pricing — the filing publishes a Maximum Offer Price and no indicative floor · A/H: no A-share listing · 3m: listed less than 3m ago · sponsor: English name not in the filing text; AAStocks 保薦人 shown · cornerstone %: AAStocks institutional-order total / deal size — an upper bound; the table can include non-cornerstone orders · filing links: no prospectus document returned by the HKEX per-stock search for this code — the allotment announcement is linked beside it · alpha/index: 3m alpha needs the 3m return first — window has not elapsed yet</t>
        </is>
      </c>
    </row>
    <row r="494" ht="15" customHeight="1">
      <c r="A494" s="62" t="inlineStr">
        <is>
          <t>9637</t>
        </is>
      </c>
      <c r="B494" s="63" t="inlineStr">
        <is>
          <t>ALEBUND-B</t>
        </is>
      </c>
      <c r="C494" s="63" t="inlineStr">
        <is>
          <t>禮邦醫藥－Ｂ</t>
        </is>
      </c>
      <c r="D494" s="63" t="inlineStr">
        <is>
          <t>Healthcare</t>
        </is>
      </c>
      <c r="E494" s="63" t="inlineStr">
        <is>
          <t>Biotech pre-revenue (18A)</t>
        </is>
      </c>
      <c r="F494" s="63" t="inlineStr">
        <is>
          <t>Biotechnology - Pharmaceuticals</t>
        </is>
      </c>
      <c r="G494" s="63" t="inlineStr">
        <is>
          <t>18A</t>
        </is>
      </c>
      <c r="H494" s="64" t="n">
        <v>46202</v>
      </c>
      <c r="I494" s="65" t="n">
        <v>1282.7</v>
      </c>
      <c r="J494" s="63" t="inlineStr">
        <is>
          <t>gross (stated)</t>
        </is>
      </c>
      <c r="K494" s="66" t="n"/>
      <c r="L494" s="66" t="n">
        <v>22.6</v>
      </c>
      <c r="M494" s="66" t="n">
        <v>22.6</v>
      </c>
      <c r="N494" s="63" t="inlineStr">
        <is>
          <t>Y</t>
        </is>
      </c>
      <c r="O494" s="67" t="n">
        <v>100</v>
      </c>
      <c r="P494" s="67" t="n"/>
      <c r="Q494" s="68" t="n">
        <v>6859.4</v>
      </c>
      <c r="R494" s="63" t="inlineStr">
        <is>
          <t>derived:deal size / offer % of enlarged capital</t>
        </is>
      </c>
      <c r="S494" s="69" t="n">
        <v>963.5599999999999</v>
      </c>
      <c r="T494" s="70" t="n">
        <v>19.77</v>
      </c>
      <c r="U494" s="71" t="n">
        <v>49.78</v>
      </c>
      <c r="V494" s="68" t="n">
        <v>644.17</v>
      </c>
      <c r="W494" s="68" t="n">
        <v>28502562</v>
      </c>
      <c r="X494" s="67" t="n">
        <v>9.390000000000001</v>
      </c>
      <c r="Y494" s="63" t="inlineStr">
        <is>
          <t>China Universal Asset Management (Hong Kong) Company Limited; Cormorant Global Healthcare Master Fund, LP; Dymon Asia Multi-Strategy Investment Master Fund; E Fund Management (Hong Kong) Co., Ltd; GF Fund Management Co., Ltd; GF International Investment Management Limited; GIC Private Limited; Golden Valley Global Limited; Golden Valley Value Select Master Fund; Huang River Investment Limited; Loomis Sayles Trust Company, LLC; Loomis, Sayles &amp; Company, L.P; Loyal Valley Capital Advantage Fund III LP; Perfect Ten Holding Limited; RTW Biotech Opportunities Ltd; RTW Innovation Master Fund, Ltd; RTW Master Fund, Ltd; SymBiosis II, LLC</t>
        </is>
      </c>
      <c r="Z494" s="63" t="inlineStr">
        <is>
          <t>universal;cormorant;dymon;fund-management;gf;gic;golden-valley;huang-river;loomis;loyal;perfect;rtw;symbiosis</t>
        </is>
      </c>
      <c r="AA494" s="67" t="n">
        <v>7.9</v>
      </c>
      <c r="AB494" s="72" t="n">
        <v>88.09999999999999</v>
      </c>
      <c r="AC494" s="66" t="n">
        <v>42.52</v>
      </c>
      <c r="AD494" s="72" t="n">
        <v>8.210000000000001</v>
      </c>
      <c r="AE494" s="63" t="inlineStr">
        <is>
          <t>Y</t>
        </is>
      </c>
      <c r="AF494" s="63" t="inlineStr">
        <is>
          <t>2026-06-27</t>
        </is>
      </c>
      <c r="AG494" s="63" t="inlineStr">
        <is>
          <t>full</t>
        </is>
      </c>
      <c r="AH494" s="63" t="n"/>
      <c r="AI494" s="63" t="inlineStr">
        <is>
          <t>Jefferies Hong Kong Limited</t>
        </is>
      </c>
      <c r="AJ494" s="63" t="inlineStr">
        <is>
          <t>Jefferies</t>
        </is>
      </c>
      <c r="AK494" s="73" t="n">
        <v>103.54</v>
      </c>
      <c r="AL494" s="72" t="n">
        <v>85.84</v>
      </c>
      <c r="AM494" s="72" t="n">
        <v>9.52</v>
      </c>
      <c r="AN494" s="72" t="n">
        <v>29.12</v>
      </c>
      <c r="AO494" s="72" t="n">
        <v>19.47</v>
      </c>
      <c r="AP494" s="72" t="n"/>
      <c r="AQ494" s="72" t="n">
        <v>-36.56</v>
      </c>
      <c r="AR494" s="72" t="n">
        <v>-41.3</v>
      </c>
      <c r="AS494" s="72" t="n"/>
      <c r="AT494" s="72" t="n">
        <v>16.76</v>
      </c>
      <c r="AU494" s="72" t="n">
        <v>2.47</v>
      </c>
      <c r="AV494" s="72" t="n"/>
      <c r="AW494" s="72" t="n">
        <v>-49.96</v>
      </c>
      <c r="AX494" s="72" t="n">
        <v>17</v>
      </c>
      <c r="AY494" s="72" t="n">
        <v>8.66</v>
      </c>
      <c r="AZ494" s="63" t="inlineStr">
        <is>
          <t>China Biotech ETF (HS biotech proxy)</t>
        </is>
      </c>
      <c r="BA494" s="72" t="n">
        <v>39.29</v>
      </c>
      <c r="BB494" s="64" t="inlineStr">
        <is>
          <t>2026-08-31</t>
        </is>
      </c>
      <c r="BC494" s="65" t="n">
        <v>33.6</v>
      </c>
      <c r="BD494" s="68" t="n">
        <v>-827</v>
      </c>
      <c r="BE494" s="63" t="inlineStr">
        <is>
          <t>N</t>
        </is>
      </c>
      <c r="BF494" s="63" t="inlineStr">
        <is>
          <t>n/m</t>
        </is>
      </c>
      <c r="BG494" s="74" t="n"/>
      <c r="BH494" s="74" t="n"/>
      <c r="BI494" s="74" t="n">
        <v>204.1</v>
      </c>
      <c r="BJ494" s="75">
        <f>IF('BBG Verify'!S494="","not filed — run on terminal",'BBG Verify'!S494)</f>
        <v/>
      </c>
      <c r="BK494" s="76" t="inlineStr">
        <is>
          <t>N</t>
        </is>
      </c>
      <c r="BL494" s="77">
        <f>IF('BBG Verify'!K494="","not filed — run on terminal",'BBG Verify'!K494)</f>
        <v/>
      </c>
      <c r="BM494" s="63" t="inlineStr">
        <is>
          <t>N/A</t>
        </is>
      </c>
      <c r="BN494" s="63" t="inlineStr">
        <is>
          <t>N/A</t>
        </is>
      </c>
      <c r="BO494" s="63" t="inlineStr">
        <is>
          <t>N/A</t>
        </is>
      </c>
      <c r="BP494" s="63" t="inlineStr">
        <is>
          <t>N/A</t>
        </is>
      </c>
      <c r="BQ494" s="63" t="inlineStr">
        <is>
          <t>N/A</t>
        </is>
      </c>
      <c r="BR494" s="63" t="inlineStr">
        <is>
          <t>N/A</t>
        </is>
      </c>
      <c r="BS494" s="76" t="n"/>
      <c r="BT494" s="63" t="inlineStr">
        <is>
          <t>Jefferies Hong Kong Limited; Merrill Lynch (Asia Pacific) Limited; Huatai Financial Holdings (Hong Kong) Limited</t>
        </is>
      </c>
      <c r="BU494" s="63" t="inlineStr">
        <is>
          <t>BOCI Asia Limited</t>
        </is>
      </c>
      <c r="BV494" s="63" t="inlineStr">
        <is>
          <t>BOCI Asia Limited; CLSA Limited; Huatai Financial Holdings (Hong Kong) Limited; Jefferies Hong Kong Limited; Merrill Lynch (Asia Pacific) Limited</t>
        </is>
      </c>
      <c r="BW494" s="78">
        <f>HYPERLINK("https://www1.hkexnews.hk/listedco/listconews/sehk/2026/0618/2026061800025.pdf","prospectus")</f>
        <v/>
      </c>
      <c r="BX494" s="78">
        <f>HYPERLINK("https://www1.hkexnews.hk/listedco/listconews/sehk/2026/0626/2026062603033.pdf","allotment")</f>
        <v/>
      </c>
      <c r="BY494" s="78">
        <f>HYPERLINK("https://www1.hkexnews.hk/listedco/listconews/sehk/2026/0724/2026072400262.pdf","stabilisation")</f>
        <v/>
      </c>
      <c r="BZ494" s="76" t="n"/>
      <c r="CA494" s="63" t="inlineStr">
        <is>
          <t>P/E: n/m — loss-making at IPO (use P/S) · greenshoe: over-allotment outcome already published, and the allotment announcement does not state the stabilisation expiry in a parsable form — the expiry no longer matters once resolved · range low: cap-only pricing — the filing publishes a Maximum Offer Price and no indicative floor · A/H: no A-share listing · 3m: listed less than 3m ago · sponsor: English name not in the filing text; AAStocks 保薦人 shown · alpha/index: 3m alpha needs the 3m return first — window has not elapsed yet</t>
        </is>
      </c>
    </row>
    <row r="495" ht="15" customHeight="1">
      <c r="A495" s="62" t="inlineStr">
        <is>
          <t>2697</t>
        </is>
      </c>
      <c r="B495" s="63" t="inlineStr">
        <is>
          <t>TH MEDICAL-B</t>
        </is>
      </c>
      <c r="C495" s="63" t="inlineStr">
        <is>
          <t>真健康醫療－Ｂ</t>
        </is>
      </c>
      <c r="D495" s="63" t="inlineStr">
        <is>
          <t>Healthcare</t>
        </is>
      </c>
      <c r="E495" s="63" t="inlineStr">
        <is>
          <t>Medical devices</t>
        </is>
      </c>
      <c r="F495" s="63" t="inlineStr">
        <is>
          <t>Biotechnology - Medical Devices</t>
        </is>
      </c>
      <c r="G495" s="63" t="inlineStr">
        <is>
          <t>18A</t>
        </is>
      </c>
      <c r="H495" s="64" t="n">
        <v>46203</v>
      </c>
      <c r="I495" s="65" t="n">
        <v>449.9</v>
      </c>
      <c r="J495" s="63" t="inlineStr">
        <is>
          <t>gross (stated)</t>
        </is>
      </c>
      <c r="K495" s="66" t="n"/>
      <c r="L495" s="66" t="n">
        <v>135.4</v>
      </c>
      <c r="M495" s="66" t="n">
        <v>126.2</v>
      </c>
      <c r="N495" s="63" t="inlineStr">
        <is>
          <t>N</t>
        </is>
      </c>
      <c r="O495" s="67" t="n">
        <v>93.2</v>
      </c>
      <c r="P495" s="67" t="n"/>
      <c r="Q495" s="68" t="n">
        <v>4498.7</v>
      </c>
      <c r="R495" s="63" t="inlineStr">
        <is>
          <t>derived:price x shares upon listing</t>
        </is>
      </c>
      <c r="S495" s="69" t="n">
        <v>1790.4</v>
      </c>
      <c r="T495" s="70" t="n">
        <v>2.2</v>
      </c>
      <c r="U495" s="71" t="n">
        <v>0</v>
      </c>
      <c r="V495" s="68" t="n">
        <v>449.9</v>
      </c>
      <c r="W495" s="68" t="n">
        <v>3564700</v>
      </c>
      <c r="X495" s="67" t="n">
        <v>10</v>
      </c>
      <c r="Y495" s="63" t="n"/>
      <c r="Z495" s="63" t="n"/>
      <c r="AA495" s="67" t="n">
        <v>14.5</v>
      </c>
      <c r="AB495" s="72" t="n">
        <v>172.7</v>
      </c>
      <c r="AC495" s="66" t="n">
        <v>344.2</v>
      </c>
      <c r="AD495" s="72" t="n">
        <v>16.23</v>
      </c>
      <c r="AE495" s="63" t="inlineStr">
        <is>
          <t>Y</t>
        </is>
      </c>
      <c r="AF495" s="63" t="inlineStr">
        <is>
          <t>2026-06-29</t>
        </is>
      </c>
      <c r="AG495" s="63" t="n"/>
      <c r="AH495" s="63" t="n"/>
      <c r="AI495" s="63" t="inlineStr">
        <is>
          <t>China International Capital Corporation Hong Kong Securities Limited</t>
        </is>
      </c>
      <c r="AJ495" s="63" t="inlineStr">
        <is>
          <t>China International</t>
        </is>
      </c>
      <c r="AK495" s="73" t="n">
        <v>216.96</v>
      </c>
      <c r="AL495" s="72" t="n">
        <v>159.27</v>
      </c>
      <c r="AM495" s="72" t="n">
        <v>22.25</v>
      </c>
      <c r="AN495" s="72" t="n">
        <v>202.22</v>
      </c>
      <c r="AO495" s="72" t="n">
        <v>325.91</v>
      </c>
      <c r="AP495" s="72" t="n"/>
      <c r="AQ495" s="72" t="n">
        <v>-4.65</v>
      </c>
      <c r="AR495" s="72" t="n">
        <v>34.37</v>
      </c>
      <c r="AS495" s="72" t="n"/>
      <c r="AT495" s="72" t="n">
        <v>199.84</v>
      </c>
      <c r="AU495" s="72" t="n">
        <v>319.19</v>
      </c>
      <c r="AV495" s="72" t="n"/>
      <c r="AW495" s="72" t="n">
        <v>26.64</v>
      </c>
      <c r="AX495" s="72" t="n">
        <v>6.72</v>
      </c>
      <c r="AY495" s="72" t="n">
        <v>7.73</v>
      </c>
      <c r="AZ495" s="63" t="inlineStr">
        <is>
          <t>China Biotech ETF (HS biotech proxy)</t>
        </is>
      </c>
      <c r="BA495" s="72" t="n">
        <v>399.21</v>
      </c>
      <c r="BB495" s="64" t="inlineStr">
        <is>
          <t>2026-08-31</t>
        </is>
      </c>
      <c r="BC495" s="65" t="n">
        <v>13.4</v>
      </c>
      <c r="BD495" s="68" t="n">
        <v>-99.09999999999999</v>
      </c>
      <c r="BE495" s="63" t="inlineStr">
        <is>
          <t>N</t>
        </is>
      </c>
      <c r="BF495" s="63" t="inlineStr">
        <is>
          <t>n/m</t>
        </is>
      </c>
      <c r="BG495" s="74" t="n"/>
      <c r="BH495" s="74" t="n"/>
      <c r="BI495" s="74" t="n">
        <v>335.7</v>
      </c>
      <c r="BJ495" s="75">
        <f>IF('BBG Verify'!S495="","not filed — run on terminal",'BBG Verify'!S495)</f>
        <v/>
      </c>
      <c r="BK495" s="76" t="inlineStr">
        <is>
          <t>N</t>
        </is>
      </c>
      <c r="BL495" s="77">
        <f>IF('BBG Verify'!K495="","not filed — run on terminal",'BBG Verify'!K495)</f>
        <v/>
      </c>
      <c r="BM495" s="63" t="inlineStr">
        <is>
          <t>N/A</t>
        </is>
      </c>
      <c r="BN495" s="63" t="inlineStr">
        <is>
          <t>N/A</t>
        </is>
      </c>
      <c r="BO495" s="63" t="inlineStr">
        <is>
          <t>N/A</t>
        </is>
      </c>
      <c r="BP495" s="63" t="inlineStr">
        <is>
          <t>N/A</t>
        </is>
      </c>
      <c r="BQ495" s="63" t="inlineStr">
        <is>
          <t>N/A</t>
        </is>
      </c>
      <c r="BR495" s="63" t="inlineStr">
        <is>
          <t>N/A</t>
        </is>
      </c>
      <c r="BS495" s="76" t="inlineStr">
        <is>
          <t>China International Capital Corporation Hong Kong Securities Limited; DBS Asia Capital Limited</t>
        </is>
      </c>
      <c r="BT495" s="63" t="inlineStr">
        <is>
          <t>China International Capital Corporation Hong Kong Securities Limited; DBS Asia Capital Limited</t>
        </is>
      </c>
      <c r="BU495" s="63" t="inlineStr">
        <is>
          <t>China International Capital Corporation Hong Kong Securities Limited; DBS Asia Capital Limited; ABCI Capital Limited; Funde Securities Limited; CMBC Securities Company Limited; Livermore Holdings Limited; Open Securities Limited; SPDB International Capital Limited</t>
        </is>
      </c>
      <c r="BV495" s="63" t="inlineStr">
        <is>
          <t>ABCI Securities Company Limited; China International Capital Corporation Hong Kong Securities Limited; CMBC Securities Company Limited; DBS Asia Capital Limited; Funde Securities Limited; Livermore Holdings Limited; Open Securities Limited; South China Securities Limited; SPDB International Capital Limited</t>
        </is>
      </c>
      <c r="BW495" s="78">
        <f>HYPERLINK("https://www1.hkexnews.hk/listedco/listconews/sehk/2026/0622/2026062200041.pdf","prospectus")</f>
        <v/>
      </c>
      <c r="BX495" s="78">
        <f>HYPERLINK("https://www1.hkexnews.hk/listedco/listconews/sehk/2026/0629/2026062901959.pdf","allotment")</f>
        <v/>
      </c>
      <c r="BY495" s="63" t="n"/>
      <c r="BZ495" s="76" t="n"/>
      <c r="CA495" s="63" t="inlineStr">
        <is>
          <t>P/E: n/m — loss-making at IPO (use P/S) · greenshoe: end-of-stabilisation notice not located · range low: cap-only pricing — the filing publishes a Maximum Offer Price and no indicative floor · A/H: no A-share listing · 3m: listed less than 3m ago · cornerstone list: no cornerstone tranche in this deal · P/S: 336x on HK$13.4m revenue — effectively pre-revenue; the multiple is shown for completeness, not comparability · alpha/index: 3m alpha needs the 3m return first — window has not elapsed yet</t>
        </is>
      </c>
    </row>
    <row r="496" ht="15" customHeight="1">
      <c r="A496" s="62" t="inlineStr">
        <is>
          <t>6915</t>
        </is>
      </c>
      <c r="B496" s="63" t="inlineStr">
        <is>
          <t>JIANGXI BIO</t>
        </is>
      </c>
      <c r="C496" s="63" t="inlineStr">
        <is>
          <t>江西生物</t>
        </is>
      </c>
      <c r="D496" s="63" t="inlineStr">
        <is>
          <t>Healthcare</t>
        </is>
      </c>
      <c r="E496" s="63" t="inlineStr">
        <is>
          <t>Biopharma commercial</t>
        </is>
      </c>
      <c r="F496" s="63" t="inlineStr">
        <is>
          <t>Biotechnology - Pharmaceuticals</t>
        </is>
      </c>
      <c r="G496" s="63" t="inlineStr">
        <is>
          <t>Standard</t>
        </is>
      </c>
      <c r="H496" s="64" t="n">
        <v>46203</v>
      </c>
      <c r="I496" s="65" t="n">
        <v>405.83</v>
      </c>
      <c r="J496" s="63" t="inlineStr">
        <is>
          <t>gross (stated)</t>
        </is>
      </c>
      <c r="K496" s="66" t="n">
        <v>9.33</v>
      </c>
      <c r="L496" s="66" t="n">
        <v>13.06</v>
      </c>
      <c r="M496" s="66" t="n">
        <v>11.2</v>
      </c>
      <c r="N496" s="63" t="inlineStr">
        <is>
          <t>N</t>
        </is>
      </c>
      <c r="O496" s="67" t="n">
        <v>85.8</v>
      </c>
      <c r="P496" s="67" t="n">
        <v>50.1</v>
      </c>
      <c r="Q496" s="68" t="n">
        <v>3453.9</v>
      </c>
      <c r="R496" s="63" t="inlineStr">
        <is>
          <t>derived:deal size / offer % of enlarged capital</t>
        </is>
      </c>
      <c r="S496" s="69" t="n">
        <v>476.56</v>
      </c>
      <c r="T496" s="70" t="n">
        <v>4.25</v>
      </c>
      <c r="U496" s="71" t="n">
        <v>13.07</v>
      </c>
      <c r="V496" s="68" t="n">
        <v>352.79</v>
      </c>
      <c r="W496" s="68" t="n">
        <v>31498651</v>
      </c>
      <c r="X496" s="67" t="n">
        <v>10.21</v>
      </c>
      <c r="Y496" s="63" t="inlineStr">
        <is>
          <t>Wealth Strategy Holding Limited</t>
        </is>
      </c>
      <c r="Z496" s="63" t="inlineStr">
        <is>
          <t>wealth</t>
        </is>
      </c>
      <c r="AA496" s="67" t="n">
        <v>15</v>
      </c>
      <c r="AB496" s="72" t="n">
        <v>-3.5</v>
      </c>
      <c r="AC496" s="66" t="n">
        <v>10.81</v>
      </c>
      <c r="AD496" s="72" t="n">
        <v>-9.51</v>
      </c>
      <c r="AE496" s="63" t="inlineStr">
        <is>
          <t>Y</t>
        </is>
      </c>
      <c r="AF496" s="63" t="inlineStr">
        <is>
          <t>2026-06-29</t>
        </is>
      </c>
      <c r="AG496" s="63" t="inlineStr">
        <is>
          <t>lapsed</t>
        </is>
      </c>
      <c r="AH496" s="63" t="inlineStr">
        <is>
          <t>2026-07-25</t>
        </is>
      </c>
      <c r="AI496" s="63" t="inlineStr">
        <is>
          <t>Chin a International Capital Corporation Hong Kong Securities Limited</t>
        </is>
      </c>
      <c r="AJ496" s="63" t="inlineStr">
        <is>
          <t>Chin a</t>
        </is>
      </c>
      <c r="AK496" s="73" t="n">
        <v>-12.68</v>
      </c>
      <c r="AL496" s="72" t="n">
        <v>-33.93</v>
      </c>
      <c r="AM496" s="72" t="n">
        <v>32.16</v>
      </c>
      <c r="AN496" s="72" t="n">
        <v>-62.41</v>
      </c>
      <c r="AO496" s="72" t="n">
        <v>24.82</v>
      </c>
      <c r="AP496" s="72" t="n"/>
      <c r="AQ496" s="72" t="n">
        <v>-56.95</v>
      </c>
      <c r="AR496" s="72" t="n">
        <v>42.95</v>
      </c>
      <c r="AS496" s="72" t="n"/>
      <c r="AT496" s="72" t="n">
        <v>-64.79000000000001</v>
      </c>
      <c r="AU496" s="72" t="n">
        <v>18.1</v>
      </c>
      <c r="AV496" s="72" t="n"/>
      <c r="AW496" s="72" t="n">
        <v>35.22</v>
      </c>
      <c r="AX496" s="72" t="n">
        <v>6.72</v>
      </c>
      <c r="AY496" s="72" t="n">
        <v>7.73</v>
      </c>
      <c r="AZ496" s="63" t="inlineStr">
        <is>
          <t>China Biotech ETF (HS biotech proxy)</t>
        </is>
      </c>
      <c r="BA496" s="72" t="n">
        <v>78.04000000000001</v>
      </c>
      <c r="BB496" s="64" t="inlineStr">
        <is>
          <t>2026-08-31</t>
        </is>
      </c>
      <c r="BC496" s="65" t="n">
        <v>242.8</v>
      </c>
      <c r="BD496" s="68" t="n">
        <v>104.3</v>
      </c>
      <c r="BE496" s="63" t="inlineStr">
        <is>
          <t>Y</t>
        </is>
      </c>
      <c r="BF496" s="74" t="n">
        <v>33.1</v>
      </c>
      <c r="BG496" s="74" t="n"/>
      <c r="BH496" s="74" t="n"/>
      <c r="BI496" s="74" t="n">
        <v>14.2</v>
      </c>
      <c r="BJ496" s="75">
        <f>IF('BBG Verify'!S496="","not filed — run on terminal",'BBG Verify'!S496)</f>
        <v/>
      </c>
      <c r="BK496" s="76" t="inlineStr">
        <is>
          <t>N</t>
        </is>
      </c>
      <c r="BL496" s="77">
        <f>IF('BBG Verify'!K496="","not filed — run on terminal",'BBG Verify'!K496)</f>
        <v/>
      </c>
      <c r="BM496" s="63" t="inlineStr">
        <is>
          <t>N/A</t>
        </is>
      </c>
      <c r="BN496" s="63" t="inlineStr">
        <is>
          <t>N/A</t>
        </is>
      </c>
      <c r="BO496" s="63" t="inlineStr">
        <is>
          <t>N/A</t>
        </is>
      </c>
      <c r="BP496" s="63" t="inlineStr">
        <is>
          <t>N/A</t>
        </is>
      </c>
      <c r="BQ496" s="63" t="inlineStr">
        <is>
          <t>N/A</t>
        </is>
      </c>
      <c r="BR496" s="63" t="inlineStr">
        <is>
          <t>N/A</t>
        </is>
      </c>
      <c r="BS496" s="76" t="inlineStr">
        <is>
          <t>China Merchants Securities (HK) Co., Limited</t>
        </is>
      </c>
      <c r="BT496" s="63" t="inlineStr">
        <is>
          <t>China International Capital Corporation Hong Kong Securities Limited; China Merchants Securities (HK) Company Limited</t>
        </is>
      </c>
      <c r="BU496" s="63" t="inlineStr">
        <is>
          <t>China Merchants Securities (HK) Co., Limited; Futu Securities International (Hong Kong) Limited; CMBC Securities Company Limited; Arta Asset Management Limited</t>
        </is>
      </c>
      <c r="BV496" s="63" t="inlineStr">
        <is>
          <t>Arta Asset Management Limited; China International Capital Corporation Hong Kong Securities Limited; CMBC Securities Company Limited; China Merchants Securities (HK) Company Limited; Futu Securities International (Hong Kong) Limited; Guosen Securities (HK) Brokerage Company, Limited</t>
        </is>
      </c>
      <c r="BW496" s="78">
        <f>HYPERLINK("https://www1.hkexnews.hk/listedco/listconews/sehk/2026/0622/2026062200065.pdf","prospectus")</f>
        <v/>
      </c>
      <c r="BX496" s="78">
        <f>HYPERLINK("https://www1.hkexnews.hk/listedco/listconews/sehk/2026/0629/2026062902075.pdf","allotment")</f>
        <v/>
      </c>
      <c r="BY496" s="78">
        <f>HYPERLINK("https://www1.hkexnews.hk/listedco/listconews/sehk/2026/0726/2026072600027.pdf","stabilisation")</f>
        <v/>
      </c>
      <c r="BZ496" s="76" t="n"/>
      <c r="CA496" s="63" t="inlineStr">
        <is>
          <t>A/H: no A-share listing · 3m: listed less than 3m ago · alpha/index: 3m alpha needs the 3m return first — window has not elapsed yet</t>
        </is>
      </c>
    </row>
    <row r="497" ht="15" customHeight="1">
      <c r="A497" s="62" t="inlineStr">
        <is>
          <t>3952</t>
        </is>
      </c>
      <c r="B497" s="63" t="inlineStr">
        <is>
          <t>LAIFUAL</t>
        </is>
      </c>
      <c r="C497" s="63" t="inlineStr">
        <is>
          <t>來福諧波</t>
        </is>
      </c>
      <c r="D497" s="63" t="inlineStr">
        <is>
          <t>Industrials</t>
        </is>
      </c>
      <c r="E497" s="63" t="inlineStr">
        <is>
          <t>Capital goods / machinery</t>
        </is>
      </c>
      <c r="F497" s="63" t="inlineStr">
        <is>
          <t>Advanced hardware and software</t>
        </is>
      </c>
      <c r="G497" s="63" t="inlineStr">
        <is>
          <t>Standard</t>
        </is>
      </c>
      <c r="H497" s="64" t="n">
        <v>46203</v>
      </c>
      <c r="I497" s="65" t="n">
        <v>1149.3</v>
      </c>
      <c r="J497" s="63" t="inlineStr">
        <is>
          <t>gross (stated)</t>
        </is>
      </c>
      <c r="K497" s="66" t="n"/>
      <c r="L497" s="66" t="n">
        <v>85.5</v>
      </c>
      <c r="M497" s="66" t="n">
        <v>85.5</v>
      </c>
      <c r="N497" s="63" t="inlineStr">
        <is>
          <t>Y</t>
        </is>
      </c>
      <c r="O497" s="67" t="n">
        <v>100</v>
      </c>
      <c r="P497" s="67" t="n"/>
      <c r="Q497" s="68" t="n">
        <v>7818.4</v>
      </c>
      <c r="R497" s="63" t="inlineStr">
        <is>
          <t>derived:deal size / offer % of enlarged capital</t>
        </is>
      </c>
      <c r="S497" s="69" t="n">
        <v>4571.99</v>
      </c>
      <c r="T497" s="70" t="n">
        <v>7.89</v>
      </c>
      <c r="U497" s="71" t="n">
        <v>42.8</v>
      </c>
      <c r="V497" s="68" t="n">
        <v>657.4</v>
      </c>
      <c r="W497" s="68" t="n">
        <v>7688767</v>
      </c>
      <c r="X497" s="67" t="n">
        <v>8.41</v>
      </c>
      <c r="Y497" s="63" t="inlineStr">
        <is>
          <t>Alphahill Capital Limited; CDH Global Frontier Ventures Limited; Dreamee (Hong Kong) Open-ended Fund Company; Eurus Holdings SPC; Factorial Master Fund; Harvest Global Investments Limited; LBC HK Opportunity Fund Limited; Oaktree Capital Management, L.P; Oasis Investments II Master Fund Ltd</t>
        </is>
      </c>
      <c r="Z497" s="63" t="inlineStr">
        <is>
          <t>alphahill;cdh;dreamee;eurus;factorial;harvest;lbc;oaktree;oasis</t>
        </is>
      </c>
      <c r="AA497" s="67" t="n">
        <v>8.699999999999999</v>
      </c>
      <c r="AB497" s="72" t="n">
        <v>18.1</v>
      </c>
      <c r="AC497" s="66" t="n">
        <v>101</v>
      </c>
      <c r="AD497" s="72" t="n">
        <v>-27.71</v>
      </c>
      <c r="AE497" s="63" t="inlineStr">
        <is>
          <t>N</t>
        </is>
      </c>
      <c r="AF497" s="63" t="inlineStr">
        <is>
          <t>2026-06-29</t>
        </is>
      </c>
      <c r="AG497" s="63" t="inlineStr">
        <is>
          <t>partial</t>
        </is>
      </c>
      <c r="AH497" s="63" t="inlineStr">
        <is>
          <t>2026-07-25</t>
        </is>
      </c>
      <c r="AI497" s="63" t="inlineStr">
        <is>
          <t>CMB International Securities Limited</t>
        </is>
      </c>
      <c r="AJ497" s="63" t="inlineStr">
        <is>
          <t>CMB</t>
        </is>
      </c>
      <c r="AK497" s="73" t="n">
        <v>-14.62</v>
      </c>
      <c r="AL497" s="72" t="n">
        <v>3.16</v>
      </c>
      <c r="AM497" s="72" t="n">
        <v>-17.24</v>
      </c>
      <c r="AN497" s="72" t="n">
        <v>21.87</v>
      </c>
      <c r="AO497" s="72" t="n">
        <v>-42.22</v>
      </c>
      <c r="AP497" s="72" t="n"/>
      <c r="AQ497" s="72" t="n">
        <v>42.74</v>
      </c>
      <c r="AR497" s="72" t="n">
        <v>-32.33</v>
      </c>
      <c r="AS497" s="72" t="n"/>
      <c r="AT497" s="72" t="n">
        <v>14.78</v>
      </c>
      <c r="AU497" s="72" t="n">
        <v>-55.12</v>
      </c>
      <c r="AV497" s="72" t="n"/>
      <c r="AW497" s="72" t="n">
        <v>-45.4</v>
      </c>
      <c r="AX497" s="72" t="n">
        <v>12.9</v>
      </c>
      <c r="AY497" s="72" t="n">
        <v>13.07</v>
      </c>
      <c r="AZ497" s="63" t="inlineStr">
        <is>
          <t>Hang Seng Commerce &amp; Industry sub-index</t>
        </is>
      </c>
      <c r="BA497" s="72" t="n">
        <v>-28.48</v>
      </c>
      <c r="BB497" s="64" t="inlineStr">
        <is>
          <t>2026-08-31</t>
        </is>
      </c>
      <c r="BC497" s="65" t="n">
        <v>287</v>
      </c>
      <c r="BD497" s="68" t="n">
        <v>-185.7</v>
      </c>
      <c r="BE497" s="63" t="inlineStr">
        <is>
          <t>N</t>
        </is>
      </c>
      <c r="BF497" s="63" t="inlineStr">
        <is>
          <t>n/m</t>
        </is>
      </c>
      <c r="BG497" s="74" t="n"/>
      <c r="BH497" s="74" t="n"/>
      <c r="BI497" s="74" t="n">
        <v>27.2</v>
      </c>
      <c r="BJ497" s="75">
        <f>IF('BBG Verify'!S497="","not filed — run on terminal",'BBG Verify'!S497)</f>
        <v/>
      </c>
      <c r="BK497" s="76" t="inlineStr">
        <is>
          <t>N</t>
        </is>
      </c>
      <c r="BL497" s="77">
        <f>IF('BBG Verify'!K497="","not filed — run on terminal",'BBG Verify'!K497)</f>
        <v/>
      </c>
      <c r="BM497" s="63" t="inlineStr">
        <is>
          <t>N/A</t>
        </is>
      </c>
      <c r="BN497" s="63" t="inlineStr">
        <is>
          <t>N/A</t>
        </is>
      </c>
      <c r="BO497" s="63" t="inlineStr">
        <is>
          <t>N/A</t>
        </is>
      </c>
      <c r="BP497" s="63" t="inlineStr">
        <is>
          <t>N/A</t>
        </is>
      </c>
      <c r="BQ497" s="63" t="inlineStr">
        <is>
          <t>N/A</t>
        </is>
      </c>
      <c r="BR497" s="63" t="inlineStr">
        <is>
          <t>N/A</t>
        </is>
      </c>
      <c r="BS497" s="76" t="inlineStr">
        <is>
          <t>CMB International Capital Limited</t>
        </is>
      </c>
      <c r="BT497" s="63" t="inlineStr">
        <is>
          <t>CMB International Capital Limited</t>
        </is>
      </c>
      <c r="BU497" s="63" t="inlineStr">
        <is>
          <t>CMB International Capital Limited</t>
        </is>
      </c>
      <c r="BV497" s="63" t="inlineStr">
        <is>
          <t>CMB International Capital Limited</t>
        </is>
      </c>
      <c r="BW497" s="78">
        <f>HYPERLINK("https://www1.hkexnews.hk/listedco/listconews/sehk/2026/0622/2026062200047.pdf","prospectus")</f>
        <v/>
      </c>
      <c r="BX497" s="78">
        <f>HYPERLINK("https://www1.hkexnews.hk/listedco/listconews/sehk/2026/0629/2026062902089.pdf","allotment")</f>
        <v/>
      </c>
      <c r="BY497" s="78">
        <f>HYPERLINK("https://www1.hkexnews.hk/listedco/listconews/sehk/2026/0726/2026072600013.pdf","stabilisation")</f>
        <v/>
      </c>
      <c r="BZ497" s="76" t="n"/>
      <c r="CA497" s="63" t="inlineStr">
        <is>
          <t>P/E: n/m — loss-making at IPO (use P/S) · range low: cap-only pricing — the filing publishes a Maximum Offer Price and no indicative floor · A/H: no A-share listing · 3m: listed less than 3m ago · cornerstone %: AAStocks institutional-order total / deal size — an upper bound; the table can include non-cornerstone orders · alpha/index: 3m alpha needs the 3m return first — window has not elapsed yet</t>
        </is>
      </c>
    </row>
    <row r="498" ht="15" customHeight="1">
      <c r="A498" s="62" t="inlineStr">
        <is>
          <t>6715</t>
        </is>
      </c>
      <c r="B498" s="63" t="inlineStr">
        <is>
          <t>XUNLONG SCITECH</t>
        </is>
      </c>
      <c r="C498" s="63" t="inlineStr">
        <is>
          <t>鱘龍科技</t>
        </is>
      </c>
      <c r="D498" s="63" t="inlineStr">
        <is>
          <t>Consumer</t>
        </is>
      </c>
      <c r="E498" s="63" t="inlineStr">
        <is>
          <t>Beverages / packaged food</t>
        </is>
      </c>
      <c r="F498" s="63" t="inlineStr">
        <is>
          <t>Poultry, Meat and Seafood</t>
        </is>
      </c>
      <c r="G498" s="63" t="inlineStr">
        <is>
          <t>Standard</t>
        </is>
      </c>
      <c r="H498" s="64" t="n">
        <v>46203</v>
      </c>
      <c r="I498" s="65" t="n">
        <v>1233.1</v>
      </c>
      <c r="J498" s="63" t="inlineStr">
        <is>
          <t>gross (stated)</t>
        </is>
      </c>
      <c r="K498" s="66" t="n"/>
      <c r="L498" s="66" t="n">
        <v>75.5</v>
      </c>
      <c r="M498" s="66" t="n">
        <v>75.5</v>
      </c>
      <c r="N498" s="63" t="inlineStr">
        <is>
          <t>Y</t>
        </is>
      </c>
      <c r="O498" s="67" t="n">
        <v>100</v>
      </c>
      <c r="P498" s="67" t="n"/>
      <c r="Q498" s="68" t="n">
        <v>8220</v>
      </c>
      <c r="R498" s="63" t="inlineStr">
        <is>
          <t>press:10jqka 2026-06-30: 开盘涨36.42% 总市值112.15亿</t>
        </is>
      </c>
      <c r="S498" s="69" t="n">
        <v>2134.81</v>
      </c>
      <c r="T498" s="70" t="n">
        <v>19.87</v>
      </c>
      <c r="U498" s="71" t="n">
        <v>49.7</v>
      </c>
      <c r="V498" s="68" t="n">
        <v>620.25</v>
      </c>
      <c r="W498" s="68" t="n">
        <v>8215449</v>
      </c>
      <c r="X498" s="67" t="n">
        <v>7.55</v>
      </c>
      <c r="Y498" s="63" t="inlineStr">
        <is>
          <t>Baring Asset Management (Asia) Limited; BlackRock, Inc; ICBC Wealth Management Co., Ltd; Mirae Asset Securities (HK) Limited; Nova Kerry Inc; Taikang Life Insurance Co., Ltd</t>
        </is>
      </c>
      <c r="Z498" s="63" t="inlineStr">
        <is>
          <t>baring;blackrock;icbc;mirae;nova;taikang</t>
        </is>
      </c>
      <c r="AA498" s="67" t="n">
        <v>15</v>
      </c>
      <c r="AB498" s="72" t="n">
        <v>37.1</v>
      </c>
      <c r="AC498" s="66" t="n">
        <v>103.5</v>
      </c>
      <c r="AD498" s="72" t="n">
        <v>10.13</v>
      </c>
      <c r="AE498" s="63" t="inlineStr">
        <is>
          <t>Y</t>
        </is>
      </c>
      <c r="AF498" s="63" t="inlineStr">
        <is>
          <t>2026-06-30</t>
        </is>
      </c>
      <c r="AG498" s="63" t="inlineStr">
        <is>
          <t>lapsed</t>
        </is>
      </c>
      <c r="AH498" s="63" t="inlineStr">
        <is>
          <t>2026-07-25</t>
        </is>
      </c>
      <c r="AI498" s="63" t="inlineStr">
        <is>
          <t>CL SA Limited</t>
        </is>
      </c>
      <c r="AJ498" s="63" t="inlineStr">
        <is>
          <t>CL</t>
        </is>
      </c>
      <c r="AK498" s="73" t="n">
        <v>50.99</v>
      </c>
      <c r="AL498" s="72" t="n">
        <v>36.42</v>
      </c>
      <c r="AM498" s="72" t="n">
        <v>10.68</v>
      </c>
      <c r="AN498" s="72" t="n">
        <v>3.97</v>
      </c>
      <c r="AO498" s="72" t="n">
        <v>-22.72</v>
      </c>
      <c r="AP498" s="72" t="n"/>
      <c r="AQ498" s="72" t="n">
        <v>-31.14</v>
      </c>
      <c r="AR498" s="72" t="n">
        <v>-48.82</v>
      </c>
      <c r="AS498" s="72" t="n"/>
      <c r="AT498" s="72" t="n">
        <v>-3.12</v>
      </c>
      <c r="AU498" s="72" t="n">
        <v>-35.62</v>
      </c>
      <c r="AV498" s="72" t="n"/>
      <c r="AW498" s="72" t="n">
        <v>-61.89</v>
      </c>
      <c r="AX498" s="72" t="n">
        <v>12.9</v>
      </c>
      <c r="AY498" s="72" t="n">
        <v>13.07</v>
      </c>
      <c r="AZ498" s="63" t="inlineStr">
        <is>
          <t>Hang Seng Commerce &amp; Industry sub-index</t>
        </is>
      </c>
      <c r="BA498" s="72" t="n">
        <v>-3.51</v>
      </c>
      <c r="BB498" s="64" t="inlineStr">
        <is>
          <t>2026-08-31</t>
        </is>
      </c>
      <c r="BC498" s="65" t="n">
        <v>845.9</v>
      </c>
      <c r="BD498" s="68" t="n">
        <v>399.7</v>
      </c>
      <c r="BE498" s="63" t="inlineStr">
        <is>
          <t>Y</t>
        </is>
      </c>
      <c r="BF498" s="74" t="n">
        <v>20.6</v>
      </c>
      <c r="BG498" s="74" t="n"/>
      <c r="BH498" s="74" t="n"/>
      <c r="BI498" s="74" t="n">
        <v>9.699999999999999</v>
      </c>
      <c r="BJ498" s="75">
        <f>IF('BBG Verify'!S498="","not filed — run on terminal",'BBG Verify'!S498)</f>
        <v/>
      </c>
      <c r="BK498" s="76" t="inlineStr">
        <is>
          <t>N</t>
        </is>
      </c>
      <c r="BL498" s="77">
        <f>IF('BBG Verify'!K498="","not filed — run on terminal",'BBG Verify'!K498)</f>
        <v/>
      </c>
      <c r="BM498" s="63" t="inlineStr">
        <is>
          <t>N/A</t>
        </is>
      </c>
      <c r="BN498" s="63" t="inlineStr">
        <is>
          <t>N/A</t>
        </is>
      </c>
      <c r="BO498" s="63" t="inlineStr">
        <is>
          <t>N/A</t>
        </is>
      </c>
      <c r="BP498" s="63" t="inlineStr">
        <is>
          <t>N/A</t>
        </is>
      </c>
      <c r="BQ498" s="63" t="inlineStr">
        <is>
          <t>N/A</t>
        </is>
      </c>
      <c r="BR498" s="63" t="inlineStr">
        <is>
          <t>N/A</t>
        </is>
      </c>
      <c r="BS498" s="76" t="inlineStr">
        <is>
          <t>CITIC Securities (Hong Kong) Limited; China Securities (Internat ional) Corporate Finance Company Limited; CLSA Limited</t>
        </is>
      </c>
      <c r="BT498" s="63" t="inlineStr">
        <is>
          <t>CITIC Securities (Hong Kong) Limited; China Securities (International) Corporate Finance Company Limited</t>
        </is>
      </c>
      <c r="BU498" s="63" t="inlineStr">
        <is>
          <t>China Industrial Securities International Capital Limited; CLSA Limited; China Securities (International) Corporate Finance Company Limited; Huafu International Securities Limited</t>
        </is>
      </c>
      <c r="BV498" s="63" t="inlineStr">
        <is>
          <t>China Industrial Securities International Capital Limited; CLSA Limited; China Securities (International) Corporate Finance Company Limited; Huafu International Securities Limited</t>
        </is>
      </c>
      <c r="BW498" s="78">
        <f>HYPERLINK("https://www1.hkexnews.hk/listedco/listconews/sehk/2026/0622/2026062200025.pdf","prospectus")</f>
        <v/>
      </c>
      <c r="BX498" s="78">
        <f>HYPERLINK("https://www1.hkexnews.hk/listedco/listconews/sehk/2026/0629/2026062902679.pdf","allotment")</f>
        <v/>
      </c>
      <c r="BY498" s="78">
        <f>HYPERLINK("https://www1.hkexnews.hk/listedco/listconews/sehk/2026/0726/2026072600021.pdf","stabilisation")</f>
        <v/>
      </c>
      <c r="BZ498" s="76" t="n"/>
      <c r="CA498" s="63" t="inlineStr">
        <is>
          <t>range low: cap-only pricing — the filing publishes a Maximum Offer Price and no indicative floor · A/H: no A-share listing · 3m: listed less than 3m ago · alpha/index: 3m alpha needs the 3m return first — window has not elapsed yet</t>
        </is>
      </c>
    </row>
    <row r="499" ht="15" customHeight="1">
      <c r="A499" s="62" t="inlineStr">
        <is>
          <t>0668</t>
        </is>
      </c>
      <c r="B499" s="63" t="inlineStr">
        <is>
          <t>ANKER</t>
        </is>
      </c>
      <c r="C499" s="63" t="inlineStr">
        <is>
          <t>安克創新</t>
        </is>
      </c>
      <c r="D499" s="63" t="inlineStr">
        <is>
          <t>Tech/AI</t>
        </is>
      </c>
      <c r="E499" s="63" t="inlineStr">
        <is>
          <t>Smart hardware / consumer electronics</t>
        </is>
      </c>
      <c r="F499" s="63" t="inlineStr">
        <is>
          <t>Consumer Electronics</t>
        </is>
      </c>
      <c r="G499" s="63" t="inlineStr">
        <is>
          <t>Standard</t>
        </is>
      </c>
      <c r="H499" s="64" t="n">
        <v>46205</v>
      </c>
      <c r="I499" s="65" t="n">
        <v>4631.6</v>
      </c>
      <c r="J499" s="63" t="inlineStr">
        <is>
          <t>gross (stated)</t>
        </is>
      </c>
      <c r="K499" s="66" t="n"/>
      <c r="L499" s="66" t="n">
        <v>99.31999999999999</v>
      </c>
      <c r="M499" s="66" t="n">
        <v>99.31999999999999</v>
      </c>
      <c r="N499" s="63" t="inlineStr">
        <is>
          <t>Y</t>
        </is>
      </c>
      <c r="O499" s="67" t="n">
        <v>100</v>
      </c>
      <c r="P499" s="67" t="n"/>
      <c r="Q499" s="68" t="n">
        <v>57894.5</v>
      </c>
      <c r="R499" s="63" t="inlineStr">
        <is>
          <t>derived:price x shares upon listing</t>
        </is>
      </c>
      <c r="S499" s="69" t="n">
        <v>27.57</v>
      </c>
      <c r="T499" s="70" t="n">
        <v>10.24</v>
      </c>
      <c r="U499" s="71" t="n">
        <v>49.9</v>
      </c>
      <c r="V499" s="68" t="n">
        <v>2320.43</v>
      </c>
      <c r="W499" s="68" t="n">
        <v>23363033</v>
      </c>
      <c r="X499" s="67" t="n">
        <v>4.01</v>
      </c>
      <c r="Y499" s="63" t="inlineStr">
        <is>
          <t>Aspex Master Fund; Franklin Templeton Sealand Fund Management Co., Ltd; Greenwoods Asset Management Hong Kong Limited; HACF, L.P; Jane Street Asia Trading Limited; Principal Asset Management Company (Asia) Limited; Schroder Investment Management (Singapore) Ltd; Shanghai Greenwoods Asset Management Co., Ltd; Taikang Life Insurance Co., Ltd; UBS Asset Management (Singapore) Ltd; Value Partners Hong Kong Limited; WT Asset Management Limited</t>
        </is>
      </c>
      <c r="Z499" s="63" t="inlineStr">
        <is>
          <t>aspex;franklin;greenwoods;hacf;jane;principal;schroder;shanghai-greenwoods;taikang;ubs;value;wt</t>
        </is>
      </c>
      <c r="AA499" s="67" t="n">
        <v>15</v>
      </c>
      <c r="AB499" s="72" t="n">
        <v>-4.8</v>
      </c>
      <c r="AC499" s="66" t="n">
        <v>94.55</v>
      </c>
      <c r="AD499" s="72" t="n">
        <v>21.52</v>
      </c>
      <c r="AE499" s="63" t="inlineStr">
        <is>
          <t>N</t>
        </is>
      </c>
      <c r="AF499" s="63" t="inlineStr">
        <is>
          <t>2026-07-01</t>
        </is>
      </c>
      <c r="AG499" s="63" t="n"/>
      <c r="AH499" s="63" t="n"/>
      <c r="AI499" s="63" t="inlineStr">
        <is>
          <t>China International Capital Corporation Hong Kong Securities Limited</t>
        </is>
      </c>
      <c r="AJ499" s="63" t="inlineStr">
        <is>
          <t>China International</t>
        </is>
      </c>
      <c r="AK499" s="73" t="n">
        <v>15.69</v>
      </c>
      <c r="AL499" s="72" t="n">
        <v>-0.02</v>
      </c>
      <c r="AM499" s="72" t="n">
        <v>15.71</v>
      </c>
      <c r="AN499" s="72" t="n">
        <v>1.29</v>
      </c>
      <c r="AO499" s="72" t="n">
        <v>10.55</v>
      </c>
      <c r="AP499" s="72" t="n"/>
      <c r="AQ499" s="72" t="n">
        <v>-12.45</v>
      </c>
      <c r="AR499" s="72" t="n">
        <v>-4.44</v>
      </c>
      <c r="AS499" s="72" t="n"/>
      <c r="AT499" s="72" t="n">
        <v>-4.4</v>
      </c>
      <c r="AU499" s="72" t="n">
        <v>2.81</v>
      </c>
      <c r="AV499" s="72" t="n"/>
      <c r="AW499" s="72" t="n">
        <v>-12.82</v>
      </c>
      <c r="AX499" s="72" t="n">
        <v>7.74</v>
      </c>
      <c r="AY499" s="72" t="n">
        <v>8.380000000000001</v>
      </c>
      <c r="AZ499" s="63" t="inlineStr">
        <is>
          <t>HSTECH (Hang Seng TECH ETF)</t>
        </is>
      </c>
      <c r="BA499" s="72" t="n">
        <v>20.92</v>
      </c>
      <c r="BB499" s="64" t="inlineStr">
        <is>
          <t>2026-08-31</t>
        </is>
      </c>
      <c r="BC499" s="65" t="n">
        <v>33565.8</v>
      </c>
      <c r="BD499" s="68" t="n">
        <v>2799.6</v>
      </c>
      <c r="BE499" s="63" t="inlineStr">
        <is>
          <t>Y</t>
        </is>
      </c>
      <c r="BF499" s="74" t="n">
        <v>20.7</v>
      </c>
      <c r="BG499" s="74" t="n"/>
      <c r="BH499" s="74" t="n"/>
      <c r="BI499" s="74" t="n">
        <v>1.7</v>
      </c>
      <c r="BJ499" s="75">
        <f>IF('BBG Verify'!S499="","not filed — run on terminal",'BBG Verify'!S499)</f>
        <v/>
      </c>
      <c r="BK499" s="76" t="inlineStr">
        <is>
          <t>Y</t>
        </is>
      </c>
      <c r="BL499" s="63" t="inlineStr">
        <is>
          <t>300866.SZ</t>
        </is>
      </c>
      <c r="BM499" s="72" t="n">
        <v>25.2</v>
      </c>
      <c r="BN499" s="66" t="n">
        <v>124.3512</v>
      </c>
      <c r="BO499" s="80" t="n">
        <v>0.2206</v>
      </c>
      <c r="BP499" s="68" t="n">
        <v>86303.89999999999</v>
      </c>
      <c r="BQ499" s="75">
        <f>IF('BBG Verify'!Q499="","run on terminal",'BBG Verify'!Q499)</f>
        <v/>
      </c>
      <c r="BR499" s="75">
        <f>IF('BBG Verify'!R499="","run on terminal",'BBG Verify'!R499)</f>
        <v/>
      </c>
      <c r="BS499" s="76" t="inlineStr">
        <is>
          <t>China International Capital Corporation Hong Kong Securities Limited; Goldman Sachs (Asia) L.L.C.; J.P. Morgan Securities (Far East) Limited</t>
        </is>
      </c>
      <c r="BT499" s="63" t="inlineStr">
        <is>
          <t>China International Capital Corporation Hong Kong Securities Limited; J.P. Morgan Securities (Far East) Limited; Goldman Sachs (Asia) L.L.C.</t>
        </is>
      </c>
      <c r="BU499" s="63" t="inlineStr">
        <is>
          <t>China International Capital Corporation Hong Kong Securities Limited; Goldman Sachs (Asia) L.L.C.; J.P. Morgan Securities (Asia Pacific) Limited</t>
        </is>
      </c>
      <c r="BV499" s="63" t="inlineStr">
        <is>
          <t>China International Capital Corporation Hong Kong Securities Limited; Goldman Sachs (Asia) L.L.C.; J.P. Morgan Securities (Asia Pacific) Limited</t>
        </is>
      </c>
      <c r="BW499" s="63" t="n"/>
      <c r="BX499" s="78">
        <f>HYPERLINK("https://www1.hkexnews.hk/listedco/listconews/sehk/2026/0630/2026063003481.pdf","allotment")</f>
        <v/>
      </c>
      <c r="BY499" s="63" t="n"/>
      <c r="BZ499" s="76" t="n"/>
      <c r="CA499" s="63" t="inlineStr">
        <is>
          <t>greenshoe: end-of-stabilisation notice not located · price range: fixed-price offering (no indicative range) · range low: cap-only pricing — the filing publishes a Maximum Offer Price and no indicative floor · A/H: Jun 2026 H listing (consumer charging/power brands) · 3m: listed less than 3m ago · filing links: no prospectus document returned by the HKEX per-stock search for this code — the allotment announcement is linked beside it · alpha/index: 3m alpha needs the 3m return first — window has not elapsed yet</t>
        </is>
      </c>
    </row>
    <row r="500" ht="15" customHeight="1">
      <c r="A500" s="62" t="inlineStr">
        <is>
          <t>2667</t>
        </is>
      </c>
      <c r="B500" s="63" t="inlineStr">
        <is>
          <t>TONGRENTANGCARE</t>
        </is>
      </c>
      <c r="C500" s="63" t="inlineStr">
        <is>
          <t>同仁堂醫養</t>
        </is>
      </c>
      <c r="D500" s="63" t="inlineStr">
        <is>
          <t>Healthcare</t>
        </is>
      </c>
      <c r="E500" s="63" t="inlineStr">
        <is>
          <t>TCM</t>
        </is>
      </c>
      <c r="F500" s="63" t="inlineStr">
        <is>
          <t>Health Care Services</t>
        </is>
      </c>
      <c r="G500" s="63" t="inlineStr">
        <is>
          <t>Standard</t>
        </is>
      </c>
      <c r="H500" s="64" t="n">
        <v>46210</v>
      </c>
      <c r="I500" s="65" t="n">
        <v>594.8</v>
      </c>
      <c r="J500" s="63" t="inlineStr">
        <is>
          <t>gross (stated)</t>
        </is>
      </c>
      <c r="K500" s="66" t="n">
        <v>5.48</v>
      </c>
      <c r="L500" s="66" t="n">
        <v>6.21</v>
      </c>
      <c r="M500" s="66" t="n">
        <v>5.5</v>
      </c>
      <c r="N500" s="63" t="inlineStr">
        <is>
          <t>N</t>
        </is>
      </c>
      <c r="O500" s="67" t="n">
        <v>88.59999999999999</v>
      </c>
      <c r="P500" s="67" t="n">
        <v>2.7</v>
      </c>
      <c r="Q500" s="68" t="n">
        <v>2258.6</v>
      </c>
      <c r="R500" s="63" t="inlineStr">
        <is>
          <t>prospectus:stated market capitalisation, rescaled to the offer price</t>
        </is>
      </c>
      <c r="S500" s="69" t="n">
        <v>251.74</v>
      </c>
      <c r="T500" s="70" t="n">
        <v>2.84</v>
      </c>
      <c r="U500" s="71" t="n">
        <v>44.08</v>
      </c>
      <c r="V500" s="68" t="n">
        <v>332.61</v>
      </c>
      <c r="W500" s="68" t="n">
        <v>60479437</v>
      </c>
      <c r="X500" s="67" t="n">
        <v>14.73</v>
      </c>
      <c r="Y500" s="63" t="inlineStr">
        <is>
          <t>AIRPORT TECHNOLOGY CAPITAL (HONG KONG) CO., LIMITED; Aurora SF; CICC Financial Trading Limited</t>
        </is>
      </c>
      <c r="Z500" s="63" t="inlineStr">
        <is>
          <t>airport;aurora;china-international</t>
        </is>
      </c>
      <c r="AA500" s="67" t="n">
        <v>15</v>
      </c>
      <c r="AB500" s="72" t="n">
        <v>-15.6</v>
      </c>
      <c r="AC500" s="66" t="n">
        <v>4.64</v>
      </c>
      <c r="AD500" s="72" t="n">
        <v>-27.83</v>
      </c>
      <c r="AE500" s="63" t="inlineStr">
        <is>
          <t>Y</t>
        </is>
      </c>
      <c r="AF500" s="63" t="inlineStr">
        <is>
          <t>2026-07-06</t>
        </is>
      </c>
      <c r="AG500" s="63" t="inlineStr">
        <is>
          <t>lapsed</t>
        </is>
      </c>
      <c r="AH500" s="63" t="inlineStr">
        <is>
          <t>2026-08-01</t>
        </is>
      </c>
      <c r="AI500" s="63" t="inlineStr">
        <is>
          <t>China International Capital Corporation Hong Kong Securities Limited</t>
        </is>
      </c>
      <c r="AJ500" s="63" t="inlineStr">
        <is>
          <t>China International</t>
        </is>
      </c>
      <c r="AK500" s="73" t="n">
        <v>-39.09</v>
      </c>
      <c r="AL500" s="72" t="n">
        <v>-13.45</v>
      </c>
      <c r="AM500" s="72" t="n">
        <v>-29.62</v>
      </c>
      <c r="AN500" s="72" t="n">
        <v>-44.73</v>
      </c>
      <c r="AO500" s="72" t="n">
        <v>-49.09</v>
      </c>
      <c r="AP500" s="72" t="n"/>
      <c r="AQ500" s="72" t="n">
        <v>-9.26</v>
      </c>
      <c r="AR500" s="72" t="n">
        <v>-16.42</v>
      </c>
      <c r="AS500" s="72" t="n"/>
      <c r="AT500" s="72" t="n">
        <v>-43.95</v>
      </c>
      <c r="AU500" s="72" t="n">
        <v>-50.53</v>
      </c>
      <c r="AV500" s="72" t="n"/>
      <c r="AW500" s="72" t="n">
        <v>-21.75</v>
      </c>
      <c r="AX500" s="72" t="n">
        <v>1.44</v>
      </c>
      <c r="AY500" s="72" t="n">
        <v>5.33</v>
      </c>
      <c r="AZ500" s="63" t="inlineStr">
        <is>
          <t>China Biotech ETF (HS biotech proxy)</t>
        </is>
      </c>
      <c r="BA500" s="72" t="n">
        <v>-53.36</v>
      </c>
      <c r="BB500" s="64" t="inlineStr">
        <is>
          <t>2026-08-31</t>
        </is>
      </c>
      <c r="BC500" s="65" t="n">
        <v>1288.4</v>
      </c>
      <c r="BD500" s="68" t="n">
        <v>37.1</v>
      </c>
      <c r="BE500" s="63" t="inlineStr">
        <is>
          <t>Y</t>
        </is>
      </c>
      <c r="BF500" s="74" t="n">
        <v>60.9</v>
      </c>
      <c r="BG500" s="74" t="n"/>
      <c r="BH500" s="74" t="n"/>
      <c r="BI500" s="74" t="n">
        <v>1.8</v>
      </c>
      <c r="BJ500" s="75">
        <f>IF('BBG Verify'!S500="","not filed — run on terminal",'BBG Verify'!S500)</f>
        <v/>
      </c>
      <c r="BK500" s="76" t="inlineStr">
        <is>
          <t>N</t>
        </is>
      </c>
      <c r="BL500" s="77">
        <f>IF('BBG Verify'!K500="","not filed — run on terminal",'BBG Verify'!K500)</f>
        <v/>
      </c>
      <c r="BM500" s="63" t="inlineStr">
        <is>
          <t>N/A</t>
        </is>
      </c>
      <c r="BN500" s="63" t="inlineStr">
        <is>
          <t>N/A</t>
        </is>
      </c>
      <c r="BO500" s="63" t="inlineStr">
        <is>
          <t>N/A</t>
        </is>
      </c>
      <c r="BP500" s="63" t="inlineStr">
        <is>
          <t>N/A</t>
        </is>
      </c>
      <c r="BQ500" s="63" t="inlineStr">
        <is>
          <t>N/A</t>
        </is>
      </c>
      <c r="BR500" s="63" t="inlineStr">
        <is>
          <t>N/A</t>
        </is>
      </c>
      <c r="BS500" s="76" t="n"/>
      <c r="BT500" s="63" t="inlineStr">
        <is>
          <t>China International Capital Corporation Hong Kong Securities Limited</t>
        </is>
      </c>
      <c r="BU500" s="63" t="inlineStr">
        <is>
          <t>China International Capital Corporation Hong Kong Securities Limited; ICBC International Securities Limited; Kong GF Securities (Hong Kong) Brokerage Limited; Chai, Hong Kong ABCI Capital Limited; West Bull Securities Limited; Patrons Securities Limited</t>
        </is>
      </c>
      <c r="BV500" s="63" t="inlineStr">
        <is>
          <t>ABCI Securities Company Limited; China International Capital Corporation Hong Kong Securities Limited; Futu Securities International (Hong Kong) Limited; GF Securities (Hong Kong) Brokerage Limited; ICBC International Securities Limited; Livermore Holdings Limited; Patrons Securities Limited; Tiger Brokers (HK) Global Limited; West Bull Securities Limited</t>
        </is>
      </c>
      <c r="BW500" s="78">
        <f>HYPERLINK("https://www1.hkexnews.hk/listedco/listconews/sehk/2026/0626/2026062600021.pdf","prospectus")</f>
        <v/>
      </c>
      <c r="BX500" s="78">
        <f>HYPERLINK("https://www1.hkexnews.hk/listedco/listconews/sehk/2026/0706/2026070602117.pdf","allotment")</f>
        <v/>
      </c>
      <c r="BY500" s="78">
        <f>HYPERLINK("https://www1.hkexnews.hk/listedco/listconews/sehk/2026/0803/2026080301376.pdf","stabilisation")</f>
        <v/>
      </c>
      <c r="BZ500" s="76" t="n"/>
      <c r="CA500" s="63" t="inlineStr">
        <is>
          <t>A/H: no A-share listing · 3m: listed less than 3m ago · sponsor: English name not in the filing text; AAStocks 保薦人 shown · market cap: prospectus states HK$2,550m at HK$6.21; rescaled to the struck HK$5.50 · alpha/index: 3m alpha needs the 3m return first — window has not elapsed yet</t>
        </is>
      </c>
    </row>
    <row r="501" ht="15" customHeight="1">
      <c r="A501" s="62" t="inlineStr">
        <is>
          <t>7656</t>
        </is>
      </c>
      <c r="B501" s="63" t="inlineStr">
        <is>
          <t>RECONOVA</t>
        </is>
      </c>
      <c r="C501" s="63" t="inlineStr">
        <is>
          <t>瑞為技術</t>
        </is>
      </c>
      <c r="D501" s="63" t="inlineStr">
        <is>
          <t>Tech/AI</t>
        </is>
      </c>
      <c r="E501" s="63" t="inlineStr">
        <is>
          <t>AI application / agent software</t>
        </is>
      </c>
      <c r="F501" s="63" t="inlineStr">
        <is>
          <t>Advanced hardware and software</t>
        </is>
      </c>
      <c r="G501" s="63" t="inlineStr">
        <is>
          <t>Standard</t>
        </is>
      </c>
      <c r="H501" s="64" t="n">
        <v>46211</v>
      </c>
      <c r="I501" s="65" t="n">
        <v>608.4</v>
      </c>
      <c r="J501" s="63" t="inlineStr">
        <is>
          <t>gross (stated)</t>
        </is>
      </c>
      <c r="K501" s="66" t="n"/>
      <c r="L501" s="66" t="n">
        <v>21.66</v>
      </c>
      <c r="M501" s="66" t="n">
        <v>21.66</v>
      </c>
      <c r="N501" s="63" t="inlineStr">
        <is>
          <t>Y</t>
        </is>
      </c>
      <c r="O501" s="67" t="n">
        <v>100</v>
      </c>
      <c r="P501" s="67" t="n"/>
      <c r="Q501" s="68" t="n">
        <v>6612.6</v>
      </c>
      <c r="R501" s="63" t="inlineStr">
        <is>
          <t>derived:price x shares upon listing</t>
        </is>
      </c>
      <c r="S501" s="69" t="n">
        <v>3646.06</v>
      </c>
      <c r="T501" s="70" t="n">
        <v>3.08</v>
      </c>
      <c r="U501" s="71" t="n">
        <v>0</v>
      </c>
      <c r="V501" s="68" t="n">
        <v>608.4</v>
      </c>
      <c r="W501" s="68" t="n">
        <v>28087000</v>
      </c>
      <c r="X501" s="67" t="n">
        <v>9.199999999999999</v>
      </c>
      <c r="Y501" s="63" t="n"/>
      <c r="Z501" s="63" t="n"/>
      <c r="AA501" s="67" t="n"/>
      <c r="AB501" s="72" t="n">
        <v>-16.9</v>
      </c>
      <c r="AC501" s="66" t="n">
        <v>17.99</v>
      </c>
      <c r="AD501" s="72" t="n">
        <v>16.67</v>
      </c>
      <c r="AE501" s="63" t="inlineStr">
        <is>
          <t>Y</t>
        </is>
      </c>
      <c r="AF501" s="63" t="inlineStr">
        <is>
          <t>2026-07-08</t>
        </is>
      </c>
      <c r="AG501" s="63" t="n"/>
      <c r="AH501" s="63" t="n"/>
      <c r="AI501" s="63" t="n"/>
      <c r="AJ501" s="63" t="n"/>
      <c r="AK501" s="73" t="n">
        <v>-3.05</v>
      </c>
      <c r="AL501" s="72" t="n">
        <v>-16.9</v>
      </c>
      <c r="AM501" s="72" t="n">
        <v>16.67</v>
      </c>
      <c r="AN501" s="72" t="n">
        <v>31.12</v>
      </c>
      <c r="AO501" s="72" t="n">
        <v>53.74</v>
      </c>
      <c r="AP501" s="72" t="n"/>
      <c r="AQ501" s="72" t="n">
        <v>35.24</v>
      </c>
      <c r="AR501" s="72" t="n">
        <v>58.58</v>
      </c>
      <c r="AS501" s="72" t="n"/>
      <c r="AT501" s="72" t="n">
        <v>25.91</v>
      </c>
      <c r="AU501" s="72" t="n">
        <v>46.59</v>
      </c>
      <c r="AV501" s="72" t="n"/>
      <c r="AW501" s="72" t="n">
        <v>56.55</v>
      </c>
      <c r="AX501" s="72" t="n">
        <v>7.15</v>
      </c>
      <c r="AY501" s="72" t="n">
        <v>2.03</v>
      </c>
      <c r="AZ501" s="63" t="inlineStr">
        <is>
          <t>HSTECH (Hang Seng TECH ETF)</t>
        </is>
      </c>
      <c r="BA501" s="72" t="n">
        <v>-6.28</v>
      </c>
      <c r="BB501" s="64" t="inlineStr">
        <is>
          <t>2026-08-31</t>
        </is>
      </c>
      <c r="BC501" s="65" t="n">
        <v>487.3</v>
      </c>
      <c r="BD501" s="68" t="n">
        <v>-75</v>
      </c>
      <c r="BE501" s="63" t="inlineStr">
        <is>
          <t>N</t>
        </is>
      </c>
      <c r="BF501" s="63" t="inlineStr">
        <is>
          <t>n/m</t>
        </is>
      </c>
      <c r="BG501" s="74" t="n"/>
      <c r="BH501" s="74" t="n"/>
      <c r="BI501" s="74" t="n">
        <v>13.6</v>
      </c>
      <c r="BJ501" s="75">
        <f>IF('BBG Verify'!S501="","not filed — run on terminal",'BBG Verify'!S501)</f>
        <v/>
      </c>
      <c r="BK501" s="76" t="inlineStr">
        <is>
          <t>N</t>
        </is>
      </c>
      <c r="BL501" s="77">
        <f>IF('BBG Verify'!K501="","not filed — run on terminal",'BBG Verify'!K501)</f>
        <v/>
      </c>
      <c r="BM501" s="63" t="inlineStr">
        <is>
          <t>N/A</t>
        </is>
      </c>
      <c r="BN501" s="63" t="inlineStr">
        <is>
          <t>N/A</t>
        </is>
      </c>
      <c r="BO501" s="63" t="inlineStr">
        <is>
          <t>N/A</t>
        </is>
      </c>
      <c r="BP501" s="63" t="inlineStr">
        <is>
          <t>N/A</t>
        </is>
      </c>
      <c r="BQ501" s="63" t="inlineStr">
        <is>
          <t>N/A</t>
        </is>
      </c>
      <c r="BR501" s="63" t="inlineStr">
        <is>
          <t>N/A</t>
        </is>
      </c>
      <c r="BS501" s="76" t="inlineStr">
        <is>
          <t>and Joint Sponsor-OCs Huatai Financial Holdings (Hong Kong) Limited; CCB International Capital Limited; ABCI Capital Limited</t>
        </is>
      </c>
      <c r="BT501" s="63" t="inlineStr">
        <is>
          <t>CCB International Capital Limited; Huatai Financial Holdings (Hong Kong) Limited; ABCI Capital Limited</t>
        </is>
      </c>
      <c r="BU501" s="63" t="inlineStr">
        <is>
          <t>Huatai Financial Holdings (Hong Kong) Limited; CCB International Capital Limited; ABCI Capital Limited; CMBC Securities Company Limited; Huafu International Securities Limited; Shenwan Hongyuan Securities (H.K.) Limited; Sunfund Securities Limited; Futu Securities International (Hong Kong) Limited; Yuet Sheung International Securities Limited</t>
        </is>
      </c>
      <c r="BV501" s="63" t="inlineStr">
        <is>
          <t>ABCI Securities Company Limited; CCB International Capital Limited; CMBC Securities Company Limited; Futu Securities International (Hong Kong) Limited; Huatai Financial Holdings (Hong Kong) Limited; Huafu International Securities Limited; Shenwan Hongyuan Securities (H.K.) Limited; Sunfund Securities Limited; Yuet Sheung International Securities Limited</t>
        </is>
      </c>
      <c r="BW501" s="78">
        <f>HYPERLINK("https://www1.hkexnews.hk/listedco/listconews/sehk/2026/0629/2026062900145.pdf","prospectus")</f>
        <v/>
      </c>
      <c r="BX501" s="78">
        <f>HYPERLINK("https://www1.hkexnews.hk/listedco/listconews/sehk/2026/0707/2026070701895.pdf","allotment")</f>
        <v/>
      </c>
      <c r="BY501" s="63" t="n"/>
      <c r="BZ501" s="76" t="n"/>
      <c r="CA501" s="63" t="inlineStr">
        <is>
          <t>P/E: n/m — loss-making at IPO (use P/S) · greenshoe: no over-allotment option in the offer structure · range low: cap-only pricing — the filing publishes a Maximum Offer Price and no indicative floor · A/H: no A-share listing · 3m: listed less than 3m ago · cornerstone list: no cornerstone tranche in this deal · greenshoe size: no over-allotment option in the offer structure · stabilising manager: the filing states no stabilising manager will be appointed — a filed fact, not an extraction gap (prospectus: 'no stabilizing manager will be appointed' stated in the filing) · alpha/index: 3m alpha needs the 3m return first — window has not elapsed yet</t>
        </is>
      </c>
    </row>
    <row r="502" ht="15" customHeight="1">
      <c r="A502" s="62" t="inlineStr">
        <is>
          <t>9971</t>
        </is>
      </c>
      <c r="B502" s="63" t="inlineStr">
        <is>
          <t>BASICSEMI</t>
        </is>
      </c>
      <c r="C502" s="63" t="inlineStr">
        <is>
          <t>基本半導體</t>
        </is>
      </c>
      <c r="D502" s="63" t="inlineStr">
        <is>
          <t>Tech/AI</t>
        </is>
      </c>
      <c r="E502" s="63" t="inlineStr">
        <is>
          <t>AI chips &amp; semis</t>
        </is>
      </c>
      <c r="F502" s="63" t="inlineStr">
        <is>
          <t>Semiconductors &amp; Semiconductor Equipment</t>
        </is>
      </c>
      <c r="G502" s="63" t="inlineStr">
        <is>
          <t>Standard</t>
        </is>
      </c>
      <c r="H502" s="64" t="n">
        <v>46211</v>
      </c>
      <c r="I502" s="65" t="n">
        <v>865.95</v>
      </c>
      <c r="J502" s="63" t="inlineStr">
        <is>
          <t>gross (stated)</t>
        </is>
      </c>
      <c r="K502" s="66" t="n"/>
      <c r="L502" s="66" t="n">
        <v>31.62</v>
      </c>
      <c r="M502" s="66" t="n">
        <v>31.62</v>
      </c>
      <c r="N502" s="63" t="inlineStr">
        <is>
          <t>Y</t>
        </is>
      </c>
      <c r="O502" s="67" t="n">
        <v>100</v>
      </c>
      <c r="P502" s="67" t="n"/>
      <c r="Q502" s="68" t="n">
        <v>9621.6</v>
      </c>
      <c r="R502" s="63" t="inlineStr">
        <is>
          <t>derived:price x shares upon listing</t>
        </is>
      </c>
      <c r="S502" s="69" t="n">
        <v>4812.72</v>
      </c>
      <c r="T502" s="70" t="n">
        <v>2.98</v>
      </c>
      <c r="U502" s="71" t="n"/>
      <c r="V502" s="68" t="n">
        <v>865.95</v>
      </c>
      <c r="W502" s="68" t="n">
        <v>27386200</v>
      </c>
      <c r="X502" s="67" t="n">
        <v>9</v>
      </c>
      <c r="Y502" s="63" t="n"/>
      <c r="Z502" s="63" t="n"/>
      <c r="AA502" s="67" t="n">
        <v>17.41</v>
      </c>
      <c r="AB502" s="72" t="n"/>
      <c r="AC502" s="66" t="n"/>
      <c r="AD502" s="72" t="n"/>
      <c r="AE502" s="63" t="n"/>
      <c r="AF502" s="63" t="n"/>
      <c r="AG502" s="63" t="inlineStr">
        <is>
          <t>lapsed (no over-allocation)</t>
        </is>
      </c>
      <c r="AH502" s="63" t="n"/>
      <c r="AI502" s="63" t="inlineStr">
        <is>
          <t>Sinolink Securities</t>
        </is>
      </c>
      <c r="AJ502" s="63" t="inlineStr">
        <is>
          <t>Sinolink</t>
        </is>
      </c>
      <c r="AK502" s="73" t="n">
        <v>5.06</v>
      </c>
      <c r="AL502" s="72" t="n">
        <v>7.91</v>
      </c>
      <c r="AM502" s="72" t="n">
        <v>-2.64</v>
      </c>
      <c r="AN502" s="72" t="n">
        <v>33.71</v>
      </c>
      <c r="AO502" s="72" t="n">
        <v>74.89</v>
      </c>
      <c r="AP502" s="72" t="n"/>
      <c r="AQ502" s="72" t="n">
        <v>27.27</v>
      </c>
      <c r="AR502" s="72" t="n">
        <v>66.47</v>
      </c>
      <c r="AS502" s="72" t="n"/>
      <c r="AT502" s="72" t="n">
        <v>28.5</v>
      </c>
      <c r="AU502" s="72" t="n">
        <v>67.73999999999999</v>
      </c>
      <c r="AV502" s="72" t="n"/>
      <c r="AW502" s="72" t="n">
        <v>64.44</v>
      </c>
      <c r="AX502" s="72" t="n">
        <v>7.15</v>
      </c>
      <c r="AY502" s="72" t="n">
        <v>2.03</v>
      </c>
      <c r="AZ502" s="63" t="inlineStr">
        <is>
          <t>HSTECH (Hang Seng TECH ETF)</t>
        </is>
      </c>
      <c r="BA502" s="72" t="n">
        <v>27.45</v>
      </c>
      <c r="BB502" s="64" t="inlineStr">
        <is>
          <t>2026-08-31</t>
        </is>
      </c>
      <c r="BC502" s="65" t="n">
        <v>342.3</v>
      </c>
      <c r="BD502" s="68" t="n">
        <v>-260.8</v>
      </c>
      <c r="BE502" s="63" t="inlineStr">
        <is>
          <t>N</t>
        </is>
      </c>
      <c r="BF502" s="63" t="inlineStr">
        <is>
          <t>n/m</t>
        </is>
      </c>
      <c r="BG502" s="74" t="n"/>
      <c r="BH502" s="74" t="n"/>
      <c r="BI502" s="74" t="n">
        <v>28.1</v>
      </c>
      <c r="BJ502" s="75">
        <f>IF('BBG Verify'!S502="","not filed — run on terminal",'BBG Verify'!S502)</f>
        <v/>
      </c>
      <c r="BK502" s="76" t="inlineStr">
        <is>
          <t>N</t>
        </is>
      </c>
      <c r="BL502" s="77">
        <f>IF('BBG Verify'!K502="","not filed — run on terminal",'BBG Verify'!K502)</f>
        <v/>
      </c>
      <c r="BM502" s="63" t="inlineStr">
        <is>
          <t>N/A</t>
        </is>
      </c>
      <c r="BN502" s="63" t="inlineStr">
        <is>
          <t>N/A</t>
        </is>
      </c>
      <c r="BO502" s="63" t="inlineStr">
        <is>
          <t>N/A</t>
        </is>
      </c>
      <c r="BP502" s="63" t="inlineStr">
        <is>
          <t>N/A</t>
        </is>
      </c>
      <c r="BQ502" s="63" t="inlineStr">
        <is>
          <t>N/A</t>
        </is>
      </c>
      <c r="BR502" s="63" t="inlineStr">
        <is>
          <t>N/A</t>
        </is>
      </c>
      <c r="BS502" s="76" t="inlineStr">
        <is>
          <t>Sinolink Securities (Hong Kong) Company Limited; BOCI Asia Limited</t>
        </is>
      </c>
      <c r="BT502" s="63" t="inlineStr">
        <is>
          <t>BOCI Asia Limited; Sinolink Securities (Hong Kong) Company Limited</t>
        </is>
      </c>
      <c r="BU502" s="63" t="inlineStr">
        <is>
          <t>Fortune (HK) Securities Limited; Futu Securities International (Hong Kong) Limited; Guosen Securities (HK) Capital Company Limited; Patrons Securities Limited; Tiger Brokers (HK) Global Limited; TradeGo Markets Limited; Yue Xiu Securities Company Limited</t>
        </is>
      </c>
      <c r="BV502" s="63" t="inlineStr">
        <is>
          <t>BOCI Asia Limited; Fortune (HK) Securities Limited; Futu Securities International (Hong Kong) Limited; Guosen Securities (HK) Capital Company Limited; Patrons Securities Limited; Sinolink Securities (Hong Kong) Company Limited; Tiger Brokers (HK) Global Limited; TradeGo Markets Limited; Yue Xiu Securities Company Limited</t>
        </is>
      </c>
      <c r="BW502" s="78">
        <f>HYPERLINK("https://www1.hkexnews.hk/listedco/listconews/sehk/2026/0629/2026062900049.pdf","prospectus")</f>
        <v/>
      </c>
      <c r="BX502" s="78">
        <f>HYPERLINK("https://www1.hkexnews.hk/listedco/listconews/sehk/2026/0707/2026070701913.pdf","allotment")</f>
        <v/>
      </c>
      <c r="BY502" s="78">
        <f>HYPERLINK("https://www1.hkexnews.hk/listedco/listconews/sehk/2026/0803/2026080300057.pdf","stabilisation")</f>
        <v/>
      </c>
      <c r="BZ502" s="76" t="n"/>
      <c r="CA502" s="63" t="inlineStr">
        <is>
          <t>P/E: n/m — loss-making at IPO (use P/S) · greenshoe: over-allotment outcome already published, and the allotment announcement does not state the stabilisation expiry in a parsable form — the expiry no longer matters once resolved · range low: cap-only pricing — the filing publishes a Maximum Offer Price and no indicative floor · A/H: no A-share listing · 3m: listed less than 3m ago · cornerstone list: cornerstone section not machine-extractable — see the prospectus link · cornerstone %: cornerstone aggregate not stated in the filing · grey market: no grey-market headline on file for this deal — AAStocks publishes one per listing but keeps only recent items on the stock's news page, and no public archive of past evening sessions exists; captured from this run onward · alpha/index: 3m alpha needs the 3m return first — window has not elapsed yet</t>
        </is>
      </c>
    </row>
    <row r="503" ht="15" customHeight="1">
      <c r="A503" s="62" t="inlineStr">
        <is>
          <t>6880</t>
        </is>
      </c>
      <c r="B503" s="63" t="inlineStr">
        <is>
          <t>MOMENTA-W</t>
        </is>
      </c>
      <c r="C503" s="63" t="inlineStr">
        <is>
          <t>MOMENTA-W</t>
        </is>
      </c>
      <c r="D503" s="63" t="inlineStr">
        <is>
          <t>Tech/AI</t>
        </is>
      </c>
      <c r="E503" s="63" t="inlineStr">
        <is>
          <t>Robotics &amp; autonomous driving</t>
        </is>
      </c>
      <c r="F503" s="63" t="inlineStr">
        <is>
          <t>Advanced hardware and software</t>
        </is>
      </c>
      <c r="G503" s="63" t="inlineStr">
        <is>
          <t>WVR</t>
        </is>
      </c>
      <c r="H503" s="64" t="n">
        <v>46211</v>
      </c>
      <c r="I503" s="65" t="n">
        <v>5893.8</v>
      </c>
      <c r="J503" s="63" t="inlineStr">
        <is>
          <t>gross (stated)</t>
        </is>
      </c>
      <c r="K503" s="66" t="n"/>
      <c r="L503" s="66" t="n">
        <v>295.6</v>
      </c>
      <c r="M503" s="66" t="n">
        <v>295.6</v>
      </c>
      <c r="N503" s="63" t="inlineStr">
        <is>
          <t>Y</t>
        </is>
      </c>
      <c r="O503" s="67" t="n">
        <v>100</v>
      </c>
      <c r="P503" s="67" t="n"/>
      <c r="Q503" s="68" t="n">
        <v>69600</v>
      </c>
      <c r="R503" s="63" t="inlineStr">
        <is>
          <t>press:xueqiu/sina 2026-07-08: IPO市值约696亿 ≈ US$9bn</t>
        </is>
      </c>
      <c r="S503" s="69" t="n">
        <v>413.63</v>
      </c>
      <c r="T503" s="70" t="n">
        <v>20.31</v>
      </c>
      <c r="U503" s="71" t="n">
        <v>49.95</v>
      </c>
      <c r="V503" s="68" t="n">
        <v>2949.85</v>
      </c>
      <c r="W503" s="68" t="n">
        <v>9979119</v>
      </c>
      <c r="X503" s="67" t="n">
        <v>4.24</v>
      </c>
      <c r="Y503" s="63" t="inlineStr">
        <is>
          <t>BlackRock, Inc; Boyu Group, LLC; China Asset Management (Hong Kong) Limited; CPIC Investment Management (H.K.) Company Limited; FIL Investment Management (Hong Kong) Limited; GF Fund Management Co., Ltd; GIC Private Limited; GigaDevice Semiconductor (HK) Limited; Golden Link Worldwide Limited; Mercedes-Benz AG; Oaktree Capital Management, L.P; Suzhou Mosu Technology Co., Ltd; Templeton Asset Management Ltd</t>
        </is>
      </c>
      <c r="Z503" s="63" t="inlineStr">
        <is>
          <t>blackrock;boyu;china-asset;cpic;fil;gf;gic;gigadevice;golden-link;mercedes;oaktree;suzhou;templeton</t>
        </is>
      </c>
      <c r="AA503" s="67" t="n">
        <v>15</v>
      </c>
      <c r="AB503" s="72" t="n">
        <v>-0.3</v>
      </c>
      <c r="AC503" s="66" t="n">
        <v>294.6</v>
      </c>
      <c r="AD503" s="72" t="n">
        <v>0.3</v>
      </c>
      <c r="AE503" s="63" t="inlineStr">
        <is>
          <t>Y</t>
        </is>
      </c>
      <c r="AF503" s="63" t="inlineStr">
        <is>
          <t>2026-07-08</t>
        </is>
      </c>
      <c r="AG503" s="63" t="n"/>
      <c r="AH503" s="63" t="inlineStr">
        <is>
          <t>2026-08-02</t>
        </is>
      </c>
      <c r="AI503" s="63" t="inlineStr">
        <is>
          <t>China International Capital Corporation Hong Kong Securities Limited</t>
        </is>
      </c>
      <c r="AJ503" s="63" t="inlineStr">
        <is>
          <t>China International</t>
        </is>
      </c>
      <c r="AK503" s="73" t="n">
        <v>0</v>
      </c>
      <c r="AL503" s="72" t="n">
        <v>1.83</v>
      </c>
      <c r="AM503" s="72" t="n">
        <v>-1.8</v>
      </c>
      <c r="AN503" s="72" t="n">
        <v>0.27</v>
      </c>
      <c r="AO503" s="72" t="n">
        <v>-10.08</v>
      </c>
      <c r="AP503" s="72" t="n"/>
      <c r="AQ503" s="72" t="n">
        <v>0.27</v>
      </c>
      <c r="AR503" s="72" t="n">
        <v>-10.08</v>
      </c>
      <c r="AS503" s="72" t="n"/>
      <c r="AT503" s="72" t="n">
        <v>-4.94</v>
      </c>
      <c r="AU503" s="72" t="n">
        <v>-17.23</v>
      </c>
      <c r="AV503" s="72" t="n"/>
      <c r="AW503" s="72" t="n">
        <v>-12.11</v>
      </c>
      <c r="AX503" s="72" t="n">
        <v>7.15</v>
      </c>
      <c r="AY503" s="72" t="n">
        <v>2.03</v>
      </c>
      <c r="AZ503" s="63" t="inlineStr">
        <is>
          <t>HSTECH (Hang Seng TECH ETF)</t>
        </is>
      </c>
      <c r="BA503" s="72" t="n">
        <v>-12.72</v>
      </c>
      <c r="BB503" s="64" t="inlineStr">
        <is>
          <t>2026-08-31</t>
        </is>
      </c>
      <c r="BC503" s="65" t="n">
        <v>2653.8</v>
      </c>
      <c r="BD503" s="68" t="n">
        <v>-3803.7</v>
      </c>
      <c r="BE503" s="63" t="inlineStr">
        <is>
          <t>N</t>
        </is>
      </c>
      <c r="BF503" s="63" t="inlineStr">
        <is>
          <t>n/m</t>
        </is>
      </c>
      <c r="BG503" s="74" t="n"/>
      <c r="BH503" s="74" t="n"/>
      <c r="BI503" s="74" t="n">
        <v>26.2</v>
      </c>
      <c r="BJ503" s="75">
        <f>IF('BBG Verify'!S503="","not filed — run on terminal",'BBG Verify'!S503)</f>
        <v/>
      </c>
      <c r="BK503" s="76" t="inlineStr">
        <is>
          <t>N</t>
        </is>
      </c>
      <c r="BL503" s="77">
        <f>IF('BBG Verify'!K503="","not filed — run on terminal",'BBG Verify'!K503)</f>
        <v/>
      </c>
      <c r="BM503" s="63" t="inlineStr">
        <is>
          <t>N/A</t>
        </is>
      </c>
      <c r="BN503" s="63" t="inlineStr">
        <is>
          <t>N/A</t>
        </is>
      </c>
      <c r="BO503" s="63" t="inlineStr">
        <is>
          <t>N/A</t>
        </is>
      </c>
      <c r="BP503" s="63" t="inlineStr">
        <is>
          <t>N/A</t>
        </is>
      </c>
      <c r="BQ503" s="63" t="inlineStr">
        <is>
          <t>N/A</t>
        </is>
      </c>
      <c r="BR503" s="63" t="inlineStr">
        <is>
          <t>N/A</t>
        </is>
      </c>
      <c r="BS503" s="76" t="inlineStr">
        <is>
          <t>CICC; Deutsche Bank</t>
        </is>
      </c>
      <c r="BT503" s="63" t="inlineStr">
        <is>
          <t>China International Capital Corporation Hong Kong Securities Limited; Deutsche Securities Asia Limited</t>
        </is>
      </c>
      <c r="BU503" s="63" t="inlineStr">
        <is>
          <t>China International Capital Corporation Hong Kong Securities Limited; Deutsche Bank AG, Hong Kong Branch; Futu Securities International (Hong Kong) Limited; J.P. Morgan Securities (Asia Pacific) Limited; Tiger Brokers (HK) Global Limited</t>
        </is>
      </c>
      <c r="BV503" s="63" t="inlineStr">
        <is>
          <t>China International Capital Corporation Hong Kong Securities Limited; Deutsche Bank AG, Hong Kong Branch; Futu Securities International (Hong Kong) Limited; J.P. Morgan Securities (Asia Pacific) Limited; Tiger Brokers (HK) Global Limited</t>
        </is>
      </c>
      <c r="BW503" s="63" t="n"/>
      <c r="BX503" s="78">
        <f>HYPERLINK("https://www1.hkexnews.hk/listedco/listconews/sehk/2026/0707/2026070701963.pdf","allotment")</f>
        <v/>
      </c>
      <c r="BY503" s="63" t="n"/>
      <c r="BZ503" s="76" t="n"/>
      <c r="CA503" s="63" t="inlineStr">
        <is>
          <t>P/E: n/m — loss-making at IPO (use P/S) · greenshoe: end-of-stabilisation notice not located · price range: fixed-price offering (no indicative range) · range low: cap-only pricing — the filing publishes a Maximum Offer Price and no indicative floor · A/H: no A-share listing · 3m: listed less than 3m ago · filing links: no prospectus document returned by the HKEX per-stock search for this code — the allotment announcement is linked beside it · alpha/index: 3m alpha needs the 3m return first — window has not elapsed yet</t>
        </is>
      </c>
    </row>
    <row r="504" ht="15" customHeight="1">
      <c r="A504" s="62" t="inlineStr">
        <is>
          <t>7687</t>
        </is>
      </c>
      <c r="B504" s="63" t="inlineStr">
        <is>
          <t>EACON</t>
        </is>
      </c>
      <c r="C504" s="63" t="inlineStr">
        <is>
          <t>易控智駕</t>
        </is>
      </c>
      <c r="D504" s="63" t="inlineStr">
        <is>
          <t>Tech/AI</t>
        </is>
      </c>
      <c r="E504" s="63" t="inlineStr">
        <is>
          <t>Robotics &amp; autonomous driving</t>
        </is>
      </c>
      <c r="F504" s="63" t="inlineStr">
        <is>
          <t>Advanced hardware and software</t>
        </is>
      </c>
      <c r="G504" s="63" t="inlineStr">
        <is>
          <t>Standard</t>
        </is>
      </c>
      <c r="H504" s="64" t="n">
        <v>46211</v>
      </c>
      <c r="I504" s="65" t="n">
        <v>2297.53</v>
      </c>
      <c r="J504" s="63" t="inlineStr">
        <is>
          <t>gross (stated)</t>
        </is>
      </c>
      <c r="K504" s="66" t="n">
        <v>81.16</v>
      </c>
      <c r="L504" s="66" t="n">
        <v>87.92</v>
      </c>
      <c r="M504" s="66" t="n">
        <v>87.92</v>
      </c>
      <c r="N504" s="63" t="inlineStr">
        <is>
          <t>Y</t>
        </is>
      </c>
      <c r="O504" s="67" t="n">
        <v>100</v>
      </c>
      <c r="P504" s="67" t="n">
        <v>100</v>
      </c>
      <c r="Q504" s="68" t="n">
        <v>11603.7</v>
      </c>
      <c r="R504" s="63" t="inlineStr">
        <is>
          <t>derived:deal size / offer % of enlarged capital</t>
        </is>
      </c>
      <c r="S504" s="69" t="n">
        <v>157.82</v>
      </c>
      <c r="T504" s="70" t="n">
        <v>10.5</v>
      </c>
      <c r="U504" s="71" t="n">
        <v>49.79</v>
      </c>
      <c r="V504" s="68" t="n">
        <v>1153.59</v>
      </c>
      <c r="W504" s="68" t="n">
        <v>13120877</v>
      </c>
      <c r="X504" s="67" t="n">
        <v>9.94</v>
      </c>
      <c r="Y504" s="63" t="inlineStr">
        <is>
          <t>Aurora SF; Baring Asset Management (Asia) Limited; CDH Golden River, L.P; FIL Investment Management (Hong Kong) Limited; GF Fund Management Co., Ltd; Indus Select Master Fund, Ltd. and Vitruvius SICAV-Asian Equity; Jain Global Master Fund Ltd; JPMorgan Asset Management (Asia Pacific) Limited; Regal Partners Holdings Pty Limited; Seven Grand Managers, LLC; ZIJINNING Limited Partnership</t>
        </is>
      </c>
      <c r="Z504" s="63" t="inlineStr">
        <is>
          <t>aurora;baring;cdh;fil;gf;indus;jain;jpmorgan;regal;seven;zijinning</t>
        </is>
      </c>
      <c r="AA504" s="67" t="n">
        <v>6.2</v>
      </c>
      <c r="AB504" s="72" t="n">
        <v>4.1</v>
      </c>
      <c r="AC504" s="66" t="n">
        <v>91.5</v>
      </c>
      <c r="AD504" s="72" t="n">
        <v>5.66</v>
      </c>
      <c r="AE504" s="63" t="inlineStr">
        <is>
          <t>Y</t>
        </is>
      </c>
      <c r="AF504" s="63" t="inlineStr">
        <is>
          <t>2026-07-08</t>
        </is>
      </c>
      <c r="AG504" s="63" t="inlineStr">
        <is>
          <t>partial</t>
        </is>
      </c>
      <c r="AH504" s="63" t="inlineStr">
        <is>
          <t>2026-08-02</t>
        </is>
      </c>
      <c r="AI504" s="63" t="inlineStr">
        <is>
          <t>Haitong International Securities Company Limited</t>
        </is>
      </c>
      <c r="AJ504" s="63" t="inlineStr">
        <is>
          <t>Haitong</t>
        </is>
      </c>
      <c r="AK504" s="73" t="n">
        <v>9.99</v>
      </c>
      <c r="AL504" s="72" t="n">
        <v>3.5</v>
      </c>
      <c r="AM504" s="72" t="n">
        <v>6.27</v>
      </c>
      <c r="AN504" s="72" t="n">
        <v>2.59</v>
      </c>
      <c r="AO504" s="72" t="n">
        <v>-5.6</v>
      </c>
      <c r="AP504" s="72" t="n"/>
      <c r="AQ504" s="72" t="n">
        <v>-6.73</v>
      </c>
      <c r="AR504" s="72" t="n">
        <v>-14.17</v>
      </c>
      <c r="AS504" s="72" t="n"/>
      <c r="AT504" s="72" t="n">
        <v>-2.62</v>
      </c>
      <c r="AU504" s="72" t="n">
        <v>-12.75</v>
      </c>
      <c r="AV504" s="72" t="n"/>
      <c r="AW504" s="72" t="n">
        <v>-16.2</v>
      </c>
      <c r="AX504" s="72" t="n">
        <v>7.15</v>
      </c>
      <c r="AY504" s="72" t="n">
        <v>2.03</v>
      </c>
      <c r="AZ504" s="63" t="inlineStr">
        <is>
          <t>HSTECH (Hang Seng TECH ETF)</t>
        </is>
      </c>
      <c r="BA504" s="72" t="n">
        <v>-13.96</v>
      </c>
      <c r="BB504" s="64" t="inlineStr">
        <is>
          <t>2026-08-31</t>
        </is>
      </c>
      <c r="BC504" s="65" t="n">
        <v>1578.8</v>
      </c>
      <c r="BD504" s="68" t="n">
        <v>-567.1</v>
      </c>
      <c r="BE504" s="63" t="inlineStr">
        <is>
          <t>N</t>
        </is>
      </c>
      <c r="BF504" s="63" t="inlineStr">
        <is>
          <t>n/m</t>
        </is>
      </c>
      <c r="BG504" s="74" t="n"/>
      <c r="BH504" s="74" t="n"/>
      <c r="BI504" s="74" t="n">
        <v>7.3</v>
      </c>
      <c r="BJ504" s="75">
        <f>IF('BBG Verify'!S504="","not filed — run on terminal",'BBG Verify'!S504)</f>
        <v/>
      </c>
      <c r="BK504" s="76" t="inlineStr">
        <is>
          <t>N</t>
        </is>
      </c>
      <c r="BL504" s="77">
        <f>IF('BBG Verify'!K504="","not filed — run on terminal",'BBG Verify'!K504)</f>
        <v/>
      </c>
      <c r="BM504" s="63" t="inlineStr">
        <is>
          <t>N/A</t>
        </is>
      </c>
      <c r="BN504" s="63" t="inlineStr">
        <is>
          <t>N/A</t>
        </is>
      </c>
      <c r="BO504" s="63" t="inlineStr">
        <is>
          <t>N/A</t>
        </is>
      </c>
      <c r="BP504" s="63" t="inlineStr">
        <is>
          <t>N/A</t>
        </is>
      </c>
      <c r="BQ504" s="63" t="inlineStr">
        <is>
          <t>N/A</t>
        </is>
      </c>
      <c r="BR504" s="63" t="inlineStr">
        <is>
          <t>N/A</t>
        </is>
      </c>
      <c r="BS504" s="76" t="inlineStr">
        <is>
          <t>Haitong International Capital Limited</t>
        </is>
      </c>
      <c r="BT504" s="63" t="inlineStr">
        <is>
          <t>Haitong International Capital Limited</t>
        </is>
      </c>
      <c r="BU504" s="63" t="inlineStr">
        <is>
          <t>Haitong International Securities Company Limited; Macquarie Capital Limited; CLSA Limited; CMB International Capital Limited; China Industrial Securities International Capital Limited; Mizuho Securities Asia Limited; Futu Securities International (Hong Kong) Limited; Tiger Brokers (HK) Global Limited</t>
        </is>
      </c>
      <c r="BV504" s="63" t="inlineStr">
        <is>
          <t>China Industrial Securities International Capital Limited; CLSA Limited; CMB International Capital Limited; Futu Securities International (Hong Kong) Limited; Haitong International Securities Company Limited; Macquarie Capital Limited; Mizuho Securities Asia Limited; Tiger Brokers (HK) Global Limited</t>
        </is>
      </c>
      <c r="BW504" s="78">
        <f>HYPERLINK("https://www1.hkexnews.hk/listedco/listconews/sehk/2026/0629/2026062900135.pdf","prospectus")</f>
        <v/>
      </c>
      <c r="BX504" s="78">
        <f>HYPERLINK("https://www1.hkexnews.hk/listedco/listconews/sehk/2026/0707/2026070702043.pdf","allotment")</f>
        <v/>
      </c>
      <c r="BY504" s="78">
        <f>HYPERLINK("https://www1.hkexnews.hk/listedco/listconews/sehk/2026/0802/2026080200017.pdf","stabilisation")</f>
        <v/>
      </c>
      <c r="BZ504" s="76" t="n"/>
      <c r="CA504" s="63" t="inlineStr">
        <is>
          <t>P/E: n/m — loss-making at IPO (use P/S) · A/H: no A-share listing · 3m: listed less than 3m ago · alpha/index: 3m alpha needs the 3m return first — window has not elapsed yet</t>
        </is>
      </c>
    </row>
    <row r="505" ht="15" customHeight="1">
      <c r="A505" s="62" t="inlineStr">
        <is>
          <t>2797</t>
        </is>
      </c>
      <c r="B505" s="63" t="inlineStr">
        <is>
          <t>QIYUNSHAN FOOD</t>
        </is>
      </c>
      <c r="C505" s="63" t="inlineStr">
        <is>
          <t>齊雲山食品</t>
        </is>
      </c>
      <c r="D505" s="63" t="inlineStr">
        <is>
          <t>Consumer</t>
        </is>
      </c>
      <c r="E505" s="63" t="inlineStr">
        <is>
          <t>Beverages / packaged food</t>
        </is>
      </c>
      <c r="F505" s="63" t="inlineStr">
        <is>
          <t>Packaged Foods</t>
        </is>
      </c>
      <c r="G505" s="63" t="inlineStr">
        <is>
          <t>Standard</t>
        </is>
      </c>
      <c r="H505" s="64" t="n">
        <v>46212</v>
      </c>
      <c r="I505" s="65" t="n">
        <v>200</v>
      </c>
      <c r="J505" s="63" t="inlineStr">
        <is>
          <t>gross (stated)</t>
        </is>
      </c>
      <c r="K505" s="66" t="n">
        <v>5</v>
      </c>
      <c r="L505" s="66" t="n">
        <v>8</v>
      </c>
      <c r="M505" s="66" t="n">
        <v>8</v>
      </c>
      <c r="N505" s="63" t="inlineStr">
        <is>
          <t>Y</t>
        </is>
      </c>
      <c r="O505" s="67" t="n">
        <v>100</v>
      </c>
      <c r="P505" s="67" t="n">
        <v>100</v>
      </c>
      <c r="Q505" s="68" t="n">
        <v>800</v>
      </c>
      <c r="R505" s="63" t="inlineStr">
        <is>
          <t>derived:price x shares upon listing</t>
        </is>
      </c>
      <c r="S505" s="69" t="n">
        <v>1688.1</v>
      </c>
      <c r="T505" s="70" t="n">
        <v>1.51</v>
      </c>
      <c r="U505" s="71" t="n">
        <v>0</v>
      </c>
      <c r="V505" s="68" t="n">
        <v>200</v>
      </c>
      <c r="W505" s="68" t="n">
        <v>25000000</v>
      </c>
      <c r="X505" s="67" t="n">
        <v>25</v>
      </c>
      <c r="Y505" s="63" t="n"/>
      <c r="Z505" s="63" t="n"/>
      <c r="AA505" s="67" t="n">
        <v>15</v>
      </c>
      <c r="AB505" s="72" t="n">
        <v>93.8</v>
      </c>
      <c r="AC505" s="66" t="n">
        <v>15.5</v>
      </c>
      <c r="AD505" s="72" t="n">
        <v>35.45</v>
      </c>
      <c r="AE505" s="63" t="inlineStr">
        <is>
          <t>Y</t>
        </is>
      </c>
      <c r="AF505" s="63" t="inlineStr">
        <is>
          <t>2026-07-08</t>
        </is>
      </c>
      <c r="AG505" s="63" t="inlineStr">
        <is>
          <t>lapsed (no over-allocation)</t>
        </is>
      </c>
      <c r="AH505" s="63" t="n"/>
      <c r="AI505" s="63" t="inlineStr">
        <is>
          <t>Zhongtai Intern ational Securities Limited</t>
        </is>
      </c>
      <c r="AJ505" s="63" t="inlineStr">
        <is>
          <t>Zhongtai Intern</t>
        </is>
      </c>
      <c r="AK505" s="73" t="n">
        <v>162.5</v>
      </c>
      <c r="AL505" s="72" t="n">
        <v>100</v>
      </c>
      <c r="AM505" s="72" t="n">
        <v>31.25</v>
      </c>
      <c r="AN505" s="72" t="n">
        <v>267.5</v>
      </c>
      <c r="AO505" s="72" t="n">
        <v>1146.88</v>
      </c>
      <c r="AP505" s="72" t="n"/>
      <c r="AQ505" s="72" t="n">
        <v>40</v>
      </c>
      <c r="AR505" s="72" t="n">
        <v>375</v>
      </c>
      <c r="AS505" s="72" t="n"/>
      <c r="AT505" s="72" t="n">
        <v>263.44</v>
      </c>
      <c r="AU505" s="72" t="n">
        <v>1140.07</v>
      </c>
      <c r="AV505" s="72" t="n"/>
      <c r="AW505" s="72" t="n">
        <v>367.59</v>
      </c>
      <c r="AX505" s="72" t="n">
        <v>6.81</v>
      </c>
      <c r="AY505" s="72" t="n">
        <v>7.41</v>
      </c>
      <c r="AZ505" s="63" t="inlineStr">
        <is>
          <t>Hang Seng Commerce &amp; Industry sub-index</t>
        </is>
      </c>
      <c r="BA505" s="72" t="n">
        <v>1075.62</v>
      </c>
      <c r="BB505" s="64" t="inlineStr">
        <is>
          <t>2026-08-31</t>
        </is>
      </c>
      <c r="BC505" s="65" t="n">
        <v>345.1</v>
      </c>
      <c r="BD505" s="68" t="n">
        <v>53.8</v>
      </c>
      <c r="BE505" s="63" t="inlineStr">
        <is>
          <t>Y</t>
        </is>
      </c>
      <c r="BF505" s="74" t="n">
        <v>14.9</v>
      </c>
      <c r="BG505" s="74" t="n"/>
      <c r="BH505" s="74" t="n"/>
      <c r="BI505" s="74" t="n">
        <v>2.3</v>
      </c>
      <c r="BJ505" s="75">
        <f>IF('BBG Verify'!S505="","not filed — run on terminal",'BBG Verify'!S505)</f>
        <v/>
      </c>
      <c r="BK505" s="76" t="inlineStr">
        <is>
          <t>N</t>
        </is>
      </c>
      <c r="BL505" s="77">
        <f>IF('BBG Verify'!K505="","not filed — run on terminal",'BBG Verify'!K505)</f>
        <v/>
      </c>
      <c r="BM505" s="63" t="inlineStr">
        <is>
          <t>N/A</t>
        </is>
      </c>
      <c r="BN505" s="63" t="inlineStr">
        <is>
          <t>N/A</t>
        </is>
      </c>
      <c r="BO505" s="63" t="inlineStr">
        <is>
          <t>N/A</t>
        </is>
      </c>
      <c r="BP505" s="63" t="inlineStr">
        <is>
          <t>N/A</t>
        </is>
      </c>
      <c r="BQ505" s="63" t="inlineStr">
        <is>
          <t>N/A</t>
        </is>
      </c>
      <c r="BR505" s="63" t="inlineStr">
        <is>
          <t>N/A</t>
        </is>
      </c>
      <c r="BS505" s="76" t="inlineStr">
        <is>
          <t>Zhongtai Inte rnational Capital Limited</t>
        </is>
      </c>
      <c r="BT505" s="63" t="inlineStr">
        <is>
          <t>Zhongtai International Capital Limited</t>
        </is>
      </c>
      <c r="BU505" s="63" t="inlineStr">
        <is>
          <t>CCB International Capital Limited; ABCI Capital Limited</t>
        </is>
      </c>
      <c r="BV505" s="63" t="inlineStr">
        <is>
          <t>ABCI Securities Company Limited; CCB International Capital Limited; CMBC Securities Company Limited; Eddid Securities and Futures Limited; First Shanghai Securities Limited; Futu Securities International (Hong Kong) Limited; Get Nice Securities Limited; Ping An Securities (Hong Kong) Company Limited; South China Securities Limited; Shenwan Hongyuan Securities (H.K.) Limited; SPDB International Capital Limited; Shanxi Securities International Limited</t>
        </is>
      </c>
      <c r="BW505" s="78">
        <f>HYPERLINK("https://www1.hkexnews.hk/listedco/listconews/sehk/2026/0630/2026063000055.pdf","prospectus")</f>
        <v/>
      </c>
      <c r="BX505" s="78">
        <f>HYPERLINK("https://www1.hkexnews.hk/listedco/listconews/sehk/2026/0708/2026070801132.pdf","allotment")</f>
        <v/>
      </c>
      <c r="BY505" s="78">
        <f>HYPERLINK("https://www1.hkexnews.hk/listedco/listconews/sehk/2026/0805/2026080501400.pdf","stabilisation")</f>
        <v/>
      </c>
      <c r="BZ505" s="76" t="n"/>
      <c r="CA505" s="63" t="inlineStr">
        <is>
          <t>greenshoe: over-allotment outcome already published, and the allotment announcement does not state the stabilisation expiry in a parsable form — the expiry no longer matters once resolved · A/H: no A-share listing · 3m: listed less than 3m ago · cornerstone list: no cornerstone tranche in this deal · alpha/index: 3m alpha needs the 3m return first — window has not elapsed yet</t>
        </is>
      </c>
    </row>
    <row r="506" ht="15" customHeight="1">
      <c r="A506" s="62" t="inlineStr">
        <is>
          <t>1770</t>
        </is>
      </c>
      <c r="B506" s="63" t="inlineStr">
        <is>
          <t>DKE</t>
        </is>
      </c>
      <c r="C506" s="63" t="inlineStr">
        <is>
          <t>東方科脈</t>
        </is>
      </c>
      <c r="D506" s="63" t="inlineStr">
        <is>
          <t>Tech/AI</t>
        </is>
      </c>
      <c r="E506" s="63" t="inlineStr">
        <is>
          <t>Smart hardware / consumer electronics</t>
        </is>
      </c>
      <c r="F506" s="63" t="inlineStr">
        <is>
          <t>Electrical Components &amp; Equipment</t>
        </is>
      </c>
      <c r="G506" s="63" t="inlineStr">
        <is>
          <t>Standard</t>
        </is>
      </c>
      <c r="H506" s="64" t="n">
        <v>46212</v>
      </c>
      <c r="I506" s="65" t="n">
        <v>402.53</v>
      </c>
      <c r="J506" s="63" t="inlineStr">
        <is>
          <t>gross (stated)</t>
        </is>
      </c>
      <c r="K506" s="66" t="n"/>
      <c r="L506" s="66" t="n">
        <v>101.11</v>
      </c>
      <c r="M506" s="66" t="n">
        <v>78.64</v>
      </c>
      <c r="N506" s="63" t="inlineStr">
        <is>
          <t>N</t>
        </is>
      </c>
      <c r="O506" s="67" t="n">
        <v>77.8</v>
      </c>
      <c r="P506" s="67" t="n"/>
      <c r="Q506" s="68" t="n">
        <v>4025.2</v>
      </c>
      <c r="R506" s="63" t="inlineStr">
        <is>
          <t>derived:price x shares upon listing</t>
        </is>
      </c>
      <c r="S506" s="69" t="n">
        <v>1067.54</v>
      </c>
      <c r="T506" s="70" t="n">
        <v>3.69</v>
      </c>
      <c r="U506" s="71" t="n">
        <v>0</v>
      </c>
      <c r="V506" s="68" t="n">
        <v>402.53</v>
      </c>
      <c r="W506" s="68" t="n">
        <v>5118600</v>
      </c>
      <c r="X506" s="67" t="n">
        <v>10</v>
      </c>
      <c r="Y506" s="63" t="n"/>
      <c r="Z506" s="63" t="n"/>
      <c r="AA506" s="67" t="n">
        <v>10</v>
      </c>
      <c r="AB506" s="72" t="n">
        <v>3.4</v>
      </c>
      <c r="AC506" s="66" t="n">
        <v>81.3</v>
      </c>
      <c r="AD506" s="72" t="n">
        <v>-1.62</v>
      </c>
      <c r="AE506" s="63" t="inlineStr">
        <is>
          <t>Y</t>
        </is>
      </c>
      <c r="AF506" s="63" t="inlineStr">
        <is>
          <t>2026-07-08</t>
        </is>
      </c>
      <c r="AG506" s="63" t="inlineStr">
        <is>
          <t>lapsed (no over-allocation)</t>
        </is>
      </c>
      <c r="AH506" s="63" t="n"/>
      <c r="AI506" s="63" t="inlineStr">
        <is>
          <t>CLSA Limited</t>
        </is>
      </c>
      <c r="AJ506" s="63" t="inlineStr">
        <is>
          <t>CLSA</t>
        </is>
      </c>
      <c r="AK506" s="73" t="n">
        <v>1.73</v>
      </c>
      <c r="AL506" s="72" t="n">
        <v>-1.89</v>
      </c>
      <c r="AM506" s="72" t="n">
        <v>3.69</v>
      </c>
      <c r="AN506" s="72" t="n">
        <v>-1.2</v>
      </c>
      <c r="AO506" s="72" t="n">
        <v>42.42</v>
      </c>
      <c r="AP506" s="72" t="n"/>
      <c r="AQ506" s="72" t="n">
        <v>-2.88</v>
      </c>
      <c r="AR506" s="72" t="n">
        <v>40</v>
      </c>
      <c r="AS506" s="72" t="n"/>
      <c r="AT506" s="72" t="n">
        <v>-3.53</v>
      </c>
      <c r="AU506" s="72" t="n">
        <v>39.7</v>
      </c>
      <c r="AV506" s="72" t="n"/>
      <c r="AW506" s="72" t="n">
        <v>37.28</v>
      </c>
      <c r="AX506" s="72" t="n">
        <v>2.72</v>
      </c>
      <c r="AY506" s="72" t="n">
        <v>2.72</v>
      </c>
      <c r="AZ506" s="63" t="inlineStr">
        <is>
          <t>HSTECH (Hang Seng TECH ETF)</t>
        </is>
      </c>
      <c r="BA506" s="72" t="n">
        <v>-13.28</v>
      </c>
      <c r="BB506" s="64" t="inlineStr">
        <is>
          <t>2026-08-31</t>
        </is>
      </c>
      <c r="BC506" s="65" t="n">
        <v>571.6</v>
      </c>
      <c r="BD506" s="68" t="n">
        <v>88.3</v>
      </c>
      <c r="BE506" s="63" t="inlineStr">
        <is>
          <t>Y</t>
        </is>
      </c>
      <c r="BF506" s="74" t="n">
        <v>45.6</v>
      </c>
      <c r="BG506" s="74" t="n"/>
      <c r="BH506" s="74" t="n"/>
      <c r="BI506" s="74" t="n">
        <v>7</v>
      </c>
      <c r="BJ506" s="75">
        <f>IF('BBG Verify'!S506="","not filed — run on terminal",'BBG Verify'!S506)</f>
        <v/>
      </c>
      <c r="BK506" s="76" t="inlineStr">
        <is>
          <t>N</t>
        </is>
      </c>
      <c r="BL506" s="77">
        <f>IF('BBG Verify'!K506="","not filed — run on terminal",'BBG Verify'!K506)</f>
        <v/>
      </c>
      <c r="BM506" s="63" t="inlineStr">
        <is>
          <t>N/A</t>
        </is>
      </c>
      <c r="BN506" s="63" t="inlineStr">
        <is>
          <t>N/A</t>
        </is>
      </c>
      <c r="BO506" s="63" t="inlineStr">
        <is>
          <t>N/A</t>
        </is>
      </c>
      <c r="BP506" s="63" t="inlineStr">
        <is>
          <t>N/A</t>
        </is>
      </c>
      <c r="BQ506" s="63" t="inlineStr">
        <is>
          <t>N/A</t>
        </is>
      </c>
      <c r="BR506" s="63" t="inlineStr">
        <is>
          <t>N/A</t>
        </is>
      </c>
      <c r="BS506" s="76" t="inlineStr">
        <is>
          <t>CITIC Securities (Hong Kong) Limited</t>
        </is>
      </c>
      <c r="BT506" s="63" t="inlineStr">
        <is>
          <t>CITIC Securities (Hong Kong) Limited</t>
        </is>
      </c>
      <c r="BU506" s="63" t="inlineStr">
        <is>
          <t>CMBC Securities Company Limited; JA Securities Limited</t>
        </is>
      </c>
      <c r="BV506" s="63" t="inlineStr">
        <is>
          <t>China Harbour International Securities Limited; CLSA Limited; CMBC Securities Company Limited; JA Securities Limited; SPDB International Capital Limited</t>
        </is>
      </c>
      <c r="BW506" s="78">
        <f>HYPERLINK("https://www1.hkexnews.hk/listedco/listconews/sehk/2026/0629/2026062900101.pdf","prospectus")</f>
        <v/>
      </c>
      <c r="BX506" s="78">
        <f>HYPERLINK("https://www1.hkexnews.hk/listedco/listconews/sehk/2026/0708/2026070801214.pdf","allotment")</f>
        <v/>
      </c>
      <c r="BY506" s="78">
        <f>HYPERLINK("https://www1.hkexnews.hk/listedco/listconews/sehk/2026/0803/2026080303735.pdf","stabilisation")</f>
        <v/>
      </c>
      <c r="BZ506" s="76" t="n"/>
      <c r="CA506" s="63" t="inlineStr">
        <is>
          <t>greenshoe: over-allotment outcome already published, and the allotment announcement does not state the stabilisation expiry in a parsable form — the expiry no longer matters once resolved · range low: cap-only pricing — the filing publishes a Maximum Offer Price and no indicative floor · A/H: no A-share listing · 3m: listed less than 3m ago · cornerstone list: no cornerstone tranche in this deal · alpha/index: 3m alpha needs the 3m return first — window has not elapsed yet</t>
        </is>
      </c>
    </row>
    <row r="507" ht="15" customHeight="1">
      <c r="A507" s="62" t="inlineStr">
        <is>
          <t>3752</t>
        </is>
      </c>
      <c r="B507" s="63" t="inlineStr">
        <is>
          <t>ROKAE ROBOTICS</t>
        </is>
      </c>
      <c r="C507" s="63" t="inlineStr">
        <is>
          <t>珞石機器人</t>
        </is>
      </c>
      <c r="D507" s="63" t="inlineStr">
        <is>
          <t>Tech/AI</t>
        </is>
      </c>
      <c r="E507" s="63" t="inlineStr">
        <is>
          <t>Robotics &amp; autonomous driving</t>
        </is>
      </c>
      <c r="F507" s="63" t="inlineStr">
        <is>
          <t>Advanced hardware and software</t>
        </is>
      </c>
      <c r="G507" s="63" t="inlineStr">
        <is>
          <t>Standard</t>
        </is>
      </c>
      <c r="H507" s="64" t="n">
        <v>46212</v>
      </c>
      <c r="I507" s="65" t="n">
        <v>875.2</v>
      </c>
      <c r="J507" s="63" t="inlineStr">
        <is>
          <t>gross (stated)</t>
        </is>
      </c>
      <c r="K507" s="66" t="n"/>
      <c r="L507" s="66" t="n">
        <v>38</v>
      </c>
      <c r="M507" s="66" t="n">
        <v>38</v>
      </c>
      <c r="N507" s="63" t="inlineStr">
        <is>
          <t>Y</t>
        </is>
      </c>
      <c r="O507" s="67" t="n">
        <v>100</v>
      </c>
      <c r="P507" s="67" t="n"/>
      <c r="Q507" s="68" t="n">
        <v>9950</v>
      </c>
      <c r="R507" s="63" t="inlineStr">
        <is>
          <t>prospectus:stated market capitalisation</t>
        </is>
      </c>
      <c r="S507" s="69" t="n">
        <v>156.58</v>
      </c>
      <c r="T507" s="70" t="n">
        <v>11.96</v>
      </c>
      <c r="U507" s="71" t="n">
        <v>31.4</v>
      </c>
      <c r="V507" s="68" t="n">
        <v>600.39</v>
      </c>
      <c r="W507" s="68" t="n">
        <v>15799883</v>
      </c>
      <c r="X507" s="67" t="n">
        <v>6.03</v>
      </c>
      <c r="Y507" s="63" t="inlineStr">
        <is>
          <t>All View Focus Fund LPF; Beijing Financial Street Capital Operation Group Co., Ltd; GF Management Co., Ltd; Huatai Capital Investment Limited; Yishao Capital Management (HK) Limited</t>
        </is>
      </c>
      <c r="Z507" s="63" t="inlineStr">
        <is>
          <t>all;beijing-financial;gf;huatai;yishao</t>
        </is>
      </c>
      <c r="AA507" s="67" t="n">
        <v>15</v>
      </c>
      <c r="AB507" s="72" t="n">
        <v>-1.8</v>
      </c>
      <c r="AC507" s="66" t="n">
        <v>37.3</v>
      </c>
      <c r="AD507" s="72" t="n">
        <v>17.32</v>
      </c>
      <c r="AE507" s="63" t="inlineStr">
        <is>
          <t>N</t>
        </is>
      </c>
      <c r="AF507" s="63" t="inlineStr">
        <is>
          <t>2026-07-08</t>
        </is>
      </c>
      <c r="AG507" s="63" t="inlineStr">
        <is>
          <t>full</t>
        </is>
      </c>
      <c r="AH507" s="63" t="inlineStr">
        <is>
          <t>2026-08-05</t>
        </is>
      </c>
      <c r="AI507" s="63" t="inlineStr">
        <is>
          <t>China International Capital Corporation Hong Kong Securities Limited</t>
        </is>
      </c>
      <c r="AJ507" s="63" t="inlineStr">
        <is>
          <t>China International</t>
        </is>
      </c>
      <c r="AK507" s="73" t="n">
        <v>15.21</v>
      </c>
      <c r="AL507" s="72" t="n">
        <v>0.05</v>
      </c>
      <c r="AM507" s="72" t="n">
        <v>15.15</v>
      </c>
      <c r="AN507" s="72" t="n">
        <v>28.63</v>
      </c>
      <c r="AO507" s="72" t="n">
        <v>88.95</v>
      </c>
      <c r="AP507" s="72" t="n"/>
      <c r="AQ507" s="72" t="n">
        <v>11.65</v>
      </c>
      <c r="AR507" s="72" t="n">
        <v>64</v>
      </c>
      <c r="AS507" s="72" t="n"/>
      <c r="AT507" s="72" t="n">
        <v>26.3</v>
      </c>
      <c r="AU507" s="72" t="n">
        <v>86.23</v>
      </c>
      <c r="AV507" s="72" t="n"/>
      <c r="AW507" s="72" t="n">
        <v>61.28</v>
      </c>
      <c r="AX507" s="72" t="n">
        <v>2.72</v>
      </c>
      <c r="AY507" s="72" t="n">
        <v>2.72</v>
      </c>
      <c r="AZ507" s="63" t="inlineStr">
        <is>
          <t>HSTECH (Hang Seng TECH ETF)</t>
        </is>
      </c>
      <c r="BA507" s="72" t="n">
        <v>72.63</v>
      </c>
      <c r="BB507" s="64" t="inlineStr">
        <is>
          <t>2026-08-31</t>
        </is>
      </c>
      <c r="BC507" s="65" t="n">
        <v>573.9</v>
      </c>
      <c r="BD507" s="68" t="n">
        <v>-197.2</v>
      </c>
      <c r="BE507" s="63" t="inlineStr">
        <is>
          <t>N</t>
        </is>
      </c>
      <c r="BF507" s="63" t="inlineStr">
        <is>
          <t>n/m</t>
        </is>
      </c>
      <c r="BG507" s="74" t="n"/>
      <c r="BH507" s="74" t="n"/>
      <c r="BI507" s="74" t="n">
        <v>17.3</v>
      </c>
      <c r="BJ507" s="75">
        <f>IF('BBG Verify'!S507="","not filed — run on terminal",'BBG Verify'!S507)</f>
        <v/>
      </c>
      <c r="BK507" s="76" t="inlineStr">
        <is>
          <t>N</t>
        </is>
      </c>
      <c r="BL507" s="77">
        <f>IF('BBG Verify'!K507="","not filed — run on terminal",'BBG Verify'!K507)</f>
        <v/>
      </c>
      <c r="BM507" s="63" t="inlineStr">
        <is>
          <t>N/A</t>
        </is>
      </c>
      <c r="BN507" s="63" t="inlineStr">
        <is>
          <t>N/A</t>
        </is>
      </c>
      <c r="BO507" s="63" t="inlineStr">
        <is>
          <t>N/A</t>
        </is>
      </c>
      <c r="BP507" s="63" t="inlineStr">
        <is>
          <t>N/A</t>
        </is>
      </c>
      <c r="BQ507" s="63" t="inlineStr">
        <is>
          <t>N/A</t>
        </is>
      </c>
      <c r="BR507" s="63" t="inlineStr">
        <is>
          <t>N/A</t>
        </is>
      </c>
      <c r="BS507" s="76" t="inlineStr">
        <is>
          <t>China International Capital Corporation Hong Kong Securities Limited; Guotai Junan Capital Limited</t>
        </is>
      </c>
      <c r="BT507" s="63" t="inlineStr">
        <is>
          <t>China International Capital Corporation Hong Kong Securities Limited; Guotai Junan Capital Limited</t>
        </is>
      </c>
      <c r="BU507" s="63" t="inlineStr">
        <is>
          <t>China International Capital Corporation Hong Kong Securities Limited; Guotai Junan Securities (Hong Kong) Limited; Guosen Securities (HK) Brokerage Company, Limited; Futu Securities International (Hong Kong) Limited; Kingsway Financial Services Group Limited</t>
        </is>
      </c>
      <c r="BV507" s="63" t="inlineStr">
        <is>
          <t>China International Capital Corporation Hong Kong Securities Limited; Futu Securities International (Hong Kong) Limited; Guotai Junan Securities (Hong Kong) Limited; Guosen Securities (HK) Brokerage Company, Limited; Kingsway Financial Services Group Limited</t>
        </is>
      </c>
      <c r="BW507" s="78">
        <f>HYPERLINK("https://www1.hkexnews.hk/listedco/listconews/sehk/2026/0630/2026063000033.pdf","prospectus")</f>
        <v/>
      </c>
      <c r="BX507" s="78">
        <f>HYPERLINK("https://www1.hkexnews.hk/listedco/listconews/sehk/2026/0708/2026070801234.pdf","allotment")</f>
        <v/>
      </c>
      <c r="BY507" s="78">
        <f>HYPERLINK("https://www1.hkexnews.hk/listedco/listconews/sehk/2026/0805/2026080501829.pdf","stabilisation")</f>
        <v/>
      </c>
      <c r="BZ507" s="76" t="n"/>
      <c r="CA507" s="63" t="inlineStr">
        <is>
          <t>P/E: n/m — loss-making at IPO (use P/S) · range low: cap-only pricing — the filing publishes a Maximum Offer Price and no indicative floor · A/H: no A-share listing · 3m: listed less than 3m ago · alpha/index: 3m alpha needs the 3m return first — window has not elapsed yet</t>
        </is>
      </c>
    </row>
    <row r="508" ht="15" customHeight="1">
      <c r="A508" s="62" t="inlineStr">
        <is>
          <t>0537</t>
        </is>
      </c>
      <c r="B508" s="63" t="inlineStr">
        <is>
          <t>RIGOL</t>
        </is>
      </c>
      <c r="C508" s="63" t="inlineStr">
        <is>
          <t>普源精電</t>
        </is>
      </c>
      <c r="D508" s="63" t="inlineStr">
        <is>
          <t>Industrials</t>
        </is>
      </c>
      <c r="E508" s="63" t="inlineStr">
        <is>
          <t>Capital goods / machinery</t>
        </is>
      </c>
      <c r="F508" s="63" t="inlineStr">
        <is>
          <t>Electronic Equipment &amp; Instruments</t>
        </is>
      </c>
      <c r="G508" s="63" t="inlineStr">
        <is>
          <t>Standard</t>
        </is>
      </c>
      <c r="H508" s="64" t="n">
        <v>46212</v>
      </c>
      <c r="I508" s="65" t="n">
        <v>1140.4</v>
      </c>
      <c r="J508" s="63" t="inlineStr">
        <is>
          <t>gross (stated)</t>
        </is>
      </c>
      <c r="K508" s="66" t="n"/>
      <c r="L508" s="66" t="n">
        <v>45.98</v>
      </c>
      <c r="M508" s="66" t="n">
        <v>45.98</v>
      </c>
      <c r="N508" s="63" t="inlineStr">
        <is>
          <t>Y</t>
        </is>
      </c>
      <c r="O508" s="67" t="n">
        <v>100</v>
      </c>
      <c r="P508" s="67" t="n"/>
      <c r="Q508" s="68" t="n">
        <v>10054.8</v>
      </c>
      <c r="R508" s="63" t="inlineStr">
        <is>
          <t>derived:price x shares upon listing</t>
        </is>
      </c>
      <c r="S508" s="69" t="n">
        <v>356.86</v>
      </c>
      <c r="T508" s="70" t="n">
        <v>9.17</v>
      </c>
      <c r="U508" s="71" t="n">
        <v>42.11</v>
      </c>
      <c r="V508" s="68" t="n">
        <v>660.1799999999999</v>
      </c>
      <c r="W508" s="68" t="n">
        <v>14357994</v>
      </c>
      <c r="X508" s="67" t="n">
        <v>6.57</v>
      </c>
      <c r="Y508" s="63" t="inlineStr">
        <is>
          <t>CITIC-Prudential Fund Management Company Ltd; CPE Hemlock Investment Limited; HHLR Advisors, Ltd; Hua Yuan International Limited; Purple Diamond Ltd; Sungrow Power (Hong Kong) Co., Limited; Suzhou Taihu Golden Valley Construction and Development Co., Ltd</t>
        </is>
      </c>
      <c r="Z508" s="63" t="inlineStr">
        <is>
          <t>citic;cpe;hhlr;hua;purple;sungrow;suzhou</t>
        </is>
      </c>
      <c r="AA508" s="67" t="n"/>
      <c r="AB508" s="72" t="n">
        <v>-17.4</v>
      </c>
      <c r="AC508" s="66" t="n">
        <v>38</v>
      </c>
      <c r="AD508" s="72" t="n">
        <v>-24.16</v>
      </c>
      <c r="AE508" s="63" t="inlineStr">
        <is>
          <t>Y</t>
        </is>
      </c>
      <c r="AF508" s="63" t="inlineStr">
        <is>
          <t>2026-07-08</t>
        </is>
      </c>
      <c r="AG508" s="63" t="n"/>
      <c r="AH508" s="63" t="n"/>
      <c r="AI508" s="63" t="n"/>
      <c r="AJ508" s="63" t="n"/>
      <c r="AK508" s="73" t="n">
        <v>-37.36</v>
      </c>
      <c r="AL508" s="72" t="n">
        <v>-18.75</v>
      </c>
      <c r="AM508" s="72" t="n">
        <v>-22.9</v>
      </c>
      <c r="AN508" s="72" t="n">
        <v>-44.32</v>
      </c>
      <c r="AO508" s="72" t="n">
        <v>-45.06</v>
      </c>
      <c r="AP508" s="72" t="n"/>
      <c r="AQ508" s="72" t="n">
        <v>-11.11</v>
      </c>
      <c r="AR508" s="72" t="n">
        <v>-12.29</v>
      </c>
      <c r="AS508" s="72" t="n"/>
      <c r="AT508" s="72" t="n">
        <v>-48.38</v>
      </c>
      <c r="AU508" s="72" t="n">
        <v>-51.87</v>
      </c>
      <c r="AV508" s="72" t="n"/>
      <c r="AW508" s="72" t="n">
        <v>-19.7</v>
      </c>
      <c r="AX508" s="72" t="n">
        <v>6.81</v>
      </c>
      <c r="AY508" s="72" t="n">
        <v>7.41</v>
      </c>
      <c r="AZ508" s="63" t="inlineStr">
        <is>
          <t>Hang Seng Commerce &amp; Industry sub-index</t>
        </is>
      </c>
      <c r="BA508" s="72" t="n">
        <v>-47.89</v>
      </c>
      <c r="BB508" s="64" t="inlineStr">
        <is>
          <t>2026-08-31</t>
        </is>
      </c>
      <c r="BC508" s="65" t="n">
        <v>853.4</v>
      </c>
      <c r="BD508" s="68" t="n">
        <v>94.7</v>
      </c>
      <c r="BE508" s="63" t="inlineStr">
        <is>
          <t>Y</t>
        </is>
      </c>
      <c r="BF508" s="74" t="n">
        <v>106.2</v>
      </c>
      <c r="BG508" s="74" t="n"/>
      <c r="BH508" s="74" t="n"/>
      <c r="BI508" s="74" t="n">
        <v>11.8</v>
      </c>
      <c r="BJ508" s="75">
        <f>IF('BBG Verify'!S508="","not filed — run on terminal",'BBG Verify'!S508)</f>
        <v/>
      </c>
      <c r="BK508" s="76" t="inlineStr">
        <is>
          <t>Y</t>
        </is>
      </c>
      <c r="BL508" s="63" t="inlineStr">
        <is>
          <t>688337.SS</t>
        </is>
      </c>
      <c r="BM508" s="72" t="n">
        <v>43.58</v>
      </c>
      <c r="BN508" s="66" t="n">
        <v>66.0176</v>
      </c>
      <c r="BO508" s="80" t="n">
        <v>1.1313</v>
      </c>
      <c r="BP508" s="68" t="n">
        <v>11178.9</v>
      </c>
      <c r="BQ508" s="75">
        <f>IF('BBG Verify'!Q508="","run on terminal",'BBG Verify'!Q508)</f>
        <v/>
      </c>
      <c r="BR508" s="75">
        <f>IF('BBG Verify'!R508="","run on terminal",'BBG Verify'!R508)</f>
        <v/>
      </c>
      <c r="BS508" s="76" t="inlineStr">
        <is>
          <t>CITIC Securities (Hong Kong) Limited</t>
        </is>
      </c>
      <c r="BT508" s="63" t="inlineStr">
        <is>
          <t>CITIC Securities (Hong Kong) Limited</t>
        </is>
      </c>
      <c r="BU508" s="63" t="inlineStr">
        <is>
          <t>CLSA Limited; CMB International Capital Limited; ICBC International Securities Limited</t>
        </is>
      </c>
      <c r="BV508" s="63" t="inlineStr">
        <is>
          <t>CLSA Limited; CMB International Capital Limited; ICBC International Securities Limited</t>
        </is>
      </c>
      <c r="BW508" s="78">
        <f>HYPERLINK("https://www1.hkexnews.hk/listedco/listconews/sehk/2026/0630/2026063000023.pdf","prospectus")</f>
        <v/>
      </c>
      <c r="BX508" s="78">
        <f>HYPERLINK("https://www1.hkexnews.hk/listedco/listconews/sehk/2026/0708/2026070801336.pdf","allotment")</f>
        <v/>
      </c>
      <c r="BY508" s="63" t="n"/>
      <c r="BZ508" s="76" t="n"/>
      <c r="CA508" s="63" t="inlineStr">
        <is>
          <t>greenshoe: no over-allotment option in the offer structure · range low: cap-only pricing — the filing publishes a Maximum Offer Price and no indicative floor · A/H: Jul 2026 H listing (electronic test &amp; measurement) · 3m: listed less than 3m ago · greenshoe size: no over-allotment option in the offer structure · stabilising manager: the filing states no stabilising manager will be appointed — a filed fact, not an extraction gap (prospectus: 'no stabilizing manager will be appointed' stated in the filing) · alpha/index: 3m alpha needs the 3m return first — window has not elapsed yet</t>
        </is>
      </c>
    </row>
    <row r="509" ht="15" customHeight="1">
      <c r="A509" s="62" t="inlineStr">
        <is>
          <t>2475</t>
        </is>
      </c>
      <c r="B509" s="63" t="inlineStr">
        <is>
          <t>LUXSHARE ICT</t>
        </is>
      </c>
      <c r="C509" s="63" t="inlineStr">
        <is>
          <t>立訊精密</t>
        </is>
      </c>
      <c r="D509" s="63" t="inlineStr">
        <is>
          <t>Tech/AI</t>
        </is>
      </c>
      <c r="E509" s="63" t="inlineStr">
        <is>
          <t>Smart hardware / consumer electronics</t>
        </is>
      </c>
      <c r="F509" s="63" t="inlineStr">
        <is>
          <t>Telecommunications &amp; Networking Equipment</t>
        </is>
      </c>
      <c r="G509" s="63" t="inlineStr">
        <is>
          <t>Standard</t>
        </is>
      </c>
      <c r="H509" s="64" t="n">
        <v>46212</v>
      </c>
      <c r="I509" s="65" t="n">
        <v>24266.2</v>
      </c>
      <c r="J509" s="63" t="inlineStr">
        <is>
          <t>gross (stated)</t>
        </is>
      </c>
      <c r="K509" s="66" t="n"/>
      <c r="L509" s="66" t="n">
        <v>63.28</v>
      </c>
      <c r="M509" s="66" t="n">
        <v>63.28</v>
      </c>
      <c r="N509" s="63" t="inlineStr">
        <is>
          <t>Y</t>
        </is>
      </c>
      <c r="O509" s="67" t="n">
        <v>100</v>
      </c>
      <c r="P509" s="67" t="n"/>
      <c r="Q509" s="68" t="n">
        <v>487365.5</v>
      </c>
      <c r="R509" s="63" t="inlineStr">
        <is>
          <t>derived:price x shares upon listing</t>
        </is>
      </c>
      <c r="S509" s="69" t="n">
        <v>3.78</v>
      </c>
      <c r="T509" s="70" t="n">
        <v>9.460000000000001</v>
      </c>
      <c r="U509" s="71" t="n">
        <v>48.4</v>
      </c>
      <c r="V509" s="68" t="n">
        <v>12521.36</v>
      </c>
      <c r="W509" s="68" t="n">
        <v>197871965</v>
      </c>
      <c r="X509" s="67" t="n">
        <v>2.57</v>
      </c>
      <c r="Y509" s="63" t="inlineStr">
        <is>
          <t>Bosera Asset Management (International) Co., Limited; China Universal Asset Management (Hong Kong) Company Limited; CPE Neem Investment Limited; CPP Investments; Eastspring Investments (Hong Kong) Limited; Eastspring Investments (Singapore) Limited; FIL Investment Management (Hong Kong) Limited; First Sentier Investors (Hong Kong) Limited; First Sentier Investors (Singapore); Foresight Global Superior Choice SPC—Global Superior Choice Fund 1 SP; GF Fund Management Co., Ltd; GF International Investment Management Limited; GIC Private Limited; Greenwoods Asset Management Hong Kong Limited; Harvest Global Investments Limited; HHLR Advisors, Ltd; Huang River Investment Limited; Jane Street Asia Trading Limited; Millennium Capital Management (Singapore) Pte. Ltd; Mirae Asset Financial Group; Mirae Asset Securities (HK) Limited; MY Asian Opportunities Master Fund, L.P; Perseverance Asset Management International (Singapore) Pte. Ltd; Polymer Asia Fund LP; Prosper High Holding Limited</t>
        </is>
      </c>
      <c r="Z509" s="63" t="inlineStr">
        <is>
          <t>bosera;universal;cpe;cpp;eastspring;fil;first-sentier;foresight;gf;gic;greenwoods;harvest;hhlr;huang-river;jane;millennium;mirae;my;perseverance;polymer;prosper</t>
        </is>
      </c>
      <c r="AA509" s="67" t="n">
        <v>15</v>
      </c>
      <c r="AB509" s="72" t="n"/>
      <c r="AC509" s="66" t="n"/>
      <c r="AD509" s="72" t="n"/>
      <c r="AE509" s="63" t="n"/>
      <c r="AF509" s="63" t="n"/>
      <c r="AG509" s="63" t="inlineStr">
        <is>
          <t>partial</t>
        </is>
      </c>
      <c r="AH509" s="63" t="inlineStr">
        <is>
          <t>2026-08-05</t>
        </is>
      </c>
      <c r="AI509" s="63" t="inlineStr">
        <is>
          <t>Goldman Sachs</t>
        </is>
      </c>
      <c r="AJ509" s="63" t="inlineStr">
        <is>
          <t>Goldman Sachs</t>
        </is>
      </c>
      <c r="AK509" s="73" t="n">
        <v>-1.55</v>
      </c>
      <c r="AL509" s="72" t="n">
        <v>-0.05</v>
      </c>
      <c r="AM509" s="72" t="n">
        <v>-1.5</v>
      </c>
      <c r="AN509" s="72" t="n">
        <v>-5.18</v>
      </c>
      <c r="AO509" s="72" t="n">
        <v>0.11</v>
      </c>
      <c r="AP509" s="72" t="n"/>
      <c r="AQ509" s="72" t="n">
        <v>-3.69</v>
      </c>
      <c r="AR509" s="72" t="n">
        <v>1.69</v>
      </c>
      <c r="AS509" s="72" t="n"/>
      <c r="AT509" s="72" t="n">
        <v>-7.51</v>
      </c>
      <c r="AU509" s="72" t="n">
        <v>-2.61</v>
      </c>
      <c r="AV509" s="72" t="n"/>
      <c r="AW509" s="72" t="n">
        <v>-1.03</v>
      </c>
      <c r="AX509" s="72" t="n">
        <v>2.72</v>
      </c>
      <c r="AY509" s="72" t="n">
        <v>2.72</v>
      </c>
      <c r="AZ509" s="63" t="inlineStr">
        <is>
          <t>HSTECH (Hang Seng TECH ETF)</t>
        </is>
      </c>
      <c r="BA509" s="72" t="n">
        <v>-0.44</v>
      </c>
      <c r="BB509" s="64" t="inlineStr">
        <is>
          <t>2026-08-31</t>
        </is>
      </c>
      <c r="BC509" s="65" t="n">
        <v>365578.9</v>
      </c>
      <c r="BD509" s="68" t="n">
        <v>19987.3</v>
      </c>
      <c r="BE509" s="63" t="inlineStr">
        <is>
          <t>Y</t>
        </is>
      </c>
      <c r="BF509" s="74" t="n">
        <v>24.4</v>
      </c>
      <c r="BG509" s="74" t="n">
        <v>22.8</v>
      </c>
      <c r="BH509" s="74" t="n">
        <v>23</v>
      </c>
      <c r="BI509" s="74" t="n">
        <v>1.3</v>
      </c>
      <c r="BJ509" s="75">
        <f>IF('BBG Verify'!S509="","not filed — run on terminal",'BBG Verify'!S509)</f>
        <v/>
      </c>
      <c r="BK509" s="76" t="inlineStr">
        <is>
          <t>Y</t>
        </is>
      </c>
      <c r="BL509" s="63" t="inlineStr">
        <is>
          <t>002475.SZ</t>
        </is>
      </c>
      <c r="BM509" s="72" t="n">
        <v>13.94</v>
      </c>
      <c r="BN509" s="66" t="n">
        <v>72.09999999999999</v>
      </c>
      <c r="BO509" s="80" t="n">
        <v>0.066</v>
      </c>
      <c r="BP509" s="68" t="n">
        <v>520262.4</v>
      </c>
      <c r="BQ509" s="75">
        <f>IF('BBG Verify'!Q509="","run on terminal",'BBG Verify'!Q509)</f>
        <v/>
      </c>
      <c r="BR509" s="75">
        <f>IF('BBG Verify'!R509="","run on terminal",'BBG Verify'!R509)</f>
        <v/>
      </c>
      <c r="BS509" s="76" t="inlineStr">
        <is>
          <t>CITIC Securities (Hong Kong) Limited; Goldman Sachs (Asia) L.L.C; China International Capital Corporation Hong Kong Securities Limited</t>
        </is>
      </c>
      <c r="BT509" s="63" t="inlineStr">
        <is>
          <t>China International Capital Corporation Hong Kong Securities Limited; Goldman Sachs (Asia) L.L.C.; CITIC Securities (Hong Kong) Limited</t>
        </is>
      </c>
      <c r="BU509" s="63" t="inlineStr">
        <is>
          <t>China International Capital Corporation Hong Kong Securities Limited; CLSA Limited; GF Securities (Hong Kong) Brokerage Limited; Goldman Sachs (Asia) L.L.C.; Guosen Securities (HK) Capital Company Limited; The Hongkong and Shanghai Banking Corporation Limited</t>
        </is>
      </c>
      <c r="BV509" s="63" t="inlineStr">
        <is>
          <t>China International Capital Corporation Hong Kong Securities Limited; CLSA Limited; GF Securities (Hong Kong) Brokerage Limited; Goldman Sachs (Asia) L.L.C.; Guosen Securities (HK) Capital Company Limited; The Hongkong and Shanghai Banking Corporation Limited</t>
        </is>
      </c>
      <c r="BW509" s="78">
        <f>HYPERLINK("https://www1.hkexnews.hk/listedco/listconews/sehk/2026/0630/2026063000097.pdf","prospectus")</f>
        <v/>
      </c>
      <c r="BX509" s="78">
        <f>HYPERLINK("https://www1.hkexnews.hk/listedco/listconews/sehk/2026/0708/2026070801342.pdf","allotment")</f>
        <v/>
      </c>
      <c r="BY509" s="78">
        <f>HYPERLINK("https://www1.hkexnews.hk/listedco/listconews/sehk/2026/0805/2026080501907.pdf","stabilisation")</f>
        <v/>
      </c>
      <c r="BZ509" s="76" t="n"/>
      <c r="CA509" s="63" t="inlineStr">
        <is>
          <t>range low: cap-only pricing — the filing publishes a Maximum Offer Price and no indicative floor · A/H: Jul 2026, ~US$3.1bn — largest HK IPO of 2026 until Innolight · 3m: listed less than 3m ago · grey market: no grey-market headline on file for this deal — AAStocks publishes one per listing but keeps only recent items on the stock's news page, and no public archive of past evening sessions exists; captured from this run onward · alpha/index: 3m alpha needs the 3m return first — window has not elapsed yet</t>
        </is>
      </c>
    </row>
    <row r="510" ht="15" customHeight="1">
      <c r="A510" s="62" t="inlineStr">
        <is>
          <t>6951</t>
        </is>
      </c>
      <c r="B510" s="63" t="inlineStr">
        <is>
          <t>CCTC</t>
        </is>
      </c>
      <c r="C510" s="63" t="inlineStr">
        <is>
          <t>三環集團</t>
        </is>
      </c>
      <c r="D510" s="63" t="inlineStr">
        <is>
          <t>Tech/AI</t>
        </is>
      </c>
      <c r="E510" s="63" t="inlineStr">
        <is>
          <t>Smart hardware / consumer electronics</t>
        </is>
      </c>
      <c r="F510" s="63" t="inlineStr">
        <is>
          <t>Electronic Components</t>
        </is>
      </c>
      <c r="G510" s="63" t="inlineStr">
        <is>
          <t>Standard</t>
        </is>
      </c>
      <c r="H510" s="64" t="n">
        <v>46212</v>
      </c>
      <c r="I510" s="65" t="n">
        <v>7157.8</v>
      </c>
      <c r="J510" s="63" t="inlineStr">
        <is>
          <t>gross (stated)</t>
        </is>
      </c>
      <c r="K510" s="66" t="n"/>
      <c r="L510" s="66" t="n">
        <v>100.3</v>
      </c>
      <c r="M510" s="66" t="n">
        <v>100.3</v>
      </c>
      <c r="N510" s="63" t="inlineStr">
        <is>
          <t>Y</t>
        </is>
      </c>
      <c r="O510" s="67" t="n">
        <v>100</v>
      </c>
      <c r="P510" s="67" t="n"/>
      <c r="Q510" s="68" t="n">
        <v>199382.5</v>
      </c>
      <c r="R510" s="63" t="inlineStr">
        <is>
          <t>derived:price x shares upon listing</t>
        </is>
      </c>
      <c r="S510" s="69" t="n">
        <v>327.49</v>
      </c>
      <c r="T510" s="70" t="n">
        <v>16.24</v>
      </c>
      <c r="U510" s="71" t="n">
        <v>49.81</v>
      </c>
      <c r="V510" s="68" t="n">
        <v>3592.5</v>
      </c>
      <c r="W510" s="68" t="n">
        <v>35817742</v>
      </c>
      <c r="X510" s="67" t="n">
        <v>1.8</v>
      </c>
      <c r="Y510" s="63" t="inlineStr">
        <is>
          <t>Alibaba Investment Limited; Bosera Asset Management (International) Co., Limited; China Universal Asset Management Company Limited; CPE River Investment Limited; Goldman Sachs Asset Management (Hong Kong) Limited; Greater Bay Area Homeland Investments Limited; Huang River Investment Limited; ICBC Wealth Management Co., Ltd; IvyRock Asset Management (HK) Limited; JPMorgan Asset Management (Asia Pacific) Limited; Manulife Investment Management (Hong Kong) Limited; Metazone Link (HK) Limited; Ninety One Asia Pte. Limited; Taikang Life Insurance Co., Ltd; Verition Multi-Strategy Master Fund Ltd</t>
        </is>
      </c>
      <c r="Z510" s="63" t="inlineStr">
        <is>
          <t>alibaba;bosera;universal;cpe;goldman;greater;huang-river;icbc;ivyrock;jpmorgan;manulife;metazone;ninety;taikang;verition</t>
        </is>
      </c>
      <c r="AA510" s="67" t="n">
        <v>15</v>
      </c>
      <c r="AB510" s="72" t="n"/>
      <c r="AC510" s="66" t="n"/>
      <c r="AD510" s="72" t="n"/>
      <c r="AE510" s="63" t="n"/>
      <c r="AF510" s="63" t="n"/>
      <c r="AG510" s="63" t="inlineStr">
        <is>
          <t>partial</t>
        </is>
      </c>
      <c r="AH510" s="63" t="n"/>
      <c r="AI510" s="63" t="inlineStr">
        <is>
          <t>China Galaxy International Securities</t>
        </is>
      </c>
      <c r="AJ510" s="63" t="inlineStr">
        <is>
          <t>China Galaxy</t>
        </is>
      </c>
      <c r="AK510" s="73" t="n">
        <v>4.69</v>
      </c>
      <c r="AL510" s="72" t="n">
        <v>0</v>
      </c>
      <c r="AM510" s="72" t="n">
        <v>4.69</v>
      </c>
      <c r="AN510" s="72" t="n">
        <v>-2.29</v>
      </c>
      <c r="AO510" s="72" t="n">
        <v>6.68</v>
      </c>
      <c r="AP510" s="72" t="n"/>
      <c r="AQ510" s="72" t="n">
        <v>-6.67</v>
      </c>
      <c r="AR510" s="72" t="n">
        <v>1.9</v>
      </c>
      <c r="AS510" s="72" t="n"/>
      <c r="AT510" s="72" t="n">
        <v>-4.62</v>
      </c>
      <c r="AU510" s="72" t="n">
        <v>3.96</v>
      </c>
      <c r="AV510" s="72" t="n"/>
      <c r="AW510" s="72" t="n">
        <v>-0.82</v>
      </c>
      <c r="AX510" s="72" t="n">
        <v>2.72</v>
      </c>
      <c r="AY510" s="72" t="n">
        <v>2.72</v>
      </c>
      <c r="AZ510" s="63" t="inlineStr">
        <is>
          <t>HSTECH (Hang Seng TECH ETF)</t>
        </is>
      </c>
      <c r="BA510" s="72" t="n">
        <v>14.36</v>
      </c>
      <c r="BB510" s="64" t="inlineStr">
        <is>
          <t>2026-08-31</t>
        </is>
      </c>
      <c r="BC510" s="65" t="n">
        <v>9755.4</v>
      </c>
      <c r="BD510" s="68" t="n">
        <v>2878.7</v>
      </c>
      <c r="BE510" s="63" t="inlineStr">
        <is>
          <t>Y</t>
        </is>
      </c>
      <c r="BF510" s="74" t="n">
        <v>69.3</v>
      </c>
      <c r="BG510" s="74" t="n">
        <v>66.3</v>
      </c>
      <c r="BH510" s="74" t="n">
        <v>79.90000000000001</v>
      </c>
      <c r="BI510" s="74" t="n">
        <v>20.4</v>
      </c>
      <c r="BJ510" s="75">
        <f>IF('BBG Verify'!S510="","not filed — run on terminal",'BBG Verify'!S510)</f>
        <v/>
      </c>
      <c r="BK510" s="76" t="inlineStr">
        <is>
          <t>Y</t>
        </is>
      </c>
      <c r="BL510" s="63" t="inlineStr">
        <is>
          <t>300408.SZ</t>
        </is>
      </c>
      <c r="BM510" s="72" t="n">
        <v>50.09</v>
      </c>
      <c r="BN510" s="66" t="n">
        <v>150.5363</v>
      </c>
      <c r="BO510" s="80" t="n">
        <v>0.1686</v>
      </c>
      <c r="BP510" s="68" t="n">
        <v>267943.6</v>
      </c>
      <c r="BQ510" s="75">
        <f>IF('BBG Verify'!Q510="","run on terminal",'BBG Verify'!Q510)</f>
        <v/>
      </c>
      <c r="BR510" s="75">
        <f>IF('BBG Verify'!R510="","run on terminal",'BBG Verify'!R510)</f>
        <v/>
      </c>
      <c r="BS510" s="76" t="inlineStr">
        <is>
          <t>China Galaxy International Securities (Hong Kong) Co., Limited</t>
        </is>
      </c>
      <c r="BT510" s="63" t="inlineStr">
        <is>
          <t>China Galaxy International Securities (Hong Kong) Company Limited</t>
        </is>
      </c>
      <c r="BU510" s="63" t="inlineStr">
        <is>
          <t>CCB International Capital Limited</t>
        </is>
      </c>
      <c r="BV510" s="63" t="inlineStr">
        <is>
          <t>BOCI Asia Limited; CCB International Capital Limited; China Galaxy International Securities (Hong Kong) Company Limited; Huatai Financial Holdings (Hong Kong) Limited; ICBC International Securities Limited</t>
        </is>
      </c>
      <c r="BW510" s="78">
        <f>HYPERLINK("https://www1.hkexnews.hk/listedco/listconews/sehk/2026/0630/2026063000323.pdf","prospectus")</f>
        <v/>
      </c>
      <c r="BX510" s="78">
        <f>HYPERLINK("https://www1.hkexnews.hk/listedco/listconews/sehk/2026/0708/2026070801348.pdf","allotment")</f>
        <v/>
      </c>
      <c r="BY510" s="78">
        <f>HYPERLINK("https://www1.hkexnews.hk/listedco/listconews/sehk/2026/0805/2026080501999.pdf","stabilisation")</f>
        <v/>
      </c>
      <c r="BZ510" s="76" t="n"/>
      <c r="CA510" s="63" t="inlineStr">
        <is>
          <t>greenshoe: over-allotment outcome already published, and the allotment announcement does not state the stabilisation expiry in a parsable form — the expiry no longer matters once resolved · range low: cap-only pricing — the filing publishes a Maximum Offer Price and no indicative floor · A/H: Jul 2026 H listing (ceramic components; targeted ~US$1bn) · 3m: listed less than 3m ago · grey market: no grey-market headline on file for this deal — AAStocks publishes one per listing but keeps only recent items on the stock's news page, and no public archive of past evening sessions exists; captured from this run onward · alpha/index: 3m alpha needs the 3m return first — window has not elapsed yet</t>
        </is>
      </c>
    </row>
    <row r="511" ht="15" customHeight="1">
      <c r="A511" s="62" t="inlineStr">
        <is>
          <t>1377</t>
        </is>
      </c>
      <c r="B511" s="63" t="inlineStr">
        <is>
          <t>DTECH</t>
        </is>
      </c>
      <c r="C511" s="63" t="inlineStr">
        <is>
          <t>鼎泰高科</t>
        </is>
      </c>
      <c r="D511" s="63" t="inlineStr">
        <is>
          <t>Tech/AI</t>
        </is>
      </c>
      <c r="E511" s="63" t="inlineStr">
        <is>
          <t>Smart hardware / consumer electronics</t>
        </is>
      </c>
      <c r="F511" s="63" t="inlineStr">
        <is>
          <t>Industrial Machinery</t>
        </is>
      </c>
      <c r="G511" s="63" t="inlineStr">
        <is>
          <t>Standard</t>
        </is>
      </c>
      <c r="H511" s="64" t="n">
        <v>46212</v>
      </c>
      <c r="I511" s="65" t="n">
        <v>4800.2</v>
      </c>
      <c r="J511" s="63" t="inlineStr">
        <is>
          <t>gross (stated)</t>
        </is>
      </c>
      <c r="K511" s="66" t="n"/>
      <c r="L511" s="66" t="n">
        <v>380</v>
      </c>
      <c r="M511" s="66" t="n">
        <v>380</v>
      </c>
      <c r="N511" s="63" t="inlineStr">
        <is>
          <t>Y</t>
        </is>
      </c>
      <c r="O511" s="67" t="n">
        <v>100</v>
      </c>
      <c r="P511" s="67" t="n"/>
      <c r="Q511" s="68" t="n">
        <v>161137.1</v>
      </c>
      <c r="R511" s="63" t="inlineStr">
        <is>
          <t>derived:price x shares upon listing</t>
        </is>
      </c>
      <c r="S511" s="69" t="n">
        <v>354.64</v>
      </c>
      <c r="T511" s="70" t="n">
        <v>24.5</v>
      </c>
      <c r="U511" s="71" t="n">
        <v>41.45</v>
      </c>
      <c r="V511" s="68" t="n">
        <v>2810.52</v>
      </c>
      <c r="W511" s="68" t="n">
        <v>7396036</v>
      </c>
      <c r="X511" s="67" t="n">
        <v>1.74</v>
      </c>
      <c r="Y511" s="63" t="inlineStr">
        <is>
          <t>Aspex Master Fund; Athos Capital Limited; Baring Asset Management (Asia) Limited; CloudAlpha Capital Management Limited; CPE Investment XVI Limited; Dynamic Holding Co., Ltd; E Fund Management (Hong Kong) Co., Ltd; Hel Ved Master Fund; HHLR Advisors, Ltd; IFUND SPC– Vision IX SP; Kingboard Investments Limited; Martis Fund, L.P; Millennium Capital Management (Singapore) Pte. Ltd; Taikang Life Insurance Co., Ltd; Verition Multi-Strategy Master Fund Ltd; Victory Giant Technology Holdings (Hong Kong) Limited</t>
        </is>
      </c>
      <c r="Z511" s="63" t="inlineStr">
        <is>
          <t>aspex;athos;baring;cloudalpha;cpe;dynamic;fund-management;hel;hhlr;ifund;kingboard;martis;millennium;taikang;verition;victory</t>
        </is>
      </c>
      <c r="AA511" s="67" t="n">
        <v>15</v>
      </c>
      <c r="AB511" s="72" t="n">
        <v>-10.5</v>
      </c>
      <c r="AC511" s="66" t="n">
        <v>340</v>
      </c>
      <c r="AD511" s="72" t="n">
        <v>9.73</v>
      </c>
      <c r="AE511" s="63" t="inlineStr">
        <is>
          <t>Y</t>
        </is>
      </c>
      <c r="AF511" s="63" t="inlineStr">
        <is>
          <t>2026-07-08</t>
        </is>
      </c>
      <c r="AG511" s="63" t="n"/>
      <c r="AH511" s="63" t="n"/>
      <c r="AI511" s="63" t="n"/>
      <c r="AJ511" s="63" t="n"/>
      <c r="AK511" s="73" t="n">
        <v>-1.79</v>
      </c>
      <c r="AL511" s="72" t="n">
        <v>-13.16</v>
      </c>
      <c r="AM511" s="72" t="n">
        <v>13.09</v>
      </c>
      <c r="AN511" s="72" t="n">
        <v>9.949999999999999</v>
      </c>
      <c r="AO511" s="72" t="n">
        <v>2.63</v>
      </c>
      <c r="AP511" s="72" t="n"/>
      <c r="AQ511" s="72" t="n">
        <v>11.95</v>
      </c>
      <c r="AR511" s="72" t="n">
        <v>4.5</v>
      </c>
      <c r="AS511" s="72" t="n"/>
      <c r="AT511" s="72" t="n">
        <v>7.62</v>
      </c>
      <c r="AU511" s="72" t="n">
        <v>-0.09</v>
      </c>
      <c r="AV511" s="72" t="n"/>
      <c r="AW511" s="72" t="n">
        <v>1.78</v>
      </c>
      <c r="AX511" s="72" t="n">
        <v>2.72</v>
      </c>
      <c r="AY511" s="72" t="n">
        <v>2.72</v>
      </c>
      <c r="AZ511" s="63" t="inlineStr">
        <is>
          <t>HSTECH (Hang Seng TECH ETF)</t>
        </is>
      </c>
      <c r="BA511" s="72" t="n">
        <v>-8.32</v>
      </c>
      <c r="BB511" s="64" t="inlineStr">
        <is>
          <t>2026-08-31</t>
        </is>
      </c>
      <c r="BC511" s="65" t="n"/>
      <c r="BD511" s="68" t="n">
        <v>474.8</v>
      </c>
      <c r="BE511" s="63" t="inlineStr">
        <is>
          <t>Y</t>
        </is>
      </c>
      <c r="BF511" s="74" t="n">
        <v>339.4</v>
      </c>
      <c r="BG511" s="74" t="n">
        <v>305.7</v>
      </c>
      <c r="BH511" s="74" t="n">
        <v>301.2</v>
      </c>
      <c r="BI511" s="74" t="n"/>
      <c r="BJ511" s="75">
        <f>IF('BBG Verify'!S511="","not filed — run on terminal",'BBG Verify'!S511)</f>
        <v/>
      </c>
      <c r="BK511" s="76" t="inlineStr">
        <is>
          <t>Y</t>
        </is>
      </c>
      <c r="BL511" s="63" t="inlineStr">
        <is>
          <t>301377.SZ</t>
        </is>
      </c>
      <c r="BM511" s="72" t="n">
        <v>43.69</v>
      </c>
      <c r="BN511" s="66" t="n">
        <v>546.0071</v>
      </c>
      <c r="BO511" s="80" t="n">
        <v>0.4047</v>
      </c>
      <c r="BP511" s="68" t="n">
        <v>207754.9</v>
      </c>
      <c r="BQ511" s="75">
        <f>IF('BBG Verify'!Q511="","run on terminal",'BBG Verify'!Q511)</f>
        <v/>
      </c>
      <c r="BR511" s="75">
        <f>IF('BBG Verify'!R511="","run on terminal",'BBG Verify'!R511)</f>
        <v/>
      </c>
      <c r="BS511" s="76" t="inlineStr">
        <is>
          <t>CITIC Securities (Hong Kong) Limited; HSBC Corporate Finance (Hong Kong) Limited</t>
        </is>
      </c>
      <c r="BT511" s="63" t="inlineStr">
        <is>
          <t>HSBC Corporate Finance (Hong Kong) Limited; CITIC Securities (Hong Kong) Limited</t>
        </is>
      </c>
      <c r="BU511" s="63" t="inlineStr">
        <is>
          <t>CLSA Limited; The Hongkong and Shanghai Banking Corporation Limited; ABCI Capital Limited; GF Securities (Hong Kong) Brokerage Limited; Huatai Financial Holdings (Hong Kong) Limited</t>
        </is>
      </c>
      <c r="BV511" s="63" t="inlineStr">
        <is>
          <t>ABCI Securities Company Limited; BOCI Asia Limited; China Galaxy International Securities (Hong Kong) Company Limited; CLSA Limited; CMBC Securities Company Limited; CMB International Capital Limited; GF Securities (Hong Kong) Brokerage Limited; Guosen Securities (HK) Brokerage Company, Limited; Huatai Financial Holdings (Hong Kong) Limited; The Hongkong and Shanghai Banking Corporation Limited</t>
        </is>
      </c>
      <c r="BW511" s="78">
        <f>HYPERLINK("https://www1.hkexnews.hk/listedco/listconews/sehk/2026/0630/2026063000041.pdf","prospectus")</f>
        <v/>
      </c>
      <c r="BX511" s="78">
        <f>HYPERLINK("https://www1.hkexnews.hk/listedco/listconews/sehk/2026/0708/2026070801372.pdf","allotment")</f>
        <v/>
      </c>
      <c r="BY511" s="63" t="n"/>
      <c r="BZ511" s="76" t="n"/>
      <c r="CA511" s="63" t="inlineStr">
        <is>
          <t>P/E: extreme but REAL — trailing multiple at the offer; Bloomberg prints 306x at listing · greenshoe: end-of-stabilisation notice not located · range low: cap-only pricing — the filing publishes a Maximum Offer Price and no indicative floor · A/H: Jul 2026 H listing (PCB drilling tools) · 3m: listed less than 3m ago · P/S: revenue not extractable · stabilising manager: neither the allotment announcement's cover sentence nor the prospectus definitions glossary names one in a form the parser reads — not inferred from the sponsor · financials: financial tables not machine-extractable and the pre-IPO year is outside AAStocks' 5-year window · alpha/index: 3m alpha needs the 3m return first — window has not elapsed yet</t>
        </is>
      </c>
    </row>
    <row r="512" ht="15" customHeight="1">
      <c r="A512" s="62" t="inlineStr">
        <is>
          <t>6745</t>
        </is>
      </c>
      <c r="B512" s="63" t="inlineStr">
        <is>
          <t>BEFAR GROUP</t>
        </is>
      </c>
      <c r="C512" s="63" t="inlineStr">
        <is>
          <t>濱化股份</t>
        </is>
      </c>
      <c r="D512" s="63" t="inlineStr">
        <is>
          <t>Materials/Energy</t>
        </is>
      </c>
      <c r="E512" s="63" t="inlineStr">
        <is>
          <t>Chemicals</t>
        </is>
      </c>
      <c r="F512" s="63" t="inlineStr">
        <is>
          <t>Diversified Chemicals</t>
        </is>
      </c>
      <c r="G512" s="63" t="inlineStr">
        <is>
          <t>Standard</t>
        </is>
      </c>
      <c r="H512" s="64" t="n">
        <v>46213</v>
      </c>
      <c r="I512" s="65" t="n">
        <v>1225.4</v>
      </c>
      <c r="J512" s="63" t="inlineStr">
        <is>
          <t>gross (stated)</t>
        </is>
      </c>
      <c r="K512" s="66" t="n"/>
      <c r="L512" s="66" t="n">
        <v>3.59</v>
      </c>
      <c r="M512" s="66" t="n">
        <v>3.48</v>
      </c>
      <c r="N512" s="63" t="inlineStr">
        <is>
          <t>N</t>
        </is>
      </c>
      <c r="O512" s="67" t="n">
        <v>96.90000000000001</v>
      </c>
      <c r="P512" s="67" t="n"/>
      <c r="Q512" s="68" t="n">
        <v>8608.299999999999</v>
      </c>
      <c r="R512" s="63" t="inlineStr">
        <is>
          <t>aastocks:上市市值 at the struck price</t>
        </is>
      </c>
      <c r="S512" s="69" t="n">
        <v>227.58</v>
      </c>
      <c r="T512" s="70" t="n">
        <v>4.26</v>
      </c>
      <c r="U512" s="71" t="n">
        <v>30.91</v>
      </c>
      <c r="V512" s="68" t="n">
        <v>846.63</v>
      </c>
      <c r="W512" s="68" t="n">
        <v>243283853</v>
      </c>
      <c r="X512" s="67" t="n">
        <v>9.84</v>
      </c>
      <c r="Y512" s="63" t="inlineStr">
        <is>
          <t>Aurora SF; Beijing Yian Capital Management Co. Ltd; China Hongqiao Group Limited; Hyperion Venture Capital Partners Limited; Luhua Daosheng Group Co., Ltd; Safewell Equipment Limited; Tianto Technology Limited</t>
        </is>
      </c>
      <c r="Z512" s="63" t="inlineStr">
        <is>
          <t>aurora;beijing-yian;hongqiao;hyperion;luhua;safewell;tianto</t>
        </is>
      </c>
      <c r="AA512" s="67" t="n"/>
      <c r="AB512" s="72" t="n">
        <v>-21.6</v>
      </c>
      <c r="AC512" s="66" t="n">
        <v>2.73</v>
      </c>
      <c r="AD512" s="72" t="n">
        <v>3.72</v>
      </c>
      <c r="AE512" s="63" t="inlineStr">
        <is>
          <t>Y</t>
        </is>
      </c>
      <c r="AF512" s="63" t="inlineStr">
        <is>
          <t>2026-07-09</t>
        </is>
      </c>
      <c r="AG512" s="63" t="n"/>
      <c r="AH512" s="63" t="n"/>
      <c r="AI512" s="63" t="n"/>
      <c r="AJ512" s="63" t="n"/>
      <c r="AK512" s="73" t="n">
        <v>-18.68</v>
      </c>
      <c r="AL512" s="72" t="n">
        <v>-21.26</v>
      </c>
      <c r="AM512" s="72" t="n">
        <v>3.28</v>
      </c>
      <c r="AN512" s="72" t="n">
        <v>-13.22</v>
      </c>
      <c r="AO512" s="72" t="n">
        <v>-3.16</v>
      </c>
      <c r="AP512" s="72" t="n"/>
      <c r="AQ512" s="72" t="n">
        <v>6.71</v>
      </c>
      <c r="AR512" s="72" t="n">
        <v>19.09</v>
      </c>
      <c r="AS512" s="72" t="n"/>
      <c r="AT512" s="72" t="n">
        <v>-14.88</v>
      </c>
      <c r="AU512" s="72" t="n">
        <v>-11.99</v>
      </c>
      <c r="AV512" s="72" t="n"/>
      <c r="AW512" s="72" t="n">
        <v>10.86</v>
      </c>
      <c r="AX512" s="72" t="n">
        <v>8.83</v>
      </c>
      <c r="AY512" s="72" t="n">
        <v>8.23</v>
      </c>
      <c r="AZ512" s="63" t="inlineStr">
        <is>
          <t>Hang Seng Commerce &amp; Industry sub-index</t>
        </is>
      </c>
      <c r="BA512" s="72" t="n">
        <v>-6.75</v>
      </c>
      <c r="BB512" s="64" t="inlineStr">
        <is>
          <t>2026-08-31</t>
        </is>
      </c>
      <c r="BC512" s="65" t="n">
        <v>16320.1</v>
      </c>
      <c r="BD512" s="68" t="n">
        <v>918.8</v>
      </c>
      <c r="BE512" s="63" t="inlineStr">
        <is>
          <t>Y</t>
        </is>
      </c>
      <c r="BF512" s="74" t="n">
        <v>9.4</v>
      </c>
      <c r="BG512" s="74" t="n">
        <v>16</v>
      </c>
      <c r="BH512" s="74" t="n">
        <v>17.8</v>
      </c>
      <c r="BI512" s="74" t="n">
        <v>0.5</v>
      </c>
      <c r="BJ512" s="75">
        <f>IF('BBG Verify'!S512="","not filed — run on terminal",'BBG Verify'!S512)</f>
        <v/>
      </c>
      <c r="BK512" s="76" t="inlineStr">
        <is>
          <t>Y</t>
        </is>
      </c>
      <c r="BL512" s="63" t="inlineStr">
        <is>
          <t>601678.SS</t>
        </is>
      </c>
      <c r="BM512" s="72" t="n">
        <v>90.03</v>
      </c>
      <c r="BN512" s="66" t="n">
        <v>6.6132</v>
      </c>
      <c r="BO512" s="80" t="n">
        <v>1.3923</v>
      </c>
      <c r="BP512" s="68" t="n">
        <v>18717.1</v>
      </c>
      <c r="BQ512" s="75">
        <f>IF('BBG Verify'!Q512="","run on terminal",'BBG Verify'!Q512)</f>
        <v/>
      </c>
      <c r="BR512" s="75">
        <f>IF('BBG Verify'!R512="","run on terminal",'BBG Verify'!R512)</f>
        <v/>
      </c>
      <c r="BS512" s="76" t="inlineStr">
        <is>
          <t>Huatai Financial Holdings (Hong Kong) Limited; CCB International Capital Limited</t>
        </is>
      </c>
      <c r="BT512" s="63" t="inlineStr">
        <is>
          <t>CCB International Capital Limited; Huatai Financial Holdings (Hong Kong) Limited</t>
        </is>
      </c>
      <c r="BU512" s="63" t="inlineStr">
        <is>
          <t>Huafu International Securities Limited; Central China International Securities Co., Limited; CMB International Capital Limited; Huatai Financial Holdings (Hong Kong) Limited; CCB International Capital Limited; Zhongtai International Securities Limited</t>
        </is>
      </c>
      <c r="BV512" s="63" t="inlineStr">
        <is>
          <t>CCB International Capital Limited; Central China International Securities Co., Limited; CMB International Capital Limited; Huatai Financial Holdings (Hong Kong) Limited; Huafu International Securities Limited; Zhongtai International Securities Limited</t>
        </is>
      </c>
      <c r="BW512" s="78">
        <f>HYPERLINK("https://www1.hkexnews.hk/listedco/listconews/sehk/2026/0630/2026063000101.pdf","prospectus")</f>
        <v/>
      </c>
      <c r="BX512" s="78">
        <f>HYPERLINK("https://www1.hkexnews.hk/listedco/listconews/sehk/2026/0709/2026070901273.pdf","allotment")</f>
        <v/>
      </c>
      <c r="BY512" s="63" t="n"/>
      <c r="BZ512" s="76" t="n"/>
      <c r="CA512" s="63" t="inlineStr">
        <is>
          <t>greenshoe: no over-allotment option in the offer structure · range low: cap-only pricing — the filing publishes a Maximum Offer Price and no indicative floor · A/H: Jul 2026 H listing (chlor-alkali/chemicals) · 3m: listed less than 3m ago · greenshoe size: no over-allotment option in the offer structure · stabilising manager: the filing states no stabilising manager will be appointed — a filed fact, not an extraction gap (allotment announcement: 'no stabilizing manager will be appointed' stated in the filing) · alpha/index: 3m alpha needs the 3m return first — window has not elapsed yet</t>
        </is>
      </c>
    </row>
    <row r="513" ht="15" customHeight="1">
      <c r="A513" s="62" t="inlineStr">
        <is>
          <t>2249</t>
        </is>
      </c>
      <c r="B513" s="63" t="inlineStr">
        <is>
          <t>NEXCHIP</t>
        </is>
      </c>
      <c r="C513" s="63" t="inlineStr">
        <is>
          <t>晶合集成</t>
        </is>
      </c>
      <c r="D513" s="63" t="inlineStr">
        <is>
          <t>Tech/AI</t>
        </is>
      </c>
      <c r="E513" s="63" t="inlineStr">
        <is>
          <t>AI chips &amp; semis</t>
        </is>
      </c>
      <c r="F513" s="63" t="inlineStr">
        <is>
          <t>Semiconductors &amp; Semiconductor Equipment</t>
        </is>
      </c>
      <c r="G513" s="63" t="inlineStr">
        <is>
          <t>Standard</t>
        </is>
      </c>
      <c r="H513" s="64" t="n">
        <v>46213</v>
      </c>
      <c r="I513" s="65" t="n">
        <v>6982.19</v>
      </c>
      <c r="J513" s="63" t="inlineStr">
        <is>
          <t>gross (stated)</t>
        </is>
      </c>
      <c r="K513" s="66" t="n"/>
      <c r="L513" s="66" t="n">
        <v>32.3</v>
      </c>
      <c r="M513" s="66" t="n">
        <v>32.3</v>
      </c>
      <c r="N513" s="63" t="inlineStr">
        <is>
          <t>Y</t>
        </is>
      </c>
      <c r="O513" s="67" t="n">
        <v>100</v>
      </c>
      <c r="P513" s="67" t="n"/>
      <c r="Q513" s="68" t="n">
        <v>72179.10000000001</v>
      </c>
      <c r="R513" s="63" t="inlineStr">
        <is>
          <t>aastocks:上市市值 at the struck price</t>
        </is>
      </c>
      <c r="S513" s="69" t="n">
        <v>344.26</v>
      </c>
      <c r="T513" s="70" t="n">
        <v>14.62</v>
      </c>
      <c r="U513" s="71" t="n">
        <v>48.1</v>
      </c>
      <c r="V513" s="68" t="n">
        <v>3623.76</v>
      </c>
      <c r="W513" s="68" t="n">
        <v>112190673</v>
      </c>
      <c r="X513" s="67" t="n">
        <v>5.02</v>
      </c>
      <c r="Y513" s="63" t="inlineStr">
        <is>
          <t>Chery Automobile HongKong Trade Co., Limited; China Universal Asset Management (Hong Kong) Company Limited; CICC Financial Trading Limited; Da Cheng International Asset Management Company Limited; GF Fund Management Co., Ltd; Goertek (HongKong) Co., Limited; Harvest Global Investments Limited; Hefei Chipone (Hong Kong) Co., Limited; HHLR Advisors, Ltd; ICBC Wealth Management Co., Ltd; IvyRock Asset Management (HK) Limited; NGS Super Pty Limited; Perseverance Asset Management International (Singapore) Pte. Ltd; Pinpoint Asset Management Limited; PSBC Wealth Management Co., Ltd; Puxin Technology Limited; Smartsens Technology (HK) Co., Limited; Taikang Life Insurance Co., Ltd; Verition Multi-Strategy Master Fund Ltd; WT Asset Management Limited</t>
        </is>
      </c>
      <c r="Z513" s="63" t="inlineStr">
        <is>
          <t>chery;universal;china-international;da;gf;goertek;harvest;hefei;hhlr;icbc;ivyrock;ngs;perseverance;pinpoint;psbc;puxin;smartsens;taikang;verition;wt</t>
        </is>
      </c>
      <c r="AA513" s="67" t="n">
        <v>15</v>
      </c>
      <c r="AB513" s="72" t="n"/>
      <c r="AC513" s="66" t="n"/>
      <c r="AD513" s="72" t="n"/>
      <c r="AE513" s="63" t="n"/>
      <c r="AF513" s="63" t="n"/>
      <c r="AG513" s="63" t="inlineStr">
        <is>
          <t>partial</t>
        </is>
      </c>
      <c r="AH513" s="63" t="inlineStr">
        <is>
          <t>2026-08-06</t>
        </is>
      </c>
      <c r="AI513" s="63" t="inlineStr">
        <is>
          <t>China International Capital Corporation Hong Kong Securities Limited</t>
        </is>
      </c>
      <c r="AJ513" s="63" t="inlineStr">
        <is>
          <t>China International</t>
        </is>
      </c>
      <c r="AK513" s="73" t="n">
        <v>0</v>
      </c>
      <c r="AL513" s="72" t="n">
        <v>11.46</v>
      </c>
      <c r="AM513" s="72" t="n">
        <v>-10.28</v>
      </c>
      <c r="AN513" s="72" t="n">
        <v>-9.66</v>
      </c>
      <c r="AO513" s="72" t="n">
        <v>-0.12</v>
      </c>
      <c r="AP513" s="72" t="n"/>
      <c r="AQ513" s="72" t="n">
        <v>-9.66</v>
      </c>
      <c r="AR513" s="72" t="n">
        <v>-0.12</v>
      </c>
      <c r="AS513" s="72" t="n"/>
      <c r="AT513" s="72" t="n">
        <v>-7.38</v>
      </c>
      <c r="AU513" s="72" t="n">
        <v>-4</v>
      </c>
      <c r="AV513" s="72" t="n"/>
      <c r="AW513" s="72" t="n">
        <v>-4.14</v>
      </c>
      <c r="AX513" s="72" t="n">
        <v>3.88</v>
      </c>
      <c r="AY513" s="72" t="n">
        <v>4.02</v>
      </c>
      <c r="AZ513" s="63" t="inlineStr">
        <is>
          <t>HSTECH (Hang Seng TECH ETF)</t>
        </is>
      </c>
      <c r="BA513" s="72" t="n">
        <v>-7.43</v>
      </c>
      <c r="BB513" s="64" t="inlineStr">
        <is>
          <t>2026-08-31</t>
        </is>
      </c>
      <c r="BC513" s="65" t="n">
        <v>11427.1</v>
      </c>
      <c r="BD513" s="68" t="n">
        <v>513.1</v>
      </c>
      <c r="BE513" s="63" t="inlineStr">
        <is>
          <t>Y</t>
        </is>
      </c>
      <c r="BF513" s="74" t="n">
        <v>140.7</v>
      </c>
      <c r="BG513" s="74" t="n">
        <v>77.3</v>
      </c>
      <c r="BH513" s="74" t="n">
        <v>87.3</v>
      </c>
      <c r="BI513" s="74" t="n">
        <v>6.3</v>
      </c>
      <c r="BJ513" s="75">
        <f>IF('BBG Verify'!S513="","not filed — run on terminal",'BBG Verify'!S513)</f>
        <v/>
      </c>
      <c r="BK513" s="76" t="inlineStr">
        <is>
          <t>Y</t>
        </is>
      </c>
      <c r="BL513" s="63" t="inlineStr">
        <is>
          <t>688249.SS</t>
        </is>
      </c>
      <c r="BM513" s="72" t="n">
        <v>132.6</v>
      </c>
      <c r="BN513" s="66" t="n">
        <v>75.1297</v>
      </c>
      <c r="BO513" s="80" t="n">
        <v>0.5113</v>
      </c>
      <c r="BP513" s="68" t="n">
        <v>101100.2</v>
      </c>
      <c r="BQ513" s="75">
        <f>IF('BBG Verify'!Q513="","run on terminal",'BBG Verify'!Q513)</f>
        <v/>
      </c>
      <c r="BR513" s="75">
        <f>IF('BBG Verify'!R513="","run on terminal",'BBG Verify'!R513)</f>
        <v/>
      </c>
      <c r="BS513" s="76" t="inlineStr">
        <is>
          <t>CICC</t>
        </is>
      </c>
      <c r="BT513" s="63" t="inlineStr">
        <is>
          <t>China International Capital Corporation Hong Kong Securities Limited</t>
        </is>
      </c>
      <c r="BU513" s="63" t="inlineStr">
        <is>
          <t>BOCI Asia Limited; ICBC International Securities Limited; Futu Securities International (Hong Kong) Limited</t>
        </is>
      </c>
      <c r="BV513" s="63" t="inlineStr">
        <is>
          <t>BOCI Asia Limited; China International Capital Corporation Hong Kong Securities Limited; CLSA Limited; CMB International Capital Limited; Futu Securities International (Hong Kong) Limited; Huatai Financial Holdings (Hong Kong) Limited; ICBC International Securities Limited</t>
        </is>
      </c>
      <c r="BW513" s="78">
        <f>HYPERLINK("https://www1.hkexnews.hk/listedco/listconews/sehk/2026/0630/2026063000123.pdf","prospectus")</f>
        <v/>
      </c>
      <c r="BX513" s="78">
        <f>HYPERLINK("https://www1.hkexnews.hk/listedco/listconews/sehk/2026/0709/2026070901289.pdf","allotment")</f>
        <v/>
      </c>
      <c r="BY513" s="78">
        <f>HYPERLINK("https://www1.hkexnews.hk/listedco/listconews/sehk/2026/0806/2026080602039.pdf","stabilisation")</f>
        <v/>
      </c>
      <c r="BZ513" s="76" t="n"/>
      <c r="CA513" s="63" t="inlineStr">
        <is>
          <t>range low: cap-only pricing — the filing publishes a Maximum Offer Price and no indicative floor · A/H: Jul 2026 H listing (foundry) · 3m: listed less than 3m ago · market cap: estimate from deal size / offer % of enlarged capital disagreed with the published listing cap — published figure adopted · grey market: no grey-market headline on file for this deal — AAStocks publishes one per listing but keeps only recent items on the stock's news page, and no public archive of past evening sessions exists; captured from this run onward · alpha/index: 3m alpha needs the 3m return first — window has not elapsed yet</t>
        </is>
      </c>
    </row>
    <row r="514" ht="15" customHeight="1">
      <c r="A514" s="62" t="inlineStr">
        <is>
          <t>3308</t>
        </is>
      </c>
      <c r="B514" s="63" t="inlineStr">
        <is>
          <t>ZJ INNOLIGHT</t>
        </is>
      </c>
      <c r="C514" s="63" t="inlineStr">
        <is>
          <t>中際旭創</t>
        </is>
      </c>
      <c r="D514" s="63" t="inlineStr">
        <is>
          <t>Tech/AI</t>
        </is>
      </c>
      <c r="E514" s="63" t="inlineStr">
        <is>
          <t>Smart hardware / consumer electronics</t>
        </is>
      </c>
      <c r="F514" s="63" t="inlineStr">
        <is>
          <t>Telecommunications &amp; Networking Equipment</t>
        </is>
      </c>
      <c r="G514" s="63" t="inlineStr">
        <is>
          <t>Standard</t>
        </is>
      </c>
      <c r="H514" s="64" t="n">
        <v>46233</v>
      </c>
      <c r="I514" s="65" t="n">
        <v>53410</v>
      </c>
      <c r="J514" s="63" t="inlineStr">
        <is>
          <t>gross (stated)</t>
        </is>
      </c>
      <c r="K514" s="66" t="n"/>
      <c r="L514" s="66" t="n">
        <v>1010</v>
      </c>
      <c r="M514" s="66" t="n">
        <v>980</v>
      </c>
      <c r="N514" s="63" t="inlineStr">
        <is>
          <t>N</t>
        </is>
      </c>
      <c r="O514" s="67" t="n">
        <v>97</v>
      </c>
      <c r="P514" s="67" t="n"/>
      <c r="Q514" s="68" t="n">
        <v>1154351.2</v>
      </c>
      <c r="R514" s="63" t="inlineStr">
        <is>
          <t>derived:A-line total share capital x H offer price</t>
        </is>
      </c>
      <c r="S514" s="69" t="n">
        <v>16.84</v>
      </c>
      <c r="T514" s="70" t="n">
        <v>9.73</v>
      </c>
      <c r="U514" s="71" t="n">
        <v>50</v>
      </c>
      <c r="V514" s="68" t="n">
        <v>26705</v>
      </c>
      <c r="W514" s="68" t="n">
        <v>27250000</v>
      </c>
      <c r="X514" s="67" t="n">
        <v>2.31</v>
      </c>
      <c r="Y514" s="63" t="inlineStr">
        <is>
          <t>Alibaba Investment Limited; Aspex Master Fund; Athos Capital Limited; BCC Asia Aggregator, L.P; Black Dragon CP Fund SPC; BlackRock, Inc; Boyu Capital Opportunities Master Fund; Burkehill Global Management, LP; Canada Pension Plan Investment Board; Chow Tai Fook Enterprises Limited; CloudAlpha Capital Management Limited; CPE Hawthorn Investment Limited; General Atlantic Singapore SPV 68 Pte. Ltd; Hao Advisors Management Limited; HHLR Advisors, Ltd; Huadeng Tech Vision Investment Ltd; Huang River Investment Limited; IDG Capital Project Fund Rhododendron L.P; Indus Select Master Fund, Ltd. and Vitruvius SICAV-Asian Equity; J.P. Morgan Investment Management Inc; JPMorgan Asset Management (Asia Pacific) Limited; Mirae Asset Securities (HK) Limited; NGS Super Pty Limited; Ninety One Asia Pte. Limited; Oaktree Capital Management, L.P</t>
        </is>
      </c>
      <c r="Z514" s="63" t="inlineStr">
        <is>
          <t>alibaba;aspex;athos;bcc;black;blackrock;boyu;burkehill;canada;chow;cloudalpha;cpe;general;hao;hhlr;huadeng;huang-river;idg;indus;morgan;jpmorgan;mirae;ngs;ninety;oaktree</t>
        </is>
      </c>
      <c r="AA514" s="67" t="n">
        <v>15</v>
      </c>
      <c r="AB514" s="72" t="n"/>
      <c r="AC514" s="66" t="n"/>
      <c r="AD514" s="72" t="n"/>
      <c r="AE514" s="63" t="n"/>
      <c r="AF514" s="63" t="n"/>
      <c r="AG514" s="63" t="n"/>
      <c r="AH514" s="63" t="n"/>
      <c r="AI514" s="63" t="inlineStr">
        <is>
          <t>Goldman Sachs</t>
        </is>
      </c>
      <c r="AJ514" s="63" t="inlineStr">
        <is>
          <t>Goldman Sachs</t>
        </is>
      </c>
      <c r="AK514" s="73" t="n">
        <v>-2.04</v>
      </c>
      <c r="AL514" s="72" t="n">
        <v>-0.92</v>
      </c>
      <c r="AM514" s="72" t="n">
        <v>-1.13</v>
      </c>
      <c r="AN514" s="72" t="n">
        <v>17.45</v>
      </c>
      <c r="AO514" s="72" t="n">
        <v>6.12</v>
      </c>
      <c r="AP514" s="72" t="n"/>
      <c r="AQ514" s="72" t="n">
        <v>19.9</v>
      </c>
      <c r="AR514" s="72" t="n">
        <v>8.33</v>
      </c>
      <c r="AS514" s="72" t="n"/>
      <c r="AT514" s="72" t="n">
        <v>18.16</v>
      </c>
      <c r="AU514" s="72" t="n">
        <v>11.28</v>
      </c>
      <c r="AV514" s="72" t="n"/>
      <c r="AW514" s="72" t="n">
        <v>12.48</v>
      </c>
      <c r="AX514" s="72" t="n">
        <v>-5.16</v>
      </c>
      <c r="AY514" s="72" t="n">
        <v>-4.15</v>
      </c>
      <c r="AZ514" s="63" t="inlineStr">
        <is>
          <t>HSTECH (Hang Seng TECH ETF)</t>
        </is>
      </c>
      <c r="BA514" s="72" t="n">
        <v>5</v>
      </c>
      <c r="BB514" s="64" t="inlineStr">
        <is>
          <t>2026-08-31</t>
        </is>
      </c>
      <c r="BC514" s="65" t="n">
        <v>42063.9</v>
      </c>
      <c r="BD514" s="68" t="n">
        <v>11871.7</v>
      </c>
      <c r="BE514" s="63" t="inlineStr">
        <is>
          <t>Y</t>
        </is>
      </c>
      <c r="BF514" s="74" t="n">
        <v>97.2</v>
      </c>
      <c r="BG514" s="74" t="n">
        <v>85.09999999999999</v>
      </c>
      <c r="BH514" s="74" t="n">
        <v>112.4</v>
      </c>
      <c r="BI514" s="74" t="n">
        <v>27.4</v>
      </c>
      <c r="BJ514" s="75">
        <f>IF('BBG Verify'!S514="","not filed — run on terminal",'BBG Verify'!S514)</f>
        <v/>
      </c>
      <c r="BK514" s="76" t="inlineStr">
        <is>
          <t>Y</t>
        </is>
      </c>
      <c r="BL514" s="63" t="inlineStr">
        <is>
          <t>300308.SZ</t>
        </is>
      </c>
      <c r="BM514" s="72" t="n">
        <v>12.36</v>
      </c>
      <c r="BN514" s="66" t="n">
        <v>1101.1724</v>
      </c>
      <c r="BO514" s="80" t="n">
        <v>-0.035</v>
      </c>
      <c r="BP514" s="68" t="n">
        <v>1170937.5</v>
      </c>
      <c r="BQ514" s="75">
        <f>IF('BBG Verify'!Q514="","run on terminal",'BBG Verify'!Q514)</f>
        <v/>
      </c>
      <c r="BR514" s="75">
        <f>IF('BBG Verify'!R514="","run on terminal",'BBG Verify'!R514)</f>
        <v/>
      </c>
      <c r="BS514" s="76" t="inlineStr">
        <is>
          <t>Goldman Sachs; CICC; Morgan Stanley; GF Securities (Hong Kong)</t>
        </is>
      </c>
      <c r="BT514" s="63" t="inlineStr">
        <is>
          <t>China International Capital Corporation Hong Kong Securities Limited; Morgan Stanley Asia Limited; Goldman Sachs (Asia) L.L.C.; GF Capital (Hong Kong) Limited</t>
        </is>
      </c>
      <c r="BU514" s="63" t="inlineStr">
        <is>
          <t>ABCI Securities Company Limited; China Galaxy International Securities (Hong Kong) Company Limited; Citigroup Global Markets Asia Limited; China International Capital Corporation Hong Kong Securities Limited; GF Securities (Hong Kong) Brokerage Limited; Goldman Sachs (Asia) L.L.C.</t>
        </is>
      </c>
      <c r="BV514" s="63" t="inlineStr">
        <is>
          <t>ABCI Securities Company Limited; China Galaxy International Securities (Hong Kong) Company Limited; Citigroup Global Markets Asia Limited; China International Capital Corporation Hong Kong Securities Limited; GF Securities (Hong Kong) Brokerage Limited; Goldman Sachs (Asia) L.L.C.; Haitong International Securities Company Limited; The Hongkong and Shanghai Banking Corporation Limited; Morgan Stanley Asia Limited; Zero2IPO Securities Limited; Zhongtai International Securities Limited</t>
        </is>
      </c>
      <c r="BW514" s="63" t="n"/>
      <c r="BX514" s="78">
        <f>HYPERLINK("https://www1.hkexnews.hk/listedco/listconews/sehk/2026/0729/2026072901629.pdf","allotment")</f>
        <v/>
      </c>
      <c r="BY514" s="63" t="n"/>
      <c r="BZ514" s="76" t="n"/>
      <c r="CA514" s="63" t="inlineStr">
        <is>
          <t>greenshoe: stabilisation window still open (listed &lt;40 days ago) · range low: cap-only pricing — the filing publishes a Maximum Offer Price and no indicative floor · A/H: Jul 2026 — Hong Kong's largest IPO in seven years (optical transceivers for AI datacenters) · 3m: listed less than 3m ago · market cap: no share count or stated cap in the filings — company cap proxied by today's A-line total share capital x the H offer price; a capitalisation issue since listing would overstate it · filing links: no prospectus document returned by the HKEX per-stock search for this code — the allotment announcement is linked beside it · grey market: no grey-market headline on file for this deal — AAStocks publishes one per listing but keeps only recent items on the stock's news page, and no public archive of past evening sessions exists; captured from this run onward · alpha/index: 3m alpha needs the 3m return first — window has not elapsed yet</t>
        </is>
      </c>
    </row>
    <row r="515" ht="15" customHeight="1">
      <c r="A515" s="62" t="inlineStr">
        <is>
          <t>2261</t>
        </is>
      </c>
      <c r="B515" s="63" t="inlineStr">
        <is>
          <t>NASN TECH</t>
        </is>
      </c>
      <c r="C515" s="63" t="inlineStr">
        <is>
          <t>拿森科技</t>
        </is>
      </c>
      <c r="D515" s="63" t="inlineStr">
        <is>
          <t>Consumer</t>
        </is>
      </c>
      <c r="E515" s="63" t="inlineStr">
        <is>
          <t>Auto parts / supply chain</t>
        </is>
      </c>
      <c r="F515" s="63" t="inlineStr">
        <is>
          <t>Auto Parts &amp; Equipment</t>
        </is>
      </c>
      <c r="G515" s="63" t="inlineStr">
        <is>
          <t>Standard</t>
        </is>
      </c>
      <c r="H515" s="64" t="n">
        <v>46241</v>
      </c>
      <c r="I515" s="65" t="n">
        <v>600.1</v>
      </c>
      <c r="J515" s="63" t="inlineStr">
        <is>
          <t>gross (price x shares)</t>
        </is>
      </c>
      <c r="K515" s="66" t="n"/>
      <c r="L515" s="66" t="n">
        <v>11.18</v>
      </c>
      <c r="M515" s="66" t="n">
        <v>10.42</v>
      </c>
      <c r="N515" s="63" t="inlineStr">
        <is>
          <t>N</t>
        </is>
      </c>
      <c r="O515" s="67" t="n">
        <v>93.2</v>
      </c>
      <c r="P515" s="67" t="n"/>
      <c r="Q515" s="68" t="n">
        <v>6199.7</v>
      </c>
      <c r="R515" s="63" t="inlineStr">
        <is>
          <t>derived:price x shares upon listing</t>
        </is>
      </c>
      <c r="S515" s="69" t="n">
        <v>2513.54</v>
      </c>
      <c r="T515" s="70" t="n">
        <v>2.12</v>
      </c>
      <c r="U515" s="71" t="n">
        <v>0</v>
      </c>
      <c r="V515" s="68" t="n">
        <v>600.1</v>
      </c>
      <c r="W515" s="68" t="n">
        <v>57594500</v>
      </c>
      <c r="X515" s="67" t="n">
        <v>9.68</v>
      </c>
      <c r="Y515" s="63" t="n"/>
      <c r="Z515" s="63" t="n"/>
      <c r="AA515" s="67" t="n">
        <v>10.12</v>
      </c>
      <c r="AB515" s="72" t="n">
        <v>60.3</v>
      </c>
      <c r="AC515" s="66" t="n">
        <v>16.7</v>
      </c>
      <c r="AD515" s="72" t="n">
        <v>2.38</v>
      </c>
      <c r="AE515" s="63" t="inlineStr">
        <is>
          <t>Y</t>
        </is>
      </c>
      <c r="AF515" s="63" t="inlineStr">
        <is>
          <t>2026-08-06</t>
        </is>
      </c>
      <c r="AG515" s="63" t="n"/>
      <c r="AH515" s="63" t="n"/>
      <c r="AI515" s="63" t="inlineStr">
        <is>
          <t>Haitong International Securities Company Limited</t>
        </is>
      </c>
      <c r="AJ515" s="63" t="inlineStr">
        <is>
          <t>Haitong</t>
        </is>
      </c>
      <c r="AK515" s="73" t="n">
        <v>64.11</v>
      </c>
      <c r="AL515" s="72" t="n">
        <v>62.19</v>
      </c>
      <c r="AM515" s="72" t="n">
        <v>1.18</v>
      </c>
      <c r="AN515" s="72" t="n">
        <v>45.3</v>
      </c>
      <c r="AO515" s="72" t="n"/>
      <c r="AP515" s="72" t="n"/>
      <c r="AQ515" s="72" t="n">
        <v>-11.46</v>
      </c>
      <c r="AR515" s="72" t="n"/>
      <c r="AS515" s="72" t="n"/>
      <c r="AT515" s="72" t="n">
        <v>47.27</v>
      </c>
      <c r="AU515" s="72" t="n"/>
      <c r="AV515" s="72" t="n"/>
      <c r="AW515" s="72" t="n"/>
      <c r="AX515" s="72" t="n"/>
      <c r="AY515" s="72" t="n"/>
      <c r="AZ515" s="63" t="inlineStr">
        <is>
          <t>Hang Seng Commerce &amp; Industry sub-index</t>
        </is>
      </c>
      <c r="BA515" s="72" t="n">
        <v>39.44</v>
      </c>
      <c r="BB515" s="64" t="inlineStr">
        <is>
          <t>2026-08-31</t>
        </is>
      </c>
      <c r="BC515" s="65" t="n">
        <v>676</v>
      </c>
      <c r="BD515" s="68" t="n">
        <v>-208.5</v>
      </c>
      <c r="BE515" s="63" t="inlineStr">
        <is>
          <t>N</t>
        </is>
      </c>
      <c r="BF515" s="63" t="inlineStr">
        <is>
          <t>n/m</t>
        </is>
      </c>
      <c r="BG515" s="74" t="n"/>
      <c r="BH515" s="74" t="n"/>
      <c r="BI515" s="74" t="n">
        <v>9.199999999999999</v>
      </c>
      <c r="BJ515" s="75">
        <f>IF('BBG Verify'!S515="","not filed — run on terminal",'BBG Verify'!S515)</f>
        <v/>
      </c>
      <c r="BK515" s="76" t="inlineStr">
        <is>
          <t>N</t>
        </is>
      </c>
      <c r="BL515" s="77">
        <f>IF('BBG Verify'!K515="","not filed — run on terminal",'BBG Verify'!K515)</f>
        <v/>
      </c>
      <c r="BM515" s="63" t="inlineStr">
        <is>
          <t>N/A</t>
        </is>
      </c>
      <c r="BN515" s="63" t="inlineStr">
        <is>
          <t>N/A</t>
        </is>
      </c>
      <c r="BO515" s="63" t="inlineStr">
        <is>
          <t>N/A</t>
        </is>
      </c>
      <c r="BP515" s="63" t="inlineStr">
        <is>
          <t>N/A</t>
        </is>
      </c>
      <c r="BQ515" s="63" t="inlineStr">
        <is>
          <t>N/A</t>
        </is>
      </c>
      <c r="BR515" s="63" t="inlineStr">
        <is>
          <t>N/A</t>
        </is>
      </c>
      <c r="BS515" s="76" t="inlineStr">
        <is>
          <t>Haitong International Capital Limited; BOCI Asia Limited</t>
        </is>
      </c>
      <c r="BT515" s="63" t="inlineStr">
        <is>
          <t>Haitong International Capital Limited; BOCI Asia Limited</t>
        </is>
      </c>
      <c r="BU515" s="63" t="inlineStr">
        <is>
          <t>Haitong International Securities Company Limited; BOCI Asia Limited; SDIC Securities (Hong Kong) Limited; Orient Securities (Hong Kong) Limited; TradeMaster Securities (Hong Kong) Limited; SPDB International Capital Limited</t>
        </is>
      </c>
      <c r="BV515" s="63" t="inlineStr">
        <is>
          <t>BOCI Asia Limited; Futu Securities International (Hong Kong) Limited; Haitong International Securities Company Limited; Orient Securities (Hong Kong) Limited; SDIC Securities (Hong Kong) Limited; SPDB International Capital Limited; TradeMaster Securities (Hong Kong) Limited</t>
        </is>
      </c>
      <c r="BW515" s="78">
        <f>HYPERLINK("https://www1.hkexnews.hk/listedco/listconews/sehk/2026/0730/2026073000009.pdf","prospectus")</f>
        <v/>
      </c>
      <c r="BX515" s="78">
        <f>HYPERLINK("https://www1.hkexnews.hk/listedco/listconews/sehk/2026/0806/2026080602047.pdf","allotment")</f>
        <v/>
      </c>
      <c r="BY515" s="63" t="n"/>
      <c r="BZ515" s="76" t="n"/>
      <c r="CA515" s="63" t="inlineStr">
        <is>
          <t>P/E: n/m — loss-making at IPO (use P/S) · greenshoe: stabilisation window still open (listed &lt;40 days ago) · range low: cap-only pricing — the filing publishes a Maximum Offer Price and no indicative floor · A/H: no A-share listing · 1m: price history incomplete for this window · 3m: listed less than 3m ago · cornerstone list: no cornerstone tranche in this deal · alpha/index: 1m alpha needs the 1m return first — window has not elapsed yet</t>
        </is>
      </c>
    </row>
    <row r="516" ht="15" customHeight="1">
      <c r="A516" s="62" t="inlineStr">
        <is>
          <t>3223</t>
        </is>
      </c>
      <c r="B516" s="63" t="inlineStr">
        <is>
          <t>INGENIC</t>
        </is>
      </c>
      <c r="C516" s="63" t="inlineStr">
        <is>
          <t>北京君正</t>
        </is>
      </c>
      <c r="D516" s="63" t="inlineStr">
        <is>
          <t>Tech/AI</t>
        </is>
      </c>
      <c r="E516" s="63" t="inlineStr">
        <is>
          <t>AI chips &amp; semis</t>
        </is>
      </c>
      <c r="F516" s="63" t="inlineStr">
        <is>
          <t>Semiconductors &amp; Semiconductor Equipment</t>
        </is>
      </c>
      <c r="G516" s="63" t="inlineStr">
        <is>
          <t>Standard</t>
        </is>
      </c>
      <c r="H516" s="64" t="n">
        <v>46259</v>
      </c>
      <c r="I516" s="65" t="n">
        <v>3128.7</v>
      </c>
      <c r="J516" s="63" t="inlineStr">
        <is>
          <t>gross (stated)</t>
        </is>
      </c>
      <c r="K516" s="66" t="n"/>
      <c r="L516" s="66" t="n">
        <v>102.8</v>
      </c>
      <c r="M516" s="66" t="n">
        <v>100</v>
      </c>
      <c r="N516" s="63" t="inlineStr">
        <is>
          <t>N</t>
        </is>
      </c>
      <c r="O516" s="67" t="n">
        <v>97.3</v>
      </c>
      <c r="P516" s="67" t="n"/>
      <c r="Q516" s="68" t="n">
        <v>51495.2</v>
      </c>
      <c r="R516" s="63" t="inlineStr">
        <is>
          <t>derived:price x shares upon listing</t>
        </is>
      </c>
      <c r="S516" s="69" t="n">
        <v>927.37</v>
      </c>
      <c r="T516" s="70" t="n">
        <v>8.43</v>
      </c>
      <c r="U516" s="71" t="n">
        <v>48.05</v>
      </c>
      <c r="V516" s="68" t="n">
        <v>1625.36</v>
      </c>
      <c r="W516" s="68" t="n">
        <v>16253752</v>
      </c>
      <c r="X516" s="67" t="n">
        <v>3.16</v>
      </c>
      <c r="Y516" s="63" t="n"/>
      <c r="Z516" s="63" t="n"/>
      <c r="AA516" s="67" t="n">
        <v>15</v>
      </c>
      <c r="AB516" s="72" t="n">
        <v>-0.3</v>
      </c>
      <c r="AC516" s="66" t="n">
        <v>99.75</v>
      </c>
      <c r="AD516" s="72" t="n">
        <v>0.3</v>
      </c>
      <c r="AE516" s="63" t="inlineStr">
        <is>
          <t>Y</t>
        </is>
      </c>
      <c r="AF516" s="63" t="inlineStr">
        <is>
          <t>2026-08-25</t>
        </is>
      </c>
      <c r="AG516" s="63" t="n"/>
      <c r="AH516" s="63" t="inlineStr">
        <is>
          <t>2026-09-19</t>
        </is>
      </c>
      <c r="AI516" s="63" t="inlineStr">
        <is>
          <t>Guotai Junan Securities</t>
        </is>
      </c>
      <c r="AJ516" s="63" t="inlineStr">
        <is>
          <t>Guotai Junan</t>
        </is>
      </c>
      <c r="AK516" s="73" t="n">
        <v>0</v>
      </c>
      <c r="AL516" s="72" t="n">
        <v>0</v>
      </c>
      <c r="AM516" s="72" t="n">
        <v>0</v>
      </c>
      <c r="AN516" s="72" t="n">
        <v>0</v>
      </c>
      <c r="AO516" s="72" t="n"/>
      <c r="AP516" s="72" t="n"/>
      <c r="AQ516" s="72" t="n">
        <v>0</v>
      </c>
      <c r="AR516" s="72" t="n"/>
      <c r="AS516" s="72" t="n"/>
      <c r="AT516" s="72" t="n"/>
      <c r="AU516" s="72" t="n"/>
      <c r="AV516" s="72" t="n"/>
      <c r="AW516" s="72" t="n"/>
      <c r="AX516" s="72" t="n"/>
      <c r="AY516" s="72" t="n"/>
      <c r="AZ516" s="63" t="inlineStr">
        <is>
          <t>HSTECH (Hang Seng TECH ETF)</t>
        </is>
      </c>
      <c r="BA516" s="72" t="n">
        <v>1.5</v>
      </c>
      <c r="BB516" s="64" t="inlineStr">
        <is>
          <t>2026-08-31</t>
        </is>
      </c>
      <c r="BC516" s="65" t="n">
        <v>5215</v>
      </c>
      <c r="BD516" s="68" t="n">
        <v>414</v>
      </c>
      <c r="BE516" s="63" t="inlineStr">
        <is>
          <t>Y</t>
        </is>
      </c>
      <c r="BF516" s="74" t="n">
        <v>124.4</v>
      </c>
      <c r="BG516" s="74" t="n"/>
      <c r="BH516" s="74" t="n"/>
      <c r="BI516" s="74" t="n">
        <v>9.9</v>
      </c>
      <c r="BJ516" s="75">
        <f>IF('BBG Verify'!S516="","not filed — run on terminal",'BBG Verify'!S516)</f>
        <v/>
      </c>
      <c r="BK516" s="76" t="inlineStr">
        <is>
          <t>Y</t>
        </is>
      </c>
      <c r="BL516" s="63" t="inlineStr">
        <is>
          <t>300223.SZ</t>
        </is>
      </c>
      <c r="BM516" s="72" t="n">
        <v>55.89</v>
      </c>
      <c r="BN516" s="66" t="n">
        <v>155.8899</v>
      </c>
      <c r="BO516" s="80" t="n">
        <v>0.6072</v>
      </c>
      <c r="BP516" s="68" t="n">
        <v>84098.5</v>
      </c>
      <c r="BQ516" s="75">
        <f>IF('BBG Verify'!Q516="","run on terminal",'BBG Verify'!Q516)</f>
        <v/>
      </c>
      <c r="BR516" s="75">
        <f>IF('BBG Verify'!R516="","run on terminal",'BBG Verify'!R516)</f>
        <v/>
      </c>
      <c r="BS516" s="76" t="inlineStr">
        <is>
          <t>Guotai Junan Capital Limited</t>
        </is>
      </c>
      <c r="BT516" s="63" t="inlineStr">
        <is>
          <t>Guotai Junan Capital Limited</t>
        </is>
      </c>
      <c r="BU516" s="63" t="inlineStr">
        <is>
          <t>Futu Securities International (Hong Kong) Limited; Guotai Junan Securities (Hong Kong) Limited; Huatai Financial Holdings (Hong Kong) Limited; Ping An Securities (Hong Kong) Company Limited; Tiger Brokers (HK) Global Limited; Zheshang International Financial Holdings Co., Limited</t>
        </is>
      </c>
      <c r="BV516" s="63" t="inlineStr">
        <is>
          <t>Futu Securities International (Hong Kong) Limited; Guotai Junan Securities (Hong Kong) Limited; Huatai Financial Holdings (Hong Kong) Limited; Ping An Securities (Hong Kong) Company Limited; Tiger Brokers (HK) Global Limited; Zheshang International Financial Holdings Co., Limited</t>
        </is>
      </c>
      <c r="BW516" s="78">
        <f>HYPERLINK("https://www1.hkexnews.hk/listedco/listconews/sehk/2026/0817/2026081700003.pdf","prospectus")</f>
        <v/>
      </c>
      <c r="BX516" s="78">
        <f>HYPERLINK("https://www1.hkexnews.hk/listedco/listconews/sehk/2026/0824/2026082401907.pdf","allotment")</f>
        <v/>
      </c>
      <c r="BY516" s="63" t="n"/>
      <c r="BZ516" s="76" t="n"/>
      <c r="CA516" s="63" t="inlineStr">
        <is>
          <t>greenshoe: stabilisation window still open (listed &lt;40 days ago) · range low: cap-only pricing — the filing publishes a Maximum Offer Price and no indicative floor · A/H: H listed 2026-08-25; fabless CPU/analog+memory (auto) · 1m: listed less than 1m ago · 3m: listed less than 3m ago · cornerstone list: tranche parsed (48.05% locked) but the per-investor table did not machine-parse — names are in the prospectus Cornerstone section (link on this row) · alpha/index: 1w return is on file but the sector index had no bar for that window</t>
        </is>
      </c>
    </row>
    <row r="517" ht="15" customHeight="1">
      <c r="A517" s="62" t="inlineStr">
        <is>
          <t>0625</t>
        </is>
      </c>
      <c r="B517" s="63" t="inlineStr">
        <is>
          <t>SHEIN-W</t>
        </is>
      </c>
      <c r="C517" s="63" t="inlineStr">
        <is>
          <t>希音</t>
        </is>
      </c>
      <c r="D517" s="63" t="inlineStr">
        <is>
          <t>Consumer</t>
        </is>
      </c>
      <c r="E517" s="63" t="inlineStr">
        <is>
          <t>Apparel / luxury</t>
        </is>
      </c>
      <c r="F517" s="63" t="inlineStr">
        <is>
          <t>Apparel, Accessories &amp; Luxury Goods Retail</t>
        </is>
      </c>
      <c r="G517" s="63" t="inlineStr">
        <is>
          <t>WVR</t>
        </is>
      </c>
      <c r="H517" s="64" t="n">
        <v>46266</v>
      </c>
      <c r="I517" s="65" t="n">
        <v>13596.4</v>
      </c>
      <c r="J517" s="63" t="inlineStr">
        <is>
          <t>gross (stated)</t>
        </is>
      </c>
      <c r="K517" s="66" t="n"/>
      <c r="L517" s="66" t="n">
        <v>49.5</v>
      </c>
      <c r="M517" s="66" t="n">
        <v>48.56</v>
      </c>
      <c r="N517" s="63" t="inlineStr">
        <is>
          <t>N</t>
        </is>
      </c>
      <c r="O517" s="67" t="n">
        <v>98.09999999999999</v>
      </c>
      <c r="P517" s="67" t="n"/>
      <c r="Q517" s="68" t="n">
        <v>206195.6</v>
      </c>
      <c r="R517" s="63" t="inlineStr">
        <is>
          <t>derived:price x shares upon listing</t>
        </is>
      </c>
      <c r="S517" s="69" t="n">
        <v>5.63</v>
      </c>
      <c r="T517" s="70" t="n">
        <v>2.59</v>
      </c>
      <c r="U517" s="71" t="n">
        <v>22.1</v>
      </c>
      <c r="V517" s="68" t="n">
        <v>10591.6</v>
      </c>
      <c r="W517" s="68" t="n">
        <v>218114158</v>
      </c>
      <c r="X517" s="67" t="n">
        <v>5.14</v>
      </c>
      <c r="Y517" s="63" t="n"/>
      <c r="Z517" s="63" t="n"/>
      <c r="AA517" s="67" t="n">
        <v>15</v>
      </c>
      <c r="AB517" s="72" t="n">
        <v>-13.1</v>
      </c>
      <c r="AC517" s="66" t="n">
        <v>42.2</v>
      </c>
      <c r="AD517" s="72" t="n">
        <v>14.94</v>
      </c>
      <c r="AE517" s="63" t="inlineStr">
        <is>
          <t>Y</t>
        </is>
      </c>
      <c r="AF517" s="63" t="inlineStr">
        <is>
          <t>2026-09-01</t>
        </is>
      </c>
      <c r="AG517" s="63" t="n"/>
      <c r="AH517" s="63" t="inlineStr">
        <is>
          <t>2026-09-26</t>
        </is>
      </c>
      <c r="AI517" s="63" t="inlineStr">
        <is>
          <t>Goldman Sachs</t>
        </is>
      </c>
      <c r="AJ517" s="63" t="inlineStr">
        <is>
          <t>Goldman Sachs</t>
        </is>
      </c>
      <c r="AK517" s="73" t="n">
        <v>-0.12</v>
      </c>
      <c r="AL517" s="72" t="n">
        <v>0</v>
      </c>
      <c r="AM517" s="72" t="n">
        <v>-0.12</v>
      </c>
      <c r="AN517" s="72" t="n"/>
      <c r="AO517" s="72" t="n"/>
      <c r="AP517" s="72" t="n"/>
      <c r="AQ517" s="72" t="n"/>
      <c r="AR517" s="72" t="n"/>
      <c r="AS517" s="72" t="n"/>
      <c r="AT517" s="72" t="n"/>
      <c r="AU517" s="72" t="n"/>
      <c r="AV517" s="72" t="n"/>
      <c r="AW517" s="72" t="n"/>
      <c r="AX517" s="72" t="n"/>
      <c r="AY517" s="72" t="n"/>
      <c r="AZ517" s="63" t="inlineStr">
        <is>
          <t>Hang Seng Commerce &amp; Industry sub-index</t>
        </is>
      </c>
      <c r="BA517" s="72" t="n">
        <v>-5.27</v>
      </c>
      <c r="BB517" s="64" t="inlineStr">
        <is>
          <t>2026-09-02</t>
        </is>
      </c>
      <c r="BC517" s="65" t="n">
        <v>326406.6</v>
      </c>
      <c r="BD517" s="68" t="n">
        <v>16099.2</v>
      </c>
      <c r="BE517" s="63" t="inlineStr">
        <is>
          <t>Y</t>
        </is>
      </c>
      <c r="BF517" s="74" t="n">
        <v>12.8</v>
      </c>
      <c r="BG517" s="74" t="n"/>
      <c r="BH517" s="74" t="n"/>
      <c r="BI517" s="74" t="n">
        <v>0.6</v>
      </c>
      <c r="BJ517" s="75">
        <f>IF('BBG Verify'!S517="","not filed — run on terminal",'BBG Verify'!S517)</f>
        <v/>
      </c>
      <c r="BK517" s="76" t="inlineStr">
        <is>
          <t>N</t>
        </is>
      </c>
      <c r="BL517" s="77">
        <f>IF('BBG Verify'!K517="","not filed — run on terminal",'BBG Verify'!K517)</f>
        <v/>
      </c>
      <c r="BM517" s="63" t="inlineStr">
        <is>
          <t>N/A</t>
        </is>
      </c>
      <c r="BN517" s="63" t="inlineStr">
        <is>
          <t>N/A</t>
        </is>
      </c>
      <c r="BO517" s="63" t="inlineStr">
        <is>
          <t>N/A</t>
        </is>
      </c>
      <c r="BP517" s="63" t="inlineStr">
        <is>
          <t>N/A</t>
        </is>
      </c>
      <c r="BQ517" s="63" t="inlineStr">
        <is>
          <t>N/A</t>
        </is>
      </c>
      <c r="BR517" s="63" t="inlineStr">
        <is>
          <t>N/A</t>
        </is>
      </c>
      <c r="BS517" s="76" t="inlineStr">
        <is>
          <t>Goldman Sachs (Asia) L.L.C; Morgan Stanley Asia Limited; J.P. Morgan Securities (Far East) Limited</t>
        </is>
      </c>
      <c r="BT517" s="63" t="inlineStr">
        <is>
          <t>Morgan Stanley Asia Limited; J.P. Morgan Securities (Far East) Limited; Goldman Sachs (Asia) L.L.C.</t>
        </is>
      </c>
      <c r="BU517" s="63" t="inlineStr">
        <is>
          <t>UBS AG Hong Kong Branch; Merrill Lynch (Asia Pacific) Limited; Cantabria Spain East West Bank, Hong Kong Branch</t>
        </is>
      </c>
      <c r="BV517" s="63" t="inlineStr">
        <is>
          <t>Banco Santander; S.A.; East West Bank, Hong Kong Branch; Goldman Sachs (Asia) L.L.C.; Haitong International Securities Company Limited; The Hongkong and Shanghai Banking Corporation Limited; J.P. Morgan Securities (Asia Pacific) Limited; Merrill Lynch (Asia Pacific) Limited; Morgan Stanley Asia Limited; UBS AG Hong Kong Branch</t>
        </is>
      </c>
      <c r="BW517" s="78">
        <f>HYPERLINK("https://www1.hkexnews.hk/listedco/listconews/sehk/2026/0824/2026082400019.pdf","prospectus")</f>
        <v/>
      </c>
      <c r="BX517" s="78">
        <f>HYPERLINK("https://www1.hkexnews.hk/listedco/listconews/sehk/2026/0831/2026083102409.pdf","allotment")</f>
        <v/>
      </c>
      <c r="BY517" s="63" t="n"/>
      <c r="BZ517" s="76" t="n"/>
      <c r="CA517" s="63" t="inlineStr">
        <is>
          <t>greenshoe: stabilisation window still open (listed &lt;40 days ago) · range low: cap-only pricing — the filing publishes a Maximum Offer Price and no indicative floor · A/H: no A-share listing · 1w: listed less than 1w ago · 1m: listed less than 1m ago · 3m: listed less than 3m ago · cornerstone list: tranche parsed (22.1% locked) but the per-investor table did not machine-parse — names are in the prospectus Cornerstone section (link on this row) · alpha/index: 1w alpha needs the 1w return first — window has not elapsed yet</t>
        </is>
      </c>
    </row>
    <row r="518" ht="15" customHeight="1">
      <c r="A518" s="62" t="inlineStr">
        <is>
          <t>9615</t>
        </is>
      </c>
      <c r="B518" s="63" t="inlineStr">
        <is>
          <t>MECH-MIND ROBOT</t>
        </is>
      </c>
      <c r="C518" s="63" t="inlineStr">
        <is>
          <t>梅卡曼德機器人</t>
        </is>
      </c>
      <c r="D518" s="63" t="inlineStr">
        <is>
          <t>Tech/AI</t>
        </is>
      </c>
      <c r="E518" s="63" t="inlineStr">
        <is>
          <t>Robotics &amp; autonomous driving</t>
        </is>
      </c>
      <c r="F518" s="63" t="inlineStr">
        <is>
          <t>Advanced hardware and software</t>
        </is>
      </c>
      <c r="G518" s="63" t="inlineStr">
        <is>
          <t>Standard</t>
        </is>
      </c>
      <c r="H518" s="64" t="n">
        <v>46266</v>
      </c>
      <c r="I518" s="65" t="n">
        <v>2353.4</v>
      </c>
      <c r="J518" s="63" t="inlineStr">
        <is>
          <t>gross (stated)</t>
        </is>
      </c>
      <c r="K518" s="66" t="n">
        <v>95.3</v>
      </c>
      <c r="L518" s="66" t="n">
        <v>101.7</v>
      </c>
      <c r="M518" s="66" t="n">
        <v>101.7</v>
      </c>
      <c r="N518" s="63" t="inlineStr">
        <is>
          <t>Y</t>
        </is>
      </c>
      <c r="O518" s="67" t="n">
        <v>100</v>
      </c>
      <c r="P518" s="67" t="n">
        <v>100</v>
      </c>
      <c r="Q518" s="68" t="n">
        <v>12713.6</v>
      </c>
      <c r="R518" s="63" t="inlineStr">
        <is>
          <t>derived:price x shares upon listing</t>
        </is>
      </c>
      <c r="S518" s="69" t="n">
        <v>3835.36</v>
      </c>
      <c r="T518" s="70" t="n">
        <v>13.39</v>
      </c>
      <c r="U518" s="71" t="n">
        <v>62.02</v>
      </c>
      <c r="V518" s="68" t="n">
        <v>893.8200000000001</v>
      </c>
      <c r="W518" s="68" t="n">
        <v>8788796</v>
      </c>
      <c r="X518" s="67" t="n">
        <v>7.03</v>
      </c>
      <c r="Y518" s="63" t="n"/>
      <c r="Z518" s="63" t="n"/>
      <c r="AA518" s="67" t="n">
        <v>15</v>
      </c>
      <c r="AB518" s="72" t="n">
        <v>-1.1</v>
      </c>
      <c r="AC518" s="66" t="n">
        <v>100.6</v>
      </c>
      <c r="AD518" s="72" t="n">
        <v>-0.78</v>
      </c>
      <c r="AE518" s="63" t="inlineStr">
        <is>
          <t>Y</t>
        </is>
      </c>
      <c r="AF518" s="63" t="inlineStr">
        <is>
          <t>2026-08-31</t>
        </is>
      </c>
      <c r="AG518" s="63" t="n"/>
      <c r="AH518" s="63" t="inlineStr">
        <is>
          <t>2026-09-26</t>
        </is>
      </c>
      <c r="AI518" s="63" t="inlineStr">
        <is>
          <t>CLSA Limited</t>
        </is>
      </c>
      <c r="AJ518" s="63" t="inlineStr">
        <is>
          <t>CLSA</t>
        </is>
      </c>
      <c r="AK518" s="73" t="n">
        <v>-1.87</v>
      </c>
      <c r="AL518" s="72" t="n">
        <v>0</v>
      </c>
      <c r="AM518" s="72" t="n">
        <v>-1.87</v>
      </c>
      <c r="AN518" s="72" t="n"/>
      <c r="AO518" s="72" t="n"/>
      <c r="AP518" s="72" t="n"/>
      <c r="AQ518" s="72" t="n"/>
      <c r="AR518" s="72" t="n"/>
      <c r="AS518" s="72" t="n"/>
      <c r="AT518" s="72" t="n"/>
      <c r="AU518" s="72" t="n"/>
      <c r="AV518" s="72" t="n"/>
      <c r="AW518" s="72" t="n"/>
      <c r="AX518" s="72" t="n"/>
      <c r="AY518" s="72" t="n"/>
      <c r="AZ518" s="63" t="inlineStr">
        <is>
          <t>HSTECH (Hang Seng TECH ETF)</t>
        </is>
      </c>
      <c r="BA518" s="72" t="n">
        <v>-3.39</v>
      </c>
      <c r="BB518" s="64" t="inlineStr">
        <is>
          <t>2026-09-02</t>
        </is>
      </c>
      <c r="BC518" s="65" t="n">
        <v>427.6</v>
      </c>
      <c r="BD518" s="68" t="n">
        <v>-396.2</v>
      </c>
      <c r="BE518" s="63" t="inlineStr">
        <is>
          <t>N</t>
        </is>
      </c>
      <c r="BF518" s="63" t="inlineStr">
        <is>
          <t>n/m</t>
        </is>
      </c>
      <c r="BG518" s="74" t="n"/>
      <c r="BH518" s="74" t="n"/>
      <c r="BI518" s="74" t="n">
        <v>29.7</v>
      </c>
      <c r="BJ518" s="75">
        <f>IF('BBG Verify'!S518="","not filed — run on terminal",'BBG Verify'!S518)</f>
        <v/>
      </c>
      <c r="BK518" s="76" t="inlineStr">
        <is>
          <t>N</t>
        </is>
      </c>
      <c r="BL518" s="77">
        <f>IF('BBG Verify'!K518="","not filed — run on terminal",'BBG Verify'!K518)</f>
        <v/>
      </c>
      <c r="BM518" s="63" t="inlineStr">
        <is>
          <t>N/A</t>
        </is>
      </c>
      <c r="BN518" s="63" t="inlineStr">
        <is>
          <t>N/A</t>
        </is>
      </c>
      <c r="BO518" s="63" t="inlineStr">
        <is>
          <t>N/A</t>
        </is>
      </c>
      <c r="BP518" s="63" t="inlineStr">
        <is>
          <t>N/A</t>
        </is>
      </c>
      <c r="BQ518" s="63" t="inlineStr">
        <is>
          <t>N/A</t>
        </is>
      </c>
      <c r="BR518" s="63" t="inlineStr">
        <is>
          <t>N/A</t>
        </is>
      </c>
      <c r="BS518" s="76" t="inlineStr">
        <is>
          <t>China Securities (International) Corporate Finance Company Limited; CITIC Securities (Hong Kong) Limited</t>
        </is>
      </c>
      <c r="BT518" s="63" t="inlineStr">
        <is>
          <t>CITIC Securities (Hong Kong) Limited; China Securities (International) Corporate Finance Company Limited</t>
        </is>
      </c>
      <c r="BU518" s="63" t="inlineStr">
        <is>
          <t>Tiger Brokers (HK) Global Limited</t>
        </is>
      </c>
      <c r="BV518" s="63" t="inlineStr">
        <is>
          <t>CLSA Limited; China Securities (International) Corporate Finance Company Limited; Daiwa Capital Markets Hong Kong Limited; Futu Securities International (Hong Kong) Limited; Macquarie Capital Limited; Tiger Brokers (HK) Global Limited</t>
        </is>
      </c>
      <c r="BW518" s="78">
        <f>HYPERLINK("https://www1.hkexnews.hk/listedco/listconews/sehk/2026/0824/2026082400017.pdf","prospectus")</f>
        <v/>
      </c>
      <c r="BX518" s="78">
        <f>HYPERLINK("https://www1.hkexnews.hk/listedco/listconews/sehk/2026/0831/2026083102433.pdf","allotment")</f>
        <v/>
      </c>
      <c r="BY518" s="63" t="n"/>
      <c r="BZ518" s="76" t="n"/>
      <c r="CA518" s="63" t="inlineStr">
        <is>
          <t>P/E: n/m — loss-making at IPO (use P/S) · greenshoe: stabilisation window still open (listed &lt;40 days ago) · A/H: no A-share listing · 1w: listed less than 1w ago · 1m: listed less than 1m ago · 3m: listed less than 3m ago · cornerstone list: tranche parsed (62.02% locked) but the per-investor table did not machine-parse — names are in the prospectus Cornerstone section (link on this row) · alpha/index: 1w alpha needs the 1w return first — window has not elapsed yet</t>
        </is>
      </c>
    </row>
  </sheetData>
  <autoFilter ref="A4:CA518"/>
  <mergeCells count="8">
    <mergeCell ref="A3:H3"/>
    <mergeCell ref="AK3:BB3"/>
    <mergeCell ref="BC3:BJ3"/>
    <mergeCell ref="BK3:BR3"/>
    <mergeCell ref="BZ3:CA3"/>
    <mergeCell ref="I3:R3"/>
    <mergeCell ref="S3:AJ3"/>
    <mergeCell ref="BS3:BY3"/>
  </mergeCells>
  <conditionalFormatting sqref="A5:CA518">
    <cfRule type="expression" priority="20" dxfId="2" stopIfTrue="0">
      <formula>MOD(ROW(),2)=0</formula>
    </cfRule>
  </conditionalFormatting>
  <conditionalFormatting sqref="AK5:AK518">
    <cfRule type="colorScale" priority="1">
      <colorScale>
        <cfvo type="num" val="-60"/>
        <cfvo type="num" val="0"/>
        <cfvo type="num" val="60"/>
        <color rgb="00F8696B"/>
        <color rgb="00FFFFFF"/>
        <color rgb="0063BE7B"/>
      </colorScale>
    </cfRule>
  </conditionalFormatting>
  <conditionalFormatting sqref="AL5:AL518">
    <cfRule type="colorScale" priority="2">
      <colorScale>
        <cfvo type="num" val="-60"/>
        <cfvo type="num" val="0"/>
        <cfvo type="num" val="60"/>
        <color rgb="00F8696B"/>
        <color rgb="00FFFFFF"/>
        <color rgb="0063BE7B"/>
      </colorScale>
    </cfRule>
  </conditionalFormatting>
  <conditionalFormatting sqref="AM5:AM518">
    <cfRule type="colorScale" priority="3">
      <colorScale>
        <cfvo type="num" val="-60"/>
        <cfvo type="num" val="0"/>
        <cfvo type="num" val="60"/>
        <color rgb="00F8696B"/>
        <color rgb="00FFFFFF"/>
        <color rgb="0063BE7B"/>
      </colorScale>
    </cfRule>
  </conditionalFormatting>
  <conditionalFormatting sqref="AN5:AN518">
    <cfRule type="colorScale" priority="4">
      <colorScale>
        <cfvo type="num" val="-60"/>
        <cfvo type="num" val="0"/>
        <cfvo type="num" val="60"/>
        <color rgb="00F8696B"/>
        <color rgb="00FFFFFF"/>
        <color rgb="0063BE7B"/>
      </colorScale>
    </cfRule>
  </conditionalFormatting>
  <conditionalFormatting sqref="AO5:AO518">
    <cfRule type="colorScale" priority="5">
      <colorScale>
        <cfvo type="num" val="-60"/>
        <cfvo type="num" val="0"/>
        <cfvo type="num" val="60"/>
        <color rgb="00F8696B"/>
        <color rgb="00FFFFFF"/>
        <color rgb="0063BE7B"/>
      </colorScale>
    </cfRule>
  </conditionalFormatting>
  <conditionalFormatting sqref="AP5:AP518">
    <cfRule type="colorScale" priority="6">
      <colorScale>
        <cfvo type="num" val="-60"/>
        <cfvo type="num" val="0"/>
        <cfvo type="num" val="60"/>
        <color rgb="00F8696B"/>
        <color rgb="00FFFFFF"/>
        <color rgb="0063BE7B"/>
      </colorScale>
    </cfRule>
  </conditionalFormatting>
  <conditionalFormatting sqref="AQ5:AQ518">
    <cfRule type="colorScale" priority="7">
      <colorScale>
        <cfvo type="num" val="-60"/>
        <cfvo type="num" val="0"/>
        <cfvo type="num" val="60"/>
        <color rgb="00F8696B"/>
        <color rgb="00FFFFFF"/>
        <color rgb="0063BE7B"/>
      </colorScale>
    </cfRule>
  </conditionalFormatting>
  <conditionalFormatting sqref="AR5:AR518">
    <cfRule type="colorScale" priority="8">
      <colorScale>
        <cfvo type="num" val="-60"/>
        <cfvo type="num" val="0"/>
        <cfvo type="num" val="60"/>
        <color rgb="00F8696B"/>
        <color rgb="00FFFFFF"/>
        <color rgb="0063BE7B"/>
      </colorScale>
    </cfRule>
  </conditionalFormatting>
  <conditionalFormatting sqref="AS5:AS518">
    <cfRule type="colorScale" priority="9">
      <colorScale>
        <cfvo type="num" val="-60"/>
        <cfvo type="num" val="0"/>
        <cfvo type="num" val="60"/>
        <color rgb="00F8696B"/>
        <color rgb="00FFFFFF"/>
        <color rgb="0063BE7B"/>
      </colorScale>
    </cfRule>
  </conditionalFormatting>
  <conditionalFormatting sqref="AU5:AU518">
    <cfRule type="colorScale" priority="10">
      <colorScale>
        <cfvo type="num" val="-60"/>
        <cfvo type="num" val="0"/>
        <cfvo type="num" val="60"/>
        <color rgb="00F8696B"/>
        <color rgb="00FFFFFF"/>
        <color rgb="0063BE7B"/>
      </colorScale>
    </cfRule>
  </conditionalFormatting>
  <conditionalFormatting sqref="AW5:AW518">
    <cfRule type="colorScale" priority="11">
      <colorScale>
        <cfvo type="num" val="-60"/>
        <cfvo type="num" val="0"/>
        <cfvo type="num" val="60"/>
        <color rgb="00F8696B"/>
        <color rgb="00FFFFFF"/>
        <color rgb="0063BE7B"/>
      </colorScale>
    </cfRule>
  </conditionalFormatting>
  <conditionalFormatting sqref="BA5:BA518">
    <cfRule type="colorScale" priority="12">
      <colorScale>
        <cfvo type="num" val="-60"/>
        <cfvo type="num" val="0"/>
        <cfvo type="num" val="60"/>
        <color rgb="00F8696B"/>
        <color rgb="00FFFFFF"/>
        <color rgb="0063BE7B"/>
      </colorScale>
    </cfRule>
  </conditionalFormatting>
  <conditionalFormatting sqref="BM5:BM518">
    <cfRule type="colorScale" priority="13">
      <colorScale>
        <cfvo type="num" val="-60"/>
        <cfvo type="num" val="0"/>
        <cfvo type="num" val="60"/>
        <color rgb="00F8696B"/>
        <color rgb="00FFFFFF"/>
        <color rgb="0063BE7B"/>
      </colorScale>
    </cfRule>
  </conditionalFormatting>
  <conditionalFormatting sqref="BO5:BO518">
    <cfRule type="colorScale" priority="14">
      <colorScale>
        <cfvo type="num" val="-60"/>
        <cfvo type="num" val="0"/>
        <cfvo type="num" val="60"/>
        <color rgb="00F8696B"/>
        <color rgb="00FFFFFF"/>
        <color rgb="0063BE7B"/>
      </colorScale>
    </cfRule>
  </conditionalFormatting>
  <conditionalFormatting sqref="I5:I518">
    <cfRule type="dataBar" priority="15">
      <dataBar showValue="1">
        <cfvo type="min"/>
        <cfvo type="max"/>
        <color rgb="004472C4"/>
      </dataBar>
    </cfRule>
  </conditionalFormatting>
  <conditionalFormatting sqref="Q5:Q518">
    <cfRule type="dataBar" priority="16">
      <dataBar showValue="1">
        <cfvo type="min"/>
        <cfvo type="max"/>
        <color rgb="008FAADC"/>
      </dataBar>
    </cfRule>
  </conditionalFormatting>
  <conditionalFormatting sqref="S5:S518">
    <cfRule type="dataBar" priority="17">
      <dataBar showValue="1">
        <cfvo type="min"/>
        <cfvo type="max"/>
        <color rgb="00ED7D31"/>
      </dataBar>
    </cfRule>
  </conditionalFormatting>
  <conditionalFormatting sqref="T5:T518">
    <cfRule type="dataBar" priority="18">
      <dataBar showValue="1">
        <cfvo type="min"/>
        <cfvo type="max"/>
        <color rgb="00F4B183"/>
      </dataBar>
    </cfRule>
  </conditionalFormatting>
  <conditionalFormatting sqref="U5:U518">
    <cfRule type="dataBar" priority="19">
      <dataBar showValue="1">
        <cfvo type="min"/>
        <cfvo type="max"/>
        <color rgb="00A9D08E"/>
      </dataBar>
    </cfRule>
  </conditionalFormatting>
  <pageMargins left="0.75" right="0.75" top="1" bottom="1" header="0.5" footer="0.5"/>
  <ignoredErrors>
    <ignoredError sqref="A5:A600" numberStoredAsText="1"/>
  </ignoredErrors>
</worksheet>
</file>

<file path=xl/worksheets/sheet3.xml><?xml version="1.0" encoding="utf-8"?>
<worksheet xmlns="http://schemas.openxmlformats.org/spreadsheetml/2006/main">
  <sheetPr>
    <tabColor rgb="001BAF7A"/>
    <outlinePr summaryBelow="1" summaryRight="1"/>
    <pageSetUpPr/>
  </sheetPr>
  <dimension ref="A1:AA66"/>
  <sheetViews>
    <sheetView showGridLines="0" workbookViewId="0">
      <selection activeCell="A1" sqref="A1"/>
    </sheetView>
  </sheetViews>
  <sheetFormatPr baseColWidth="8" defaultRowHeight="15"/>
  <cols>
    <col width="8" customWidth="1" min="1" max="1"/>
    <col width="24" customWidth="1" min="2" max="2"/>
    <col width="12" customWidth="1" min="3" max="3"/>
    <col width="12" customWidth="1" min="4" max="4"/>
    <col width="22" customWidth="1" min="5" max="5"/>
    <col width="13" customWidth="1" min="6" max="6"/>
    <col width="10" customWidth="1" min="7" max="7"/>
    <col width="10" customWidth="1" min="8" max="8"/>
    <col width="26" customWidth="1" min="9" max="9"/>
    <col width="9" customWidth="1" min="10" max="10"/>
    <col width="9" customWidth="1" min="11" max="11"/>
    <col width="10" customWidth="1" min="12" max="12"/>
    <col width="11" customWidth="1" min="13" max="13"/>
    <col width="20" customWidth="1" min="14" max="14"/>
    <col width="11" customWidth="1" min="15" max="15"/>
    <col width="11" customWidth="1" min="16" max="16"/>
    <col width="8" customWidth="1" min="17" max="17"/>
    <col width="7" customWidth="1" min="18" max="18"/>
    <col width="11" customWidth="1" min="19" max="19"/>
    <col width="9" customWidth="1" min="20" max="20"/>
    <col width="9" customWidth="1" min="21" max="21"/>
    <col width="10" customWidth="1" min="22" max="22"/>
    <col width="12" customWidth="1" min="23" max="23"/>
    <col width="26" customWidth="1" min="24" max="24"/>
    <col width="11" customWidth="1" min="25" max="25"/>
    <col width="46" customWidth="1" min="26" max="26"/>
    <col width="40" customWidth="1" min="27" max="27"/>
  </cols>
  <sheetData>
    <row r="1">
      <c r="A1" s="1" t="inlineStr">
        <is>
          <t>ACTIVE PIPELINE</t>
        </is>
      </c>
    </row>
    <row r="2">
      <c r="A2" s="2" t="inlineStr">
        <is>
          <t>expected size/timing are INPUT-BLUE — update as terms firm up; screener reads columns D/E/F/J/K/L</t>
        </is>
      </c>
    </row>
    <row r="3"/>
    <row r="4">
      <c r="A4" s="63" t="inlineStr"/>
    </row>
    <row r="5">
      <c r="A5" s="12" t="inlineStr">
        <is>
          <t>Code</t>
        </is>
      </c>
      <c r="B5" s="12" t="inlineStr">
        <is>
          <t>Name</t>
        </is>
      </c>
      <c r="C5" s="12" t="inlineStr">
        <is>
          <t>Name (CN)</t>
        </is>
      </c>
      <c r="D5" s="12" t="inlineStr">
        <is>
          <t>Sector</t>
        </is>
      </c>
      <c r="E5" s="12" t="inlineStr">
        <is>
          <t>Subsector</t>
        </is>
      </c>
      <c r="F5" s="12" t="inlineStr">
        <is>
          <t>Expected size (HK$m)</t>
        </is>
      </c>
      <c r="G5" s="12" t="inlineStr">
        <is>
          <t>Size lo (US$m)</t>
        </is>
      </c>
      <c r="H5" s="12" t="inlineStr">
        <is>
          <t>Size hi (US$m)</t>
        </is>
      </c>
      <c r="I5" s="12" t="inlineStr">
        <is>
          <t>Size basis</t>
        </is>
      </c>
      <c r="J5" s="12" t="inlineStr">
        <is>
          <t>Range lo (HK$)</t>
        </is>
      </c>
      <c r="K5" s="12" t="inlineStr">
        <is>
          <t>Max/cap (HK$)</t>
        </is>
      </c>
      <c r="L5" s="12" t="inlineStr">
        <is>
          <t>Expected P/E</t>
        </is>
      </c>
      <c r="M5" s="12" t="inlineStr">
        <is>
          <t>Cornerstone %</t>
        </is>
      </c>
      <c r="N5" s="12" t="inlineStr">
        <is>
          <t>Offer period</t>
        </is>
      </c>
      <c r="O5" s="12" t="inlineStr">
        <is>
          <t>Status</t>
        </is>
      </c>
      <c r="P5" s="12" t="inlineStr">
        <is>
          <t>Expected timing</t>
        </is>
      </c>
      <c r="Q5" s="12" t="inlineStr">
        <is>
          <t>Profitable</t>
        </is>
      </c>
      <c r="R5" s="12" t="inlineStr">
        <is>
          <t>H-share</t>
        </is>
      </c>
      <c r="S5" s="12" t="inlineStr">
        <is>
          <t>A-share code</t>
        </is>
      </c>
      <c r="T5" s="12" t="inlineStr">
        <is>
          <t>A px now</t>
        </is>
      </c>
      <c r="U5" s="12" t="inlineStr">
        <is>
          <t>A P/E (TTM)</t>
        </is>
      </c>
      <c r="V5" s="12" t="inlineStr">
        <is>
          <t>H cap vs A</t>
        </is>
      </c>
      <c r="W5" s="12" t="inlineStr">
        <is>
          <t>A prem vs H cap</t>
        </is>
      </c>
      <c r="X5" s="12" t="inlineStr">
        <is>
          <t>Sponsors</t>
        </is>
      </c>
      <c r="Y5" s="12" t="inlineStr">
        <is>
          <t>Prospectus</t>
        </is>
      </c>
      <c r="Z5" s="12" t="inlineStr">
        <is>
          <t>Business</t>
        </is>
      </c>
      <c r="AA5" s="12" t="inlineStr">
        <is>
          <t>Valuation notes</t>
        </is>
      </c>
    </row>
    <row r="6" ht="15" customHeight="1">
      <c r="A6" s="63" t="n"/>
      <c r="B6" s="63" t="inlineStr">
        <is>
          <t>Xiaohongshu (RedNote)</t>
        </is>
      </c>
      <c r="C6" s="63" t="inlineStr">
        <is>
          <t>小红书</t>
        </is>
      </c>
      <c r="D6" s="63" t="inlineStr">
        <is>
          <t>Tech/AI</t>
        </is>
      </c>
      <c r="E6" s="7" t="inlineStr">
        <is>
          <t>Internet platform / e-commerce</t>
        </is>
      </c>
      <c r="F6" s="19" t="n"/>
      <c r="G6" s="19" t="n"/>
      <c r="H6" s="19" t="n"/>
      <c r="I6" s="63" t="n"/>
      <c r="J6" s="66" t="n"/>
      <c r="K6" s="66" t="n"/>
      <c r="L6" s="74" t="n"/>
      <c r="M6" s="67" t="n"/>
      <c r="N6" s="63" t="n"/>
      <c r="O6" s="7" t="inlineStr">
        <is>
          <t>A1 filed</t>
        </is>
      </c>
      <c r="P6" s="7" t="inlineStr">
        <is>
          <t>2026 H2, as early as year-end 2026</t>
        </is>
      </c>
      <c r="Q6" s="63" t="n"/>
      <c r="R6" s="63" t="inlineStr">
        <is>
          <t>N</t>
        </is>
      </c>
      <c r="S6" s="63" t="n"/>
      <c r="T6" s="66" t="n"/>
      <c r="U6" s="74" t="n"/>
      <c r="V6" s="72" t="n"/>
      <c r="W6" s="72" t="n"/>
      <c r="X6" s="63" t="inlineStr">
        <is>
          <t>Goldman Sachs; CICC</t>
        </is>
      </c>
      <c r="Y6" s="63" t="n"/>
      <c r="Z6" s="63" t="n"/>
      <c r="AA6" s="63" t="inlineStr">
        <is>
          <t>Targeting &gt;USD 70bn valuation (WSJ via The Standard, 2026-06); above the ~USD 50bn seen in recent private secondary trades; would be one of HK's largest tech IPOs. Company publicly denied some IPO rumours amid compliance dispute (The Standard, 2026-07).</t>
        </is>
      </c>
    </row>
    <row r="7" ht="15" customHeight="1">
      <c r="A7" s="63" t="n"/>
      <c r="B7" s="63" t="inlineStr">
        <is>
          <t>AgiBot (AgiBot Innovation / Zhiyuan Robotics)</t>
        </is>
      </c>
      <c r="C7" s="63" t="inlineStr">
        <is>
          <t>智元机器人</t>
        </is>
      </c>
      <c r="D7" s="63" t="inlineStr">
        <is>
          <t>Tech/AI</t>
        </is>
      </c>
      <c r="E7" s="7" t="inlineStr">
        <is>
          <t>Robotics &amp; autonomous driving</t>
        </is>
      </c>
      <c r="F7" s="19" t="n">
        <v>7800</v>
      </c>
      <c r="G7" s="19" t="n">
        <v>1000</v>
      </c>
      <c r="H7" s="19" t="n">
        <v>1000</v>
      </c>
      <c r="I7" s="63" t="n"/>
      <c r="J7" s="66" t="n"/>
      <c r="K7" s="66" t="n"/>
      <c r="L7" s="74" t="n"/>
      <c r="M7" s="67" t="n"/>
      <c r="N7" s="63" t="n"/>
      <c r="O7" s="7" t="inlineStr">
        <is>
          <t>A1 filed</t>
        </is>
      </c>
      <c r="P7" s="7" t="inlineStr">
        <is>
          <t>2026 H2 (possibly as early as Aug-Sep 2026)</t>
        </is>
      </c>
      <c r="Q7" s="63" t="n"/>
      <c r="R7" s="63" t="inlineStr">
        <is>
          <t>N</t>
        </is>
      </c>
      <c r="S7" s="63" t="n"/>
      <c r="T7" s="66" t="n"/>
      <c r="U7" s="74" t="n"/>
      <c r="V7" s="72" t="n"/>
      <c r="W7" s="72" t="n"/>
      <c r="X7" s="63" t="inlineStr">
        <is>
          <t>CITIC Securities; CICC; Morgan Stanley</t>
        </is>
      </c>
      <c r="Y7" s="63" t="n"/>
      <c r="Z7" s="63" t="n"/>
      <c r="AA7" s="63" t="inlineStr">
        <is>
          <t>Cornerstone/valuation target HK$40-50bn (~USD 5.1-6.4bn); plans to sell 15-25% of shares, potentially raising &gt;USD 1bn. Last private rounds valued it above RMB 20bn (~USD 3bn) per Caixin.</t>
        </is>
      </c>
    </row>
    <row r="8" ht="15" customHeight="1">
      <c r="A8" s="63" t="n"/>
      <c r="B8" s="63" t="inlineStr">
        <is>
          <t>Moonshot AI</t>
        </is>
      </c>
      <c r="C8" s="63" t="inlineStr">
        <is>
          <t>月之暗面</t>
        </is>
      </c>
      <c r="D8" s="63" t="inlineStr">
        <is>
          <t>Tech/AI</t>
        </is>
      </c>
      <c r="E8" s="7" t="inlineStr">
        <is>
          <t>LLM / foundation model</t>
        </is>
      </c>
      <c r="F8" s="19" t="n"/>
      <c r="G8" s="19" t="n"/>
      <c r="H8" s="19" t="n"/>
      <c r="I8" s="63" t="n"/>
      <c r="J8" s="66" t="n"/>
      <c r="K8" s="66" t="n"/>
      <c r="L8" s="74" t="n"/>
      <c r="M8" s="67" t="n"/>
      <c r="N8" s="63" t="n"/>
      <c r="O8" s="7" t="n"/>
      <c r="P8" s="7" t="inlineStr">
        <is>
          <t>filing 2026 H2; listing as early as end-2026</t>
        </is>
      </c>
      <c r="Q8" s="63" t="n"/>
      <c r="R8" s="63" t="inlineStr">
        <is>
          <t>N</t>
        </is>
      </c>
      <c r="S8" s="63" t="n"/>
      <c r="T8" s="66" t="n"/>
      <c r="U8" s="74" t="n"/>
      <c r="V8" s="72" t="n"/>
      <c r="W8" s="72" t="n"/>
      <c r="X8" s="63" t="n"/>
      <c r="Y8" s="63" t="n"/>
      <c r="Z8" s="63" t="n"/>
      <c r="AA8" s="63" t="inlineStr">
        <is>
          <t>Closed USD 3.5bn round at USD 35bn valuation (Bloomberg, 2026-07-29), up from ~USD 4bn end-2025; in talks for a final pre-IPO round at USD 50bn pre-money (Bloomberg, 2026-07-21).</t>
        </is>
      </c>
    </row>
    <row r="9" ht="15" customHeight="1">
      <c r="A9" s="63" t="n"/>
      <c r="B9" s="63" t="inlineStr">
        <is>
          <t>Sungrow Power Supply</t>
        </is>
      </c>
      <c r="C9" s="63" t="inlineStr">
        <is>
          <t>阳光电源</t>
        </is>
      </c>
      <c r="D9" s="63" t="inlineStr">
        <is>
          <t>Industrials</t>
        </is>
      </c>
      <c r="E9" s="7" t="inlineStr">
        <is>
          <t>Solar / wind supply chain</t>
        </is>
      </c>
      <c r="F9" s="19" t="n"/>
      <c r="G9" s="19" t="n"/>
      <c r="H9" s="19" t="n"/>
      <c r="I9" s="63" t="n"/>
      <c r="J9" s="66" t="n"/>
      <c r="K9" s="66" t="n"/>
      <c r="L9" s="74" t="n"/>
      <c r="M9" s="67" t="n"/>
      <c r="N9" s="63" t="n"/>
      <c r="O9" s="7" t="inlineStr">
        <is>
          <t>A1 filed</t>
        </is>
      </c>
      <c r="P9" s="7" t="inlineStr">
        <is>
          <t>2026 H2 (application refiled Apr 2026, 6-month validity)</t>
        </is>
      </c>
      <c r="Q9" s="63" t="n"/>
      <c r="R9" s="63" t="inlineStr">
        <is>
          <t>Y</t>
        </is>
      </c>
      <c r="S9" s="63" t="inlineStr">
        <is>
          <t>300274.SZ</t>
        </is>
      </c>
      <c r="T9" s="66" t="n"/>
      <c r="U9" s="74" t="n"/>
      <c r="V9" s="72" t="n"/>
      <c r="W9" s="72" t="n"/>
      <c r="X9" s="63" t="inlineStr">
        <is>
          <t>CICC</t>
        </is>
      </c>
      <c r="Y9" s="63" t="n"/>
      <c r="Z9" s="63" t="n"/>
      <c r="AA9" s="63" t="inlineStr">
        <is>
          <t>A-share market cap ~RMB 277-330bn (USD 40-47bn) in Apr 2026. Early reports cited a HK$987m (USD 126.7m) raise target from the Oct-2025 filing — treat with caution, small vs peers' A+H raises; no updated size disclosed on the Apr 2026 refiling.</t>
        </is>
      </c>
    </row>
    <row r="10" ht="15" customHeight="1">
      <c r="A10" s="63" t="inlineStr">
        <is>
          <t>2523</t>
        </is>
      </c>
      <c r="B10" s="63" t="inlineStr">
        <is>
          <t>EKH LIMITED</t>
        </is>
      </c>
      <c r="C10" s="63" t="n"/>
      <c r="D10" s="63" t="inlineStr">
        <is>
          <t>Industrials</t>
        </is>
      </c>
      <c r="E10" s="7" t="inlineStr">
        <is>
          <t>Logistics</t>
        </is>
      </c>
      <c r="F10" s="19" t="n">
        <v>126</v>
      </c>
      <c r="G10" s="19" t="n"/>
      <c r="H10" s="19" t="n"/>
      <c r="I10" s="63" t="inlineStr">
        <is>
          <t>prospectus: net proceeds at the maximum price</t>
        </is>
      </c>
      <c r="J10" s="66" t="n">
        <v>2.2</v>
      </c>
      <c r="K10" s="66" t="n">
        <v>2.68</v>
      </c>
      <c r="L10" s="74" t="n">
        <v>73.3</v>
      </c>
      <c r="M10" s="67" t="n"/>
      <c r="N10" s="63" t="n"/>
      <c r="O10" s="7" t="inlineStr">
        <is>
          <t>WITHDRAWN — offering pulled 2026-07-08</t>
        </is>
      </c>
      <c r="P10" s="7" t="n"/>
      <c r="Q10" s="63" t="inlineStr">
        <is>
          <t>Y</t>
        </is>
      </c>
      <c r="R10" s="63" t="n"/>
      <c r="S10" s="63" t="n"/>
      <c r="T10" s="66" t="n"/>
      <c r="U10" s="74" t="n"/>
      <c r="V10" s="72" t="n"/>
      <c r="W10" s="72" t="n"/>
      <c r="X10" s="63" t="n"/>
      <c r="Y10" s="63" t="n"/>
      <c r="Z10" s="63" t="inlineStr">
        <is>
          <t>We provide services and products to both ends of the shipping supply chain including container shipping lines and direct customers (as well as those i n the middle such as freight forwarders). As such, we play different roles in the various logistic services we provide resulting in the overlap of some of our customers and suppliers. For example, we provide container depot services to container shipping lines and container leasing companies (as our customer) and they may sell us used containers in respect of our container sales services (as our supplier).</t>
        </is>
      </c>
      <c r="AA10" s="63" t="n"/>
    </row>
    <row r="11" ht="15" customHeight="1">
      <c r="A11" s="83" t="inlineStr">
        <is>
          <t>2041</t>
        </is>
      </c>
      <c r="B11" s="83" t="inlineStr">
        <is>
          <t>Medcaptain Medical Technology Co., Ltd.</t>
        </is>
      </c>
      <c r="C11" s="83" t="inlineStr">
        <is>
          <t>深圳麥科田生物醫療技術</t>
        </is>
      </c>
      <c r="D11" s="83" t="inlineStr">
        <is>
          <t>Healthcare</t>
        </is>
      </c>
      <c r="E11" s="7" t="inlineStr">
        <is>
          <t>Medical devices</t>
        </is>
      </c>
      <c r="F11" s="19" t="n">
        <v>600</v>
      </c>
      <c r="G11" s="19" t="n"/>
      <c r="H11" s="19" t="n"/>
      <c r="I11" s="83" t="inlineStr">
        <is>
          <t>prospectus: gross HK$600m (net HK$496m), fixed-price offer</t>
        </is>
      </c>
      <c r="J11" s="84" t="n">
        <v>15.42</v>
      </c>
      <c r="K11" s="84" t="n">
        <v>15.42</v>
      </c>
      <c r="L11" s="85" t="n"/>
      <c r="M11" s="86" t="n">
        <v>0</v>
      </c>
      <c r="N11" s="83" t="inlineStr">
        <is>
          <t>2026-08-28 09:00 to 2026-09-02 12:00</t>
        </is>
      </c>
      <c r="O11" s="7" t="inlineStr">
        <is>
          <t>OFFERING — fixed price HK$15.42, closes 2026-09-02</t>
        </is>
      </c>
      <c r="P11" s="7" t="inlineStr">
        <is>
          <t>2026-09-07 listing</t>
        </is>
      </c>
      <c r="Q11" s="83" t="inlineStr">
        <is>
          <t>Y</t>
        </is>
      </c>
      <c r="R11" s="83" t="n"/>
      <c r="S11" s="83" t="n"/>
      <c r="T11" s="84" t="n"/>
      <c r="U11" s="85" t="n"/>
      <c r="V11" s="87" t="n"/>
      <c r="W11" s="87" t="n"/>
      <c r="X11" s="83" t="inlineStr">
        <is>
          <t>Morgan Stanley Asia Limited; Huatai Financial Holdings (Hong Kong) Limited</t>
        </is>
      </c>
      <c r="Y11" s="83" t="n"/>
      <c r="Z11" s="83" t="inlineStr">
        <is>
          <t>Global medical-device maker in three units: life support (infusion/syringe pumps, enteral feeding pumps, anaesthesia), minimally invasive intervention (endoscope systems) and in vitro diagnostics. 320+ products sold into 140+ countries and 6,000+ China hospitals including ~90% of Grade 3A. Ranked #1 in China's infusion-workstation market by sales value 2018-2024. Founded 2011 in Shenzhen; chairman and most of the core team are ex-Mindray.</t>
        </is>
      </c>
      <c r="AA11" s="83" t="n"/>
    </row>
    <row r="12" ht="15" customHeight="1">
      <c r="A12" s="83" t="inlineStr">
        <is>
          <t>9976</t>
        </is>
      </c>
      <c r="B12" s="83" t="inlineStr">
        <is>
          <t>Shenzhen Longsys Electronics Co., Ltd.</t>
        </is>
      </c>
      <c r="C12" s="83" t="inlineStr">
        <is>
          <t>深圳市江波龍電子</t>
        </is>
      </c>
      <c r="D12" s="83" t="inlineStr">
        <is>
          <t>Tech/AI</t>
        </is>
      </c>
      <c r="E12" s="7" t="inlineStr">
        <is>
          <t>AI chips &amp; semis</t>
        </is>
      </c>
      <c r="F12" s="19" t="n">
        <v>6274.3</v>
      </c>
      <c r="G12" s="19" t="n"/>
      <c r="H12" s="19" t="n"/>
      <c r="I12" s="83" t="inlineStr">
        <is>
          <t>prospectus: 26,077,800 H shares x HK$240.60 max = HK$6,274m gross (net ~HK$6,020m)</t>
        </is>
      </c>
      <c r="J12" s="84" t="n"/>
      <c r="K12" s="84" t="n">
        <v>240.6</v>
      </c>
      <c r="L12" s="85" t="n"/>
      <c r="M12" s="86" t="n">
        <v>18.89</v>
      </c>
      <c r="N12" s="83" t="inlineStr">
        <is>
          <t>2026-08-31 09:00 to 2026-09-03 12:00</t>
        </is>
      </c>
      <c r="O12" s="7" t="inlineStr">
        <is>
          <t>OFFERING — max price HK$240.60, closes 2026-09-03</t>
        </is>
      </c>
      <c r="P12" s="7" t="inlineStr">
        <is>
          <t>2026-09-08 listing</t>
        </is>
      </c>
      <c r="Q12" s="83" t="inlineStr">
        <is>
          <t>Y</t>
        </is>
      </c>
      <c r="R12" s="83" t="n"/>
      <c r="S12" s="83" t="inlineStr">
        <is>
          <t>301308.SZ</t>
        </is>
      </c>
      <c r="T12" s="84" t="n"/>
      <c r="U12" s="85" t="n"/>
      <c r="V12" s="87" t="n"/>
      <c r="W12" s="87" t="n"/>
      <c r="X12" s="83" t="inlineStr">
        <is>
          <t>CITIC Securities (Hong Kong) Limited; Citigroup Global Markets Asia Limited</t>
        </is>
      </c>
      <c r="Y12" s="83" t="n"/>
      <c r="Z12" s="83" t="inlineStr">
        <is>
          <t>Memory-module and storage maker (brands Lexar and FORESEE) doing an A+H listing off ChiNext 301308.SZ. Designs and sells embedded storage, SSDs, memory cards and DRAM modules for smartphones, PCs, automotive, industrial and increasingly edge-AI storage.</t>
        </is>
      </c>
      <c r="AA12" s="83" t="n"/>
    </row>
    <row r="13" ht="15" customHeight="1">
      <c r="A13" s="83" t="inlineStr">
        <is>
          <t>3231</t>
        </is>
      </c>
      <c r="B13" s="83" t="inlineStr">
        <is>
          <t>Excelland Robotics (Wuxi) Co. Ltd.</t>
        </is>
      </c>
      <c r="C13" s="83" t="inlineStr">
        <is>
          <t>優地機器人（無錫）</t>
        </is>
      </c>
      <c r="D13" s="83" t="inlineStr">
        <is>
          <t>Tech/AI</t>
        </is>
      </c>
      <c r="E13" s="7" t="inlineStr">
        <is>
          <t>Robotics &amp; autonomous driving</t>
        </is>
      </c>
      <c r="F13" s="19" t="n">
        <v>765</v>
      </c>
      <c r="G13" s="19" t="n"/>
      <c r="H13" s="19" t="n"/>
      <c r="I13" s="83" t="inlineStr">
        <is>
          <t>prospectus: 45,000,000 H shares x HK$14.45-19.55 = HK$650m-880m gross (midpoint shown)</t>
        </is>
      </c>
      <c r="J13" s="84" t="n">
        <v>14.45</v>
      </c>
      <c r="K13" s="84" t="n">
        <v>19.55</v>
      </c>
      <c r="L13" s="85" t="n"/>
      <c r="M13" s="86" t="n">
        <v>3.09</v>
      </c>
      <c r="N13" s="83" t="inlineStr">
        <is>
          <t>2026-08-31 09:00 to 2026-09-04 12:00</t>
        </is>
      </c>
      <c r="O13" s="7" t="inlineStr">
        <is>
          <t>OFFERING — HK$14.45-19.55, closes 2026-09-04</t>
        </is>
      </c>
      <c r="P13" s="7" t="inlineStr">
        <is>
          <t>2026-09-09 listing</t>
        </is>
      </c>
      <c r="Q13" s="83" t="inlineStr">
        <is>
          <t>N</t>
        </is>
      </c>
      <c r="R13" s="83" t="n"/>
      <c r="S13" s="83" t="n"/>
      <c r="T13" s="84" t="n"/>
      <c r="U13" s="85" t="n"/>
      <c r="V13" s="87" t="n"/>
      <c r="W13" s="87" t="n"/>
      <c r="X13" s="83" t="inlineStr">
        <is>
          <t>Silver Nile Global Investments Limited (sole sponsor)</t>
        </is>
      </c>
      <c r="Y13" s="83" t="n"/>
      <c r="Z13" s="83" t="inlineStr">
        <is>
          <t>Commercial service robots under the Uditech/优地 brand: indoor delivery and guest-guidance robots (Yomie, Yodee), on-demand delivery in enclosed environments (Yogel), indoor/outdoor cleaning (Yoxiaogu) and vending robots (Yoshop), plus robotic modules, robot-as-a-service and rentals; a second unit sells AI vision-model solutions through its Yoware platform. Hotels, KTV, F&amp;B, parks and schools; direct sales 87.6% of FY2025 revenue. Ele.me (8.12%) and Yunfeng Fund (6.57%) are pre-IPO holders.</t>
        </is>
      </c>
      <c r="AA13" s="83" t="n"/>
    </row>
    <row r="14" ht="15" customHeight="1">
      <c r="A14" s="63" t="n"/>
      <c r="B14" s="63" t="inlineStr">
        <is>
          <t>Ligent Technologies, Inc.</t>
        </is>
      </c>
      <c r="C14" s="63" t="n"/>
      <c r="D14" s="63" t="n"/>
      <c r="E14" s="7" t="n"/>
      <c r="F14" s="19" t="n"/>
      <c r="G14" s="19" t="n"/>
      <c r="H14" s="19" t="n"/>
      <c r="I14" s="63" t="n"/>
      <c r="J14" s="66" t="n"/>
      <c r="K14" s="66" t="n"/>
      <c r="L14" s="74" t="n"/>
      <c r="M14" s="67" t="n"/>
      <c r="N14" s="63" t="n"/>
      <c r="O14" s="7" t="inlineStr">
        <is>
          <t>PHIP — hearing cleared</t>
        </is>
      </c>
      <c r="P14" s="7" t="inlineStr">
        <is>
          <t>PHIP 2026-08-30</t>
        </is>
      </c>
      <c r="Q14" s="63" t="inlineStr">
        <is>
          <t>Y</t>
        </is>
      </c>
      <c r="R14" s="63" t="n"/>
      <c r="S14" s="63" t="n"/>
      <c r="T14" s="66" t="n"/>
      <c r="U14" s="74" t="n"/>
      <c r="V14" s="72" t="n"/>
      <c r="W14" s="72" t="n"/>
      <c r="X14" s="63" t="n"/>
      <c r="Y14" s="78">
        <f>HYPERLINK("https://www1.hkexnews.hk/app/sehk/2026/108264/documents/sehk26083000040.pdf","filing")</f>
        <v/>
      </c>
      <c r="Z14" s="63" t="inlineStr">
        <is>
          <t>We are an established optical communication and connectivity product provider that develops, manufactures and sells optical transceivers, optical chips and optical network terminals, serving customer in China and overseas. Our history traces back to the establishment of two of our key operating subsidiaries, Ligent Tech and Qingdao Broadband, in the 2000s. Ligent Tech was established by Hisense Group Co., Ltd. (ʮ̡)( “ Hisense Company ”) and TransLight Limited (formerly known as Ligent International Inc.) (“TransLight ”) in 2002, while Qingdao Broadband was established by, amongst others, Hisense Group Holding and TransLight in 2003.</t>
        </is>
      </c>
      <c r="AA14" s="63" t="inlineStr">
        <is>
          <t>expected size not yet public (PHIP stage) — type it in the blue cell to rank comps on size</t>
        </is>
      </c>
    </row>
    <row r="15" ht="15" customHeight="1">
      <c r="A15" s="63" t="n"/>
      <c r="B15" s="63" t="inlineStr">
        <is>
          <t>Transwarp Technology (Shanghai) Co., Ltd.</t>
        </is>
      </c>
      <c r="C15" s="63" t="n"/>
      <c r="D15" s="63" t="n"/>
      <c r="E15" s="7" t="n"/>
      <c r="F15" s="19" t="n"/>
      <c r="G15" s="19" t="n"/>
      <c r="H15" s="19" t="n"/>
      <c r="I15" s="63" t="n"/>
      <c r="J15" s="66" t="n"/>
      <c r="K15" s="66" t="n"/>
      <c r="L15" s="74" t="n"/>
      <c r="M15" s="67" t="n"/>
      <c r="N15" s="63" t="n"/>
      <c r="O15" s="7" t="inlineStr">
        <is>
          <t>PHIP — hearing cleared</t>
        </is>
      </c>
      <c r="P15" s="7" t="inlineStr">
        <is>
          <t>PHIP 2026-08-27</t>
        </is>
      </c>
      <c r="Q15" s="63" t="inlineStr">
        <is>
          <t>N</t>
        </is>
      </c>
      <c r="R15" s="63" t="inlineStr">
        <is>
          <t>Y</t>
        </is>
      </c>
      <c r="S15" s="63" t="inlineStr">
        <is>
          <t>688031.SS</t>
        </is>
      </c>
      <c r="T15" s="66" t="n"/>
      <c r="U15" s="74" t="n"/>
      <c r="V15" s="72" t="n"/>
      <c r="W15" s="72" t="n"/>
      <c r="X15" s="63" t="inlineStr">
        <is>
          <t>Haitong International Securities Company Limited</t>
        </is>
      </c>
      <c r="Y15" s="78">
        <f>HYPERLINK("https://www1.hkexnews.hk/app/sehk/2026/108331/documents/sehk26082702028.pdf","filing")</f>
        <v/>
      </c>
      <c r="Z15" s="63" t="inlineStr">
        <is>
          <t>We are a company established under the laws of the PRC and substantially all of our assets are located in the PRC. In addition, the majority of our Directors and executive officers reside in the PRC, and substantially all of the assets of such Directors and executive officers are located in the PRC. As a result, it may not be possible for you to directly effect service of process upon us or such Directors or executive officers who reside in the PRC, including with respect to matters arising under U.S. federal securities laws or applicable state securities laws.</t>
        </is>
      </c>
      <c r="AA15" s="63" t="inlineStr">
        <is>
          <t>expected size not yet public (PHIP stage) — type it in the blue cell to rank comps on size</t>
        </is>
      </c>
    </row>
    <row r="16" ht="15" customHeight="1">
      <c r="A16" s="63" t="n"/>
      <c r="B16" s="63" t="inlineStr">
        <is>
          <t>Direct Drive Tech Limited</t>
        </is>
      </c>
      <c r="C16" s="63" t="inlineStr">
        <is>
          <t>本末動力（北京）科技股份有限公司</t>
        </is>
      </c>
      <c r="D16" s="63" t="inlineStr">
        <is>
          <t>Tech/AI</t>
        </is>
      </c>
      <c r="E16" s="7" t="inlineStr">
        <is>
          <t>Robotics &amp; autonomous driving</t>
        </is>
      </c>
      <c r="F16" s="19" t="n"/>
      <c r="G16" s="19" t="n"/>
      <c r="H16" s="19" t="n"/>
      <c r="I16" s="63" t="n"/>
      <c r="J16" s="66" t="n"/>
      <c r="K16" s="66" t="n"/>
      <c r="L16" s="74" t="n"/>
      <c r="M16" s="67" t="n"/>
      <c r="N16" s="63" t="n"/>
      <c r="O16" s="7" t="inlineStr">
        <is>
          <t>PHIP — hearing cleared</t>
        </is>
      </c>
      <c r="P16" s="7" t="inlineStr">
        <is>
          <t>PHIP 2026-06-29</t>
        </is>
      </c>
      <c r="Q16" s="63" t="inlineStr">
        <is>
          <t>N</t>
        </is>
      </c>
      <c r="R16" s="63" t="n"/>
      <c r="S16" s="63" t="n"/>
      <c r="T16" s="66" t="n"/>
      <c r="U16" s="74" t="n"/>
      <c r="V16" s="72" t="n"/>
      <c r="W16" s="72" t="n"/>
      <c r="X16" s="63" t="inlineStr">
        <is>
          <t>CLSA Limited</t>
        </is>
      </c>
      <c r="Y16" s="78">
        <f>HYPERLINK("https://www1.hkexnews.hk/app/sehk/2026/108691/documents/sehk26062901536.pdf","filing")</f>
        <v/>
      </c>
      <c r="Z16" s="63" t="inlineStr">
        <is>
          <t>We operate in (i) PRC consumer robotic actuator module industry, a sub-segment representing 26.3% of PRC robotic actuator module industry and (ii) PRC wheel-legged and PRC dual-wheel-legged robot industry in China, sub-segments representing less than 1.0% of the PRC robot industry. The following sets forth our highlights: Š Robotic actuator module. By revenue in 2025, we ranked (i) eighth with a market share of 2.4% in the PRC consumer robotic actuator module industry, and (ii) first with a market share of 61.1% in PRC consumer robotic direct drive actuator module industry, a sub-segment representing 3.9% of the PRC consumer robotic actuator module industry, according to Frost &amp; Sullivan.</t>
        </is>
      </c>
      <c r="AA16" s="63" t="inlineStr">
        <is>
          <t>subsector via analyst label; expected size not yet public (PHIP stage) — type it in the blue cell to rank comps on size</t>
        </is>
      </c>
    </row>
    <row r="17" ht="15" customHeight="1">
      <c r="A17" s="63" t="n"/>
      <c r="B17" s="63" t="inlineStr">
        <is>
          <t>Tanboer Group Co., Ltd.</t>
        </is>
      </c>
      <c r="C17" s="63" t="n"/>
      <c r="D17" s="63" t="inlineStr">
        <is>
          <t>Consumer</t>
        </is>
      </c>
      <c r="E17" s="7" t="inlineStr">
        <is>
          <t>Apparel / luxury</t>
        </is>
      </c>
      <c r="F17" s="19" t="n">
        <v>780</v>
      </c>
      <c r="G17" s="19" t="n"/>
      <c r="H17" s="19" t="n"/>
      <c r="I17" s="63" t="inlineStr">
        <is>
          <t>estimated (press report: Bamboo Works 2025-10 / Smartkarma 2026)</t>
        </is>
      </c>
      <c r="J17" s="66" t="n"/>
      <c r="K17" s="66" t="n"/>
      <c r="L17" s="74" t="n"/>
      <c r="M17" s="67" t="n"/>
      <c r="N17" s="63" t="n"/>
      <c r="O17" s="7" t="inlineStr">
        <is>
          <t>PHIP — hearing cleared</t>
        </is>
      </c>
      <c r="P17" s="7" t="inlineStr">
        <is>
          <t>PHIP 2026-06-21</t>
        </is>
      </c>
      <c r="Q17" s="63" t="inlineStr">
        <is>
          <t>Y</t>
        </is>
      </c>
      <c r="R17" s="63" t="n"/>
      <c r="S17" s="63" t="n"/>
      <c r="T17" s="66" t="n"/>
      <c r="U17" s="74" t="n"/>
      <c r="V17" s="72" t="n"/>
      <c r="W17" s="72" t="n"/>
      <c r="X17" s="63" t="inlineStr">
        <is>
          <t>China International Capital Corporation Hong Kong Securities Limited</t>
        </is>
      </c>
      <c r="Y17" s="78">
        <f>HYPERLINK("https://www1.hkexnews.hk/app/sehk/2026/108483/documents/sehk26062100126.pdf","filing")</f>
        <v/>
      </c>
      <c r="Z17" s="63" t="inlineStr">
        <is>
          <t>We operate our offline stores through two models to maximize market presence and adapt to consumer demands. Our permanent stores provide consistent brand presence in prime retail locations, offering our full product range throughout the year. In contrast, our seasonal offline stores are strategically opened during peak sales periods, primarily in the first and fourth quarters of each year.</t>
        </is>
      </c>
      <c r="AA17" s="63" t="inlineStr">
        <is>
          <t>subsector via analyst label; expected size not yet public (PHIP stage) — type it in the blue cell to rank comps on size</t>
        </is>
      </c>
    </row>
    <row r="18"/>
    <row r="19">
      <c r="A19" s="2" t="inlineStr">
        <is>
          <t>BLUE = yours to edit. Type/adjust EXPECTED SIZE (HK$m) and SUBSECTOR here — the Screener reads these cells LIVE, so comps re-rank the moment you type. HKD size = midpoint of US$ range × 7.8 where not explicitly reported.</t>
        </is>
      </c>
    </row>
    <row r="20"/>
    <row r="21">
      <c r="A21" s="14" t="inlineStr">
        <is>
          <t>LIVE HKEX APPLICATION QUEUE (from the exchange's own AP &amp; PHIP feed)</t>
        </is>
      </c>
    </row>
    <row r="22">
      <c r="A22" s="2" t="inlineStr">
        <is>
          <t>PHIP posted = listing hearing CLEARED, typically days-to-weeks from launch. Refreshed every time you run refresh.</t>
        </is>
      </c>
    </row>
    <row r="23">
      <c r="A23" s="12" t="inlineStr">
        <is>
          <t>Applicant</t>
        </is>
      </c>
      <c r="B23" s="12" t="inlineStr">
        <is>
          <t>Stage</t>
        </is>
      </c>
      <c r="C23" s="12" t="inlineStr">
        <is>
          <t>First filed</t>
        </is>
      </c>
      <c r="D23" s="12" t="inlineStr">
        <is>
          <t>Latest filing</t>
        </is>
      </c>
      <c r="E23" s="12" t="inlineStr">
        <is>
          <t>Days in process</t>
        </is>
      </c>
      <c r="F23" s="12" t="inlineStr">
        <is>
          <t>Document</t>
        </is>
      </c>
    </row>
    <row r="24">
      <c r="A24" s="88" t="inlineStr">
        <is>
          <t>Ligent Technologies, Inc.</t>
        </is>
      </c>
      <c r="B24" s="16" t="inlineStr">
        <is>
          <t>PHIP posted (hearing cleared)</t>
        </is>
      </c>
      <c r="C24" s="16" t="inlineStr">
        <is>
          <t>2026-08-30</t>
        </is>
      </c>
      <c r="D24" s="16" t="inlineStr">
        <is>
          <t>2026-08-30</t>
        </is>
      </c>
      <c r="E24" s="89" t="n">
        <v>0</v>
      </c>
      <c r="F24" s="78">
        <f>HYPERLINK("https://www1.hkexnews.hk/app/sehk/2026/108264/documents/sehk26083000040.pdf","open filing")</f>
        <v/>
      </c>
    </row>
    <row r="25">
      <c r="A25" s="88" t="inlineStr">
        <is>
          <t>Transwarp Technology (Shanghai) Co., Ltd.</t>
        </is>
      </c>
      <c r="B25" s="16" t="inlineStr">
        <is>
          <t>PHIP posted (hearing cleared)</t>
        </is>
      </c>
      <c r="C25" s="16" t="inlineStr">
        <is>
          <t>2026-08-27</t>
        </is>
      </c>
      <c r="D25" s="16" t="inlineStr">
        <is>
          <t>2026-08-27</t>
        </is>
      </c>
      <c r="E25" s="89" t="n">
        <v>3</v>
      </c>
      <c r="F25" s="78">
        <f>HYPERLINK("https://www1.hkexnews.hk/app/sehk/2026/108331/documents/sehk26082702028.pdf","open filing")</f>
        <v/>
      </c>
    </row>
    <row r="26">
      <c r="A26" s="88" t="inlineStr">
        <is>
          <t>Excelland Robotics (Wuxi) Co. Ltd.</t>
        </is>
      </c>
      <c r="B26" s="16" t="inlineStr">
        <is>
          <t>PHIP posted (hearing cleared)</t>
        </is>
      </c>
      <c r="C26" s="16" t="inlineStr">
        <is>
          <t>2026-08-24</t>
        </is>
      </c>
      <c r="D26" s="16" t="inlineStr">
        <is>
          <t>2026-08-24</t>
        </is>
      </c>
      <c r="E26" s="89" t="n">
        <v>6</v>
      </c>
      <c r="F26" s="78">
        <f>HYPERLINK("https://www1.hkexnews.hk/app/sehk/2026/108814/documents/sehk26082401690.pdf","open filing")</f>
        <v/>
      </c>
    </row>
    <row r="27">
      <c r="A27" s="88" t="inlineStr">
        <is>
          <t>Shenzhen Longsys Electronics Co., Ltd.</t>
        </is>
      </c>
      <c r="B27" s="16" t="inlineStr">
        <is>
          <t>PHIP posted (hearing cleared)</t>
        </is>
      </c>
      <c r="C27" s="16" t="inlineStr">
        <is>
          <t>2026-08-23</t>
        </is>
      </c>
      <c r="D27" s="16" t="inlineStr">
        <is>
          <t>2026-08-23</t>
        </is>
      </c>
      <c r="E27" s="89" t="n">
        <v>7</v>
      </c>
      <c r="F27" s="78">
        <f>HYPERLINK("https://www1.hkexnews.hk/app/sehk/2026/108594/documents/sehk26082300062.pdf","open filing")</f>
        <v/>
      </c>
    </row>
    <row r="28">
      <c r="A28" s="88" t="inlineStr">
        <is>
          <t>Medcaptain Medical Technology Co., Ltd.</t>
        </is>
      </c>
      <c r="B28" s="16" t="inlineStr">
        <is>
          <t>PHIP posted (hearing cleared)</t>
        </is>
      </c>
      <c r="C28" s="16" t="inlineStr">
        <is>
          <t>2026-08-20</t>
        </is>
      </c>
      <c r="D28" s="16" t="inlineStr">
        <is>
          <t>2026-08-20</t>
        </is>
      </c>
      <c r="E28" s="89" t="n">
        <v>10</v>
      </c>
      <c r="F28" s="78">
        <f>HYPERLINK("https://www1.hkexnews.hk/app/sehk/2026/108289/documents/sehk26082001648.pdf","open filing")</f>
        <v/>
      </c>
    </row>
    <row r="29">
      <c r="A29" s="88" t="inlineStr">
        <is>
          <t>Mech-Mind Robotics Technologies Co., Ltd.</t>
        </is>
      </c>
      <c r="B29" s="16" t="inlineStr">
        <is>
          <t>PHIP posted (hearing cleared)</t>
        </is>
      </c>
      <c r="C29" s="16" t="inlineStr">
        <is>
          <t>2026-08-16</t>
        </is>
      </c>
      <c r="D29" s="16" t="inlineStr">
        <is>
          <t>2026-08-16</t>
        </is>
      </c>
      <c r="E29" s="89" t="n">
        <v>14</v>
      </c>
      <c r="F29" s="78">
        <f>HYPERLINK("https://www1.hkexnews.hk/app/sehk/2026/108796/documents/sehk26081600030.pdf","open filing")</f>
        <v/>
      </c>
    </row>
    <row r="30">
      <c r="A30" s="88" t="inlineStr">
        <is>
          <t>Glorysoft (Shanghai) Co., Ltd.</t>
        </is>
      </c>
      <c r="B30" s="90" t="inlineStr">
        <is>
          <t>PHIP posted (hearing cleared)  [SPONSOR TERMINATED]</t>
        </is>
      </c>
      <c r="C30" s="16" t="inlineStr">
        <is>
          <t>2026-08-07</t>
        </is>
      </c>
      <c r="D30" s="16" t="inlineStr">
        <is>
          <t>2026-08-07</t>
        </is>
      </c>
      <c r="E30" s="89" t="n">
        <v>23</v>
      </c>
      <c r="F30" s="78">
        <f>HYPERLINK("https://www1.hkexnews.hk/app/sehk/2026/108262/documents/sehk26062301714.pdf","open filing")</f>
        <v/>
      </c>
    </row>
    <row r="31">
      <c r="A31" s="88" t="inlineStr">
        <is>
          <t>SHEIN Global Holdings Limited (formerly known as Elite Depot Limited) - W</t>
        </is>
      </c>
      <c r="B31" s="16" t="inlineStr">
        <is>
          <t>PHIP posted (hearing cleared)</t>
        </is>
      </c>
      <c r="C31" s="16" t="inlineStr">
        <is>
          <t>2026-07-26</t>
        </is>
      </c>
      <c r="D31" s="16" t="inlineStr">
        <is>
          <t>2026-07-26</t>
        </is>
      </c>
      <c r="E31" s="89" t="n">
        <v>35</v>
      </c>
      <c r="F31" s="78">
        <f>HYPERLINK("https://www1.hkexnews.hk/app/sehk/2026/108766/documents/sehk26072600126.pdf","open filing")</f>
        <v/>
      </c>
    </row>
    <row r="32">
      <c r="A32" s="88" t="inlineStr">
        <is>
          <t>Direct Drive Tech Limited</t>
        </is>
      </c>
      <c r="B32" s="16" t="inlineStr">
        <is>
          <t>PHIP posted (hearing cleared)</t>
        </is>
      </c>
      <c r="C32" s="16" t="inlineStr">
        <is>
          <t>2026-06-29</t>
        </is>
      </c>
      <c r="D32" s="16" t="inlineStr">
        <is>
          <t>2026-06-29</t>
        </is>
      </c>
      <c r="E32" s="89" t="n">
        <v>62</v>
      </c>
      <c r="F32" s="78">
        <f>HYPERLINK("https://www1.hkexnews.hk/app/sehk/2026/108691/documents/sehk26062901536.pdf","open filing")</f>
        <v/>
      </c>
    </row>
    <row r="33">
      <c r="A33" s="88" t="inlineStr">
        <is>
          <t>EKH Limited</t>
        </is>
      </c>
      <c r="B33" s="16" t="inlineStr">
        <is>
          <t>PHIP posted (hearing cleared)</t>
        </is>
      </c>
      <c r="C33" s="16" t="inlineStr">
        <is>
          <t>2026-06-26</t>
        </is>
      </c>
      <c r="D33" s="16" t="inlineStr">
        <is>
          <t>2026-06-26</t>
        </is>
      </c>
      <c r="E33" s="89" t="n">
        <v>65</v>
      </c>
      <c r="F33" s="78">
        <f>HYPERLINK("https://www1.hkexnews.hk/app/sehk/2026/108390/documents/sehk26062603258.pdf","open filing")</f>
        <v/>
      </c>
    </row>
    <row r="34">
      <c r="A34" s="88" t="inlineStr">
        <is>
          <t>Tanboer Group Co., Ltd.</t>
        </is>
      </c>
      <c r="B34" s="16" t="inlineStr">
        <is>
          <t>PHIP posted (hearing cleared)</t>
        </is>
      </c>
      <c r="C34" s="16" t="inlineStr">
        <is>
          <t>2026-06-21</t>
        </is>
      </c>
      <c r="D34" s="16" t="inlineStr">
        <is>
          <t>2026-06-21</t>
        </is>
      </c>
      <c r="E34" s="89" t="n">
        <v>70</v>
      </c>
      <c r="F34" s="78">
        <f>HYPERLINK("https://www1.hkexnews.hk/app/sehk/2026/108483/documents/sehk26062100126.pdf","open filing")</f>
        <v/>
      </c>
    </row>
    <row r="35">
      <c r="A35" s="16" t="inlineStr">
        <is>
          <t>Hangzhou Bangshun Pharmaceutical Co., Ltd. - B</t>
        </is>
      </c>
      <c r="B35" s="16" t="inlineStr">
        <is>
          <t>Application Proof only</t>
        </is>
      </c>
      <c r="C35" s="16" t="inlineStr">
        <is>
          <t>2026-08-30</t>
        </is>
      </c>
      <c r="D35" s="16" t="inlineStr">
        <is>
          <t>2026-08-30</t>
        </is>
      </c>
      <c r="E35" s="89" t="n">
        <v>0</v>
      </c>
      <c r="F35" s="78">
        <f>HYPERLINK("https://www1.hkexnews.hk/app/sehk/2026/108847/documents/sehk26083000266.pdf","open filing")</f>
        <v/>
      </c>
    </row>
    <row r="36">
      <c r="A36" s="16" t="inlineStr">
        <is>
          <t>Beijing XSKY Technology Co., Ltd.</t>
        </is>
      </c>
      <c r="B36" s="16" t="inlineStr">
        <is>
          <t>Application Proof only</t>
        </is>
      </c>
      <c r="C36" s="16" t="inlineStr">
        <is>
          <t>2026-08-30</t>
        </is>
      </c>
      <c r="D36" s="16" t="inlineStr">
        <is>
          <t>2026-08-30</t>
        </is>
      </c>
      <c r="E36" s="89" t="n">
        <v>0</v>
      </c>
      <c r="F36" s="78">
        <f>HYPERLINK("https://www1.hkexnews.hk/app/sehk/2026/108849/documents/sehk26083000408.pdf","open filing")</f>
        <v/>
      </c>
    </row>
    <row r="37">
      <c r="A37" s="16" t="inlineStr">
        <is>
          <t>ZHE JIANG HAI LIANG CO., LTD.</t>
        </is>
      </c>
      <c r="B37" s="16" t="inlineStr">
        <is>
          <t>Application Proof only</t>
        </is>
      </c>
      <c r="C37" s="16" t="inlineStr">
        <is>
          <t>2026-08-30</t>
        </is>
      </c>
      <c r="D37" s="16" t="inlineStr">
        <is>
          <t>2026-08-30</t>
        </is>
      </c>
      <c r="E37" s="89" t="n">
        <v>0</v>
      </c>
      <c r="F37" s="78">
        <f>HYPERLINK("https://www1.hkexnews.hk/app/sehk/2026/108850/documents/sehk26083000490.pdf","open filing")</f>
        <v/>
      </c>
    </row>
    <row r="38">
      <c r="A38" s="16" t="inlineStr">
        <is>
          <t>SSI New Material (Zhenjiang) Co., Ltd.</t>
        </is>
      </c>
      <c r="B38" s="16" t="inlineStr">
        <is>
          <t>Application Proof only</t>
        </is>
      </c>
      <c r="C38" s="16" t="inlineStr">
        <is>
          <t>2026-08-28</t>
        </is>
      </c>
      <c r="D38" s="16" t="inlineStr">
        <is>
          <t>2026-08-28</t>
        </is>
      </c>
      <c r="E38" s="89" t="n">
        <v>2</v>
      </c>
      <c r="F38" s="78">
        <f>HYPERLINK("https://www1.hkexnews.hk/app/sehk/2026/108805/documents/sehk26082101576.pdf","open filing")</f>
        <v/>
      </c>
    </row>
    <row r="39">
      <c r="A39" s="16" t="inlineStr">
        <is>
          <t>SHENZHEN CAPCHEM TECHNOLOGY CO., LTD.</t>
        </is>
      </c>
      <c r="B39" s="16" t="inlineStr">
        <is>
          <t>Application Proof only</t>
        </is>
      </c>
      <c r="C39" s="16" t="inlineStr">
        <is>
          <t>2026-08-28</t>
        </is>
      </c>
      <c r="D39" s="16" t="inlineStr">
        <is>
          <t>2026-08-28</t>
        </is>
      </c>
      <c r="E39" s="89" t="n">
        <v>2</v>
      </c>
      <c r="F39" s="78">
        <f>HYPERLINK("https://www1.hkexnews.hk/app/sehk/2026/108824/documents/sehk26082802199.pdf","open filing")</f>
        <v/>
      </c>
    </row>
    <row r="40">
      <c r="A40" s="16" t="inlineStr">
        <is>
          <t>VivaVision Biotech (Zhejiang) Co., Ltd. - B</t>
        </is>
      </c>
      <c r="B40" s="16" t="inlineStr">
        <is>
          <t>Application Proof only</t>
        </is>
      </c>
      <c r="C40" s="16" t="inlineStr">
        <is>
          <t>2026-08-28</t>
        </is>
      </c>
      <c r="D40" s="16" t="inlineStr">
        <is>
          <t>2026-08-28</t>
        </is>
      </c>
      <c r="E40" s="89" t="n">
        <v>2</v>
      </c>
      <c r="F40" s="78">
        <f>HYPERLINK("https://www1.hkexnews.hk/app/sehk/2026/108825/documents/sehk26082802477.pdf","open filing")</f>
        <v/>
      </c>
    </row>
    <row r="41">
      <c r="A41" s="16" t="inlineStr">
        <is>
          <t>Zhejiang Chint Electrics Co., Ltd.</t>
        </is>
      </c>
      <c r="B41" s="16" t="inlineStr">
        <is>
          <t>Application Proof only</t>
        </is>
      </c>
      <c r="C41" s="16" t="inlineStr">
        <is>
          <t>2026-08-28</t>
        </is>
      </c>
      <c r="D41" s="16" t="inlineStr">
        <is>
          <t>2026-08-28</t>
        </is>
      </c>
      <c r="E41" s="89" t="n">
        <v>2</v>
      </c>
      <c r="F41" s="78">
        <f>HYPERLINK("https://www1.hkexnews.hk/app/sehk/2026/108826/documents/sehk26082803207.pdf","open filing")</f>
        <v/>
      </c>
    </row>
    <row r="42">
      <c r="A42" s="16" t="inlineStr">
        <is>
          <t>Hangzhou Tangji Medical Technology Co., Ltd. - B</t>
        </is>
      </c>
      <c r="B42" s="16" t="inlineStr">
        <is>
          <t>Application Proof only</t>
        </is>
      </c>
      <c r="C42" s="16" t="inlineStr">
        <is>
          <t>2026-08-28</t>
        </is>
      </c>
      <c r="D42" s="16" t="inlineStr">
        <is>
          <t>2026-08-28</t>
        </is>
      </c>
      <c r="E42" s="89" t="n">
        <v>2</v>
      </c>
      <c r="F42" s="78">
        <f>HYPERLINK("https://www1.hkexnews.hk/app/sehk/2026/108827/documents/sehk26082803557.pdf","open filing")</f>
        <v/>
      </c>
    </row>
    <row r="43">
      <c r="A43" s="16" t="inlineStr">
        <is>
          <t>Frontera Therapeutics - B</t>
        </is>
      </c>
      <c r="B43" s="16" t="inlineStr">
        <is>
          <t>Application Proof only</t>
        </is>
      </c>
      <c r="C43" s="16" t="inlineStr">
        <is>
          <t>2026-08-28</t>
        </is>
      </c>
      <c r="D43" s="16" t="inlineStr">
        <is>
          <t>2026-08-28</t>
        </is>
      </c>
      <c r="E43" s="89" t="n">
        <v>2</v>
      </c>
      <c r="F43" s="78">
        <f>HYPERLINK("https://www1.hkexnews.hk/app/sehk/2026/108828/documents/sehk26082803705.pdf","open filing")</f>
        <v/>
      </c>
    </row>
    <row r="44">
      <c r="A44" s="16" t="inlineStr">
        <is>
          <t>Betta Pharmaceuticals Co., Ltd.</t>
        </is>
      </c>
      <c r="B44" s="16" t="inlineStr">
        <is>
          <t>Application Proof only</t>
        </is>
      </c>
      <c r="C44" s="16" t="inlineStr">
        <is>
          <t>2026-08-28</t>
        </is>
      </c>
      <c r="D44" s="16" t="inlineStr">
        <is>
          <t>2026-08-28</t>
        </is>
      </c>
      <c r="E44" s="89" t="n">
        <v>2</v>
      </c>
      <c r="F44" s="78">
        <f>HYPERLINK("https://www1.hkexnews.hk/app/sehk/2026/108829/documents/sehk26082803861.pdf","open filing")</f>
        <v/>
      </c>
    </row>
    <row r="45">
      <c r="A45" s="16" t="inlineStr">
        <is>
          <t>ClubMed Lifestyle Group</t>
        </is>
      </c>
      <c r="B45" s="16" t="inlineStr">
        <is>
          <t>Application Proof only</t>
        </is>
      </c>
      <c r="C45" s="16" t="inlineStr">
        <is>
          <t>2026-08-28</t>
        </is>
      </c>
      <c r="D45" s="16" t="inlineStr">
        <is>
          <t>2026-08-28</t>
        </is>
      </c>
      <c r="E45" s="89" t="n">
        <v>2</v>
      </c>
      <c r="F45" s="78">
        <f>HYPERLINK("https://www1.hkexnews.hk/app/sehk/2026/108831/documents/sehk26082803941.pdf","open filing")</f>
        <v/>
      </c>
    </row>
    <row r="46">
      <c r="A46" s="16" t="inlineStr">
        <is>
          <t>Exegenesis Bio Inc. - B</t>
        </is>
      </c>
      <c r="B46" s="16" t="inlineStr">
        <is>
          <t>Application Proof only</t>
        </is>
      </c>
      <c r="C46" s="16" t="inlineStr">
        <is>
          <t>2026-08-28</t>
        </is>
      </c>
      <c r="D46" s="16" t="inlineStr">
        <is>
          <t>2026-08-28</t>
        </is>
      </c>
      <c r="E46" s="89" t="n">
        <v>2</v>
      </c>
      <c r="F46" s="78">
        <f>HYPERLINK("https://www1.hkexnews.hk/app/sehk/2026/108832/documents/sehk26082804043.pdf","open filing")</f>
        <v/>
      </c>
    </row>
    <row r="47">
      <c r="A47" s="16" t="inlineStr">
        <is>
          <t>Nanjing Novlead Biotechnology Co., Ltd. - B</t>
        </is>
      </c>
      <c r="B47" s="16" t="inlineStr">
        <is>
          <t>Application Proof only</t>
        </is>
      </c>
      <c r="C47" s="16" t="inlineStr">
        <is>
          <t>2026-08-28</t>
        </is>
      </c>
      <c r="D47" s="16" t="inlineStr">
        <is>
          <t>2026-08-28</t>
        </is>
      </c>
      <c r="E47" s="89" t="n">
        <v>2</v>
      </c>
      <c r="F47" s="78">
        <f>HYPERLINK("https://www1.hkexnews.hk/app/sehk/2026/108833/documents/sehk26082804161.pdf","open filing")</f>
        <v/>
      </c>
    </row>
    <row r="48">
      <c r="A48" s="16" t="inlineStr">
        <is>
          <t>Shenzhen Immunofoco Biotechnology Co., Ltd. - B</t>
        </is>
      </c>
      <c r="B48" s="16" t="inlineStr">
        <is>
          <t>Application Proof only</t>
        </is>
      </c>
      <c r="C48" s="16" t="inlineStr">
        <is>
          <t>2026-08-27</t>
        </is>
      </c>
      <c r="D48" s="16" t="inlineStr">
        <is>
          <t>2026-08-27</t>
        </is>
      </c>
      <c r="E48" s="89" t="n">
        <v>3</v>
      </c>
      <c r="F48" s="78">
        <f>HYPERLINK("https://www1.hkexnews.hk/app/sehk/2026/108798/documents/sehk26081800036.pdf","open filing")</f>
        <v/>
      </c>
    </row>
    <row r="49">
      <c r="A49" s="16" t="inlineStr">
        <is>
          <t>Shanghai Vision Star Media Co.,Ltd.</t>
        </is>
      </c>
      <c r="B49" s="16" t="inlineStr">
        <is>
          <t>Application Proof only</t>
        </is>
      </c>
      <c r="C49" s="16" t="inlineStr">
        <is>
          <t>2026-08-27</t>
        </is>
      </c>
      <c r="D49" s="16" t="inlineStr">
        <is>
          <t>2026-08-27</t>
        </is>
      </c>
      <c r="E49" s="89" t="n">
        <v>3</v>
      </c>
      <c r="F49" s="78">
        <f>HYPERLINK("https://www1.hkexnews.hk/app/sehk/2026/108822/documents/sehk26082701844.pdf","open filing")</f>
        <v/>
      </c>
    </row>
    <row r="50">
      <c r="A50" s="16" t="inlineStr">
        <is>
          <t>Dizal Pharmaceutical Co., Ltd.</t>
        </is>
      </c>
      <c r="B50" s="16" t="inlineStr">
        <is>
          <t>Application Proof only</t>
        </is>
      </c>
      <c r="C50" s="16" t="inlineStr">
        <is>
          <t>2026-08-27</t>
        </is>
      </c>
      <c r="D50" s="16" t="inlineStr">
        <is>
          <t>2026-08-27</t>
        </is>
      </c>
      <c r="E50" s="89" t="n">
        <v>3</v>
      </c>
      <c r="F50" s="78">
        <f>HYPERLINK("https://www1.hkexnews.hk/app/sehk/2026/108823/documents/sehk26082702222.pdf","open filing")</f>
        <v/>
      </c>
    </row>
    <row r="51">
      <c r="A51" s="16" t="inlineStr">
        <is>
          <t>Zenshine Pharmaceuticals (Nanjing) Group Co., Ltd. - B</t>
        </is>
      </c>
      <c r="B51" s="16" t="inlineStr">
        <is>
          <t>Application Proof only</t>
        </is>
      </c>
      <c r="C51" s="16" t="inlineStr">
        <is>
          <t>2026-08-26</t>
        </is>
      </c>
      <c r="D51" s="16" t="inlineStr">
        <is>
          <t>2026-08-26</t>
        </is>
      </c>
      <c r="E51" s="89" t="n">
        <v>4</v>
      </c>
      <c r="F51" s="78">
        <f>HYPERLINK("https://www1.hkexnews.hk/app/sehk/2026/108821/documents/sehk26082601974.pdf","open filing")</f>
        <v/>
      </c>
    </row>
    <row r="52">
      <c r="A52" s="16" t="inlineStr">
        <is>
          <t>Ugreen Group Limited</t>
        </is>
      </c>
      <c r="B52" s="16" t="inlineStr">
        <is>
          <t>Application Proof only</t>
        </is>
      </c>
      <c r="C52" s="16" t="inlineStr">
        <is>
          <t>2026-08-25</t>
        </is>
      </c>
      <c r="D52" s="16" t="inlineStr">
        <is>
          <t>2026-08-25</t>
        </is>
      </c>
      <c r="E52" s="89" t="n">
        <v>5</v>
      </c>
      <c r="F52" s="78">
        <f>HYPERLINK("https://www1.hkexnews.hk/app/sehk/2026/108818/documents/sehk26082500276.pdf","open filing")</f>
        <v/>
      </c>
    </row>
    <row r="53">
      <c r="A53" s="16" t="inlineStr">
        <is>
          <t>Sublime China Information Co., Ltd.</t>
        </is>
      </c>
      <c r="B53" s="16" t="inlineStr">
        <is>
          <t>Application Proof only</t>
        </is>
      </c>
      <c r="C53" s="16" t="inlineStr">
        <is>
          <t>2026-08-25</t>
        </is>
      </c>
      <c r="D53" s="16" t="inlineStr">
        <is>
          <t>2026-08-25</t>
        </is>
      </c>
      <c r="E53" s="89" t="n">
        <v>5</v>
      </c>
      <c r="F53" s="78">
        <f>HYPERLINK("https://www1.hkexnews.hk/app/sehk/2026/108820/documents/sehk26082502062.pdf","open filing")</f>
        <v/>
      </c>
    </row>
    <row r="54">
      <c r="A54" s="16" t="inlineStr">
        <is>
          <t>Zhejiang Rongtai Electric Material Co., Ltd.</t>
        </is>
      </c>
      <c r="B54" s="16" t="inlineStr">
        <is>
          <t>Application Proof only</t>
        </is>
      </c>
      <c r="C54" s="16" t="inlineStr">
        <is>
          <t>2026-08-24</t>
        </is>
      </c>
      <c r="D54" s="16" t="inlineStr">
        <is>
          <t>2026-08-24</t>
        </is>
      </c>
      <c r="E54" s="89" t="n">
        <v>6</v>
      </c>
      <c r="F54" s="78">
        <f>HYPERLINK("https://www1.hkexnews.hk/app/sehk/2026/108815/documents/sehk26082401772.pdf","open filing")</f>
        <v/>
      </c>
    </row>
    <row r="55">
      <c r="A55" s="16" t="inlineStr">
        <is>
          <t>Shanghai Eigencomm Technologies Co., Ltd.</t>
        </is>
      </c>
      <c r="B55" s="16" t="inlineStr">
        <is>
          <t>Application Proof only</t>
        </is>
      </c>
      <c r="C55" s="16" t="inlineStr">
        <is>
          <t>2026-08-24</t>
        </is>
      </c>
      <c r="D55" s="16" t="inlineStr">
        <is>
          <t>2026-08-24</t>
        </is>
      </c>
      <c r="E55" s="89" t="n">
        <v>6</v>
      </c>
      <c r="F55" s="78">
        <f>HYPERLINK("https://www1.hkexnews.hk/app/sehk/2026/108816/documents/sehk26082402034.pdf","open filing")</f>
        <v/>
      </c>
    </row>
    <row r="56">
      <c r="A56" s="16" t="inlineStr">
        <is>
          <t>RelyEZ Energy Storage Technology Co., Ltd.</t>
        </is>
      </c>
      <c r="B56" s="16" t="inlineStr">
        <is>
          <t>Application Proof only</t>
        </is>
      </c>
      <c r="C56" s="16" t="inlineStr">
        <is>
          <t>2026-08-21</t>
        </is>
      </c>
      <c r="D56" s="16" t="inlineStr">
        <is>
          <t>2026-08-21</t>
        </is>
      </c>
      <c r="E56" s="89" t="n">
        <v>9</v>
      </c>
      <c r="F56" s="78">
        <f>HYPERLINK("https://www1.hkexnews.hk/app/sehk/2026/108790/documents/sehk26080900120.pdf","open filing")</f>
        <v/>
      </c>
    </row>
    <row r="57">
      <c r="A57" s="16" t="inlineStr">
        <is>
          <t>Qdama International Holding Ltd.</t>
        </is>
      </c>
      <c r="B57" s="16" t="inlineStr">
        <is>
          <t>Application Proof only</t>
        </is>
      </c>
      <c r="C57" s="16" t="inlineStr">
        <is>
          <t>2026-08-21</t>
        </is>
      </c>
      <c r="D57" s="16" t="inlineStr">
        <is>
          <t>2026-08-21</t>
        </is>
      </c>
      <c r="E57" s="89" t="n">
        <v>9</v>
      </c>
      <c r="F57" s="78">
        <f>HYPERLINK("https://www1.hkexnews.hk/app/sehk/2026/108804/documents/sehk26082101862.pdf","open filing")</f>
        <v/>
      </c>
    </row>
    <row r="58">
      <c r="A58" s="16" t="inlineStr">
        <is>
          <t>InventisBio Co., Limited - B</t>
        </is>
      </c>
      <c r="B58" s="16" t="inlineStr">
        <is>
          <t>Application Proof only</t>
        </is>
      </c>
      <c r="C58" s="16" t="inlineStr">
        <is>
          <t>2026-08-21</t>
        </is>
      </c>
      <c r="D58" s="16" t="inlineStr">
        <is>
          <t>2026-08-21</t>
        </is>
      </c>
      <c r="E58" s="89" t="n">
        <v>9</v>
      </c>
      <c r="F58" s="78">
        <f>HYPERLINK("https://www1.hkexnews.hk/app/sehk/2026/108806/documents/sehk26082101888.pdf","open filing")</f>
        <v/>
      </c>
    </row>
    <row r="59">
      <c r="A59" s="16" t="inlineStr">
        <is>
          <t>Tyligand Bioscience Ltd. - B</t>
        </is>
      </c>
      <c r="B59" s="16" t="inlineStr">
        <is>
          <t>Application Proof only</t>
        </is>
      </c>
      <c r="C59" s="16" t="inlineStr">
        <is>
          <t>2026-08-21</t>
        </is>
      </c>
      <c r="D59" s="16" t="inlineStr">
        <is>
          <t>2026-08-21</t>
        </is>
      </c>
      <c r="E59" s="89" t="n">
        <v>9</v>
      </c>
      <c r="F59" s="78">
        <f>HYPERLINK("https://www1.hkexnews.hk/app/sehk/2026/108809/documents/sehk26082102082.pdf","open filing")</f>
        <v/>
      </c>
    </row>
    <row r="60">
      <c r="A60" s="16" t="inlineStr">
        <is>
          <t>Kunlun New Energy Materials Technology (Yichang) Co., Ltd.</t>
        </is>
      </c>
      <c r="B60" s="16" t="inlineStr">
        <is>
          <t>Application Proof only</t>
        </is>
      </c>
      <c r="C60" s="16" t="inlineStr">
        <is>
          <t>2026-08-21</t>
        </is>
      </c>
      <c r="D60" s="16" t="inlineStr">
        <is>
          <t>2026-08-21</t>
        </is>
      </c>
      <c r="E60" s="89" t="n">
        <v>9</v>
      </c>
      <c r="F60" s="78">
        <f>HYPERLINK("https://www1.hkexnews.hk/app/sehk/2026/108811/documents/sehk26082102278.pdf","open filing")</f>
        <v/>
      </c>
    </row>
    <row r="61">
      <c r="A61" s="16" t="inlineStr">
        <is>
          <t>Zhuhai Kingsware Artificial Intelligence Co., Ltd.</t>
        </is>
      </c>
      <c r="B61" s="16" t="inlineStr">
        <is>
          <t>Application Proof only</t>
        </is>
      </c>
      <c r="C61" s="16" t="inlineStr">
        <is>
          <t>2026-08-21</t>
        </is>
      </c>
      <c r="D61" s="16" t="inlineStr">
        <is>
          <t>2026-08-21</t>
        </is>
      </c>
      <c r="E61" s="89" t="n">
        <v>9</v>
      </c>
      <c r="F61" s="78">
        <f>HYPERLINK("https://www1.hkexnews.hk/app/sehk/2026/108812/documents/sehk26082102364.pdf","open filing")</f>
        <v/>
      </c>
    </row>
    <row r="62">
      <c r="A62" s="16" t="inlineStr">
        <is>
          <t>Red Avenue New Materials Group Co., Ltd.</t>
        </is>
      </c>
      <c r="B62" s="16" t="inlineStr">
        <is>
          <t>Application Proof only</t>
        </is>
      </c>
      <c r="C62" s="16" t="inlineStr">
        <is>
          <t>2026-08-21</t>
        </is>
      </c>
      <c r="D62" s="16" t="inlineStr">
        <is>
          <t>2026-08-21</t>
        </is>
      </c>
      <c r="E62" s="89" t="n">
        <v>9</v>
      </c>
      <c r="F62" s="78">
        <f>HYPERLINK("https://www1.hkexnews.hk/app/sehk/2026/108810/documents/sehk26082102510.pdf","open filing")</f>
        <v/>
      </c>
    </row>
    <row r="63">
      <c r="A63" s="16" t="inlineStr">
        <is>
          <t>Eaglerise Electric &amp; Electronic (CHINA) Co., Ltd.</t>
        </is>
      </c>
      <c r="B63" s="16" t="inlineStr">
        <is>
          <t>Application Proof only</t>
        </is>
      </c>
      <c r="C63" s="16" t="inlineStr">
        <is>
          <t>2026-08-21</t>
        </is>
      </c>
      <c r="D63" s="16" t="inlineStr">
        <is>
          <t>2026-08-21</t>
        </is>
      </c>
      <c r="E63" s="89" t="n">
        <v>9</v>
      </c>
      <c r="F63" s="78">
        <f>HYPERLINK("https://www1.hkexnews.hk/app/sehk/2026/108813/documents/sehk26082102534.pdf","open filing")</f>
        <v/>
      </c>
    </row>
    <row r="64">
      <c r="A64" s="16" t="inlineStr">
        <is>
          <t>Junlebao Dairy Group Co., Ltd.</t>
        </is>
      </c>
      <c r="B64" s="16" t="inlineStr">
        <is>
          <t>Application Proof only</t>
        </is>
      </c>
      <c r="C64" s="16" t="inlineStr">
        <is>
          <t>2026-08-20</t>
        </is>
      </c>
      <c r="D64" s="16" t="inlineStr">
        <is>
          <t>2026-08-20</t>
        </is>
      </c>
      <c r="E64" s="89" t="n">
        <v>10</v>
      </c>
      <c r="F64" s="78">
        <f>HYPERLINK("https://www1.hkexnews.hk/app/sehk/2026/108802/documents/sehk26082000220.pdf","open filing")</f>
        <v/>
      </c>
    </row>
    <row r="65"/>
    <row r="66">
      <c r="A66" s="2" t="inlineStr">
        <is>
          <t>11 PHIP-stage of 366 live applications; showing PHIPs plus the 30 most recent Application Proofs.</t>
        </is>
      </c>
    </row>
  </sheetData>
  <conditionalFormatting sqref="A6:AA17">
    <cfRule type="expression" priority="1" dxfId="2" stopIfTrue="0">
      <formula>MOD(ROW(),2)=0</formula>
    </cfRule>
  </conditionalFormatting>
  <dataValidations count="1">
    <dataValidation sqref="E6:E17" showDropDown="0" showInputMessage="0" showErrorMessage="0" allowBlank="1" type="list">
      <formula1>=SubsectorList</formula1>
    </dataValidation>
  </dataValidations>
  <pageMargins left="0.75" right="0.75" top="1" bottom="1" header="0.5" footer="0.5"/>
  <ignoredErrors>
    <ignoredError sqref="A6:A40" numberStoredAsText="1"/>
  </ignoredErrors>
</worksheet>
</file>

<file path=xl/worksheets/sheet4.xml><?xml version="1.0" encoding="utf-8"?>
<worksheet xmlns="http://schemas.openxmlformats.org/spreadsheetml/2006/main">
  <sheetPr>
    <tabColor rgb="00BFBFBF"/>
    <outlinePr summaryBelow="1" summaryRight="1"/>
    <pageSetUpPr/>
  </sheetPr>
  <dimension ref="A1:M85"/>
  <sheetViews>
    <sheetView workbookViewId="0">
      <selection activeCell="A1" sqref="A1"/>
    </sheetView>
  </sheetViews>
  <sheetFormatPr baseColWidth="8" defaultRowHeight="15"/>
  <cols>
    <col width="8" customWidth="1" min="1" max="1"/>
    <col width="24" customWidth="1" min="2" max="2"/>
    <col width="20" customWidth="1" min="3" max="3"/>
    <col width="11" customWidth="1" min="4" max="4"/>
    <col width="10" customWidth="1" min="5" max="5"/>
    <col width="9" customWidth="1" min="6" max="6"/>
    <col width="11" customWidth="1" min="7" max="7"/>
    <col width="10" customWidth="1" min="8" max="8"/>
    <col width="10" customWidth="1" min="9" max="9"/>
    <col width="9" customWidth="1" min="10" max="10"/>
    <col width="11" customWidth="1" min="11" max="11"/>
    <col width="11" customWidth="1" min="12" max="12"/>
    <col width="34" customWidth="1" min="13" max="13"/>
  </cols>
  <sheetData>
    <row r="1">
      <c r="A1" s="1" t="inlineStr">
        <is>
          <t>A/H SPREAD MONITOR</t>
        </is>
      </c>
    </row>
    <row r="2">
      <c r="A2" s="2" t="inlineStr">
        <is>
          <t>A premium = (A×CNY→HKD) ÷ H − 1 · + = A trades ABOVE H · LIVE columns are Bloomberg BDP (work on the terminal only — mnemonics await terminal verify) · BLUE overrides beat live · snapshot column as of 2026-09-07</t>
        </is>
      </c>
    </row>
    <row r="3"/>
    <row r="4">
      <c r="A4" s="45" t="inlineStr">
        <is>
          <t>CNYHKD</t>
        </is>
      </c>
      <c r="B4" s="10">
        <f>IFERROR(BDP("CNYHKD Curncy","PX_LAST"),"")</f>
        <v/>
      </c>
      <c r="C4" s="7" t="n"/>
      <c r="D4" s="46">
        <f>IF($C$4&lt;&gt;"",$C$4,$B$4)</f>
        <v/>
      </c>
      <c r="E4" s="2" t="inlineStr">
        <is>
          <t>live / override / effective</t>
        </is>
      </c>
    </row>
    <row r="5"/>
    <row r="6">
      <c r="A6" s="12" t="inlineStr">
        <is>
          <t>H code</t>
        </is>
      </c>
      <c r="B6" s="12" t="inlineStr">
        <is>
          <t>Name</t>
        </is>
      </c>
      <c r="C6" s="12" t="inlineStr">
        <is>
          <t>Subsector</t>
        </is>
      </c>
      <c r="D6" s="12" t="inlineStr">
        <is>
          <t>H live (BDP)</t>
        </is>
      </c>
      <c r="E6" s="12" t="inlineStr">
        <is>
          <t>H override</t>
        </is>
      </c>
      <c r="F6" s="12" t="inlineStr">
        <is>
          <t>H eff</t>
        </is>
      </c>
      <c r="G6" s="12" t="inlineStr">
        <is>
          <t>A code</t>
        </is>
      </c>
      <c r="H6" s="12" t="inlineStr">
        <is>
          <t>A live (BDP)</t>
        </is>
      </c>
      <c r="I6" s="12" t="inlineStr">
        <is>
          <t>A override</t>
        </is>
      </c>
      <c r="J6" s="12" t="inlineStr">
        <is>
          <t>A eff</t>
        </is>
      </c>
      <c r="K6" s="12" t="inlineStr">
        <is>
          <t>A premium (live)</t>
        </is>
      </c>
      <c r="L6" s="12" t="inlineStr">
        <is>
          <t>Snapshot A prem</t>
        </is>
      </c>
      <c r="M6" s="12" t="inlineStr">
        <is>
          <t>Note</t>
        </is>
      </c>
    </row>
    <row r="7">
      <c r="A7" s="91" t="inlineStr">
        <is>
          <t>6127</t>
        </is>
      </c>
      <c r="B7" s="16" t="inlineStr">
        <is>
          <t>JOINN</t>
        </is>
      </c>
      <c r="C7" s="16" t="inlineStr">
        <is>
          <t>CXO / pharma services</t>
        </is>
      </c>
      <c r="D7" s="40">
        <f>IFERROR(BDP("6127 HK Equity","PX_LAST"),"")</f>
        <v/>
      </c>
      <c r="E7" s="92" t="n"/>
      <c r="F7" s="40">
        <f>IF($E7&lt;&gt;"",$E7,$D7)</f>
        <v/>
      </c>
      <c r="G7" s="16" t="inlineStr">
        <is>
          <t>603127.SS</t>
        </is>
      </c>
      <c r="H7" s="40">
        <f>IFERROR(BDP("603127 CH Equity","PX_LAST"),"")</f>
        <v/>
      </c>
      <c r="I7" s="92" t="n"/>
      <c r="J7" s="40">
        <f>IF($I7&lt;&gt;"",$I7,$H7)</f>
        <v/>
      </c>
      <c r="K7" s="43">
        <f>IF(OR(N($F7)&lt;=0,N($J7)&lt;=0,N($D$4)&lt;=0),"",($J7*$D$4)/$F7-1)</f>
        <v/>
      </c>
      <c r="L7" s="93" t="n">
        <v>1.2143</v>
      </c>
      <c r="M7" s="2" t="inlineStr">
        <is>
          <t>H listed Feb 2021; CRO safety-evaluation leader</t>
        </is>
      </c>
    </row>
    <row r="8">
      <c r="A8" s="91" t="inlineStr">
        <is>
          <t>6821</t>
        </is>
      </c>
      <c r="B8" s="16" t="inlineStr">
        <is>
          <t>ASYMCHEM</t>
        </is>
      </c>
      <c r="C8" s="16" t="inlineStr">
        <is>
          <t>CXO / pharma services</t>
        </is>
      </c>
      <c r="D8" s="40">
        <f>IFERROR(BDP("6821 HK Equity","PX_LAST"),"")</f>
        <v/>
      </c>
      <c r="E8" s="92" t="n"/>
      <c r="F8" s="40">
        <f>IF($E8&lt;&gt;"",$E8,$D8)</f>
        <v/>
      </c>
      <c r="G8" s="16" t="inlineStr">
        <is>
          <t>002821.SZ</t>
        </is>
      </c>
      <c r="H8" s="40">
        <f>IFERROR(BDP("002821 CH Equity","PX_LAST"),"")</f>
        <v/>
      </c>
      <c r="I8" s="92" t="n"/>
      <c r="J8" s="40">
        <f>IF($I8&lt;&gt;"",$I8,$H8)</f>
        <v/>
      </c>
      <c r="K8" s="43">
        <f>IF(OR(N($F8)&lt;=0,N($J8)&lt;=0,N($D$4)&lt;=0),"",($J8*$D$4)/$F8-1)</f>
        <v/>
      </c>
      <c r="L8" s="93" t="n">
        <v>0.5489000000000001</v>
      </c>
      <c r="M8" s="2" t="inlineStr">
        <is>
          <t>H listed Dec 2021 (CDMO)</t>
        </is>
      </c>
    </row>
    <row r="9">
      <c r="A9" s="91" t="inlineStr">
        <is>
          <t>6680</t>
        </is>
      </c>
      <c r="B9" s="16" t="inlineStr">
        <is>
          <t>JLMAG</t>
        </is>
      </c>
      <c r="C9" s="16" t="inlineStr">
        <is>
          <t>Capital goods / machinery</t>
        </is>
      </c>
      <c r="D9" s="40">
        <f>IFERROR(BDP("6680 HK Equity","PX_LAST"),"")</f>
        <v/>
      </c>
      <c r="E9" s="92" t="n"/>
      <c r="F9" s="40">
        <f>IF($E9&lt;&gt;"",$E9,$D9)</f>
        <v/>
      </c>
      <c r="G9" s="16" t="inlineStr">
        <is>
          <t>300748.SZ</t>
        </is>
      </c>
      <c r="H9" s="40">
        <f>IFERROR(BDP("300748 CH Equity","PX_LAST"),"")</f>
        <v/>
      </c>
      <c r="I9" s="92" t="n"/>
      <c r="J9" s="40">
        <f>IF($I9&lt;&gt;"",$I9,$H9)</f>
        <v/>
      </c>
      <c r="K9" s="43">
        <f>IF(OR(N($F9)&lt;=0,N($J9)&lt;=0,N($D$4)&lt;=0),"",($J9*$D$4)/$F9-1)</f>
        <v/>
      </c>
      <c r="L9" s="93" t="n">
        <v>0.8498</v>
      </c>
      <c r="M9" s="2" t="inlineStr">
        <is>
          <t>H listed Jan 2022 (NdFeB magnets)</t>
        </is>
      </c>
    </row>
    <row r="10">
      <c r="A10" s="91" t="inlineStr">
        <is>
          <t>9696</t>
        </is>
      </c>
      <c r="B10" s="16" t="inlineStr">
        <is>
          <t>TIANQI LITHIUM</t>
        </is>
      </c>
      <c r="C10" s="16" t="inlineStr">
        <is>
          <t>Mining / metals</t>
        </is>
      </c>
      <c r="D10" s="40">
        <f>IFERROR(BDP("9696 HK Equity","PX_LAST"),"")</f>
        <v/>
      </c>
      <c r="E10" s="92" t="n"/>
      <c r="F10" s="40">
        <f>IF($E10&lt;&gt;"",$E10,$D10)</f>
        <v/>
      </c>
      <c r="G10" s="16" t="inlineStr">
        <is>
          <t>002466.SZ</t>
        </is>
      </c>
      <c r="H10" s="40">
        <f>IFERROR(BDP("002466 CH Equity","PX_LAST"),"")</f>
        <v/>
      </c>
      <c r="I10" s="92" t="n"/>
      <c r="J10" s="40">
        <f>IF($I10&lt;&gt;"",$I10,$H10)</f>
        <v/>
      </c>
      <c r="K10" s="43">
        <f>IF(OR(N($F10)&lt;=0,N($J10)&lt;=0,N($D$4)&lt;=0),"",($J10*$D$4)/$F10-1)</f>
        <v/>
      </c>
      <c r="L10" s="93" t="n">
        <v>0.5363</v>
      </c>
      <c r="M10" s="2" t="inlineStr">
        <is>
          <t>Jul 2022, ~US$1.7bn — largest HK IPO of 2022 at pricing</t>
        </is>
      </c>
    </row>
    <row r="11">
      <c r="A11" s="91" t="inlineStr">
        <is>
          <t>1880</t>
        </is>
      </c>
      <c r="B11" s="16" t="inlineStr">
        <is>
          <t>CTG DUTY-FREE</t>
        </is>
      </c>
      <c r="C11" s="16" t="inlineStr">
        <is>
          <t>Retail / distribution</t>
        </is>
      </c>
      <c r="D11" s="40">
        <f>IFERROR(BDP("1880 HK Equity","PX_LAST"),"")</f>
        <v/>
      </c>
      <c r="E11" s="92" t="n"/>
      <c r="F11" s="40">
        <f>IF($E11&lt;&gt;"",$E11,$D11)</f>
        <v/>
      </c>
      <c r="G11" s="16" t="inlineStr">
        <is>
          <t>601888.SS</t>
        </is>
      </c>
      <c r="H11" s="40">
        <f>IFERROR(BDP("601888 CH Equity","PX_LAST"),"")</f>
        <v/>
      </c>
      <c r="I11" s="92" t="n"/>
      <c r="J11" s="40">
        <f>IF($I11&lt;&gt;"",$I11,$H11)</f>
        <v/>
      </c>
      <c r="K11" s="43">
        <f>IF(OR(N($F11)&lt;=0,N($J11)&lt;=0,N($D$4)&lt;=0),"",($J11*$D$4)/$F11-1)</f>
        <v/>
      </c>
      <c r="L11" s="93" t="n">
        <v>0.2658</v>
      </c>
      <c r="M11" s="2" t="inlineStr">
        <is>
          <t>Aug 2022, ~US$2.1bn H offering</t>
        </is>
      </c>
    </row>
    <row r="12">
      <c r="A12" s="91" t="inlineStr">
        <is>
          <t>2315</t>
        </is>
      </c>
      <c r="B12" s="16" t="inlineStr">
        <is>
          <t>BIOCYTOGEN-B</t>
        </is>
      </c>
      <c r="C12" s="16" t="inlineStr">
        <is>
          <t>Biotech pre-revenue (18A)</t>
        </is>
      </c>
      <c r="D12" s="40">
        <f>IFERROR(BDP("2315 HK Equity","PX_LAST"),"")</f>
        <v/>
      </c>
      <c r="E12" s="92" t="n"/>
      <c r="F12" s="40">
        <f>IF($E12&lt;&gt;"",$E12,$D12)</f>
        <v/>
      </c>
      <c r="G12" s="16" t="inlineStr">
        <is>
          <t>688796.SS</t>
        </is>
      </c>
      <c r="H12" s="40">
        <f>IFERROR(BDP("688796 CH Equity","PX_LAST"),"")</f>
        <v/>
      </c>
      <c r="I12" s="92" t="n"/>
      <c r="J12" s="40">
        <f>IF($I12&lt;&gt;"",$I12,$H12)</f>
        <v/>
      </c>
      <c r="K12" s="43">
        <f>IF(OR(N($F12)&lt;=0,N($J12)&lt;=0,N($D$4)&lt;=0),"",($J12*$D$4)/$F12-1)</f>
        <v/>
      </c>
      <c r="L12" s="93" t="n">
        <v>1.419</v>
      </c>
      <c r="M12" s="2" t="inlineStr">
        <is>
          <t>A-share 688796 listed AFTER the H IPO — no A price existed on the H pricing date, so an at-IPO premium cannot exist; the today premium is live</t>
        </is>
      </c>
    </row>
    <row r="13">
      <c r="A13" s="91" t="inlineStr">
        <is>
          <t>2402</t>
        </is>
      </c>
      <c r="B13" s="16" t="inlineStr">
        <is>
          <t>SINOHYTEC</t>
        </is>
      </c>
      <c r="C13" s="16" t="inlineStr">
        <is>
          <t>Batteries / energy storage</t>
        </is>
      </c>
      <c r="D13" s="40">
        <f>IFERROR(BDP("2402 HK Equity","PX_LAST"),"")</f>
        <v/>
      </c>
      <c r="E13" s="92" t="n"/>
      <c r="F13" s="40">
        <f>IF($E13&lt;&gt;"",$E13,$D13)</f>
        <v/>
      </c>
      <c r="G13" s="16" t="inlineStr">
        <is>
          <t>688339.SS</t>
        </is>
      </c>
      <c r="H13" s="40">
        <f>IFERROR(BDP("688339 CH Equity","PX_LAST"),"")</f>
        <v/>
      </c>
      <c r="I13" s="92" t="n"/>
      <c r="J13" s="40">
        <f>IF($I13&lt;&gt;"",$I13,$H13)</f>
        <v/>
      </c>
      <c r="K13" s="43">
        <f>IF(OR(N($F13)&lt;=0,N($J13)&lt;=0,N($D$4)&lt;=0),"",($J13*$D$4)/$F13-1)</f>
        <v/>
      </c>
      <c r="L13" s="93" t="n">
        <v>0.662</v>
      </c>
      <c r="M13" s="2" t="inlineStr">
        <is>
          <t>H listed Jan 2023 (hydrogen fuel cells); A+H on STAR</t>
        </is>
      </c>
    </row>
    <row r="14">
      <c r="A14" s="91" t="inlineStr">
        <is>
          <t>0300</t>
        </is>
      </c>
      <c r="B14" s="16" t="inlineStr">
        <is>
          <t>MIDEA GROUP</t>
        </is>
      </c>
      <c r="C14" s="16" t="inlineStr">
        <is>
          <t>Smart hardware / consumer electronics</t>
        </is>
      </c>
      <c r="D14" s="40">
        <f>IFERROR(BDP("300 HK Equity","PX_LAST"),"")</f>
        <v/>
      </c>
      <c r="E14" s="92" t="n"/>
      <c r="F14" s="40">
        <f>IF($E14&lt;&gt;"",$E14,$D14)</f>
        <v/>
      </c>
      <c r="G14" s="16" t="inlineStr">
        <is>
          <t>000333.SZ</t>
        </is>
      </c>
      <c r="H14" s="40">
        <f>IFERROR(BDP("000333 CH Equity","PX_LAST"),"")</f>
        <v/>
      </c>
      <c r="I14" s="92" t="n"/>
      <c r="J14" s="40">
        <f>IF($I14&lt;&gt;"",$I14,$H14)</f>
        <v/>
      </c>
      <c r="K14" s="43">
        <f>IF(OR(N($F14)&lt;=0,N($J14)&lt;=0,N($D$4)&lt;=0),"",($J14*$D$4)/$F14-1)</f>
        <v/>
      </c>
      <c r="L14" s="93" t="n">
        <v>0.008399999999999999</v>
      </c>
      <c r="M14" s="2" t="inlineStr">
        <is>
          <t>Sep 2024, ~US$4.0bn+greenshoe — the deal that opened the A-to-H wave; H priced at a double-digit discount to A</t>
        </is>
      </c>
    </row>
    <row r="15">
      <c r="A15" s="91" t="inlineStr">
        <is>
          <t>2465</t>
        </is>
      </c>
      <c r="B15" s="16" t="inlineStr">
        <is>
          <t>LOPAL TECH</t>
        </is>
      </c>
      <c r="C15" s="16" t="inlineStr">
        <is>
          <t>Batteries / energy storage</t>
        </is>
      </c>
      <c r="D15" s="40">
        <f>IFERROR(BDP("2465 HK Equity","PX_LAST"),"")</f>
        <v/>
      </c>
      <c r="E15" s="92" t="n"/>
      <c r="F15" s="40">
        <f>IF($E15&lt;&gt;"",$E15,$D15)</f>
        <v/>
      </c>
      <c r="G15" s="16" t="inlineStr">
        <is>
          <t>603906.SS</t>
        </is>
      </c>
      <c r="H15" s="40">
        <f>IFERROR(BDP("603906 CH Equity","PX_LAST"),"")</f>
        <v/>
      </c>
      <c r="I15" s="92" t="n"/>
      <c r="J15" s="40">
        <f>IF($I15&lt;&gt;"",$I15,$H15)</f>
        <v/>
      </c>
      <c r="K15" s="43">
        <f>IF(OR(N($F15)&lt;=0,N($J15)&lt;=0,N($D$4)&lt;=0),"",($J15*$D$4)/$F15-1)</f>
        <v/>
      </c>
      <c r="L15" s="93" t="n">
        <v>1.2624</v>
      </c>
      <c r="M15" s="2" t="inlineStr">
        <is>
          <t>Oct 2024 H listing (LFP cathode/adblue)</t>
        </is>
      </c>
    </row>
    <row r="16">
      <c r="A16" s="91" t="inlineStr">
        <is>
          <t>6936</t>
        </is>
      </c>
      <c r="B16" s="16" t="inlineStr">
        <is>
          <t>SF HOLDING</t>
        </is>
      </c>
      <c r="C16" s="16" t="inlineStr">
        <is>
          <t>Logistics</t>
        </is>
      </c>
      <c r="D16" s="40">
        <f>IFERROR(BDP("6936 HK Equity","PX_LAST"),"")</f>
        <v/>
      </c>
      <c r="E16" s="92" t="n"/>
      <c r="F16" s="40">
        <f>IF($E16&lt;&gt;"",$E16,$D16)</f>
        <v/>
      </c>
      <c r="G16" s="16" t="inlineStr">
        <is>
          <t>002352.SZ</t>
        </is>
      </c>
      <c r="H16" s="40">
        <f>IFERROR(BDP("002352 CH Equity","PX_LAST"),"")</f>
        <v/>
      </c>
      <c r="I16" s="92" t="n"/>
      <c r="J16" s="40">
        <f>IF($I16&lt;&gt;"",$I16,$H16)</f>
        <v/>
      </c>
      <c r="K16" s="43">
        <f>IF(OR(N($F16)&lt;=0,N($J16)&lt;=0,N($D$4)&lt;=0),"",($J16*$D$4)/$F16-1)</f>
        <v/>
      </c>
      <c r="L16" s="93" t="n">
        <v>0.1965</v>
      </c>
      <c r="M16" s="2" t="inlineStr">
        <is>
          <t>Nov 2024, ~US$750m; first A+H express logistics name</t>
        </is>
      </c>
    </row>
    <row r="17">
      <c r="A17" s="91" t="inlineStr">
        <is>
          <t>6693</t>
        </is>
      </c>
      <c r="B17" s="16" t="inlineStr">
        <is>
          <t>CHIFENG GOLD</t>
        </is>
      </c>
      <c r="C17" s="16" t="inlineStr">
        <is>
          <t>Mining / metals</t>
        </is>
      </c>
      <c r="D17" s="40">
        <f>IFERROR(BDP("6693 HK Equity","PX_LAST"),"")</f>
        <v/>
      </c>
      <c r="E17" s="92" t="n"/>
      <c r="F17" s="40">
        <f>IF($E17&lt;&gt;"",$E17,$D17)</f>
        <v/>
      </c>
      <c r="G17" s="16" t="inlineStr">
        <is>
          <t>600988.SS</t>
        </is>
      </c>
      <c r="H17" s="40">
        <f>IFERROR(BDP("600988 CH Equity","PX_LAST"),"")</f>
        <v/>
      </c>
      <c r="I17" s="92" t="n"/>
      <c r="J17" s="40">
        <f>IF($I17&lt;&gt;"",$I17,$H17)</f>
        <v/>
      </c>
      <c r="K17" s="43">
        <f>IF(OR(N($F17)&lt;=0,N($J17)&lt;=0,N($D$4)&lt;=0),"",($J17*$D$4)/$F17-1)</f>
        <v/>
      </c>
      <c r="L17" s="93" t="n">
        <v>0.3191</v>
      </c>
      <c r="M17" s="2" t="inlineStr">
        <is>
          <t>Mar 2025 H listing (gold miner)</t>
        </is>
      </c>
    </row>
    <row r="18">
      <c r="A18" s="91" t="inlineStr">
        <is>
          <t>2865</t>
        </is>
      </c>
      <c r="B18" s="16" t="inlineStr">
        <is>
          <t>DRINDA</t>
        </is>
      </c>
      <c r="C18" s="16" t="inlineStr">
        <is>
          <t>Solar / wind supply chain</t>
        </is>
      </c>
      <c r="D18" s="40">
        <f>IFERROR(BDP("2865 HK Equity","PX_LAST"),"")</f>
        <v/>
      </c>
      <c r="E18" s="92" t="n"/>
      <c r="F18" s="40">
        <f>IF($E18&lt;&gt;"",$E18,$D18)</f>
        <v/>
      </c>
      <c r="G18" s="16" t="inlineStr">
        <is>
          <t>002865.SZ</t>
        </is>
      </c>
      <c r="H18" s="40">
        <f>IFERROR(BDP("002865 CH Equity","PX_LAST"),"")</f>
        <v/>
      </c>
      <c r="I18" s="92" t="n"/>
      <c r="J18" s="40">
        <f>IF($I18&lt;&gt;"",$I18,$H18)</f>
        <v/>
      </c>
      <c r="K18" s="43">
        <f>IF(OR(N($F18)&lt;=0,N($J18)&lt;=0,N($D$4)&lt;=0),"",($J18*$D$4)/$F18-1)</f>
        <v/>
      </c>
      <c r="L18" s="93" t="n">
        <v>2.0048</v>
      </c>
      <c r="M18" s="2" t="inlineStr">
        <is>
          <t>May 2025 H listing (TOPCon solar cells)</t>
        </is>
      </c>
    </row>
    <row r="19">
      <c r="A19" s="91" t="inlineStr">
        <is>
          <t>3750</t>
        </is>
      </c>
      <c r="B19" s="16" t="inlineStr">
        <is>
          <t>CATL</t>
        </is>
      </c>
      <c r="C19" s="16" t="inlineStr">
        <is>
          <t>Batteries / energy storage</t>
        </is>
      </c>
      <c r="D19" s="40">
        <f>IFERROR(BDP("3750 HK Equity","PX_LAST"),"")</f>
        <v/>
      </c>
      <c r="E19" s="92" t="n"/>
      <c r="F19" s="40">
        <f>IF($E19&lt;&gt;"",$E19,$D19)</f>
        <v/>
      </c>
      <c r="G19" s="16" t="inlineStr">
        <is>
          <t>300750.SZ</t>
        </is>
      </c>
      <c r="H19" s="40">
        <f>IFERROR(BDP("300750 CH Equity","PX_LAST"),"")</f>
        <v/>
      </c>
      <c r="I19" s="92" t="n"/>
      <c r="J19" s="40">
        <f>IF($I19&lt;&gt;"",$I19,$H19)</f>
        <v/>
      </c>
      <c r="K19" s="43">
        <f>IF(OR(N($F19)&lt;=0,N($J19)&lt;=0,N($D$4)&lt;=0),"",($J19*$D$4)/$F19-1)</f>
        <v/>
      </c>
      <c r="L19" s="93" t="n">
        <v>-0.2932</v>
      </c>
      <c r="M19" s="2" t="inlineStr">
        <is>
          <t>May 2025, ~US$4.6bn (US$5.3bn w/ shoe) — world's largest listing of 2025; H priced at a slim discount to A and surged on debut</t>
        </is>
      </c>
    </row>
    <row r="20">
      <c r="A20" s="91" t="inlineStr">
        <is>
          <t>1276</t>
        </is>
      </c>
      <c r="B20" s="16" t="inlineStr">
        <is>
          <t>HENGRUI PHARMA</t>
        </is>
      </c>
      <c r="C20" s="16" t="inlineStr">
        <is>
          <t>Biopharma commercial</t>
        </is>
      </c>
      <c r="D20" s="40">
        <f>IFERROR(BDP("1276 HK Equity","PX_LAST"),"")</f>
        <v/>
      </c>
      <c r="E20" s="92" t="n"/>
      <c r="F20" s="40">
        <f>IF($E20&lt;&gt;"",$E20,$D20)</f>
        <v/>
      </c>
      <c r="G20" s="16" t="inlineStr">
        <is>
          <t>600276.SS</t>
        </is>
      </c>
      <c r="H20" s="40">
        <f>IFERROR(BDP("600276 CH Equity","PX_LAST"),"")</f>
        <v/>
      </c>
      <c r="I20" s="92" t="n"/>
      <c r="J20" s="40">
        <f>IF($I20&lt;&gt;"",$I20,$H20)</f>
        <v/>
      </c>
      <c r="K20" s="43">
        <f>IF(OR(N($F20)&lt;=0,N($J20)&lt;=0,N($D$4)&lt;=0),"",($J20*$D$4)/$F20-1)</f>
        <v/>
      </c>
      <c r="L20" s="93" t="n">
        <v>0.1658</v>
      </c>
      <c r="M20" s="2" t="inlineStr">
        <is>
          <t>May 2025, raised ~HK$9.9bn (~US$1.3bn)</t>
        </is>
      </c>
    </row>
    <row r="21">
      <c r="A21" s="91" t="inlineStr">
        <is>
          <t>2603</t>
        </is>
      </c>
      <c r="B21" s="16" t="inlineStr">
        <is>
          <t>JIHONG CO</t>
        </is>
      </c>
      <c r="C21" s="16" t="inlineStr">
        <is>
          <t>Internet platform / e-commerce</t>
        </is>
      </c>
      <c r="D21" s="40">
        <f>IFERROR(BDP("2603 HK Equity","PX_LAST"),"")</f>
        <v/>
      </c>
      <c r="E21" s="92" t="n"/>
      <c r="F21" s="40">
        <f>IF($E21&lt;&gt;"",$E21,$D21)</f>
        <v/>
      </c>
      <c r="G21" s="16" t="inlineStr">
        <is>
          <t>002803.SZ</t>
        </is>
      </c>
      <c r="H21" s="40">
        <f>IFERROR(BDP("002803 CH Equity","PX_LAST"),"")</f>
        <v/>
      </c>
      <c r="I21" s="92" t="n"/>
      <c r="J21" s="40">
        <f>IF($I21&lt;&gt;"",$I21,$H21)</f>
        <v/>
      </c>
      <c r="K21" s="43">
        <f>IF(OR(N($F21)&lt;=0,N($J21)&lt;=0,N($D$4)&lt;=0),"",($J21*$D$4)/$F21-1)</f>
        <v/>
      </c>
      <c r="L21" s="93" t="n">
        <v>0.8015</v>
      </c>
      <c r="M21" s="2" t="inlineStr">
        <is>
          <t>May 2025 H listing (packaging + cross-border e-commerce)</t>
        </is>
      </c>
    </row>
    <row r="22">
      <c r="A22" s="91" t="inlineStr">
        <is>
          <t>3288</t>
        </is>
      </c>
      <c r="B22" s="16" t="inlineStr">
        <is>
          <t>HAITIAN FLAV</t>
        </is>
      </c>
      <c r="C22" s="16" t="inlineStr">
        <is>
          <t>Beverages / packaged food</t>
        </is>
      </c>
      <c r="D22" s="40">
        <f>IFERROR(BDP("3288 HK Equity","PX_LAST"),"")</f>
        <v/>
      </c>
      <c r="E22" s="92" t="n"/>
      <c r="F22" s="40">
        <f>IF($E22&lt;&gt;"",$E22,$D22)</f>
        <v/>
      </c>
      <c r="G22" s="16" t="inlineStr">
        <is>
          <t>603288.SS</t>
        </is>
      </c>
      <c r="H22" s="40">
        <f>IFERROR(BDP("603288 CH Equity","PX_LAST"),"")</f>
        <v/>
      </c>
      <c r="I22" s="92" t="n"/>
      <c r="J22" s="40">
        <f>IF($I22&lt;&gt;"",$I22,$H22)</f>
        <v/>
      </c>
      <c r="K22" s="43">
        <f>IF(OR(N($F22)&lt;=0,N($J22)&lt;=0,N($D$4)&lt;=0),"",($J22*$D$4)/$F22-1)</f>
        <v/>
      </c>
      <c r="L22" s="93" t="n">
        <v>0.393</v>
      </c>
      <c r="M22" s="2" t="inlineStr">
        <is>
          <t>Jun 2025, ~US$1.3bn; condiments leader</t>
        </is>
      </c>
    </row>
    <row r="23">
      <c r="A23" s="91" t="inlineStr">
        <is>
          <t>2050</t>
        </is>
      </c>
      <c r="B23" s="16" t="inlineStr">
        <is>
          <t>SANHUA</t>
        </is>
      </c>
      <c r="C23" s="16" t="inlineStr">
        <is>
          <t>Auto parts / supply chain</t>
        </is>
      </c>
      <c r="D23" s="40">
        <f>IFERROR(BDP("2050 HK Equity","PX_LAST"),"")</f>
        <v/>
      </c>
      <c r="E23" s="92" t="n"/>
      <c r="F23" s="40">
        <f>IF($E23&lt;&gt;"",$E23,$D23)</f>
        <v/>
      </c>
      <c r="G23" s="16" t="inlineStr">
        <is>
          <t>002050.SZ</t>
        </is>
      </c>
      <c r="H23" s="40">
        <f>IFERROR(BDP("002050 CH Equity","PX_LAST"),"")</f>
        <v/>
      </c>
      <c r="I23" s="92" t="n"/>
      <c r="J23" s="40">
        <f>IF($I23&lt;&gt;"",$I23,$H23)</f>
        <v/>
      </c>
      <c r="K23" s="43">
        <f>IF(OR(N($F23)&lt;=0,N($J23)&lt;=0,N($D$4)&lt;=0),"",($J23*$D$4)/$F23-1)</f>
        <v/>
      </c>
      <c r="L23" s="93" t="n">
        <v>0.6844</v>
      </c>
      <c r="M23" s="2" t="inlineStr">
        <is>
          <t>Jun 2025 H listing (thermal management/humanoid actuators)</t>
        </is>
      </c>
    </row>
    <row r="24">
      <c r="A24" s="91" t="inlineStr">
        <is>
          <t>2648</t>
        </is>
      </c>
      <c r="B24" s="16" t="inlineStr">
        <is>
          <t>ANJOY FOOD</t>
        </is>
      </c>
      <c r="C24" s="16" t="inlineStr">
        <is>
          <t>Beverages / packaged food</t>
        </is>
      </c>
      <c r="D24" s="40">
        <f>IFERROR(BDP("2648 HK Equity","PX_LAST"),"")</f>
        <v/>
      </c>
      <c r="E24" s="92" t="n"/>
      <c r="F24" s="40">
        <f>IF($E24&lt;&gt;"",$E24,$D24)</f>
        <v/>
      </c>
      <c r="G24" s="16" t="inlineStr">
        <is>
          <t>603345.SS</t>
        </is>
      </c>
      <c r="H24" s="40">
        <f>IFERROR(BDP("603345 CH Equity","PX_LAST"),"")</f>
        <v/>
      </c>
      <c r="I24" s="92" t="n"/>
      <c r="J24" s="40">
        <f>IF($I24&lt;&gt;"",$I24,$H24)</f>
        <v/>
      </c>
      <c r="K24" s="43">
        <f>IF(OR(N($F24)&lt;=0,N($J24)&lt;=0,N($D$4)&lt;=0),"",($J24*$D$4)/$F24-1)</f>
        <v/>
      </c>
      <c r="L24" s="93" t="n">
        <v>0.3473</v>
      </c>
      <c r="M24" s="2" t="inlineStr">
        <is>
          <t>Jul 2025 H listing (frozen foods)</t>
        </is>
      </c>
    </row>
    <row r="25">
      <c r="A25" s="91" t="inlineStr">
        <is>
          <t>1304</t>
        </is>
      </c>
      <c r="B25" s="16" t="inlineStr">
        <is>
          <t>FORTIOR</t>
        </is>
      </c>
      <c r="C25" s="16" t="inlineStr">
        <is>
          <t>AI chips &amp; semis</t>
        </is>
      </c>
      <c r="D25" s="40">
        <f>IFERROR(BDP("1304 HK Equity","PX_LAST"),"")</f>
        <v/>
      </c>
      <c r="E25" s="92" t="n"/>
      <c r="F25" s="40">
        <f>IF($E25&lt;&gt;"",$E25,$D25)</f>
        <v/>
      </c>
      <c r="G25" s="16" t="inlineStr">
        <is>
          <t>688279.SS</t>
        </is>
      </c>
      <c r="H25" s="40">
        <f>IFERROR(BDP("688279 CH Equity","PX_LAST"),"")</f>
        <v/>
      </c>
      <c r="I25" s="92" t="n"/>
      <c r="J25" s="40">
        <f>IF($I25&lt;&gt;"",$I25,$H25)</f>
        <v/>
      </c>
      <c r="K25" s="43">
        <f>IF(OR(N($F25)&lt;=0,N($J25)&lt;=0,N($D$4)&lt;=0),"",($J25*$D$4)/$F25-1)</f>
        <v/>
      </c>
      <c r="L25" s="93" t="n">
        <v>0.8594000000000001</v>
      </c>
      <c r="M25" s="2" t="inlineStr">
        <is>
          <t>Jul 2025 H listing (BLDC motor-driver chips)</t>
        </is>
      </c>
    </row>
    <row r="26">
      <c r="A26" s="91" t="inlineStr">
        <is>
          <t>6613</t>
        </is>
      </c>
      <c r="B26" s="16" t="inlineStr">
        <is>
          <t>LENS</t>
        </is>
      </c>
      <c r="C26" s="16" t="inlineStr">
        <is>
          <t>Smart hardware / consumer electronics</t>
        </is>
      </c>
      <c r="D26" s="40">
        <f>IFERROR(BDP("6613 HK Equity","PX_LAST"),"")</f>
        <v/>
      </c>
      <c r="E26" s="92" t="n"/>
      <c r="F26" s="40">
        <f>IF($E26&lt;&gt;"",$E26,$D26)</f>
        <v/>
      </c>
      <c r="G26" s="16" t="inlineStr">
        <is>
          <t>300433.SZ</t>
        </is>
      </c>
      <c r="H26" s="40">
        <f>IFERROR(BDP("300433 CH Equity","PX_LAST"),"")</f>
        <v/>
      </c>
      <c r="I26" s="92" t="n"/>
      <c r="J26" s="40">
        <f>IF($I26&lt;&gt;"",$I26,$H26)</f>
        <v/>
      </c>
      <c r="K26" s="43">
        <f>IF(OR(N($F26)&lt;=0,N($J26)&lt;=0,N($D$4)&lt;=0),"",($J26*$D$4)/$F26-1)</f>
        <v/>
      </c>
      <c r="L26" s="93" t="n">
        <v>0.8149</v>
      </c>
      <c r="M26" s="2" t="inlineStr">
        <is>
          <t>Jul 2025 H listing (cover glass, Apple chain)</t>
        </is>
      </c>
    </row>
    <row r="27">
      <c r="A27" s="91" t="inlineStr">
        <is>
          <t>2631</t>
        </is>
      </c>
      <c r="B27" s="16" t="inlineStr">
        <is>
          <t>SICC</t>
        </is>
      </c>
      <c r="C27" s="16" t="inlineStr">
        <is>
          <t>AI chips &amp; semis</t>
        </is>
      </c>
      <c r="D27" s="40">
        <f>IFERROR(BDP("2631 HK Equity","PX_LAST"),"")</f>
        <v/>
      </c>
      <c r="E27" s="92" t="n"/>
      <c r="F27" s="40">
        <f>IF($E27&lt;&gt;"",$E27,$D27)</f>
        <v/>
      </c>
      <c r="G27" s="16" t="inlineStr">
        <is>
          <t>688234.SS</t>
        </is>
      </c>
      <c r="H27" s="40">
        <f>IFERROR(BDP("688234 CH Equity","PX_LAST"),"")</f>
        <v/>
      </c>
      <c r="I27" s="92" t="n"/>
      <c r="J27" s="40">
        <f>IF($I27&lt;&gt;"",$I27,$H27)</f>
        <v/>
      </c>
      <c r="K27" s="43">
        <f>IF(OR(N($F27)&lt;=0,N($J27)&lt;=0,N($D$4)&lt;=0),"",($J27*$D$4)/$F27-1)</f>
        <v/>
      </c>
      <c r="L27" s="93" t="n">
        <v>0.904</v>
      </c>
      <c r="M27" s="2" t="inlineStr">
        <is>
          <t>Aug 2025 H listing (SiC substrates)</t>
        </is>
      </c>
    </row>
    <row r="28">
      <c r="A28" s="91" t="inlineStr">
        <is>
          <t>0638</t>
        </is>
      </c>
      <c r="B28" s="16" t="inlineStr">
        <is>
          <t>FIBOCOM</t>
        </is>
      </c>
      <c r="C28" s="16" t="inlineStr">
        <is>
          <t>Smart hardware / consumer electronics</t>
        </is>
      </c>
      <c r="D28" s="40">
        <f>IFERROR(BDP("638 HK Equity","PX_LAST"),"")</f>
        <v/>
      </c>
      <c r="E28" s="92" t="n"/>
      <c r="F28" s="40">
        <f>IF($E28&lt;&gt;"",$E28,$D28)</f>
        <v/>
      </c>
      <c r="G28" s="16" t="inlineStr">
        <is>
          <t>300638.SZ</t>
        </is>
      </c>
      <c r="H28" s="40">
        <f>IFERROR(BDP("300638 CH Equity","PX_LAST"),"")</f>
        <v/>
      </c>
      <c r="I28" s="92" t="n"/>
      <c r="J28" s="40">
        <f>IF($I28&lt;&gt;"",$I28,$H28)</f>
        <v/>
      </c>
      <c r="K28" s="43">
        <f>IF(OR(N($F28)&lt;=0,N($J28)&lt;=0,N($D$4)&lt;=0),"",($J28*$D$4)/$F28-1)</f>
        <v/>
      </c>
      <c r="L28" s="93" t="n">
        <v>1.9709</v>
      </c>
      <c r="M28" s="2" t="inlineStr">
        <is>
          <t>Oct 2025 H listing (IoT wireless modules)</t>
        </is>
      </c>
    </row>
    <row r="29">
      <c r="A29" s="91" t="inlineStr">
        <is>
          <t>6031</t>
        </is>
      </c>
      <c r="B29" s="16" t="inlineStr">
        <is>
          <t>SANY HEAVY IND</t>
        </is>
      </c>
      <c r="C29" s="16" t="inlineStr">
        <is>
          <t>Capital goods / machinery</t>
        </is>
      </c>
      <c r="D29" s="40">
        <f>IFERROR(BDP("6031 HK Equity","PX_LAST"),"")</f>
        <v/>
      </c>
      <c r="E29" s="92" t="n"/>
      <c r="F29" s="40">
        <f>IF($E29&lt;&gt;"",$E29,$D29)</f>
        <v/>
      </c>
      <c r="G29" s="16" t="inlineStr">
        <is>
          <t>600031.SS</t>
        </is>
      </c>
      <c r="H29" s="40">
        <f>IFERROR(BDP("600031 CH Equity","PX_LAST"),"")</f>
        <v/>
      </c>
      <c r="I29" s="92" t="n"/>
      <c r="J29" s="40">
        <f>IF($I29&lt;&gt;"",$I29,$H29)</f>
        <v/>
      </c>
      <c r="K29" s="43">
        <f>IF(OR(N($F29)&lt;=0,N($J29)&lt;=0,N($D$4)&lt;=0),"",($J29*$D$4)/$F29-1)</f>
        <v/>
      </c>
      <c r="L29" s="93" t="n">
        <v>0.1893</v>
      </c>
      <c r="M29" s="2" t="inlineStr">
        <is>
          <t>Oct 2025, ~US$1.72bn</t>
        </is>
      </c>
    </row>
    <row r="30">
      <c r="A30" s="91" t="inlineStr">
        <is>
          <t>6166</t>
        </is>
      </c>
      <c r="B30" s="16" t="inlineStr">
        <is>
          <t>CIG</t>
        </is>
      </c>
      <c r="C30" s="16" t="inlineStr">
        <is>
          <t>Smart hardware / consumer electronics</t>
        </is>
      </c>
      <c r="D30" s="40">
        <f>IFERROR(BDP("6166 HK Equity","PX_LAST"),"")</f>
        <v/>
      </c>
      <c r="E30" s="92" t="n"/>
      <c r="F30" s="40">
        <f>IF($E30&lt;&gt;"",$E30,$D30)</f>
        <v/>
      </c>
      <c r="G30" s="16" t="inlineStr">
        <is>
          <t>603083.SS</t>
        </is>
      </c>
      <c r="H30" s="40">
        <f>IFERROR(BDP("603083 CH Equity","PX_LAST"),"")</f>
        <v/>
      </c>
      <c r="I30" s="92" t="n"/>
      <c r="J30" s="40">
        <f>IF($I30&lt;&gt;"",$I30,$H30)</f>
        <v/>
      </c>
      <c r="K30" s="43">
        <f>IF(OR(N($F30)&lt;=0,N($J30)&lt;=0,N($D$4)&lt;=0),"",($J30*$D$4)/$F30-1)</f>
        <v/>
      </c>
      <c r="L30" s="93" t="n">
        <v>1.1758</v>
      </c>
      <c r="M30" s="2" t="inlineStr">
        <is>
          <t>Oct 2025 H listing (telecom/AI networking hardware)</t>
        </is>
      </c>
    </row>
    <row r="31">
      <c r="A31" s="91" t="inlineStr">
        <is>
          <t>9927</t>
        </is>
      </c>
      <c r="B31" s="16" t="inlineStr">
        <is>
          <t>SERES</t>
        </is>
      </c>
      <c r="C31" s="16" t="inlineStr">
        <is>
          <t>Autos (NEV OEM)</t>
        </is>
      </c>
      <c r="D31" s="40">
        <f>IFERROR(BDP("9927 HK Equity","PX_LAST"),"")</f>
        <v/>
      </c>
      <c r="E31" s="92" t="n"/>
      <c r="F31" s="40">
        <f>IF($E31&lt;&gt;"",$E31,$D31)</f>
        <v/>
      </c>
      <c r="G31" s="16" t="inlineStr">
        <is>
          <t>601127.SS</t>
        </is>
      </c>
      <c r="H31" s="40">
        <f>IFERROR(BDP("601127 CH Equity","PX_LAST"),"")</f>
        <v/>
      </c>
      <c r="I31" s="92" t="n"/>
      <c r="J31" s="40">
        <f>IF($I31&lt;&gt;"",$I31,$H31)</f>
        <v/>
      </c>
      <c r="K31" s="43">
        <f>IF(OR(N($F31)&lt;=0,N($J31)&lt;=0,N($D$4)&lt;=0),"",($J31*$D$4)/$F31-1)</f>
        <v/>
      </c>
      <c r="L31" s="93" t="n">
        <v>0.4643</v>
      </c>
      <c r="M31" s="2" t="inlineStr">
        <is>
          <t>Nov 2025, HK$14.28bn (~US$1.8bn) — 3rd-largest HK IPO of 2025; flat debut</t>
        </is>
      </c>
    </row>
    <row r="32">
      <c r="A32" s="91" t="inlineStr">
        <is>
          <t>0699</t>
        </is>
      </c>
      <c r="B32" s="16" t="inlineStr">
        <is>
          <t>JOYSON ELEC</t>
        </is>
      </c>
      <c r="C32" s="16" t="inlineStr">
        <is>
          <t>Auto parts / supply chain</t>
        </is>
      </c>
      <c r="D32" s="40">
        <f>IFERROR(BDP("699 HK Equity","PX_LAST"),"")</f>
        <v/>
      </c>
      <c r="E32" s="92" t="n"/>
      <c r="F32" s="40">
        <f>IF($E32&lt;&gt;"",$E32,$D32)</f>
        <v/>
      </c>
      <c r="G32" s="16" t="inlineStr">
        <is>
          <t>600699.SS</t>
        </is>
      </c>
      <c r="H32" s="40">
        <f>IFERROR(BDP("600699 CH Equity","PX_LAST"),"")</f>
        <v/>
      </c>
      <c r="I32" s="92" t="n"/>
      <c r="J32" s="40">
        <f>IF($I32&lt;&gt;"",$I32,$H32)</f>
        <v/>
      </c>
      <c r="K32" s="43">
        <f>IF(OR(N($F32)&lt;=0,N($J32)&lt;=0,N($D$4)&lt;=0),"",($J32*$D$4)/$F32-1)</f>
        <v/>
      </c>
      <c r="L32" s="93" t="n">
        <v>0.8457</v>
      </c>
      <c r="M32" s="2" t="inlineStr">
        <is>
          <t>Nov 2025 H listing (auto electronics/safety)</t>
        </is>
      </c>
    </row>
    <row r="33">
      <c r="A33" s="91" t="inlineStr">
        <is>
          <t>2579</t>
        </is>
      </c>
      <c r="B33" s="16" t="inlineStr">
        <is>
          <t>CNGR</t>
        </is>
      </c>
      <c r="C33" s="16" t="inlineStr">
        <is>
          <t>Batteries / energy storage</t>
        </is>
      </c>
      <c r="D33" s="40">
        <f>IFERROR(BDP("2579 HK Equity","PX_LAST"),"")</f>
        <v/>
      </c>
      <c r="E33" s="92" t="n"/>
      <c r="F33" s="40">
        <f>IF($E33&lt;&gt;"",$E33,$D33)</f>
        <v/>
      </c>
      <c r="G33" s="16" t="inlineStr">
        <is>
          <t>300919.SZ</t>
        </is>
      </c>
      <c r="H33" s="40">
        <f>IFERROR(BDP("300919 CH Equity","PX_LAST"),"")</f>
        <v/>
      </c>
      <c r="I33" s="92" t="n"/>
      <c r="J33" s="40">
        <f>IF($I33&lt;&gt;"",$I33,$H33)</f>
        <v/>
      </c>
      <c r="K33" s="43">
        <f>IF(OR(N($F33)&lt;=0,N($J33)&lt;=0,N($D$4)&lt;=0),"",($J33*$D$4)/$F33-1)</f>
        <v/>
      </c>
      <c r="L33" s="93" t="n">
        <v>0.8403</v>
      </c>
      <c r="M33" s="2" t="inlineStr">
        <is>
          <t>Nov 2025 H listing (battery precursor materials)</t>
        </is>
      </c>
    </row>
    <row r="34">
      <c r="A34" s="91" t="inlineStr">
        <is>
          <t>2676</t>
        </is>
      </c>
      <c r="B34" s="16" t="inlineStr">
        <is>
          <t>NOVOSENSE</t>
        </is>
      </c>
      <c r="C34" s="16" t="inlineStr">
        <is>
          <t>AI chips &amp; semis</t>
        </is>
      </c>
      <c r="D34" s="40">
        <f>IFERROR(BDP("2676 HK Equity","PX_LAST"),"")</f>
        <v/>
      </c>
      <c r="E34" s="92" t="n"/>
      <c r="F34" s="40">
        <f>IF($E34&lt;&gt;"",$E34,$D34)</f>
        <v/>
      </c>
      <c r="G34" s="16" t="inlineStr">
        <is>
          <t>688052.SS</t>
        </is>
      </c>
      <c r="H34" s="40">
        <f>IFERROR(BDP("688052 CH Equity","PX_LAST"),"")</f>
        <v/>
      </c>
      <c r="I34" s="92" t="n"/>
      <c r="J34" s="40">
        <f>IF($I34&lt;&gt;"",$I34,$H34)</f>
        <v/>
      </c>
      <c r="K34" s="43">
        <f>IF(OR(N($F34)&lt;=0,N($J34)&lt;=0,N($D$4)&lt;=0),"",($J34*$D$4)/$F34-1)</f>
        <v/>
      </c>
      <c r="L34" s="93" t="n">
        <v>0.8355</v>
      </c>
      <c r="M34" s="2" t="inlineStr">
        <is>
          <t>Dec 2025 H listing (analog/mixed-signal chips)</t>
        </is>
      </c>
    </row>
    <row r="35">
      <c r="A35" s="91" t="inlineStr">
        <is>
          <t>2691</t>
        </is>
      </c>
      <c r="B35" s="16" t="inlineStr">
        <is>
          <t>NANHUA FUTURES</t>
        </is>
      </c>
      <c r="C35" s="16" t="inlineStr">
        <is>
          <t>Brokers / asset management</t>
        </is>
      </c>
      <c r="D35" s="40">
        <f>IFERROR(BDP("2691 HK Equity","PX_LAST"),"")</f>
        <v/>
      </c>
      <c r="E35" s="92" t="n"/>
      <c r="F35" s="40">
        <f>IF($E35&lt;&gt;"",$E35,$D35)</f>
        <v/>
      </c>
      <c r="G35" s="16" t="inlineStr">
        <is>
          <t>603093.SS</t>
        </is>
      </c>
      <c r="H35" s="40">
        <f>IFERROR(BDP("603093 CH Equity","PX_LAST"),"")</f>
        <v/>
      </c>
      <c r="I35" s="92" t="n"/>
      <c r="J35" s="40">
        <f>IF($I35&lt;&gt;"",$I35,$H35)</f>
        <v/>
      </c>
      <c r="K35" s="43">
        <f>IF(OR(N($F35)&lt;=0,N($J35)&lt;=0,N($D$4)&lt;=0),"",($J35*$D$4)/$F35-1)</f>
        <v/>
      </c>
      <c r="L35" s="93" t="n">
        <v>1.3419</v>
      </c>
      <c r="M35" s="2" t="inlineStr">
        <is>
          <t>Dec 2025 H listing (futures broker)</t>
        </is>
      </c>
    </row>
    <row r="36">
      <c r="A36" s="91" t="inlineStr">
        <is>
          <t>0501</t>
        </is>
      </c>
      <c r="B36" s="16" t="inlineStr">
        <is>
          <t>OMNIVISION</t>
        </is>
      </c>
      <c r="C36" s="16" t="inlineStr">
        <is>
          <t>AI chips &amp; semis</t>
        </is>
      </c>
      <c r="D36" s="40">
        <f>IFERROR(BDP("501 HK Equity","PX_LAST"),"")</f>
        <v/>
      </c>
      <c r="E36" s="92" t="n"/>
      <c r="F36" s="40">
        <f>IF($E36&lt;&gt;"",$E36,$D36)</f>
        <v/>
      </c>
      <c r="G36" s="16" t="inlineStr">
        <is>
          <t>603501.SS</t>
        </is>
      </c>
      <c r="H36" s="40">
        <f>IFERROR(BDP("603501 CH Equity","PX_LAST"),"")</f>
        <v/>
      </c>
      <c r="I36" s="92" t="n"/>
      <c r="J36" s="40">
        <f>IF($I36&lt;&gt;"",$I36,$H36)</f>
        <v/>
      </c>
      <c r="K36" s="43">
        <f>IF(OR(N($F36)&lt;=0,N($J36)&lt;=0,N($D$4)&lt;=0),"",($J36*$D$4)/$F36-1)</f>
        <v/>
      </c>
      <c r="L36" s="93" t="n">
        <v>0.3378</v>
      </c>
      <c r="M36" s="2" t="inlineStr">
        <is>
          <t>Jan 2026, US$616m offering; rose on debut</t>
        </is>
      </c>
    </row>
    <row r="37">
      <c r="A37" s="91" t="inlineStr">
        <is>
          <t>3986</t>
        </is>
      </c>
      <c r="B37" s="16" t="inlineStr">
        <is>
          <t>GIGADEVICE</t>
        </is>
      </c>
      <c r="C37" s="16" t="inlineStr">
        <is>
          <t>AI chips &amp; semis</t>
        </is>
      </c>
      <c r="D37" s="40">
        <f>IFERROR(BDP("3986 HK Equity","PX_LAST"),"")</f>
        <v/>
      </c>
      <c r="E37" s="92" t="n"/>
      <c r="F37" s="40">
        <f>IF($E37&lt;&gt;"",$E37,$D37)</f>
        <v/>
      </c>
      <c r="G37" s="16" t="inlineStr">
        <is>
          <t>603986.SS</t>
        </is>
      </c>
      <c r="H37" s="40">
        <f>IFERROR(BDP("603986 CH Equity","PX_LAST"),"")</f>
        <v/>
      </c>
      <c r="I37" s="92" t="n"/>
      <c r="J37" s="40">
        <f>IF($I37&lt;&gt;"",$I37,$H37)</f>
        <v/>
      </c>
      <c r="K37" s="43">
        <f>IF(OR(N($F37)&lt;=0,N($J37)&lt;=0,N($D$4)&lt;=0),"",($J37*$D$4)/$F37-1)</f>
        <v/>
      </c>
      <c r="L37" s="93" t="n">
        <v>-0.0267</v>
      </c>
      <c r="M37" s="2" t="inlineStr">
        <is>
          <t>Jan 2026, ~US$600m at top of range; closed +37.5% on debut</t>
        </is>
      </c>
    </row>
    <row r="38">
      <c r="A38" s="91" t="inlineStr">
        <is>
          <t>9611</t>
        </is>
      </c>
      <c r="B38" s="16" t="inlineStr">
        <is>
          <t>LONGCHEER</t>
        </is>
      </c>
      <c r="C38" s="16" t="inlineStr">
        <is>
          <t>Smart hardware / consumer electronics</t>
        </is>
      </c>
      <c r="D38" s="40">
        <f>IFERROR(BDP("9611 HK Equity","PX_LAST"),"")</f>
        <v/>
      </c>
      <c r="E38" s="92" t="n"/>
      <c r="F38" s="40">
        <f>IF($E38&lt;&gt;"",$E38,$D38)</f>
        <v/>
      </c>
      <c r="G38" s="16" t="inlineStr">
        <is>
          <t>603341.SS</t>
        </is>
      </c>
      <c r="H38" s="40">
        <f>IFERROR(BDP("603341 CH Equity","PX_LAST"),"")</f>
        <v/>
      </c>
      <c r="I38" s="92" t="n"/>
      <c r="J38" s="40">
        <f>IF($I38&lt;&gt;"",$I38,$H38)</f>
        <v/>
      </c>
      <c r="K38" s="43">
        <f>IF(OR(N($F38)&lt;=0,N($J38)&lt;=0,N($D$4)&lt;=0),"",($J38*$D$4)/$F38-1)</f>
        <v/>
      </c>
      <c r="L38" s="93" t="n">
        <v>0.8847</v>
      </c>
      <c r="M38" s="2" t="inlineStr">
        <is>
          <t>Jan 2026 H listing (smart-device ODM)</t>
        </is>
      </c>
    </row>
    <row r="39">
      <c r="A39" s="91" t="inlineStr">
        <is>
          <t>9980</t>
        </is>
      </c>
      <c r="B39" s="16" t="inlineStr">
        <is>
          <t>EASTROC</t>
        </is>
      </c>
      <c r="C39" s="16" t="inlineStr">
        <is>
          <t>Beverages / packaged food</t>
        </is>
      </c>
      <c r="D39" s="40">
        <f>IFERROR(BDP("9980 HK Equity","PX_LAST"),"")</f>
        <v/>
      </c>
      <c r="E39" s="92" t="n"/>
      <c r="F39" s="40">
        <f>IF($E39&lt;&gt;"",$E39,$D39)</f>
        <v/>
      </c>
      <c r="G39" s="16" t="inlineStr">
        <is>
          <t>605499.SS</t>
        </is>
      </c>
      <c r="H39" s="40">
        <f>IFERROR(BDP("605499 CH Equity","PX_LAST"),"")</f>
        <v/>
      </c>
      <c r="I39" s="92" t="n"/>
      <c r="J39" s="40">
        <f>IF($I39&lt;&gt;"",$I39,$H39)</f>
        <v/>
      </c>
      <c r="K39" s="43">
        <f>IF(OR(N($F39)&lt;=0,N($J39)&lt;=0,N($D$4)&lt;=0),"",($J39*$D$4)/$F39-1)</f>
        <v/>
      </c>
      <c r="L39" s="93" t="n">
        <v>0.283</v>
      </c>
      <c r="M39" s="2" t="inlineStr">
        <is>
          <t>Feb 2026, ~HK$10.1bn at HK$248/sh — largest HK IPO of early 2026</t>
        </is>
      </c>
    </row>
    <row r="40">
      <c r="A40" s="91" t="inlineStr">
        <is>
          <t>2768</t>
        </is>
      </c>
      <c r="B40" s="16" t="inlineStr">
        <is>
          <t>GON TECHNOLOGY</t>
        </is>
      </c>
      <c r="C40" s="16" t="inlineStr">
        <is>
          <t>Smart hardware / consumer electronics</t>
        </is>
      </c>
      <c r="D40" s="40">
        <f>IFERROR(BDP("2768 HK Equity","PX_LAST"),"")</f>
        <v/>
      </c>
      <c r="E40" s="92" t="n"/>
      <c r="F40" s="40">
        <f>IF($E40&lt;&gt;"",$E40,$D40)</f>
        <v/>
      </c>
      <c r="G40" s="16" t="inlineStr">
        <is>
          <t>002768.SZ</t>
        </is>
      </c>
      <c r="H40" s="40">
        <f>IFERROR(BDP("002768 CH Equity","PX_LAST"),"")</f>
        <v/>
      </c>
      <c r="I40" s="92" t="n"/>
      <c r="J40" s="40">
        <f>IF($I40&lt;&gt;"",$I40,$H40)</f>
        <v/>
      </c>
      <c r="K40" s="43">
        <f>IF(OR(N($F40)&lt;=0,N($J40)&lt;=0,N($D$4)&lt;=0),"",($J40*$D$4)/$F40-1)</f>
        <v/>
      </c>
      <c r="L40" s="93" t="n">
        <v>1.0222</v>
      </c>
      <c r="M40" s="2" t="inlineStr">
        <is>
          <t>Feb 2026 H listing (polymer materials)</t>
        </is>
      </c>
    </row>
    <row r="41">
      <c r="A41" s="91" t="inlineStr">
        <is>
          <t>3200</t>
        </is>
      </c>
      <c r="B41" s="16" t="inlineStr">
        <is>
          <t>HANS CNC</t>
        </is>
      </c>
      <c r="C41" s="16" t="inlineStr">
        <is>
          <t>Capital goods / machinery</t>
        </is>
      </c>
      <c r="D41" s="40">
        <f>IFERROR(BDP("3200 HK Equity","PX_LAST"),"")</f>
        <v/>
      </c>
      <c r="E41" s="92" t="n"/>
      <c r="F41" s="40">
        <f>IF($E41&lt;&gt;"",$E41,$D41)</f>
        <v/>
      </c>
      <c r="G41" s="16" t="inlineStr">
        <is>
          <t>301200.SZ</t>
        </is>
      </c>
      <c r="H41" s="40">
        <f>IFERROR(BDP("301200 CH Equity","PX_LAST"),"")</f>
        <v/>
      </c>
      <c r="I41" s="92" t="n"/>
      <c r="J41" s="40">
        <f>IF($I41&lt;&gt;"",$I41,$H41)</f>
        <v/>
      </c>
      <c r="K41" s="43">
        <f>IF(OR(N($F41)&lt;=0,N($J41)&lt;=0,N($D$4)&lt;=0),"",($J41*$D$4)/$F41-1)</f>
        <v/>
      </c>
      <c r="L41" s="93" t="n">
        <v>1.8629</v>
      </c>
      <c r="M41" s="2" t="inlineStr">
        <is>
          <t>Feb 2026 H listing (PCB drilling equipment)</t>
        </is>
      </c>
    </row>
    <row r="42">
      <c r="A42" s="91" t="inlineStr">
        <is>
          <t>2714</t>
        </is>
      </c>
      <c r="B42" s="16" t="inlineStr">
        <is>
          <t>MUYUAN</t>
        </is>
      </c>
      <c r="C42" s="16" t="inlineStr">
        <is>
          <t>Beverages / packaged food</t>
        </is>
      </c>
      <c r="D42" s="40">
        <f>IFERROR(BDP("2714 HK Equity","PX_LAST"),"")</f>
        <v/>
      </c>
      <c r="E42" s="92" t="n"/>
      <c r="F42" s="40">
        <f>IF($E42&lt;&gt;"",$E42,$D42)</f>
        <v/>
      </c>
      <c r="G42" s="16" t="inlineStr">
        <is>
          <t>002714.SZ</t>
        </is>
      </c>
      <c r="H42" s="40">
        <f>IFERROR(BDP("002714 CH Equity","PX_LAST"),"")</f>
        <v/>
      </c>
      <c r="I42" s="92" t="n"/>
      <c r="J42" s="40">
        <f>IF($I42&lt;&gt;"",$I42,$H42)</f>
        <v/>
      </c>
      <c r="K42" s="43">
        <f>IF(OR(N($F42)&lt;=0,N($J42)&lt;=0,N($D$4)&lt;=0),"",($J42*$D$4)/$F42-1)</f>
        <v/>
      </c>
      <c r="L42" s="93" t="n">
        <v>0.3875</v>
      </c>
      <c r="M42" s="2" t="inlineStr">
        <is>
          <t>Feb 2026, net proceeds up to HK$12.0bn w/ greenshoe; subdued debut</t>
        </is>
      </c>
    </row>
    <row r="43">
      <c r="A43" s="91" t="inlineStr">
        <is>
          <t>6809</t>
        </is>
      </c>
      <c r="B43" s="16" t="inlineStr">
        <is>
          <t>MONTAGE TECH</t>
        </is>
      </c>
      <c r="C43" s="16" t="inlineStr">
        <is>
          <t>AI chips &amp; semis</t>
        </is>
      </c>
      <c r="D43" s="40">
        <f>IFERROR(BDP("6809 HK Equity","PX_LAST"),"")</f>
        <v/>
      </c>
      <c r="E43" s="92" t="n"/>
      <c r="F43" s="40">
        <f>IF($E43&lt;&gt;"",$E43,$D43)</f>
        <v/>
      </c>
      <c r="G43" s="16" t="inlineStr">
        <is>
          <t>688008.SS</t>
        </is>
      </c>
      <c r="H43" s="40">
        <f>IFERROR(BDP("688008 CH Equity","PX_LAST"),"")</f>
        <v/>
      </c>
      <c r="I43" s="92" t="n"/>
      <c r="J43" s="40">
        <f>IF($I43&lt;&gt;"",$I43,$H43)</f>
        <v/>
      </c>
      <c r="K43" s="43">
        <f>IF(OR(N($F43)&lt;=0,N($J43)&lt;=0,N($D$4)&lt;=0),"",($J43*$D$4)/$F43-1)</f>
        <v/>
      </c>
      <c r="L43" s="93" t="n">
        <v>-0.112</v>
      </c>
      <c r="M43" s="2" t="inlineStr">
        <is>
          <t>Feb 2026 H listing (memory interface chips)</t>
        </is>
      </c>
    </row>
    <row r="44">
      <c r="A44" s="91" t="inlineStr">
        <is>
          <t>0470</t>
        </is>
      </c>
      <c r="B44" s="16" t="inlineStr">
        <is>
          <t>WUXI LEAD</t>
        </is>
      </c>
      <c r="C44" s="16" t="inlineStr">
        <is>
          <t>Capital goods / machinery</t>
        </is>
      </c>
      <c r="D44" s="40">
        <f>IFERROR(BDP("470 HK Equity","PX_LAST"),"")</f>
        <v/>
      </c>
      <c r="E44" s="92" t="n"/>
      <c r="F44" s="40">
        <f>IF($E44&lt;&gt;"",$E44,$D44)</f>
        <v/>
      </c>
      <c r="G44" s="16" t="inlineStr">
        <is>
          <t>300450.SZ</t>
        </is>
      </c>
      <c r="H44" s="40">
        <f>IFERROR(BDP("300450 CH Equity","PX_LAST"),"")</f>
        <v/>
      </c>
      <c r="I44" s="92" t="n"/>
      <c r="J44" s="40">
        <f>IF($I44&lt;&gt;"",$I44,$H44)</f>
        <v/>
      </c>
      <c r="K44" s="43">
        <f>IF(OR(N($F44)&lt;=0,N($J44)&lt;=0,N($D$4)&lt;=0),"",($J44*$D$4)/$F44-1)</f>
        <v/>
      </c>
      <c r="L44" s="93" t="n">
        <v>0.2401</v>
      </c>
      <c r="M44" s="2" t="inlineStr">
        <is>
          <t>Feb 2026 H listing (battery-making equipment)</t>
        </is>
      </c>
    </row>
    <row r="45">
      <c r="A45" s="91" t="inlineStr">
        <is>
          <t>9981</t>
        </is>
      </c>
      <c r="B45" s="16" t="inlineStr">
        <is>
          <t>WOER</t>
        </is>
      </c>
      <c r="C45" s="16" t="inlineStr">
        <is>
          <t>Chemicals</t>
        </is>
      </c>
      <c r="D45" s="40">
        <f>IFERROR(BDP("9981 HK Equity","PX_LAST"),"")</f>
        <v/>
      </c>
      <c r="E45" s="92" t="n"/>
      <c r="F45" s="40">
        <f>IF($E45&lt;&gt;"",$E45,$D45)</f>
        <v/>
      </c>
      <c r="G45" s="16" t="inlineStr">
        <is>
          <t>002130.SZ</t>
        </is>
      </c>
      <c r="H45" s="40">
        <f>IFERROR(BDP("002130 CH Equity","PX_LAST"),"")</f>
        <v/>
      </c>
      <c r="I45" s="92" t="n"/>
      <c r="J45" s="40">
        <f>IF($I45&lt;&gt;"",$I45,$H45)</f>
        <v/>
      </c>
      <c r="K45" s="43">
        <f>IF(OR(N($F45)&lt;=0,N($J45)&lt;=0,N($D$4)&lt;=0),"",($J45*$D$4)/$F45-1)</f>
        <v/>
      </c>
      <c r="L45" s="93" t="n">
        <v>0.9814000000000001</v>
      </c>
      <c r="M45" s="2" t="inlineStr">
        <is>
          <t>Feb 2026 H listing</t>
        </is>
      </c>
    </row>
    <row r="46">
      <c r="A46" s="91" t="inlineStr">
        <is>
          <t>2715</t>
        </is>
      </c>
      <c r="B46" s="16" t="inlineStr">
        <is>
          <t>ESTUN</t>
        </is>
      </c>
      <c r="C46" s="16" t="inlineStr">
        <is>
          <t>Robotics &amp; autonomous driving</t>
        </is>
      </c>
      <c r="D46" s="40">
        <f>IFERROR(BDP("2715 HK Equity","PX_LAST"),"")</f>
        <v/>
      </c>
      <c r="E46" s="92" t="n"/>
      <c r="F46" s="40">
        <f>IF($E46&lt;&gt;"",$E46,$D46)</f>
        <v/>
      </c>
      <c r="G46" s="16" t="inlineStr">
        <is>
          <t>002747.SZ</t>
        </is>
      </c>
      <c r="H46" s="40">
        <f>IFERROR(BDP("002747 CH Equity","PX_LAST"),"")</f>
        <v/>
      </c>
      <c r="I46" s="92" t="n"/>
      <c r="J46" s="40">
        <f>IF($I46&lt;&gt;"",$I46,$H46)</f>
        <v/>
      </c>
      <c r="K46" s="43">
        <f>IF(OR(N($F46)&lt;=0,N($J46)&lt;=0,N($D$4)&lt;=0),"",($J46*$D$4)/$F46-1)</f>
        <v/>
      </c>
      <c r="L46" s="93" t="n">
        <v>1.1519</v>
      </c>
      <c r="M46" s="2" t="inlineStr">
        <is>
          <t>Mar 2026 H listing (industrial robots)</t>
        </is>
      </c>
    </row>
    <row r="47">
      <c r="A47" s="91" t="inlineStr">
        <is>
          <t>2692</t>
        </is>
      </c>
      <c r="B47" s="16" t="inlineStr">
        <is>
          <t>ZHAOWEI</t>
        </is>
      </c>
      <c r="C47" s="16" t="inlineStr">
        <is>
          <t>Capital goods / machinery</t>
        </is>
      </c>
      <c r="D47" s="40">
        <f>IFERROR(BDP("2692 HK Equity","PX_LAST"),"")</f>
        <v/>
      </c>
      <c r="E47" s="92" t="n"/>
      <c r="F47" s="40">
        <f>IF($E47&lt;&gt;"",$E47,$D47)</f>
        <v/>
      </c>
      <c r="G47" s="16" t="inlineStr">
        <is>
          <t>003021.SZ</t>
        </is>
      </c>
      <c r="H47" s="40">
        <f>IFERROR(BDP("003021 CH Equity","PX_LAST"),"")</f>
        <v/>
      </c>
      <c r="I47" s="92" t="n"/>
      <c r="J47" s="40">
        <f>IF($I47&lt;&gt;"",$I47,$H47)</f>
        <v/>
      </c>
      <c r="K47" s="43">
        <f>IF(OR(N($F47)&lt;=0,N($J47)&lt;=0,N($D$4)&lt;=0),"",($J47*$D$4)/$F47-1)</f>
        <v/>
      </c>
      <c r="L47" s="93" t="n">
        <v>1.1195</v>
      </c>
      <c r="M47" s="2" t="inlineStr">
        <is>
          <t>Mar 2026 H listing (micro drive systems/dexterous hands)</t>
        </is>
      </c>
    </row>
    <row r="48">
      <c r="A48" s="91" t="inlineStr">
        <is>
          <t>3268</t>
        </is>
      </c>
      <c r="B48" s="16" t="inlineStr">
        <is>
          <t>MEIG</t>
        </is>
      </c>
      <c r="C48" s="16" t="inlineStr">
        <is>
          <t>Smart hardware / consumer electronics</t>
        </is>
      </c>
      <c r="D48" s="40">
        <f>IFERROR(BDP("3268 HK Equity","PX_LAST"),"")</f>
        <v/>
      </c>
      <c r="E48" s="92" t="n"/>
      <c r="F48" s="40">
        <f>IF($E48&lt;&gt;"",$E48,$D48)</f>
        <v/>
      </c>
      <c r="G48" s="16" t="inlineStr">
        <is>
          <t>002881.SZ</t>
        </is>
      </c>
      <c r="H48" s="40">
        <f>IFERROR(BDP("002881 CH Equity","PX_LAST"),"")</f>
        <v/>
      </c>
      <c r="I48" s="92" t="n"/>
      <c r="J48" s="40">
        <f>IF($I48&lt;&gt;"",$I48,$H48)</f>
        <v/>
      </c>
      <c r="K48" s="43">
        <f>IF(OR(N($F48)&lt;=0,N($J48)&lt;=0,N($D$4)&lt;=0),"",($J48*$D$4)/$F48-1)</f>
        <v/>
      </c>
      <c r="L48" s="93" t="n">
        <v>1.2774</v>
      </c>
      <c r="M48" s="2" t="inlineStr">
        <is>
          <t>Mar 2026 H listing (IoT modules)</t>
        </is>
      </c>
    </row>
    <row r="49">
      <c r="A49" s="91" t="inlineStr">
        <is>
          <t>1989</t>
        </is>
      </c>
      <c r="B49" s="16" t="inlineStr">
        <is>
          <t>DELTON</t>
        </is>
      </c>
      <c r="C49" s="16" t="inlineStr">
        <is>
          <t>Smart hardware / consumer electronics</t>
        </is>
      </c>
      <c r="D49" s="40">
        <f>IFERROR(BDP("1989 HK Equity","PX_LAST"),"")</f>
        <v/>
      </c>
      <c r="E49" s="92" t="n"/>
      <c r="F49" s="40">
        <f>IF($E49&lt;&gt;"",$E49,$D49)</f>
        <v/>
      </c>
      <c r="G49" s="16" t="inlineStr">
        <is>
          <t>001389.SZ</t>
        </is>
      </c>
      <c r="H49" s="40">
        <f>IFERROR(BDP("001389 CH Equity","PX_LAST"),"")</f>
        <v/>
      </c>
      <c r="I49" s="92" t="n"/>
      <c r="J49" s="40">
        <f>IF($I49&lt;&gt;"",$I49,$H49)</f>
        <v/>
      </c>
      <c r="K49" s="43">
        <f>IF(OR(N($F49)&lt;=0,N($J49)&lt;=0,N($D$4)&lt;=0),"",($J49*$D$4)/$F49-1)</f>
        <v/>
      </c>
      <c r="L49" s="93" t="n">
        <v>0.4545</v>
      </c>
      <c r="M49" s="2" t="inlineStr">
        <is>
          <t>Mar 2026 H listing (PCB)</t>
        </is>
      </c>
    </row>
    <row r="50">
      <c r="A50" s="91" t="inlineStr">
        <is>
          <t>2701</t>
        </is>
      </c>
      <c r="B50" s="16" t="inlineStr">
        <is>
          <t>NSING TECH</t>
        </is>
      </c>
      <c r="C50" s="16" t="inlineStr">
        <is>
          <t>AI chips &amp; semis</t>
        </is>
      </c>
      <c r="D50" s="40">
        <f>IFERROR(BDP("2701 HK Equity","PX_LAST"),"")</f>
        <v/>
      </c>
      <c r="E50" s="92" t="n"/>
      <c r="F50" s="40">
        <f>IF($E50&lt;&gt;"",$E50,$D50)</f>
        <v/>
      </c>
      <c r="G50" s="16" t="inlineStr">
        <is>
          <t>300077.SZ</t>
        </is>
      </c>
      <c r="H50" s="40">
        <f>IFERROR(BDP("300077 CH Equity","PX_LAST"),"")</f>
        <v/>
      </c>
      <c r="I50" s="92" t="n"/>
      <c r="J50" s="40">
        <f>IF($I50&lt;&gt;"",$I50,$H50)</f>
        <v/>
      </c>
      <c r="K50" s="43">
        <f>IF(OR(N($F50)&lt;=0,N($J50)&lt;=0,N($D$4)&lt;=0),"",($J50*$D$4)/$F50-1)</f>
        <v/>
      </c>
      <c r="L50" s="93" t="n">
        <v>1.6302</v>
      </c>
      <c r="M50" s="2" t="inlineStr">
        <is>
          <t>Mar 2026 H listing (security/MCU chips)</t>
        </is>
      </c>
    </row>
    <row r="51">
      <c r="A51" s="91" t="inlineStr">
        <is>
          <t>2476</t>
        </is>
      </c>
      <c r="B51" s="16" t="inlineStr">
        <is>
          <t>VGT</t>
        </is>
      </c>
      <c r="C51" s="16" t="inlineStr">
        <is>
          <t>Smart hardware / consumer electronics</t>
        </is>
      </c>
      <c r="D51" s="40">
        <f>IFERROR(BDP("2476 HK Equity","PX_LAST"),"")</f>
        <v/>
      </c>
      <c r="E51" s="92" t="n"/>
      <c r="F51" s="40">
        <f>IF($E51&lt;&gt;"",$E51,$D51)</f>
        <v/>
      </c>
      <c r="G51" s="16" t="inlineStr">
        <is>
          <t>300476.SZ</t>
        </is>
      </c>
      <c r="H51" s="40">
        <f>IFERROR(BDP("300476 CH Equity","PX_LAST"),"")</f>
        <v/>
      </c>
      <c r="I51" s="92" t="n"/>
      <c r="J51" s="40">
        <f>IF($I51&lt;&gt;"",$I51,$H51)</f>
        <v/>
      </c>
      <c r="K51" s="43">
        <f>IF(OR(N($F51)&lt;=0,N($J51)&lt;=0,N($D$4)&lt;=0),"",($J51*$D$4)/$F51-1)</f>
        <v/>
      </c>
      <c r="L51" s="93" t="n">
        <v>0.287</v>
      </c>
      <c r="M51" s="2" t="inlineStr">
        <is>
          <t>Apr 2026, HK$20.1bn (~US$2.57bn); +60% debut — Nvidia AI-PCB supplier</t>
        </is>
      </c>
    </row>
    <row r="52">
      <c r="A52" s="91" t="inlineStr">
        <is>
          <t>3296</t>
        </is>
      </c>
      <c r="B52" s="16" t="inlineStr">
        <is>
          <t>HUAQIN</t>
        </is>
      </c>
      <c r="C52" s="16" t="inlineStr">
        <is>
          <t>Smart hardware / consumer electronics</t>
        </is>
      </c>
      <c r="D52" s="40">
        <f>IFERROR(BDP("3296 HK Equity","PX_LAST"),"")</f>
        <v/>
      </c>
      <c r="E52" s="92" t="n"/>
      <c r="F52" s="40">
        <f>IF($E52&lt;&gt;"",$E52,$D52)</f>
        <v/>
      </c>
      <c r="G52" s="16" t="inlineStr">
        <is>
          <t>603296.SS</t>
        </is>
      </c>
      <c r="H52" s="40">
        <f>IFERROR(BDP("603296 CH Equity","PX_LAST"),"")</f>
        <v/>
      </c>
      <c r="I52" s="92" t="n"/>
      <c r="J52" s="40">
        <f>IF($I52&lt;&gt;"",$I52,$H52)</f>
        <v/>
      </c>
      <c r="K52" s="43">
        <f>IF(OR(N($F52)&lt;=0,N($J52)&lt;=0,N($D$4)&lt;=0),"",($J52*$D$4)/$F52-1)</f>
        <v/>
      </c>
      <c r="L52" s="93" t="n">
        <v>0.2101</v>
      </c>
      <c r="M52" s="2" t="inlineStr">
        <is>
          <t>Apr 2026 H listing (smart-hardware ODM)</t>
        </is>
      </c>
    </row>
    <row r="53">
      <c r="A53" s="91" t="inlineStr">
        <is>
          <t>2493</t>
        </is>
      </c>
      <c r="B53" s="16" t="inlineStr">
        <is>
          <t>MABWELL-B</t>
        </is>
      </c>
      <c r="C53" s="16" t="inlineStr">
        <is>
          <t>Biotech pre-revenue (18A)</t>
        </is>
      </c>
      <c r="D53" s="40">
        <f>IFERROR(BDP("2493 HK Equity","PX_LAST"),"")</f>
        <v/>
      </c>
      <c r="E53" s="92" t="n"/>
      <c r="F53" s="40">
        <f>IF($E53&lt;&gt;"",$E53,$D53)</f>
        <v/>
      </c>
      <c r="G53" s="16" t="inlineStr">
        <is>
          <t>688062.SS</t>
        </is>
      </c>
      <c r="H53" s="40">
        <f>IFERROR(BDP("688062 CH Equity","PX_LAST"),"")</f>
        <v/>
      </c>
      <c r="I53" s="92" t="n"/>
      <c r="J53" s="40">
        <f>IF($I53&lt;&gt;"",$I53,$H53)</f>
        <v/>
      </c>
      <c r="K53" s="43">
        <f>IF(OR(N($F53)&lt;=0,N($J53)&lt;=0,N($D$4)&lt;=0),"",($J53*$D$4)/$F53-1)</f>
        <v/>
      </c>
      <c r="L53" s="93" t="n">
        <v>0.5952</v>
      </c>
      <c r="M53" s="2" t="inlineStr">
        <is>
          <t>Apr 2026 H listing (ADC biotech); A+H on STAR</t>
        </is>
      </c>
    </row>
    <row r="54">
      <c r="A54" s="91" t="inlineStr">
        <is>
          <t>1187</t>
        </is>
      </c>
      <c r="B54" s="16" t="inlineStr">
        <is>
          <t>COFOE MEDICAL</t>
        </is>
      </c>
      <c r="C54" s="16" t="inlineStr">
        <is>
          <t>Medical devices</t>
        </is>
      </c>
      <c r="D54" s="40">
        <f>IFERROR(BDP("1187 HK Equity","PX_LAST"),"")</f>
        <v/>
      </c>
      <c r="E54" s="92" t="n"/>
      <c r="F54" s="40">
        <f>IF($E54&lt;&gt;"",$E54,$D54)</f>
        <v/>
      </c>
      <c r="G54" s="16" t="inlineStr">
        <is>
          <t>301087.SZ</t>
        </is>
      </c>
      <c r="H54" s="40">
        <f>IFERROR(BDP("301087 CH Equity","PX_LAST"),"")</f>
        <v/>
      </c>
      <c r="I54" s="92" t="n"/>
      <c r="J54" s="40">
        <f>IF($I54&lt;&gt;"",$I54,$H54)</f>
        <v/>
      </c>
      <c r="K54" s="43">
        <f>IF(OR(N($F54)&lt;=0,N($J54)&lt;=0,N($D$4)&lt;=0),"",($J54*$D$4)/$F54-1)</f>
        <v/>
      </c>
      <c r="L54" s="93" t="n">
        <v>0.7816</v>
      </c>
      <c r="M54" s="2" t="inlineStr">
        <is>
          <t>May 2026 H listing (home medical devices)</t>
        </is>
      </c>
    </row>
    <row r="55">
      <c r="A55" s="91" t="inlineStr">
        <is>
          <t>1081</t>
        </is>
      </c>
      <c r="B55" s="16" t="inlineStr">
        <is>
          <t>DAJIN</t>
        </is>
      </c>
      <c r="C55" s="16" t="inlineStr">
        <is>
          <t>Solar / wind supply chain</t>
        </is>
      </c>
      <c r="D55" s="40">
        <f>IFERROR(BDP("1081 HK Equity","PX_LAST"),"")</f>
        <v/>
      </c>
      <c r="E55" s="92" t="n"/>
      <c r="F55" s="40">
        <f>IF($E55&lt;&gt;"",$E55,$D55)</f>
        <v/>
      </c>
      <c r="G55" s="16" t="inlineStr">
        <is>
          <t>002487.SZ</t>
        </is>
      </c>
      <c r="H55" s="40">
        <f>IFERROR(BDP("002487 CH Equity","PX_LAST"),"")</f>
        <v/>
      </c>
      <c r="I55" s="92" t="n"/>
      <c r="J55" s="40">
        <f>IF($I55&lt;&gt;"",$I55,$H55)</f>
        <v/>
      </c>
      <c r="K55" s="43">
        <f>IF(OR(N($F55)&lt;=0,N($J55)&lt;=0,N($D$4)&lt;=0),"",($J55*$D$4)/$F55-1)</f>
        <v/>
      </c>
      <c r="L55" s="93" t="n">
        <v>0.3797</v>
      </c>
      <c r="M55" s="2" t="inlineStr">
        <is>
          <t>Jun 2026 H listing (offshore wind towers/monopiles)</t>
        </is>
      </c>
    </row>
    <row r="56">
      <c r="A56" s="91" t="inlineStr">
        <is>
          <t>6067</t>
        </is>
      </c>
      <c r="B56" s="16" t="inlineStr">
        <is>
          <t>SENIOR MATERIAL</t>
        </is>
      </c>
      <c r="C56" s="16" t="inlineStr">
        <is>
          <t>Batteries / energy storage</t>
        </is>
      </c>
      <c r="D56" s="40">
        <f>IFERROR(BDP("6067 HK Equity","PX_LAST"),"")</f>
        <v/>
      </c>
      <c r="E56" s="92" t="n"/>
      <c r="F56" s="40">
        <f>IF($E56&lt;&gt;"",$E56,$D56)</f>
        <v/>
      </c>
      <c r="G56" s="16" t="inlineStr">
        <is>
          <t>300568.SZ</t>
        </is>
      </c>
      <c r="H56" s="40">
        <f>IFERROR(BDP("300568 CH Equity","PX_LAST"),"")</f>
        <v/>
      </c>
      <c r="I56" s="92" t="n"/>
      <c r="J56" s="40">
        <f>IF($I56&lt;&gt;"",$I56,$H56)</f>
        <v/>
      </c>
      <c r="K56" s="43">
        <f>IF(OR(N($F56)&lt;=0,N($J56)&lt;=0,N($D$4)&lt;=0),"",($J56*$D$4)/$F56-1)</f>
        <v/>
      </c>
      <c r="L56" s="93" t="n">
        <v>1.1911</v>
      </c>
      <c r="M56" s="2" t="inlineStr">
        <is>
          <t>Jun 2026 H listing (battery separators)</t>
        </is>
      </c>
    </row>
    <row r="57">
      <c r="A57" s="91" t="inlineStr">
        <is>
          <t>3661</t>
        </is>
      </c>
      <c r="B57" s="16" t="inlineStr">
        <is>
          <t>SG MICRO</t>
        </is>
      </c>
      <c r="C57" s="16" t="inlineStr">
        <is>
          <t>AI chips &amp; semis</t>
        </is>
      </c>
      <c r="D57" s="40">
        <f>IFERROR(BDP("3661 HK Equity","PX_LAST"),"")</f>
        <v/>
      </c>
      <c r="E57" s="92" t="n"/>
      <c r="F57" s="40">
        <f>IF($E57&lt;&gt;"",$E57,$D57)</f>
        <v/>
      </c>
      <c r="G57" s="16" t="inlineStr">
        <is>
          <t>300661.SZ</t>
        </is>
      </c>
      <c r="H57" s="40">
        <f>IFERROR(BDP("300661 CH Equity","PX_LAST"),"")</f>
        <v/>
      </c>
      <c r="I57" s="92" t="n"/>
      <c r="J57" s="40">
        <f>IF($I57&lt;&gt;"",$I57,$H57)</f>
        <v/>
      </c>
      <c r="K57" s="43">
        <f>IF(OR(N($F57)&lt;=0,N($J57)&lt;=0,N($D$4)&lt;=0),"",($J57*$D$4)/$F57-1)</f>
        <v/>
      </c>
      <c r="L57" s="93" t="n">
        <v>0.409</v>
      </c>
      <c r="M57" s="2" t="inlineStr">
        <is>
          <t>Jun 2026 H listing (analog chips)</t>
        </is>
      </c>
    </row>
    <row r="58">
      <c r="A58" s="91" t="inlineStr">
        <is>
          <t>1688</t>
        </is>
      </c>
      <c r="B58" s="16" t="inlineStr">
        <is>
          <t>LINGYI ITECH</t>
        </is>
      </c>
      <c r="C58" s="16" t="inlineStr">
        <is>
          <t>Smart hardware / consumer electronics</t>
        </is>
      </c>
      <c r="D58" s="40">
        <f>IFERROR(BDP("1688 HK Equity","PX_LAST"),"")</f>
        <v/>
      </c>
      <c r="E58" s="92" t="n"/>
      <c r="F58" s="40">
        <f>IF($E58&lt;&gt;"",$E58,$D58)</f>
        <v/>
      </c>
      <c r="G58" s="16" t="inlineStr">
        <is>
          <t>002600.SZ</t>
        </is>
      </c>
      <c r="H58" s="40">
        <f>IFERROR(BDP("002600 CH Equity","PX_LAST"),"")</f>
        <v/>
      </c>
      <c r="I58" s="92" t="n"/>
      <c r="J58" s="40">
        <f>IF($I58&lt;&gt;"",$I58,$H58)</f>
        <v/>
      </c>
      <c r="K58" s="43">
        <f>IF(OR(N($F58)&lt;=0,N($J58)&lt;=0,N($D$4)&lt;=0),"",($J58*$D$4)/$F58-1)</f>
        <v/>
      </c>
      <c r="L58" s="93" t="n">
        <v>1.2795</v>
      </c>
      <c r="M58" s="2" t="inlineStr">
        <is>
          <t>Jun 2026 H listing (consumer-electronics precision parts)</t>
        </is>
      </c>
    </row>
    <row r="59">
      <c r="A59" s="91" t="inlineStr">
        <is>
          <t>9630</t>
        </is>
      </c>
      <c r="B59" s="16" t="inlineStr">
        <is>
          <t>CFMEE</t>
        </is>
      </c>
      <c r="C59" s="16" t="inlineStr">
        <is>
          <t>AI chips &amp; semis</t>
        </is>
      </c>
      <c r="D59" s="40">
        <f>IFERROR(BDP("9630 HK Equity","PX_LAST"),"")</f>
        <v/>
      </c>
      <c r="E59" s="92" t="n"/>
      <c r="F59" s="40">
        <f>IF($E59&lt;&gt;"",$E59,$D59)</f>
        <v/>
      </c>
      <c r="G59" s="16" t="inlineStr">
        <is>
          <t>688630.SS</t>
        </is>
      </c>
      <c r="H59" s="40">
        <f>IFERROR(BDP("688630 CH Equity","PX_LAST"),"")</f>
        <v/>
      </c>
      <c r="I59" s="92" t="n"/>
      <c r="J59" s="40">
        <f>IF($I59&lt;&gt;"",$I59,$H59)</f>
        <v/>
      </c>
      <c r="K59" s="43">
        <f>IF(OR(N($F59)&lt;=0,N($J59)&lt;=0,N($D$4)&lt;=0),"",($J59*$D$4)/$F59-1)</f>
        <v/>
      </c>
      <c r="L59" s="93" t="n">
        <v>0.4273</v>
      </c>
      <c r="M59" s="2" t="inlineStr">
        <is>
          <t>Jun 2026 H listing (direct-write lithography equipment)</t>
        </is>
      </c>
    </row>
    <row r="60">
      <c r="A60" s="91" t="inlineStr">
        <is>
          <t>0668</t>
        </is>
      </c>
      <c r="B60" s="16" t="inlineStr">
        <is>
          <t>ANKER</t>
        </is>
      </c>
      <c r="C60" s="16" t="inlineStr">
        <is>
          <t>Smart hardware / consumer electronics</t>
        </is>
      </c>
      <c r="D60" s="40">
        <f>IFERROR(BDP("668 HK Equity","PX_LAST"),"")</f>
        <v/>
      </c>
      <c r="E60" s="92" t="n"/>
      <c r="F60" s="40">
        <f>IF($E60&lt;&gt;"",$E60,$D60)</f>
        <v/>
      </c>
      <c r="G60" s="16" t="inlineStr">
        <is>
          <t>300866.SZ</t>
        </is>
      </c>
      <c r="H60" s="40">
        <f>IFERROR(BDP("300866 CH Equity","PX_LAST"),"")</f>
        <v/>
      </c>
      <c r="I60" s="92" t="n"/>
      <c r="J60" s="40">
        <f>IF($I60&lt;&gt;"",$I60,$H60)</f>
        <v/>
      </c>
      <c r="K60" s="43">
        <f>IF(OR(N($F60)&lt;=0,N($J60)&lt;=0,N($D$4)&lt;=0),"",($J60*$D$4)/$F60-1)</f>
        <v/>
      </c>
      <c r="L60" s="93" t="n">
        <v>0.2206</v>
      </c>
      <c r="M60" s="2" t="inlineStr">
        <is>
          <t>Jun 2026 H listing (consumer charging/power brands)</t>
        </is>
      </c>
    </row>
    <row r="61">
      <c r="A61" s="91" t="inlineStr">
        <is>
          <t>0537</t>
        </is>
      </c>
      <c r="B61" s="16" t="inlineStr">
        <is>
          <t>RIGOL</t>
        </is>
      </c>
      <c r="C61" s="16" t="inlineStr">
        <is>
          <t>Capital goods / machinery</t>
        </is>
      </c>
      <c r="D61" s="40">
        <f>IFERROR(BDP("537 HK Equity","PX_LAST"),"")</f>
        <v/>
      </c>
      <c r="E61" s="92" t="n"/>
      <c r="F61" s="40">
        <f>IF($E61&lt;&gt;"",$E61,$D61)</f>
        <v/>
      </c>
      <c r="G61" s="16" t="inlineStr">
        <is>
          <t>688337.SS</t>
        </is>
      </c>
      <c r="H61" s="40">
        <f>IFERROR(BDP("688337 CH Equity","PX_LAST"),"")</f>
        <v/>
      </c>
      <c r="I61" s="92" t="n"/>
      <c r="J61" s="40">
        <f>IF($I61&lt;&gt;"",$I61,$H61)</f>
        <v/>
      </c>
      <c r="K61" s="43">
        <f>IF(OR(N($F61)&lt;=0,N($J61)&lt;=0,N($D$4)&lt;=0),"",($J61*$D$4)/$F61-1)</f>
        <v/>
      </c>
      <c r="L61" s="93" t="n">
        <v>1.1313</v>
      </c>
      <c r="M61" s="2" t="inlineStr">
        <is>
          <t>Jul 2026 H listing (electronic test &amp; measurement)</t>
        </is>
      </c>
    </row>
    <row r="62">
      <c r="A62" s="91" t="inlineStr">
        <is>
          <t>2475</t>
        </is>
      </c>
      <c r="B62" s="16" t="inlineStr">
        <is>
          <t>LUXSHARE ICT</t>
        </is>
      </c>
      <c r="C62" s="16" t="inlineStr">
        <is>
          <t>Smart hardware / consumer electronics</t>
        </is>
      </c>
      <c r="D62" s="40">
        <f>IFERROR(BDP("2475 HK Equity","PX_LAST"),"")</f>
        <v/>
      </c>
      <c r="E62" s="92" t="n"/>
      <c r="F62" s="40">
        <f>IF($E62&lt;&gt;"",$E62,$D62)</f>
        <v/>
      </c>
      <c r="G62" s="16" t="inlineStr">
        <is>
          <t>002475.SZ</t>
        </is>
      </c>
      <c r="H62" s="40">
        <f>IFERROR(BDP("002475 CH Equity","PX_LAST"),"")</f>
        <v/>
      </c>
      <c r="I62" s="92" t="n"/>
      <c r="J62" s="40">
        <f>IF($I62&lt;&gt;"",$I62,$H62)</f>
        <v/>
      </c>
      <c r="K62" s="43">
        <f>IF(OR(N($F62)&lt;=0,N($J62)&lt;=0,N($D$4)&lt;=0),"",($J62*$D$4)/$F62-1)</f>
        <v/>
      </c>
      <c r="L62" s="93" t="n">
        <v>0.066</v>
      </c>
      <c r="M62" s="2" t="inlineStr">
        <is>
          <t>Jul 2026, ~US$3.1bn — largest HK IPO of 2026 until Innolight</t>
        </is>
      </c>
    </row>
    <row r="63">
      <c r="A63" s="91" t="inlineStr">
        <is>
          <t>6951</t>
        </is>
      </c>
      <c r="B63" s="16" t="inlineStr">
        <is>
          <t>CCTC</t>
        </is>
      </c>
      <c r="C63" s="16" t="inlineStr">
        <is>
          <t>Smart hardware / consumer electronics</t>
        </is>
      </c>
      <c r="D63" s="40">
        <f>IFERROR(BDP("6951 HK Equity","PX_LAST"),"")</f>
        <v/>
      </c>
      <c r="E63" s="92" t="n"/>
      <c r="F63" s="40">
        <f>IF($E63&lt;&gt;"",$E63,$D63)</f>
        <v/>
      </c>
      <c r="G63" s="16" t="inlineStr">
        <is>
          <t>300408.SZ</t>
        </is>
      </c>
      <c r="H63" s="40">
        <f>IFERROR(BDP("300408 CH Equity","PX_LAST"),"")</f>
        <v/>
      </c>
      <c r="I63" s="92" t="n"/>
      <c r="J63" s="40">
        <f>IF($I63&lt;&gt;"",$I63,$H63)</f>
        <v/>
      </c>
      <c r="K63" s="43">
        <f>IF(OR(N($F63)&lt;=0,N($J63)&lt;=0,N($D$4)&lt;=0),"",($J63*$D$4)/$F63-1)</f>
        <v/>
      </c>
      <c r="L63" s="93" t="n">
        <v>0.1686</v>
      </c>
      <c r="M63" s="2" t="inlineStr">
        <is>
          <t>Jul 2026 H listing (ceramic components; targeted ~US$1bn)</t>
        </is>
      </c>
    </row>
    <row r="64">
      <c r="A64" s="91" t="inlineStr">
        <is>
          <t>1377</t>
        </is>
      </c>
      <c r="B64" s="16" t="inlineStr">
        <is>
          <t>DTECH</t>
        </is>
      </c>
      <c r="C64" s="16" t="inlineStr">
        <is>
          <t>Smart hardware / consumer electronics</t>
        </is>
      </c>
      <c r="D64" s="40">
        <f>IFERROR(BDP("1377 HK Equity","PX_LAST"),"")</f>
        <v/>
      </c>
      <c r="E64" s="92" t="n"/>
      <c r="F64" s="40">
        <f>IF($E64&lt;&gt;"",$E64,$D64)</f>
        <v/>
      </c>
      <c r="G64" s="16" t="inlineStr">
        <is>
          <t>301377.SZ</t>
        </is>
      </c>
      <c r="H64" s="40">
        <f>IFERROR(BDP("301377 CH Equity","PX_LAST"),"")</f>
        <v/>
      </c>
      <c r="I64" s="92" t="n"/>
      <c r="J64" s="40">
        <f>IF($I64&lt;&gt;"",$I64,$H64)</f>
        <v/>
      </c>
      <c r="K64" s="43">
        <f>IF(OR(N($F64)&lt;=0,N($J64)&lt;=0,N($D$4)&lt;=0),"",($J64*$D$4)/$F64-1)</f>
        <v/>
      </c>
      <c r="L64" s="93" t="n">
        <v>0.4047</v>
      </c>
      <c r="M64" s="2" t="inlineStr">
        <is>
          <t>Jul 2026 H listing (PCB drilling tools)</t>
        </is>
      </c>
    </row>
    <row r="65">
      <c r="A65" s="91" t="inlineStr">
        <is>
          <t>6745</t>
        </is>
      </c>
      <c r="B65" s="16" t="inlineStr">
        <is>
          <t>BEFAR GROUP</t>
        </is>
      </c>
      <c r="C65" s="16" t="inlineStr">
        <is>
          <t>Chemicals</t>
        </is>
      </c>
      <c r="D65" s="40">
        <f>IFERROR(BDP("6745 HK Equity","PX_LAST"),"")</f>
        <v/>
      </c>
      <c r="E65" s="92" t="n"/>
      <c r="F65" s="40">
        <f>IF($E65&lt;&gt;"",$E65,$D65)</f>
        <v/>
      </c>
      <c r="G65" s="16" t="inlineStr">
        <is>
          <t>601678.SS</t>
        </is>
      </c>
      <c r="H65" s="40">
        <f>IFERROR(BDP("601678 CH Equity","PX_LAST"),"")</f>
        <v/>
      </c>
      <c r="I65" s="92" t="n"/>
      <c r="J65" s="40">
        <f>IF($I65&lt;&gt;"",$I65,$H65)</f>
        <v/>
      </c>
      <c r="K65" s="43">
        <f>IF(OR(N($F65)&lt;=0,N($J65)&lt;=0,N($D$4)&lt;=0),"",($J65*$D$4)/$F65-1)</f>
        <v/>
      </c>
      <c r="L65" s="93" t="n">
        <v>1.3923</v>
      </c>
      <c r="M65" s="2" t="inlineStr">
        <is>
          <t>Jul 2026 H listing (chlor-alkali/chemicals)</t>
        </is>
      </c>
    </row>
    <row r="66">
      <c r="A66" s="91" t="inlineStr">
        <is>
          <t>2249</t>
        </is>
      </c>
      <c r="B66" s="16" t="inlineStr">
        <is>
          <t>NEXCHIP</t>
        </is>
      </c>
      <c r="C66" s="16" t="inlineStr">
        <is>
          <t>AI chips &amp; semis</t>
        </is>
      </c>
      <c r="D66" s="40">
        <f>IFERROR(BDP("2249 HK Equity","PX_LAST"),"")</f>
        <v/>
      </c>
      <c r="E66" s="92" t="n"/>
      <c r="F66" s="40">
        <f>IF($E66&lt;&gt;"",$E66,$D66)</f>
        <v/>
      </c>
      <c r="G66" s="16" t="inlineStr">
        <is>
          <t>688249.SS</t>
        </is>
      </c>
      <c r="H66" s="40">
        <f>IFERROR(BDP("688249 CH Equity","PX_LAST"),"")</f>
        <v/>
      </c>
      <c r="I66" s="92" t="n"/>
      <c r="J66" s="40">
        <f>IF($I66&lt;&gt;"",$I66,$H66)</f>
        <v/>
      </c>
      <c r="K66" s="43">
        <f>IF(OR(N($F66)&lt;=0,N($J66)&lt;=0,N($D$4)&lt;=0),"",($J66*$D$4)/$F66-1)</f>
        <v/>
      </c>
      <c r="L66" s="93" t="n">
        <v>0.5113</v>
      </c>
      <c r="M66" s="2" t="inlineStr">
        <is>
          <t>Jul 2026 H listing (foundry)</t>
        </is>
      </c>
    </row>
    <row r="67">
      <c r="A67" s="91" t="inlineStr">
        <is>
          <t>3308</t>
        </is>
      </c>
      <c r="B67" s="16" t="inlineStr">
        <is>
          <t>ZJ INNOLIGHT</t>
        </is>
      </c>
      <c r="C67" s="16" t="inlineStr">
        <is>
          <t>Smart hardware / consumer electronics</t>
        </is>
      </c>
      <c r="D67" s="40">
        <f>IFERROR(BDP("3308 HK Equity","PX_LAST"),"")</f>
        <v/>
      </c>
      <c r="E67" s="92" t="n"/>
      <c r="F67" s="40">
        <f>IF($E67&lt;&gt;"",$E67,$D67)</f>
        <v/>
      </c>
      <c r="G67" s="16" t="inlineStr">
        <is>
          <t>300308.SZ</t>
        </is>
      </c>
      <c r="H67" s="40">
        <f>IFERROR(BDP("300308 CH Equity","PX_LAST"),"")</f>
        <v/>
      </c>
      <c r="I67" s="92" t="n"/>
      <c r="J67" s="40">
        <f>IF($I67&lt;&gt;"",$I67,$H67)</f>
        <v/>
      </c>
      <c r="K67" s="43">
        <f>IF(OR(N($F67)&lt;=0,N($J67)&lt;=0,N($D$4)&lt;=0),"",($J67*$D$4)/$F67-1)</f>
        <v/>
      </c>
      <c r="L67" s="93" t="n">
        <v>-0.035</v>
      </c>
      <c r="M67" s="2" t="inlineStr">
        <is>
          <t>Jul 2026 — Hong Kong's largest IPO in seven years (optical transceivers for AI datacenters)</t>
        </is>
      </c>
    </row>
    <row r="68">
      <c r="A68" s="91" t="inlineStr">
        <is>
          <t>3223</t>
        </is>
      </c>
      <c r="B68" s="16" t="inlineStr">
        <is>
          <t>INGENIC</t>
        </is>
      </c>
      <c r="C68" s="16" t="inlineStr">
        <is>
          <t>AI chips &amp; semis</t>
        </is>
      </c>
      <c r="D68" s="40">
        <f>IFERROR(BDP("3223 HK Equity","PX_LAST"),"")</f>
        <v/>
      </c>
      <c r="E68" s="92" t="n"/>
      <c r="F68" s="40">
        <f>IF($E68&lt;&gt;"",$E68,$D68)</f>
        <v/>
      </c>
      <c r="G68" s="16" t="inlineStr">
        <is>
          <t>300223.SZ</t>
        </is>
      </c>
      <c r="H68" s="40">
        <f>IFERROR(BDP("300223 CH Equity","PX_LAST"),"")</f>
        <v/>
      </c>
      <c r="I68" s="92" t="n"/>
      <c r="J68" s="40">
        <f>IF($I68&lt;&gt;"",$I68,$H68)</f>
        <v/>
      </c>
      <c r="K68" s="43">
        <f>IF(OR(N($F68)&lt;=0,N($J68)&lt;=0,N($D$4)&lt;=0),"",($J68*$D$4)/$F68-1)</f>
        <v/>
      </c>
      <c r="L68" s="93" t="n">
        <v>0.6072</v>
      </c>
      <c r="M68" s="2" t="inlineStr">
        <is>
          <t>H listed 2026-08-25; fabless CPU/analog+memory (auto)</t>
        </is>
      </c>
    </row>
    <row r="69"/>
    <row r="70"/>
    <row r="71">
      <c r="A71" s="14" t="inlineStr">
        <is>
          <t>NO A-SHARE LINE — closest pure-A proxies</t>
        </is>
      </c>
    </row>
    <row r="72">
      <c r="A72" s="12" t="inlineStr">
        <is>
          <t>H code</t>
        </is>
      </c>
      <c r="B72" s="12" t="inlineStr">
        <is>
          <t>Name</t>
        </is>
      </c>
      <c r="C72" s="12" t="inlineStr">
        <is>
          <t>Proxy A code</t>
        </is>
      </c>
      <c r="D72" s="12" t="inlineStr">
        <is>
          <t>Proxy name</t>
        </is>
      </c>
      <c r="E72" s="12" t="inlineStr">
        <is>
          <t>Rationale</t>
        </is>
      </c>
    </row>
    <row r="73">
      <c r="A73" s="91" t="inlineStr">
        <is>
          <t>1024</t>
        </is>
      </c>
      <c r="B73" s="16" t="inlineStr">
        <is>
          <t>KUAISHOU-W</t>
        </is>
      </c>
      <c r="C73" s="16" t="inlineStr">
        <is>
          <t>300413.SZ</t>
        </is>
      </c>
      <c r="D73" s="16" t="inlineStr">
        <is>
          <t>Mango Excellent Media</t>
        </is>
      </c>
      <c r="E73" s="2" t="inlineStr">
        <is>
          <t>A-shares have no short-video platform; Mango (Hunan TV streaming/content) is the standard A-share video-platform traffic-and-ads proxy.</t>
        </is>
      </c>
    </row>
    <row r="74">
      <c r="A74" s="91" t="inlineStr">
        <is>
          <t>0020</t>
        </is>
      </c>
      <c r="B74" s="16" t="inlineStr">
        <is>
          <t>SENSETIME-W</t>
        </is>
      </c>
      <c r="C74" s="16" t="inlineStr">
        <is>
          <t>688327.SS</t>
        </is>
      </c>
      <c r="D74" s="16" t="inlineStr">
        <is>
          <t>CloudWalk Technology</t>
        </is>
      </c>
      <c r="E74" s="2" t="inlineStr">
        <is>
          <t>Pure A-share computer-vision AI platform ('AI four dragons' peer) — the direct A analogue.</t>
        </is>
      </c>
    </row>
    <row r="75">
      <c r="A75" s="91" t="inlineStr">
        <is>
          <t>6682</t>
        </is>
      </c>
      <c r="B75" s="16" t="inlineStr">
        <is>
          <t>FOURTH PARADIGM</t>
        </is>
      </c>
      <c r="C75" s="16" t="inlineStr">
        <is>
          <t>600588.SS</t>
        </is>
      </c>
      <c r="D75" s="16" t="inlineStr">
        <is>
          <t>Yonyou Network</t>
        </is>
      </c>
      <c r="E75" s="2" t="inlineStr">
        <is>
          <t>Enterprise-software platform embedding AI into corporate decision/ERP workflows — closest A-share enterprise-AI software exposure.</t>
        </is>
      </c>
    </row>
    <row r="76">
      <c r="A76" s="91" t="inlineStr">
        <is>
          <t>6181</t>
        </is>
      </c>
      <c r="B76" s="16" t="inlineStr">
        <is>
          <t>LAOPU GOLD</t>
        </is>
      </c>
      <c r="C76" s="16" t="inlineStr">
        <is>
          <t>002345.SZ</t>
        </is>
      </c>
      <c r="D76" s="16" t="inlineStr">
        <is>
          <t>Chow Hong Ji (CHJ Jewellery)</t>
        </is>
      </c>
      <c r="E76" s="2" t="inlineStr">
        <is>
          <t>A-listed fashion/heritage gold jewellery brand with craftsmanship positioning — nearest to Laopu's ancient-gold premium retail model (large-cap alternative: Lao Feng Xiang 600612.SS).</t>
        </is>
      </c>
    </row>
    <row r="77">
      <c r="A77" s="91" t="inlineStr">
        <is>
          <t>9660</t>
        </is>
      </c>
      <c r="B77" s="16" t="inlineStr">
        <is>
          <t>HORIZONROBOT-W</t>
        </is>
      </c>
      <c r="C77" s="16" t="inlineStr">
        <is>
          <t>002920.SZ</t>
        </is>
      </c>
      <c r="D77" s="16" t="inlineStr">
        <is>
          <t>Desay SV Automotive</t>
        </is>
      </c>
      <c r="E77" s="2" t="inlineStr">
        <is>
          <t>Leading A-share intelligent-driving domain-controller/ADAS tier-1 — the closest pure-A exposure to the China ADAS adoption curve that Horizon's Journey SoCs ride.</t>
        </is>
      </c>
    </row>
    <row r="78">
      <c r="A78" s="91" t="inlineStr">
        <is>
          <t>0325</t>
        </is>
      </c>
      <c r="B78" s="16" t="inlineStr">
        <is>
          <t>BLOKS</t>
        </is>
      </c>
      <c r="C78" s="16" t="inlineStr">
        <is>
          <t>002292.SZ</t>
        </is>
      </c>
      <c r="D78" s="16" t="inlineStr">
        <is>
          <t>Alpha Group</t>
        </is>
      </c>
      <c r="E78" s="2" t="inlineStr">
        <is>
          <t>Pop Mart/Bloks-style IP toys have no A pure-play; Alpha is the A-share IP toy and animation-merchandise name.</t>
        </is>
      </c>
    </row>
    <row r="79">
      <c r="A79" s="91" t="inlineStr">
        <is>
          <t>2097</t>
        </is>
      </c>
      <c r="B79" s="16" t="inlineStr">
        <is>
          <t>MIXUE GROUP</t>
        </is>
      </c>
      <c r="C79" s="16" t="inlineStr">
        <is>
          <t>603711.SS</t>
        </is>
      </c>
      <c r="D79" s="16" t="inlineStr">
        <is>
          <t>Xiangpiaopiao Food</t>
        </is>
      </c>
      <c r="E79" s="2" t="inlineStr">
        <is>
          <t>No A-listed freshly-made-drinks chain exists; Xiangpiaopiao is the A-share mass-market tea-drink franchise/brand play closest to Mixue's price point.</t>
        </is>
      </c>
    </row>
    <row r="80">
      <c r="A80" s="91" t="inlineStr">
        <is>
          <t>9678</t>
        </is>
      </c>
      <c r="B80" s="16" t="inlineStr">
        <is>
          <t>UNISOUND</t>
        </is>
      </c>
      <c r="C80" s="16" t="inlineStr">
        <is>
          <t>002230.SZ</t>
        </is>
      </c>
      <c r="D80" s="16" t="inlineStr">
        <is>
          <t>iFlytek</t>
        </is>
      </c>
      <c r="E80" s="2" t="inlineStr">
        <is>
          <t>Direct A-share competitor in voice AI and speech-centric LLMs (Spark model).</t>
        </is>
      </c>
    </row>
    <row r="81">
      <c r="A81" s="91" t="inlineStr">
        <is>
          <t>6082</t>
        </is>
      </c>
      <c r="B81" s="16" t="inlineStr">
        <is>
          <t>BIREN TECH</t>
        </is>
      </c>
      <c r="C81" s="16" t="inlineStr">
        <is>
          <t>688256.SS</t>
        </is>
      </c>
      <c r="D81" s="16" t="inlineStr">
        <is>
          <t>Cambricon Technologies</t>
        </is>
      </c>
      <c r="E81" s="2" t="inlineStr">
        <is>
          <t>The A-share domestic AI-compute (GPGPU/accelerator) pure-play — closest proxy for Biren's training-GPU story.</t>
        </is>
      </c>
    </row>
    <row r="82">
      <c r="A82" s="91" t="inlineStr">
        <is>
          <t>9903</t>
        </is>
      </c>
      <c r="B82" s="16" t="inlineStr">
        <is>
          <t>ILUVATAR COREX</t>
        </is>
      </c>
      <c r="C82" s="16" t="inlineStr">
        <is>
          <t>688256.SS</t>
        </is>
      </c>
      <c r="D82" s="16" t="inlineStr">
        <is>
          <t>Cambricon Technologies</t>
        </is>
      </c>
      <c r="E82" s="2" t="inlineStr">
        <is>
          <t>Same domestic AI-accelerator substitution theme; Cambricon is the only liquid A pure-play.</t>
        </is>
      </c>
    </row>
    <row r="83">
      <c r="A83" s="91" t="inlineStr">
        <is>
          <t>0100</t>
        </is>
      </c>
      <c r="B83" s="16" t="inlineStr">
        <is>
          <t>MINIMAX-WP</t>
        </is>
      </c>
      <c r="C83" s="16" t="inlineStr">
        <is>
          <t>300418.SZ</t>
        </is>
      </c>
      <c r="D83" s="16" t="inlineStr">
        <is>
          <t>Kunlun Tech</t>
        </is>
      </c>
      <c r="E83" s="2" t="inlineStr">
        <is>
          <t>Owns the in-house Skywork/Tiangong LLM family — the nearest A-share to a pure LLM-developer exposure.</t>
        </is>
      </c>
    </row>
    <row r="84">
      <c r="A84" s="91" t="inlineStr">
        <is>
          <t>0600</t>
        </is>
      </c>
      <c r="B84" s="16" t="inlineStr">
        <is>
          <t>AXERA</t>
        </is>
      </c>
      <c r="C84" s="16" t="inlineStr">
        <is>
          <t>603893.SS</t>
        </is>
      </c>
      <c r="D84" s="16" t="inlineStr">
        <is>
          <t>Rockchip Electronics</t>
        </is>
      </c>
      <c r="E84" s="2" t="inlineStr">
        <is>
          <t>A-share edge-AI SoC designer — nearest listed comp to Axera's smart-vision/edge inference chips.</t>
        </is>
      </c>
    </row>
    <row r="85">
      <c r="A85" s="91" t="inlineStr">
        <is>
          <t>1956</t>
        </is>
      </c>
      <c r="B85" s="16" t="inlineStr">
        <is>
          <t>WENGE AI</t>
        </is>
      </c>
      <c r="C85" s="16" t="inlineStr">
        <is>
          <t>300229.SZ</t>
        </is>
      </c>
      <c r="D85" s="16" t="inlineStr">
        <is>
          <t>TRS Information Technology</t>
        </is>
      </c>
      <c r="E85" s="2" t="inlineStr">
        <is>
          <t>A-share NLP/big-data software house serving media and government analytics — same niche as Wenge's decision-intelligence LLM stack.</t>
        </is>
      </c>
    </row>
  </sheetData>
  <conditionalFormatting sqref="K7:K68">
    <cfRule type="expression" priority="1" dxfId="1">
      <formula>ABS(K7)&gt;0.3</formula>
    </cfRule>
  </conditionalFormatting>
  <pageMargins left="0.75" right="0.75" top="1" bottom="1" header="0.5" footer="0.5"/>
</worksheet>
</file>

<file path=xl/worksheets/sheet5.xml><?xml version="1.0" encoding="utf-8"?>
<worksheet xmlns="http://schemas.openxmlformats.org/spreadsheetml/2006/main">
  <sheetPr>
    <tabColor rgb="00BFBFBF"/>
    <outlinePr summaryBelow="1" summaryRight="1"/>
    <pageSetUpPr/>
  </sheetPr>
  <dimension ref="A1:K1073"/>
  <sheetViews>
    <sheetView workbookViewId="0">
      <pane xSplit="3" ySplit="4" topLeftCell="D5" activePane="bottomRight" state="frozen"/>
      <selection pane="topRight"/>
      <selection pane="bottomLeft"/>
      <selection pane="bottomRight" activeCell="A1" sqref="A1"/>
    </sheetView>
  </sheetViews>
  <sheetFormatPr baseColWidth="8" defaultRowHeight="15"/>
  <cols>
    <col width="44" customWidth="1" min="1" max="1"/>
    <col width="7" customWidth="1" min="2" max="2"/>
    <col width="9" customWidth="1" min="3" max="3"/>
    <col width="13" customWidth="1" min="4" max="4"/>
    <col width="11" customWidth="1" min="5" max="5"/>
    <col width="11" customWidth="1" min="6" max="6"/>
    <col width="11" customWidth="1" min="7" max="7"/>
    <col width="13" customWidth="1" min="8" max="8"/>
    <col width="13" customWidth="1" min="9" max="9"/>
    <col width="13" customWidth="1" min="10" max="10"/>
    <col width="70" customWidth="1" min="11" max="11"/>
  </cols>
  <sheetData>
    <row r="1">
      <c r="A1" s="1" t="inlineStr">
        <is>
          <t>CORNERSTONE LEAGUE — how deals anchored by each investor traded</t>
        </is>
      </c>
    </row>
    <row r="2">
      <c r="A2" s="2" t="inlineStr">
        <is>
          <t>One row per investor (grouped on the Screener's normalized key, so long/short forms of one house count once). Averages are simple means across their deals: day-1 pop = offer→close; ex-pop legs strip the pop (day-1 close→1w/1m/3m). Hit = share of their deals closing day-1 above offer. Use the filter arrows to cut by deal count.</t>
        </is>
      </c>
    </row>
    <row r="3">
      <c r="D3" s="14" t="inlineStr">
        <is>
          <t>WITH POP — vs offer</t>
        </is>
      </c>
      <c r="H3" s="14" t="inlineStr">
        <is>
          <t>EX-POP — from day-1 close</t>
        </is>
      </c>
    </row>
    <row r="4">
      <c r="A4" s="12" t="inlineStr">
        <is>
          <t>Investor</t>
        </is>
      </c>
      <c r="B4" s="12" t="inlineStr">
        <is>
          <t>Deals</t>
        </is>
      </c>
      <c r="C4" s="12" t="inlineStr">
        <is>
          <t>Day-1 hit</t>
        </is>
      </c>
      <c r="D4" s="12" t="inlineStr">
        <is>
          <t>Avg day-1 pop</t>
        </is>
      </c>
      <c r="E4" s="12" t="inlineStr">
        <is>
          <t>Avg 1w</t>
        </is>
      </c>
      <c r="F4" s="12" t="inlineStr">
        <is>
          <t>Avg 1m</t>
        </is>
      </c>
      <c r="G4" s="12" t="inlineStr">
        <is>
          <t>Avg 3m</t>
        </is>
      </c>
      <c r="H4" s="12" t="inlineStr">
        <is>
          <t>Avg 1w ex-pop</t>
        </is>
      </c>
      <c r="I4" s="12" t="inlineStr">
        <is>
          <t>Avg 1m ex-pop</t>
        </is>
      </c>
      <c r="J4" s="12" t="inlineStr">
        <is>
          <t>Avg 3m ex-pop</t>
        </is>
      </c>
      <c r="K4" s="12" t="inlineStr">
        <is>
          <t>Their deals (code · name)</t>
        </is>
      </c>
    </row>
    <row r="5">
      <c r="A5" s="16" t="inlineStr">
        <is>
          <t>GF Fund Management Co., Ltd</t>
        </is>
      </c>
      <c r="B5" s="89" t="n">
        <v>38</v>
      </c>
      <c r="C5" s="94" t="n">
        <v>63</v>
      </c>
      <c r="D5" s="95" t="n">
        <v>30.9</v>
      </c>
      <c r="E5" s="95" t="n">
        <v>28.2</v>
      </c>
      <c r="F5" s="95" t="n">
        <v>14.8</v>
      </c>
      <c r="G5" s="95" t="n">
        <v>35.2</v>
      </c>
      <c r="H5" s="95" t="n">
        <v>-1.6</v>
      </c>
      <c r="I5" s="95" t="n">
        <v>-9.6</v>
      </c>
      <c r="J5" s="95" t="n">
        <v>9.300000000000001</v>
      </c>
      <c r="K5" s="96" t="inlineStr">
        <is>
          <t>2171 CARSGEN-B; 2150 NAYUKI; 2251 AIRDOC-B; 6633 QINGCI GAMES; 2246 GOGOX; 9863 LEAPMOTOR; 2420 ZIBUYU; 2415 MEDSCI; 2097 MIXUE GROUP; 2865 DRINDA; 3288 HAITIAN FLAV; 6168 ZHOU LIU FU; 3858 JIAXIN INTL RES; 2595 GENFLEET-B; 9973 CHERY AUTO; 0638 FIBOCOM; 9927 SERES; 2658 TIANYU SEMI; 2513 KNOWLEDGE ATLAS; 9611 LONGCHEER; 2768 GON TECHNOLOGY; 2692 ZHAOWEI; 3355 FS.COM; 3277 GPIXEL; 1879 XIZHI TECH-P; 7666 METIS TECHBIO-P; 6067 SENIOR MATERIAL; 6106 SEER TECH; 3661 SG MICRO; 1688 LINGYI ITECH; 9630 CFMEE; 6228 MERDEKAGOLD-DRS; 9637 ALEBUND-B; 6880 MOMENTA-W; 7687 EACON; 3752 ROKAE ROBOTICS; 2475 LUXSHARE ICT; 2249 NEXCHIP</t>
        </is>
      </c>
    </row>
    <row r="6">
      <c r="A6" s="16" t="inlineStr">
        <is>
          <t>Harvest International Premium Value (Secondary Market) Fund SPC</t>
        </is>
      </c>
      <c r="B6" s="89" t="n">
        <v>34</v>
      </c>
      <c r="C6" s="94" t="n">
        <v>47</v>
      </c>
      <c r="D6" s="95" t="n">
        <v>6.6</v>
      </c>
      <c r="E6" s="95" t="n">
        <v>11</v>
      </c>
      <c r="F6" s="95" t="n">
        <v>14.5</v>
      </c>
      <c r="G6" s="95" t="n">
        <v>25.5</v>
      </c>
      <c r="H6" s="95" t="n">
        <v>5.1</v>
      </c>
      <c r="I6" s="95" t="n">
        <v>8.4</v>
      </c>
      <c r="J6" s="95" t="n">
        <v>21.3</v>
      </c>
      <c r="K6" s="96" t="inlineStr">
        <is>
          <t>9858 YOURAN DAIRY; 6633 QINGCI GAMES; 6639 ARRAIL GROUP; 2179 RECBIO-B; 2325 YUNKANG GROUP; 9955 CLOUDR; 2172 MICROPORT NEURO; 9857 LINMON MEDIA; 9886 DINGDANG HEALTH; 2291 SCIENTECH; 1244 3D MEDICINES-B; 6955 BOAN BIOTECH-B; 2402 SINOHYTEC; 2373 BEAUTYFARM MED; 2415 MEDSCI; 2480 LUZHU BIOTECH-B; 2487 CUTIA-B; 1541 IMMUNEONCO-B; 1274 IMOTIONAUTOTECH; 6911 LANCANG TEA; 9879 MIGAO GROUP; 2465 LOPAL TECH; 2613 CONTIOCEAN; 2609 BAYZED HEALTH; 6603 IFBH; 3696 INSILICO; 2715 ESTUN; 2701 NSING TECH; 6067 SENIOR MATERIAL; 1956 WENGE AI; 3661 SG MICRO; 3952 LAIFUAL; 2475 LUXSHARE ICT; 2249 NEXCHIP</t>
        </is>
      </c>
    </row>
    <row r="7">
      <c r="A7" s="16" t="inlineStr">
        <is>
          <t>UBS Asset Management (Singapore) Ltd</t>
        </is>
      </c>
      <c r="B7" s="89" t="n">
        <v>32</v>
      </c>
      <c r="C7" s="94" t="n">
        <v>75</v>
      </c>
      <c r="D7" s="95" t="n">
        <v>38.2</v>
      </c>
      <c r="E7" s="95" t="n">
        <v>37.7</v>
      </c>
      <c r="F7" s="95" t="n">
        <v>34</v>
      </c>
      <c r="G7" s="95" t="n">
        <v>30.4</v>
      </c>
      <c r="H7" s="95" t="n">
        <v>-0.5</v>
      </c>
      <c r="I7" s="95" t="n">
        <v>1</v>
      </c>
      <c r="J7" s="95" t="n">
        <v>-0.3</v>
      </c>
      <c r="K7" s="96" t="inlineStr">
        <is>
          <t>2150 NAYUKI; 2162 KEYMED BIO-B; 2137 BRII - B; 2216 BRONCUS-B; 2256 ABBISKO-B; 2235 MICROTECH MED-B; 2273 GUSHENGTANG; 2602 ONEWO; 2268 WUXI XDC; 0300 MIDEA GROUP; 2460 CR BEVERAGE; 0325 BLOKS; 1276 HENGRUI PHARMA; 6603 IFBH; 6613 LENS; 2259 ZIJIN GOLD INTL; 6031 SANY HEAVY IND; 3887 HASHKEY HLDGS; 3696 INSILICO; 0501 OMNIVISION; 2714 MUYUAN; 6809 MONTAGE TECH; 1989 DELTON; 6656 SIGENERGY; 3277 GPIXEL; 3296 HUAQIN; 1879 XIZHI TECH-P; 7666 METIS TECHBIO-P; 7688 TOPNC; 1081 DAJIN; 1191 CREALIGHTS; 0668 ANKER</t>
        </is>
      </c>
    </row>
    <row r="8">
      <c r="A8" s="16" t="inlineStr">
        <is>
          <t>HHLR Advisors, Ltd</t>
        </is>
      </c>
      <c r="B8" s="89" t="n">
        <v>28</v>
      </c>
      <c r="C8" s="94" t="n">
        <v>71</v>
      </c>
      <c r="D8" s="95" t="n">
        <v>38.6</v>
      </c>
      <c r="E8" s="95" t="n">
        <v>36.3</v>
      </c>
      <c r="F8" s="95" t="n">
        <v>26.9</v>
      </c>
      <c r="G8" s="95" t="n">
        <v>28.1</v>
      </c>
      <c r="H8" s="95" t="n">
        <v>-0.5</v>
      </c>
      <c r="I8" s="95" t="n">
        <v>-3.8</v>
      </c>
      <c r="J8" s="95" t="n">
        <v>-2.7</v>
      </c>
      <c r="K8" s="96" t="inlineStr">
        <is>
          <t>2197 CLOVER BIO-B; 2602 ONEWO; 2097 MIXUE GROUP; 3750 CATL; 1276 HENGRUI PHARMA; 2525 HESAI-W; 9973 CHERY AUTO; 2788 CHUANGXIN IND; 6600 ONEROBOTICS; 3200 HANS CNC; 9981 WOER; 2692 ZHAOWEI; 1021 HUAYAN ROBOTICS; 6656 SIGENERGY; 3277 GPIXEL; 2476 VGT; 1879 XIZHI TECH-P; 7666 METIS TECHBIO-P; 7688 TOPNC; 1081 DAJIN; 6106 SEER TECH; 3661 SG MICRO; 9630 CFMEE; 0537 RIGOL; 2475 LUXSHARE ICT; 1377 DTECH; 2249 NEXCHIP; 3308 ZJ INNOLIGHT</t>
        </is>
      </c>
    </row>
    <row r="9">
      <c r="A9" s="16" t="inlineStr">
        <is>
          <t>CPE Greater China Enterprises Growth Fund</t>
        </is>
      </c>
      <c r="B9" s="89" t="n">
        <v>22</v>
      </c>
      <c r="C9" s="94" t="n">
        <v>64</v>
      </c>
      <c r="D9" s="95" t="n">
        <v>44.3</v>
      </c>
      <c r="E9" s="95" t="n">
        <v>45.4</v>
      </c>
      <c r="F9" s="95" t="n">
        <v>37.9</v>
      </c>
      <c r="G9" s="95" t="n">
        <v>64.59999999999999</v>
      </c>
      <c r="H9" s="95" t="n">
        <v>1</v>
      </c>
      <c r="I9" s="95" t="n">
        <v>-0.8</v>
      </c>
      <c r="J9" s="95" t="n">
        <v>14.1</v>
      </c>
      <c r="K9" s="96" t="inlineStr">
        <is>
          <t>2160 CARDIOFLOW-B; 6127 JOINN; 6669 ACOTEC-B; 6181 LAOPU GOLD; 0300 MIDEA GROUP; 1318 MAO GEPING; 3750 CATL; 7618 JD INDUSTRIALS; 1989 DELTON; 6656 SIGENERGY; 3277 GPIXEL; 2476 VGT; 1879 XIZHI TECH-P; 3388 CREALITY; 1081 DAJIN; 3661 SG MICRO; 9630 CFMEE; 0537 RIGOL; 2475 LUXSHARE ICT; 6951 CCTC; 1377 DTECH; 3308 ZJ INNOLIGHT</t>
        </is>
      </c>
    </row>
    <row r="10">
      <c r="A10" s="16" t="inlineStr">
        <is>
          <t>Taikang Life Insurance Co., Ltd</t>
        </is>
      </c>
      <c r="B10" s="89" t="n">
        <v>22</v>
      </c>
      <c r="C10" s="94" t="n">
        <v>73</v>
      </c>
      <c r="D10" s="95" t="n">
        <v>20.5</v>
      </c>
      <c r="E10" s="95" t="n">
        <v>27.6</v>
      </c>
      <c r="F10" s="95" t="n">
        <v>19.6</v>
      </c>
      <c r="G10" s="95" t="n">
        <v>83.59999999999999</v>
      </c>
      <c r="H10" s="95" t="n">
        <v>4.1</v>
      </c>
      <c r="I10" s="95" t="n">
        <v>1</v>
      </c>
      <c r="J10" s="95" t="n">
        <v>52.1</v>
      </c>
      <c r="K10" s="96" t="inlineStr">
        <is>
          <t>2160 CARDIOFLOW-B; 3750 CATL; 2050 SANHUA; 2525 HESAI-W; 6166 CIG; 3696 INSILICO; 2513 KNOWLEDGE ATLAS; 6938 RIBOLIFE-B; 9980 EASTROC; 0068 MANYCORE TECH; 3296 HUAQIN; 3388 CREALITY; 1081 DAJIN; 6132 HJ SCIENCE-B; 6067 SENIOR MATERIAL; 3661 SG MICRO; 1688 LINGYI ITECH; 6715 XUNLONG SCITECH; 0668 ANKER; 6951 CCTC; 1377 DTECH; 2249 NEXCHIP</t>
        </is>
      </c>
    </row>
    <row r="11">
      <c r="A11" s="16" t="inlineStr">
        <is>
          <t>ICBC Wealth Management Co., Ltd</t>
        </is>
      </c>
      <c r="B11" s="89" t="n">
        <v>15</v>
      </c>
      <c r="C11" s="94" t="n">
        <v>73</v>
      </c>
      <c r="D11" s="95" t="n">
        <v>62</v>
      </c>
      <c r="E11" s="95" t="n">
        <v>52.7</v>
      </c>
      <c r="F11" s="95" t="n">
        <v>39.2</v>
      </c>
      <c r="G11" s="95" t="n">
        <v>38.5</v>
      </c>
      <c r="H11" s="95" t="n">
        <v>-5.6</v>
      </c>
      <c r="I11" s="95" t="n">
        <v>-8.5</v>
      </c>
      <c r="J11" s="95" t="n">
        <v>-5.6</v>
      </c>
      <c r="K11" s="96" t="inlineStr">
        <is>
          <t>2050 SANHUA; 6603 IFBH; 6166 CIG; 3881 CIDI; 6938 RIBOLIFE-B; 1989 DELTON; 6656 SIGENERGY; 3277 GPIXEL; 1879 XIZHI TECH-P; 7666 METIS TECHBIO-P; 1081 DAJIN; 3661 SG MICRO; 6715 XUNLONG SCITECH; 6951 CCTC; 2249 NEXCHIP</t>
        </is>
      </c>
    </row>
    <row r="12">
      <c r="A12" s="16" t="inlineStr">
        <is>
          <t>Fullgoal Asset Management (HK) Limited</t>
        </is>
      </c>
      <c r="B12" s="89" t="n">
        <v>15</v>
      </c>
      <c r="C12" s="94" t="n">
        <v>93</v>
      </c>
      <c r="D12" s="95" t="n">
        <v>51.9</v>
      </c>
      <c r="E12" s="95" t="n">
        <v>49.8</v>
      </c>
      <c r="F12" s="95" t="n">
        <v>39.5</v>
      </c>
      <c r="G12" s="95" t="n">
        <v>43.5</v>
      </c>
      <c r="H12" s="95" t="n">
        <v>-0</v>
      </c>
      <c r="I12" s="95" t="n">
        <v>-5.1</v>
      </c>
      <c r="J12" s="95" t="n">
        <v>-5.9</v>
      </c>
      <c r="K12" s="96" t="inlineStr">
        <is>
          <t>2219 CHAOJU EYE CARE; 3858 JIAXIN INTL RES; 2698 SOFTCARE; 3696 INSILICO; 6938 RIBOLIFE-B; 9611 LONGCHEER; 2768 GON TECHNOLOGY; 3200 HANS CNC; 6656 SIGENERGY; 3277 GPIXEL; 7666 METIS TECHBIO-P; 7688 TOPNC; 1081 DAJIN; 1779 LONGBIO-B; 6067 SENIOR MATERIAL</t>
        </is>
      </c>
    </row>
    <row r="13">
      <c r="A13" s="16" t="inlineStr">
        <is>
          <t>Greenwoods Asset Management Hong Kong Limited</t>
        </is>
      </c>
      <c r="B13" s="89" t="n">
        <v>15</v>
      </c>
      <c r="C13" s="94" t="n">
        <v>73</v>
      </c>
      <c r="D13" s="95" t="n">
        <v>51.1</v>
      </c>
      <c r="E13" s="95" t="n">
        <v>54.9</v>
      </c>
      <c r="F13" s="95" t="n">
        <v>48.9</v>
      </c>
      <c r="G13" s="95" t="n">
        <v>52.3</v>
      </c>
      <c r="H13" s="95" t="n">
        <v>2.8</v>
      </c>
      <c r="I13" s="95" t="n">
        <v>3.6</v>
      </c>
      <c r="J13" s="95" t="n">
        <v>11.8</v>
      </c>
      <c r="K13" s="96" t="inlineStr">
        <is>
          <t>2285 CHERVON; 9878 HUITONGDA NET; 0325 BLOKS; 2050 SANHUA; 2648 ANJOY FOOD; 9973 CHERY AUTO; 3986 GIGADEVICE; 1989 DELTON; 6656 SIGENERGY; 3277 GPIXEL; 2476 VGT; 1879 XIZHI TECH-P; 1688 LINGYI ITECH; 0668 ANKER; 2475 LUXSHARE ICT</t>
        </is>
      </c>
    </row>
    <row r="14">
      <c r="A14" s="16" t="inlineStr">
        <is>
          <t>Huatai Capital Investment Limited</t>
        </is>
      </c>
      <c r="B14" s="89" t="n">
        <v>15</v>
      </c>
      <c r="C14" s="94" t="n">
        <v>93</v>
      </c>
      <c r="D14" s="95" t="n">
        <v>26.5</v>
      </c>
      <c r="E14" s="95" t="n">
        <v>26.5</v>
      </c>
      <c r="F14" s="95" t="n">
        <v>34.2</v>
      </c>
      <c r="G14" s="95" t="n">
        <v>111.8</v>
      </c>
      <c r="H14" s="95" t="n">
        <v>1.7</v>
      </c>
      <c r="I14" s="95" t="n">
        <v>9.6</v>
      </c>
      <c r="J14" s="95" t="n">
        <v>54.7</v>
      </c>
      <c r="K14" s="96" t="inlineStr">
        <is>
          <t>1490 CHESHI; 0325 BLOKS; 3288 HAITIAN FLAV; 2617 TRANSTHERA-B; 1828 FWD; 6960 SHUANGDENG; 2637 HAIXI PHARMA; 2718 MININGLAMP-W; 9609 HAIWEI ELEC; 6600 ONEROBOTICS; 9903 ILUVATAR COREX; 9611 LONGCHEER; 1021 HUAYAN ROBOTICS; 1956 WENGE AI; 3752 ROKAE ROBOTICS</t>
        </is>
      </c>
    </row>
    <row r="15">
      <c r="A15" s="16" t="inlineStr">
        <is>
          <t>Boyu Capital Opportunities Master Fund</t>
        </is>
      </c>
      <c r="B15" s="89" t="n">
        <v>15</v>
      </c>
      <c r="C15" s="94" t="n">
        <v>60</v>
      </c>
      <c r="D15" s="95" t="n">
        <v>17.8</v>
      </c>
      <c r="E15" s="95" t="n">
        <v>13.3</v>
      </c>
      <c r="F15" s="95" t="n">
        <v>16.9</v>
      </c>
      <c r="G15" s="95" t="n">
        <v>-8.699999999999999</v>
      </c>
      <c r="H15" s="95" t="n">
        <v>-3.6</v>
      </c>
      <c r="I15" s="95" t="n">
        <v>0.5</v>
      </c>
      <c r="J15" s="95" t="n">
        <v>-24.5</v>
      </c>
      <c r="K15" s="96" t="inlineStr">
        <is>
          <t>2190 ZYLOXTB-B; 2162 KEYMED BIO-B; 2137 BRII - B; 6609 HEARTCARE-B; 2235 MICROTECH MED-B; 2273 GUSHENGTANG; 6633 QINGCI GAMES; 3288 HAITIAN FLAV; 6166 CIG; 0501 OMNIVISION; 3277 GPIXEL; 7688 TOPNC; 3388 CREALITY; 6880 MOMENTA-W; 3308 ZJ INNOLIGHT</t>
        </is>
      </c>
    </row>
    <row r="16">
      <c r="A16" s="16" t="inlineStr">
        <is>
          <t>Mirae Asset Securities (HK) Limited</t>
        </is>
      </c>
      <c r="B16" s="89" t="n">
        <v>14</v>
      </c>
      <c r="C16" s="94" t="n">
        <v>64</v>
      </c>
      <c r="D16" s="95" t="n">
        <v>65.09999999999999</v>
      </c>
      <c r="E16" s="95" t="n">
        <v>67.8</v>
      </c>
      <c r="F16" s="95" t="n">
        <v>42.3</v>
      </c>
      <c r="G16" s="95" t="n">
        <v>21.4</v>
      </c>
      <c r="H16" s="95" t="n">
        <v>0.9</v>
      </c>
      <c r="I16" s="95" t="n">
        <v>-7.6</v>
      </c>
      <c r="J16" s="95" t="n">
        <v>-13.6</v>
      </c>
      <c r="K16" s="96" t="inlineStr">
        <is>
          <t>3750 CATL; 2050 SANHUA; 2643 CAOCAO INC; 9927 SERES; 2692 ZHAOWEI; 0068 MANYCORE TECH; 3277 GPIXEL; 2476 VGT; 1879 XIZHI TECH-P; 7666 METIS TECHBIO-P; 7688 TOPNC; 6715 XUNLONG SCITECH; 2475 LUXSHARE ICT; 3308 ZJ INNOLIGHT</t>
        </is>
      </c>
    </row>
    <row r="17">
      <c r="A17" s="16" t="inlineStr">
        <is>
          <t>CICC Financial Trading Limited</t>
        </is>
      </c>
      <c r="B17" s="89" t="n">
        <v>14</v>
      </c>
      <c r="C17" s="94" t="n">
        <v>71</v>
      </c>
      <c r="D17" s="95" t="n">
        <v>25.1</v>
      </c>
      <c r="E17" s="95" t="n">
        <v>21.9</v>
      </c>
      <c r="F17" s="95" t="n">
        <v>19.1</v>
      </c>
      <c r="G17" s="95" t="n">
        <v>36.2</v>
      </c>
      <c r="H17" s="95" t="n">
        <v>-2.4</v>
      </c>
      <c r="I17" s="95" t="n">
        <v>-3.8</v>
      </c>
      <c r="J17" s="95" t="n">
        <v>4.5</v>
      </c>
      <c r="K17" s="96" t="inlineStr">
        <is>
          <t>0013 HUTCHMED; 6669 ACOTEC-B; 3750 CATL; 3288 HAITIAN FLAV; 6168 ZHOU LIU FU; 3858 JIAXIN INTL RES; 9973 CHERY AUTO; 2698 SOFTCARE; 9609 HAIWEI ELEC; 3296 HUAQIN; 6067 SENIOR MATERIAL; 9630 CFMEE; 2667 TONGRENTANGCARE; 2249 NEXCHIP</t>
        </is>
      </c>
    </row>
    <row r="18">
      <c r="A18" s="16" t="inlineStr">
        <is>
          <t>Lake Bleu Prime Healthcare Master Fund Limited</t>
        </is>
      </c>
      <c r="B18" s="89" t="n">
        <v>14</v>
      </c>
      <c r="C18" s="94" t="n">
        <v>57</v>
      </c>
      <c r="D18" s="95" t="n">
        <v>23.9</v>
      </c>
      <c r="E18" s="95" t="n">
        <v>17.6</v>
      </c>
      <c r="F18" s="95" t="n">
        <v>-0.7</v>
      </c>
      <c r="G18" s="95" t="n">
        <v>-15.1</v>
      </c>
      <c r="H18" s="95" t="n">
        <v>-3.7</v>
      </c>
      <c r="I18" s="95" t="n">
        <v>-17.5</v>
      </c>
      <c r="J18" s="95" t="n">
        <v>-30.6</v>
      </c>
      <c r="K18" s="96" t="inlineStr">
        <is>
          <t>2160 CARDIOFLOW-B; 2170 BASECARE-B; 6127 JOINN; 2190 ZYLOXTB-B; 2162 KEYMED BIO-B; 6609 HEARTCARE-B; 2216 BRONCUS-B; 2256 ABBISKO-B; 2235 MICROTECH MED-B; 2251 AIRDOC-B; 2279 YONGHE MEDICAL; 2268 WUXI XDC; 2595 GENFLEET-B; 7666 METIS TECHBIO-P</t>
        </is>
      </c>
    </row>
    <row r="19">
      <c r="A19" s="16" t="inlineStr">
        <is>
          <t>GIC Private Limited</t>
        </is>
      </c>
      <c r="B19" s="89" t="n">
        <v>12</v>
      </c>
      <c r="C19" s="94" t="n">
        <v>67</v>
      </c>
      <c r="D19" s="95" t="n">
        <v>64.40000000000001</v>
      </c>
      <c r="E19" s="95" t="n">
        <v>63.4</v>
      </c>
      <c r="F19" s="95" t="n">
        <v>35.4</v>
      </c>
      <c r="G19" s="95" t="n">
        <v>31.4</v>
      </c>
      <c r="H19" s="95" t="n">
        <v>-2.8</v>
      </c>
      <c r="I19" s="95" t="n">
        <v>-13.1</v>
      </c>
      <c r="J19" s="95" t="n">
        <v>-13.9</v>
      </c>
      <c r="K19" s="96" t="inlineStr">
        <is>
          <t>2160 CARDIOFLOW-B; 1024 KUAISHOU-W; 6622 ZHAOKE OPHTH-B; 2192 MEDLIVE; 1276 HENGRUI PHARMA; 3288 HAITIAN FLAV; 1879 XIZHI TECH-P; 1081 DAJIN; 3661 SG MICRO; 9637 ALEBUND-B; 6880 MOMENTA-W; 2475 LUXSHARE ICT</t>
        </is>
      </c>
    </row>
    <row r="20">
      <c r="A20" s="16" t="inlineStr">
        <is>
          <t>Perseverance Asset Management International (Singapore) Pte. Ltd</t>
        </is>
      </c>
      <c r="B20" s="89" t="n">
        <v>12</v>
      </c>
      <c r="C20" s="94" t="n">
        <v>67</v>
      </c>
      <c r="D20" s="95" t="n">
        <v>28.7</v>
      </c>
      <c r="E20" s="95" t="n">
        <v>33.8</v>
      </c>
      <c r="F20" s="95" t="n">
        <v>31.2</v>
      </c>
      <c r="G20" s="95" t="n">
        <v>53.6</v>
      </c>
      <c r="H20" s="95" t="n">
        <v>2.3</v>
      </c>
      <c r="I20" s="95" t="n">
        <v>0.7</v>
      </c>
      <c r="J20" s="95" t="n">
        <v>7.1</v>
      </c>
      <c r="K20" s="96" t="inlineStr">
        <is>
          <t>6669 ACOTEC-B; 6687 JST GROUP; 2676 NOVOSENSE; 0100 MINIMAX-WP; 2714 MUYUAN; 2692 ZHAOWEI; 6656 SIGENERGY; 3277 GPIXEL; 3296 HUAQIN; 1191 CREALIGHTS; 2475 LUXSHARE ICT; 2249 NEXCHIP</t>
        </is>
      </c>
    </row>
    <row r="21">
      <c r="A21" s="16" t="inlineStr">
        <is>
          <t>IvyRock Asset Management (HK) Limited</t>
        </is>
      </c>
      <c r="B21" s="89" t="n">
        <v>12</v>
      </c>
      <c r="C21" s="94" t="n">
        <v>58</v>
      </c>
      <c r="D21" s="95" t="n">
        <v>12</v>
      </c>
      <c r="E21" s="95" t="n">
        <v>11.8</v>
      </c>
      <c r="F21" s="95" t="n">
        <v>7.9</v>
      </c>
      <c r="G21" s="95" t="n">
        <v>20</v>
      </c>
      <c r="H21" s="95" t="n">
        <v>-0.7</v>
      </c>
      <c r="I21" s="95" t="n">
        <v>-4.7</v>
      </c>
      <c r="J21" s="95" t="n">
        <v>-1.4</v>
      </c>
      <c r="K21" s="96" t="inlineStr">
        <is>
          <t>2170 BASECARE-B; 2171 CARSGEN-B; 2190 ZYLOXTB-B; 9960 KINDSTAR GLOBAL; 2251 AIRDOC-B; 2279 YONGHE MEDICAL; 2285 CHERVON; 1318 MAO GEPING; 7618 JD INDUSTRIALS; 3296 HUAQIN; 6951 CCTC; 2249 NEXCHIP</t>
        </is>
      </c>
    </row>
    <row r="22">
      <c r="A22" s="16" t="inlineStr">
        <is>
          <t>Athos Capital Limited</t>
        </is>
      </c>
      <c r="B22" s="89" t="n">
        <v>12</v>
      </c>
      <c r="C22" s="94" t="n">
        <v>42</v>
      </c>
      <c r="D22" s="95" t="n">
        <v>1.3</v>
      </c>
      <c r="E22" s="95" t="n">
        <v>-1.2</v>
      </c>
      <c r="F22" s="95" t="n">
        <v>-2.5</v>
      </c>
      <c r="G22" s="95" t="n">
        <v>-12.7</v>
      </c>
      <c r="H22" s="95" t="n">
        <v>-2.4</v>
      </c>
      <c r="I22" s="95" t="n">
        <v>-3.7</v>
      </c>
      <c r="J22" s="95" t="n">
        <v>-14</v>
      </c>
      <c r="K22" s="96" t="inlineStr">
        <is>
          <t>2190 ZYLOXTB-B; 2137 BRII - B; 9960 KINDSTAR GLOBAL; 6669 ACOTEC-B; 2197 CLOVER BIO-B; 2279 YONGHE MEDICAL; 2602 ONEWO; 0300 MIDEA GROUP; 2460 CR BEVERAGE; 2026 PONY-W; 1377 DTECH; 3308 ZJ INNOLIGHT</t>
        </is>
      </c>
    </row>
    <row r="23">
      <c r="A23" s="16" t="inlineStr">
        <is>
          <t>3W Fund Management Limited</t>
        </is>
      </c>
      <c r="B23" s="89" t="n">
        <v>11</v>
      </c>
      <c r="C23" s="94" t="n">
        <v>82</v>
      </c>
      <c r="D23" s="95" t="n">
        <v>78.3</v>
      </c>
      <c r="E23" s="95" t="n">
        <v>72.2</v>
      </c>
      <c r="F23" s="95" t="n">
        <v>49.3</v>
      </c>
      <c r="G23" s="95" t="n">
        <v>12.5</v>
      </c>
      <c r="H23" s="95" t="n">
        <v>-4</v>
      </c>
      <c r="I23" s="95" t="n">
        <v>-14.6</v>
      </c>
      <c r="J23" s="95" t="n">
        <v>-32.5</v>
      </c>
      <c r="K23" s="96" t="inlineStr">
        <is>
          <t>2158 YIDU TECH; 2160 CARDIOFLOW-B; 6609 HEARTCARE-B; 2285 CHERVON; 6656 SIGENERGY; 3277 GPIXEL; 3296 HUAQIN; 1879 XIZHI TECH-P; 7688 TOPNC; 6106 SEER TECH; 1688 LINGYI ITECH</t>
        </is>
      </c>
    </row>
    <row r="24">
      <c r="A24" s="16" t="inlineStr">
        <is>
          <t>Huang River Investment Limited</t>
        </is>
      </c>
      <c r="B24" s="89" t="n">
        <v>11</v>
      </c>
      <c r="C24" s="94" t="n">
        <v>64</v>
      </c>
      <c r="D24" s="95" t="n">
        <v>38</v>
      </c>
      <c r="E24" s="95" t="n">
        <v>31.9</v>
      </c>
      <c r="F24" s="95" t="n">
        <v>30.1</v>
      </c>
      <c r="G24" s="95" t="n">
        <v>72.09999999999999</v>
      </c>
      <c r="H24" s="95" t="n">
        <v>-1.2</v>
      </c>
      <c r="I24" s="95" t="n">
        <v>-0.9</v>
      </c>
      <c r="J24" s="95" t="n">
        <v>30.8</v>
      </c>
      <c r="K24" s="96" t="inlineStr">
        <is>
          <t>1519 J&amp;T EXPRESS-W; 6181 LAOPU GOLD; 1364 GUMING; 2718 MININGLAMP-W; 2675 EDGE MEDICAL-B; 9980 EASTROC; 7630 IMPACT THERAP-B; 9637 ALEBUND-B; 2475 LUXSHARE ICT; 6951 CCTC; 3308 ZJ INNOLIGHT</t>
        </is>
      </c>
    </row>
    <row r="25">
      <c r="A25" s="16" t="inlineStr">
        <is>
          <t>OrbiMed Funds</t>
        </is>
      </c>
      <c r="B25" s="89" t="n">
        <v>11</v>
      </c>
      <c r="C25" s="94" t="n">
        <v>55</v>
      </c>
      <c r="D25" s="95" t="n">
        <v>21.3</v>
      </c>
      <c r="E25" s="95" t="n">
        <v>22.6</v>
      </c>
      <c r="F25" s="95" t="n">
        <v>11.6</v>
      </c>
      <c r="G25" s="95" t="n">
        <v>1.4</v>
      </c>
      <c r="H25" s="95" t="n">
        <v>1</v>
      </c>
      <c r="I25" s="95" t="n">
        <v>-8.5</v>
      </c>
      <c r="J25" s="95" t="n">
        <v>-11.8</v>
      </c>
      <c r="K25" s="96" t="inlineStr">
        <is>
          <t>2158 YIDU TECH; 2170 BASECARE-B; 6127 JOINN; 2192 MEDLIVE; 2256 ABBISKO-B; 2235 MICROTECH MED-B; 2197 CLOVER BIO-B; 6639 ARRAIL GROUP; 2105 LAEKNA-B; 2675 EDGE MEDICAL-B; 1779 LONGBIO-B</t>
        </is>
      </c>
    </row>
    <row r="26">
      <c r="A26" s="16" t="inlineStr">
        <is>
          <t>WT Asset Management Limited</t>
        </is>
      </c>
      <c r="B26" s="89" t="n">
        <v>11</v>
      </c>
      <c r="C26" s="94" t="n">
        <v>73</v>
      </c>
      <c r="D26" s="95" t="n">
        <v>17.8</v>
      </c>
      <c r="E26" s="95" t="n">
        <v>17</v>
      </c>
      <c r="F26" s="95" t="n">
        <v>7.8</v>
      </c>
      <c r="G26" s="95" t="n">
        <v>7.1</v>
      </c>
      <c r="H26" s="95" t="n">
        <v>-1.9</v>
      </c>
      <c r="I26" s="95" t="n">
        <v>-9.5</v>
      </c>
      <c r="J26" s="95" t="n">
        <v>-11.4</v>
      </c>
      <c r="K26" s="96" t="inlineStr">
        <is>
          <t>2160 CARDIOFLOW-B; 2171 CARSGEN-B; 2251 AIRDOC-B; 2279 YONGHE MEDICAL; 3750 CATL; 2525 HESAI-W; 6687 JST GROUP; 3355 FS.COM; 3277 GPIXEL; 0668 ANKER; 2249 NEXCHIP</t>
        </is>
      </c>
    </row>
    <row r="27">
      <c r="A27" s="16" t="inlineStr">
        <is>
          <t>Sage Partners Master Fund</t>
        </is>
      </c>
      <c r="B27" s="89" t="n">
        <v>11</v>
      </c>
      <c r="C27" s="94" t="n">
        <v>55</v>
      </c>
      <c r="D27" s="95" t="n">
        <v>9.199999999999999</v>
      </c>
      <c r="E27" s="95" t="n">
        <v>6.4</v>
      </c>
      <c r="F27" s="95" t="n">
        <v>19.2</v>
      </c>
      <c r="G27" s="95" t="n">
        <v>-2.7</v>
      </c>
      <c r="H27" s="95" t="n">
        <v>-0.3</v>
      </c>
      <c r="I27" s="95" t="n">
        <v>16.8</v>
      </c>
      <c r="J27" s="95" t="n">
        <v>-8.199999999999999</v>
      </c>
      <c r="K27" s="96" t="inlineStr">
        <is>
          <t>2190 ZYLOXTB-B; 2162 KEYMED BIO-B; 2137 BRII - B; 6609 HEARTCARE-B; 2235 MICROTECH MED-B; 2273 GUSHENGTANG; 3378 HANXBIO-B; 6600 ONEROBOTICS; 2675 EDGE MEDICAL-B; 7666 METIS TECHBIO-P; 6132 HJ SCIENCE-B</t>
        </is>
      </c>
    </row>
    <row r="28">
      <c r="A28" s="16" t="inlineStr">
        <is>
          <t>Oaktree Capital Management, L.P</t>
        </is>
      </c>
      <c r="B28" s="89" t="n">
        <v>11</v>
      </c>
      <c r="C28" s="94" t="n">
        <v>55</v>
      </c>
      <c r="D28" s="95" t="n">
        <v>6.4</v>
      </c>
      <c r="E28" s="95" t="n">
        <v>17.8</v>
      </c>
      <c r="F28" s="95" t="n">
        <v>15.2</v>
      </c>
      <c r="G28" s="95" t="n">
        <v>34.2</v>
      </c>
      <c r="H28" s="95" t="n">
        <v>11.1</v>
      </c>
      <c r="I28" s="95" t="n">
        <v>6</v>
      </c>
      <c r="J28" s="95" t="n">
        <v>19</v>
      </c>
      <c r="K28" s="96" t="inlineStr">
        <is>
          <t>2618 JD LOGISTICS; 1880 CTG DUTY-FREE; 2460 CR BEVERAGE; 3750 CATL; 1276 HENGRUI PHARMA; 6031 SANY HEAVY IND; 3696 INSILICO; 0470 WUXI LEAD; 3952 LAIFUAL; 6880 MOMENTA-W; 3308 ZJ INNOLIGHT</t>
        </is>
      </c>
    </row>
    <row r="29">
      <c r="A29" s="16" t="inlineStr">
        <is>
          <t>BlackRock, Inc</t>
        </is>
      </c>
      <c r="B29" s="89" t="n">
        <v>10</v>
      </c>
      <c r="C29" s="94" t="n">
        <v>60</v>
      </c>
      <c r="D29" s="95" t="n">
        <v>72.5</v>
      </c>
      <c r="E29" s="95" t="n">
        <v>73.59999999999999</v>
      </c>
      <c r="F29" s="95" t="n">
        <v>36.9</v>
      </c>
      <c r="G29" s="95" t="n">
        <v>11.8</v>
      </c>
      <c r="H29" s="95" t="n">
        <v>-0.1</v>
      </c>
      <c r="I29" s="95" t="n">
        <v>-14.8</v>
      </c>
      <c r="J29" s="95" t="n">
        <v>-31.6</v>
      </c>
      <c r="K29" s="96" t="inlineStr">
        <is>
          <t>1024 KUAISHOU-W; 9959 LINKLOGIS–W; 9960 KINDSTAR GLOBAL; 2256 ABBISKO-B; 6031 SANY HEAVY IND; 1879 XIZHI TECH-P; 7666 METIS TECHBIO-P; 6715 XUNLONG SCITECH; 6880 MOMENTA-W; 3308 ZJ INNOLIGHT</t>
        </is>
      </c>
    </row>
    <row r="30">
      <c r="A30" s="16" t="inlineStr">
        <is>
          <t>Aspex Master Fund</t>
        </is>
      </c>
      <c r="B30" s="89" t="n">
        <v>10</v>
      </c>
      <c r="C30" s="94" t="n">
        <v>60</v>
      </c>
      <c r="D30" s="95" t="n">
        <v>62.6</v>
      </c>
      <c r="E30" s="95" t="n">
        <v>75.90000000000001</v>
      </c>
      <c r="F30" s="95" t="n">
        <v>58</v>
      </c>
      <c r="G30" s="95" t="n">
        <v>121.1</v>
      </c>
      <c r="H30" s="95" t="n">
        <v>9.1</v>
      </c>
      <c r="I30" s="95" t="n">
        <v>1.5</v>
      </c>
      <c r="J30" s="95" t="n">
        <v>33.4</v>
      </c>
      <c r="K30" s="96" t="inlineStr">
        <is>
          <t>6609 HEARTCARE-B; 2252 MEDBOT-B; 1519 J&amp;T EXPRESS-W; 6082 BIREN TECH; 0100 MINIMAX-WP; 6809 MONTAGE TECH; 1879 XIZHI TECH-P; 0668 ANKER; 1377 DTECH; 3308 ZJ INNOLIGHT</t>
        </is>
      </c>
    </row>
    <row r="31">
      <c r="A31" s="16" t="inlineStr">
        <is>
          <t>Mega Prime Development Limited</t>
        </is>
      </c>
      <c r="B31" s="89" t="n">
        <v>10</v>
      </c>
      <c r="C31" s="94" t="n">
        <v>90</v>
      </c>
      <c r="D31" s="95" t="n">
        <v>38.1</v>
      </c>
      <c r="E31" s="95" t="n">
        <v>43.7</v>
      </c>
      <c r="F31" s="95" t="n">
        <v>42</v>
      </c>
      <c r="G31" s="95" t="n">
        <v>61.8</v>
      </c>
      <c r="H31" s="95" t="n">
        <v>4.7</v>
      </c>
      <c r="I31" s="95" t="n">
        <v>4.8</v>
      </c>
      <c r="J31" s="95" t="n">
        <v>22.1</v>
      </c>
      <c r="K31" s="96" t="inlineStr">
        <is>
          <t>9879 MIGAO GROUP; 1318 MAO GEPING; 2050 SANHUA; 6603 IFBH; 1304 FORTIOR; 2657 FOREST CABIN; 2675 EDGE MEDICAL-B; 2476 VGT; 1609 STAR SPORTS MED; 1779 LONGBIO-B</t>
        </is>
      </c>
    </row>
    <row r="32">
      <c r="A32" s="16" t="inlineStr">
        <is>
          <t>Value Partners Hong Kong Limited</t>
        </is>
      </c>
      <c r="B32" s="89" t="n">
        <v>10</v>
      </c>
      <c r="C32" s="94" t="n">
        <v>80</v>
      </c>
      <c r="D32" s="95" t="n">
        <v>34</v>
      </c>
      <c r="E32" s="95" t="n">
        <v>33.9</v>
      </c>
      <c r="F32" s="95" t="n">
        <v>25.4</v>
      </c>
      <c r="G32" s="95" t="n">
        <v>49.1</v>
      </c>
      <c r="H32" s="95" t="n">
        <v>-0.6</v>
      </c>
      <c r="I32" s="95" t="n">
        <v>-5.6</v>
      </c>
      <c r="J32" s="95" t="n">
        <v>9.4</v>
      </c>
      <c r="K32" s="96" t="inlineStr">
        <is>
          <t>2285 CHERVON; 1497 YAN PALACE; 3288 HAITIAN FLAV; 2595 GENFLEET-B; 1989 DELTON; 3277 GPIXEL; 1779 LONGBIO-B; 3661 SG MICRO; 1688 LINGYI ITECH; 0668 ANKER</t>
        </is>
      </c>
    </row>
    <row r="33">
      <c r="A33" s="16" t="inlineStr">
        <is>
          <t>LAV Star Opportunities Limited</t>
        </is>
      </c>
      <c r="B33" s="89" t="n">
        <v>10</v>
      </c>
      <c r="C33" s="94" t="n">
        <v>50</v>
      </c>
      <c r="D33" s="95" t="n">
        <v>22.8</v>
      </c>
      <c r="E33" s="95" t="n">
        <v>26.1</v>
      </c>
      <c r="F33" s="95" t="n">
        <v>12.5</v>
      </c>
      <c r="G33" s="95" t="n">
        <v>4.7</v>
      </c>
      <c r="H33" s="95" t="n">
        <v>3.5</v>
      </c>
      <c r="I33" s="95" t="n">
        <v>-9.199999999999999</v>
      </c>
      <c r="J33" s="95" t="n">
        <v>-17.6</v>
      </c>
      <c r="K33" s="96" t="inlineStr">
        <is>
          <t>2171 CARSGEN-B; 2162 KEYMED BIO-B; 6628 TRANSCENTA-B; 2256 ABBISKO-B; 2235 MICROTECH MED-B; 2252 MEDBOT-B; 2251 AIRDOC-B; 2279 YONGHE MEDICAL; 9606 DUALITYBIO-B; 7630 IMPACT THERAP-B</t>
        </is>
      </c>
    </row>
    <row r="34">
      <c r="A34" s="16" t="inlineStr">
        <is>
          <t>Foresight Funds</t>
        </is>
      </c>
      <c r="B34" s="89" t="n">
        <v>10</v>
      </c>
      <c r="C34" s="94" t="n">
        <v>60</v>
      </c>
      <c r="D34" s="95" t="n">
        <v>15.1</v>
      </c>
      <c r="E34" s="95" t="n">
        <v>14.7</v>
      </c>
      <c r="F34" s="95" t="n">
        <v>15.9</v>
      </c>
      <c r="G34" s="95" t="n">
        <v>-0.4</v>
      </c>
      <c r="H34" s="95" t="n">
        <v>0.7</v>
      </c>
      <c r="I34" s="95" t="n">
        <v>4.5</v>
      </c>
      <c r="J34" s="95" t="n">
        <v>-11.4</v>
      </c>
      <c r="K34" s="96" t="inlineStr">
        <is>
          <t>2170 BASECARE-B; 2171 CARSGEN-B; 2273 GUSHENGTANG; 0300 MIDEA GROUP; 3355 FS.COM; 2476 VGT; 7630 IMPACT THERAP-B; 1779 LONGBIO-B; 6132 HJ SCIENCE-B; 2475 LUXSHARE ICT</t>
        </is>
      </c>
    </row>
    <row r="35">
      <c r="A35" s="16" t="inlineStr">
        <is>
          <t>China Universal Asset Management (Hong Kong) Company Limited</t>
        </is>
      </c>
      <c r="B35" s="89" t="n">
        <v>9</v>
      </c>
      <c r="C35" s="94" t="n">
        <v>67</v>
      </c>
      <c r="D35" s="95" t="n">
        <v>61.7</v>
      </c>
      <c r="E35" s="95" t="n">
        <v>74.90000000000001</v>
      </c>
      <c r="F35" s="95" t="n">
        <v>61.5</v>
      </c>
      <c r="G35" s="95" t="n">
        <v>182.3</v>
      </c>
      <c r="H35" s="95" t="n">
        <v>0.8</v>
      </c>
      <c r="I35" s="95" t="n">
        <v>-1.4</v>
      </c>
      <c r="J35" s="95" t="n">
        <v>44.8</v>
      </c>
      <c r="K35" s="96" t="inlineStr">
        <is>
          <t>2155 MORIMATSU INTL; 6669 ACOTEC-B; 6990 SKB BIO-B; 0100 MINIMAX-WP; 9630 CFMEE; 9637 ALEBUND-B; 2475 LUXSHARE ICT; 6951 CCTC; 2249 NEXCHIP</t>
        </is>
      </c>
    </row>
    <row r="36">
      <c r="A36" s="16" t="inlineStr">
        <is>
          <t>E Fund Management Co., Ltd</t>
        </is>
      </c>
      <c r="B36" s="89" t="n">
        <v>9</v>
      </c>
      <c r="C36" s="94" t="n">
        <v>89</v>
      </c>
      <c r="D36" s="95" t="n">
        <v>44.9</v>
      </c>
      <c r="E36" s="95" t="n">
        <v>51.3</v>
      </c>
      <c r="F36" s="95" t="n">
        <v>46.2</v>
      </c>
      <c r="G36" s="95" t="n">
        <v>84.40000000000001</v>
      </c>
      <c r="H36" s="95" t="n">
        <v>6.1</v>
      </c>
      <c r="I36" s="95" t="n">
        <v>4.6</v>
      </c>
      <c r="J36" s="95" t="n">
        <v>24.8</v>
      </c>
      <c r="K36" s="96" t="inlineStr">
        <is>
          <t>9606 DUALITYBIO-B; 2698 SOFTCARE; 3696 INSILICO; 9611 LONGCHEER; 2768 GON TECHNOLOGY; 3277 GPIXEL; 1191 CREALIGHTS; 9637 ALEBUND-B; 1377 DTECH</t>
        </is>
      </c>
    </row>
    <row r="37">
      <c r="A37" s="16" t="inlineStr">
        <is>
          <t>Morgan Stanley &amp; Co. International plc</t>
        </is>
      </c>
      <c r="B37" s="89" t="n">
        <v>9</v>
      </c>
      <c r="C37" s="94" t="n">
        <v>56</v>
      </c>
      <c r="D37" s="95" t="n">
        <v>18.2</v>
      </c>
      <c r="E37" s="95" t="n">
        <v>20.4</v>
      </c>
      <c r="F37" s="95" t="n">
        <v>16.3</v>
      </c>
      <c r="G37" s="95" t="n">
        <v>63</v>
      </c>
      <c r="H37" s="95" t="n">
        <v>1.6</v>
      </c>
      <c r="I37" s="95" t="n">
        <v>-2.3</v>
      </c>
      <c r="J37" s="95" t="n">
        <v>26.4</v>
      </c>
      <c r="K37" s="96" t="inlineStr">
        <is>
          <t>2561 VISEN PHARMA-B; 2050 SANHUA; 6166 CIG; 3200 HANS CNC; 6809 MONTAGE TECH; 1021 HUAYAN ROBOTICS; 2476 VGT; 1688 LINGYI ITECH; 3308 ZJ INNOLIGHT</t>
        </is>
      </c>
    </row>
    <row r="38">
      <c r="A38" s="16" t="inlineStr">
        <is>
          <t>Suzhou Harvest International Co., Limited</t>
        </is>
      </c>
      <c r="B38" s="89" t="n">
        <v>9</v>
      </c>
      <c r="C38" s="94" t="n">
        <v>33</v>
      </c>
      <c r="D38" s="95" t="n">
        <v>16.7</v>
      </c>
      <c r="E38" s="95" t="n">
        <v>8.4</v>
      </c>
      <c r="F38" s="95" t="n">
        <v>5.9</v>
      </c>
      <c r="G38" s="95" t="n">
        <v>44.6</v>
      </c>
      <c r="H38" s="95" t="n">
        <v>-5.2</v>
      </c>
      <c r="I38" s="95" t="n">
        <v>-10.1</v>
      </c>
      <c r="J38" s="95" t="n">
        <v>-0.4</v>
      </c>
      <c r="K38" s="96" t="inlineStr">
        <is>
          <t>2152 SUXIN SERVICES; 2479 TIANJUDIHE; 2561 VISEN PHARMA-B; 9606 DUALITYBIO-B; 2630 VIGONVITA-B; 2581 BENQ HOLDING; 2692 ZHAOWEI; 6880 MOMENTA-W; 0537 RIGOL</t>
        </is>
      </c>
    </row>
    <row r="39">
      <c r="A39" s="16" t="inlineStr">
        <is>
          <t>FIL Investment Management (Hong Kong) Limited</t>
        </is>
      </c>
      <c r="B39" s="89" t="n">
        <v>8</v>
      </c>
      <c r="C39" s="94" t="n">
        <v>75</v>
      </c>
      <c r="D39" s="95" t="n">
        <v>72.5</v>
      </c>
      <c r="E39" s="95" t="n">
        <v>81.40000000000001</v>
      </c>
      <c r="F39" s="95" t="n">
        <v>51.9</v>
      </c>
      <c r="G39" s="95" t="n">
        <v>31.5</v>
      </c>
      <c r="H39" s="95" t="n">
        <v>2.1</v>
      </c>
      <c r="I39" s="95" t="n">
        <v>-4.6</v>
      </c>
      <c r="J39" s="95" t="n">
        <v>-19.7</v>
      </c>
      <c r="K39" s="96" t="inlineStr">
        <is>
          <t>1024 KUAISHOU-W; 2192 MEDLIVE; 2657 FOREST CABIN; 2714 MUYUAN; 1879 XIZHI TECH-P; 6880 MOMENTA-W; 7687 EACON; 2475 LUXSHARE ICT</t>
        </is>
      </c>
    </row>
    <row r="40">
      <c r="A40" s="16" t="inlineStr">
        <is>
          <t>China Asset Management (Hong Kong) Limited</t>
        </is>
      </c>
      <c r="B40" s="89" t="n">
        <v>8</v>
      </c>
      <c r="C40" s="94" t="n">
        <v>88</v>
      </c>
      <c r="D40" s="95" t="n">
        <v>54.4</v>
      </c>
      <c r="E40" s="95" t="n">
        <v>49.6</v>
      </c>
      <c r="F40" s="95" t="n">
        <v>30.7</v>
      </c>
      <c r="G40" s="95" t="n">
        <v>17.5</v>
      </c>
      <c r="H40" s="95" t="n">
        <v>-1.1</v>
      </c>
      <c r="I40" s="95" t="n">
        <v>-12.8</v>
      </c>
      <c r="J40" s="95" t="n">
        <v>-25.6</v>
      </c>
      <c r="K40" s="96" t="inlineStr">
        <is>
          <t>2160 CARDIOFLOW-B; 2675 EDGE MEDICAL-B; 6938 RIBOLIFE-B; 3636 JINXUN RESOURCE; 3277 GPIXEL; 7666 METIS TECHBIO-P; 7688 TOPNC; 6880 MOMENTA-W</t>
        </is>
      </c>
    </row>
    <row r="41">
      <c r="A41" s="16" t="inlineStr">
        <is>
          <t>Zhejiang Innoforce Pharmaceuticals Co., Ltd</t>
        </is>
      </c>
      <c r="B41" s="89" t="n">
        <v>8</v>
      </c>
      <c r="C41" s="94" t="n">
        <v>38</v>
      </c>
      <c r="D41" s="95" t="n">
        <v>-7.3</v>
      </c>
      <c r="E41" s="95" t="n">
        <v>-8.5</v>
      </c>
      <c r="F41" s="95" t="n">
        <v>0.9</v>
      </c>
      <c r="G41" s="95" t="n">
        <v>22.1</v>
      </c>
      <c r="H41" s="95" t="n">
        <v>-2</v>
      </c>
      <c r="I41" s="95" t="n">
        <v>7.3</v>
      </c>
      <c r="J41" s="95" t="n">
        <v>32.9</v>
      </c>
      <c r="K41" s="96" t="inlineStr">
        <is>
          <t>2257 SIRNAOMICS-B; 6661 HUZHOU GAS; 9863 LEAPMOTOR; 6610 FLOWING CLOUD; 2420 ZIBUYU; 9930 HORIZON CD; 9690 TUHU-W; 1274 IMOTIONAUTOTECH</t>
        </is>
      </c>
    </row>
    <row r="42">
      <c r="A42" s="16" t="inlineStr">
        <is>
          <t>WuXi Biologics HealthCare Venture</t>
        </is>
      </c>
      <c r="B42" s="89" t="n">
        <v>7</v>
      </c>
      <c r="C42" s="94" t="n">
        <v>57</v>
      </c>
      <c r="D42" s="95" t="n">
        <v>32.2</v>
      </c>
      <c r="E42" s="95" t="n">
        <v>68.7</v>
      </c>
      <c r="F42" s="95" t="n">
        <v>39.3</v>
      </c>
      <c r="G42" s="95" t="n">
        <v>36.5</v>
      </c>
      <c r="H42" s="95" t="n">
        <v>15.3</v>
      </c>
      <c r="I42" s="95" t="n">
        <v>2.1</v>
      </c>
      <c r="J42" s="95" t="n">
        <v>-0.9</v>
      </c>
      <c r="K42" s="96" t="inlineStr">
        <is>
          <t>2155 MORIMATSU INTL; 1228 CANBRIDGE-B; 2407 GAUSH MEDITECH; 2487 CUTIA-B; 1541 IMMUNEONCO-B; 6831 GREEN TEA GROUP; 2493 MABWELL-B</t>
        </is>
      </c>
    </row>
    <row r="43">
      <c r="A43" s="16" t="inlineStr">
        <is>
          <t>Dajia Life Insurance Co., Ltd</t>
        </is>
      </c>
      <c r="B43" s="89" t="n">
        <v>7</v>
      </c>
      <c r="C43" s="94" t="n">
        <v>100</v>
      </c>
      <c r="D43" s="95" t="n">
        <v>17.4</v>
      </c>
      <c r="E43" s="95" t="n">
        <v>17.9</v>
      </c>
      <c r="F43" s="95" t="n">
        <v>26.1</v>
      </c>
      <c r="G43" s="95" t="n">
        <v>26.6</v>
      </c>
      <c r="H43" s="95" t="n">
        <v>0.7</v>
      </c>
      <c r="I43" s="95" t="n">
        <v>7.8</v>
      </c>
      <c r="J43" s="95" t="n">
        <v>9.800000000000001</v>
      </c>
      <c r="K43" s="96" t="inlineStr">
        <is>
          <t>0300 MIDEA GROUP; 9973 CHERY AUTO; 2657 FOREST CABIN; 0501 OMNIVISION; 2714 MUYUAN; 1989 DELTON; 3661 SG MICRO</t>
        </is>
      </c>
    </row>
    <row r="44">
      <c r="A44" s="16" t="inlineStr">
        <is>
          <t>Jump Trading Pacific Pte. Ltd</t>
        </is>
      </c>
      <c r="B44" s="89" t="n">
        <v>7</v>
      </c>
      <c r="C44" s="94" t="n">
        <v>86</v>
      </c>
      <c r="D44" s="95" t="n">
        <v>14.5</v>
      </c>
      <c r="E44" s="95" t="n">
        <v>18.9</v>
      </c>
      <c r="F44" s="95" t="n">
        <v>24.9</v>
      </c>
      <c r="G44" s="95" t="n">
        <v>13</v>
      </c>
      <c r="H44" s="95" t="n">
        <v>3.7</v>
      </c>
      <c r="I44" s="95" t="n">
        <v>7.8</v>
      </c>
      <c r="J44" s="95" t="n">
        <v>-1.6</v>
      </c>
      <c r="K44" s="96" t="inlineStr">
        <is>
          <t>0300 MIDEA GROUP; 6168 ZHOU LIU FU; 0699 JOYSON ELEC; 9981 WOER; 2692 ZHAOWEI; 2476 VGT; 3388 CREALITY</t>
        </is>
      </c>
    </row>
    <row r="45">
      <c r="A45" s="16" t="inlineStr">
        <is>
          <t>Jane Street Asia Trading Limited</t>
        </is>
      </c>
      <c r="B45" s="89" t="n">
        <v>7</v>
      </c>
      <c r="C45" s="94" t="n">
        <v>71</v>
      </c>
      <c r="D45" s="95" t="n">
        <v>13.7</v>
      </c>
      <c r="E45" s="95" t="n">
        <v>17.1</v>
      </c>
      <c r="F45" s="95" t="n">
        <v>24.1</v>
      </c>
      <c r="G45" s="95" t="n">
        <v>43</v>
      </c>
      <c r="H45" s="95" t="n">
        <v>2.7</v>
      </c>
      <c r="I45" s="95" t="n">
        <v>9.300000000000001</v>
      </c>
      <c r="J45" s="95" t="n">
        <v>24.5</v>
      </c>
      <c r="K45" s="96" t="inlineStr">
        <is>
          <t>2050 SANHUA; 6603 IFBH; 6031 SANY HEAVY IND; 2788 CHUANGXIN IND; 2714 MUYUAN; 0668 ANKER; 2475 LUXSHARE ICT</t>
        </is>
      </c>
    </row>
    <row r="46">
      <c r="A46" s="16" t="inlineStr">
        <is>
          <t>PSBC Wealth Management Co., Ltd</t>
        </is>
      </c>
      <c r="B46" s="89" t="n">
        <v>7</v>
      </c>
      <c r="C46" s="94" t="n">
        <v>43</v>
      </c>
      <c r="D46" s="95" t="n">
        <v>9.4</v>
      </c>
      <c r="E46" s="95" t="n">
        <v>10.7</v>
      </c>
      <c r="F46" s="95" t="n">
        <v>4.8</v>
      </c>
      <c r="G46" s="95" t="n">
        <v>39.4</v>
      </c>
      <c r="H46" s="95" t="n">
        <v>1.5</v>
      </c>
      <c r="I46" s="95" t="n">
        <v>-3.1</v>
      </c>
      <c r="J46" s="95" t="n">
        <v>32.6</v>
      </c>
      <c r="K46" s="96" t="inlineStr">
        <is>
          <t>0300 MIDEA GROUP; 3750 CATL; 2050 SANHUA; 2580 AUX ELECTRIC; 1081 DAJIN; 3661 SG MICRO; 2249 NEXCHIP</t>
        </is>
      </c>
    </row>
    <row r="47">
      <c r="A47" s="16" t="inlineStr">
        <is>
          <t>Pinpoint Asset Management Limited</t>
        </is>
      </c>
      <c r="B47" s="89" t="n">
        <v>7</v>
      </c>
      <c r="C47" s="94" t="n">
        <v>43</v>
      </c>
      <c r="D47" s="95" t="n">
        <v>6.5</v>
      </c>
      <c r="E47" s="95" t="n">
        <v>6.7</v>
      </c>
      <c r="F47" s="95" t="n">
        <v>-4.5</v>
      </c>
      <c r="G47" s="95" t="n">
        <v>10.9</v>
      </c>
      <c r="H47" s="95" t="n">
        <v>-0.4</v>
      </c>
      <c r="I47" s="95" t="n">
        <v>-10.6</v>
      </c>
      <c r="J47" s="95" t="n">
        <v>1.3</v>
      </c>
      <c r="K47" s="96" t="inlineStr">
        <is>
          <t>2160 CARDIOFLOW-B; 6669 ACOTEC-B; 1304 FORTIOR; 9980 EASTROC; 0470 WUXI LEAD; 1081 DAJIN; 2249 NEXCHIP</t>
        </is>
      </c>
    </row>
    <row r="48">
      <c r="A48" s="16" t="inlineStr">
        <is>
          <t>Hudson Bay Master Fund Ltd</t>
        </is>
      </c>
      <c r="B48" s="89" t="n">
        <v>7</v>
      </c>
      <c r="C48" s="94" t="n">
        <v>43</v>
      </c>
      <c r="D48" s="95" t="n">
        <v>5.7</v>
      </c>
      <c r="E48" s="95" t="n">
        <v>2.9</v>
      </c>
      <c r="F48" s="95" t="n">
        <v>-8.4</v>
      </c>
      <c r="G48" s="95" t="n">
        <v>-28.2</v>
      </c>
      <c r="H48" s="95" t="n">
        <v>-2.5</v>
      </c>
      <c r="I48" s="95" t="n">
        <v>-13</v>
      </c>
      <c r="J48" s="95" t="n">
        <v>-33</v>
      </c>
      <c r="K48" s="96" t="inlineStr">
        <is>
          <t>2190 ZYLOXTB-B; 2162 KEYMED BIO-B; 2256 ABBISKO-B; 2235 MICROTECH MED-B; 1228 CANBRIDGE-B; 2279 YONGHE MEDICAL; 6639 ARRAIL GROUP</t>
        </is>
      </c>
    </row>
    <row r="49">
      <c r="A49" s="16" t="inlineStr">
        <is>
          <t>Hongkong Ruihua Investment Management Limited</t>
        </is>
      </c>
      <c r="B49" s="89" t="n">
        <v>7</v>
      </c>
      <c r="C49" s="94" t="n">
        <v>29</v>
      </c>
      <c r="D49" s="95" t="n">
        <v>-3.2</v>
      </c>
      <c r="E49" s="95" t="n">
        <v>-7.8</v>
      </c>
      <c r="F49" s="95" t="n">
        <v>-3.1</v>
      </c>
      <c r="G49" s="95" t="n">
        <v>-5.8</v>
      </c>
      <c r="H49" s="95" t="n">
        <v>-5.8</v>
      </c>
      <c r="I49" s="95" t="n">
        <v>-1.6</v>
      </c>
      <c r="J49" s="95" t="n">
        <v>-7.6</v>
      </c>
      <c r="K49" s="96" t="inlineStr">
        <is>
          <t>1228 CANBRIDGE-B; 2245 LYGEND RESOURCE; 2529 HOLLWIN URBAN; 9680 CHENQI TECH; 2519 AUGROUP; 2582 GUOFUHEE; 1187 COFOE MEDICAL</t>
        </is>
      </c>
    </row>
    <row r="50">
      <c r="A50" s="16" t="inlineStr">
        <is>
          <t>The Valliance Fund</t>
        </is>
      </c>
      <c r="B50" s="89" t="n">
        <v>7</v>
      </c>
      <c r="C50" s="94" t="n">
        <v>29</v>
      </c>
      <c r="D50" s="95" t="n">
        <v>-6.1</v>
      </c>
      <c r="E50" s="95" t="n">
        <v>-5.3</v>
      </c>
      <c r="F50" s="95" t="n">
        <v>-4.9</v>
      </c>
      <c r="G50" s="95" t="n">
        <v>-23.8</v>
      </c>
      <c r="H50" s="95" t="n">
        <v>-0.1</v>
      </c>
      <c r="I50" s="95" t="n">
        <v>-1</v>
      </c>
      <c r="J50" s="95" t="n">
        <v>-19.7</v>
      </c>
      <c r="K50" s="96" t="inlineStr">
        <is>
          <t>6127 JOINN; 2219 CHAOJU EYE CARE; 2137 BRII - B; 6609 HEARTCARE-B; 6669 ACOTEC-B; 2216 BRONCUS-B; 0600 AXERA</t>
        </is>
      </c>
    </row>
    <row r="51">
      <c r="A51" s="16" t="inlineStr">
        <is>
          <t>Schroders</t>
        </is>
      </c>
      <c r="B51" s="89" t="n">
        <v>6</v>
      </c>
      <c r="C51" s="94" t="n">
        <v>67</v>
      </c>
      <c r="D51" s="95" t="n">
        <v>73.09999999999999</v>
      </c>
      <c r="E51" s="95" t="n">
        <v>78.59999999999999</v>
      </c>
      <c r="F51" s="95" t="n">
        <v>75.90000000000001</v>
      </c>
      <c r="G51" s="95" t="n">
        <v>55.8</v>
      </c>
      <c r="H51" s="95" t="n">
        <v>4.2</v>
      </c>
      <c r="I51" s="95" t="n">
        <v>17.4</v>
      </c>
      <c r="J51" s="95" t="n">
        <v>21.8</v>
      </c>
      <c r="K51" s="96" t="inlineStr">
        <is>
          <t>2050 SANHUA; 9927 SERES; 3696 INSILICO; 3200 HANS CNC; 1879 XIZHI TECH-P; 0668 ANKER</t>
        </is>
      </c>
    </row>
    <row r="52">
      <c r="A52" s="16" t="inlineStr">
        <is>
          <t>Invesco Advisers, Inc</t>
        </is>
      </c>
      <c r="B52" s="89" t="n">
        <v>6</v>
      </c>
      <c r="C52" s="94" t="n">
        <v>83</v>
      </c>
      <c r="D52" s="95" t="n">
        <v>42.1</v>
      </c>
      <c r="E52" s="95" t="n">
        <v>57.4</v>
      </c>
      <c r="F52" s="95" t="n">
        <v>52.6</v>
      </c>
      <c r="G52" s="95" t="n">
        <v>25.3</v>
      </c>
      <c r="H52" s="95" t="n">
        <v>5.7</v>
      </c>
      <c r="I52" s="95" t="n">
        <v>11.5</v>
      </c>
      <c r="J52" s="95" t="n">
        <v>-9.699999999999999</v>
      </c>
      <c r="K52" s="96" t="inlineStr">
        <is>
          <t>1024 KUAISHOU-W; 2162 KEYMED BIO-B; 2137 BRII - B; 2235 MICROTECH MED-B; 2268 WUXI XDC; 1276 HENGRUI PHARMA</t>
        </is>
      </c>
    </row>
    <row r="53">
      <c r="A53" s="16" t="inlineStr">
        <is>
          <t>Baring Asset Management (Asia) Limited</t>
        </is>
      </c>
      <c r="B53" s="89" t="n">
        <v>6</v>
      </c>
      <c r="C53" s="94" t="n">
        <v>83</v>
      </c>
      <c r="D53" s="95" t="n">
        <v>38.3</v>
      </c>
      <c r="E53" s="95" t="n">
        <v>23.3</v>
      </c>
      <c r="F53" s="95" t="n">
        <v>27.5</v>
      </c>
      <c r="G53" s="95" t="n">
        <v>56</v>
      </c>
      <c r="H53" s="95" t="n">
        <v>-9</v>
      </c>
      <c r="I53" s="95" t="n">
        <v>-5.6</v>
      </c>
      <c r="J53" s="95" t="n">
        <v>9.4</v>
      </c>
      <c r="K53" s="96" t="inlineStr">
        <is>
          <t>6166 CIG; 1989 DELTON; 6656 SIGENERGY; 6715 XUNLONG SCITECH; 7687 EACON; 1377 DTECH</t>
        </is>
      </c>
    </row>
    <row r="54">
      <c r="A54" s="16" t="inlineStr">
        <is>
          <t>JPMorgan Asset Management (Asia Pacific) Limited</t>
        </is>
      </c>
      <c r="B54" s="89" t="n">
        <v>6</v>
      </c>
      <c r="C54" s="94" t="n">
        <v>83</v>
      </c>
      <c r="D54" s="95" t="n">
        <v>29.5</v>
      </c>
      <c r="E54" s="95" t="n">
        <v>21.3</v>
      </c>
      <c r="F54" s="95" t="n">
        <v>15.8</v>
      </c>
      <c r="G54" s="95" t="n">
        <v>21.2</v>
      </c>
      <c r="H54" s="95" t="n">
        <v>-3.4</v>
      </c>
      <c r="I54" s="95" t="n">
        <v>-5.7</v>
      </c>
      <c r="J54" s="95" t="n">
        <v>7</v>
      </c>
      <c r="K54" s="96" t="inlineStr">
        <is>
          <t>3296 HUAQIN; 3661 SG MICRO; 9630 CFMEE; 7687 EACON; 6951 CCTC; 3308 ZJ INNOLIGHT</t>
        </is>
      </c>
    </row>
    <row r="55">
      <c r="A55" s="16" t="inlineStr">
        <is>
          <t>CPIC Investment Management (H.K.) Company Limited</t>
        </is>
      </c>
      <c r="B55" s="89" t="n">
        <v>6</v>
      </c>
      <c r="C55" s="94" t="n">
        <v>33</v>
      </c>
      <c r="D55" s="95" t="n">
        <v>29.3</v>
      </c>
      <c r="E55" s="95" t="n">
        <v>15</v>
      </c>
      <c r="F55" s="95" t="n">
        <v>18.9</v>
      </c>
      <c r="G55" s="95" t="n">
        <v>-0.1</v>
      </c>
      <c r="H55" s="95" t="n">
        <v>-8</v>
      </c>
      <c r="I55" s="95" t="n">
        <v>-7.4</v>
      </c>
      <c r="J55" s="95" t="n">
        <v>-20.5</v>
      </c>
      <c r="K55" s="96" t="inlineStr">
        <is>
          <t>9696 TIANQI LITHIUM; 2505 EDA GROUP HLDGS; 6936 SF HOLDING; 0638 FIBOCOM; 6656 SIGENERGY; 6880 MOMENTA-W</t>
        </is>
      </c>
    </row>
    <row r="56">
      <c r="A56" s="16" t="inlineStr">
        <is>
          <t>Snow Lake Funds and Accounts</t>
        </is>
      </c>
      <c r="B56" s="89" t="n">
        <v>6</v>
      </c>
      <c r="C56" s="94" t="n">
        <v>67</v>
      </c>
      <c r="D56" s="95" t="n">
        <v>26.2</v>
      </c>
      <c r="E56" s="95" t="n">
        <v>17.2</v>
      </c>
      <c r="F56" s="95" t="n">
        <v>5.7</v>
      </c>
      <c r="G56" s="95" t="n">
        <v>10.8</v>
      </c>
      <c r="H56" s="95" t="n">
        <v>-5.1</v>
      </c>
      <c r="I56" s="95" t="n">
        <v>-14.7</v>
      </c>
      <c r="J56" s="95" t="n">
        <v>-17.5</v>
      </c>
      <c r="K56" s="96" t="inlineStr">
        <is>
          <t>2125 STRAWBEAR ENT; 2160 CARDIOFLOW-B; 2190 ZYLOXTB-B; 9960 KINDSTAR GLOBAL; 2216 BRONCUS-B; 2252 MEDBOT-B</t>
        </is>
      </c>
    </row>
    <row r="57">
      <c r="A57" s="16" t="inlineStr">
        <is>
          <t>Dymon Asia Multi-Strategy Investment Master Fund</t>
        </is>
      </c>
      <c r="B57" s="89" t="n">
        <v>6</v>
      </c>
      <c r="C57" s="94" t="n">
        <v>50</v>
      </c>
      <c r="D57" s="95" t="n">
        <v>23.9</v>
      </c>
      <c r="E57" s="95" t="n">
        <v>8.1</v>
      </c>
      <c r="F57" s="95" t="n">
        <v>-1.3</v>
      </c>
      <c r="G57" s="95" t="n">
        <v>3.4</v>
      </c>
      <c r="H57" s="95" t="n">
        <v>-8.1</v>
      </c>
      <c r="I57" s="95" t="n">
        <v>-15.6</v>
      </c>
      <c r="J57" s="95" t="n">
        <v>4.4</v>
      </c>
      <c r="K57" s="96" t="inlineStr">
        <is>
          <t>2171 CARSGEN-B; 6669 ACOTEC-B; 6166 CIG; 3661 SG MICRO; 6228 MERDEKAGOLD-DRS; 9637 ALEBUND-B</t>
        </is>
      </c>
    </row>
    <row r="58">
      <c r="A58" s="16" t="inlineStr">
        <is>
          <t>CloudAlpha Master Fund</t>
        </is>
      </c>
      <c r="B58" s="89" t="n">
        <v>6</v>
      </c>
      <c r="C58" s="94" t="n">
        <v>33</v>
      </c>
      <c r="D58" s="95" t="n">
        <v>5.7</v>
      </c>
      <c r="E58" s="95" t="n">
        <v>14.7</v>
      </c>
      <c r="F58" s="95" t="n">
        <v>10.8</v>
      </c>
      <c r="G58" s="95" t="n">
        <v>-1.1</v>
      </c>
      <c r="H58" s="95" t="n">
        <v>9.300000000000001</v>
      </c>
      <c r="I58" s="95" t="n">
        <v>3.9</v>
      </c>
      <c r="J58" s="95" t="n">
        <v>-7.6</v>
      </c>
      <c r="K58" s="96" t="inlineStr">
        <is>
          <t>2171 CARSGEN-B; 2252 MEDBOT-B; 2251 AIRDOC-B; 2476 VGT; 1377 DTECH; 3308 ZJ INNOLIGHT</t>
        </is>
      </c>
    </row>
    <row r="59">
      <c r="A59" s="16" t="inlineStr">
        <is>
          <t>Springhill Master Fund Limited</t>
        </is>
      </c>
      <c r="B59" s="89" t="n">
        <v>6</v>
      </c>
      <c r="C59" s="94" t="n">
        <v>50</v>
      </c>
      <c r="D59" s="95" t="n">
        <v>3.7</v>
      </c>
      <c r="E59" s="95" t="n">
        <v>-2.9</v>
      </c>
      <c r="F59" s="95" t="n">
        <v>11.4</v>
      </c>
      <c r="G59" s="95" t="n">
        <v>-8.699999999999999</v>
      </c>
      <c r="H59" s="95" t="n">
        <v>-6.9</v>
      </c>
      <c r="I59" s="95" t="n">
        <v>6.4</v>
      </c>
      <c r="J59" s="95" t="n">
        <v>-13.4</v>
      </c>
      <c r="K59" s="96" t="inlineStr">
        <is>
          <t>2162 KEYMED BIO-B; 2137 BRII - B; 2192 MEDLIVE; 2216 BRONCUS-B; 2235 MICROTECH MED-B; 2197 CLOVER BIO-B</t>
        </is>
      </c>
    </row>
    <row r="60">
      <c r="A60" s="16" t="inlineStr">
        <is>
          <t>Green Better</t>
        </is>
      </c>
      <c r="B60" s="89" t="n">
        <v>6</v>
      </c>
      <c r="C60" s="94" t="n">
        <v>50</v>
      </c>
      <c r="D60" s="95" t="n">
        <v>2.3</v>
      </c>
      <c r="E60" s="95" t="n">
        <v>5.9</v>
      </c>
      <c r="F60" s="95" t="n">
        <v>11.7</v>
      </c>
      <c r="G60" s="95" t="n">
        <v>19.7</v>
      </c>
      <c r="H60" s="95" t="n">
        <v>3.6</v>
      </c>
      <c r="I60" s="95" t="n">
        <v>8.6</v>
      </c>
      <c r="J60" s="95" t="n">
        <v>16.3</v>
      </c>
      <c r="K60" s="96" t="inlineStr">
        <is>
          <t>3658 NEW HOPE SERV; 1948 UJU HOLDING; 2050 SANHUA; 6613 LENS; 2676 NOVOSENSE; 3296 HUAQIN</t>
        </is>
      </c>
    </row>
    <row r="61">
      <c r="A61" s="16" t="inlineStr">
        <is>
          <t>Verition Multi-Strategy Master Fund Ltd</t>
        </is>
      </c>
      <c r="B61" s="89" t="n">
        <v>6</v>
      </c>
      <c r="C61" s="94" t="n">
        <v>33</v>
      </c>
      <c r="D61" s="95" t="n">
        <v>1.2</v>
      </c>
      <c r="E61" s="95" t="n">
        <v>1.8</v>
      </c>
      <c r="F61" s="95" t="n">
        <v>2.4</v>
      </c>
      <c r="G61" s="95" t="n">
        <v>73.59999999999999</v>
      </c>
      <c r="H61" s="95" t="n">
        <v>0.7</v>
      </c>
      <c r="I61" s="95" t="n">
        <v>0.9</v>
      </c>
      <c r="J61" s="95" t="n">
        <v>66.3</v>
      </c>
      <c r="K61" s="96" t="inlineStr">
        <is>
          <t>2050 SANHUA; 6613 LENS; 1688 LINGYI ITECH; 6951 CCTC; 1377 DTECH; 2249 NEXCHIP</t>
        </is>
      </c>
    </row>
    <row r="62">
      <c r="A62" s="16" t="inlineStr">
        <is>
          <t>Jiangsu Pure Precision Technology Co., Ltd</t>
        </is>
      </c>
      <c r="B62" s="89" t="n">
        <v>6</v>
      </c>
      <c r="C62" s="94" t="n">
        <v>33</v>
      </c>
      <c r="D62" s="95" t="n">
        <v>-0.5</v>
      </c>
      <c r="E62" s="95" t="n">
        <v>-1.3</v>
      </c>
      <c r="F62" s="95" t="n">
        <v>4.8</v>
      </c>
      <c r="G62" s="95" t="n">
        <v>9.4</v>
      </c>
      <c r="H62" s="95" t="n">
        <v>-0.6</v>
      </c>
      <c r="I62" s="95" t="n">
        <v>6</v>
      </c>
      <c r="J62" s="95" t="n">
        <v>10.7</v>
      </c>
      <c r="K62" s="96" t="inlineStr">
        <is>
          <t>3931 CALB; 2407 GAUSH MEDITECH; 2517 GUOQUAN; 6657 BAIWANG CO; 2495 VOICECOMM; 2577 INNOSCIENCE</t>
        </is>
      </c>
    </row>
    <row r="63">
      <c r="A63" s="16" t="inlineStr">
        <is>
          <t>CITIC-Prudential Life Insurance Company Limited</t>
        </is>
      </c>
      <c r="B63" s="89" t="n">
        <v>6</v>
      </c>
      <c r="C63" s="94" t="n">
        <v>50</v>
      </c>
      <c r="D63" s="95" t="n">
        <v>-3.2</v>
      </c>
      <c r="E63" s="95" t="n">
        <v>-2</v>
      </c>
      <c r="F63" s="95" t="n">
        <v>2.5</v>
      </c>
      <c r="G63" s="95" t="n">
        <v>7.2</v>
      </c>
      <c r="H63" s="95" t="n">
        <v>-0.3</v>
      </c>
      <c r="I63" s="95" t="n">
        <v>3</v>
      </c>
      <c r="J63" s="95" t="n">
        <v>-0.1</v>
      </c>
      <c r="K63" s="96" t="inlineStr">
        <is>
          <t>9858 YOURAN DAIRY; 6680 JLMAG; 3288 HAITIAN FLAV; 6168 ZHOU LIU FU; 3388 CREALITY; 0537 RIGOL</t>
        </is>
      </c>
    </row>
    <row r="64">
      <c r="A64" s="16" t="inlineStr">
        <is>
          <t>China Structural Reform Fund Corporation Limited</t>
        </is>
      </c>
      <c r="B64" s="89" t="n">
        <v>6</v>
      </c>
      <c r="C64" s="94" t="n">
        <v>17</v>
      </c>
      <c r="D64" s="95" t="n">
        <v>-5.7</v>
      </c>
      <c r="E64" s="95" t="n">
        <v>-2</v>
      </c>
      <c r="F64" s="95" t="n">
        <v>-7.2</v>
      </c>
      <c r="G64" s="95" t="n">
        <v>-10.1</v>
      </c>
      <c r="H64" s="95" t="n">
        <v>3.6</v>
      </c>
      <c r="I64" s="95" t="n">
        <v>-3.4</v>
      </c>
      <c r="J64" s="95" t="n">
        <v>-6.3</v>
      </c>
      <c r="K64" s="96" t="inlineStr">
        <is>
          <t>6127 JOINN; 6608 BAIRONG-W; 6628 TRANSCENTA-B; 1880 CTG DUTY-FREE; 2507 CIRRUS; 0300 MIDEA GROUP</t>
        </is>
      </c>
    </row>
    <row r="65">
      <c r="A65" s="16" t="inlineStr">
        <is>
          <t>Alibaba Investment Limited</t>
        </is>
      </c>
      <c r="B65" s="89" t="n">
        <v>5</v>
      </c>
      <c r="C65" s="94" t="n">
        <v>60</v>
      </c>
      <c r="D65" s="95" t="n">
        <v>82.3</v>
      </c>
      <c r="E65" s="95" t="n">
        <v>92.40000000000001</v>
      </c>
      <c r="F65" s="95" t="n">
        <v>53.3</v>
      </c>
      <c r="G65" s="95" t="n">
        <v>97.40000000000001</v>
      </c>
      <c r="H65" s="95" t="n">
        <v>7.8</v>
      </c>
      <c r="I65" s="95" t="n">
        <v>-6.7</v>
      </c>
      <c r="J65" s="95" t="n">
        <v>21.2</v>
      </c>
      <c r="K65" s="96" t="inlineStr">
        <is>
          <t>2566 JIUYUAN GENE; 6809 MONTAGE TECH; 1879 XIZHI TECH-P; 6951 CCTC; 3308 ZJ INNOLIGHT</t>
        </is>
      </c>
    </row>
    <row r="66">
      <c r="A66" s="16" t="inlineStr">
        <is>
          <t>China Orient Multi-Strategy Master Fund</t>
        </is>
      </c>
      <c r="B66" s="89" t="n">
        <v>5</v>
      </c>
      <c r="C66" s="94" t="n">
        <v>80</v>
      </c>
      <c r="D66" s="95" t="n">
        <v>80.5</v>
      </c>
      <c r="E66" s="95" t="n">
        <v>69.3</v>
      </c>
      <c r="F66" s="95" t="n">
        <v>78</v>
      </c>
      <c r="G66" s="95" t="n">
        <v>87</v>
      </c>
      <c r="H66" s="95" t="n">
        <v>-3.1</v>
      </c>
      <c r="I66" s="95" t="n">
        <v>-2.3</v>
      </c>
      <c r="J66" s="95" t="n">
        <v>23.1</v>
      </c>
      <c r="K66" s="96" t="inlineStr">
        <is>
          <t>2158 YIDU TECH; 2191 SF REIT; 9903 ILUVATAR COREX; 6872 TENNOR THERAP-B; 1956 WENGE AI</t>
        </is>
      </c>
    </row>
    <row r="67">
      <c r="A67" s="16" t="inlineStr">
        <is>
          <t>RIME Capital Limited</t>
        </is>
      </c>
      <c r="B67" s="89" t="n">
        <v>5</v>
      </c>
      <c r="C67" s="94" t="n">
        <v>100</v>
      </c>
      <c r="D67" s="95" t="n">
        <v>78.90000000000001</v>
      </c>
      <c r="E67" s="95" t="n">
        <v>100.4</v>
      </c>
      <c r="F67" s="95" t="n">
        <v>73.8</v>
      </c>
      <c r="G67" s="95" t="n">
        <v>29.3</v>
      </c>
      <c r="H67" s="95" t="n">
        <v>9.6</v>
      </c>
      <c r="I67" s="95" t="n">
        <v>-3.1</v>
      </c>
      <c r="J67" s="95" t="n">
        <v>-21.6</v>
      </c>
      <c r="K67" s="96" t="inlineStr">
        <is>
          <t>2655 GUOXIA TECH; 9981 WOER; 2692 ZHAOWEI; 0068 MANYCORE TECH; 6675 SENASIC</t>
        </is>
      </c>
    </row>
    <row r="68">
      <c r="A68" s="16" t="inlineStr">
        <is>
          <t>Huadeng Technology Space Ventures Ltd</t>
        </is>
      </c>
      <c r="B68" s="89" t="n">
        <v>5</v>
      </c>
      <c r="C68" s="94" t="n">
        <v>80</v>
      </c>
      <c r="D68" s="95" t="n">
        <v>75.8</v>
      </c>
      <c r="E68" s="95" t="n">
        <v>51.1</v>
      </c>
      <c r="F68" s="95" t="n">
        <v>26.3</v>
      </c>
      <c r="G68" s="95" t="n">
        <v>5.5</v>
      </c>
      <c r="H68" s="95" t="n">
        <v>-9.800000000000001</v>
      </c>
      <c r="I68" s="95" t="n">
        <v>-24</v>
      </c>
      <c r="J68" s="95" t="n">
        <v>-51.3</v>
      </c>
      <c r="K68" s="96" t="inlineStr">
        <is>
          <t>6656 SIGENERGY; 7666 METIS TECHBIO-P; 3661 SG MICRO; 9630 CFMEE; 3308 ZJ INNOLIGHT</t>
        </is>
      </c>
    </row>
    <row r="69">
      <c r="A69" s="16" t="inlineStr">
        <is>
          <t>Hillhouse Investment Management, Ltd</t>
        </is>
      </c>
      <c r="B69" s="89" t="n">
        <v>5</v>
      </c>
      <c r="C69" s="94" t="n">
        <v>80</v>
      </c>
      <c r="D69" s="95" t="n">
        <v>28</v>
      </c>
      <c r="E69" s="95" t="n">
        <v>27.7</v>
      </c>
      <c r="F69" s="95" t="n">
        <v>16.1</v>
      </c>
      <c r="G69" s="95" t="n">
        <v>2</v>
      </c>
      <c r="H69" s="95" t="n">
        <v>2.4</v>
      </c>
      <c r="I69" s="95" t="n">
        <v>-7.9</v>
      </c>
      <c r="J69" s="95" t="n">
        <v>-16.3</v>
      </c>
      <c r="K69" s="96" t="inlineStr">
        <is>
          <t>2162 KEYMED BIO-B; 2252 MEDBOT-B; 6031 SANY HEAVY IND; 6656 SIGENERGY; 1081 DAJIN</t>
        </is>
      </c>
    </row>
    <row r="70">
      <c r="A70" s="16" t="inlineStr">
        <is>
          <t>Janchor Partners Pan-Asian Master Fund</t>
        </is>
      </c>
      <c r="B70" s="89" t="n">
        <v>5</v>
      </c>
      <c r="C70" s="94" t="n">
        <v>60</v>
      </c>
      <c r="D70" s="95" t="n">
        <v>26.5</v>
      </c>
      <c r="E70" s="95" t="n">
        <v>29.8</v>
      </c>
      <c r="F70" s="95" t="n">
        <v>26</v>
      </c>
      <c r="G70" s="95" t="n">
        <v>57.6</v>
      </c>
      <c r="H70" s="95" t="n">
        <v>1.1</v>
      </c>
      <c r="I70" s="95" t="n">
        <v>-1.2</v>
      </c>
      <c r="J70" s="95" t="n">
        <v>16.2</v>
      </c>
      <c r="K70" s="96" t="inlineStr">
        <is>
          <t>6127 JOINN; 2162 KEYMED BIO-B; 2256 ABBISKO-B; 6809 MONTAGE TECH; 2476 VGT</t>
        </is>
      </c>
    </row>
    <row r="71">
      <c r="A71" s="16" t="inlineStr">
        <is>
          <t>Martis Fund, L.P</t>
        </is>
      </c>
      <c r="B71" s="89" t="n">
        <v>5</v>
      </c>
      <c r="C71" s="94" t="n">
        <v>60</v>
      </c>
      <c r="D71" s="95" t="n">
        <v>26.4</v>
      </c>
      <c r="E71" s="95" t="n">
        <v>40.4</v>
      </c>
      <c r="F71" s="95" t="n">
        <v>57.3</v>
      </c>
      <c r="G71" s="95" t="n">
        <v>135.3</v>
      </c>
      <c r="H71" s="95" t="n">
        <v>8.4</v>
      </c>
      <c r="I71" s="95" t="n">
        <v>19.5</v>
      </c>
      <c r="J71" s="95" t="n">
        <v>57.8</v>
      </c>
      <c r="K71" s="96" t="inlineStr">
        <is>
          <t>2050 SANHUA; 9973 CHERY AUTO; 0100 MINIMAX-WP; 3388 CREALITY; 1377 DTECH</t>
        </is>
      </c>
    </row>
    <row r="72">
      <c r="A72" s="16" t="inlineStr">
        <is>
          <t>MY Asian Opportunities Master Fund, L.P</t>
        </is>
      </c>
      <c r="B72" s="89" t="n">
        <v>5</v>
      </c>
      <c r="C72" s="94" t="n">
        <v>60</v>
      </c>
      <c r="D72" s="95" t="n">
        <v>18</v>
      </c>
      <c r="E72" s="95" t="n">
        <v>20.7</v>
      </c>
      <c r="F72" s="95" t="n">
        <v>40.8</v>
      </c>
      <c r="G72" s="95" t="n">
        <v>56.9</v>
      </c>
      <c r="H72" s="95" t="n">
        <v>2.7</v>
      </c>
      <c r="I72" s="95" t="n">
        <v>17.5</v>
      </c>
      <c r="J72" s="95" t="n">
        <v>28.7</v>
      </c>
      <c r="K72" s="96" t="inlineStr">
        <is>
          <t>0300 MIDEA GROUP; 0470 WUXI LEAD; 1989 DELTON; 2476 VGT; 2475 LUXSHARE ICT</t>
        </is>
      </c>
    </row>
    <row r="73">
      <c r="A73" s="16" t="inlineStr">
        <is>
          <t>Dreamee HK Fund</t>
        </is>
      </c>
      <c r="B73" s="89" t="n">
        <v>5</v>
      </c>
      <c r="C73" s="94" t="n">
        <v>20</v>
      </c>
      <c r="D73" s="95" t="n">
        <v>14.2</v>
      </c>
      <c r="E73" s="95" t="n">
        <v>20.1</v>
      </c>
      <c r="F73" s="95" t="n">
        <v>31.3</v>
      </c>
      <c r="G73" s="95" t="n">
        <v>33.4</v>
      </c>
      <c r="H73" s="95" t="n">
        <v>8.199999999999999</v>
      </c>
      <c r="I73" s="95" t="n">
        <v>4.5</v>
      </c>
      <c r="J73" s="95" t="n">
        <v>9.6</v>
      </c>
      <c r="K73" s="96" t="inlineStr">
        <is>
          <t>0638 FIBOCOM; 2676 NOVOSENSE; 2655 GUOXIA TECH; 2715 ESTUN; 3952 LAIFUAL</t>
        </is>
      </c>
    </row>
    <row r="74">
      <c r="A74" s="16" t="inlineStr">
        <is>
          <t>Infini Global Master Fund</t>
        </is>
      </c>
      <c r="B74" s="89" t="n">
        <v>5</v>
      </c>
      <c r="C74" s="94" t="n">
        <v>80</v>
      </c>
      <c r="D74" s="95" t="n">
        <v>10.1</v>
      </c>
      <c r="E74" s="95" t="n">
        <v>30.9</v>
      </c>
      <c r="F74" s="95" t="n">
        <v>70.40000000000001</v>
      </c>
      <c r="G74" s="95" t="n">
        <v>59.7</v>
      </c>
      <c r="H74" s="95" t="n">
        <v>17.8</v>
      </c>
      <c r="I74" s="95" t="n">
        <v>54.3</v>
      </c>
      <c r="J74" s="95" t="n">
        <v>45.5</v>
      </c>
      <c r="K74" s="96" t="inlineStr">
        <is>
          <t>2643 CAOCAO INC; 6613 LENS; 3696 INSILICO; 6600 ONEROBOTICS; 2675 EDGE MEDICAL-B</t>
        </is>
      </c>
    </row>
    <row r="75">
      <c r="A75" s="16" t="inlineStr">
        <is>
          <t>Da Cheng International Asset Management Company Limited</t>
        </is>
      </c>
      <c r="B75" s="89" t="n">
        <v>5</v>
      </c>
      <c r="C75" s="94" t="n">
        <v>40</v>
      </c>
      <c r="D75" s="95" t="n">
        <v>8.800000000000001</v>
      </c>
      <c r="E75" s="95" t="n">
        <v>5.6</v>
      </c>
      <c r="F75" s="95" t="n">
        <v>-11.2</v>
      </c>
      <c r="G75" s="95" t="n">
        <v>-15.4</v>
      </c>
      <c r="H75" s="95" t="n">
        <v>-2.7</v>
      </c>
      <c r="I75" s="95" t="n">
        <v>-17.6</v>
      </c>
      <c r="J75" s="95" t="n">
        <v>-16</v>
      </c>
      <c r="K75" s="96" t="inlineStr">
        <is>
          <t>2692 ZHAOWEI; 1187 COFOE MEDICAL; 3661 SG MICRO; 1688 LINGYI ITECH; 2249 NEXCHIP</t>
        </is>
      </c>
    </row>
    <row r="76">
      <c r="A76" s="16" t="inlineStr">
        <is>
          <t>Millennium Capital Management (Singapore) Pte. Ltd</t>
        </is>
      </c>
      <c r="B76" s="89" t="n">
        <v>5</v>
      </c>
      <c r="C76" s="94" t="n">
        <v>20</v>
      </c>
      <c r="D76" s="95" t="n">
        <v>8.699999999999999</v>
      </c>
      <c r="E76" s="95" t="n">
        <v>7.9</v>
      </c>
      <c r="F76" s="95" t="n">
        <v>-6.4</v>
      </c>
      <c r="G76" s="95" t="n">
        <v>15.5</v>
      </c>
      <c r="H76" s="95" t="n">
        <v>-0.2</v>
      </c>
      <c r="I76" s="95" t="n">
        <v>-12.4</v>
      </c>
      <c r="J76" s="95" t="n">
        <v>15.5</v>
      </c>
      <c r="K76" s="96" t="inlineStr">
        <is>
          <t>0470 WUXI LEAD; 1081 DAJIN; 3661 SG MICRO; 2475 LUXSHARE ICT; 1377 DTECH</t>
        </is>
      </c>
    </row>
    <row r="77">
      <c r="A77" s="16" t="inlineStr">
        <is>
          <t>Octagon Investments Master Fund LP</t>
        </is>
      </c>
      <c r="B77" s="89" t="n">
        <v>5</v>
      </c>
      <c r="C77" s="94" t="n">
        <v>40</v>
      </c>
      <c r="D77" s="95" t="n">
        <v>7</v>
      </c>
      <c r="E77" s="95" t="n">
        <v>3.4</v>
      </c>
      <c r="F77" s="95" t="n">
        <v>-5.3</v>
      </c>
      <c r="G77" s="95" t="n">
        <v>-19.3</v>
      </c>
      <c r="H77" s="95" t="n">
        <v>-3.3</v>
      </c>
      <c r="I77" s="95" t="n">
        <v>-11.3</v>
      </c>
      <c r="J77" s="95" t="n">
        <v>-24.2</v>
      </c>
      <c r="K77" s="96" t="inlineStr">
        <is>
          <t>6127 JOINN; 2190 ZYLOXTB-B; 2162 KEYMED BIO-B; 6609 HEARTCARE-B; 2235 MICROTECH MED-B</t>
        </is>
      </c>
    </row>
    <row r="78">
      <c r="A78" s="16" t="inlineStr">
        <is>
          <t>Panjing Harbourview Investment Fund</t>
        </is>
      </c>
      <c r="B78" s="89" t="n">
        <v>5</v>
      </c>
      <c r="C78" s="94" t="n">
        <v>40</v>
      </c>
      <c r="D78" s="95" t="n">
        <v>4.5</v>
      </c>
      <c r="E78" s="95" t="n">
        <v>15.6</v>
      </c>
      <c r="F78" s="95" t="n">
        <v>9.800000000000001</v>
      </c>
      <c r="G78" s="95" t="n">
        <v>11.9</v>
      </c>
      <c r="H78" s="95" t="n">
        <v>7</v>
      </c>
      <c r="I78" s="95" t="n">
        <v>5.1</v>
      </c>
      <c r="J78" s="95" t="n">
        <v>-9.6</v>
      </c>
      <c r="K78" s="96" t="inlineStr">
        <is>
          <t>6669 ACOTEC-B; 2675 EDGE MEDICAL-B; 3277 GPIXEL; 1187 COFOE MEDICAL; 6132 HJ SCIENCE-B</t>
        </is>
      </c>
    </row>
    <row r="79">
      <c r="A79" s="16" t="inlineStr">
        <is>
          <t>New China Asset Management (Hong Kong) Limited</t>
        </is>
      </c>
      <c r="B79" s="89" t="n">
        <v>5</v>
      </c>
      <c r="C79" s="94" t="n">
        <v>60</v>
      </c>
      <c r="D79" s="95" t="n">
        <v>3.9</v>
      </c>
      <c r="E79" s="95" t="n">
        <v>2.3</v>
      </c>
      <c r="F79" s="95" t="n">
        <v>2.4</v>
      </c>
      <c r="G79" s="95" t="n">
        <v>-10.9</v>
      </c>
      <c r="H79" s="95" t="n">
        <v>-1.6</v>
      </c>
      <c r="I79" s="95" t="n">
        <v>-2.2</v>
      </c>
      <c r="J79" s="95" t="n">
        <v>-14.8</v>
      </c>
      <c r="K79" s="96" t="inlineStr">
        <is>
          <t>6626 YUEXIU SERVICES; 9636 JF WEALTH; 6682 FOURTH PARADIGM; 9927 SERES; 3296 HUAQIN</t>
        </is>
      </c>
    </row>
    <row r="80">
      <c r="A80" s="16" t="inlineStr">
        <is>
          <t>The China State-owned Enterprise Mixed Ownership Reform Fund Co., Ltd</t>
        </is>
      </c>
      <c r="B80" s="89" t="n">
        <v>5</v>
      </c>
      <c r="C80" s="94" t="n">
        <v>20</v>
      </c>
      <c r="D80" s="95" t="n">
        <v>-3.2</v>
      </c>
      <c r="E80" s="95" t="n">
        <v>16</v>
      </c>
      <c r="F80" s="95" t="n">
        <v>6.2</v>
      </c>
      <c r="G80" s="95" t="n">
        <v>2.6</v>
      </c>
      <c r="H80" s="95" t="n">
        <v>17.7</v>
      </c>
      <c r="I80" s="95" t="n">
        <v>8.4</v>
      </c>
      <c r="J80" s="95" t="n">
        <v>4.5</v>
      </c>
      <c r="K80" s="96" t="inlineStr">
        <is>
          <t>0020 SENSETIME-W; 6680 JLMAG; 1880 CTG DUTY-FREE; 2602 ONEWO; 2245 LYGEND RESOURCE</t>
        </is>
      </c>
    </row>
    <row r="81">
      <c r="A81" s="16" t="inlineStr">
        <is>
          <t>CPP Investment Board PMI-2 Inc</t>
        </is>
      </c>
      <c r="B81" s="89" t="n">
        <v>4</v>
      </c>
      <c r="C81" s="94" t="n">
        <v>75</v>
      </c>
      <c r="D81" s="95" t="n">
        <v>89.40000000000001</v>
      </c>
      <c r="E81" s="95" t="n">
        <v>105.8</v>
      </c>
      <c r="F81" s="95" t="n">
        <v>88.5</v>
      </c>
      <c r="G81" s="95" t="n">
        <v>62.8</v>
      </c>
      <c r="H81" s="95" t="n">
        <v>5</v>
      </c>
      <c r="I81" s="95" t="n">
        <v>1.7</v>
      </c>
      <c r="J81" s="95" t="n">
        <v>-23.1</v>
      </c>
      <c r="K81" s="96" t="inlineStr">
        <is>
          <t>2158 YIDU TECH; 1024 KUAISHOU-W; 0013 HUTCHMED; 2475 LUXSHARE ICT</t>
        </is>
      </c>
    </row>
    <row r="82">
      <c r="A82" s="16" t="inlineStr">
        <is>
          <t>RTW Master Fund, Ltd</t>
        </is>
      </c>
      <c r="B82" s="89" t="n">
        <v>4</v>
      </c>
      <c r="C82" s="94" t="n">
        <v>100</v>
      </c>
      <c r="D82" s="95" t="n">
        <v>85</v>
      </c>
      <c r="E82" s="95" t="n">
        <v>49.2</v>
      </c>
      <c r="F82" s="95" t="n">
        <v>23.7</v>
      </c>
      <c r="G82" s="95" t="n">
        <v>28.3</v>
      </c>
      <c r="H82" s="95" t="n">
        <v>-16.2</v>
      </c>
      <c r="I82" s="95" t="n">
        <v>-26.7</v>
      </c>
      <c r="J82" s="95" t="n">
        <v>-18</v>
      </c>
      <c r="K82" s="96" t="inlineStr">
        <is>
          <t>6990 SKB BIO-B; 2595 GENFLEET-B; 7666 METIS TECHBIO-P; 9637 ALEBUND-B</t>
        </is>
      </c>
    </row>
    <row r="83">
      <c r="A83" s="16" t="inlineStr">
        <is>
          <t>Aranda Investments Pte. Ltd</t>
        </is>
      </c>
      <c r="B83" s="89" t="n">
        <v>4</v>
      </c>
      <c r="C83" s="94" t="n">
        <v>75</v>
      </c>
      <c r="D83" s="95" t="n">
        <v>72.8</v>
      </c>
      <c r="E83" s="95" t="n">
        <v>86.3</v>
      </c>
      <c r="F83" s="95" t="n">
        <v>54</v>
      </c>
      <c r="G83" s="95" t="n">
        <v>13.1</v>
      </c>
      <c r="H83" s="95" t="n">
        <v>3.4</v>
      </c>
      <c r="I83" s="95" t="n">
        <v>-10.8</v>
      </c>
      <c r="J83" s="95" t="n">
        <v>-34.4</v>
      </c>
      <c r="K83" s="96" t="inlineStr">
        <is>
          <t>1024 KUAISHOU-W; 2162 KEYMED BIO-B; 2256 ABBISKO-B; 6656 SIGENERGY</t>
        </is>
      </c>
    </row>
    <row r="84">
      <c r="A84" s="16" t="inlineStr">
        <is>
          <t>Guohui (HK) Holdings Co., Limited</t>
        </is>
      </c>
      <c r="B84" s="89" t="n">
        <v>4</v>
      </c>
      <c r="C84" s="94" t="n">
        <v>100</v>
      </c>
      <c r="D84" s="95" t="n">
        <v>57.9</v>
      </c>
      <c r="E84" s="95" t="n">
        <v>76.2</v>
      </c>
      <c r="F84" s="95" t="n">
        <v>31.8</v>
      </c>
      <c r="G84" s="95" t="n">
        <v>-11.9</v>
      </c>
      <c r="H84" s="95" t="n">
        <v>5.3</v>
      </c>
      <c r="I84" s="95" t="n">
        <v>-16.4</v>
      </c>
      <c r="J84" s="95" t="n">
        <v>-35.7</v>
      </c>
      <c r="K84" s="96" t="inlineStr">
        <is>
          <t>9981 WOER; 0068 MANYCORE TECH; 2493 MABWELL-B; 1956 WENGE AI</t>
        </is>
      </c>
    </row>
    <row r="85">
      <c r="A85" s="16" t="inlineStr">
        <is>
          <t>TruMed Healthcare Master Fund and TruMed Health Innovation Fund LP</t>
        </is>
      </c>
      <c r="B85" s="89" t="n">
        <v>4</v>
      </c>
      <c r="C85" s="94" t="n">
        <v>100</v>
      </c>
      <c r="D85" s="95" t="n">
        <v>52.6</v>
      </c>
      <c r="E85" s="95" t="n">
        <v>63.2</v>
      </c>
      <c r="F85" s="95" t="n">
        <v>44</v>
      </c>
      <c r="G85" s="95" t="n">
        <v>115.8</v>
      </c>
      <c r="H85" s="95" t="n">
        <v>6.6</v>
      </c>
      <c r="I85" s="95" t="n">
        <v>-4.8</v>
      </c>
      <c r="J85" s="95" t="n">
        <v>32.3</v>
      </c>
      <c r="K85" s="96" t="inlineStr">
        <is>
          <t>2373 BEAUTYFARM MED; 6990 SKB BIO-B; 9606 DUALITYBIO-B; 1779 LONGBIO-B</t>
        </is>
      </c>
    </row>
    <row r="86">
      <c r="A86" s="16" t="inlineStr">
        <is>
          <t>Tencent Mobility Limited</t>
        </is>
      </c>
      <c r="B86" s="89" t="n">
        <v>4</v>
      </c>
      <c r="C86" s="94" t="n">
        <v>75</v>
      </c>
      <c r="D86" s="95" t="n">
        <v>46.6</v>
      </c>
      <c r="E86" s="95" t="n">
        <v>53.9</v>
      </c>
      <c r="F86" s="95" t="n">
        <v>82.8</v>
      </c>
      <c r="G86" s="95" t="n">
        <v>45.8</v>
      </c>
      <c r="H86" s="95" t="n">
        <v>7</v>
      </c>
      <c r="I86" s="95" t="n">
        <v>30.1</v>
      </c>
      <c r="J86" s="95" t="n">
        <v>9</v>
      </c>
      <c r="K86" s="96" t="inlineStr">
        <is>
          <t>2158 YIDU TECH; 2192 MEDLIVE; 2235 MICROTECH MED-B; 3696 INSILICO</t>
        </is>
      </c>
    </row>
    <row r="87">
      <c r="A87" s="16" t="inlineStr">
        <is>
          <t>JSC International Investment Fund SPC</t>
        </is>
      </c>
      <c r="B87" s="89" t="n">
        <v>4</v>
      </c>
      <c r="C87" s="94" t="n">
        <v>75</v>
      </c>
      <c r="D87" s="95" t="n">
        <v>39.4</v>
      </c>
      <c r="E87" s="95" t="n">
        <v>40.5</v>
      </c>
      <c r="F87" s="95" t="n">
        <v>6.8</v>
      </c>
      <c r="G87" s="95" t="n">
        <v>4.5</v>
      </c>
      <c r="H87" s="95" t="n">
        <v>1.6</v>
      </c>
      <c r="I87" s="95" t="n">
        <v>-23</v>
      </c>
      <c r="J87" s="95" t="n">
        <v>-17.1</v>
      </c>
      <c r="K87" s="96" t="inlineStr">
        <is>
          <t>9660 HORIZONROBOT-W; 0699 JOYSON ELEC; 1609 STAR SPORTS MED; 1191 CREALIGHTS</t>
        </is>
      </c>
    </row>
    <row r="88">
      <c r="A88" s="16" t="inlineStr">
        <is>
          <t>Bosera Asset Management (International) Co., Limited</t>
        </is>
      </c>
      <c r="B88" s="89" t="n">
        <v>4</v>
      </c>
      <c r="C88" s="94" t="n">
        <v>75</v>
      </c>
      <c r="D88" s="95" t="n">
        <v>39.2</v>
      </c>
      <c r="E88" s="95" t="n">
        <v>22.6</v>
      </c>
      <c r="F88" s="95" t="n">
        <v>25.5</v>
      </c>
      <c r="G88" s="95" t="n">
        <v>9.6</v>
      </c>
      <c r="H88" s="95" t="n">
        <v>-9.800000000000001</v>
      </c>
      <c r="I88" s="95" t="n">
        <v>-5.6</v>
      </c>
      <c r="J88" s="95" t="n">
        <v>-27</v>
      </c>
      <c r="K88" s="96" t="inlineStr">
        <is>
          <t>2476 VGT; 9630 CFMEE; 2475 LUXSHARE ICT; 6951 CCTC</t>
        </is>
      </c>
    </row>
    <row r="89">
      <c r="A89" s="16" t="inlineStr">
        <is>
          <t>Sunwoda Treasury (Hong Kong) Limited</t>
        </is>
      </c>
      <c r="B89" s="89" t="n">
        <v>4</v>
      </c>
      <c r="C89" s="94" t="n">
        <v>75</v>
      </c>
      <c r="D89" s="95" t="n">
        <v>38.4</v>
      </c>
      <c r="E89" s="95" t="n">
        <v>31.6</v>
      </c>
      <c r="F89" s="95" t="n">
        <v>-2.6</v>
      </c>
      <c r="G89" s="95" t="n">
        <v>10.2</v>
      </c>
      <c r="H89" s="95" t="n">
        <v>-3.5</v>
      </c>
      <c r="I89" s="95" t="n">
        <v>-23.1</v>
      </c>
      <c r="J89" s="95" t="n">
        <v>7.9</v>
      </c>
      <c r="K89" s="96" t="inlineStr">
        <is>
          <t>2579 CNGR; 2701 NSING TECH; 6675 SENASIC; 6067 SENIOR MATERIAL</t>
        </is>
      </c>
    </row>
    <row r="90">
      <c r="A90" s="16" t="inlineStr">
        <is>
          <t>Matthews Funds</t>
        </is>
      </c>
      <c r="B90" s="89" t="n">
        <v>4</v>
      </c>
      <c r="C90" s="94" t="n">
        <v>75</v>
      </c>
      <c r="D90" s="95" t="n">
        <v>37.6</v>
      </c>
      <c r="E90" s="95" t="n">
        <v>32.8</v>
      </c>
      <c r="F90" s="95" t="n">
        <v>37.1</v>
      </c>
      <c r="G90" s="95" t="n">
        <v>1.1</v>
      </c>
      <c r="H90" s="95" t="n">
        <v>-3.8</v>
      </c>
      <c r="I90" s="95" t="n">
        <v>0.6</v>
      </c>
      <c r="J90" s="95" t="n">
        <v>-22.5</v>
      </c>
      <c r="K90" s="96" t="inlineStr">
        <is>
          <t>2158 YIDU TECH; 6622 ZHAOKE OPHTH-B; 2618 JD LOGISTICS; 2192 MEDLIVE</t>
        </is>
      </c>
    </row>
    <row r="91">
      <c r="A91" s="16" t="inlineStr">
        <is>
          <t>Sunshine Life Insurance Corporation Limited</t>
        </is>
      </c>
      <c r="B91" s="89" t="n">
        <v>4</v>
      </c>
      <c r="C91" s="94" t="n">
        <v>25</v>
      </c>
      <c r="D91" s="95" t="n">
        <v>34.7</v>
      </c>
      <c r="E91" s="95" t="n">
        <v>65.5</v>
      </c>
      <c r="F91" s="95" t="n">
        <v>37.7</v>
      </c>
      <c r="G91" s="95" t="n">
        <v>2.8</v>
      </c>
      <c r="H91" s="95" t="n">
        <v>11.5</v>
      </c>
      <c r="I91" s="95" t="n">
        <v>3.2</v>
      </c>
      <c r="J91" s="95" t="n">
        <v>-12.9</v>
      </c>
      <c r="K91" s="96" t="inlineStr">
        <is>
          <t>9638 FERRETTI; 9886 DINGDANG HEALTH; 9985 WEILONG; 0068 MANYCORE TECH</t>
        </is>
      </c>
    </row>
    <row r="92">
      <c r="A92" s="16" t="inlineStr">
        <is>
          <t>Ocean Fine Industrial Limited</t>
        </is>
      </c>
      <c r="B92" s="89" t="n">
        <v>4</v>
      </c>
      <c r="C92" s="94" t="n">
        <v>50</v>
      </c>
      <c r="D92" s="95" t="n">
        <v>30.7</v>
      </c>
      <c r="E92" s="95" t="n">
        <v>17.7</v>
      </c>
      <c r="F92" s="95" t="n">
        <v>1</v>
      </c>
      <c r="G92" s="95" t="n">
        <v>-11.3</v>
      </c>
      <c r="H92" s="95" t="n">
        <v>-5.4</v>
      </c>
      <c r="I92" s="95" t="n">
        <v>-17</v>
      </c>
      <c r="J92" s="95" t="n">
        <v>4.3</v>
      </c>
      <c r="K92" s="96" t="inlineStr">
        <is>
          <t>6911 LANCANG TEA; 2026 PONY-W; 3661 SG MICRO; 9630 CFMEE</t>
        </is>
      </c>
    </row>
    <row r="93">
      <c r="A93" s="16" t="inlineStr">
        <is>
          <t>Hefei Beicheng Construction Investment (Group) Company Limited</t>
        </is>
      </c>
      <c r="B93" s="89" t="n">
        <v>4</v>
      </c>
      <c r="C93" s="94" t="n">
        <v>25</v>
      </c>
      <c r="D93" s="95" t="n">
        <v>25.4</v>
      </c>
      <c r="E93" s="95" t="n">
        <v>10.4</v>
      </c>
      <c r="F93" s="95" t="n">
        <v>-3</v>
      </c>
      <c r="G93" s="95" t="n">
        <v>-26.3</v>
      </c>
      <c r="H93" s="95" t="n">
        <v>-8.9</v>
      </c>
      <c r="I93" s="95" t="n">
        <v>-19.1</v>
      </c>
      <c r="J93" s="95" t="n">
        <v>-25.4</v>
      </c>
      <c r="K93" s="96" t="inlineStr">
        <is>
          <t>3931 CALB; 2482 LOGORY; 9630 CFMEE; 2249 NEXCHIP</t>
        </is>
      </c>
    </row>
    <row r="94">
      <c r="A94" s="16" t="inlineStr">
        <is>
          <t>Sungrow Power (Hong Kong) Co., Limited</t>
        </is>
      </c>
      <c r="B94" s="89" t="n">
        <v>4</v>
      </c>
      <c r="C94" s="94" t="n">
        <v>50</v>
      </c>
      <c r="D94" s="95" t="n">
        <v>22.6</v>
      </c>
      <c r="E94" s="95" t="n">
        <v>6.8</v>
      </c>
      <c r="F94" s="95" t="n">
        <v>-11.3</v>
      </c>
      <c r="G94" s="95" t="n">
        <v>-36.2</v>
      </c>
      <c r="H94" s="95" t="n">
        <v>-9.800000000000001</v>
      </c>
      <c r="I94" s="95" t="n">
        <v>-23.3</v>
      </c>
      <c r="J94" s="95" t="n">
        <v>-17.2</v>
      </c>
      <c r="K94" s="96" t="inlineStr">
        <is>
          <t>9609 HAIWEI ELEC; 3661 SG MICRO; 9630 CFMEE; 0537 RIGOL</t>
        </is>
      </c>
    </row>
    <row r="95">
      <c r="A95" s="16" t="inlineStr">
        <is>
          <t>Black Dragon CP Fund SPC</t>
        </is>
      </c>
      <c r="B95" s="89" t="n">
        <v>4</v>
      </c>
      <c r="C95" s="94" t="n">
        <v>50</v>
      </c>
      <c r="D95" s="95" t="n">
        <v>22.5</v>
      </c>
      <c r="E95" s="95" t="n">
        <v>23</v>
      </c>
      <c r="F95" s="95" t="n">
        <v>28</v>
      </c>
      <c r="G95" s="95" t="n">
        <v>-3.4</v>
      </c>
      <c r="H95" s="95" t="n">
        <v>0.9</v>
      </c>
      <c r="I95" s="95" t="n">
        <v>4.9</v>
      </c>
      <c r="J95" s="95" t="n">
        <v>-26.4</v>
      </c>
      <c r="K95" s="96" t="inlineStr">
        <is>
          <t>6603 IFBH; 3887 HASHKEY HLDGS; 2476 VGT; 3308 ZJ INNOLIGHT</t>
        </is>
      </c>
    </row>
    <row r="96">
      <c r="A96" s="16" t="inlineStr">
        <is>
          <t>King Terrace Limited</t>
        </is>
      </c>
      <c r="B96" s="89" t="n">
        <v>4</v>
      </c>
      <c r="C96" s="94" t="n">
        <v>75</v>
      </c>
      <c r="D96" s="95" t="n">
        <v>21.6</v>
      </c>
      <c r="E96" s="95" t="n">
        <v>28.6</v>
      </c>
      <c r="F96" s="95" t="n">
        <v>16.5</v>
      </c>
      <c r="G96" s="95" t="n">
        <v>53.3</v>
      </c>
      <c r="H96" s="95" t="n">
        <v>4.5</v>
      </c>
      <c r="I96" s="95" t="n">
        <v>-5.7</v>
      </c>
      <c r="J96" s="95" t="n">
        <v>11.5</v>
      </c>
      <c r="K96" s="96" t="inlineStr">
        <is>
          <t>0606 SCE CM; 2157 LEPU BIO-B; 2566 JIUYUAN GENE; 9606 DUALITYBIO-B</t>
        </is>
      </c>
    </row>
    <row r="97">
      <c r="A97" s="16" t="inlineStr">
        <is>
          <t>YHG Investment, L.P</t>
        </is>
      </c>
      <c r="B97" s="89" t="n">
        <v>4</v>
      </c>
      <c r="C97" s="94" t="n">
        <v>50</v>
      </c>
      <c r="D97" s="95" t="n">
        <v>21.2</v>
      </c>
      <c r="E97" s="95" t="n">
        <v>13.7</v>
      </c>
      <c r="F97" s="95" t="n">
        <v>-4.6</v>
      </c>
      <c r="G97" s="95" t="n">
        <v>1.9</v>
      </c>
      <c r="H97" s="95" t="n">
        <v>-7.4</v>
      </c>
      <c r="I97" s="95" t="n">
        <v>-22.1</v>
      </c>
      <c r="J97" s="95" t="n">
        <v>-14</v>
      </c>
      <c r="K97" s="96" t="inlineStr">
        <is>
          <t>2160 CARDIOFLOW-B; 2190 ZYLOXTB-B; 2197 CLOVER BIO-B; 2602 ONEWO</t>
        </is>
      </c>
    </row>
    <row r="98">
      <c r="A98" s="16" t="inlineStr">
        <is>
          <t>Jain Global Master Fund Ltd</t>
        </is>
      </c>
      <c r="B98" s="89" t="n">
        <v>4</v>
      </c>
      <c r="C98" s="94" t="n">
        <v>75</v>
      </c>
      <c r="D98" s="95" t="n">
        <v>17.8</v>
      </c>
      <c r="E98" s="95" t="n">
        <v>12.9</v>
      </c>
      <c r="F98" s="95" t="n">
        <v>-6.1</v>
      </c>
      <c r="G98" s="95" t="n">
        <v>1.6</v>
      </c>
      <c r="H98" s="95" t="n">
        <v>-4.3</v>
      </c>
      <c r="I98" s="95" t="n">
        <v>-21.4</v>
      </c>
      <c r="J98" s="95" t="n">
        <v>-23.6</v>
      </c>
      <c r="K98" s="96" t="inlineStr">
        <is>
          <t>6603 IFBH; 6687 JST GROUP; 1688 LINGYI ITECH; 7687 EACON</t>
        </is>
      </c>
    </row>
    <row r="99">
      <c r="A99" s="16" t="inlineStr">
        <is>
          <t>Fidelity International</t>
        </is>
      </c>
      <c r="B99" s="89" t="n">
        <v>4</v>
      </c>
      <c r="C99" s="94" t="n">
        <v>75</v>
      </c>
      <c r="D99" s="95" t="n">
        <v>16.1</v>
      </c>
      <c r="E99" s="95" t="n">
        <v>13</v>
      </c>
      <c r="F99" s="95" t="n">
        <v>17.6</v>
      </c>
      <c r="G99" s="95" t="n">
        <v>-1.5</v>
      </c>
      <c r="H99" s="95" t="n">
        <v>-2.6</v>
      </c>
      <c r="I99" s="95" t="n">
        <v>3</v>
      </c>
      <c r="J99" s="95" t="n">
        <v>-14.8</v>
      </c>
      <c r="K99" s="96" t="inlineStr">
        <is>
          <t>9959 LINKLOGIS–W; 2190 ZYLOXTB-B; 2192 MEDLIVE; 3887 HASHKEY HLDGS</t>
        </is>
      </c>
    </row>
    <row r="100">
      <c r="A100" s="16" t="inlineStr">
        <is>
          <t>General Atlantic Singapore HCM Pte. Ltd</t>
        </is>
      </c>
      <c r="B100" s="89" t="n">
        <v>4</v>
      </c>
      <c r="C100" s="94" t="n">
        <v>50</v>
      </c>
      <c r="D100" s="95" t="n">
        <v>14.3</v>
      </c>
      <c r="E100" s="95" t="n">
        <v>17.5</v>
      </c>
      <c r="F100" s="95" t="n">
        <v>25.1</v>
      </c>
      <c r="G100" s="95" t="n">
        <v>-10</v>
      </c>
      <c r="H100" s="95" t="n">
        <v>3.4</v>
      </c>
      <c r="I100" s="95" t="n">
        <v>7.1</v>
      </c>
      <c r="J100" s="95" t="n">
        <v>-29.7</v>
      </c>
      <c r="K100" s="96" t="inlineStr">
        <is>
          <t>0013 HUTCHMED; 1228 CANBRIDGE-B; 2268 WUXI XDC; 3308 ZJ INNOLIGHT</t>
        </is>
      </c>
    </row>
    <row r="101">
      <c r="A101" s="16" t="inlineStr">
        <is>
          <t>SensePower Management Limited</t>
        </is>
      </c>
      <c r="B101" s="89" t="n">
        <v>4</v>
      </c>
      <c r="C101" s="94" t="n">
        <v>50</v>
      </c>
      <c r="D101" s="95" t="n">
        <v>10.4</v>
      </c>
      <c r="E101" s="95" t="n">
        <v>8.6</v>
      </c>
      <c r="F101" s="95" t="n">
        <v>20.4</v>
      </c>
      <c r="G101" s="95" t="n">
        <v>34.5</v>
      </c>
      <c r="H101" s="95" t="n">
        <v>-0.2</v>
      </c>
      <c r="I101" s="95" t="n">
        <v>9.6</v>
      </c>
      <c r="J101" s="95" t="n">
        <v>22.3</v>
      </c>
      <c r="K101" s="96" t="inlineStr">
        <is>
          <t>6626 YUEXIU SERVICES; 9878 HUITONGDA NET; 6610 FLOWING CLOUD; 2429 UBOX ONLINE</t>
        </is>
      </c>
    </row>
    <row r="102">
      <c r="A102" s="16" t="inlineStr">
        <is>
          <t>The Reynold Lemkins Group (Asia) Limited</t>
        </is>
      </c>
      <c r="B102" s="89" t="n">
        <v>4</v>
      </c>
      <c r="C102" s="94" t="n">
        <v>50</v>
      </c>
      <c r="D102" s="95" t="n">
        <v>5.7</v>
      </c>
      <c r="E102" s="95" t="n">
        <v>-12.2</v>
      </c>
      <c r="F102" s="95" t="n">
        <v>1.3</v>
      </c>
      <c r="G102" s="95" t="n">
        <v>-8</v>
      </c>
      <c r="H102" s="95" t="n">
        <v>-12.1</v>
      </c>
      <c r="I102" s="95" t="n">
        <v>-4.4</v>
      </c>
      <c r="J102" s="95" t="n">
        <v>-11.8</v>
      </c>
      <c r="K102" s="96" t="inlineStr">
        <is>
          <t>2505 EDA GROUP HLDGS; 2479 TIANJUDIHE; 1471 ZHONGMIAO; 2592 CLOUDBREAK-B</t>
        </is>
      </c>
    </row>
    <row r="103">
      <c r="A103" s="16" t="inlineStr">
        <is>
          <t>Eastspring Investments (Hong Kong) Limited</t>
        </is>
      </c>
      <c r="B103" s="89" t="n">
        <v>4</v>
      </c>
      <c r="C103" s="94" t="n">
        <v>25</v>
      </c>
      <c r="D103" s="95" t="n">
        <v>5.7</v>
      </c>
      <c r="E103" s="95" t="n">
        <v>1.2</v>
      </c>
      <c r="F103" s="95" t="n">
        <v>16.1</v>
      </c>
      <c r="G103" s="95" t="n">
        <v>69.09999999999999</v>
      </c>
      <c r="H103" s="95" t="n">
        <v>-5</v>
      </c>
      <c r="I103" s="95" t="n">
        <v>5.3</v>
      </c>
      <c r="J103" s="95" t="n">
        <v>39.8</v>
      </c>
      <c r="K103" s="96" t="inlineStr">
        <is>
          <t>2026 PONY-W; 1989 DELTON; 1081 DAJIN; 2475 LUXSHARE ICT</t>
        </is>
      </c>
    </row>
    <row r="104">
      <c r="A104" s="16" t="inlineStr">
        <is>
          <t>Ghisallo Master Fund LP</t>
        </is>
      </c>
      <c r="B104" s="89" t="n">
        <v>4</v>
      </c>
      <c r="C104" s="94" t="n">
        <v>50</v>
      </c>
      <c r="D104" s="95" t="n">
        <v>5.5</v>
      </c>
      <c r="E104" s="95" t="n">
        <v>-4.2</v>
      </c>
      <c r="F104" s="95" t="n">
        <v>-10.9</v>
      </c>
      <c r="G104" s="95" t="n">
        <v>-23.7</v>
      </c>
      <c r="H104" s="95" t="n">
        <v>-9.5</v>
      </c>
      <c r="I104" s="95" t="n">
        <v>-15</v>
      </c>
      <c r="J104" s="95" t="n">
        <v>-27.1</v>
      </c>
      <c r="K104" s="96" t="inlineStr">
        <is>
          <t>2460 CR BEVERAGE; 9927 SERES; 2026 PONY-W; 0501 OMNIVISION</t>
        </is>
      </c>
    </row>
    <row r="105">
      <c r="A105" s="16" t="inlineStr">
        <is>
          <t>China Post Wealth Management</t>
        </is>
      </c>
      <c r="B105" s="89" t="n">
        <v>4</v>
      </c>
      <c r="C105" s="94" t="n">
        <v>50</v>
      </c>
      <c r="D105" s="95" t="n">
        <v>4.5</v>
      </c>
      <c r="E105" s="95" t="n">
        <v>-2.6</v>
      </c>
      <c r="F105" s="95" t="n">
        <v>-14.1</v>
      </c>
      <c r="G105" s="95" t="n">
        <v>-18.8</v>
      </c>
      <c r="H105" s="95" t="n">
        <v>-6.9</v>
      </c>
      <c r="I105" s="95" t="n">
        <v>-17.5</v>
      </c>
      <c r="J105" s="95" t="n">
        <v>-21.1</v>
      </c>
      <c r="K105" s="96" t="inlineStr">
        <is>
          <t>2460 CR BEVERAGE; 2580 AUX ELECTRIC; 0699 JOYSON ELEC; 0501 OMNIVISION</t>
        </is>
      </c>
    </row>
    <row r="106">
      <c r="A106" s="16" t="inlineStr">
        <is>
          <t>Wind Sabre</t>
        </is>
      </c>
      <c r="B106" s="89" t="n">
        <v>4</v>
      </c>
      <c r="C106" s="94" t="n">
        <v>50</v>
      </c>
      <c r="D106" s="95" t="n">
        <v>4.4</v>
      </c>
      <c r="E106" s="95" t="n">
        <v>14.2</v>
      </c>
      <c r="F106" s="95" t="n">
        <v>17.8</v>
      </c>
      <c r="G106" s="95" t="n">
        <v>97.3</v>
      </c>
      <c r="H106" s="95" t="n">
        <v>9.300000000000001</v>
      </c>
      <c r="I106" s="95" t="n">
        <v>12.9</v>
      </c>
      <c r="J106" s="95" t="n">
        <v>83.09999999999999</v>
      </c>
      <c r="K106" s="96" t="inlineStr">
        <is>
          <t>2050 SANHUA; 1304 FORTIOR; 9903 ILUVATAR COREX; 6228 MERDEKAGOLD-DRS</t>
        </is>
      </c>
    </row>
    <row r="107">
      <c r="A107" s="16" t="inlineStr">
        <is>
          <t>Factorial Master Fund</t>
        </is>
      </c>
      <c r="B107" s="89" t="n">
        <v>4</v>
      </c>
      <c r="C107" s="94" t="n">
        <v>50</v>
      </c>
      <c r="D107" s="95" t="n">
        <v>-2.3</v>
      </c>
      <c r="E107" s="95" t="n">
        <v>14.1</v>
      </c>
      <c r="F107" s="95" t="n">
        <v>-15</v>
      </c>
      <c r="G107" s="95" t="n">
        <v>-23.1</v>
      </c>
      <c r="H107" s="95" t="n">
        <v>18</v>
      </c>
      <c r="I107" s="95" t="n">
        <v>-13.8</v>
      </c>
      <c r="J107" s="95" t="n">
        <v>-24.4</v>
      </c>
      <c r="K107" s="96" t="inlineStr">
        <is>
          <t>0600 AXERA; 9981 WOER; 2692 ZHAOWEI; 3952 LAIFUAL</t>
        </is>
      </c>
    </row>
    <row r="108">
      <c r="A108" s="16" t="inlineStr">
        <is>
          <t>Ningbo Yinzhou District Financial Holding Co., Ltd</t>
        </is>
      </c>
      <c r="B108" s="89" t="n">
        <v>4</v>
      </c>
      <c r="C108" s="94" t="n">
        <v>25</v>
      </c>
      <c r="D108" s="95" t="n">
        <v>-7.5</v>
      </c>
      <c r="E108" s="95" t="n">
        <v>-13.3</v>
      </c>
      <c r="F108" s="95" t="n">
        <v>-17.4</v>
      </c>
      <c r="G108" s="95" t="n">
        <v>-25.5</v>
      </c>
      <c r="H108" s="95" t="n">
        <v>-7.7</v>
      </c>
      <c r="I108" s="95" t="n">
        <v>-14.4</v>
      </c>
      <c r="J108" s="95" t="n">
        <v>-23</v>
      </c>
      <c r="K108" s="96" t="inlineStr">
        <is>
          <t>2245 LYGEND RESOURCE; 2105 LAEKNA-B; 9686 NEUSOFT XIKANG; 0699 JOYSON ELEC</t>
        </is>
      </c>
    </row>
    <row r="109">
      <c r="A109" s="16" t="inlineStr">
        <is>
          <t>Gold Synergy</t>
        </is>
      </c>
      <c r="B109" s="89" t="n">
        <v>4</v>
      </c>
      <c r="C109" s="94" t="n">
        <v>0</v>
      </c>
      <c r="D109" s="95" t="n">
        <v>-8.300000000000001</v>
      </c>
      <c r="E109" s="95" t="n">
        <v>-10.3</v>
      </c>
      <c r="F109" s="95" t="n">
        <v>-7</v>
      </c>
      <c r="G109" s="95" t="n">
        <v>-19.2</v>
      </c>
      <c r="H109" s="95" t="n">
        <v>-1.4</v>
      </c>
      <c r="I109" s="95" t="n">
        <v>2.7</v>
      </c>
      <c r="J109" s="95" t="n">
        <v>-10.5</v>
      </c>
      <c r="K109" s="96" t="inlineStr">
        <is>
          <t>2385 READBOY; 9696 TIANQI LITHIUM; 2479 TIANJUDIHE; 9927 SERES</t>
        </is>
      </c>
    </row>
    <row r="110">
      <c r="A110" s="16" t="inlineStr">
        <is>
          <t>Aurora SF</t>
        </is>
      </c>
      <c r="B110" s="89" t="n">
        <v>4</v>
      </c>
      <c r="C110" s="94" t="n">
        <v>50</v>
      </c>
      <c r="D110" s="95" t="n">
        <v>-8.6</v>
      </c>
      <c r="E110" s="95" t="n">
        <v>-9.6</v>
      </c>
      <c r="F110" s="95" t="n">
        <v>-1.4</v>
      </c>
      <c r="G110" s="95" t="n">
        <v>21.2</v>
      </c>
      <c r="H110" s="95" t="n">
        <v>-1.5</v>
      </c>
      <c r="I110" s="95" t="n">
        <v>5.7</v>
      </c>
      <c r="J110" s="95" t="n">
        <v>7</v>
      </c>
      <c r="K110" s="96" t="inlineStr">
        <is>
          <t>3296 HUAQIN; 2667 TONGRENTANGCARE; 7687 EACON; 6745 BEFAR GROUP</t>
        </is>
      </c>
    </row>
    <row r="111">
      <c r="A111" s="16" t="inlineStr">
        <is>
          <t>Anji Guorong Construction Co., Ltd</t>
        </is>
      </c>
      <c r="B111" s="89" t="n">
        <v>4</v>
      </c>
      <c r="C111" s="94" t="n">
        <v>25</v>
      </c>
      <c r="D111" s="95" t="n">
        <v>-10.6</v>
      </c>
      <c r="E111" s="95" t="n">
        <v>-15.8</v>
      </c>
      <c r="F111" s="95" t="n">
        <v>-2</v>
      </c>
      <c r="G111" s="95" t="n">
        <v>8.199999999999999</v>
      </c>
      <c r="H111" s="95" t="n">
        <v>-6.8</v>
      </c>
      <c r="I111" s="95" t="n">
        <v>7.3</v>
      </c>
      <c r="J111" s="95" t="n">
        <v>18.8</v>
      </c>
      <c r="K111" s="96" t="inlineStr">
        <is>
          <t>6610 FLOWING CLOUD; 2440 HOWKINGTECH; 2415 MEDSCI; 6831 GREEN TEA GROUP</t>
        </is>
      </c>
    </row>
    <row r="112">
      <c r="A112" s="16" t="inlineStr">
        <is>
          <t>Ping An of China Asset Management (Hong Kong) Company Limited</t>
        </is>
      </c>
      <c r="B112" s="89" t="n">
        <v>3</v>
      </c>
      <c r="C112" s="94" t="n">
        <v>67</v>
      </c>
      <c r="D112" s="95" t="n">
        <v>127</v>
      </c>
      <c r="E112" s="95" t="n">
        <v>127.7</v>
      </c>
      <c r="F112" s="95" t="n">
        <v>85.2</v>
      </c>
      <c r="G112" s="95" t="n">
        <v>14</v>
      </c>
      <c r="H112" s="95" t="n">
        <v>0.5</v>
      </c>
      <c r="I112" s="95" t="n">
        <v>-2.9</v>
      </c>
      <c r="J112" s="95" t="n">
        <v>-38.4</v>
      </c>
      <c r="K112" s="96" t="inlineStr">
        <is>
          <t>2714 MUYUAN; 1879 XIZHI TECH-P; 6228 MERDEKAGOLD-DRS</t>
        </is>
      </c>
    </row>
    <row r="113">
      <c r="A113" s="16" t="inlineStr">
        <is>
          <t>Arc Avenue Asset Management Pte. Ltd</t>
        </is>
      </c>
      <c r="B113" s="89" t="n">
        <v>3</v>
      </c>
      <c r="C113" s="94" t="n">
        <v>100</v>
      </c>
      <c r="D113" s="95" t="n">
        <v>81.3</v>
      </c>
      <c r="E113" s="95" t="n">
        <v>71.5</v>
      </c>
      <c r="F113" s="95" t="n">
        <v>50.5</v>
      </c>
      <c r="G113" s="95" t="n">
        <v>40.6</v>
      </c>
      <c r="H113" s="95" t="n">
        <v>-3.7</v>
      </c>
      <c r="I113" s="95" t="n">
        <v>-14.3</v>
      </c>
      <c r="J113" s="95" t="n">
        <v>-20.1</v>
      </c>
      <c r="K113" s="96" t="inlineStr">
        <is>
          <t>6938 RIBOLIFE-B; 3277 GPIXEL; 7666 METIS TECHBIO-P</t>
        </is>
      </c>
    </row>
    <row r="114">
      <c r="A114" s="16" t="inlineStr">
        <is>
          <t>Loyal Valley Fund III</t>
        </is>
      </c>
      <c r="B114" s="89" t="n">
        <v>3</v>
      </c>
      <c r="C114" s="94" t="n">
        <v>100</v>
      </c>
      <c r="D114" s="95" t="n">
        <v>68.2</v>
      </c>
      <c r="E114" s="95" t="n">
        <v>45.3</v>
      </c>
      <c r="F114" s="95" t="n">
        <v>39.1</v>
      </c>
      <c r="G114" s="95" t="n">
        <v>25.4</v>
      </c>
      <c r="H114" s="95" t="n">
        <v>-11.5</v>
      </c>
      <c r="I114" s="95" t="n">
        <v>-15</v>
      </c>
      <c r="J114" s="95" t="n">
        <v>-18.5</v>
      </c>
      <c r="K114" s="96" t="inlineStr">
        <is>
          <t>9887 LEADS BIOLABS-B; 2657 FOREST CABIN; 9637 ALEBUND-B</t>
        </is>
      </c>
    </row>
    <row r="115">
      <c r="A115" s="16" t="inlineStr">
        <is>
          <t>Goldman Sachs Asset Management (Hong Kong) Limited</t>
        </is>
      </c>
      <c r="B115" s="89" t="n">
        <v>3</v>
      </c>
      <c r="C115" s="94" t="n">
        <v>100</v>
      </c>
      <c r="D115" s="95" t="n">
        <v>62.7</v>
      </c>
      <c r="E115" s="95" t="n">
        <v>35.7</v>
      </c>
      <c r="F115" s="95" t="n">
        <v>27.4</v>
      </c>
      <c r="G115" s="95" t="n">
        <v>-26.7</v>
      </c>
      <c r="H115" s="95" t="n">
        <v>-15.3</v>
      </c>
      <c r="I115" s="95" t="n">
        <v>-18.5</v>
      </c>
      <c r="J115" s="95" t="n">
        <v>-62</v>
      </c>
      <c r="K115" s="96" t="inlineStr">
        <is>
          <t>6656 SIGENERGY; 7688 TOPNC; 6951 CCTC</t>
        </is>
      </c>
    </row>
    <row r="116">
      <c r="A116" s="16" t="inlineStr">
        <is>
          <t>Poly Platinum Enterprises Limited</t>
        </is>
      </c>
      <c r="B116" s="89" t="n">
        <v>3</v>
      </c>
      <c r="C116" s="94" t="n">
        <v>100</v>
      </c>
      <c r="D116" s="95" t="n">
        <v>52.8</v>
      </c>
      <c r="E116" s="95" t="n">
        <v>54.8</v>
      </c>
      <c r="F116" s="95" t="n">
        <v>49.4</v>
      </c>
      <c r="G116" s="95" t="n">
        <v>42.7</v>
      </c>
      <c r="H116" s="95" t="n">
        <v>3</v>
      </c>
      <c r="I116" s="95" t="n">
        <v>0.2</v>
      </c>
      <c r="J116" s="95" t="n">
        <v>5.1</v>
      </c>
      <c r="K116" s="96" t="inlineStr">
        <is>
          <t>6613 LENS; 2675 EDGE MEDICAL-B; 1609 STAR SPORTS MED</t>
        </is>
      </c>
    </row>
    <row r="117">
      <c r="A117" s="16" t="inlineStr">
        <is>
          <t>China AMC</t>
        </is>
      </c>
      <c r="B117" s="89" t="n">
        <v>3</v>
      </c>
      <c r="C117" s="94" t="n">
        <v>100</v>
      </c>
      <c r="D117" s="95" t="n">
        <v>52.2</v>
      </c>
      <c r="E117" s="95" t="n">
        <v>47.8</v>
      </c>
      <c r="F117" s="95" t="n">
        <v>77.40000000000001</v>
      </c>
      <c r="G117" s="95" t="n">
        <v>77.7</v>
      </c>
      <c r="H117" s="95" t="n">
        <v>1.6</v>
      </c>
      <c r="I117" s="95" t="n">
        <v>26.6</v>
      </c>
      <c r="J117" s="95" t="n">
        <v>23.4</v>
      </c>
      <c r="K117" s="96" t="inlineStr">
        <is>
          <t>2718 MININGLAMP-W; 2698 SOFTCARE; 3696 INSILICO</t>
        </is>
      </c>
    </row>
    <row r="118">
      <c r="A118" s="16" t="inlineStr">
        <is>
          <t>Hongshan Limited</t>
        </is>
      </c>
      <c r="B118" s="89" t="n">
        <v>3</v>
      </c>
      <c r="C118" s="94" t="n">
        <v>100</v>
      </c>
      <c r="D118" s="95" t="n">
        <v>51</v>
      </c>
      <c r="E118" s="95" t="n">
        <v>70.90000000000001</v>
      </c>
      <c r="F118" s="95" t="n">
        <v>70.90000000000001</v>
      </c>
      <c r="G118" s="95" t="n">
        <v>122.1</v>
      </c>
      <c r="H118" s="95" t="n">
        <v>13.9</v>
      </c>
      <c r="I118" s="95" t="n">
        <v>14</v>
      </c>
      <c r="J118" s="95" t="n">
        <v>49.3</v>
      </c>
      <c r="K118" s="96" t="inlineStr">
        <is>
          <t>0325 BLOKS; 2097 MIXUE GROUP; 1768 BUSYMING</t>
        </is>
      </c>
    </row>
    <row r="119">
      <c r="A119" s="16" t="inlineStr">
        <is>
          <t>TradArt Investment SP</t>
        </is>
      </c>
      <c r="B119" s="89" t="n">
        <v>3</v>
      </c>
      <c r="C119" s="94" t="n">
        <v>100</v>
      </c>
      <c r="D119" s="95" t="n">
        <v>48.1</v>
      </c>
      <c r="E119" s="95" t="n">
        <v>53.3</v>
      </c>
      <c r="F119" s="95" t="n">
        <v>114.9</v>
      </c>
      <c r="G119" s="95" t="n">
        <v>147.8</v>
      </c>
      <c r="H119" s="95" t="n">
        <v>4.9</v>
      </c>
      <c r="I119" s="95" t="n">
        <v>45.8</v>
      </c>
      <c r="J119" s="95" t="n">
        <v>66.8</v>
      </c>
      <c r="K119" s="96" t="inlineStr">
        <is>
          <t>1244 3D MEDICINES-B; 6698 STAR CM; 2306 YH ENT</t>
        </is>
      </c>
    </row>
    <row r="120">
      <c r="A120" s="16" t="inlineStr">
        <is>
          <t>Yunfeng Capital</t>
        </is>
      </c>
      <c r="B120" s="89" t="n">
        <v>3</v>
      </c>
      <c r="C120" s="94" t="n">
        <v>100</v>
      </c>
      <c r="D120" s="95" t="n">
        <v>47.4</v>
      </c>
      <c r="E120" s="95" t="n">
        <v>78.59999999999999</v>
      </c>
      <c r="F120" s="95" t="n">
        <v>62.4</v>
      </c>
      <c r="G120" s="95" t="n">
        <v>191.7</v>
      </c>
      <c r="H120" s="95" t="n">
        <v>21.4</v>
      </c>
      <c r="I120" s="95" t="n">
        <v>10.9</v>
      </c>
      <c r="J120" s="95" t="n">
        <v>95</v>
      </c>
      <c r="K120" s="96" t="inlineStr">
        <is>
          <t>0325 BLOKS; 3986 GIGADEVICE; 6809 MONTAGE TECH</t>
        </is>
      </c>
    </row>
    <row r="121">
      <c r="A121" s="16" t="inlineStr">
        <is>
          <t>ORIX Asia Asset Management Limited</t>
        </is>
      </c>
      <c r="B121" s="89" t="n">
        <v>3</v>
      </c>
      <c r="C121" s="94" t="n">
        <v>67</v>
      </c>
      <c r="D121" s="95" t="n">
        <v>40.4</v>
      </c>
      <c r="E121" s="95" t="n">
        <v>23.3</v>
      </c>
      <c r="F121" s="95" t="n">
        <v>8.5</v>
      </c>
      <c r="G121" s="95" t="n">
        <v>23.3</v>
      </c>
      <c r="H121" s="95" t="n">
        <v>-6.7</v>
      </c>
      <c r="I121" s="95" t="n">
        <v>-12.9</v>
      </c>
      <c r="J121" s="95" t="n">
        <v>-12.4</v>
      </c>
      <c r="K121" s="96" t="inlineStr">
        <is>
          <t>1828 FWD; 7666 METIS TECHBIO-P; 6228 MERDEKAGOLD-DRS</t>
        </is>
      </c>
    </row>
    <row r="122">
      <c r="A122" s="16" t="inlineStr">
        <is>
          <t>Huaqin Technology</t>
        </is>
      </c>
      <c r="B122" s="89" t="n">
        <v>3</v>
      </c>
      <c r="C122" s="94" t="n">
        <v>100</v>
      </c>
      <c r="D122" s="95" t="n">
        <v>39.2</v>
      </c>
      <c r="E122" s="95" t="n">
        <v>65.8</v>
      </c>
      <c r="F122" s="95" t="n">
        <v>48.9</v>
      </c>
      <c r="G122" s="95" t="n">
        <v>149.5</v>
      </c>
      <c r="H122" s="95" t="n">
        <v>17.9</v>
      </c>
      <c r="I122" s="95" t="n">
        <v>6.4</v>
      </c>
      <c r="J122" s="95" t="n">
        <v>68.7</v>
      </c>
      <c r="K122" s="96" t="inlineStr">
        <is>
          <t>0501 OMNIVISION; 3986 GIGADEVICE; 6809 MONTAGE TECH</t>
        </is>
      </c>
    </row>
    <row r="123">
      <c r="A123" s="16" t="inlineStr">
        <is>
          <t>Co Limited (China Southern)</t>
        </is>
      </c>
      <c r="B123" s="89" t="n">
        <v>3</v>
      </c>
      <c r="C123" s="94" t="n">
        <v>100</v>
      </c>
      <c r="D123" s="95" t="n">
        <v>37.1</v>
      </c>
      <c r="E123" s="95" t="n">
        <v>52.6</v>
      </c>
      <c r="F123" s="95" t="n">
        <v>51.8</v>
      </c>
      <c r="G123" s="95" t="n">
        <v>69</v>
      </c>
      <c r="H123" s="95" t="n">
        <v>10.5</v>
      </c>
      <c r="I123" s="95" t="n">
        <v>9.9</v>
      </c>
      <c r="J123" s="95" t="n">
        <v>22</v>
      </c>
      <c r="K123" s="96" t="inlineStr">
        <is>
          <t>2097 MIXUE GROUP; 6603 IFBH; 2698 SOFTCARE</t>
        </is>
      </c>
    </row>
    <row r="124">
      <c r="A124" s="16" t="inlineStr">
        <is>
          <t>Xiamen Evere Sports Goods Co., Ltd</t>
        </is>
      </c>
      <c r="B124" s="89" t="n">
        <v>3</v>
      </c>
      <c r="C124" s="94" t="n">
        <v>100</v>
      </c>
      <c r="D124" s="95" t="n">
        <v>34.8</v>
      </c>
      <c r="E124" s="95" t="n">
        <v>39.9</v>
      </c>
      <c r="F124" s="95" t="n">
        <v>38.3</v>
      </c>
      <c r="G124" s="95" t="n">
        <v>38.7</v>
      </c>
      <c r="H124" s="95" t="n">
        <v>3.8</v>
      </c>
      <c r="I124" s="95" t="n">
        <v>3.5</v>
      </c>
      <c r="J124" s="95" t="n">
        <v>2.1</v>
      </c>
      <c r="K124" s="96" t="inlineStr">
        <is>
          <t>3650 KEEP; 1768 BUSYMING; 2726 EPIWORLD</t>
        </is>
      </c>
    </row>
    <row r="125">
      <c r="A125" s="16" t="inlineStr">
        <is>
          <t>Blue Spark Hub Pte. Ltd</t>
        </is>
      </c>
      <c r="B125" s="89" t="n">
        <v>3</v>
      </c>
      <c r="C125" s="94" t="n">
        <v>100</v>
      </c>
      <c r="D125" s="95" t="n">
        <v>31.4</v>
      </c>
      <c r="E125" s="95" t="n">
        <v>21.5</v>
      </c>
      <c r="F125" s="95" t="n">
        <v>15.9</v>
      </c>
      <c r="G125" s="95" t="n">
        <v>32</v>
      </c>
      <c r="H125" s="95" t="n">
        <v>-7.6</v>
      </c>
      <c r="I125" s="95" t="n">
        <v>-11.9</v>
      </c>
      <c r="J125" s="95" t="n">
        <v>0.8</v>
      </c>
      <c r="K125" s="96" t="inlineStr">
        <is>
          <t>2629 MIRXES-B; 6687 JST GROUP; 6938 RIBOLIFE-B</t>
        </is>
      </c>
    </row>
    <row r="126">
      <c r="A126" s="16" t="inlineStr">
        <is>
          <t>Hao Great China Focus Fund</t>
        </is>
      </c>
      <c r="B126" s="89" t="n">
        <v>3</v>
      </c>
      <c r="C126" s="94" t="n">
        <v>67</v>
      </c>
      <c r="D126" s="95" t="n">
        <v>29.1</v>
      </c>
      <c r="E126" s="95" t="n">
        <v>31.7</v>
      </c>
      <c r="F126" s="95" t="n">
        <v>27</v>
      </c>
      <c r="G126" s="95" t="n">
        <v>30.7</v>
      </c>
      <c r="H126" s="95" t="n">
        <v>3.4</v>
      </c>
      <c r="I126" s="95" t="n">
        <v>-0.6</v>
      </c>
      <c r="J126" s="95" t="n">
        <v>-12.2</v>
      </c>
      <c r="K126" s="96" t="inlineStr">
        <is>
          <t>6082 BIREN TECH; 3355 FS.COM; 3308 ZJ INNOLIGHT</t>
        </is>
      </c>
    </row>
    <row r="127">
      <c r="A127" s="16" t="inlineStr">
        <is>
          <t>Yi Fang Da Brocade Inv. Limited</t>
        </is>
      </c>
      <c r="B127" s="89" t="n">
        <v>3</v>
      </c>
      <c r="C127" s="94" t="n">
        <v>100</v>
      </c>
      <c r="D127" s="95" t="n">
        <v>29</v>
      </c>
      <c r="E127" s="95" t="n">
        <v>29.6</v>
      </c>
      <c r="F127" s="95" t="n">
        <v>11.6</v>
      </c>
      <c r="G127" s="95" t="n">
        <v>-5.6</v>
      </c>
      <c r="H127" s="95" t="n">
        <v>0</v>
      </c>
      <c r="I127" s="95" t="n">
        <v>-13.8</v>
      </c>
      <c r="J127" s="95" t="n">
        <v>-28.3</v>
      </c>
      <c r="K127" s="96" t="inlineStr">
        <is>
          <t>2160 CARDIOFLOW-B; 2162 KEYMED BIO-B; 2279 YONGHE MEDICAL</t>
        </is>
      </c>
    </row>
    <row r="128">
      <c r="A128" s="16" t="inlineStr">
        <is>
          <t>RBC Global Asset Management (Asia) Limited</t>
        </is>
      </c>
      <c r="B128" s="89" t="n">
        <v>3</v>
      </c>
      <c r="C128" s="94" t="n">
        <v>100</v>
      </c>
      <c r="D128" s="95" t="n">
        <v>29</v>
      </c>
      <c r="E128" s="95" t="n">
        <v>9.9</v>
      </c>
      <c r="F128" s="95" t="n">
        <v>36.9</v>
      </c>
      <c r="G128" s="95" t="n">
        <v>-5.4</v>
      </c>
      <c r="H128" s="95" t="n">
        <v>-12.4</v>
      </c>
      <c r="I128" s="95" t="n">
        <v>17.1</v>
      </c>
      <c r="J128" s="95" t="n">
        <v>-16.9</v>
      </c>
      <c r="K128" s="96" t="inlineStr">
        <is>
          <t>2137 BRII - B; 2714 MUYUAN; 7688 TOPNC</t>
        </is>
      </c>
    </row>
    <row r="129">
      <c r="A129" s="16" t="inlineStr">
        <is>
          <t>CDH Global Frontier Ventures Limited</t>
        </is>
      </c>
      <c r="B129" s="89" t="n">
        <v>3</v>
      </c>
      <c r="C129" s="94" t="n">
        <v>67</v>
      </c>
      <c r="D129" s="95" t="n">
        <v>25.1</v>
      </c>
      <c r="E129" s="95" t="n">
        <v>20</v>
      </c>
      <c r="F129" s="95" t="n">
        <v>-12.2</v>
      </c>
      <c r="G129" s="95" t="n">
        <v>-38.8</v>
      </c>
      <c r="H129" s="95" t="n">
        <v>3.8</v>
      </c>
      <c r="I129" s="95" t="n">
        <v>-28.2</v>
      </c>
      <c r="J129" s="95" t="n">
        <v>-66</v>
      </c>
      <c r="K129" s="96" t="inlineStr">
        <is>
          <t>7688 TOPNC; 3952 LAIFUAL; 7687 EACON</t>
        </is>
      </c>
    </row>
    <row r="130">
      <c r="A130" s="16" t="inlineStr">
        <is>
          <t>Metazone Link (HK) Limited</t>
        </is>
      </c>
      <c r="B130" s="89" t="n">
        <v>3</v>
      </c>
      <c r="C130" s="94" t="n">
        <v>100</v>
      </c>
      <c r="D130" s="95" t="n">
        <v>20.9</v>
      </c>
      <c r="E130" s="95" t="n">
        <v>23.2</v>
      </c>
      <c r="F130" s="95" t="n">
        <v>36.1</v>
      </c>
      <c r="G130" s="95" t="n">
        <v>24.3</v>
      </c>
      <c r="H130" s="95" t="n">
        <v>2.7</v>
      </c>
      <c r="I130" s="95" t="n">
        <v>12.8</v>
      </c>
      <c r="J130" s="95" t="n">
        <v>0.9</v>
      </c>
      <c r="K130" s="96" t="inlineStr">
        <is>
          <t>0300 MIDEA GROUP; 2476 VGT; 6951 CCTC</t>
        </is>
      </c>
    </row>
    <row r="131">
      <c r="A131" s="16" t="inlineStr">
        <is>
          <t>Worldwide Healthcare Partners LLC</t>
        </is>
      </c>
      <c r="B131" s="89" t="n">
        <v>3</v>
      </c>
      <c r="C131" s="94" t="n">
        <v>33</v>
      </c>
      <c r="D131" s="95" t="n">
        <v>20.8</v>
      </c>
      <c r="E131" s="95" t="n">
        <v>10.5</v>
      </c>
      <c r="F131" s="95" t="n">
        <v>1.2</v>
      </c>
      <c r="G131" s="95" t="n">
        <v>-45.8</v>
      </c>
      <c r="H131" s="95" t="n">
        <v>-7.2</v>
      </c>
      <c r="I131" s="95" t="n">
        <v>-17.9</v>
      </c>
      <c r="J131" s="95" t="n">
        <v>-45.8</v>
      </c>
      <c r="K131" s="96" t="inlineStr">
        <is>
          <t>6669 ACOTEC-B; 2216 BRONCUS-B; 7630 IMPACT THERAP-B</t>
        </is>
      </c>
    </row>
    <row r="132">
      <c r="A132" s="16" t="inlineStr">
        <is>
          <t>Indus Select Master Fund, Ltd. and Vitruvius SICAV-Asian Equity</t>
        </is>
      </c>
      <c r="B132" s="89" t="n">
        <v>3</v>
      </c>
      <c r="C132" s="94" t="n">
        <v>67</v>
      </c>
      <c r="D132" s="95" t="n">
        <v>20.7</v>
      </c>
      <c r="E132" s="95" t="n">
        <v>26.6</v>
      </c>
      <c r="F132" s="95" t="n">
        <v>10</v>
      </c>
      <c r="G132" s="95" t="n">
        <v>27.5</v>
      </c>
      <c r="H132" s="95" t="n">
        <v>5.6</v>
      </c>
      <c r="I132" s="95" t="n">
        <v>-7.3</v>
      </c>
      <c r="J132" s="95" t="n">
        <v>-17.3</v>
      </c>
      <c r="K132" s="96" t="inlineStr">
        <is>
          <t>2160 CARDIOFLOW-B; 7687 EACON; 3308 ZJ INNOLIGHT</t>
        </is>
      </c>
    </row>
    <row r="133">
      <c r="A133" s="16" t="inlineStr">
        <is>
          <t>Dragon Merit Holdings Limited</t>
        </is>
      </c>
      <c r="B133" s="89" t="n">
        <v>3</v>
      </c>
      <c r="C133" s="94" t="n">
        <v>100</v>
      </c>
      <c r="D133" s="95" t="n">
        <v>18.9</v>
      </c>
      <c r="E133" s="95" t="n">
        <v>19.2</v>
      </c>
      <c r="F133" s="95" t="n">
        <v>22.3</v>
      </c>
      <c r="G133" s="95" t="n">
        <v>7</v>
      </c>
      <c r="H133" s="95" t="n">
        <v>0.3</v>
      </c>
      <c r="I133" s="95" t="n">
        <v>3.7</v>
      </c>
      <c r="J133" s="95" t="n">
        <v>-9.4</v>
      </c>
      <c r="K133" s="96" t="inlineStr">
        <is>
          <t>2162 KEYMED BIO-B; 2285 CHERVON; 3880 MEDTIDE</t>
        </is>
      </c>
    </row>
    <row r="134">
      <c r="A134" s="16" t="inlineStr">
        <is>
          <t>Integrated Core Strategies (Asia) Pte. Ltd</t>
        </is>
      </c>
      <c r="B134" s="89" t="n">
        <v>3</v>
      </c>
      <c r="C134" s="94" t="n">
        <v>100</v>
      </c>
      <c r="D134" s="95" t="n">
        <v>18.7</v>
      </c>
      <c r="E134" s="95" t="n">
        <v>22.4</v>
      </c>
      <c r="F134" s="95" t="n">
        <v>32</v>
      </c>
      <c r="G134" s="95" t="n">
        <v>17</v>
      </c>
      <c r="H134" s="95" t="n">
        <v>2.4</v>
      </c>
      <c r="I134" s="95" t="n">
        <v>11.6</v>
      </c>
      <c r="J134" s="95" t="n">
        <v>-1.4</v>
      </c>
      <c r="K134" s="96" t="inlineStr">
        <is>
          <t>2675 EDGE MEDICAL-B; 2714 MUYUAN; 3388 CREALITY</t>
        </is>
      </c>
    </row>
    <row r="135">
      <c r="A135" s="16" t="inlineStr">
        <is>
          <t>Huizhou Guohuilian Equity Investment Fund Partnership (LP)</t>
        </is>
      </c>
      <c r="B135" s="89" t="n">
        <v>3</v>
      </c>
      <c r="C135" s="94" t="n">
        <v>100</v>
      </c>
      <c r="D135" s="95" t="n">
        <v>18.4</v>
      </c>
      <c r="E135" s="95" t="n">
        <v>34</v>
      </c>
      <c r="F135" s="95" t="n">
        <v>38.3</v>
      </c>
      <c r="G135" s="95" t="n">
        <v>70</v>
      </c>
      <c r="H135" s="95" t="n">
        <v>16</v>
      </c>
      <c r="I135" s="95" t="n">
        <v>18</v>
      </c>
      <c r="J135" s="95" t="n">
        <v>54.9</v>
      </c>
      <c r="K135" s="96" t="inlineStr">
        <is>
          <t>2531 CARLINK TECH; 9981 WOER; 2476 VGT</t>
        </is>
      </c>
    </row>
    <row r="136">
      <c r="A136" s="16" t="inlineStr">
        <is>
          <t>LMR Multi-Strategy Master Fund Limited</t>
        </is>
      </c>
      <c r="B136" s="89" t="n">
        <v>3</v>
      </c>
      <c r="C136" s="94" t="n">
        <v>67</v>
      </c>
      <c r="D136" s="95" t="n">
        <v>18</v>
      </c>
      <c r="E136" s="95" t="n">
        <v>14.1</v>
      </c>
      <c r="F136" s="95" t="n">
        <v>-1</v>
      </c>
      <c r="G136" s="95" t="n">
        <v>0.7</v>
      </c>
      <c r="H136" s="95" t="n">
        <v>-3.1</v>
      </c>
      <c r="I136" s="95" t="n">
        <v>-15</v>
      </c>
      <c r="J136" s="95" t="n">
        <v>-8.1</v>
      </c>
      <c r="K136" s="96" t="inlineStr">
        <is>
          <t>2251 AIRDOC-B; 3750 CATL; 3661 SG MICRO</t>
        </is>
      </c>
    </row>
    <row r="137">
      <c r="A137" s="16" t="inlineStr">
        <is>
          <t>China Southern Asset Management Co., Ltd</t>
        </is>
      </c>
      <c r="B137" s="89" t="n">
        <v>3</v>
      </c>
      <c r="C137" s="94" t="n">
        <v>33</v>
      </c>
      <c r="D137" s="95" t="n">
        <v>16.9</v>
      </c>
      <c r="E137" s="95" t="n">
        <v>29.4</v>
      </c>
      <c r="F137" s="95" t="n">
        <v>17.8</v>
      </c>
      <c r="G137" s="95" t="n">
        <v>85.3</v>
      </c>
      <c r="H137" s="95" t="n">
        <v>7.1</v>
      </c>
      <c r="I137" s="95" t="n">
        <v>-5.2</v>
      </c>
      <c r="J137" s="95" t="n">
        <v>41.6</v>
      </c>
      <c r="K137" s="96" t="inlineStr">
        <is>
          <t>2171 CARSGEN-B; 2150 NAYUKI; 6181 LAOPU GOLD</t>
        </is>
      </c>
    </row>
    <row r="138">
      <c r="A138" s="16" t="inlineStr">
        <is>
          <t>Ninety One Asia Pte. Limited</t>
        </is>
      </c>
      <c r="B138" s="89" t="n">
        <v>3</v>
      </c>
      <c r="C138" s="94" t="n">
        <v>67</v>
      </c>
      <c r="D138" s="95" t="n">
        <v>16.6</v>
      </c>
      <c r="E138" s="95" t="n">
        <v>17.7</v>
      </c>
      <c r="F138" s="95" t="n">
        <v>5.9</v>
      </c>
      <c r="G138" s="95" t="n"/>
      <c r="H138" s="95" t="n">
        <v>2.3</v>
      </c>
      <c r="I138" s="95" t="n">
        <v>-6.1</v>
      </c>
      <c r="J138" s="95" t="n"/>
      <c r="K138" s="96" t="inlineStr">
        <is>
          <t>3661 SG MICRO; 6951 CCTC; 3308 ZJ INNOLIGHT</t>
        </is>
      </c>
    </row>
    <row r="139">
      <c r="A139" s="16" t="inlineStr">
        <is>
          <t>AIHC Master Fund</t>
        </is>
      </c>
      <c r="B139" s="89" t="n">
        <v>3</v>
      </c>
      <c r="C139" s="94" t="n">
        <v>67</v>
      </c>
      <c r="D139" s="95" t="n">
        <v>14.4</v>
      </c>
      <c r="E139" s="95" t="n">
        <v>5.4</v>
      </c>
      <c r="F139" s="95" t="n">
        <v>25.2</v>
      </c>
      <c r="G139" s="95" t="n">
        <v>-3.9</v>
      </c>
      <c r="H139" s="95" t="n">
        <v>-7.9</v>
      </c>
      <c r="I139" s="95" t="n">
        <v>13</v>
      </c>
      <c r="J139" s="95" t="n">
        <v>-14.4</v>
      </c>
      <c r="K139" s="96" t="inlineStr">
        <is>
          <t>2190 ZYLOXTB-B; 2137 BRII - B; 2256 ABBISKO-B</t>
        </is>
      </c>
    </row>
    <row r="140">
      <c r="A140" s="16" t="inlineStr">
        <is>
          <t>ABCI Asset Management Limited</t>
        </is>
      </c>
      <c r="B140" s="89" t="n">
        <v>3</v>
      </c>
      <c r="C140" s="94" t="n">
        <v>67</v>
      </c>
      <c r="D140" s="95" t="n">
        <v>13.5</v>
      </c>
      <c r="E140" s="95" t="n">
        <v>8.199999999999999</v>
      </c>
      <c r="F140" s="95" t="n">
        <v>-2.3</v>
      </c>
      <c r="G140" s="95" t="n">
        <v>-25.5</v>
      </c>
      <c r="H140" s="95" t="n">
        <v>-4.2</v>
      </c>
      <c r="I140" s="95" t="n">
        <v>-13.7</v>
      </c>
      <c r="J140" s="95" t="n">
        <v>-36.9</v>
      </c>
      <c r="K140" s="96" t="inlineStr">
        <is>
          <t>6633 QINGCI GAMES; 6938 RIBOLIFE-B; 9611 LONGCHEER</t>
        </is>
      </c>
    </row>
    <row r="141">
      <c r="A141" s="16" t="inlineStr">
        <is>
          <t>LBC HK Opportunity Fund Limited</t>
        </is>
      </c>
      <c r="B141" s="89" t="n">
        <v>3</v>
      </c>
      <c r="C141" s="94" t="n">
        <v>33</v>
      </c>
      <c r="D141" s="95" t="n">
        <v>11.7</v>
      </c>
      <c r="E141" s="95" t="n">
        <v>17.7</v>
      </c>
      <c r="F141" s="95" t="n">
        <v>-18.2</v>
      </c>
      <c r="G141" s="95" t="n">
        <v>25.8</v>
      </c>
      <c r="H141" s="95" t="n">
        <v>11.7</v>
      </c>
      <c r="I141" s="95" t="n">
        <v>-12</v>
      </c>
      <c r="J141" s="95" t="n">
        <v>-39.1</v>
      </c>
      <c r="K141" s="96" t="inlineStr">
        <is>
          <t>2595 GENFLEET-B; 6132 HJ SCIENCE-B; 3952 LAIFUAL</t>
        </is>
      </c>
    </row>
    <row r="142">
      <c r="A142" s="16" t="inlineStr">
        <is>
          <t>China Pinnacle Equity Management Limited</t>
        </is>
      </c>
      <c r="B142" s="89" t="n">
        <v>3</v>
      </c>
      <c r="C142" s="94" t="n">
        <v>67</v>
      </c>
      <c r="D142" s="95" t="n">
        <v>10.2</v>
      </c>
      <c r="E142" s="95" t="n">
        <v>22.5</v>
      </c>
      <c r="F142" s="95" t="n">
        <v>20.1</v>
      </c>
      <c r="G142" s="95" t="n">
        <v>36.4</v>
      </c>
      <c r="H142" s="95" t="n">
        <v>7.4</v>
      </c>
      <c r="I142" s="95" t="n">
        <v>5.5</v>
      </c>
      <c r="J142" s="95" t="n">
        <v>14</v>
      </c>
      <c r="K142" s="96" t="inlineStr">
        <is>
          <t>9960 KINDSTAR GLOBAL; 3288 HAITIAN FLAV; 3986 GIGADEVICE</t>
        </is>
      </c>
    </row>
    <row r="143">
      <c r="A143" s="16" t="inlineStr">
        <is>
          <t>Seven Grand Managers, LLC</t>
        </is>
      </c>
      <c r="B143" s="89" t="n">
        <v>3</v>
      </c>
      <c r="C143" s="94" t="n">
        <v>67</v>
      </c>
      <c r="D143" s="95" t="n">
        <v>8.9</v>
      </c>
      <c r="E143" s="95" t="n">
        <v>2.9</v>
      </c>
      <c r="F143" s="95" t="n">
        <v>-1.4</v>
      </c>
      <c r="G143" s="95" t="n">
        <v>25.4</v>
      </c>
      <c r="H143" s="95" t="n">
        <v>-5.2</v>
      </c>
      <c r="I143" s="95" t="n">
        <v>-11.3</v>
      </c>
      <c r="J143" s="95" t="n">
        <v>3.4</v>
      </c>
      <c r="K143" s="96" t="inlineStr">
        <is>
          <t>3388 CREALITY; 1688 LINGYI ITECH; 7687 EACON</t>
        </is>
      </c>
    </row>
    <row r="144">
      <c r="A144" s="16" t="inlineStr">
        <is>
          <t>Hongxing International Technology Limited</t>
        </is>
      </c>
      <c r="B144" s="89" t="n">
        <v>3</v>
      </c>
      <c r="C144" s="94" t="n">
        <v>67</v>
      </c>
      <c r="D144" s="95" t="n">
        <v>7.8</v>
      </c>
      <c r="E144" s="95" t="n">
        <v>9.800000000000001</v>
      </c>
      <c r="F144" s="95" t="n">
        <v>12.3</v>
      </c>
      <c r="G144" s="95" t="n">
        <v>45.3</v>
      </c>
      <c r="H144" s="95" t="n">
        <v>1.8</v>
      </c>
      <c r="I144" s="95" t="n">
        <v>2.1</v>
      </c>
      <c r="J144" s="95" t="n">
        <v>27.3</v>
      </c>
      <c r="K144" s="96" t="inlineStr">
        <is>
          <t>3200 HANS CNC; 3296 HUAQIN; 1688 LINGYI ITECH</t>
        </is>
      </c>
    </row>
    <row r="145">
      <c r="A145" s="16" t="inlineStr">
        <is>
          <t>Jinyi Capital Multi-Strategy Fund SPC Ltd</t>
        </is>
      </c>
      <c r="B145" s="89" t="n">
        <v>3</v>
      </c>
      <c r="C145" s="94" t="n">
        <v>67</v>
      </c>
      <c r="D145" s="95" t="n">
        <v>4.9</v>
      </c>
      <c r="E145" s="95" t="n">
        <v>9.1</v>
      </c>
      <c r="F145" s="95" t="n">
        <v>7</v>
      </c>
      <c r="G145" s="95" t="n">
        <v>-12</v>
      </c>
      <c r="H145" s="95" t="n">
        <v>4.1</v>
      </c>
      <c r="I145" s="95" t="n">
        <v>0.6</v>
      </c>
      <c r="J145" s="95" t="n">
        <v>-17.1</v>
      </c>
      <c r="K145" s="96" t="inlineStr">
        <is>
          <t>0600 AXERA; 3268 MEIG; 3296 HUAQIN</t>
        </is>
      </c>
    </row>
    <row r="146">
      <c r="A146" s="16" t="inlineStr">
        <is>
          <t>Glencore International AG</t>
        </is>
      </c>
      <c r="B146" s="89" t="n">
        <v>3</v>
      </c>
      <c r="C146" s="94" t="n">
        <v>33</v>
      </c>
      <c r="D146" s="95" t="n">
        <v>4.8</v>
      </c>
      <c r="E146" s="95" t="n">
        <v>6.7</v>
      </c>
      <c r="F146" s="95" t="n">
        <v>5.5</v>
      </c>
      <c r="G146" s="95" t="n">
        <v>1.9</v>
      </c>
      <c r="H146" s="95" t="n">
        <v>1.6</v>
      </c>
      <c r="I146" s="95" t="n">
        <v>0.8</v>
      </c>
      <c r="J146" s="95" t="n">
        <v>-4</v>
      </c>
      <c r="K146" s="96" t="inlineStr">
        <is>
          <t>2610 NANSHAN AL INTL; 3636 JINXUN RESOURCE; 6228 MERDEKAGOLD-DRS</t>
        </is>
      </c>
    </row>
    <row r="147">
      <c r="A147" s="16" t="inlineStr">
        <is>
          <t>Relationship* Wuxi Lvlian</t>
        </is>
      </c>
      <c r="B147" s="89" t="n">
        <v>3</v>
      </c>
      <c r="C147" s="94" t="n">
        <v>67</v>
      </c>
      <c r="D147" s="95" t="n">
        <v>4.8</v>
      </c>
      <c r="E147" s="95" t="n">
        <v>-0.1</v>
      </c>
      <c r="F147" s="95" t="n">
        <v>9</v>
      </c>
      <c r="G147" s="95" t="n">
        <v>111.3</v>
      </c>
      <c r="H147" s="95" t="n">
        <v>-4.7</v>
      </c>
      <c r="I147" s="95" t="n">
        <v>4.9</v>
      </c>
      <c r="J147" s="95" t="n">
        <v>106.7</v>
      </c>
      <c r="K147" s="96" t="inlineStr">
        <is>
          <t>6831 GREEN TEA GROUP; 2698 SOFTCARE; 3317 XUNCE</t>
        </is>
      </c>
    </row>
    <row r="148">
      <c r="A148" s="16" t="inlineStr">
        <is>
          <t>Duckling Fund, L.P</t>
        </is>
      </c>
      <c r="B148" s="89" t="n">
        <v>3</v>
      </c>
      <c r="C148" s="94" t="n">
        <v>67</v>
      </c>
      <c r="D148" s="95" t="n">
        <v>3.8</v>
      </c>
      <c r="E148" s="95" t="n">
        <v>8.800000000000001</v>
      </c>
      <c r="F148" s="95" t="n">
        <v>21</v>
      </c>
      <c r="G148" s="95" t="n">
        <v>98.40000000000001</v>
      </c>
      <c r="H148" s="95" t="n">
        <v>4.8</v>
      </c>
      <c r="I148" s="95" t="n">
        <v>18.4</v>
      </c>
      <c r="J148" s="95" t="n">
        <v>95.40000000000001</v>
      </c>
      <c r="K148" s="96" t="inlineStr">
        <is>
          <t>1364 GUMING; 2657 FOREST CABIN; 9903 ILUVATAR COREX</t>
        </is>
      </c>
    </row>
    <row r="149">
      <c r="A149" s="16" t="inlineStr">
        <is>
          <t>PT Esta Indonesia</t>
        </is>
      </c>
      <c r="B149" s="89" t="n">
        <v>3</v>
      </c>
      <c r="C149" s="94" t="n">
        <v>33</v>
      </c>
      <c r="D149" s="95" t="n">
        <v>3.3</v>
      </c>
      <c r="E149" s="95" t="n">
        <v>-2.5</v>
      </c>
      <c r="F149" s="95" t="n">
        <v>-7.5</v>
      </c>
      <c r="G149" s="95" t="n">
        <v>0.5</v>
      </c>
      <c r="H149" s="95" t="n">
        <v>-5.5</v>
      </c>
      <c r="I149" s="95" t="n">
        <v>-9.6</v>
      </c>
      <c r="J149" s="95" t="n">
        <v>-1</v>
      </c>
      <c r="K149" s="96" t="inlineStr">
        <is>
          <t>1497 YAN PALACE; 2460 CR BEVERAGE; 2610 NANSHAN AL INTL</t>
        </is>
      </c>
    </row>
    <row r="150">
      <c r="A150" s="16" t="inlineStr">
        <is>
          <t>Pacific Asset Management Co., Limited</t>
        </is>
      </c>
      <c r="B150" s="89" t="n">
        <v>3</v>
      </c>
      <c r="C150" s="94" t="n">
        <v>33</v>
      </c>
      <c r="D150" s="95" t="n">
        <v>1.6</v>
      </c>
      <c r="E150" s="95" t="n">
        <v>1.1</v>
      </c>
      <c r="F150" s="95" t="n">
        <v>-2.4</v>
      </c>
      <c r="G150" s="95" t="n">
        <v>3.8</v>
      </c>
      <c r="H150" s="95" t="n">
        <v>-0.4</v>
      </c>
      <c r="I150" s="95" t="n">
        <v>-4.6</v>
      </c>
      <c r="J150" s="95" t="n">
        <v>-0.3</v>
      </c>
      <c r="K150" s="96" t="inlineStr">
        <is>
          <t>9696 TIANQI LITHIUM; 3750 CATL; 0638 FIBOCOM</t>
        </is>
      </c>
    </row>
    <row r="151">
      <c r="A151" s="16" t="inlineStr">
        <is>
          <t>Xian Yuanda Electronic Equipment Co., Ltd</t>
        </is>
      </c>
      <c r="B151" s="89" t="n">
        <v>3</v>
      </c>
      <c r="C151" s="94" t="n">
        <v>33</v>
      </c>
      <c r="D151" s="95" t="n">
        <v>1.3</v>
      </c>
      <c r="E151" s="95" t="n">
        <v>26.2</v>
      </c>
      <c r="F151" s="95" t="n">
        <v>35.5</v>
      </c>
      <c r="G151" s="95" t="n">
        <v>83.8</v>
      </c>
      <c r="H151" s="95" t="n">
        <v>20.1</v>
      </c>
      <c r="I151" s="95" t="n">
        <v>31.5</v>
      </c>
      <c r="J151" s="95" t="n">
        <v>85.2</v>
      </c>
      <c r="K151" s="96" t="inlineStr">
        <is>
          <t>2418 DEEWIN; 2536 PALASINO; 1354 KINGFARPROPERTY</t>
        </is>
      </c>
    </row>
    <row r="152">
      <c r="A152" s="16" t="inlineStr">
        <is>
          <t>Golden Link Worldwide Limited</t>
        </is>
      </c>
      <c r="B152" s="89" t="n">
        <v>3</v>
      </c>
      <c r="C152" s="94" t="n">
        <v>33</v>
      </c>
      <c r="D152" s="95" t="n">
        <v>1.2</v>
      </c>
      <c r="E152" s="95" t="n">
        <v>8.9</v>
      </c>
      <c r="F152" s="95" t="n">
        <v>15.8</v>
      </c>
      <c r="G152" s="95" t="n">
        <v>23.8</v>
      </c>
      <c r="H152" s="95" t="n">
        <v>7.3</v>
      </c>
      <c r="I152" s="95" t="n">
        <v>14.3</v>
      </c>
      <c r="J152" s="95" t="n">
        <v>21.2</v>
      </c>
      <c r="K152" s="96" t="inlineStr">
        <is>
          <t>0300 MIDEA GROUP; 2676 NOVOSENSE; 6880 MOMENTA-W</t>
        </is>
      </c>
    </row>
    <row r="153">
      <c r="A153" s="16" t="inlineStr">
        <is>
          <t>China Sichuan International Investment Limited</t>
        </is>
      </c>
      <c r="B153" s="89" t="n">
        <v>3</v>
      </c>
      <c r="C153" s="94" t="n">
        <v>67</v>
      </c>
      <c r="D153" s="95" t="n">
        <v>0.5</v>
      </c>
      <c r="E153" s="95" t="n">
        <v>0.1</v>
      </c>
      <c r="F153" s="95" t="n">
        <v>-9.699999999999999</v>
      </c>
      <c r="G153" s="95" t="n">
        <v>-23.8</v>
      </c>
      <c r="H153" s="95" t="n">
        <v>-0.3</v>
      </c>
      <c r="I153" s="95" t="n">
        <v>-10.1</v>
      </c>
      <c r="J153" s="95" t="n">
        <v>-24.1</v>
      </c>
      <c r="K153" s="96" t="inlineStr">
        <is>
          <t>3658 NEW HOPE SERV; 9696 TIANQI LITHIUM; 9636 JF WEALTH</t>
        </is>
      </c>
    </row>
    <row r="154">
      <c r="A154" s="16" t="inlineStr">
        <is>
          <t>Hainan Financial Holdings Co., Ltd</t>
        </is>
      </c>
      <c r="B154" s="89" t="n">
        <v>3</v>
      </c>
      <c r="C154" s="94" t="n">
        <v>33</v>
      </c>
      <c r="D154" s="95" t="n">
        <v>0.3</v>
      </c>
      <c r="E154" s="95" t="n">
        <v>2.2</v>
      </c>
      <c r="F154" s="95" t="n">
        <v>9</v>
      </c>
      <c r="G154" s="95" t="n">
        <v>-1.7</v>
      </c>
      <c r="H154" s="95" t="n">
        <v>1.9</v>
      </c>
      <c r="I154" s="95" t="n">
        <v>8.699999999999999</v>
      </c>
      <c r="J154" s="95" t="n">
        <v>-2</v>
      </c>
      <c r="K154" s="96" t="inlineStr">
        <is>
          <t>9638 FERRETTI; 1880 CTG DUTY-FREE; 2451 LUYUAN GP HLDG</t>
        </is>
      </c>
    </row>
    <row r="155">
      <c r="A155" s="16" t="inlineStr">
        <is>
          <t>Keltic Investment (HK) Limited</t>
        </is>
      </c>
      <c r="B155" s="89" t="n">
        <v>3</v>
      </c>
      <c r="C155" s="94" t="n">
        <v>33</v>
      </c>
      <c r="D155" s="95" t="n">
        <v>0.1</v>
      </c>
      <c r="E155" s="95" t="n">
        <v>1.9</v>
      </c>
      <c r="F155" s="95" t="n">
        <v>-23.7</v>
      </c>
      <c r="G155" s="95" t="n">
        <v>-40.6</v>
      </c>
      <c r="H155" s="95" t="n">
        <v>1.8</v>
      </c>
      <c r="I155" s="95" t="n">
        <v>-23.7</v>
      </c>
      <c r="J155" s="95" t="n">
        <v>-40.6</v>
      </c>
      <c r="K155" s="96" t="inlineStr">
        <is>
          <t>3658 NEW HOPE SERV; 6626 YUEXIU SERVICES; 2210 BEIJING JIAYE</t>
        </is>
      </c>
    </row>
    <row r="156">
      <c r="A156" s="16" t="inlineStr">
        <is>
          <t>Vivo Opportunity Fund, L.P</t>
        </is>
      </c>
      <c r="B156" s="89" t="n">
        <v>3</v>
      </c>
      <c r="C156" s="94" t="n">
        <v>33</v>
      </c>
      <c r="D156" s="95" t="n">
        <v>-0.1</v>
      </c>
      <c r="E156" s="95" t="n">
        <v>-7.9</v>
      </c>
      <c r="F156" s="95" t="n">
        <v>-17.1</v>
      </c>
      <c r="G156" s="95" t="n">
        <v>-23.9</v>
      </c>
      <c r="H156" s="95" t="n">
        <v>-7.8</v>
      </c>
      <c r="I156" s="95" t="n">
        <v>-17</v>
      </c>
      <c r="J156" s="95" t="n">
        <v>-23.8</v>
      </c>
      <c r="K156" s="96" t="inlineStr">
        <is>
          <t>2256 ABBISKO-B; 2157 LEPU BIO-B; 2561 VISEN PHARMA-B</t>
        </is>
      </c>
    </row>
    <row r="157">
      <c r="A157" s="16" t="inlineStr">
        <is>
          <t>LENS TECHNOLOGY (HK) CO., LIMITED</t>
        </is>
      </c>
      <c r="B157" s="89" t="n">
        <v>3</v>
      </c>
      <c r="C157" s="94" t="n">
        <v>33</v>
      </c>
      <c r="D157" s="95" t="n">
        <v>-0.3</v>
      </c>
      <c r="E157" s="95" t="n">
        <v>-12.3</v>
      </c>
      <c r="F157" s="95" t="n">
        <v>-15.5</v>
      </c>
      <c r="G157" s="95" t="n">
        <v>-9.199999999999999</v>
      </c>
      <c r="H157" s="95" t="n">
        <v>-12</v>
      </c>
      <c r="I157" s="95" t="n">
        <v>-15.3</v>
      </c>
      <c r="J157" s="95" t="n">
        <v>-9</v>
      </c>
      <c r="K157" s="96" t="inlineStr">
        <is>
          <t>2529 HOLLWIN URBAN; 2579 CNGR; 1187 COFOE MEDICAL</t>
        </is>
      </c>
    </row>
    <row r="158">
      <c r="A158" s="16" t="inlineStr">
        <is>
          <t>Main Source Capital Limited</t>
        </is>
      </c>
      <c r="B158" s="89" t="n">
        <v>3</v>
      </c>
      <c r="C158" s="94" t="n">
        <v>67</v>
      </c>
      <c r="D158" s="95" t="n">
        <v>-0.6</v>
      </c>
      <c r="E158" s="95" t="n">
        <v>-1.8</v>
      </c>
      <c r="F158" s="95" t="n">
        <v>-17.2</v>
      </c>
      <c r="G158" s="95" t="n">
        <v>-2.4</v>
      </c>
      <c r="H158" s="95" t="n">
        <v>-0.2</v>
      </c>
      <c r="I158" s="95" t="n">
        <v>-12.8</v>
      </c>
      <c r="J158" s="95" t="n">
        <v>13.8</v>
      </c>
      <c r="K158" s="96" t="inlineStr">
        <is>
          <t>9881 RONGTA TECH; 3378 HANXBIO-B; 2692 ZHAOWEI</t>
        </is>
      </c>
    </row>
    <row r="159">
      <c r="A159" s="16" t="inlineStr">
        <is>
          <t>NGS Super Pty Limited</t>
        </is>
      </c>
      <c r="B159" s="89" t="n">
        <v>3</v>
      </c>
      <c r="C159" s="94" t="n">
        <v>0</v>
      </c>
      <c r="D159" s="95" t="n">
        <v>-0.7</v>
      </c>
      <c r="E159" s="95" t="n">
        <v>9.300000000000001</v>
      </c>
      <c r="F159" s="95" t="n">
        <v>-1.7</v>
      </c>
      <c r="G159" s="95" t="n">
        <v>-28</v>
      </c>
      <c r="H159" s="95" t="n">
        <v>10.2</v>
      </c>
      <c r="I159" s="95" t="n">
        <v>-1</v>
      </c>
      <c r="J159" s="95" t="n">
        <v>-28</v>
      </c>
      <c r="K159" s="96" t="inlineStr">
        <is>
          <t>0600 AXERA; 2249 NEXCHIP; 3308 ZJ INNOLIGHT</t>
        </is>
      </c>
    </row>
    <row r="160">
      <c r="A160" s="16" t="inlineStr">
        <is>
          <t>SCC Growth VI Holdco F, Ltd</t>
        </is>
      </c>
      <c r="B160" s="89" t="n">
        <v>3</v>
      </c>
      <c r="C160" s="94" t="n">
        <v>67</v>
      </c>
      <c r="D160" s="95" t="n">
        <v>-1.2</v>
      </c>
      <c r="E160" s="95" t="n">
        <v>-3</v>
      </c>
      <c r="F160" s="95" t="n">
        <v>23.8</v>
      </c>
      <c r="G160" s="95" t="n">
        <v>5.8</v>
      </c>
      <c r="H160" s="95" t="n">
        <v>-1.9</v>
      </c>
      <c r="I160" s="95" t="n">
        <v>24.3</v>
      </c>
      <c r="J160" s="95" t="n">
        <v>7.3</v>
      </c>
      <c r="K160" s="96" t="inlineStr">
        <is>
          <t>6127 JOINN; 2137 BRII - B; 2179 RECBIO-B</t>
        </is>
      </c>
    </row>
    <row r="161">
      <c r="A161" s="16" t="inlineStr">
        <is>
          <t>Horizon Together Holding Ltd</t>
        </is>
      </c>
      <c r="B161" s="89" t="n">
        <v>3</v>
      </c>
      <c r="C161" s="94" t="n">
        <v>67</v>
      </c>
      <c r="D161" s="95" t="n">
        <v>-1.7</v>
      </c>
      <c r="E161" s="95" t="n">
        <v>-5</v>
      </c>
      <c r="F161" s="95" t="n">
        <v>-2</v>
      </c>
      <c r="G161" s="95" t="n">
        <v>17.4</v>
      </c>
      <c r="H161" s="95" t="n">
        <v>-2.7</v>
      </c>
      <c r="I161" s="95" t="n">
        <v>-2</v>
      </c>
      <c r="J161" s="95" t="n">
        <v>14.7</v>
      </c>
      <c r="K161" s="96" t="inlineStr">
        <is>
          <t>2431 MINIEYE; 9973 CHERY AUTO; 9609 HAIWEI ELEC</t>
        </is>
      </c>
    </row>
    <row r="162">
      <c r="A162" s="16" t="inlineStr">
        <is>
          <t>Alphahill Capital Limited</t>
        </is>
      </c>
      <c r="B162" s="89" t="n">
        <v>3</v>
      </c>
      <c r="C162" s="94" t="n">
        <v>33</v>
      </c>
      <c r="D162" s="95" t="n">
        <v>-2.1</v>
      </c>
      <c r="E162" s="95" t="n">
        <v>21.3</v>
      </c>
      <c r="F162" s="95" t="n">
        <v>-13.1</v>
      </c>
      <c r="G162" s="95" t="n">
        <v>64.3</v>
      </c>
      <c r="H162" s="95" t="n">
        <v>25.1</v>
      </c>
      <c r="I162" s="95" t="n">
        <v>-12.7</v>
      </c>
      <c r="J162" s="95" t="n">
        <v>54.3</v>
      </c>
      <c r="K162" s="96" t="inlineStr">
        <is>
          <t>9903 ILUVATAR COREX; 0600 AXERA; 3952 LAIFUAL</t>
        </is>
      </c>
    </row>
    <row r="163">
      <c r="A163" s="16" t="inlineStr">
        <is>
          <t>CRF Investment Holdings Company Limited</t>
        </is>
      </c>
      <c r="B163" s="89" t="n">
        <v>3</v>
      </c>
      <c r="C163" s="94" t="n">
        <v>33</v>
      </c>
      <c r="D163" s="95" t="n">
        <v>-2.5</v>
      </c>
      <c r="E163" s="95" t="n">
        <v>-4.1</v>
      </c>
      <c r="F163" s="95" t="n">
        <v>-21.5</v>
      </c>
      <c r="G163" s="95" t="n">
        <v>-9.4</v>
      </c>
      <c r="H163" s="95" t="n">
        <v>-1.9</v>
      </c>
      <c r="I163" s="95" t="n">
        <v>-18.9</v>
      </c>
      <c r="J163" s="95" t="n">
        <v>-6.5</v>
      </c>
      <c r="K163" s="96" t="inlineStr">
        <is>
          <t>2170 BASECARE-B; 6127 JOINN; 2561 VISEN PHARMA-B</t>
        </is>
      </c>
    </row>
    <row r="164">
      <c r="A164" s="16" t="inlineStr">
        <is>
          <t>China Galaxy International Investment Company Limited</t>
        </is>
      </c>
      <c r="B164" s="89" t="n">
        <v>3</v>
      </c>
      <c r="C164" s="94" t="n">
        <v>67</v>
      </c>
      <c r="D164" s="95" t="n">
        <v>-3.6</v>
      </c>
      <c r="E164" s="95" t="n">
        <v>-11.2</v>
      </c>
      <c r="F164" s="95" t="n">
        <v>-10.6</v>
      </c>
      <c r="G164" s="95" t="n">
        <v>-39.1</v>
      </c>
      <c r="H164" s="95" t="n">
        <v>-6.9</v>
      </c>
      <c r="I164" s="95" t="n">
        <v>-7.9</v>
      </c>
      <c r="J164" s="95" t="n">
        <v>-33.1</v>
      </c>
      <c r="K164" s="96" t="inlineStr">
        <is>
          <t>2408 XIAO NOODLES; 9611 LONGCHEER; 2677 DISTINCT HEALTH</t>
        </is>
      </c>
    </row>
    <row r="165">
      <c r="A165" s="16" t="inlineStr">
        <is>
          <t>Hel Ved Master Fund</t>
        </is>
      </c>
      <c r="B165" s="89" t="n">
        <v>3</v>
      </c>
      <c r="C165" s="94" t="n">
        <v>0</v>
      </c>
      <c r="D165" s="95" t="n">
        <v>-3.7</v>
      </c>
      <c r="E165" s="95" t="n">
        <v>2.6</v>
      </c>
      <c r="F165" s="95" t="n">
        <v>-8.300000000000001</v>
      </c>
      <c r="G165" s="95" t="n">
        <v>-26.7</v>
      </c>
      <c r="H165" s="95" t="n">
        <v>5.9</v>
      </c>
      <c r="I165" s="95" t="n">
        <v>-4.9</v>
      </c>
      <c r="J165" s="95" t="n">
        <v>-22.9</v>
      </c>
      <c r="K165" s="96" t="inlineStr">
        <is>
          <t>2026 PONY-W; 0600 AXERA; 1377 DTECH</t>
        </is>
      </c>
    </row>
    <row r="166">
      <c r="A166" s="16" t="inlineStr">
        <is>
          <t>SCGC Capital Holding Company Limited</t>
        </is>
      </c>
      <c r="B166" s="89" t="n">
        <v>3</v>
      </c>
      <c r="C166" s="94" t="n">
        <v>67</v>
      </c>
      <c r="D166" s="95" t="n">
        <v>-10.2</v>
      </c>
      <c r="E166" s="95" t="n">
        <v>-14.9</v>
      </c>
      <c r="F166" s="95" t="n">
        <v>-18.4</v>
      </c>
      <c r="G166" s="95" t="n">
        <v>-12.9</v>
      </c>
      <c r="H166" s="95" t="n">
        <v>-5.5</v>
      </c>
      <c r="I166" s="95" t="n">
        <v>-10</v>
      </c>
      <c r="J166" s="95" t="n">
        <v>0.1</v>
      </c>
      <c r="K166" s="96" t="inlineStr">
        <is>
          <t>6668 E-STAR CM; 2560 CONCH MAT TECH; 3355 FS.COM</t>
        </is>
      </c>
    </row>
    <row r="167">
      <c r="A167" s="16" t="inlineStr">
        <is>
          <t>Wong Cheuk Tim, Timothy</t>
        </is>
      </c>
      <c r="B167" s="89" t="n">
        <v>3</v>
      </c>
      <c r="C167" s="94" t="n">
        <v>0</v>
      </c>
      <c r="D167" s="95" t="n">
        <v>-12.8</v>
      </c>
      <c r="E167" s="95" t="n">
        <v>-20.7</v>
      </c>
      <c r="F167" s="95" t="n">
        <v>-19.8</v>
      </c>
      <c r="G167" s="95" t="n">
        <v>-25</v>
      </c>
      <c r="H167" s="95" t="n">
        <v>-9.199999999999999</v>
      </c>
      <c r="I167" s="95" t="n">
        <v>-9.1</v>
      </c>
      <c r="J167" s="95" t="n">
        <v>-16.1</v>
      </c>
      <c r="K167" s="96" t="inlineStr">
        <is>
          <t>2350 MTT GROUP; 1497 YAN PALACE; 2519 AUGROUP</t>
        </is>
      </c>
    </row>
    <row r="168">
      <c r="A168" s="16" t="inlineStr">
        <is>
          <t>Yangtze River (Hong Kong) Limited</t>
        </is>
      </c>
      <c r="B168" s="89" t="n">
        <v>3</v>
      </c>
      <c r="C168" s="94" t="n">
        <v>33</v>
      </c>
      <c r="D168" s="95" t="n">
        <v>-17.3</v>
      </c>
      <c r="E168" s="95" t="n">
        <v>-15.5</v>
      </c>
      <c r="F168" s="95" t="n">
        <v>-26.8</v>
      </c>
      <c r="G168" s="95" t="n">
        <v>-22.2</v>
      </c>
      <c r="H168" s="95" t="n">
        <v>1.6</v>
      </c>
      <c r="I168" s="95" t="n">
        <v>-10.4</v>
      </c>
      <c r="J168" s="95" t="n">
        <v>6.2</v>
      </c>
      <c r="K168" s="96" t="inlineStr">
        <is>
          <t>2179 RECBIO-B; 9955 CLOUDR; 3378 HANXBIO-B</t>
        </is>
      </c>
    </row>
    <row r="169">
      <c r="A169" s="16" t="inlineStr">
        <is>
          <t>Gotion High-Tech (HK)</t>
        </is>
      </c>
      <c r="B169" s="89" t="n">
        <v>3</v>
      </c>
      <c r="C169" s="94" t="n">
        <v>33</v>
      </c>
      <c r="D169" s="95" t="n">
        <v>-19.3</v>
      </c>
      <c r="E169" s="95" t="n">
        <v>-21.4</v>
      </c>
      <c r="F169" s="95" t="n">
        <v>-17.3</v>
      </c>
      <c r="G169" s="95" t="n">
        <v>-5.4</v>
      </c>
      <c r="H169" s="95" t="n">
        <v>-3.4</v>
      </c>
      <c r="I169" s="95" t="n">
        <v>0.5</v>
      </c>
      <c r="J169" s="95" t="n">
        <v>18</v>
      </c>
      <c r="K169" s="96" t="inlineStr">
        <is>
          <t>2560 CONCH MAT TECH; 2643 CAOCAO INC; 9973 CHERY AUTO</t>
        </is>
      </c>
    </row>
    <row r="170">
      <c r="A170" s="16" t="inlineStr">
        <is>
          <t>June Star Global Limited</t>
        </is>
      </c>
      <c r="B170" s="89" t="n">
        <v>2</v>
      </c>
      <c r="C170" s="94" t="n">
        <v>100</v>
      </c>
      <c r="D170" s="95" t="n">
        <v>192.6</v>
      </c>
      <c r="E170" s="95" t="n">
        <v>175.3</v>
      </c>
      <c r="F170" s="95" t="n">
        <v>192.8</v>
      </c>
      <c r="G170" s="95" t="n">
        <v>124.8</v>
      </c>
      <c r="H170" s="95" t="n">
        <v>-5.8</v>
      </c>
      <c r="I170" s="95" t="n">
        <v>1.2</v>
      </c>
      <c r="J170" s="95" t="n">
        <v>-22.4</v>
      </c>
      <c r="K170" s="96" t="inlineStr">
        <is>
          <t>2591 INNOGEN-B; 6872 TENNOR THERAP-B</t>
        </is>
      </c>
    </row>
    <row r="171">
      <c r="A171" s="16" t="inlineStr">
        <is>
          <t>LC Logistics, Inc</t>
        </is>
      </c>
      <c r="B171" s="89" t="n">
        <v>2</v>
      </c>
      <c r="C171" s="94" t="n">
        <v>50</v>
      </c>
      <c r="D171" s="95" t="n">
        <v>115.4</v>
      </c>
      <c r="E171" s="95" t="n">
        <v>138</v>
      </c>
      <c r="F171" s="95" t="n">
        <v>92.7</v>
      </c>
      <c r="G171" s="95" t="n">
        <v>54.2</v>
      </c>
      <c r="H171" s="95" t="n">
        <v>1.8</v>
      </c>
      <c r="I171" s="95" t="n">
        <v>-9.9</v>
      </c>
      <c r="J171" s="95" t="n">
        <v>-23.1</v>
      </c>
      <c r="K171" s="96" t="inlineStr">
        <is>
          <t>2519 AUGROUP; 2706 HAIZHI TECH GP</t>
        </is>
      </c>
    </row>
    <row r="172">
      <c r="A172" s="16" t="inlineStr">
        <is>
          <t>Top Vast (Hong Kong) Limited</t>
        </is>
      </c>
      <c r="B172" s="89" t="n">
        <v>2</v>
      </c>
      <c r="C172" s="94" t="n">
        <v>50</v>
      </c>
      <c r="D172" s="95" t="n">
        <v>94</v>
      </c>
      <c r="E172" s="95" t="n">
        <v>112.1</v>
      </c>
      <c r="F172" s="95" t="n">
        <v>128.7</v>
      </c>
      <c r="G172" s="95" t="n">
        <v>-19.6</v>
      </c>
      <c r="H172" s="95" t="n">
        <v>7.6</v>
      </c>
      <c r="I172" s="95" t="n">
        <v>6.4</v>
      </c>
      <c r="J172" s="95" t="n">
        <v>-14.8</v>
      </c>
      <c r="K172" s="96" t="inlineStr">
        <is>
          <t>6639 ARRAIL GROUP; 6658 LIULIUMEI</t>
        </is>
      </c>
    </row>
    <row r="173">
      <c r="A173" s="16" t="inlineStr">
        <is>
          <t>MPC VII Pte. Ltd</t>
        </is>
      </c>
      <c r="B173" s="89" t="n">
        <v>2</v>
      </c>
      <c r="C173" s="94" t="n">
        <v>100</v>
      </c>
      <c r="D173" s="95" t="n">
        <v>83.7</v>
      </c>
      <c r="E173" s="95" t="n">
        <v>91.5</v>
      </c>
      <c r="F173" s="95" t="n">
        <v>100.5</v>
      </c>
      <c r="G173" s="95" t="n">
        <v>215.9</v>
      </c>
      <c r="H173" s="95" t="n">
        <v>0.6</v>
      </c>
      <c r="I173" s="95" t="n">
        <v>2.7</v>
      </c>
      <c r="J173" s="95" t="n">
        <v>57.7</v>
      </c>
      <c r="K173" s="96" t="inlineStr">
        <is>
          <t>2549 CAROTE LTD; 0100 MINIMAX-WP</t>
        </is>
      </c>
    </row>
    <row r="174">
      <c r="A174" s="16" t="inlineStr">
        <is>
          <t>Sunny Festive Limited</t>
        </is>
      </c>
      <c r="B174" s="89" t="n">
        <v>2</v>
      </c>
      <c r="C174" s="94" t="n">
        <v>50</v>
      </c>
      <c r="D174" s="95" t="n">
        <v>78.09999999999999</v>
      </c>
      <c r="E174" s="95" t="n">
        <v>122.7</v>
      </c>
      <c r="F174" s="95" t="n">
        <v>52.3</v>
      </c>
      <c r="G174" s="95" t="n">
        <v>105.4</v>
      </c>
      <c r="H174" s="95" t="n">
        <v>16.9</v>
      </c>
      <c r="I174" s="95" t="n">
        <v>-20.7</v>
      </c>
      <c r="J174" s="95" t="n">
        <v>-21.3</v>
      </c>
      <c r="K174" s="96" t="inlineStr">
        <is>
          <t>1024 KUAISHOU-W; 1688 LINGYI ITECH</t>
        </is>
      </c>
    </row>
    <row r="175">
      <c r="A175" s="16" t="inlineStr">
        <is>
          <t>Velmar Company Limited</t>
        </is>
      </c>
      <c r="B175" s="89" t="n">
        <v>2</v>
      </c>
      <c r="C175" s="94" t="n">
        <v>100</v>
      </c>
      <c r="D175" s="95" t="n">
        <v>74.7</v>
      </c>
      <c r="E175" s="95" t="n">
        <v>68.3</v>
      </c>
      <c r="F175" s="95" t="n">
        <v>61.1</v>
      </c>
      <c r="G175" s="95" t="n">
        <v>13.2</v>
      </c>
      <c r="H175" s="95" t="n">
        <v>-2.8</v>
      </c>
      <c r="I175" s="95" t="n">
        <v>-10</v>
      </c>
      <c r="J175" s="95" t="n">
        <v>-28.9</v>
      </c>
      <c r="K175" s="96" t="inlineStr">
        <is>
          <t>2158 YIDU TECH; 9980 EASTROC</t>
        </is>
      </c>
    </row>
    <row r="176">
      <c r="A176" s="16" t="inlineStr">
        <is>
          <t>Cormorant Asset Management, LP</t>
        </is>
      </c>
      <c r="B176" s="89" t="n">
        <v>2</v>
      </c>
      <c r="C176" s="94" t="n">
        <v>100</v>
      </c>
      <c r="D176" s="95" t="n">
        <v>72</v>
      </c>
      <c r="E176" s="95" t="n">
        <v>29.3</v>
      </c>
      <c r="F176" s="95" t="n">
        <v>14.1</v>
      </c>
      <c r="G176" s="95" t="n">
        <v>-1.6</v>
      </c>
      <c r="H176" s="95" t="n">
        <v>-22.2</v>
      </c>
      <c r="I176" s="95" t="n">
        <v>-32</v>
      </c>
      <c r="J176" s="95" t="n">
        <v>-30</v>
      </c>
      <c r="K176" s="96" t="inlineStr">
        <is>
          <t>2190 ZYLOXTB-B; 9637 ALEBUND-B</t>
        </is>
      </c>
    </row>
    <row r="177">
      <c r="A177" s="16" t="inlineStr">
        <is>
          <t>The Biotech Growth Trust PLC</t>
        </is>
      </c>
      <c r="B177" s="89" t="n">
        <v>2</v>
      </c>
      <c r="C177" s="94" t="n">
        <v>100</v>
      </c>
      <c r="D177" s="95" t="n">
        <v>71.8</v>
      </c>
      <c r="E177" s="95" t="n">
        <v>68.59999999999999</v>
      </c>
      <c r="F177" s="95" t="n">
        <v>14.5</v>
      </c>
      <c r="G177" s="95" t="n">
        <v>25.8</v>
      </c>
      <c r="H177" s="95" t="n">
        <v>-0</v>
      </c>
      <c r="I177" s="95" t="n">
        <v>-32.4</v>
      </c>
      <c r="J177" s="95" t="n">
        <v>-39.1</v>
      </c>
      <c r="K177" s="96" t="inlineStr">
        <is>
          <t>2595 GENFLEET-B; 1779 LONGBIO-B</t>
        </is>
      </c>
    </row>
    <row r="178">
      <c r="A178" s="16" t="inlineStr">
        <is>
          <t>KCH International Investment Limited</t>
        </is>
      </c>
      <c r="B178" s="89" t="n">
        <v>2</v>
      </c>
      <c r="C178" s="94" t="n">
        <v>100</v>
      </c>
      <c r="D178" s="95" t="n">
        <v>70.90000000000001</v>
      </c>
      <c r="E178" s="95" t="n">
        <v>29.8</v>
      </c>
      <c r="F178" s="95" t="n">
        <v>38.9</v>
      </c>
      <c r="G178" s="95" t="n">
        <v>68.59999999999999</v>
      </c>
      <c r="H178" s="95" t="n">
        <v>-20.5</v>
      </c>
      <c r="I178" s="95" t="n">
        <v>-12.1</v>
      </c>
      <c r="J178" s="95" t="n">
        <v>15.3</v>
      </c>
      <c r="K178" s="96" t="inlineStr">
        <is>
          <t>2431 MINIEYE; 1236 LDROBOT</t>
        </is>
      </c>
    </row>
    <row r="179">
      <c r="A179" s="16" t="inlineStr">
        <is>
          <t>Hua Yuan International Limited</t>
        </is>
      </c>
      <c r="B179" s="89" t="n">
        <v>2</v>
      </c>
      <c r="C179" s="94" t="n">
        <v>50</v>
      </c>
      <c r="D179" s="95" t="n">
        <v>70.7</v>
      </c>
      <c r="E179" s="95" t="n">
        <v>61.3</v>
      </c>
      <c r="F179" s="95" t="n">
        <v>101.6</v>
      </c>
      <c r="G179" s="95" t="n">
        <v>165</v>
      </c>
      <c r="H179" s="95" t="n">
        <v>-7.7</v>
      </c>
      <c r="I179" s="95" t="n">
        <v>6.3</v>
      </c>
      <c r="J179" s="95" t="n">
        <v>-4.9</v>
      </c>
      <c r="K179" s="96" t="inlineStr">
        <is>
          <t>6872 TENNOR THERAP-B; 0537 RIGOL</t>
        </is>
      </c>
    </row>
    <row r="180">
      <c r="A180" s="16" t="inlineStr">
        <is>
          <t>Oakwise Growth Fund SPC – Global Select Opportunities Fund SP</t>
        </is>
      </c>
      <c r="B180" s="89" t="n">
        <v>2</v>
      </c>
      <c r="C180" s="94" t="n">
        <v>100</v>
      </c>
      <c r="D180" s="95" t="n">
        <v>64.8</v>
      </c>
      <c r="E180" s="95" t="n">
        <v>58.6</v>
      </c>
      <c r="F180" s="95" t="n">
        <v>1.3</v>
      </c>
      <c r="G180" s="95" t="n">
        <v>-13.1</v>
      </c>
      <c r="H180" s="95" t="n">
        <v>-0.3</v>
      </c>
      <c r="I180" s="95" t="n">
        <v>-30.6</v>
      </c>
      <c r="J180" s="95" t="n">
        <v>-15.1</v>
      </c>
      <c r="K180" s="96" t="inlineStr">
        <is>
          <t>2692 ZHAOWEI; 6675 SENASIC</t>
        </is>
      </c>
    </row>
    <row r="181">
      <c r="A181" s="16" t="inlineStr">
        <is>
          <t>CR Alpha Investment II Limited</t>
        </is>
      </c>
      <c r="B181" s="89" t="n">
        <v>2</v>
      </c>
      <c r="C181" s="94" t="n">
        <v>50</v>
      </c>
      <c r="D181" s="95" t="n">
        <v>63.8</v>
      </c>
      <c r="E181" s="95" t="n">
        <v>127.3</v>
      </c>
      <c r="F181" s="95" t="n">
        <v>65.7</v>
      </c>
      <c r="G181" s="95" t="n">
        <v>-9.300000000000001</v>
      </c>
      <c r="H181" s="95" t="n">
        <v>25</v>
      </c>
      <c r="I181" s="95" t="n">
        <v>2.8</v>
      </c>
      <c r="J181" s="95" t="n">
        <v>-37.2</v>
      </c>
      <c r="K181" s="96" t="inlineStr">
        <is>
          <t>6680 JLMAG; 0068 MANYCORE TECH</t>
        </is>
      </c>
    </row>
    <row r="182">
      <c r="A182" s="16" t="inlineStr">
        <is>
          <t>Abstract Enigma Limited</t>
        </is>
      </c>
      <c r="B182" s="89" t="n">
        <v>2</v>
      </c>
      <c r="C182" s="94" t="n">
        <v>100</v>
      </c>
      <c r="D182" s="95" t="n">
        <v>62.8</v>
      </c>
      <c r="E182" s="95" t="n">
        <v>91.5</v>
      </c>
      <c r="F182" s="95" t="n">
        <v>114.3</v>
      </c>
      <c r="G182" s="95" t="n">
        <v>251.6</v>
      </c>
      <c r="H182" s="95" t="n">
        <v>13.9</v>
      </c>
      <c r="I182" s="95" t="n">
        <v>24.7</v>
      </c>
      <c r="J182" s="95" t="n">
        <v>98.09999999999999</v>
      </c>
      <c r="K182" s="96" t="inlineStr">
        <is>
          <t>3750 CATL; 0100 MINIMAX-WP</t>
        </is>
      </c>
    </row>
    <row r="183">
      <c r="A183" s="16" t="inlineStr">
        <is>
          <t>Huangshan City Investment Private Equity Fund Management Co., Ltd</t>
        </is>
      </c>
      <c r="B183" s="89" t="n">
        <v>2</v>
      </c>
      <c r="C183" s="94" t="n">
        <v>100</v>
      </c>
      <c r="D183" s="95" t="n">
        <v>58.3</v>
      </c>
      <c r="E183" s="95" t="n">
        <v>67</v>
      </c>
      <c r="F183" s="95" t="n">
        <v>46.6</v>
      </c>
      <c r="G183" s="95" t="n">
        <v>42.8</v>
      </c>
      <c r="H183" s="95" t="n">
        <v>3.4</v>
      </c>
      <c r="I183" s="95" t="n">
        <v>-12.1</v>
      </c>
      <c r="J183" s="95" t="n">
        <v>-13.3</v>
      </c>
      <c r="K183" s="96" t="inlineStr">
        <is>
          <t>1334 RUICHANG INTL; 2720 RIDGE OUTDOOR</t>
        </is>
      </c>
    </row>
    <row r="184">
      <c r="A184" s="16" t="inlineStr">
        <is>
          <t>Alisoft China Holding Limited</t>
        </is>
      </c>
      <c r="B184" s="89" t="n">
        <v>2</v>
      </c>
      <c r="C184" s="94" t="n">
        <v>100</v>
      </c>
      <c r="D184" s="95" t="n">
        <v>55.9</v>
      </c>
      <c r="E184" s="95" t="n">
        <v>92.5</v>
      </c>
      <c r="F184" s="95" t="n">
        <v>103.7</v>
      </c>
      <c r="G184" s="95" t="n">
        <v>227.9</v>
      </c>
      <c r="H184" s="95" t="n">
        <v>21.6</v>
      </c>
      <c r="I184" s="95" t="n">
        <v>21</v>
      </c>
      <c r="J184" s="95" t="n">
        <v>84</v>
      </c>
      <c r="K184" s="96" t="inlineStr">
        <is>
          <t>9660 HORIZONROBOT-W; 0100 MINIMAX-WP</t>
        </is>
      </c>
    </row>
    <row r="185">
      <c r="A185" s="16" t="inlineStr">
        <is>
          <t>QuantumPharm Limited</t>
        </is>
      </c>
      <c r="B185" s="89" t="n">
        <v>2</v>
      </c>
      <c r="C185" s="94" t="n">
        <v>100</v>
      </c>
      <c r="D185" s="95" t="n">
        <v>54.6</v>
      </c>
      <c r="E185" s="95" t="n">
        <v>28.9</v>
      </c>
      <c r="F185" s="95" t="n">
        <v>25.4</v>
      </c>
      <c r="G185" s="95" t="n">
        <v>40.5</v>
      </c>
      <c r="H185" s="95" t="n">
        <v>-13</v>
      </c>
      <c r="I185" s="95" t="n">
        <v>-13.6</v>
      </c>
      <c r="J185" s="95" t="n">
        <v>-6.8</v>
      </c>
      <c r="K185" s="96" t="inlineStr">
        <is>
          <t>2315 BIOCYTOGEN-B; 2718 MININGLAMP-W</t>
        </is>
      </c>
    </row>
    <row r="186">
      <c r="A186" s="16" t="inlineStr">
        <is>
          <t>Montage Technology Holdings Company Limited</t>
        </is>
      </c>
      <c r="B186" s="89" t="n">
        <v>2</v>
      </c>
      <c r="C186" s="94" t="n">
        <v>100</v>
      </c>
      <c r="D186" s="95" t="n">
        <v>54.5</v>
      </c>
      <c r="E186" s="95" t="n">
        <v>26.1</v>
      </c>
      <c r="F186" s="95" t="n">
        <v>11.9</v>
      </c>
      <c r="G186" s="95" t="n">
        <v>-10.8</v>
      </c>
      <c r="H186" s="95" t="n">
        <v>-15.8</v>
      </c>
      <c r="I186" s="95" t="n">
        <v>-23.6</v>
      </c>
      <c r="J186" s="95" t="n">
        <v>-15.2</v>
      </c>
      <c r="K186" s="96" t="inlineStr">
        <is>
          <t>6682 FOURTH PARADIGM; 9630 CFMEE</t>
        </is>
      </c>
    </row>
    <row r="187">
      <c r="A187" s="16" t="inlineStr">
        <is>
          <t>Charoen Pokphand Foods (CPF)</t>
        </is>
      </c>
      <c r="B187" s="89" t="n">
        <v>2</v>
      </c>
      <c r="C187" s="94" t="n">
        <v>100</v>
      </c>
      <c r="D187" s="95" t="n">
        <v>53.7</v>
      </c>
      <c r="E187" s="95" t="n">
        <v>37.1</v>
      </c>
      <c r="F187" s="95" t="n">
        <v>42</v>
      </c>
      <c r="G187" s="95" t="n">
        <v>-7</v>
      </c>
      <c r="H187" s="95" t="n">
        <v>-8.9</v>
      </c>
      <c r="I187" s="95" t="n">
        <v>-2</v>
      </c>
      <c r="J187" s="95" t="n">
        <v>-30.6</v>
      </c>
      <c r="K187" s="96" t="inlineStr">
        <is>
          <t>2714 MUYUAN; 6656 SIGENERGY</t>
        </is>
      </c>
    </row>
    <row r="188">
      <c r="A188" s="16" t="inlineStr">
        <is>
          <t>Prosper High Holding Limited</t>
        </is>
      </c>
      <c r="B188" s="89" t="n">
        <v>2</v>
      </c>
      <c r="C188" s="94" t="n">
        <v>50</v>
      </c>
      <c r="D188" s="95" t="n">
        <v>53.4</v>
      </c>
      <c r="E188" s="95" t="n">
        <v>40.5</v>
      </c>
      <c r="F188" s="95" t="n">
        <v>40.6</v>
      </c>
      <c r="G188" s="95" t="n">
        <v>-39.8</v>
      </c>
      <c r="H188" s="95" t="n">
        <v>-7.1</v>
      </c>
      <c r="I188" s="95" t="n">
        <v>-5.7</v>
      </c>
      <c r="J188" s="95" t="n">
        <v>-71.09999999999999</v>
      </c>
      <c r="K188" s="96" t="inlineStr">
        <is>
          <t>7630 IMPACT THERAP-B; 2475 LUXSHARE ICT</t>
        </is>
      </c>
    </row>
    <row r="189">
      <c r="A189" s="16" t="inlineStr">
        <is>
          <t>Victory Giant Technology Holdings (Hong Kong) Limited</t>
        </is>
      </c>
      <c r="B189" s="89" t="n">
        <v>2</v>
      </c>
      <c r="C189" s="94" t="n">
        <v>50</v>
      </c>
      <c r="D189" s="95" t="n">
        <v>51</v>
      </c>
      <c r="E189" s="95" t="n">
        <v>32.5</v>
      </c>
      <c r="F189" s="95" t="n">
        <v>16.4</v>
      </c>
      <c r="G189" s="95" t="n"/>
      <c r="H189" s="95" t="n">
        <v>-6</v>
      </c>
      <c r="I189" s="95" t="n">
        <v>-15.8</v>
      </c>
      <c r="J189" s="95" t="n"/>
      <c r="K189" s="96" t="inlineStr">
        <is>
          <t>9630 CFMEE; 1377 DTECH</t>
        </is>
      </c>
    </row>
    <row r="190">
      <c r="A190" s="16" t="inlineStr">
        <is>
          <t>Seraphim Advantage Inc</t>
        </is>
      </c>
      <c r="B190" s="89" t="n">
        <v>2</v>
      </c>
      <c r="C190" s="94" t="n">
        <v>100</v>
      </c>
      <c r="D190" s="95" t="n">
        <v>50.8</v>
      </c>
      <c r="E190" s="95" t="n">
        <v>75.90000000000001</v>
      </c>
      <c r="F190" s="95" t="n">
        <v>79.7</v>
      </c>
      <c r="G190" s="95" t="n">
        <v>175.9</v>
      </c>
      <c r="H190" s="95" t="n">
        <v>17.8</v>
      </c>
      <c r="I190" s="95" t="n">
        <v>20.7</v>
      </c>
      <c r="J190" s="95" t="n">
        <v>77.40000000000001</v>
      </c>
      <c r="K190" s="96" t="inlineStr">
        <is>
          <t>1318 MAO GEPING; 6168 ZHOU LIU FU</t>
        </is>
      </c>
    </row>
    <row r="191">
      <c r="A191" s="16" t="inlineStr">
        <is>
          <t>HQ TELECOM SINGAPORE PTE. LTD</t>
        </is>
      </c>
      <c r="B191" s="89" t="n">
        <v>2</v>
      </c>
      <c r="C191" s="94" t="n">
        <v>100</v>
      </c>
      <c r="D191" s="95" t="n">
        <v>48.6</v>
      </c>
      <c r="E191" s="95" t="n">
        <v>40.4</v>
      </c>
      <c r="F191" s="95" t="n">
        <v>34.9</v>
      </c>
      <c r="G191" s="95" t="n">
        <v>9.6</v>
      </c>
      <c r="H191" s="95" t="n">
        <v>-5.5</v>
      </c>
      <c r="I191" s="95" t="n">
        <v>-9.4</v>
      </c>
      <c r="J191" s="95" t="n">
        <v>-27</v>
      </c>
      <c r="K191" s="96" t="inlineStr">
        <is>
          <t>2476 VGT; 3661 SG MICRO</t>
        </is>
      </c>
    </row>
    <row r="192">
      <c r="A192" s="16" t="inlineStr">
        <is>
          <t>First Seafront Fund Series SPC</t>
        </is>
      </c>
      <c r="B192" s="89" t="n">
        <v>2</v>
      </c>
      <c r="C192" s="94" t="n">
        <v>100</v>
      </c>
      <c r="D192" s="95" t="n">
        <v>47.8</v>
      </c>
      <c r="E192" s="95" t="n">
        <v>28.6</v>
      </c>
      <c r="F192" s="95" t="n">
        <v>17.1</v>
      </c>
      <c r="G192" s="95" t="n">
        <v>43.8</v>
      </c>
      <c r="H192" s="95" t="n">
        <v>-7.6</v>
      </c>
      <c r="I192" s="95" t="n">
        <v>-12.8</v>
      </c>
      <c r="J192" s="95" t="n">
        <v>28.9</v>
      </c>
      <c r="K192" s="96" t="inlineStr">
        <is>
          <t>2768 GON TECHNOLOGY; 1956 WENGE AI</t>
        </is>
      </c>
    </row>
    <row r="193">
      <c r="A193" s="16" t="inlineStr">
        <is>
          <t>Gaoling Fund, L.P.</t>
        </is>
      </c>
      <c r="B193" s="89" t="n">
        <v>2</v>
      </c>
      <c r="C193" s="94" t="n">
        <v>100</v>
      </c>
      <c r="D193" s="95" t="n">
        <v>47.4</v>
      </c>
      <c r="E193" s="95" t="n">
        <v>44.6</v>
      </c>
      <c r="F193" s="95" t="n">
        <v>19.1</v>
      </c>
      <c r="G193" s="95" t="n">
        <v>12.9</v>
      </c>
      <c r="H193" s="95" t="n">
        <v>-2.2</v>
      </c>
      <c r="I193" s="95" t="n">
        <v>-19.4</v>
      </c>
      <c r="J193" s="95" t="n">
        <v>-23.7</v>
      </c>
      <c r="K193" s="96" t="inlineStr">
        <is>
          <t>2160 CARDIOFLOW-B; 2190 ZYLOXTB-B</t>
        </is>
      </c>
    </row>
    <row r="194">
      <c r="A194" s="16" t="inlineStr">
        <is>
          <t>Sparky International Company Limited</t>
        </is>
      </c>
      <c r="B194" s="89" t="n">
        <v>2</v>
      </c>
      <c r="C194" s="94" t="n">
        <v>50</v>
      </c>
      <c r="D194" s="95" t="n">
        <v>45.3</v>
      </c>
      <c r="E194" s="95" t="n">
        <v>55.7</v>
      </c>
      <c r="F194" s="95" t="n">
        <v>105.8</v>
      </c>
      <c r="G194" s="95" t="n">
        <v>161.6</v>
      </c>
      <c r="H194" s="95" t="n">
        <v>5.9</v>
      </c>
      <c r="I194" s="95" t="n">
        <v>37.8</v>
      </c>
      <c r="J194" s="95" t="n">
        <v>87.3</v>
      </c>
      <c r="K194" s="96" t="inlineStr">
        <is>
          <t>6693 CHIFENG GOLD; 2546 ZHIHUI MINING</t>
        </is>
      </c>
    </row>
    <row r="195">
      <c r="A195" s="16" t="inlineStr">
        <is>
          <t>Golden Valley Global Limited</t>
        </is>
      </c>
      <c r="B195" s="89" t="n">
        <v>2</v>
      </c>
      <c r="C195" s="94" t="n">
        <v>50</v>
      </c>
      <c r="D195" s="95" t="n">
        <v>44.4</v>
      </c>
      <c r="E195" s="95" t="n">
        <v>-1.5</v>
      </c>
      <c r="F195" s="95" t="n">
        <v>-0.7</v>
      </c>
      <c r="G195" s="95" t="n">
        <v>-52.4</v>
      </c>
      <c r="H195" s="95" t="n">
        <v>-28.5</v>
      </c>
      <c r="I195" s="95" t="n">
        <v>-24.3</v>
      </c>
      <c r="J195" s="95" t="n">
        <v>-44.1</v>
      </c>
      <c r="K195" s="96" t="inlineStr">
        <is>
          <t>6622 ZHAOKE OPHTH-B; 9637 ALEBUND-B</t>
        </is>
      </c>
    </row>
    <row r="196">
      <c r="A196" s="16" t="inlineStr">
        <is>
          <t>CMBC INTERNATIONAL INVESTMENT (HK) LIMITED</t>
        </is>
      </c>
      <c r="B196" s="89" t="n">
        <v>2</v>
      </c>
      <c r="C196" s="94" t="n">
        <v>100</v>
      </c>
      <c r="D196" s="95" t="n">
        <v>43.2</v>
      </c>
      <c r="E196" s="95" t="n">
        <v>20.7</v>
      </c>
      <c r="F196" s="95" t="n">
        <v>-3.2</v>
      </c>
      <c r="G196" s="95" t="n">
        <v>-13.1</v>
      </c>
      <c r="H196" s="95" t="n">
        <v>-10.3</v>
      </c>
      <c r="I196" s="95" t="n">
        <v>-27.4</v>
      </c>
      <c r="J196" s="95" t="n">
        <v>-15.1</v>
      </c>
      <c r="K196" s="96" t="inlineStr">
        <is>
          <t>2692 ZHAOWEI; 1956 WENGE AI</t>
        </is>
      </c>
    </row>
    <row r="197">
      <c r="A197" s="16" t="inlineStr">
        <is>
          <t>Kunming Jiashiqing Investment Partnership (Limited Partnership)</t>
        </is>
      </c>
      <c r="B197" s="89" t="n">
        <v>2</v>
      </c>
      <c r="C197" s="94" t="n">
        <v>100</v>
      </c>
      <c r="D197" s="95" t="n">
        <v>35.8</v>
      </c>
      <c r="E197" s="95" t="n">
        <v>38.2</v>
      </c>
      <c r="F197" s="95" t="n">
        <v>28.7</v>
      </c>
      <c r="G197" s="95" t="n">
        <v>40.5</v>
      </c>
      <c r="H197" s="95" t="n">
        <v>1.7</v>
      </c>
      <c r="I197" s="95" t="n">
        <v>-5.3</v>
      </c>
      <c r="J197" s="95" t="n">
        <v>3.4</v>
      </c>
      <c r="K197" s="96" t="inlineStr">
        <is>
          <t>2257 SIRNAOMICS-B; 2373 BEAUTYFARM MED</t>
        </is>
      </c>
    </row>
    <row r="198">
      <c r="A198" s="16" t="inlineStr">
        <is>
          <t>Changsha Xunmang</t>
        </is>
      </c>
      <c r="B198" s="89" t="n">
        <v>2</v>
      </c>
      <c r="C198" s="94" t="n">
        <v>50</v>
      </c>
      <c r="D198" s="95" t="n">
        <v>34</v>
      </c>
      <c r="E198" s="95" t="n">
        <v>31.1</v>
      </c>
      <c r="F198" s="95" t="n">
        <v>24.5</v>
      </c>
      <c r="G198" s="95" t="n">
        <v>33.2</v>
      </c>
      <c r="H198" s="95" t="n">
        <v>-2.9</v>
      </c>
      <c r="I198" s="95" t="n">
        <v>-8.699999999999999</v>
      </c>
      <c r="J198" s="95" t="n">
        <v>-4</v>
      </c>
      <c r="K198" s="96" t="inlineStr">
        <is>
          <t>1768 BUSYMING; 1187 COFOE MEDICAL</t>
        </is>
      </c>
    </row>
    <row r="199">
      <c r="A199" s="16" t="inlineStr">
        <is>
          <t>Springs Capital (Hong Kong) Limited</t>
        </is>
      </c>
      <c r="B199" s="89" t="n">
        <v>2</v>
      </c>
      <c r="C199" s="94" t="n">
        <v>100</v>
      </c>
      <c r="D199" s="95" t="n">
        <v>32.1</v>
      </c>
      <c r="E199" s="95" t="n">
        <v>20.5</v>
      </c>
      <c r="F199" s="95" t="n">
        <v>3</v>
      </c>
      <c r="G199" s="95" t="n">
        <v>14.6</v>
      </c>
      <c r="H199" s="95" t="n">
        <v>-8.800000000000001</v>
      </c>
      <c r="I199" s="95" t="n">
        <v>-22.4</v>
      </c>
      <c r="J199" s="95" t="n">
        <v>-19.1</v>
      </c>
      <c r="K199" s="96" t="inlineStr">
        <is>
          <t>6938 RIBOLIFE-B; 6067 SENIOR MATERIAL</t>
        </is>
      </c>
    </row>
    <row r="200">
      <c r="A200" s="16" t="inlineStr">
        <is>
          <t>Nova Kerry Inc</t>
        </is>
      </c>
      <c r="B200" s="89" t="n">
        <v>2</v>
      </c>
      <c r="C200" s="94" t="n">
        <v>100</v>
      </c>
      <c r="D200" s="95" t="n">
        <v>27.7</v>
      </c>
      <c r="E200" s="95" t="n">
        <v>-7.8</v>
      </c>
      <c r="F200" s="95" t="n">
        <v>-33.7</v>
      </c>
      <c r="G200" s="95" t="n"/>
      <c r="H200" s="95" t="n">
        <v>-27</v>
      </c>
      <c r="I200" s="95" t="n">
        <v>-47.9</v>
      </c>
      <c r="J200" s="95" t="n"/>
      <c r="K200" s="96" t="inlineStr">
        <is>
          <t>6106 SEER TECH; 6715 XUNLONG SCITECH</t>
        </is>
      </c>
    </row>
    <row r="201">
      <c r="A201" s="16" t="inlineStr">
        <is>
          <t>New Alternative Limited</t>
        </is>
      </c>
      <c r="B201" s="89" t="n">
        <v>2</v>
      </c>
      <c r="C201" s="94" t="n">
        <v>50</v>
      </c>
      <c r="D201" s="95" t="n">
        <v>25</v>
      </c>
      <c r="E201" s="95" t="n">
        <v>15.4</v>
      </c>
      <c r="F201" s="95" t="n">
        <v>26.5</v>
      </c>
      <c r="G201" s="95" t="n">
        <v>-8.300000000000001</v>
      </c>
      <c r="H201" s="95" t="n">
        <v>-8.5</v>
      </c>
      <c r="I201" s="95" t="n">
        <v>-1</v>
      </c>
      <c r="J201" s="95" t="n">
        <v>-26.6</v>
      </c>
      <c r="K201" s="96" t="inlineStr">
        <is>
          <t>9927 SERES; 2476 VGT</t>
        </is>
      </c>
    </row>
    <row r="202">
      <c r="A202" s="16" t="inlineStr">
        <is>
          <t>Ovata Capital</t>
        </is>
      </c>
      <c r="B202" s="89" t="n">
        <v>2</v>
      </c>
      <c r="C202" s="94" t="n">
        <v>50</v>
      </c>
      <c r="D202" s="95" t="n">
        <v>25</v>
      </c>
      <c r="E202" s="95" t="n">
        <v>21.8</v>
      </c>
      <c r="F202" s="95" t="n">
        <v>28</v>
      </c>
      <c r="G202" s="95" t="n">
        <v>12.5</v>
      </c>
      <c r="H202" s="95" t="n">
        <v>-2.1</v>
      </c>
      <c r="I202" s="95" t="n">
        <v>0.4</v>
      </c>
      <c r="J202" s="95" t="n">
        <v>-5.7</v>
      </c>
      <c r="K202" s="96" t="inlineStr">
        <is>
          <t>0470 WUXI LEAD; 2476 VGT</t>
        </is>
      </c>
    </row>
    <row r="203">
      <c r="A203" s="16" t="inlineStr">
        <is>
          <t>Stoneylake Global Alpha Fund</t>
        </is>
      </c>
      <c r="B203" s="89" t="n">
        <v>2</v>
      </c>
      <c r="C203" s="94" t="n">
        <v>100</v>
      </c>
      <c r="D203" s="95" t="n">
        <v>24.9</v>
      </c>
      <c r="E203" s="95" t="n">
        <v>19.9</v>
      </c>
      <c r="F203" s="95" t="n">
        <v>5.2</v>
      </c>
      <c r="G203" s="95" t="n">
        <v>-9.5</v>
      </c>
      <c r="H203" s="95" t="n">
        <v>-4.1</v>
      </c>
      <c r="I203" s="95" t="n">
        <v>-15.9</v>
      </c>
      <c r="J203" s="95" t="n">
        <v>-27.5</v>
      </c>
      <c r="K203" s="96" t="inlineStr">
        <is>
          <t>6687 JST GROUP; 3636 JINXUN RESOURCE</t>
        </is>
      </c>
    </row>
    <row r="204">
      <c r="A204" s="16" t="inlineStr">
        <is>
          <t>Hongda Juankang Limited</t>
        </is>
      </c>
      <c r="B204" s="89" t="n">
        <v>2</v>
      </c>
      <c r="C204" s="94" t="n">
        <v>100</v>
      </c>
      <c r="D204" s="95" t="n">
        <v>23.3</v>
      </c>
      <c r="E204" s="95" t="n">
        <v>53</v>
      </c>
      <c r="F204" s="95" t="n">
        <v>25.7</v>
      </c>
      <c r="G204" s="95" t="n">
        <v>141.4</v>
      </c>
      <c r="H204" s="95" t="n">
        <v>21.6</v>
      </c>
      <c r="I204" s="95" t="n">
        <v>-1</v>
      </c>
      <c r="J204" s="95" t="n">
        <v>83.7</v>
      </c>
      <c r="K204" s="96" t="inlineStr">
        <is>
          <t>2587 HEALTHYWAY INC; 2525 HESAI-W</t>
        </is>
      </c>
    </row>
    <row r="205">
      <c r="A205" s="16" t="inlineStr">
        <is>
          <t>First Sentier Investors (Hong Kong) Limited</t>
        </is>
      </c>
      <c r="B205" s="89" t="n">
        <v>2</v>
      </c>
      <c r="C205" s="94" t="n">
        <v>50</v>
      </c>
      <c r="D205" s="95" t="n">
        <v>22.8</v>
      </c>
      <c r="E205" s="95" t="n">
        <v>16.4</v>
      </c>
      <c r="F205" s="95" t="n">
        <v>2.5</v>
      </c>
      <c r="G205" s="95" t="n"/>
      <c r="H205" s="95" t="n">
        <v>-5</v>
      </c>
      <c r="I205" s="95" t="n">
        <v>-13.5</v>
      </c>
      <c r="J205" s="95" t="n"/>
      <c r="K205" s="96" t="inlineStr">
        <is>
          <t>3661 SG MICRO; 2475 LUXSHARE ICT</t>
        </is>
      </c>
    </row>
    <row r="206">
      <c r="A206" s="16" t="inlineStr">
        <is>
          <t>Deliante Holdings Co., Ltd</t>
        </is>
      </c>
      <c r="B206" s="89" t="n">
        <v>2</v>
      </c>
      <c r="C206" s="94" t="n">
        <v>50</v>
      </c>
      <c r="D206" s="95" t="n">
        <v>22.7</v>
      </c>
      <c r="E206" s="95" t="n">
        <v>18.9</v>
      </c>
      <c r="F206" s="95" t="n">
        <v>13.9</v>
      </c>
      <c r="G206" s="95" t="n">
        <v>9.6</v>
      </c>
      <c r="H206" s="95" t="n">
        <v>-2.6</v>
      </c>
      <c r="I206" s="95" t="n">
        <v>-12.1</v>
      </c>
      <c r="J206" s="95" t="n">
        <v>-27</v>
      </c>
      <c r="K206" s="96" t="inlineStr">
        <is>
          <t>2476 VGT; 1688 LINGYI ITECH</t>
        </is>
      </c>
    </row>
    <row r="207">
      <c r="A207" s="16" t="inlineStr">
        <is>
          <t>Cithara Fund</t>
        </is>
      </c>
      <c r="B207" s="89" t="n">
        <v>2</v>
      </c>
      <c r="C207" s="94" t="n">
        <v>50</v>
      </c>
      <c r="D207" s="95" t="n">
        <v>21.9</v>
      </c>
      <c r="E207" s="95" t="n">
        <v>15.9</v>
      </c>
      <c r="F207" s="95" t="n">
        <v>21.8</v>
      </c>
      <c r="G207" s="95" t="n">
        <v>7.7</v>
      </c>
      <c r="H207" s="95" t="n">
        <v>-6.3</v>
      </c>
      <c r="I207" s="95" t="n">
        <v>1.1</v>
      </c>
      <c r="J207" s="95" t="n">
        <v>-14.4</v>
      </c>
      <c r="K207" s="96" t="inlineStr">
        <is>
          <t>6090 BUTONG GROUP; 3887 HASHKEY HLDGS</t>
        </is>
      </c>
    </row>
    <row r="208">
      <c r="A208" s="16" t="inlineStr">
        <is>
          <t>Infore Holding</t>
        </is>
      </c>
      <c r="B208" s="89" t="n">
        <v>2</v>
      </c>
      <c r="C208" s="94" t="n">
        <v>100</v>
      </c>
      <c r="D208" s="95" t="n">
        <v>21.4</v>
      </c>
      <c r="E208" s="95" t="n">
        <v>9.800000000000001</v>
      </c>
      <c r="F208" s="95" t="n">
        <v>4.9</v>
      </c>
      <c r="G208" s="95" t="n">
        <v>20.1</v>
      </c>
      <c r="H208" s="95" t="n">
        <v>-7.8</v>
      </c>
      <c r="I208" s="95" t="n">
        <v>-12.1</v>
      </c>
      <c r="J208" s="95" t="n">
        <v>1.1</v>
      </c>
      <c r="K208" s="96" t="inlineStr">
        <is>
          <t>2589 AUNTEA JENNY; 6031 SANY HEAVY IND</t>
        </is>
      </c>
    </row>
    <row r="209">
      <c r="A209" s="16" t="inlineStr">
        <is>
          <t>HCEP Master Fund</t>
        </is>
      </c>
      <c r="B209" s="89" t="n">
        <v>2</v>
      </c>
      <c r="C209" s="94" t="n">
        <v>100</v>
      </c>
      <c r="D209" s="95" t="n">
        <v>20.9</v>
      </c>
      <c r="E209" s="95" t="n">
        <v>21.3</v>
      </c>
      <c r="F209" s="95" t="n">
        <v>25.7</v>
      </c>
      <c r="G209" s="95" t="n">
        <v>29</v>
      </c>
      <c r="H209" s="95" t="n">
        <v>2.2</v>
      </c>
      <c r="I209" s="95" t="n">
        <v>6.2</v>
      </c>
      <c r="J209" s="95" t="n">
        <v>8.9</v>
      </c>
      <c r="K209" s="96" t="inlineStr">
        <is>
          <t>0300 MIDEA GROUP; 6166 CIG</t>
        </is>
      </c>
    </row>
    <row r="210">
      <c r="A210" s="16" t="inlineStr">
        <is>
          <t>Star Flourish Ventures Limited</t>
        </is>
      </c>
      <c r="B210" s="89" t="n">
        <v>2</v>
      </c>
      <c r="C210" s="94" t="n">
        <v>100</v>
      </c>
      <c r="D210" s="95" t="n">
        <v>20.9</v>
      </c>
      <c r="E210" s="95" t="n">
        <v>50.1</v>
      </c>
      <c r="F210" s="95" t="n">
        <v>38.6</v>
      </c>
      <c r="G210" s="95" t="n">
        <v>182</v>
      </c>
      <c r="H210" s="95" t="n">
        <v>21</v>
      </c>
      <c r="I210" s="95" t="n">
        <v>13</v>
      </c>
      <c r="J210" s="95" t="n">
        <v>124</v>
      </c>
      <c r="K210" s="96" t="inlineStr">
        <is>
          <t>2587 HEALTHYWAY INC; 2506 XUNFEIHEALTH</t>
        </is>
      </c>
    </row>
    <row r="211">
      <c r="A211" s="16" t="inlineStr">
        <is>
          <t>Shanghai Gaoyi Asset Management (via HTCI swaps)</t>
        </is>
      </c>
      <c r="B211" s="89" t="n">
        <v>2</v>
      </c>
      <c r="C211" s="94" t="n">
        <v>100</v>
      </c>
      <c r="D211" s="95" t="n">
        <v>20.6</v>
      </c>
      <c r="E211" s="95" t="n">
        <v>25.2</v>
      </c>
      <c r="F211" s="95" t="n">
        <v>9.300000000000001</v>
      </c>
      <c r="G211" s="95" t="n">
        <v>0.7</v>
      </c>
      <c r="H211" s="95" t="n">
        <v>3</v>
      </c>
      <c r="I211" s="95" t="n">
        <v>-6.3</v>
      </c>
      <c r="J211" s="95" t="n">
        <v>-3.1</v>
      </c>
      <c r="K211" s="96" t="inlineStr">
        <is>
          <t>2714 MUYUAN; 1779 LONGBIO-B</t>
        </is>
      </c>
    </row>
    <row r="212">
      <c r="A212" s="16" t="inlineStr">
        <is>
          <t>Fourier Capital</t>
        </is>
      </c>
      <c r="B212" s="89" t="n">
        <v>2</v>
      </c>
      <c r="C212" s="94" t="n">
        <v>100</v>
      </c>
      <c r="D212" s="95" t="n">
        <v>19.9</v>
      </c>
      <c r="E212" s="95" t="n">
        <v>17.2</v>
      </c>
      <c r="F212" s="95" t="n">
        <v>7.9</v>
      </c>
      <c r="G212" s="95" t="n">
        <v>29.4</v>
      </c>
      <c r="H212" s="95" t="n">
        <v>-2</v>
      </c>
      <c r="I212" s="95" t="n">
        <v>-9.300000000000001</v>
      </c>
      <c r="J212" s="95" t="n">
        <v>9</v>
      </c>
      <c r="K212" s="96" t="inlineStr">
        <is>
          <t>1304 FORTIOR; 6687 JST GROUP</t>
        </is>
      </c>
    </row>
    <row r="213">
      <c r="A213" s="16" t="inlineStr">
        <is>
          <t>Baidu (Hong Kong) Limited</t>
        </is>
      </c>
      <c r="B213" s="89" t="n">
        <v>2</v>
      </c>
      <c r="C213" s="94" t="n">
        <v>100</v>
      </c>
      <c r="D213" s="95" t="n">
        <v>19.7</v>
      </c>
      <c r="E213" s="95" t="n">
        <v>58.8</v>
      </c>
      <c r="F213" s="95" t="n">
        <v>33.5</v>
      </c>
      <c r="G213" s="95" t="n">
        <v>156.6</v>
      </c>
      <c r="H213" s="95" t="n">
        <v>30.6</v>
      </c>
      <c r="I213" s="95" t="n">
        <v>9.199999999999999</v>
      </c>
      <c r="J213" s="95" t="n">
        <v>101</v>
      </c>
      <c r="K213" s="96" t="inlineStr">
        <is>
          <t>9660 HORIZONROBOT-W; 2587 HEALTHYWAY INC</t>
        </is>
      </c>
    </row>
    <row r="214">
      <c r="A214" s="16" t="inlineStr">
        <is>
          <t>EDB Investments Pte Ltd</t>
        </is>
      </c>
      <c r="B214" s="89" t="n">
        <v>2</v>
      </c>
      <c r="C214" s="94" t="n">
        <v>100</v>
      </c>
      <c r="D214" s="95" t="n">
        <v>19.3</v>
      </c>
      <c r="E214" s="95" t="n">
        <v>25.4</v>
      </c>
      <c r="F214" s="95" t="n">
        <v>34.8</v>
      </c>
      <c r="G214" s="95" t="n">
        <v>35.1</v>
      </c>
      <c r="H214" s="95" t="n">
        <v>5.7</v>
      </c>
      <c r="I214" s="95" t="n">
        <v>13</v>
      </c>
      <c r="J214" s="95" t="n">
        <v>10.4</v>
      </c>
      <c r="K214" s="96" t="inlineStr">
        <is>
          <t>9959 LINKLOGIS–W; 2629 MIRXES-B</t>
        </is>
      </c>
    </row>
    <row r="215">
      <c r="A215" s="16" t="inlineStr">
        <is>
          <t>Greater Bay Area Homeland Investments Limited</t>
        </is>
      </c>
      <c r="B215" s="89" t="n">
        <v>2</v>
      </c>
      <c r="C215" s="94" t="n">
        <v>100</v>
      </c>
      <c r="D215" s="95" t="n">
        <v>19.1</v>
      </c>
      <c r="E215" s="95" t="n">
        <v>16.9</v>
      </c>
      <c r="F215" s="95" t="n">
        <v>59</v>
      </c>
      <c r="G215" s="95" t="n">
        <v>163.6</v>
      </c>
      <c r="H215" s="95" t="n">
        <v>-2.4</v>
      </c>
      <c r="I215" s="95" t="n">
        <v>30.1</v>
      </c>
      <c r="J215" s="95" t="n">
        <v>97.40000000000001</v>
      </c>
      <c r="K215" s="96" t="inlineStr">
        <is>
          <t>1989 DELTON; 6951 CCTC</t>
        </is>
      </c>
    </row>
    <row r="216">
      <c r="A216" s="16" t="inlineStr">
        <is>
          <t>Al-Rayyan Holding LLC</t>
        </is>
      </c>
      <c r="B216" s="89" t="n">
        <v>2</v>
      </c>
      <c r="C216" s="94" t="n">
        <v>100</v>
      </c>
      <c r="D216" s="95" t="n">
        <v>18.7</v>
      </c>
      <c r="E216" s="95" t="n">
        <v>20.8</v>
      </c>
      <c r="F216" s="95" t="n">
        <v>18.7</v>
      </c>
      <c r="G216" s="95" t="n">
        <v>-11.2</v>
      </c>
      <c r="H216" s="95" t="n">
        <v>1.4</v>
      </c>
      <c r="I216" s="95" t="n">
        <v>-2</v>
      </c>
      <c r="J216" s="95" t="n">
        <v>-23.8</v>
      </c>
      <c r="K216" s="96" t="inlineStr">
        <is>
          <t>2268 WUXI XDC; 9980 EASTROC</t>
        </is>
      </c>
    </row>
    <row r="217">
      <c r="A217" s="16" t="inlineStr">
        <is>
          <t>HSG Growth VII Holdco, Ltd</t>
        </is>
      </c>
      <c r="B217" s="89" t="n">
        <v>2</v>
      </c>
      <c r="C217" s="94" t="n">
        <v>100</v>
      </c>
      <c r="D217" s="95" t="n">
        <v>18.7</v>
      </c>
      <c r="E217" s="95" t="n">
        <v>20.8</v>
      </c>
      <c r="F217" s="95" t="n">
        <v>18.7</v>
      </c>
      <c r="G217" s="95" t="n">
        <v>-11.2</v>
      </c>
      <c r="H217" s="95" t="n">
        <v>1.4</v>
      </c>
      <c r="I217" s="95" t="n">
        <v>-2</v>
      </c>
      <c r="J217" s="95" t="n">
        <v>-23.8</v>
      </c>
      <c r="K217" s="96" t="inlineStr">
        <is>
          <t>2268 WUXI XDC; 9980 EASTROC</t>
        </is>
      </c>
    </row>
    <row r="218">
      <c r="A218" s="16" t="inlineStr">
        <is>
          <t>Wisdomshire AM</t>
        </is>
      </c>
      <c r="B218" s="89" t="n">
        <v>2</v>
      </c>
      <c r="C218" s="94" t="n">
        <v>50</v>
      </c>
      <c r="D218" s="95" t="n">
        <v>18.6</v>
      </c>
      <c r="E218" s="95" t="n">
        <v>22.4</v>
      </c>
      <c r="F218" s="95" t="n">
        <v>-1.2</v>
      </c>
      <c r="G218" s="95" t="n">
        <v>10.9</v>
      </c>
      <c r="H218" s="95" t="n">
        <v>2.1</v>
      </c>
      <c r="I218" s="95" t="n">
        <v>-14.6</v>
      </c>
      <c r="J218" s="95" t="n">
        <v>10.9</v>
      </c>
      <c r="K218" s="96" t="inlineStr">
        <is>
          <t>6936 SF HOLDING; 1779 LONGBIO-B</t>
        </is>
      </c>
    </row>
    <row r="219">
      <c r="A219" s="16" t="inlineStr">
        <is>
          <t>Long-Z Fund I, LP</t>
        </is>
      </c>
      <c r="B219" s="89" t="n">
        <v>2</v>
      </c>
      <c r="C219" s="94" t="n">
        <v>50</v>
      </c>
      <c r="D219" s="95" t="n">
        <v>18.4</v>
      </c>
      <c r="E219" s="95" t="n">
        <v>46.1</v>
      </c>
      <c r="F219" s="95" t="n">
        <v>76.2</v>
      </c>
      <c r="G219" s="95" t="n">
        <v>168.8</v>
      </c>
      <c r="H219" s="95" t="n">
        <v>20.1</v>
      </c>
      <c r="I219" s="95" t="n">
        <v>49.9</v>
      </c>
      <c r="J219" s="95" t="n">
        <v>135.3</v>
      </c>
      <c r="K219" s="96" t="inlineStr">
        <is>
          <t>1364 GUMING; 2097 MIXUE GROUP</t>
        </is>
      </c>
    </row>
    <row r="220">
      <c r="A220" s="16" t="inlineStr">
        <is>
          <t>XING FA (HONG KONG) IMP.&amp;EXP. LIMITED</t>
        </is>
      </c>
      <c r="B220" s="89" t="n">
        <v>2</v>
      </c>
      <c r="C220" s="94" t="n">
        <v>50</v>
      </c>
      <c r="D220" s="95" t="n">
        <v>18.3</v>
      </c>
      <c r="E220" s="95" t="n">
        <v>47.7</v>
      </c>
      <c r="F220" s="95" t="n">
        <v>17</v>
      </c>
      <c r="G220" s="95" t="n">
        <v>128.7</v>
      </c>
      <c r="H220" s="95" t="n">
        <v>21.1</v>
      </c>
      <c r="I220" s="95" t="n">
        <v>-6</v>
      </c>
      <c r="J220" s="95" t="n">
        <v>74.59999999999999</v>
      </c>
      <c r="K220" s="96" t="inlineStr">
        <is>
          <t>3931 CALB; 2587 HEALTHYWAY INC</t>
        </is>
      </c>
    </row>
    <row r="221">
      <c r="A221" s="16" t="inlineStr">
        <is>
          <t>FR M CONSULTING CO., LTD</t>
        </is>
      </c>
      <c r="B221" s="89" t="n">
        <v>2</v>
      </c>
      <c r="C221" s="94" t="n">
        <v>50</v>
      </c>
      <c r="D221" s="95" t="n">
        <v>18.1</v>
      </c>
      <c r="E221" s="95" t="n">
        <v>21.6</v>
      </c>
      <c r="F221" s="95" t="n">
        <v>-8.6</v>
      </c>
      <c r="G221" s="95" t="n">
        <v>-17.7</v>
      </c>
      <c r="H221" s="95" t="n">
        <v>1.8</v>
      </c>
      <c r="I221" s="95" t="n">
        <v>-21.5</v>
      </c>
      <c r="J221" s="95" t="n">
        <v>-16.8</v>
      </c>
      <c r="K221" s="96" t="inlineStr">
        <is>
          <t>1187 COFOE MEDICAL; 1779 LONGBIO-B</t>
        </is>
      </c>
    </row>
    <row r="222">
      <c r="A222" s="16" t="inlineStr">
        <is>
          <t>Fund SPC</t>
        </is>
      </c>
      <c r="B222" s="89" t="n">
        <v>2</v>
      </c>
      <c r="C222" s="94" t="n">
        <v>100</v>
      </c>
      <c r="D222" s="95" t="n">
        <v>17.5</v>
      </c>
      <c r="E222" s="95" t="n">
        <v>9.800000000000001</v>
      </c>
      <c r="F222" s="95" t="n">
        <v>20.2</v>
      </c>
      <c r="G222" s="95" t="n">
        <v>39.4</v>
      </c>
      <c r="H222" s="95" t="n">
        <v>-7</v>
      </c>
      <c r="I222" s="95" t="n">
        <v>1.2</v>
      </c>
      <c r="J222" s="95" t="n">
        <v>15.8</v>
      </c>
      <c r="K222" s="96" t="inlineStr">
        <is>
          <t>2613 CONTIOCEAN; 2629 MIRXES-B</t>
        </is>
      </c>
    </row>
    <row r="223">
      <c r="A223" s="16" t="inlineStr">
        <is>
          <t>Trading Pacific Pte. Ltd</t>
        </is>
      </c>
      <c r="B223" s="89" t="n">
        <v>2</v>
      </c>
      <c r="C223" s="94" t="n">
        <v>100</v>
      </c>
      <c r="D223" s="95" t="n">
        <v>17.5</v>
      </c>
      <c r="E223" s="95" t="n">
        <v>31.8</v>
      </c>
      <c r="F223" s="95" t="n">
        <v>20.5</v>
      </c>
      <c r="G223" s="95" t="n">
        <v>30.4</v>
      </c>
      <c r="H223" s="95" t="n">
        <v>11.3</v>
      </c>
      <c r="I223" s="95" t="n">
        <v>0.7</v>
      </c>
      <c r="J223" s="95" t="n">
        <v>8.699999999999999</v>
      </c>
      <c r="K223" s="96" t="inlineStr">
        <is>
          <t>6168 ZHOU LIU FU; 2525 HESAI-W</t>
        </is>
      </c>
    </row>
    <row r="224">
      <c r="A224" s="16" t="inlineStr">
        <is>
          <t>Schonfeld</t>
        </is>
      </c>
      <c r="B224" s="89" t="n">
        <v>2</v>
      </c>
      <c r="C224" s="94" t="n">
        <v>50</v>
      </c>
      <c r="D224" s="95" t="n">
        <v>16.9</v>
      </c>
      <c r="E224" s="95" t="n">
        <v>6.1</v>
      </c>
      <c r="F224" s="95" t="n">
        <v>5.7</v>
      </c>
      <c r="G224" s="95" t="n">
        <v>5.3</v>
      </c>
      <c r="H224" s="95" t="n">
        <v>-8.199999999999999</v>
      </c>
      <c r="I224" s="95" t="n">
        <v>-8.800000000000001</v>
      </c>
      <c r="J224" s="95" t="n">
        <v>-9.800000000000001</v>
      </c>
      <c r="K224" s="96" t="inlineStr">
        <is>
          <t>6166 CIG; 7618 JD INDUSTRIALS</t>
        </is>
      </c>
    </row>
    <row r="225">
      <c r="A225" s="16" t="inlineStr">
        <is>
          <t>Baheal Wellness Limited</t>
        </is>
      </c>
      <c r="B225" s="89" t="n">
        <v>2</v>
      </c>
      <c r="C225" s="94" t="n">
        <v>50</v>
      </c>
      <c r="D225" s="95" t="n">
        <v>15</v>
      </c>
      <c r="E225" s="95" t="n">
        <v>43.5</v>
      </c>
      <c r="F225" s="95" t="n">
        <v>36.6</v>
      </c>
      <c r="G225" s="95" t="n">
        <v>-20.5</v>
      </c>
      <c r="H225" s="95" t="n">
        <v>23.3</v>
      </c>
      <c r="I225" s="95" t="n">
        <v>16.4</v>
      </c>
      <c r="J225" s="95" t="n">
        <v>-31.7</v>
      </c>
      <c r="K225" s="96" t="inlineStr">
        <is>
          <t>2361 SINOHEALTH HLDG; 2563 BIOSTAR PHARM-B</t>
        </is>
      </c>
    </row>
    <row r="226">
      <c r="A226" s="16" t="inlineStr">
        <is>
          <t>Bridge Zone Group Limited</t>
        </is>
      </c>
      <c r="B226" s="89" t="n">
        <v>2</v>
      </c>
      <c r="C226" s="94" t="n">
        <v>100</v>
      </c>
      <c r="D226" s="95" t="n">
        <v>14.2</v>
      </c>
      <c r="E226" s="95" t="n">
        <v>21.3</v>
      </c>
      <c r="F226" s="95" t="n">
        <v>9</v>
      </c>
      <c r="G226" s="95" t="n">
        <v>-12.9</v>
      </c>
      <c r="H226" s="95" t="n">
        <v>6.5</v>
      </c>
      <c r="I226" s="95" t="n">
        <v>-5</v>
      </c>
      <c r="J226" s="95" t="n">
        <v>-22.9</v>
      </c>
      <c r="K226" s="96" t="inlineStr">
        <is>
          <t>3636 JINXUN RESOURCE; 2692 ZHAOWEI</t>
        </is>
      </c>
    </row>
    <row r="227">
      <c r="A227" s="16" t="inlineStr">
        <is>
          <t>Taibai Investments Pte. Ltd</t>
        </is>
      </c>
      <c r="B227" s="89" t="n">
        <v>2</v>
      </c>
      <c r="C227" s="94" t="n">
        <v>100</v>
      </c>
      <c r="D227" s="95" t="n">
        <v>13.1</v>
      </c>
      <c r="E227" s="95" t="n">
        <v>34.6</v>
      </c>
      <c r="F227" s="95" t="n">
        <v>79.2</v>
      </c>
      <c r="G227" s="95" t="n">
        <v>62.8</v>
      </c>
      <c r="H227" s="95" t="n">
        <v>17.2</v>
      </c>
      <c r="I227" s="95" t="n">
        <v>51.6</v>
      </c>
      <c r="J227" s="95" t="n">
        <v>38.6</v>
      </c>
      <c r="K227" s="96" t="inlineStr">
        <is>
          <t>3696 INSILICO; 9980 EASTROC</t>
        </is>
      </c>
    </row>
    <row r="228">
      <c r="A228" s="16" t="inlineStr">
        <is>
          <t>Pamalican Fund Ltd</t>
        </is>
      </c>
      <c r="B228" s="89" t="n">
        <v>2</v>
      </c>
      <c r="C228" s="94" t="n">
        <v>100</v>
      </c>
      <c r="D228" s="95" t="n">
        <v>11.4</v>
      </c>
      <c r="E228" s="95" t="n">
        <v>17.8</v>
      </c>
      <c r="F228" s="95" t="n">
        <v>10.8</v>
      </c>
      <c r="G228" s="95" t="n">
        <v>10.4</v>
      </c>
      <c r="H228" s="95" t="n">
        <v>6.2</v>
      </c>
      <c r="I228" s="95" t="n">
        <v>0.3</v>
      </c>
      <c r="J228" s="95" t="n">
        <v>0</v>
      </c>
      <c r="K228" s="96" t="inlineStr">
        <is>
          <t>0300 MIDEA GROUP; 2460 CR BEVERAGE</t>
        </is>
      </c>
    </row>
    <row r="229">
      <c r="A229" s="16" t="inlineStr">
        <is>
          <t>Future Industry Investment Fund II</t>
        </is>
      </c>
      <c r="B229" s="89" t="n">
        <v>2</v>
      </c>
      <c r="C229" s="94" t="n">
        <v>100</v>
      </c>
      <c r="D229" s="95" t="n">
        <v>11</v>
      </c>
      <c r="E229" s="95" t="n">
        <v>11.5</v>
      </c>
      <c r="F229" s="95" t="n">
        <v>8.4</v>
      </c>
      <c r="G229" s="95" t="n">
        <v>15.7</v>
      </c>
      <c r="H229" s="95" t="n">
        <v>0.4</v>
      </c>
      <c r="I229" s="95" t="n">
        <v>-2.2</v>
      </c>
      <c r="J229" s="95" t="n">
        <v>5.6</v>
      </c>
      <c r="K229" s="96" t="inlineStr">
        <is>
          <t>2105 LAEKNA-B; 1828 FWD</t>
        </is>
      </c>
    </row>
    <row r="230">
      <c r="A230" s="16" t="inlineStr">
        <is>
          <t>Polymer Asia Fund LP</t>
        </is>
      </c>
      <c r="B230" s="89" t="n">
        <v>2</v>
      </c>
      <c r="C230" s="94" t="n">
        <v>50</v>
      </c>
      <c r="D230" s="95" t="n">
        <v>9.9</v>
      </c>
      <c r="E230" s="95" t="n">
        <v>3</v>
      </c>
      <c r="F230" s="95" t="n">
        <v>19.4</v>
      </c>
      <c r="G230" s="95" t="n">
        <v>25.4</v>
      </c>
      <c r="H230" s="95" t="n">
        <v>-6</v>
      </c>
      <c r="I230" s="95" t="n">
        <v>8</v>
      </c>
      <c r="J230" s="95" t="n">
        <v>3.4</v>
      </c>
      <c r="K230" s="96" t="inlineStr">
        <is>
          <t>3388 CREALITY; 2475 LUXSHARE ICT</t>
        </is>
      </c>
    </row>
    <row r="231">
      <c r="A231" s="16" t="inlineStr">
        <is>
          <t>Yishao Capital Management (HK) Limited</t>
        </is>
      </c>
      <c r="B231" s="89" t="n">
        <v>2</v>
      </c>
      <c r="C231" s="94" t="n">
        <v>100</v>
      </c>
      <c r="D231" s="95" t="n">
        <v>9.800000000000001</v>
      </c>
      <c r="E231" s="95" t="n">
        <v>4.5</v>
      </c>
      <c r="F231" s="95" t="n">
        <v>22.1</v>
      </c>
      <c r="G231" s="95" t="n"/>
      <c r="H231" s="95" t="n">
        <v>-5.6</v>
      </c>
      <c r="I231" s="95" t="n">
        <v>8.5</v>
      </c>
      <c r="J231" s="95" t="n"/>
      <c r="K231" s="96" t="inlineStr">
        <is>
          <t>6106 SEER TECH; 3752 ROKAE ROBOTICS</t>
        </is>
      </c>
    </row>
    <row r="232">
      <c r="A232" s="16" t="inlineStr">
        <is>
          <t>Shanghai Greenwoods (via Huatai OTC swaps)</t>
        </is>
      </c>
      <c r="B232" s="89" t="n">
        <v>2</v>
      </c>
      <c r="C232" s="94" t="n">
        <v>100</v>
      </c>
      <c r="D232" s="95" t="n">
        <v>9.300000000000001</v>
      </c>
      <c r="E232" s="95" t="n">
        <v>2.2</v>
      </c>
      <c r="F232" s="95" t="n">
        <v>5.8</v>
      </c>
      <c r="G232" s="95" t="n">
        <v>-28.1</v>
      </c>
      <c r="H232" s="95" t="n">
        <v>-6.2</v>
      </c>
      <c r="I232" s="95" t="n">
        <v>-3.1</v>
      </c>
      <c r="J232" s="95" t="n">
        <v>-30.1</v>
      </c>
      <c r="K232" s="96" t="inlineStr">
        <is>
          <t>9981 WOER; 0668 ANKER</t>
        </is>
      </c>
    </row>
    <row r="233">
      <c r="A233" s="16" t="inlineStr">
        <is>
          <t>Wealth Strategy Holding Limited</t>
        </is>
      </c>
      <c r="B233" s="89" t="n">
        <v>2</v>
      </c>
      <c r="C233" s="94" t="n">
        <v>50</v>
      </c>
      <c r="D233" s="95" t="n">
        <v>8.699999999999999</v>
      </c>
      <c r="E233" s="95" t="n">
        <v>6.3</v>
      </c>
      <c r="F233" s="95" t="n">
        <v>49.8</v>
      </c>
      <c r="G233" s="95" t="n">
        <v>-2.9</v>
      </c>
      <c r="H233" s="95" t="n">
        <v>-11.2</v>
      </c>
      <c r="I233" s="95" t="n">
        <v>38.7</v>
      </c>
      <c r="J233" s="95" t="n">
        <v>-25.3</v>
      </c>
      <c r="K233" s="96" t="inlineStr">
        <is>
          <t>2563 BIOSTAR PHARM-B; 6915 JIANGXI BIO</t>
        </is>
      </c>
    </row>
    <row r="234">
      <c r="A234" s="16" t="inlineStr">
        <is>
          <t>SilkyWater Absolute Return LPF</t>
        </is>
      </c>
      <c r="B234" s="89" t="n">
        <v>2</v>
      </c>
      <c r="C234" s="94" t="n">
        <v>50</v>
      </c>
      <c r="D234" s="95" t="n">
        <v>8.6</v>
      </c>
      <c r="E234" s="95" t="n">
        <v>44.3</v>
      </c>
      <c r="F234" s="95" t="n">
        <v>67</v>
      </c>
      <c r="G234" s="95" t="n">
        <v>84.3</v>
      </c>
      <c r="H234" s="95" t="n">
        <v>32.5</v>
      </c>
      <c r="I234" s="95" t="n">
        <v>58.6</v>
      </c>
      <c r="J234" s="95" t="n">
        <v>93.09999999999999</v>
      </c>
      <c r="K234" s="96" t="inlineStr">
        <is>
          <t>1274 IMOTIONAUTOTECH; 2563 BIOSTAR PHARM-B</t>
        </is>
      </c>
    </row>
    <row r="235">
      <c r="A235" s="16" t="inlineStr">
        <is>
          <t>HACF, L.P</t>
        </is>
      </c>
      <c r="B235" s="89" t="n">
        <v>2</v>
      </c>
      <c r="C235" s="94" t="n">
        <v>100</v>
      </c>
      <c r="D235" s="95" t="n">
        <v>7.9</v>
      </c>
      <c r="E235" s="95" t="n">
        <v>20.8</v>
      </c>
      <c r="F235" s="95" t="n">
        <v>69.90000000000001</v>
      </c>
      <c r="G235" s="95" t="n">
        <v>33.4</v>
      </c>
      <c r="H235" s="95" t="n">
        <v>13.8</v>
      </c>
      <c r="I235" s="95" t="n">
        <v>62.3</v>
      </c>
      <c r="J235" s="95" t="n">
        <v>33.3</v>
      </c>
      <c r="K235" s="96" t="inlineStr">
        <is>
          <t>6600 ONEROBOTICS; 0668 ANKER</t>
        </is>
      </c>
    </row>
    <row r="236">
      <c r="A236" s="16" t="inlineStr">
        <is>
          <t>OmniVision HK</t>
        </is>
      </c>
      <c r="B236" s="89" t="n">
        <v>2</v>
      </c>
      <c r="C236" s="94" t="n">
        <v>50</v>
      </c>
      <c r="D236" s="95" t="n">
        <v>7.4</v>
      </c>
      <c r="E236" s="95" t="n">
        <v>18.9</v>
      </c>
      <c r="F236" s="95" t="n">
        <v>5.4</v>
      </c>
      <c r="G236" s="95" t="n">
        <v>20.7</v>
      </c>
      <c r="H236" s="95" t="n">
        <v>11.3</v>
      </c>
      <c r="I236" s="95" t="n">
        <v>-2.5</v>
      </c>
      <c r="J236" s="95" t="n">
        <v>9.800000000000001</v>
      </c>
      <c r="K236" s="96" t="inlineStr">
        <is>
          <t>3200 HANS CNC; 0600 AXERA</t>
        </is>
      </c>
    </row>
    <row r="237">
      <c r="A237" s="16" t="inlineStr">
        <is>
          <t>China Hongqiao Group Limited</t>
        </is>
      </c>
      <c r="B237" s="89" t="n">
        <v>2</v>
      </c>
      <c r="C237" s="94" t="n">
        <v>50</v>
      </c>
      <c r="D237" s="95" t="n">
        <v>7</v>
      </c>
      <c r="E237" s="95" t="n">
        <v>23.1</v>
      </c>
      <c r="F237" s="95" t="n">
        <v>37.6</v>
      </c>
      <c r="G237" s="95" t="n">
        <v>115.7</v>
      </c>
      <c r="H237" s="95" t="n">
        <v>13.4</v>
      </c>
      <c r="I237" s="95" t="n">
        <v>26.7</v>
      </c>
      <c r="J237" s="95" t="n">
        <v>62.4</v>
      </c>
      <c r="K237" s="96" t="inlineStr">
        <is>
          <t>2788 CHUANGXIN IND; 6745 BEFAR GROUP</t>
        </is>
      </c>
    </row>
    <row r="238">
      <c r="A238" s="16" t="inlineStr">
        <is>
          <t>York Asian Opportunities Investments Master Fund, LP</t>
        </is>
      </c>
      <c r="B238" s="89" t="n">
        <v>2</v>
      </c>
      <c r="C238" s="94" t="n">
        <v>100</v>
      </c>
      <c r="D238" s="95" t="n">
        <v>6.8</v>
      </c>
      <c r="E238" s="95" t="n">
        <v>11.4</v>
      </c>
      <c r="F238" s="95" t="n">
        <v>-1.5</v>
      </c>
      <c r="G238" s="95" t="n">
        <v>59.2</v>
      </c>
      <c r="H238" s="95" t="n">
        <v>4.3</v>
      </c>
      <c r="I238" s="95" t="n">
        <v>-8</v>
      </c>
      <c r="J238" s="95" t="n">
        <v>47.8</v>
      </c>
      <c r="K238" s="96" t="inlineStr">
        <is>
          <t>2279 YONGHE MEDICAL; 9903 ILUVATAR COREX</t>
        </is>
      </c>
    </row>
    <row r="239">
      <c r="A239" s="16" t="inlineStr">
        <is>
          <t>Tulip Fund, L.P</t>
        </is>
      </c>
      <c r="B239" s="89" t="n">
        <v>2</v>
      </c>
      <c r="C239" s="94" t="n">
        <v>100</v>
      </c>
      <c r="D239" s="95" t="n">
        <v>6.6</v>
      </c>
      <c r="E239" s="95" t="n">
        <v>5.2</v>
      </c>
      <c r="F239" s="95" t="n">
        <v>5</v>
      </c>
      <c r="G239" s="95" t="n">
        <v>-9.199999999999999</v>
      </c>
      <c r="H239" s="95" t="n">
        <v>-1.2</v>
      </c>
      <c r="I239" s="95" t="n">
        <v>-1.3</v>
      </c>
      <c r="J239" s="95" t="n">
        <v>-14.5</v>
      </c>
      <c r="K239" s="96" t="inlineStr">
        <is>
          <t>9973 CHERY AUTO; 2657 FOREST CABIN</t>
        </is>
      </c>
    </row>
    <row r="240">
      <c r="A240" s="16" t="inlineStr">
        <is>
          <t>Enreal and Forreal Funds</t>
        </is>
      </c>
      <c r="B240" s="89" t="n">
        <v>2</v>
      </c>
      <c r="C240" s="94" t="n">
        <v>100</v>
      </c>
      <c r="D240" s="95" t="n">
        <v>6.5</v>
      </c>
      <c r="E240" s="95" t="n">
        <v>15.1</v>
      </c>
      <c r="F240" s="95" t="n">
        <v>9.699999999999999</v>
      </c>
      <c r="G240" s="95" t="n">
        <v>0.4</v>
      </c>
      <c r="H240" s="95" t="n">
        <v>7.9</v>
      </c>
      <c r="I240" s="95" t="n">
        <v>2.7</v>
      </c>
      <c r="J240" s="95" t="n">
        <v>-6.1</v>
      </c>
      <c r="K240" s="96" t="inlineStr">
        <is>
          <t>2279 YONGHE MEDICAL; 0300 MIDEA GROUP</t>
        </is>
      </c>
    </row>
    <row r="241">
      <c r="A241" s="16" t="inlineStr">
        <is>
          <t>Yield Royal Investment</t>
        </is>
      </c>
      <c r="B241" s="89" t="n">
        <v>2</v>
      </c>
      <c r="C241" s="94" t="n">
        <v>100</v>
      </c>
      <c r="D241" s="95" t="n">
        <v>6.1</v>
      </c>
      <c r="E241" s="95" t="n">
        <v>4.9</v>
      </c>
      <c r="F241" s="95" t="n">
        <v>2.3</v>
      </c>
      <c r="G241" s="95" t="n">
        <v>-23.2</v>
      </c>
      <c r="H241" s="95" t="n">
        <v>-1.1</v>
      </c>
      <c r="I241" s="95" t="n">
        <v>-3.5</v>
      </c>
      <c r="J241" s="95" t="n">
        <v>-27.7</v>
      </c>
      <c r="K241" s="96" t="inlineStr">
        <is>
          <t>2657 FOREST CABIN; 9981 WOER</t>
        </is>
      </c>
    </row>
    <row r="242">
      <c r="A242" s="16" t="inlineStr">
        <is>
          <t>Kingboard Investments Limited</t>
        </is>
      </c>
      <c r="B242" s="89" t="n">
        <v>2</v>
      </c>
      <c r="C242" s="94" t="n">
        <v>50</v>
      </c>
      <c r="D242" s="95" t="n">
        <v>5.7</v>
      </c>
      <c r="E242" s="95" t="n">
        <v>13.5</v>
      </c>
      <c r="F242" s="95" t="n">
        <v>27.4</v>
      </c>
      <c r="G242" s="95" t="n">
        <v>21.2</v>
      </c>
      <c r="H242" s="95" t="n">
        <v>7.7</v>
      </c>
      <c r="I242" s="95" t="n">
        <v>19.4</v>
      </c>
      <c r="J242" s="95" t="n">
        <v>7</v>
      </c>
      <c r="K242" s="96" t="inlineStr">
        <is>
          <t>3296 HUAQIN; 1377 DTECH</t>
        </is>
      </c>
    </row>
    <row r="243">
      <c r="A243" s="16" t="inlineStr">
        <is>
          <t>Guotai Junan Investments (Hong Kong) Limited</t>
        </is>
      </c>
      <c r="B243" s="89" t="n">
        <v>2</v>
      </c>
      <c r="C243" s="94" t="n">
        <v>100</v>
      </c>
      <c r="D243" s="95" t="n">
        <v>5.4</v>
      </c>
      <c r="E243" s="95" t="n">
        <v>52.4</v>
      </c>
      <c r="F243" s="95" t="n">
        <v>30.2</v>
      </c>
      <c r="G243" s="95" t="n">
        <v>14.9</v>
      </c>
      <c r="H243" s="95" t="n">
        <v>43.8</v>
      </c>
      <c r="I243" s="95" t="n">
        <v>23</v>
      </c>
      <c r="J243" s="95" t="n">
        <v>8.300000000000001</v>
      </c>
      <c r="K243" s="96" t="inlineStr">
        <is>
          <t>0020 SENSETIME-W; 9611 LONGCHEER</t>
        </is>
      </c>
    </row>
    <row r="244">
      <c r="A244" s="16" t="inlineStr">
        <is>
          <t>VVC Technology Fund Ltd</t>
        </is>
      </c>
      <c r="B244" s="89" t="n">
        <v>2</v>
      </c>
      <c r="C244" s="94" t="n">
        <v>100</v>
      </c>
      <c r="D244" s="95" t="n">
        <v>5.3</v>
      </c>
      <c r="E244" s="95" t="n">
        <v>8.4</v>
      </c>
      <c r="F244" s="95" t="n">
        <v>4.4</v>
      </c>
      <c r="G244" s="95" t="n">
        <v>-11.1</v>
      </c>
      <c r="H244" s="95" t="n">
        <v>3.1</v>
      </c>
      <c r="I244" s="95" t="n">
        <v>-1.1</v>
      </c>
      <c r="J244" s="95" t="n">
        <v>-15.6</v>
      </c>
      <c r="K244" s="96" t="inlineStr">
        <is>
          <t>2692 ZHAOWEI; 1021 HUAYAN ROBOTICS</t>
        </is>
      </c>
    </row>
    <row r="245">
      <c r="A245" s="16" t="inlineStr">
        <is>
          <t>Everbright Wealth Management Co., Ltd</t>
        </is>
      </c>
      <c r="B245" s="89" t="n">
        <v>2</v>
      </c>
      <c r="C245" s="94" t="n">
        <v>50</v>
      </c>
      <c r="D245" s="95" t="n">
        <v>4.3</v>
      </c>
      <c r="E245" s="95" t="n">
        <v>6</v>
      </c>
      <c r="F245" s="95" t="n">
        <v>7.5</v>
      </c>
      <c r="G245" s="95" t="n">
        <v>21.2</v>
      </c>
      <c r="H245" s="95" t="n">
        <v>1.5</v>
      </c>
      <c r="I245" s="95" t="n">
        <v>0.1</v>
      </c>
      <c r="J245" s="95" t="n">
        <v>7</v>
      </c>
      <c r="K245" s="96" t="inlineStr">
        <is>
          <t>3296 HUAQIN; 1688 LINGYI ITECH</t>
        </is>
      </c>
    </row>
    <row r="246">
      <c r="A246" s="16" t="inlineStr">
        <is>
          <t>Supercluster Universe Limited</t>
        </is>
      </c>
      <c r="B246" s="89" t="n">
        <v>2</v>
      </c>
      <c r="C246" s="94" t="n">
        <v>100</v>
      </c>
      <c r="D246" s="95" t="n">
        <v>4.2</v>
      </c>
      <c r="E246" s="95" t="n">
        <v>12.8</v>
      </c>
      <c r="F246" s="95" t="n">
        <v>17.5</v>
      </c>
      <c r="G246" s="95" t="n">
        <v>16.2</v>
      </c>
      <c r="H246" s="95" t="n">
        <v>7.8</v>
      </c>
      <c r="I246" s="95" t="n">
        <v>12.3</v>
      </c>
      <c r="J246" s="95" t="n">
        <v>10.9</v>
      </c>
      <c r="K246" s="96" t="inlineStr">
        <is>
          <t>0300 MIDEA GROUP; 3288 HAITIAN FLAV</t>
        </is>
      </c>
    </row>
    <row r="247">
      <c r="A247" s="16" t="inlineStr">
        <is>
          <t>Colorful Cloud</t>
        </is>
      </c>
      <c r="B247" s="89" t="n">
        <v>2</v>
      </c>
      <c r="C247" s="94" t="n">
        <v>100</v>
      </c>
      <c r="D247" s="95" t="n">
        <v>4.1</v>
      </c>
      <c r="E247" s="95" t="n">
        <v>-1.4</v>
      </c>
      <c r="F247" s="95" t="n">
        <v>-12.7</v>
      </c>
      <c r="G247" s="95" t="n">
        <v>-22.7</v>
      </c>
      <c r="H247" s="95" t="n">
        <v>-5.4</v>
      </c>
      <c r="I247" s="95" t="n">
        <v>-15.5</v>
      </c>
      <c r="J247" s="95" t="n">
        <v>-25.1</v>
      </c>
      <c r="K247" s="96" t="inlineStr">
        <is>
          <t>2392 XUANWU CLOUD; 2671 USAS BUILDING</t>
        </is>
      </c>
    </row>
    <row r="248">
      <c r="A248" s="16" t="inlineStr">
        <is>
          <t>Eternal Earn Holding Limited</t>
        </is>
      </c>
      <c r="B248" s="89" t="n">
        <v>2</v>
      </c>
      <c r="C248" s="94" t="n">
        <v>50</v>
      </c>
      <c r="D248" s="95" t="n">
        <v>4.1</v>
      </c>
      <c r="E248" s="95" t="n">
        <v>4.4</v>
      </c>
      <c r="F248" s="95" t="n">
        <v>7.5</v>
      </c>
      <c r="G248" s="95" t="n">
        <v>12.4</v>
      </c>
      <c r="H248" s="95" t="n">
        <v>0.4</v>
      </c>
      <c r="I248" s="95" t="n">
        <v>3.1</v>
      </c>
      <c r="J248" s="95" t="n">
        <v>9</v>
      </c>
      <c r="K248" s="96" t="inlineStr">
        <is>
          <t>1519 J&amp;T EXPRESS-W; 1021 HUAYAN ROBOTICS</t>
        </is>
      </c>
    </row>
    <row r="249">
      <c r="A249" s="16" t="inlineStr">
        <is>
          <t>RemeGen Co., Ltd</t>
        </is>
      </c>
      <c r="B249" s="89" t="n">
        <v>2</v>
      </c>
      <c r="C249" s="94" t="n">
        <v>100</v>
      </c>
      <c r="D249" s="95" t="n">
        <v>4</v>
      </c>
      <c r="E249" s="95" t="n">
        <v>17.6</v>
      </c>
      <c r="F249" s="95" t="n">
        <v>21.8</v>
      </c>
      <c r="G249" s="95" t="n">
        <v>28</v>
      </c>
      <c r="H249" s="95" t="n">
        <v>12.9</v>
      </c>
      <c r="I249" s="95" t="n">
        <v>17</v>
      </c>
      <c r="J249" s="95" t="n">
        <v>22.9</v>
      </c>
      <c r="K249" s="96" t="inlineStr">
        <is>
          <t>2315 BIOCYTOGEN-B; 1541 IMMUNEONCO-B</t>
        </is>
      </c>
    </row>
    <row r="250">
      <c r="A250" s="16" t="inlineStr">
        <is>
          <t>COSCO Shipping (Hong Kong) Co., Limited</t>
        </is>
      </c>
      <c r="B250" s="89" t="n">
        <v>2</v>
      </c>
      <c r="C250" s="94" t="n">
        <v>50</v>
      </c>
      <c r="D250" s="95" t="n">
        <v>3.9</v>
      </c>
      <c r="E250" s="95" t="n">
        <v>18.6</v>
      </c>
      <c r="F250" s="95" t="n">
        <v>26.9</v>
      </c>
      <c r="G250" s="95" t="n">
        <v>24.1</v>
      </c>
      <c r="H250" s="95" t="n">
        <v>13.9</v>
      </c>
      <c r="I250" s="95" t="n">
        <v>21.9</v>
      </c>
      <c r="J250" s="95" t="n">
        <v>19.1</v>
      </c>
      <c r="K250" s="96" t="inlineStr">
        <is>
          <t>1880 CTG DUTY-FREE; 0300 MIDEA GROUP</t>
        </is>
      </c>
    </row>
    <row r="251">
      <c r="A251" s="16" t="inlineStr">
        <is>
          <t>Caitong Fund Management Co., Ltd</t>
        </is>
      </c>
      <c r="B251" s="89" t="n">
        <v>2</v>
      </c>
      <c r="C251" s="94" t="n">
        <v>50</v>
      </c>
      <c r="D251" s="95" t="n">
        <v>3.8</v>
      </c>
      <c r="E251" s="95" t="n">
        <v>-3.7</v>
      </c>
      <c r="F251" s="95" t="n">
        <v>-10.2</v>
      </c>
      <c r="G251" s="95" t="n">
        <v>-32.1</v>
      </c>
      <c r="H251" s="95" t="n">
        <v>-7</v>
      </c>
      <c r="I251" s="95" t="n">
        <v>-14.3</v>
      </c>
      <c r="J251" s="95" t="n">
        <v>-35.6</v>
      </c>
      <c r="K251" s="96" t="inlineStr">
        <is>
          <t>9600 NEWLINK TECH; 3355 FS.COM</t>
        </is>
      </c>
    </row>
    <row r="252">
      <c r="A252" s="16" t="inlineStr">
        <is>
          <t>Oasis Investments II Master Fund Ltd</t>
        </is>
      </c>
      <c r="B252" s="89" t="n">
        <v>2</v>
      </c>
      <c r="C252" s="94" t="n">
        <v>50</v>
      </c>
      <c r="D252" s="95" t="n">
        <v>3.3</v>
      </c>
      <c r="E252" s="95" t="n">
        <v>16.5</v>
      </c>
      <c r="F252" s="95" t="n">
        <v>-1.8</v>
      </c>
      <c r="G252" s="95" t="n">
        <v>25.4</v>
      </c>
      <c r="H252" s="95" t="n">
        <v>17.2</v>
      </c>
      <c r="I252" s="95" t="n">
        <v>-9</v>
      </c>
      <c r="J252" s="95" t="n">
        <v>3.4</v>
      </c>
      <c r="K252" s="96" t="inlineStr">
        <is>
          <t>3388 CREALITY; 3952 LAIFUAL</t>
        </is>
      </c>
    </row>
    <row r="253">
      <c r="A253" s="16" t="inlineStr">
        <is>
          <t>LYFE CAPITAL FUND III (DRAGON), L.P</t>
        </is>
      </c>
      <c r="B253" s="89" t="n">
        <v>2</v>
      </c>
      <c r="C253" s="94" t="n">
        <v>50</v>
      </c>
      <c r="D253" s="95" t="n">
        <v>3.2</v>
      </c>
      <c r="E253" s="95" t="n">
        <v>13.7</v>
      </c>
      <c r="F253" s="95" t="n">
        <v>-2.3</v>
      </c>
      <c r="G253" s="95" t="n">
        <v>-16</v>
      </c>
      <c r="H253" s="95" t="n">
        <v>7</v>
      </c>
      <c r="I253" s="95" t="n">
        <v>-9.199999999999999</v>
      </c>
      <c r="J253" s="95" t="n">
        <v>-23.7</v>
      </c>
      <c r="K253" s="96" t="inlineStr">
        <is>
          <t>6609 HEARTCARE-B; 2675 EDGE MEDICAL-B</t>
        </is>
      </c>
    </row>
    <row r="254">
      <c r="A254" s="16" t="inlineStr">
        <is>
          <t>Splendid Zhonghe (Tianjin) Investment Management Co., Ltd</t>
        </is>
      </c>
      <c r="B254" s="89" t="n">
        <v>2</v>
      </c>
      <c r="C254" s="94" t="n">
        <v>100</v>
      </c>
      <c r="D254" s="95" t="n">
        <v>2.5</v>
      </c>
      <c r="E254" s="95" t="n">
        <v>-10.8</v>
      </c>
      <c r="F254" s="95" t="n">
        <v>-31.1</v>
      </c>
      <c r="G254" s="95" t="n">
        <v>-24.2</v>
      </c>
      <c r="H254" s="95" t="n">
        <v>-12.7</v>
      </c>
      <c r="I254" s="95" t="n">
        <v>-32.5</v>
      </c>
      <c r="J254" s="95" t="n">
        <v>-24.6</v>
      </c>
      <c r="K254" s="96" t="inlineStr">
        <is>
          <t>2493 MABWELL-B; 6106 SEER TECH</t>
        </is>
      </c>
    </row>
    <row r="255">
      <c r="A255" s="16" t="inlineStr">
        <is>
          <t>Sanjin International CO., LTD</t>
        </is>
      </c>
      <c r="B255" s="89" t="n">
        <v>2</v>
      </c>
      <c r="C255" s="94" t="n">
        <v>100</v>
      </c>
      <c r="D255" s="95" t="n">
        <v>1.8</v>
      </c>
      <c r="E255" s="95" t="n">
        <v>-0.7</v>
      </c>
      <c r="F255" s="95" t="n">
        <v>-6.1</v>
      </c>
      <c r="G255" s="95" t="n">
        <v>-10.5</v>
      </c>
      <c r="H255" s="95" t="n">
        <v>-2.5</v>
      </c>
      <c r="I255" s="95" t="n">
        <v>-7.9</v>
      </c>
      <c r="J255" s="95" t="n">
        <v>-12.3</v>
      </c>
      <c r="K255" s="96" t="inlineStr">
        <is>
          <t>2315 BIOCYTOGEN-B; 2493 MABWELL-B</t>
        </is>
      </c>
    </row>
    <row r="256">
      <c r="A256" s="16" t="inlineStr">
        <is>
          <t>ZGC International Limited</t>
        </is>
      </c>
      <c r="B256" s="89" t="n">
        <v>2</v>
      </c>
      <c r="C256" s="94" t="n">
        <v>50</v>
      </c>
      <c r="D256" s="95" t="n">
        <v>1.2</v>
      </c>
      <c r="E256" s="95" t="n">
        <v>11.9</v>
      </c>
      <c r="F256" s="95" t="n">
        <v>71.09999999999999</v>
      </c>
      <c r="G256" s="95" t="n">
        <v>42.4</v>
      </c>
      <c r="H256" s="95" t="n">
        <v>10.4</v>
      </c>
      <c r="I256" s="95" t="n">
        <v>66.2</v>
      </c>
      <c r="J256" s="95" t="n">
        <v>36.2</v>
      </c>
      <c r="K256" s="96" t="inlineStr">
        <is>
          <t>9885 YSB; 2438 MOBVOI</t>
        </is>
      </c>
    </row>
    <row r="257">
      <c r="A257" s="16" t="inlineStr">
        <is>
          <t>Heilan Group Co., Limited</t>
        </is>
      </c>
      <c r="B257" s="89" t="n">
        <v>2</v>
      </c>
      <c r="C257" s="94" t="n">
        <v>50</v>
      </c>
      <c r="D257" s="95" t="n">
        <v>1.1</v>
      </c>
      <c r="E257" s="95" t="n">
        <v>0</v>
      </c>
      <c r="F257" s="95" t="n">
        <v>-6</v>
      </c>
      <c r="G257" s="95" t="n">
        <v>-4.7</v>
      </c>
      <c r="H257" s="95" t="n">
        <v>-0.9</v>
      </c>
      <c r="I257" s="95" t="n">
        <v>-6.7</v>
      </c>
      <c r="J257" s="95" t="n">
        <v>-5.9</v>
      </c>
      <c r="K257" s="96" t="inlineStr">
        <is>
          <t>9878 HUITONGDA NET; 9857 LINMON MEDIA</t>
        </is>
      </c>
    </row>
    <row r="258">
      <c r="A258" s="16" t="inlineStr">
        <is>
          <t>Mr. Lu Weiding</t>
        </is>
      </c>
      <c r="B258" s="89" t="n">
        <v>2</v>
      </c>
      <c r="C258" s="94" t="n">
        <v>50</v>
      </c>
      <c r="D258" s="95" t="n">
        <v>1.1</v>
      </c>
      <c r="E258" s="95" t="n">
        <v>-1.4</v>
      </c>
      <c r="F258" s="95" t="n">
        <v>-0.1</v>
      </c>
      <c r="G258" s="95" t="n">
        <v>-21.2</v>
      </c>
      <c r="H258" s="95" t="n">
        <v>-2.7</v>
      </c>
      <c r="I258" s="95" t="n">
        <v>-1.1</v>
      </c>
      <c r="J258" s="95" t="n">
        <v>-22.2</v>
      </c>
      <c r="K258" s="96" t="inlineStr">
        <is>
          <t>3887 HASHKEY HLDGS; 2692 ZHAOWEI</t>
        </is>
      </c>
    </row>
    <row r="259">
      <c r="A259" s="16" t="inlineStr">
        <is>
          <t>Streamax Electronics Limited</t>
        </is>
      </c>
      <c r="B259" s="89" t="n">
        <v>2</v>
      </c>
      <c r="C259" s="94" t="n">
        <v>50</v>
      </c>
      <c r="D259" s="95" t="n">
        <v>0.8</v>
      </c>
      <c r="E259" s="95" t="n">
        <v>-9.5</v>
      </c>
      <c r="F259" s="95" t="n">
        <v>-25.9</v>
      </c>
      <c r="G259" s="95" t="n">
        <v>-37.6</v>
      </c>
      <c r="H259" s="95" t="n">
        <v>-10.1</v>
      </c>
      <c r="I259" s="95" t="n">
        <v>-26.5</v>
      </c>
      <c r="J259" s="95" t="n">
        <v>-38.1</v>
      </c>
      <c r="K259" s="96" t="inlineStr">
        <is>
          <t>2418 DEEWIN; 3268 MEIG</t>
        </is>
      </c>
    </row>
    <row r="260">
      <c r="A260" s="16" t="inlineStr">
        <is>
          <t>United Imaging Healthcare Hong Kong Limited</t>
        </is>
      </c>
      <c r="B260" s="89" t="n">
        <v>2</v>
      </c>
      <c r="C260" s="94" t="n">
        <v>100</v>
      </c>
      <c r="D260" s="95" t="n">
        <v>0.6</v>
      </c>
      <c r="E260" s="95" t="n">
        <v>14.5</v>
      </c>
      <c r="F260" s="95" t="n">
        <v>7.7</v>
      </c>
      <c r="G260" s="95" t="n">
        <v>27.6</v>
      </c>
      <c r="H260" s="95" t="n">
        <v>13.9</v>
      </c>
      <c r="I260" s="95" t="n">
        <v>7.1</v>
      </c>
      <c r="J260" s="95" t="n">
        <v>26.9</v>
      </c>
      <c r="K260" s="96" t="inlineStr">
        <is>
          <t>2522 RIMAG GROUP; 1828 FWD</t>
        </is>
      </c>
    </row>
    <row r="261">
      <c r="A261" s="16" t="inlineStr">
        <is>
          <t>CALB Co., Ltd</t>
        </is>
      </c>
      <c r="B261" s="89" t="n">
        <v>2</v>
      </c>
      <c r="C261" s="94" t="n">
        <v>0</v>
      </c>
      <c r="D261" s="95" t="n">
        <v>-0.1</v>
      </c>
      <c r="E261" s="95" t="n">
        <v>-7.4</v>
      </c>
      <c r="F261" s="95" t="n">
        <v>-9.199999999999999</v>
      </c>
      <c r="G261" s="95" t="n">
        <v>-9.300000000000001</v>
      </c>
      <c r="H261" s="95" t="n">
        <v>-7.3</v>
      </c>
      <c r="I261" s="95" t="n">
        <v>-9.1</v>
      </c>
      <c r="J261" s="95" t="n">
        <v>-9.300000000000001</v>
      </c>
      <c r="K261" s="96" t="inlineStr">
        <is>
          <t>9696 TIANQI LITHIUM; 2579 CNGR</t>
        </is>
      </c>
    </row>
    <row r="262">
      <c r="A262" s="16" t="inlineStr">
        <is>
          <t>Canada Pension Plan Investment Board</t>
        </is>
      </c>
      <c r="B262" s="89" t="n">
        <v>2</v>
      </c>
      <c r="C262" s="94" t="n">
        <v>50</v>
      </c>
      <c r="D262" s="95" t="n">
        <v>-0.5</v>
      </c>
      <c r="E262" s="95" t="n">
        <v>9.1</v>
      </c>
      <c r="F262" s="95" t="n">
        <v>3.2</v>
      </c>
      <c r="G262" s="95" t="n">
        <v>21.1</v>
      </c>
      <c r="H262" s="95" t="n">
        <v>9.800000000000001</v>
      </c>
      <c r="I262" s="95" t="n">
        <v>3.8</v>
      </c>
      <c r="J262" s="95" t="n">
        <v>19.8</v>
      </c>
      <c r="K262" s="96" t="inlineStr">
        <is>
          <t>1828 FWD; 3308 ZJ INNOLIGHT</t>
        </is>
      </c>
    </row>
    <row r="263">
      <c r="A263" s="16" t="inlineStr">
        <is>
          <t>Burkehill</t>
        </is>
      </c>
      <c r="B263" s="89" t="n">
        <v>2</v>
      </c>
      <c r="C263" s="94" t="n">
        <v>0</v>
      </c>
      <c r="D263" s="95" t="n">
        <v>-1</v>
      </c>
      <c r="E263" s="95" t="n">
        <v>8.1</v>
      </c>
      <c r="F263" s="95" t="n">
        <v>1.4</v>
      </c>
      <c r="G263" s="95" t="n">
        <v>-8.4</v>
      </c>
      <c r="H263" s="95" t="n">
        <v>9.300000000000001</v>
      </c>
      <c r="I263" s="95" t="n">
        <v>2.5</v>
      </c>
      <c r="J263" s="95" t="n">
        <v>-8.4</v>
      </c>
      <c r="K263" s="96" t="inlineStr">
        <is>
          <t>7618 JD INDUSTRIALS; 3308 ZJ INNOLIGHT</t>
        </is>
      </c>
    </row>
    <row r="264">
      <c r="A264" s="16" t="inlineStr">
        <is>
          <t>China Chengtong Investment Company Limited</t>
        </is>
      </c>
      <c r="B264" s="89" t="n">
        <v>2</v>
      </c>
      <c r="C264" s="94" t="n">
        <v>50</v>
      </c>
      <c r="D264" s="95" t="n">
        <v>-1.7</v>
      </c>
      <c r="E264" s="95" t="n">
        <v>2.3</v>
      </c>
      <c r="F264" s="95" t="n">
        <v>-17.8</v>
      </c>
      <c r="G264" s="95" t="n">
        <v>-12.4</v>
      </c>
      <c r="H264" s="95" t="n">
        <v>3.7</v>
      </c>
      <c r="I264" s="95" t="n">
        <v>-17.2</v>
      </c>
      <c r="J264" s="95" t="n">
        <v>-10</v>
      </c>
      <c r="K264" s="96" t="inlineStr">
        <is>
          <t>2618 JD LOGISTICS; 2602 ONEWO</t>
        </is>
      </c>
    </row>
    <row r="265">
      <c r="A265" s="16" t="inlineStr">
        <is>
          <t>Azure Telecommunication</t>
        </is>
      </c>
      <c r="B265" s="89" t="n">
        <v>2</v>
      </c>
      <c r="C265" s="94" t="n">
        <v>50</v>
      </c>
      <c r="D265" s="95" t="n">
        <v>-1.9</v>
      </c>
      <c r="E265" s="95" t="n">
        <v>-1.1</v>
      </c>
      <c r="F265" s="95" t="n">
        <v>-10.9</v>
      </c>
      <c r="G265" s="95" t="n">
        <v>-9.4</v>
      </c>
      <c r="H265" s="95" t="n">
        <v>0.8</v>
      </c>
      <c r="I265" s="95" t="n">
        <v>-9</v>
      </c>
      <c r="J265" s="95" t="n">
        <v>-7.4</v>
      </c>
      <c r="K265" s="96" t="inlineStr">
        <is>
          <t>2385 READBOY; 9980 EASTROC</t>
        </is>
      </c>
    </row>
    <row r="266">
      <c r="A266" s="16" t="inlineStr">
        <is>
          <t>Mr. Cheng Wan Wai</t>
        </is>
      </c>
      <c r="B266" s="89" t="n">
        <v>2</v>
      </c>
      <c r="C266" s="94" t="n">
        <v>50</v>
      </c>
      <c r="D266" s="95" t="n">
        <v>-2.3</v>
      </c>
      <c r="E266" s="95" t="n">
        <v>-11.9</v>
      </c>
      <c r="F266" s="95" t="n">
        <v>-26.7</v>
      </c>
      <c r="G266" s="95" t="n">
        <v>-54.1</v>
      </c>
      <c r="H266" s="95" t="n">
        <v>-9.800000000000001</v>
      </c>
      <c r="I266" s="95" t="n">
        <v>-23.9</v>
      </c>
      <c r="J266" s="95" t="n">
        <v>-37.1</v>
      </c>
      <c r="K266" s="96" t="inlineStr">
        <is>
          <t>2350 MTT GROUP; 6067 SENIOR MATERIAL</t>
        </is>
      </c>
    </row>
    <row r="267">
      <c r="A267" s="16" t="inlineStr">
        <is>
          <t>Global Company Limited</t>
        </is>
      </c>
      <c r="B267" s="89" t="n">
        <v>2</v>
      </c>
      <c r="C267" s="94" t="n">
        <v>50</v>
      </c>
      <c r="D267" s="95" t="n">
        <v>-2.7</v>
      </c>
      <c r="E267" s="95" t="n">
        <v>-0.7</v>
      </c>
      <c r="F267" s="95" t="n">
        <v>22.7</v>
      </c>
      <c r="G267" s="95" t="n">
        <v>89</v>
      </c>
      <c r="H267" s="95" t="n">
        <v>2.1</v>
      </c>
      <c r="I267" s="95" t="n">
        <v>27.1</v>
      </c>
      <c r="J267" s="95" t="n">
        <v>97.3</v>
      </c>
      <c r="K267" s="96" t="inlineStr">
        <is>
          <t>1364 GUMING; 1828 FWD</t>
        </is>
      </c>
    </row>
    <row r="268">
      <c r="A268" s="16" t="inlineStr">
        <is>
          <t>Ms. Pan</t>
        </is>
      </c>
      <c r="B268" s="89" t="n">
        <v>2</v>
      </c>
      <c r="C268" s="94" t="n">
        <v>50</v>
      </c>
      <c r="D268" s="95" t="n">
        <v>-2.7</v>
      </c>
      <c r="E268" s="95" t="n">
        <v>-0.3</v>
      </c>
      <c r="F268" s="95" t="n">
        <v>34.4</v>
      </c>
      <c r="G268" s="95" t="n">
        <v>235.3</v>
      </c>
      <c r="H268" s="95" t="n">
        <v>2.6</v>
      </c>
      <c r="I268" s="95" t="n">
        <v>38.8</v>
      </c>
      <c r="J268" s="95" t="n">
        <v>242</v>
      </c>
      <c r="K268" s="96" t="inlineStr">
        <is>
          <t>1364 GUMING; 3317 XUNCE</t>
        </is>
      </c>
    </row>
    <row r="269">
      <c r="A269" s="16" t="inlineStr">
        <is>
          <t>CNGR Hong Kong Material Science &amp; Technology Co., Limited</t>
        </is>
      </c>
      <c r="B269" s="89" t="n">
        <v>2</v>
      </c>
      <c r="C269" s="94" t="n">
        <v>0</v>
      </c>
      <c r="D269" s="95" t="n">
        <v>-3.3</v>
      </c>
      <c r="E269" s="95" t="n">
        <v>-2.4</v>
      </c>
      <c r="F269" s="95" t="n">
        <v>-19.1</v>
      </c>
      <c r="G269" s="95" t="n">
        <v>-45.8</v>
      </c>
      <c r="H269" s="95" t="n">
        <v>1</v>
      </c>
      <c r="I269" s="95" t="n">
        <v>-15.6</v>
      </c>
      <c r="J269" s="95" t="n">
        <v>-45.8</v>
      </c>
      <c r="K269" s="96" t="inlineStr">
        <is>
          <t>3931 CALB; 6228 MERDEKAGOLD-DRS</t>
        </is>
      </c>
    </row>
    <row r="270">
      <c r="A270" s="16" t="inlineStr">
        <is>
          <t>Affin Hwang Asset Management Berhad</t>
        </is>
      </c>
      <c r="B270" s="89" t="n">
        <v>2</v>
      </c>
      <c r="C270" s="94" t="n">
        <v>50</v>
      </c>
      <c r="D270" s="95" t="n">
        <v>-3.6</v>
      </c>
      <c r="E270" s="95" t="n">
        <v>7</v>
      </c>
      <c r="F270" s="95" t="n">
        <v>-17</v>
      </c>
      <c r="G270" s="95" t="n">
        <v>15.4</v>
      </c>
      <c r="H270" s="95" t="n">
        <v>10.8</v>
      </c>
      <c r="I270" s="95" t="n">
        <v>-13.2</v>
      </c>
      <c r="J270" s="95" t="n">
        <v>21</v>
      </c>
      <c r="K270" s="96" t="inlineStr">
        <is>
          <t>2170 BASECARE-B; 2171 CARSGEN-B</t>
        </is>
      </c>
    </row>
    <row r="271">
      <c r="A271" s="16" t="inlineStr">
        <is>
          <t>Ruihua Investment</t>
        </is>
      </c>
      <c r="B271" s="89" t="n">
        <v>2</v>
      </c>
      <c r="C271" s="94" t="n">
        <v>50</v>
      </c>
      <c r="D271" s="95" t="n">
        <v>-3.7</v>
      </c>
      <c r="E271" s="95" t="n">
        <v>-14.9</v>
      </c>
      <c r="F271" s="95" t="n">
        <v>-36.3</v>
      </c>
      <c r="G271" s="95" t="n">
        <v>-24.9</v>
      </c>
      <c r="H271" s="95" t="n">
        <v>-10.6</v>
      </c>
      <c r="I271" s="95" t="n">
        <v>-32.7</v>
      </c>
      <c r="J271" s="95" t="n">
        <v>-14.9</v>
      </c>
      <c r="K271" s="96" t="inlineStr">
        <is>
          <t>0638 FIBOCOM; 6106 SEER TECH</t>
        </is>
      </c>
    </row>
    <row r="272">
      <c r="A272" s="16" t="inlineStr">
        <is>
          <t>Triple Surge Holdings Limited</t>
        </is>
      </c>
      <c r="B272" s="89" t="n">
        <v>2</v>
      </c>
      <c r="C272" s="94" t="n">
        <v>50</v>
      </c>
      <c r="D272" s="95" t="n">
        <v>-4.8</v>
      </c>
      <c r="E272" s="95" t="n">
        <v>-23.7</v>
      </c>
      <c r="F272" s="95" t="n">
        <v>-28.6</v>
      </c>
      <c r="G272" s="95" t="n">
        <v>-50.3</v>
      </c>
      <c r="H272" s="95" t="n">
        <v>-20.7</v>
      </c>
      <c r="I272" s="95" t="n">
        <v>-25</v>
      </c>
      <c r="J272" s="95" t="n">
        <v>-46.5</v>
      </c>
      <c r="K272" s="96" t="inlineStr">
        <is>
          <t>2209 YESASIA HLDGS; 9639 WING LEE DEV</t>
        </is>
      </c>
    </row>
    <row r="273">
      <c r="A273" s="16" t="inlineStr">
        <is>
          <t>Artisan China Post-Venture Master Fund LP</t>
        </is>
      </c>
      <c r="B273" s="89" t="n">
        <v>2</v>
      </c>
      <c r="C273" s="94" t="n">
        <v>50</v>
      </c>
      <c r="D273" s="95" t="n">
        <v>-6.9</v>
      </c>
      <c r="E273" s="95" t="n">
        <v>3.1</v>
      </c>
      <c r="F273" s="95" t="n">
        <v>-7.7</v>
      </c>
      <c r="G273" s="95" t="n">
        <v>-23.4</v>
      </c>
      <c r="H273" s="95" t="n">
        <v>8.199999999999999</v>
      </c>
      <c r="I273" s="95" t="n">
        <v>-3.8</v>
      </c>
      <c r="J273" s="95" t="n">
        <v>-21.2</v>
      </c>
      <c r="K273" s="96" t="inlineStr">
        <is>
          <t>2216 BRONCUS-B; 2252 MEDBOT-B</t>
        </is>
      </c>
    </row>
    <row r="274">
      <c r="A274" s="16" t="inlineStr">
        <is>
          <t>Mercedes-Benz Mobility Services</t>
        </is>
      </c>
      <c r="B274" s="89" t="n">
        <v>2</v>
      </c>
      <c r="C274" s="94" t="n">
        <v>0</v>
      </c>
      <c r="D274" s="95" t="n">
        <v>-7.1</v>
      </c>
      <c r="E274" s="95" t="n">
        <v>-8</v>
      </c>
      <c r="F274" s="95" t="n">
        <v>-6.8</v>
      </c>
      <c r="G274" s="95" t="n">
        <v>25.2</v>
      </c>
      <c r="H274" s="95" t="n">
        <v>-1</v>
      </c>
      <c r="I274" s="95" t="n">
        <v>1.1</v>
      </c>
      <c r="J274" s="95" t="n">
        <v>45.8</v>
      </c>
      <c r="K274" s="96" t="inlineStr">
        <is>
          <t>2643 CAOCAO INC; 6880 MOMENTA-W</t>
        </is>
      </c>
    </row>
    <row r="275">
      <c r="A275" s="16" t="inlineStr">
        <is>
          <t>Sanya Development Holdings Co., Ltd</t>
        </is>
      </c>
      <c r="B275" s="89" t="n">
        <v>2</v>
      </c>
      <c r="C275" s="94" t="n">
        <v>0</v>
      </c>
      <c r="D275" s="95" t="n">
        <v>-7.6</v>
      </c>
      <c r="E275" s="95" t="n">
        <v>-19.9</v>
      </c>
      <c r="F275" s="95" t="n">
        <v>-13.9</v>
      </c>
      <c r="G275" s="95" t="n">
        <v>-28.8</v>
      </c>
      <c r="H275" s="95" t="n">
        <v>-14.5</v>
      </c>
      <c r="I275" s="95" t="n">
        <v>-8.199999999999999</v>
      </c>
      <c r="J275" s="95" t="n">
        <v>-23.8</v>
      </c>
      <c r="K275" s="96" t="inlineStr">
        <is>
          <t>9638 FERRETTI; 9639 WING LEE DEV</t>
        </is>
      </c>
    </row>
    <row r="276">
      <c r="A276" s="16" t="inlineStr">
        <is>
          <t>Carmignac Funds</t>
        </is>
      </c>
      <c r="B276" s="89" t="n">
        <v>2</v>
      </c>
      <c r="C276" s="94" t="n">
        <v>0</v>
      </c>
      <c r="D276" s="95" t="n">
        <v>-8.1</v>
      </c>
      <c r="E276" s="95" t="n">
        <v>-15.3</v>
      </c>
      <c r="F276" s="95" t="n">
        <v>-14.6</v>
      </c>
      <c r="G276" s="95" t="n">
        <v>-20.6</v>
      </c>
      <c r="H276" s="95" t="n">
        <v>-7.8</v>
      </c>
      <c r="I276" s="95" t="n">
        <v>-7.1</v>
      </c>
      <c r="J276" s="95" t="n">
        <v>-13.4</v>
      </c>
      <c r="K276" s="96" t="inlineStr">
        <is>
          <t>6127 JOINN; 9960 KINDSTAR GLOBAL</t>
        </is>
      </c>
    </row>
    <row r="277">
      <c r="A277" s="16" t="inlineStr">
        <is>
          <t>Janus Henderson Funds</t>
        </is>
      </c>
      <c r="B277" s="89" t="n">
        <v>2</v>
      </c>
      <c r="C277" s="94" t="n">
        <v>50</v>
      </c>
      <c r="D277" s="95" t="n">
        <v>-8.5</v>
      </c>
      <c r="E277" s="95" t="n">
        <v>-2.3</v>
      </c>
      <c r="F277" s="95" t="n">
        <v>-3.9</v>
      </c>
      <c r="G277" s="95" t="n">
        <v>-40.9</v>
      </c>
      <c r="H277" s="95" t="n">
        <v>4.9</v>
      </c>
      <c r="I277" s="95" t="n">
        <v>2.9</v>
      </c>
      <c r="J277" s="95" t="n">
        <v>-38</v>
      </c>
      <c r="K277" s="96" t="inlineStr">
        <is>
          <t>9959 LINKLOGIS–W; 1228 CANBRIDGE-B</t>
        </is>
      </c>
    </row>
    <row r="278">
      <c r="A278" s="16" t="inlineStr">
        <is>
          <t>Mr. Su</t>
        </is>
      </c>
      <c r="B278" s="89" t="n">
        <v>2</v>
      </c>
      <c r="C278" s="94" t="n">
        <v>50</v>
      </c>
      <c r="D278" s="95" t="n">
        <v>-9.300000000000001</v>
      </c>
      <c r="E278" s="95" t="n">
        <v>-11</v>
      </c>
      <c r="F278" s="95" t="n">
        <v>-16.8</v>
      </c>
      <c r="G278" s="95" t="n">
        <v>-26</v>
      </c>
      <c r="H278" s="95" t="n">
        <v>-1.8</v>
      </c>
      <c r="I278" s="95" t="n">
        <v>-9.1</v>
      </c>
      <c r="J278" s="95" t="n">
        <v>-16.6</v>
      </c>
      <c r="K278" s="96" t="inlineStr">
        <is>
          <t>2408 XIAO NOODLES; 2657 FOREST CABIN</t>
        </is>
      </c>
    </row>
    <row r="279">
      <c r="A279" s="16" t="inlineStr">
        <is>
          <t>Chery Commercial Vehicle (Anhui) Company Limited</t>
        </is>
      </c>
      <c r="B279" s="89" t="n">
        <v>2</v>
      </c>
      <c r="C279" s="94" t="n">
        <v>0</v>
      </c>
      <c r="D279" s="95" t="n">
        <v>-11.1</v>
      </c>
      <c r="E279" s="95" t="n">
        <v>-28.8</v>
      </c>
      <c r="F279" s="95" t="n">
        <v>-34.2</v>
      </c>
      <c r="G279" s="95" t="n">
        <v>-76.7</v>
      </c>
      <c r="H279" s="95" t="n">
        <v>-21.3</v>
      </c>
      <c r="I279" s="95" t="n">
        <v>-29.7</v>
      </c>
      <c r="J279" s="95" t="n">
        <v>-70.09999999999999</v>
      </c>
      <c r="K279" s="96" t="inlineStr">
        <is>
          <t>2246 GOGOX; 2249 NEXCHIP</t>
        </is>
      </c>
    </row>
    <row r="280">
      <c r="A280" s="16" t="inlineStr">
        <is>
          <t>Laurion Capital Master Fund Ltd</t>
        </is>
      </c>
      <c r="B280" s="89" t="n">
        <v>2</v>
      </c>
      <c r="C280" s="94" t="n">
        <v>50</v>
      </c>
      <c r="D280" s="95" t="n">
        <v>-11.2</v>
      </c>
      <c r="E280" s="95" t="n">
        <v>-12.7</v>
      </c>
      <c r="F280" s="95" t="n">
        <v>-13.6</v>
      </c>
      <c r="G280" s="95" t="n">
        <v>4.8</v>
      </c>
      <c r="H280" s="95" t="n">
        <v>-3.2</v>
      </c>
      <c r="I280" s="95" t="n">
        <v>-6.3</v>
      </c>
      <c r="J280" s="95" t="n">
        <v>15.7</v>
      </c>
      <c r="K280" s="96" t="inlineStr">
        <is>
          <t>2121 AINNOVATION; 6990 SKB BIO-B</t>
        </is>
      </c>
    </row>
    <row r="281">
      <c r="A281" s="16" t="inlineStr">
        <is>
          <t>Country Garden Property Services HK Holdings Company Limited</t>
        </is>
      </c>
      <c r="B281" s="89" t="n">
        <v>2</v>
      </c>
      <c r="C281" s="94" t="n">
        <v>0</v>
      </c>
      <c r="D281" s="95" t="n">
        <v>-12.4</v>
      </c>
      <c r="E281" s="95" t="n">
        <v>-15.1</v>
      </c>
      <c r="F281" s="95" t="n">
        <v>-26.7</v>
      </c>
      <c r="G281" s="95" t="n">
        <v>-28.9</v>
      </c>
      <c r="H281" s="95" t="n">
        <v>-3.5</v>
      </c>
      <c r="I281" s="95" t="n">
        <v>-18.4</v>
      </c>
      <c r="J281" s="95" t="n">
        <v>-21.7</v>
      </c>
      <c r="K281" s="96" t="inlineStr">
        <is>
          <t>2177 UNQ HOLDINGS; 2205 KANGQIAO SER</t>
        </is>
      </c>
    </row>
    <row r="282">
      <c r="A282" s="16" t="inlineStr">
        <is>
          <t>Qingdao Haifa Holding Development Co., Ltd</t>
        </is>
      </c>
      <c r="B282" s="89" t="n">
        <v>2</v>
      </c>
      <c r="C282" s="94" t="n">
        <v>0</v>
      </c>
      <c r="D282" s="95" t="n">
        <v>-12.5</v>
      </c>
      <c r="E282" s="95" t="n">
        <v>-19.3</v>
      </c>
      <c r="F282" s="95" t="n">
        <v>-2.3</v>
      </c>
      <c r="G282" s="95" t="n">
        <v>-16.6</v>
      </c>
      <c r="H282" s="95" t="n">
        <v>-9</v>
      </c>
      <c r="I282" s="95" t="n">
        <v>12.1</v>
      </c>
      <c r="J282" s="95" t="n">
        <v>-3.3</v>
      </c>
      <c r="K282" s="96" t="inlineStr">
        <is>
          <t>9638 FERRETTI; 1973 TIAN TU CAPITAL</t>
        </is>
      </c>
    </row>
    <row r="283">
      <c r="A283" s="16" t="inlineStr">
        <is>
          <t>Fosun Diagnostics (Shanghai) Co., Ltd</t>
        </is>
      </c>
      <c r="B283" s="89" t="n">
        <v>2</v>
      </c>
      <c r="C283" s="94" t="n">
        <v>50</v>
      </c>
      <c r="D283" s="95" t="n">
        <v>-13.2</v>
      </c>
      <c r="E283" s="95" t="n">
        <v>-16.9</v>
      </c>
      <c r="F283" s="95" t="n">
        <v>-23.1</v>
      </c>
      <c r="G283" s="95" t="n">
        <v>-13.7</v>
      </c>
      <c r="H283" s="95" t="n">
        <v>-2.2</v>
      </c>
      <c r="I283" s="95" t="n">
        <v>-11.9</v>
      </c>
      <c r="J283" s="95" t="n">
        <v>-3.8</v>
      </c>
      <c r="K283" s="96" t="inlineStr">
        <is>
          <t>9860 ADICON HOLDINGS; 2566 JIUYUAN GENE</t>
        </is>
      </c>
    </row>
    <row r="284">
      <c r="A284" s="16" t="inlineStr">
        <is>
          <t>CEPHEI</t>
        </is>
      </c>
      <c r="B284" s="89" t="n">
        <v>2</v>
      </c>
      <c r="C284" s="94" t="n">
        <v>0</v>
      </c>
      <c r="D284" s="95" t="n">
        <v>-13.3</v>
      </c>
      <c r="E284" s="95" t="n">
        <v>-19.7</v>
      </c>
      <c r="F284" s="95" t="n">
        <v>-39.6</v>
      </c>
      <c r="G284" s="95" t="n">
        <v>-28.7</v>
      </c>
      <c r="H284" s="95" t="n">
        <v>-7.6</v>
      </c>
      <c r="I284" s="95" t="n">
        <v>-30</v>
      </c>
      <c r="J284" s="95" t="n">
        <v>-19.7</v>
      </c>
      <c r="K284" s="96" t="inlineStr">
        <is>
          <t>2216 BRONCUS-B; 2602 ONEWO</t>
        </is>
      </c>
    </row>
    <row r="285">
      <c r="A285" s="16" t="inlineStr">
        <is>
          <t>Superstring Capital Master Fund LP</t>
        </is>
      </c>
      <c r="B285" s="89" t="n">
        <v>2</v>
      </c>
      <c r="C285" s="94" t="n">
        <v>0</v>
      </c>
      <c r="D285" s="95" t="n">
        <v>-13.8</v>
      </c>
      <c r="E285" s="95" t="n">
        <v>-25.4</v>
      </c>
      <c r="F285" s="95" t="n">
        <v>-29.6</v>
      </c>
      <c r="G285" s="95" t="n">
        <v>-37.3</v>
      </c>
      <c r="H285" s="95" t="n">
        <v>-12.5</v>
      </c>
      <c r="I285" s="95" t="n">
        <v>-19</v>
      </c>
      <c r="J285" s="95" t="n">
        <v>-29.1</v>
      </c>
      <c r="K285" s="96" t="inlineStr">
        <is>
          <t>6609 HEARTCARE-B; 2197 CLOVER BIO-B</t>
        </is>
      </c>
    </row>
    <row r="286">
      <c r="A286" s="16" t="inlineStr">
        <is>
          <t>Huzhou Erqing Asset Operation Co., Ltd</t>
        </is>
      </c>
      <c r="B286" s="89" t="n">
        <v>2</v>
      </c>
      <c r="C286" s="94" t="n">
        <v>0</v>
      </c>
      <c r="D286" s="95" t="n">
        <v>-14.5</v>
      </c>
      <c r="E286" s="95" t="n">
        <v>-4.5</v>
      </c>
      <c r="F286" s="95" t="n">
        <v>-11.6</v>
      </c>
      <c r="G286" s="95" t="n">
        <v>-5.6</v>
      </c>
      <c r="H286" s="95" t="n">
        <v>12.1</v>
      </c>
      <c r="I286" s="95" t="n">
        <v>3.8</v>
      </c>
      <c r="J286" s="95" t="n">
        <v>11</v>
      </c>
      <c r="K286" s="96" t="inlineStr">
        <is>
          <t>6661 HUZHOU GAS; 2409 SEACON</t>
        </is>
      </c>
    </row>
    <row r="287">
      <c r="A287" s="16" t="inlineStr">
        <is>
          <t>Qianhai Kaiyuan Qunwei QDII Plan</t>
        </is>
      </c>
      <c r="B287" s="89" t="n">
        <v>2</v>
      </c>
      <c r="C287" s="94" t="n">
        <v>0</v>
      </c>
      <c r="D287" s="95" t="n">
        <v>-14.9</v>
      </c>
      <c r="E287" s="95" t="n">
        <v>-15.8</v>
      </c>
      <c r="F287" s="95" t="n">
        <v>-12.3</v>
      </c>
      <c r="G287" s="95" t="n">
        <v>-1.8</v>
      </c>
      <c r="H287" s="95" t="n">
        <v>-1.1</v>
      </c>
      <c r="I287" s="95" t="n">
        <v>3</v>
      </c>
      <c r="J287" s="95" t="n">
        <v>15.6</v>
      </c>
      <c r="K287" s="96" t="inlineStr">
        <is>
          <t>3881 CIDI; 2715 ESTUN</t>
        </is>
      </c>
    </row>
    <row r="288">
      <c r="A288" s="16" t="inlineStr">
        <is>
          <t>Mr. Wu Qiyuan</t>
        </is>
      </c>
      <c r="B288" s="89" t="n">
        <v>2</v>
      </c>
      <c r="C288" s="94" t="n">
        <v>50</v>
      </c>
      <c r="D288" s="95" t="n">
        <v>-15.4</v>
      </c>
      <c r="E288" s="95" t="n">
        <v>-15.6</v>
      </c>
      <c r="F288" s="95" t="n">
        <v>-38.2</v>
      </c>
      <c r="G288" s="95" t="n">
        <v>-44.8</v>
      </c>
      <c r="H288" s="95" t="n">
        <v>0.9</v>
      </c>
      <c r="I288" s="95" t="n">
        <v>-24.1</v>
      </c>
      <c r="J288" s="95" t="n">
        <v>-30.5</v>
      </c>
      <c r="K288" s="96" t="inlineStr">
        <is>
          <t>2566 JIUYUAN GENE; 2671 USAS BUILDING</t>
        </is>
      </c>
    </row>
    <row r="289">
      <c r="A289" s="16" t="inlineStr">
        <is>
          <t>Jinhua Industrial Fund Co., Ltd</t>
        </is>
      </c>
      <c r="B289" s="89" t="n">
        <v>2</v>
      </c>
      <c r="C289" s="94" t="n">
        <v>50</v>
      </c>
      <c r="D289" s="95" t="n">
        <v>-16.3</v>
      </c>
      <c r="E289" s="95" t="n">
        <v>-25</v>
      </c>
      <c r="F289" s="95" t="n">
        <v>-30.8</v>
      </c>
      <c r="G289" s="95" t="n">
        <v>-19.2</v>
      </c>
      <c r="H289" s="95" t="n">
        <v>-12.4</v>
      </c>
      <c r="I289" s="95" t="n">
        <v>-21.8</v>
      </c>
      <c r="J289" s="95" t="n">
        <v>-3.8</v>
      </c>
      <c r="K289" s="96" t="inlineStr">
        <is>
          <t>9863 LEAPMOTOR; 2451 LUYUAN GP HLDG</t>
        </is>
      </c>
    </row>
    <row r="290">
      <c r="A290" s="16" t="inlineStr">
        <is>
          <t>Zoomlion International Trading (H.K.) Co., Limited</t>
        </is>
      </c>
      <c r="B290" s="89" t="n">
        <v>2</v>
      </c>
      <c r="C290" s="94" t="n">
        <v>0</v>
      </c>
      <c r="D290" s="95" t="n">
        <v>-18.8</v>
      </c>
      <c r="E290" s="95" t="n">
        <v>-17.8</v>
      </c>
      <c r="F290" s="95" t="n">
        <v>-29.3</v>
      </c>
      <c r="G290" s="95" t="n">
        <v>-25.1</v>
      </c>
      <c r="H290" s="95" t="n">
        <v>-0.8</v>
      </c>
      <c r="I290" s="95" t="n">
        <v>-13.9</v>
      </c>
      <c r="J290" s="95" t="n">
        <v>-8.1</v>
      </c>
      <c r="K290" s="96" t="inlineStr">
        <is>
          <t>2153 TAT HONG EQUIP; 9930 HORIZON CD</t>
        </is>
      </c>
    </row>
    <row r="291">
      <c r="A291" s="16" t="inlineStr">
        <is>
          <t>Jointown International Group Company Limited</t>
        </is>
      </c>
      <c r="B291" s="89" t="n">
        <v>2</v>
      </c>
      <c r="C291" s="94" t="n">
        <v>0</v>
      </c>
      <c r="D291" s="95" t="n">
        <v>-19.2</v>
      </c>
      <c r="E291" s="95" t="n">
        <v>-20.4</v>
      </c>
      <c r="F291" s="95" t="n">
        <v>-23.5</v>
      </c>
      <c r="G291" s="95" t="n">
        <v>-24</v>
      </c>
      <c r="H291" s="95" t="n">
        <v>-0.3</v>
      </c>
      <c r="I291" s="95" t="n">
        <v>-6.9</v>
      </c>
      <c r="J291" s="95" t="n">
        <v>-7.6</v>
      </c>
      <c r="K291" s="96" t="inlineStr">
        <is>
          <t>2291 SCIENTECH; 2566 JIUYUAN GENE</t>
        </is>
      </c>
    </row>
    <row r="292">
      <c r="A292" s="16" t="inlineStr">
        <is>
          <t>Zou Zhiyong</t>
        </is>
      </c>
      <c r="B292" s="89" t="n">
        <v>2</v>
      </c>
      <c r="C292" s="94" t="n">
        <v>50</v>
      </c>
      <c r="D292" s="95" t="n">
        <v>-23</v>
      </c>
      <c r="E292" s="95" t="n">
        <v>-32.7</v>
      </c>
      <c r="F292" s="95" t="n">
        <v>-38.7</v>
      </c>
      <c r="G292" s="95" t="n">
        <v>-22.8</v>
      </c>
      <c r="H292" s="95" t="n">
        <v>-9.9</v>
      </c>
      <c r="I292" s="95" t="n">
        <v>-16</v>
      </c>
      <c r="J292" s="95" t="n">
        <v>18.6</v>
      </c>
      <c r="K292" s="96" t="inlineStr">
        <is>
          <t>3378 HANXBIO-B; 1641 HX COLDCHAIN</t>
        </is>
      </c>
    </row>
    <row r="293">
      <c r="A293" s="16" t="inlineStr">
        <is>
          <t>CELESTIAL OCEAN INVESTMENTS LIMITED</t>
        </is>
      </c>
      <c r="B293" s="89" t="n">
        <v>2</v>
      </c>
      <c r="C293" s="94" t="n">
        <v>0</v>
      </c>
      <c r="D293" s="95" t="n">
        <v>-27.2</v>
      </c>
      <c r="E293" s="95" t="n">
        <v>-37.9</v>
      </c>
      <c r="F293" s="95" t="n">
        <v>-40.7</v>
      </c>
      <c r="G293" s="95" t="n">
        <v>-11.5</v>
      </c>
      <c r="H293" s="95" t="n">
        <v>-25.5</v>
      </c>
      <c r="I293" s="95" t="n">
        <v>-28.9</v>
      </c>
      <c r="J293" s="95" t="n">
        <v>14.1</v>
      </c>
      <c r="K293" s="96" t="inlineStr">
        <is>
          <t>1519 J&amp;T EXPRESS-W; 2586 DMALL</t>
        </is>
      </c>
    </row>
    <row r="294">
      <c r="A294" s="16" t="inlineStr">
        <is>
          <t>Baillie Gifford Overseas Limited及Baillie Gifford &amp; Co</t>
        </is>
      </c>
      <c r="B294" s="89" t="n">
        <v>1</v>
      </c>
      <c r="C294" s="94" t="n">
        <v>100</v>
      </c>
      <c r="D294" s="95" t="n">
        <v>383.6</v>
      </c>
      <c r="E294" s="95" t="n">
        <v>385</v>
      </c>
      <c r="F294" s="95" t="n">
        <v>236.2</v>
      </c>
      <c r="G294" s="95" t="n">
        <v>27.3</v>
      </c>
      <c r="H294" s="95" t="n">
        <v>0.3</v>
      </c>
      <c r="I294" s="95" t="n">
        <v>-30.5</v>
      </c>
      <c r="J294" s="95" t="n">
        <v>-73.7</v>
      </c>
      <c r="K294" s="96" t="inlineStr">
        <is>
          <t>1879 XIZHI TECH-P</t>
        </is>
      </c>
    </row>
    <row r="295">
      <c r="A295" s="16" t="inlineStr">
        <is>
          <t>Lenovo Group Limited</t>
        </is>
      </c>
      <c r="B295" s="89" t="n">
        <v>1</v>
      </c>
      <c r="C295" s="94" t="n">
        <v>100</v>
      </c>
      <c r="D295" s="95" t="n">
        <v>383.6</v>
      </c>
      <c r="E295" s="95" t="n">
        <v>385</v>
      </c>
      <c r="F295" s="95" t="n">
        <v>236.2</v>
      </c>
      <c r="G295" s="95" t="n">
        <v>27.3</v>
      </c>
      <c r="H295" s="95" t="n">
        <v>0.3</v>
      </c>
      <c r="I295" s="95" t="n">
        <v>-30.5</v>
      </c>
      <c r="J295" s="95" t="n">
        <v>-73.7</v>
      </c>
      <c r="K295" s="96" t="inlineStr">
        <is>
          <t>1879 XIZHI TECH-P</t>
        </is>
      </c>
    </row>
    <row r="296">
      <c r="A296" s="16" t="inlineStr">
        <is>
          <t>Shanghai CM Digital Transformation Investment Fund, L.P</t>
        </is>
      </c>
      <c r="B296" s="89" t="n">
        <v>1</v>
      </c>
      <c r="C296" s="94" t="n">
        <v>100</v>
      </c>
      <c r="D296" s="95" t="n">
        <v>383.6</v>
      </c>
      <c r="E296" s="95" t="n">
        <v>385</v>
      </c>
      <c r="F296" s="95" t="n">
        <v>236.2</v>
      </c>
      <c r="G296" s="95" t="n">
        <v>27.3</v>
      </c>
      <c r="H296" s="95" t="n">
        <v>0.3</v>
      </c>
      <c r="I296" s="95" t="n">
        <v>-30.5</v>
      </c>
      <c r="J296" s="95" t="n">
        <v>-73.7</v>
      </c>
      <c r="K296" s="96" t="inlineStr">
        <is>
          <t>1879 XIZHI TECH-P</t>
        </is>
      </c>
    </row>
    <row r="297">
      <c r="A297" s="16" t="inlineStr">
        <is>
          <t>ZTE (H.K.) Limited</t>
        </is>
      </c>
      <c r="B297" s="89" t="n">
        <v>1</v>
      </c>
      <c r="C297" s="94" t="n">
        <v>100</v>
      </c>
      <c r="D297" s="95" t="n">
        <v>383.6</v>
      </c>
      <c r="E297" s="95" t="n">
        <v>385</v>
      </c>
      <c r="F297" s="95" t="n">
        <v>236.2</v>
      </c>
      <c r="G297" s="95" t="n">
        <v>27.3</v>
      </c>
      <c r="H297" s="95" t="n">
        <v>0.3</v>
      </c>
      <c r="I297" s="95" t="n">
        <v>-30.5</v>
      </c>
      <c r="J297" s="95" t="n">
        <v>-73.7</v>
      </c>
      <c r="K297" s="96" t="inlineStr">
        <is>
          <t>1879 XIZHI TECH-P</t>
        </is>
      </c>
    </row>
    <row r="298">
      <c r="A298" s="16" t="inlineStr">
        <is>
          <t>GLY New Mobility 2. LP</t>
        </is>
      </c>
      <c r="B298" s="89" t="n">
        <v>1</v>
      </c>
      <c r="C298" s="94" t="n">
        <v>100</v>
      </c>
      <c r="D298" s="95" t="n">
        <v>367.9</v>
      </c>
      <c r="E298" s="95" t="n">
        <v>295.2</v>
      </c>
      <c r="F298" s="95" t="n">
        <v>280.8</v>
      </c>
      <c r="G298" s="95" t="n"/>
      <c r="H298" s="95" t="n">
        <v>-15.6</v>
      </c>
      <c r="I298" s="95" t="n">
        <v>-18.6</v>
      </c>
      <c r="J298" s="95" t="n"/>
      <c r="K298" s="96" t="inlineStr">
        <is>
          <t>2672 BAIGE DIGITAL</t>
        </is>
      </c>
    </row>
    <row r="299">
      <c r="A299" s="16" t="inlineStr">
        <is>
          <t>Mr. Ke Jiaqi</t>
        </is>
      </c>
      <c r="B299" s="89" t="n">
        <v>1</v>
      </c>
      <c r="C299" s="94" t="n">
        <v>100</v>
      </c>
      <c r="D299" s="95" t="n">
        <v>367.9</v>
      </c>
      <c r="E299" s="95" t="n">
        <v>295.2</v>
      </c>
      <c r="F299" s="95" t="n">
        <v>280.8</v>
      </c>
      <c r="G299" s="95" t="n"/>
      <c r="H299" s="95" t="n">
        <v>-15.6</v>
      </c>
      <c r="I299" s="95" t="n">
        <v>-18.6</v>
      </c>
      <c r="J299" s="95" t="n"/>
      <c r="K299" s="96" t="inlineStr">
        <is>
          <t>2672 BAIGE DIGITAL</t>
        </is>
      </c>
    </row>
    <row r="300">
      <c r="A300" s="16" t="inlineStr">
        <is>
          <t>Huayou HongKong Holding Limited</t>
        </is>
      </c>
      <c r="B300" s="89" t="n">
        <v>1</v>
      </c>
      <c r="C300" s="94" t="n">
        <v>100</v>
      </c>
      <c r="D300" s="95" t="n">
        <v>258.9</v>
      </c>
      <c r="E300" s="95" t="n">
        <v>459.7</v>
      </c>
      <c r="F300" s="95" t="n">
        <v>303.2</v>
      </c>
      <c r="G300" s="95" t="n">
        <v>290.7</v>
      </c>
      <c r="H300" s="95" t="n">
        <v>56</v>
      </c>
      <c r="I300" s="95" t="n">
        <v>12.4</v>
      </c>
      <c r="J300" s="95" t="n">
        <v>8.9</v>
      </c>
      <c r="K300" s="96" t="inlineStr">
        <is>
          <t>2155 MORIMATSU INTL</t>
        </is>
      </c>
    </row>
    <row r="301">
      <c r="A301" s="16" t="inlineStr">
        <is>
          <t>Hwa-An International Limited</t>
        </is>
      </c>
      <c r="B301" s="89" t="n">
        <v>1</v>
      </c>
      <c r="C301" s="94" t="n">
        <v>100</v>
      </c>
      <c r="D301" s="95" t="n">
        <v>258.9</v>
      </c>
      <c r="E301" s="95" t="n">
        <v>459.7</v>
      </c>
      <c r="F301" s="95" t="n">
        <v>303.2</v>
      </c>
      <c r="G301" s="95" t="n">
        <v>290.7</v>
      </c>
      <c r="H301" s="95" t="n">
        <v>56</v>
      </c>
      <c r="I301" s="95" t="n">
        <v>12.4</v>
      </c>
      <c r="J301" s="95" t="n">
        <v>8.9</v>
      </c>
      <c r="K301" s="96" t="inlineStr">
        <is>
          <t>2155 MORIMATSU INTL</t>
        </is>
      </c>
    </row>
    <row r="302">
      <c r="A302" s="16" t="inlineStr">
        <is>
          <t>Jingzhirui (Suzhou) Microelectronic Technology Co., Ltd</t>
        </is>
      </c>
      <c r="B302" s="89" t="n">
        <v>1</v>
      </c>
      <c r="C302" s="94" t="n">
        <v>100</v>
      </c>
      <c r="D302" s="95" t="n">
        <v>258.9</v>
      </c>
      <c r="E302" s="95" t="n">
        <v>459.7</v>
      </c>
      <c r="F302" s="95" t="n">
        <v>303.2</v>
      </c>
      <c r="G302" s="95" t="n">
        <v>290.7</v>
      </c>
      <c r="H302" s="95" t="n">
        <v>56</v>
      </c>
      <c r="I302" s="95" t="n">
        <v>12.4</v>
      </c>
      <c r="J302" s="95" t="n">
        <v>8.9</v>
      </c>
      <c r="K302" s="96" t="inlineStr">
        <is>
          <t>2155 MORIMATSU INTL</t>
        </is>
      </c>
    </row>
    <row r="303">
      <c r="A303" s="16" t="inlineStr">
        <is>
          <t>Zhang Ning</t>
        </is>
      </c>
      <c r="B303" s="89" t="n">
        <v>1</v>
      </c>
      <c r="C303" s="94" t="n">
        <v>100</v>
      </c>
      <c r="D303" s="95" t="n">
        <v>258.9</v>
      </c>
      <c r="E303" s="95" t="n">
        <v>459.7</v>
      </c>
      <c r="F303" s="95" t="n">
        <v>303.2</v>
      </c>
      <c r="G303" s="95" t="n">
        <v>290.7</v>
      </c>
      <c r="H303" s="95" t="n">
        <v>56</v>
      </c>
      <c r="I303" s="95" t="n">
        <v>12.4</v>
      </c>
      <c r="J303" s="95" t="n">
        <v>8.9</v>
      </c>
      <c r="K303" s="96" t="inlineStr">
        <is>
          <t>2155 MORIMATSU INTL</t>
        </is>
      </c>
    </row>
    <row r="304">
      <c r="A304" s="16" t="inlineStr">
        <is>
          <t>Ms. Fan</t>
        </is>
      </c>
      <c r="B304" s="89" t="n">
        <v>1</v>
      </c>
      <c r="C304" s="94" t="n">
        <v>100</v>
      </c>
      <c r="D304" s="95" t="n">
        <v>258.1</v>
      </c>
      <c r="E304" s="95" t="n">
        <v>457.4</v>
      </c>
      <c r="F304" s="95" t="n">
        <v>456.4</v>
      </c>
      <c r="G304" s="95" t="n">
        <v>467.2</v>
      </c>
      <c r="H304" s="95" t="n">
        <v>55.7</v>
      </c>
      <c r="I304" s="95" t="n">
        <v>55.4</v>
      </c>
      <c r="J304" s="95" t="n">
        <v>58.4</v>
      </c>
      <c r="K304" s="96" t="inlineStr">
        <is>
          <t>2583 HIPINE</t>
        </is>
      </c>
    </row>
    <row r="305">
      <c r="A305" s="16" t="inlineStr">
        <is>
          <t>Jinyingu Investment</t>
        </is>
      </c>
      <c r="B305" s="89" t="n">
        <v>1</v>
      </c>
      <c r="C305" s="94" t="n">
        <v>100</v>
      </c>
      <c r="D305" s="95" t="n">
        <v>258.1</v>
      </c>
      <c r="E305" s="95" t="n">
        <v>457.4</v>
      </c>
      <c r="F305" s="95" t="n">
        <v>456.4</v>
      </c>
      <c r="G305" s="95" t="n">
        <v>467.2</v>
      </c>
      <c r="H305" s="95" t="n">
        <v>55.7</v>
      </c>
      <c r="I305" s="95" t="n">
        <v>55.4</v>
      </c>
      <c r="J305" s="95" t="n">
        <v>58.4</v>
      </c>
      <c r="K305" s="96" t="inlineStr">
        <is>
          <t>2583 HIPINE</t>
        </is>
      </c>
    </row>
    <row r="306">
      <c r="A306" s="16" t="inlineStr">
        <is>
          <t>Ren Xuyang (任旭陽)</t>
        </is>
      </c>
      <c r="B306" s="89" t="n">
        <v>1</v>
      </c>
      <c r="C306" s="94" t="n">
        <v>100</v>
      </c>
      <c r="D306" s="95" t="n">
        <v>242.2</v>
      </c>
      <c r="E306" s="95" t="n">
        <v>298.7</v>
      </c>
      <c r="F306" s="95" t="n">
        <v>204.7</v>
      </c>
      <c r="G306" s="95" t="n">
        <v>132.4</v>
      </c>
      <c r="H306" s="95" t="n">
        <v>16.5</v>
      </c>
      <c r="I306" s="95" t="n">
        <v>-11</v>
      </c>
      <c r="J306" s="95" t="n">
        <v>-32.1</v>
      </c>
      <c r="K306" s="96" t="inlineStr">
        <is>
          <t>2706 HAIZHI TECH GP</t>
        </is>
      </c>
    </row>
    <row r="307">
      <c r="A307" s="16" t="inlineStr">
        <is>
          <t>Yang Zaifei (楊再飛)</t>
        </is>
      </c>
      <c r="B307" s="89" t="n">
        <v>1</v>
      </c>
      <c r="C307" s="94" t="n">
        <v>100</v>
      </c>
      <c r="D307" s="95" t="n">
        <v>242.2</v>
      </c>
      <c r="E307" s="95" t="n">
        <v>298.7</v>
      </c>
      <c r="F307" s="95" t="n">
        <v>204.7</v>
      </c>
      <c r="G307" s="95" t="n">
        <v>132.4</v>
      </c>
      <c r="H307" s="95" t="n">
        <v>16.5</v>
      </c>
      <c r="I307" s="95" t="n">
        <v>-11</v>
      </c>
      <c r="J307" s="95" t="n">
        <v>-32.1</v>
      </c>
      <c r="K307" s="96" t="inlineStr">
        <is>
          <t>2706 HAIZHI TECH GP</t>
        </is>
      </c>
    </row>
    <row r="308">
      <c r="A308" s="16" t="inlineStr">
        <is>
          <t>BAI GmbH</t>
        </is>
      </c>
      <c r="B308" s="89" t="n">
        <v>1</v>
      </c>
      <c r="C308" s="94" t="n">
        <v>100</v>
      </c>
      <c r="D308" s="95" t="n">
        <v>242.2</v>
      </c>
      <c r="E308" s="95" t="n">
        <v>298.7</v>
      </c>
      <c r="F308" s="95" t="n">
        <v>204.7</v>
      </c>
      <c r="G308" s="95" t="n">
        <v>132.4</v>
      </c>
      <c r="H308" s="95" t="n">
        <v>16.5</v>
      </c>
      <c r="I308" s="95" t="n">
        <v>-11</v>
      </c>
      <c r="J308" s="95" t="n">
        <v>-32.1</v>
      </c>
      <c r="K308" s="96" t="inlineStr">
        <is>
          <t>2706 HAIZHI TECH GP</t>
        </is>
      </c>
    </row>
    <row r="309">
      <c r="A309" s="16" t="inlineStr">
        <is>
          <t>SKY FINE LIMITED</t>
        </is>
      </c>
      <c r="B309" s="89" t="n">
        <v>1</v>
      </c>
      <c r="C309" s="94" t="n">
        <v>100</v>
      </c>
      <c r="D309" s="95" t="n">
        <v>242.2</v>
      </c>
      <c r="E309" s="95" t="n">
        <v>298.7</v>
      </c>
      <c r="F309" s="95" t="n">
        <v>204.7</v>
      </c>
      <c r="G309" s="95" t="n">
        <v>132.4</v>
      </c>
      <c r="H309" s="95" t="n">
        <v>16.5</v>
      </c>
      <c r="I309" s="95" t="n">
        <v>-11</v>
      </c>
      <c r="J309" s="95" t="n">
        <v>-32.1</v>
      </c>
      <c r="K309" s="96" t="inlineStr">
        <is>
          <t>2706 HAIZHI TECH GP</t>
        </is>
      </c>
    </row>
    <row r="310">
      <c r="A310" s="16" t="inlineStr">
        <is>
          <t>Yifang Technology Group, Ltd</t>
        </is>
      </c>
      <c r="B310" s="89" t="n">
        <v>1</v>
      </c>
      <c r="C310" s="94" t="n">
        <v>100</v>
      </c>
      <c r="D310" s="95" t="n">
        <v>242.2</v>
      </c>
      <c r="E310" s="95" t="n">
        <v>298.7</v>
      </c>
      <c r="F310" s="95" t="n">
        <v>204.7</v>
      </c>
      <c r="G310" s="95" t="n">
        <v>132.4</v>
      </c>
      <c r="H310" s="95" t="n">
        <v>16.5</v>
      </c>
      <c r="I310" s="95" t="n">
        <v>-11</v>
      </c>
      <c r="J310" s="95" t="n">
        <v>-32.1</v>
      </c>
      <c r="K310" s="96" t="inlineStr">
        <is>
          <t>2706 HAIZHI TECH GP</t>
        </is>
      </c>
    </row>
    <row r="311">
      <c r="A311" s="16" t="inlineStr">
        <is>
          <t>Shi Youcai (史有才)</t>
        </is>
      </c>
      <c r="B311" s="89" t="n">
        <v>1</v>
      </c>
      <c r="C311" s="94" t="n">
        <v>100</v>
      </c>
      <c r="D311" s="95" t="n">
        <v>242.2</v>
      </c>
      <c r="E311" s="95" t="n">
        <v>298.7</v>
      </c>
      <c r="F311" s="95" t="n">
        <v>204.7</v>
      </c>
      <c r="G311" s="95" t="n">
        <v>132.4</v>
      </c>
      <c r="H311" s="95" t="n">
        <v>16.5</v>
      </c>
      <c r="I311" s="95" t="n">
        <v>-11</v>
      </c>
      <c r="J311" s="95" t="n">
        <v>-32.1</v>
      </c>
      <c r="K311" s="96" t="inlineStr">
        <is>
          <t>2706 HAIZHI TECH GP</t>
        </is>
      </c>
    </row>
    <row r="312">
      <c r="A312" s="16" t="inlineStr">
        <is>
          <t>Yang Juan (楊娟)</t>
        </is>
      </c>
      <c r="B312" s="89" t="n">
        <v>1</v>
      </c>
      <c r="C312" s="94" t="n">
        <v>100</v>
      </c>
      <c r="D312" s="95" t="n">
        <v>242.2</v>
      </c>
      <c r="E312" s="95" t="n">
        <v>298.7</v>
      </c>
      <c r="F312" s="95" t="n">
        <v>204.7</v>
      </c>
      <c r="G312" s="95" t="n">
        <v>132.4</v>
      </c>
      <c r="H312" s="95" t="n">
        <v>16.5</v>
      </c>
      <c r="I312" s="95" t="n">
        <v>-11</v>
      </c>
      <c r="J312" s="95" t="n">
        <v>-32.1</v>
      </c>
      <c r="K312" s="96" t="inlineStr">
        <is>
          <t>2706 HAIZHI TECH GP</t>
        </is>
      </c>
    </row>
    <row r="313">
      <c r="A313" s="16" t="inlineStr">
        <is>
          <t>Wan Pengjiang (萬澎江)</t>
        </is>
      </c>
      <c r="B313" s="89" t="n">
        <v>1</v>
      </c>
      <c r="C313" s="94" t="n">
        <v>100</v>
      </c>
      <c r="D313" s="95" t="n">
        <v>242.2</v>
      </c>
      <c r="E313" s="95" t="n">
        <v>298.7</v>
      </c>
      <c r="F313" s="95" t="n">
        <v>204.7</v>
      </c>
      <c r="G313" s="95" t="n">
        <v>132.4</v>
      </c>
      <c r="H313" s="95" t="n">
        <v>16.5</v>
      </c>
      <c r="I313" s="95" t="n">
        <v>-11</v>
      </c>
      <c r="J313" s="95" t="n">
        <v>-32.1</v>
      </c>
      <c r="K313" s="96" t="inlineStr">
        <is>
          <t>2706 HAIZHI TECH GP</t>
        </is>
      </c>
    </row>
    <row r="314">
      <c r="A314" s="16" t="inlineStr">
        <is>
          <t>Hu Song (胡嵩)</t>
        </is>
      </c>
      <c r="B314" s="89" t="n">
        <v>1</v>
      </c>
      <c r="C314" s="94" t="n">
        <v>100</v>
      </c>
      <c r="D314" s="95" t="n">
        <v>242.2</v>
      </c>
      <c r="E314" s="95" t="n">
        <v>298.7</v>
      </c>
      <c r="F314" s="95" t="n">
        <v>204.7</v>
      </c>
      <c r="G314" s="95" t="n">
        <v>132.4</v>
      </c>
      <c r="H314" s="95" t="n">
        <v>16.5</v>
      </c>
      <c r="I314" s="95" t="n">
        <v>-11</v>
      </c>
      <c r="J314" s="95" t="n">
        <v>-32.1</v>
      </c>
      <c r="K314" s="96" t="inlineStr">
        <is>
          <t>2706 HAIZHI TECH GP</t>
        </is>
      </c>
    </row>
    <row r="315">
      <c r="A315" s="16" t="inlineStr">
        <is>
          <t>TAL China Focus Master Fund</t>
        </is>
      </c>
      <c r="B315" s="89" t="n">
        <v>1</v>
      </c>
      <c r="C315" s="94" t="n">
        <v>100</v>
      </c>
      <c r="D315" s="95" t="n">
        <v>242.2</v>
      </c>
      <c r="E315" s="95" t="n">
        <v>298.7</v>
      </c>
      <c r="F315" s="95" t="n">
        <v>204.7</v>
      </c>
      <c r="G315" s="95" t="n">
        <v>132.4</v>
      </c>
      <c r="H315" s="95" t="n">
        <v>16.5</v>
      </c>
      <c r="I315" s="95" t="n">
        <v>-11</v>
      </c>
      <c r="J315" s="95" t="n">
        <v>-32.1</v>
      </c>
      <c r="K315" s="96" t="inlineStr">
        <is>
          <t>2706 HAIZHI TECH GP</t>
        </is>
      </c>
    </row>
    <row r="316">
      <c r="A316" s="16" t="inlineStr">
        <is>
          <t>Alternative Fund, L.P</t>
        </is>
      </c>
      <c r="B316" s="89" t="n">
        <v>1</v>
      </c>
      <c r="C316" s="94" t="n">
        <v>100</v>
      </c>
      <c r="D316" s="95" t="n">
        <v>242.2</v>
      </c>
      <c r="E316" s="95" t="n">
        <v>298.7</v>
      </c>
      <c r="F316" s="95" t="n">
        <v>204.7</v>
      </c>
      <c r="G316" s="95" t="n">
        <v>132.4</v>
      </c>
      <c r="H316" s="95" t="n">
        <v>16.5</v>
      </c>
      <c r="I316" s="95" t="n">
        <v>-11</v>
      </c>
      <c r="J316" s="95" t="n">
        <v>-32.1</v>
      </c>
      <c r="K316" s="96" t="inlineStr">
        <is>
          <t>2706 HAIZHI TECH GP</t>
        </is>
      </c>
    </row>
    <row r="317">
      <c r="A317" s="16" t="inlineStr">
        <is>
          <t>XINWUTANG CO., LIMITED</t>
        </is>
      </c>
      <c r="B317" s="89" t="n">
        <v>1</v>
      </c>
      <c r="C317" s="94" t="n">
        <v>100</v>
      </c>
      <c r="D317" s="95" t="n">
        <v>241.1</v>
      </c>
      <c r="E317" s="95" t="n">
        <v>216.6</v>
      </c>
      <c r="F317" s="95" t="n">
        <v>201.5</v>
      </c>
      <c r="G317" s="95" t="n">
        <v>136.7</v>
      </c>
      <c r="H317" s="95" t="n">
        <v>-7.2</v>
      </c>
      <c r="I317" s="95" t="n">
        <v>-11.6</v>
      </c>
      <c r="J317" s="95" t="n">
        <v>-30.6</v>
      </c>
      <c r="K317" s="96" t="inlineStr">
        <is>
          <t>6810 SUNMI TECH-W</t>
        </is>
      </c>
    </row>
    <row r="318">
      <c r="A318" s="16" t="inlineStr">
        <is>
          <t>Carsonlin Investment Ltd</t>
        </is>
      </c>
      <c r="B318" s="89" t="n">
        <v>1</v>
      </c>
      <c r="C318" s="94" t="n">
        <v>100</v>
      </c>
      <c r="D318" s="95" t="n">
        <v>230.2</v>
      </c>
      <c r="E318" s="95" t="n">
        <v>281.1</v>
      </c>
      <c r="F318" s="95" t="n">
        <v>196.2</v>
      </c>
      <c r="G318" s="95" t="n">
        <v>696.2</v>
      </c>
      <c r="H318" s="95" t="n">
        <v>15.4</v>
      </c>
      <c r="I318" s="95" t="n">
        <v>-10.3</v>
      </c>
      <c r="J318" s="95" t="n">
        <v>141.1</v>
      </c>
      <c r="K318" s="96" t="inlineStr">
        <is>
          <t>2427 GUANZE MEDICAL</t>
        </is>
      </c>
    </row>
    <row r="319">
      <c r="A319" s="16" t="inlineStr">
        <is>
          <t>Mu Min</t>
        </is>
      </c>
      <c r="B319" s="89" t="n">
        <v>1</v>
      </c>
      <c r="C319" s="94" t="n">
        <v>100</v>
      </c>
      <c r="D319" s="95" t="n">
        <v>230.2</v>
      </c>
      <c r="E319" s="95" t="n">
        <v>281.1</v>
      </c>
      <c r="F319" s="95" t="n">
        <v>196.2</v>
      </c>
      <c r="G319" s="95" t="n">
        <v>696.2</v>
      </c>
      <c r="H319" s="95" t="n">
        <v>15.4</v>
      </c>
      <c r="I319" s="95" t="n">
        <v>-10.3</v>
      </c>
      <c r="J319" s="95" t="n">
        <v>141.1</v>
      </c>
      <c r="K319" s="96" t="inlineStr">
        <is>
          <t>2427 GUANZE MEDICAL</t>
        </is>
      </c>
    </row>
    <row r="320">
      <c r="A320" s="16" t="inlineStr">
        <is>
          <t>Yang Xinyun</t>
        </is>
      </c>
      <c r="B320" s="89" t="n">
        <v>1</v>
      </c>
      <c r="C320" s="94" t="n">
        <v>100</v>
      </c>
      <c r="D320" s="95" t="n">
        <v>230.2</v>
      </c>
      <c r="E320" s="95" t="n">
        <v>281.1</v>
      </c>
      <c r="F320" s="95" t="n">
        <v>196.2</v>
      </c>
      <c r="G320" s="95" t="n">
        <v>696.2</v>
      </c>
      <c r="H320" s="95" t="n">
        <v>15.4</v>
      </c>
      <c r="I320" s="95" t="n">
        <v>-10.3</v>
      </c>
      <c r="J320" s="95" t="n">
        <v>141.1</v>
      </c>
      <c r="K320" s="96" t="inlineStr">
        <is>
          <t>2427 GUANZE MEDICAL</t>
        </is>
      </c>
    </row>
    <row r="321">
      <c r="A321" s="16" t="inlineStr">
        <is>
          <t>LI Huifeng ( ኇᅆჾ)</t>
        </is>
      </c>
      <c r="B321" s="89" t="n">
        <v>1</v>
      </c>
      <c r="C321" s="94" t="n">
        <v>100</v>
      </c>
      <c r="D321" s="95" t="n">
        <v>206.5</v>
      </c>
      <c r="E321" s="95" t="n">
        <v>183.7</v>
      </c>
      <c r="F321" s="95" t="n">
        <v>137.4</v>
      </c>
      <c r="G321" s="95" t="n">
        <v>84.59999999999999</v>
      </c>
      <c r="H321" s="95" t="n">
        <v>-7.4</v>
      </c>
      <c r="I321" s="95" t="n">
        <v>-22.6</v>
      </c>
      <c r="J321" s="95" t="n">
        <v>-39.8</v>
      </c>
      <c r="K321" s="96" t="inlineStr">
        <is>
          <t>2591 INNOGEN-B</t>
        </is>
      </c>
    </row>
    <row r="322">
      <c r="A322" s="16" t="inlineStr">
        <is>
          <t>SPC-XtalPi AI Fund SP</t>
        </is>
      </c>
      <c r="B322" s="89" t="n">
        <v>1</v>
      </c>
      <c r="C322" s="94" t="n">
        <v>100</v>
      </c>
      <c r="D322" s="95" t="n">
        <v>206.5</v>
      </c>
      <c r="E322" s="95" t="n">
        <v>183.7</v>
      </c>
      <c r="F322" s="95" t="n">
        <v>137.4</v>
      </c>
      <c r="G322" s="95" t="n">
        <v>84.59999999999999</v>
      </c>
      <c r="H322" s="95" t="n">
        <v>-7.4</v>
      </c>
      <c r="I322" s="95" t="n">
        <v>-22.6</v>
      </c>
      <c r="J322" s="95" t="n">
        <v>-39.8</v>
      </c>
      <c r="K322" s="96" t="inlineStr">
        <is>
          <t>2591 INNOGEN-B</t>
        </is>
      </c>
    </row>
    <row r="323">
      <c r="A323" s="16" t="inlineStr">
        <is>
          <t>Marketingforce Management Ltd</t>
        </is>
      </c>
      <c r="B323" s="89" t="n">
        <v>1</v>
      </c>
      <c r="C323" s="94" t="n">
        <v>100</v>
      </c>
      <c r="D323" s="95" t="n">
        <v>206.5</v>
      </c>
      <c r="E323" s="95" t="n">
        <v>183.7</v>
      </c>
      <c r="F323" s="95" t="n">
        <v>137.4</v>
      </c>
      <c r="G323" s="95" t="n">
        <v>84.59999999999999</v>
      </c>
      <c r="H323" s="95" t="n">
        <v>-7.4</v>
      </c>
      <c r="I323" s="95" t="n">
        <v>-22.6</v>
      </c>
      <c r="J323" s="95" t="n">
        <v>-39.8</v>
      </c>
      <c r="K323" s="96" t="inlineStr">
        <is>
          <t>2591 INNOGEN-B</t>
        </is>
      </c>
    </row>
    <row r="324">
      <c r="A324" s="16" t="inlineStr">
        <is>
          <t>DENG Haifeng</t>
        </is>
      </c>
      <c r="B324" s="89" t="n">
        <v>1</v>
      </c>
      <c r="C324" s="94" t="n">
        <v>100</v>
      </c>
      <c r="D324" s="95" t="n">
        <v>206.5</v>
      </c>
      <c r="E324" s="95" t="n">
        <v>183.7</v>
      </c>
      <c r="F324" s="95" t="n">
        <v>137.4</v>
      </c>
      <c r="G324" s="95" t="n">
        <v>84.59999999999999</v>
      </c>
      <c r="H324" s="95" t="n">
        <v>-7.4</v>
      </c>
      <c r="I324" s="95" t="n">
        <v>-22.6</v>
      </c>
      <c r="J324" s="95" t="n">
        <v>-39.8</v>
      </c>
      <c r="K324" s="96" t="inlineStr">
        <is>
          <t>2591 INNOGEN-B</t>
        </is>
      </c>
    </row>
    <row r="325">
      <c r="A325" s="16" t="inlineStr">
        <is>
          <t>Palace Investments Pte. Ltd</t>
        </is>
      </c>
      <c r="B325" s="89" t="n">
        <v>1</v>
      </c>
      <c r="C325" s="94" t="n">
        <v>100</v>
      </c>
      <c r="D325" s="95" t="n">
        <v>206.5</v>
      </c>
      <c r="E325" s="95" t="n">
        <v>183.7</v>
      </c>
      <c r="F325" s="95" t="n">
        <v>137.4</v>
      </c>
      <c r="G325" s="95" t="n">
        <v>84.59999999999999</v>
      </c>
      <c r="H325" s="95" t="n">
        <v>-7.4</v>
      </c>
      <c r="I325" s="95" t="n">
        <v>-22.6</v>
      </c>
      <c r="J325" s="95" t="n">
        <v>-39.8</v>
      </c>
      <c r="K325" s="96" t="inlineStr">
        <is>
          <t>2591 INNOGEN-B</t>
        </is>
      </c>
    </row>
    <row r="326">
      <c r="A326" s="16" t="inlineStr">
        <is>
          <t>BioTrack AA Limited</t>
        </is>
      </c>
      <c r="B326" s="89" t="n">
        <v>1</v>
      </c>
      <c r="C326" s="94" t="n">
        <v>100</v>
      </c>
      <c r="D326" s="95" t="n">
        <v>206.5</v>
      </c>
      <c r="E326" s="95" t="n">
        <v>183.7</v>
      </c>
      <c r="F326" s="95" t="n">
        <v>137.4</v>
      </c>
      <c r="G326" s="95" t="n">
        <v>84.59999999999999</v>
      </c>
      <c r="H326" s="95" t="n">
        <v>-7.4</v>
      </c>
      <c r="I326" s="95" t="n">
        <v>-22.6</v>
      </c>
      <c r="J326" s="95" t="n">
        <v>-39.8</v>
      </c>
      <c r="K326" s="96" t="inlineStr">
        <is>
          <t>2591 INNOGEN-B</t>
        </is>
      </c>
    </row>
    <row r="327">
      <c r="A327" s="16" t="inlineStr">
        <is>
          <t>AMR Action Fund, L.P</t>
        </is>
      </c>
      <c r="B327" s="89" t="n">
        <v>1</v>
      </c>
      <c r="C327" s="94" t="n">
        <v>100</v>
      </c>
      <c r="D327" s="95" t="n">
        <v>178.7</v>
      </c>
      <c r="E327" s="95" t="n">
        <v>166.8</v>
      </c>
      <c r="F327" s="95" t="n">
        <v>248.2</v>
      </c>
      <c r="G327" s="95" t="n">
        <v>165</v>
      </c>
      <c r="H327" s="95" t="n">
        <v>-4.3</v>
      </c>
      <c r="I327" s="95" t="n">
        <v>24.9</v>
      </c>
      <c r="J327" s="95" t="n">
        <v>-4.9</v>
      </c>
      <c r="K327" s="96" t="inlineStr">
        <is>
          <t>6872 TENNOR THERAP-B</t>
        </is>
      </c>
    </row>
    <row r="328">
      <c r="A328" s="16" t="inlineStr">
        <is>
          <t>Shanghai Yangtze River Delta Industry Upgrade Equity Investment</t>
        </is>
      </c>
      <c r="B328" s="89" t="n">
        <v>1</v>
      </c>
      <c r="C328" s="94" t="n">
        <v>100</v>
      </c>
      <c r="D328" s="95" t="n">
        <v>161</v>
      </c>
      <c r="E328" s="95" t="n">
        <v>94.59999999999999</v>
      </c>
      <c r="F328" s="95" t="n">
        <v>89.8</v>
      </c>
      <c r="G328" s="95" t="n">
        <v>112.9</v>
      </c>
      <c r="H328" s="95" t="n">
        <v>-25.4</v>
      </c>
      <c r="I328" s="95" t="n">
        <v>-27.3</v>
      </c>
      <c r="J328" s="95" t="n">
        <v>-18.4</v>
      </c>
      <c r="K328" s="96" t="inlineStr">
        <is>
          <t>2652 CF PHARMTECH</t>
        </is>
      </c>
    </row>
    <row r="329">
      <c r="A329" s="16" t="inlineStr">
        <is>
          <t>The Capital Group Funds</t>
        </is>
      </c>
      <c r="B329" s="89" t="n">
        <v>1</v>
      </c>
      <c r="C329" s="94" t="n">
        <v>100</v>
      </c>
      <c r="D329" s="95" t="n">
        <v>160.9</v>
      </c>
      <c r="E329" s="95" t="n">
        <v>250.4</v>
      </c>
      <c r="F329" s="95" t="n">
        <v>141.9</v>
      </c>
      <c r="G329" s="95" t="n">
        <v>105.4</v>
      </c>
      <c r="H329" s="95" t="n">
        <v>34.3</v>
      </c>
      <c r="I329" s="95" t="n">
        <v>-7.3</v>
      </c>
      <c r="J329" s="95" t="n">
        <v>-21.3</v>
      </c>
      <c r="K329" s="96" t="inlineStr">
        <is>
          <t>1024 KUAISHOU-W</t>
        </is>
      </c>
    </row>
    <row r="330">
      <c r="A330" s="16" t="inlineStr">
        <is>
          <t>Aoqin Heming</t>
        </is>
      </c>
      <c r="B330" s="89" t="n">
        <v>1</v>
      </c>
      <c r="C330" s="94" t="n">
        <v>100</v>
      </c>
      <c r="D330" s="95" t="n">
        <v>158.8</v>
      </c>
      <c r="E330" s="95" t="n">
        <v>229.4</v>
      </c>
      <c r="F330" s="95" t="n">
        <v>338.7</v>
      </c>
      <c r="G330" s="95" t="n">
        <v>592.7</v>
      </c>
      <c r="H330" s="95" t="n">
        <v>27.3</v>
      </c>
      <c r="I330" s="95" t="n">
        <v>69.5</v>
      </c>
      <c r="J330" s="95" t="n">
        <v>167.6</v>
      </c>
      <c r="K330" s="96" t="inlineStr">
        <is>
          <t>2661 QINGSONG HEALTH</t>
        </is>
      </c>
    </row>
    <row r="331">
      <c r="A331" s="16" t="inlineStr">
        <is>
          <t>Discretionary basis</t>
        </is>
      </c>
      <c r="B331" s="89" t="n">
        <v>1</v>
      </c>
      <c r="C331" s="94" t="n">
        <v>100</v>
      </c>
      <c r="D331" s="95" t="n">
        <v>158.8</v>
      </c>
      <c r="E331" s="95" t="n">
        <v>229.4</v>
      </c>
      <c r="F331" s="95" t="n">
        <v>338.7</v>
      </c>
      <c r="G331" s="95" t="n">
        <v>592.7</v>
      </c>
      <c r="H331" s="95" t="n">
        <v>27.3</v>
      </c>
      <c r="I331" s="95" t="n">
        <v>69.5</v>
      </c>
      <c r="J331" s="95" t="n">
        <v>167.6</v>
      </c>
      <c r="K331" s="96" t="inlineStr">
        <is>
          <t>2661 QINGSONG HEALTH</t>
        </is>
      </c>
    </row>
    <row r="332">
      <c r="A332" s="16" t="inlineStr">
        <is>
          <t>George Kent International Pte. Ltd</t>
        </is>
      </c>
      <c r="B332" s="89" t="n">
        <v>1</v>
      </c>
      <c r="C332" s="94" t="n">
        <v>100</v>
      </c>
      <c r="D332" s="95" t="n">
        <v>150</v>
      </c>
      <c r="E332" s="95" t="n">
        <v>164</v>
      </c>
      <c r="F332" s="95" t="n">
        <v>151.2</v>
      </c>
      <c r="G332" s="95" t="n">
        <v>112.5</v>
      </c>
      <c r="H332" s="95" t="n">
        <v>5.6</v>
      </c>
      <c r="I332" s="95" t="n">
        <v>0.5</v>
      </c>
      <c r="J332" s="95" t="n">
        <v>-15</v>
      </c>
      <c r="K332" s="96" t="inlineStr">
        <is>
          <t>6636 EXTREME VISION</t>
        </is>
      </c>
    </row>
    <row r="333">
      <c r="A333" s="16" t="inlineStr">
        <is>
          <t>Zhengjin (Hong Kong) International Co., Limited</t>
        </is>
      </c>
      <c r="B333" s="89" t="n">
        <v>1</v>
      </c>
      <c r="C333" s="94" t="n">
        <v>100</v>
      </c>
      <c r="D333" s="95" t="n">
        <v>150</v>
      </c>
      <c r="E333" s="95" t="n">
        <v>164</v>
      </c>
      <c r="F333" s="95" t="n">
        <v>151.2</v>
      </c>
      <c r="G333" s="95" t="n">
        <v>112.5</v>
      </c>
      <c r="H333" s="95" t="n">
        <v>5.6</v>
      </c>
      <c r="I333" s="95" t="n">
        <v>0.5</v>
      </c>
      <c r="J333" s="95" t="n">
        <v>-15</v>
      </c>
      <c r="K333" s="96" t="inlineStr">
        <is>
          <t>6636 EXTREME VISION</t>
        </is>
      </c>
    </row>
    <row r="334">
      <c r="A334" s="16" t="inlineStr">
        <is>
          <t>Ms. Jin Jie</t>
        </is>
      </c>
      <c r="B334" s="89" t="n">
        <v>1</v>
      </c>
      <c r="C334" s="94" t="n">
        <v>100</v>
      </c>
      <c r="D334" s="95" t="n">
        <v>145.7</v>
      </c>
      <c r="E334" s="95" t="n">
        <v>65</v>
      </c>
      <c r="F334" s="95" t="n">
        <v>131.1</v>
      </c>
      <c r="G334" s="95" t="n">
        <v>216.2</v>
      </c>
      <c r="H334" s="95" t="n">
        <v>-32.9</v>
      </c>
      <c r="I334" s="95" t="n">
        <v>-6</v>
      </c>
      <c r="J334" s="95" t="n">
        <v>28.7</v>
      </c>
      <c r="K334" s="96" t="inlineStr">
        <is>
          <t>2630 VIGONVITA-B</t>
        </is>
      </c>
    </row>
    <row r="335">
      <c r="A335" s="16" t="inlineStr">
        <is>
          <t>Dr. Shen</t>
        </is>
      </c>
      <c r="B335" s="89" t="n">
        <v>1</v>
      </c>
      <c r="C335" s="94" t="n">
        <v>100</v>
      </c>
      <c r="D335" s="95" t="n">
        <v>145.7</v>
      </c>
      <c r="E335" s="95" t="n">
        <v>65</v>
      </c>
      <c r="F335" s="95" t="n">
        <v>131.1</v>
      </c>
      <c r="G335" s="95" t="n">
        <v>216.2</v>
      </c>
      <c r="H335" s="95" t="n">
        <v>-32.9</v>
      </c>
      <c r="I335" s="95" t="n">
        <v>-6</v>
      </c>
      <c r="J335" s="95" t="n">
        <v>28.7</v>
      </c>
      <c r="K335" s="96" t="inlineStr">
        <is>
          <t>2630 VIGONVITA-B</t>
        </is>
      </c>
    </row>
    <row r="336">
      <c r="A336" s="16" t="inlineStr">
        <is>
          <t>Hesai Hong Kong Limited</t>
        </is>
      </c>
      <c r="B336" s="89" t="n">
        <v>1</v>
      </c>
      <c r="C336" s="94" t="n">
        <v>100</v>
      </c>
      <c r="D336" s="95" t="n">
        <v>144.1</v>
      </c>
      <c r="E336" s="95" t="n">
        <v>273.8</v>
      </c>
      <c r="F336" s="95" t="n">
        <v>142.9</v>
      </c>
      <c r="G336" s="95" t="n">
        <v>16.5</v>
      </c>
      <c r="H336" s="95" t="n">
        <v>53.1</v>
      </c>
      <c r="I336" s="95" t="n">
        <v>-0.5</v>
      </c>
      <c r="J336" s="95" t="n">
        <v>-52.3</v>
      </c>
      <c r="K336" s="96" t="inlineStr">
        <is>
          <t>0068 MANYCORE TECH</t>
        </is>
      </c>
    </row>
    <row r="337">
      <c r="A337" s="16" t="inlineStr">
        <is>
          <t>REDWOOD ELITE LIMITED</t>
        </is>
      </c>
      <c r="B337" s="89" t="n">
        <v>1</v>
      </c>
      <c r="C337" s="94" t="n">
        <v>100</v>
      </c>
      <c r="D337" s="95" t="n">
        <v>144.1</v>
      </c>
      <c r="E337" s="95" t="n">
        <v>273.8</v>
      </c>
      <c r="F337" s="95" t="n">
        <v>142.9</v>
      </c>
      <c r="G337" s="95" t="n">
        <v>16.5</v>
      </c>
      <c r="H337" s="95" t="n">
        <v>53.1</v>
      </c>
      <c r="I337" s="95" t="n">
        <v>-0.5</v>
      </c>
      <c r="J337" s="95" t="n">
        <v>-52.3</v>
      </c>
      <c r="K337" s="96" t="inlineStr">
        <is>
          <t>0068 MANYCORE TECH</t>
        </is>
      </c>
    </row>
    <row r="338">
      <c r="A338" s="16" t="inlineStr">
        <is>
          <t>Center Lab</t>
        </is>
      </c>
      <c r="B338" s="89" t="n">
        <v>1</v>
      </c>
      <c r="C338" s="94" t="n">
        <v>100</v>
      </c>
      <c r="D338" s="95" t="n">
        <v>138.8</v>
      </c>
      <c r="E338" s="95" t="n">
        <v>173.7</v>
      </c>
      <c r="F338" s="95" t="n">
        <v>226.8</v>
      </c>
      <c r="G338" s="95" t="n">
        <v>249.3</v>
      </c>
      <c r="H338" s="95" t="n">
        <v>14.6</v>
      </c>
      <c r="I338" s="95" t="n">
        <v>36.8</v>
      </c>
      <c r="J338" s="95" t="n">
        <v>46.3</v>
      </c>
      <c r="K338" s="96" t="inlineStr">
        <is>
          <t>2659 BAO PHARMA-B</t>
        </is>
      </c>
    </row>
    <row r="339">
      <c r="A339" s="16" t="inlineStr">
        <is>
          <t>Zhang Yahong (ߎ2,838,885</t>
        </is>
      </c>
      <c r="B339" s="89" t="n">
        <v>1</v>
      </c>
      <c r="C339" s="94" t="n">
        <v>100</v>
      </c>
      <c r="D339" s="95" t="n">
        <v>138.8</v>
      </c>
      <c r="E339" s="95" t="n">
        <v>173.7</v>
      </c>
      <c r="F339" s="95" t="n">
        <v>226.8</v>
      </c>
      <c r="G339" s="95" t="n">
        <v>249.3</v>
      </c>
      <c r="H339" s="95" t="n">
        <v>14.6</v>
      </c>
      <c r="I339" s="95" t="n">
        <v>36.8</v>
      </c>
      <c r="J339" s="95" t="n">
        <v>46.3</v>
      </c>
      <c r="K339" s="96" t="inlineStr">
        <is>
          <t>2659 BAO PHARMA-B</t>
        </is>
      </c>
    </row>
    <row r="340">
      <c r="A340" s="16" t="inlineStr">
        <is>
          <t>Fan Hong (ߎ2,365,735</t>
        </is>
      </c>
      <c r="B340" s="89" t="n">
        <v>1</v>
      </c>
      <c r="C340" s="94" t="n">
        <v>100</v>
      </c>
      <c r="D340" s="95" t="n">
        <v>138.8</v>
      </c>
      <c r="E340" s="95" t="n">
        <v>173.7</v>
      </c>
      <c r="F340" s="95" t="n">
        <v>226.8</v>
      </c>
      <c r="G340" s="95" t="n">
        <v>249.3</v>
      </c>
      <c r="H340" s="95" t="n">
        <v>14.6</v>
      </c>
      <c r="I340" s="95" t="n">
        <v>36.8</v>
      </c>
      <c r="J340" s="95" t="n">
        <v>46.3</v>
      </c>
      <c r="K340" s="96" t="inlineStr">
        <is>
          <t>2659 BAO PHARMA-B</t>
        </is>
      </c>
    </row>
    <row r="341">
      <c r="A341" s="16" t="inlineStr">
        <is>
          <t>Zheng Keqing (ڡ222,220</t>
        </is>
      </c>
      <c r="B341" s="89" t="n">
        <v>1</v>
      </c>
      <c r="C341" s="94" t="n">
        <v>100</v>
      </c>
      <c r="D341" s="95" t="n">
        <v>138.8</v>
      </c>
      <c r="E341" s="95" t="n">
        <v>173.7</v>
      </c>
      <c r="F341" s="95" t="n">
        <v>226.8</v>
      </c>
      <c r="G341" s="95" t="n">
        <v>249.3</v>
      </c>
      <c r="H341" s="95" t="n">
        <v>14.6</v>
      </c>
      <c r="I341" s="95" t="n">
        <v>36.8</v>
      </c>
      <c r="J341" s="95" t="n">
        <v>46.3</v>
      </c>
      <c r="K341" s="96" t="inlineStr">
        <is>
          <t>2659 BAO PHARMA-B</t>
        </is>
      </c>
    </row>
    <row r="342">
      <c r="A342" s="16" t="inlineStr">
        <is>
          <t>Nie Miao ( ᔗ↿) –</t>
        </is>
      </c>
      <c r="B342" s="89" t="n">
        <v>1</v>
      </c>
      <c r="C342" s="94" t="n">
        <v>100</v>
      </c>
      <c r="D342" s="95" t="n">
        <v>138.8</v>
      </c>
      <c r="E342" s="95" t="n">
        <v>173.7</v>
      </c>
      <c r="F342" s="95" t="n">
        <v>226.8</v>
      </c>
      <c r="G342" s="95" t="n">
        <v>249.3</v>
      </c>
      <c r="H342" s="95" t="n">
        <v>14.6</v>
      </c>
      <c r="I342" s="95" t="n">
        <v>36.8</v>
      </c>
      <c r="J342" s="95" t="n">
        <v>46.3</v>
      </c>
      <c r="K342" s="96" t="inlineStr">
        <is>
          <t>2659 BAO PHARMA-B</t>
        </is>
      </c>
    </row>
    <row r="343">
      <c r="A343" s="16" t="inlineStr">
        <is>
          <t>Wang Jufang (ٹ581,930</t>
        </is>
      </c>
      <c r="B343" s="89" t="n">
        <v>1</v>
      </c>
      <c r="C343" s="94" t="n">
        <v>100</v>
      </c>
      <c r="D343" s="95" t="n">
        <v>138.8</v>
      </c>
      <c r="E343" s="95" t="n">
        <v>173.7</v>
      </c>
      <c r="F343" s="95" t="n">
        <v>226.8</v>
      </c>
      <c r="G343" s="95" t="n">
        <v>249.3</v>
      </c>
      <c r="H343" s="95" t="n">
        <v>14.6</v>
      </c>
      <c r="I343" s="95" t="n">
        <v>36.8</v>
      </c>
      <c r="J343" s="95" t="n">
        <v>46.3</v>
      </c>
      <c r="K343" s="96" t="inlineStr">
        <is>
          <t>2659 BAO PHARMA-B</t>
        </is>
      </c>
    </row>
    <row r="344">
      <c r="A344" s="16" t="inlineStr">
        <is>
          <t>Cui Hongyan (ᜮ) –</t>
        </is>
      </c>
      <c r="B344" s="89" t="n">
        <v>1</v>
      </c>
      <c r="C344" s="94" t="n">
        <v>100</v>
      </c>
      <c r="D344" s="95" t="n">
        <v>138.8</v>
      </c>
      <c r="E344" s="95" t="n">
        <v>173.7</v>
      </c>
      <c r="F344" s="95" t="n">
        <v>226.8</v>
      </c>
      <c r="G344" s="95" t="n">
        <v>249.3</v>
      </c>
      <c r="H344" s="95" t="n">
        <v>14.6</v>
      </c>
      <c r="I344" s="95" t="n">
        <v>36.8</v>
      </c>
      <c r="J344" s="95" t="n">
        <v>46.3</v>
      </c>
      <c r="K344" s="96" t="inlineStr">
        <is>
          <t>2659 BAO PHARMA-B</t>
        </is>
      </c>
    </row>
    <row r="345">
      <c r="A345" s="16" t="inlineStr">
        <is>
          <t>Liu Jintao (ᏹ) –</t>
        </is>
      </c>
      <c r="B345" s="89" t="n">
        <v>1</v>
      </c>
      <c r="C345" s="94" t="n">
        <v>100</v>
      </c>
      <c r="D345" s="95" t="n">
        <v>138.8</v>
      </c>
      <c r="E345" s="95" t="n">
        <v>173.7</v>
      </c>
      <c r="F345" s="95" t="n">
        <v>226.8</v>
      </c>
      <c r="G345" s="95" t="n">
        <v>249.3</v>
      </c>
      <c r="H345" s="95" t="n">
        <v>14.6</v>
      </c>
      <c r="I345" s="95" t="n">
        <v>36.8</v>
      </c>
      <c r="J345" s="95" t="n">
        <v>46.3</v>
      </c>
      <c r="K345" s="96" t="inlineStr">
        <is>
          <t>2659 BAO PHARMA-B</t>
        </is>
      </c>
    </row>
    <row r="346">
      <c r="A346" s="16" t="inlineStr">
        <is>
          <t>Huang Haitao ( රऎᏹ)</t>
        </is>
      </c>
      <c r="B346" s="89" t="n">
        <v>1</v>
      </c>
      <c r="C346" s="94" t="n">
        <v>100</v>
      </c>
      <c r="D346" s="95" t="n">
        <v>138.8</v>
      </c>
      <c r="E346" s="95" t="n">
        <v>173.7</v>
      </c>
      <c r="F346" s="95" t="n">
        <v>226.8</v>
      </c>
      <c r="G346" s="95" t="n">
        <v>249.3</v>
      </c>
      <c r="H346" s="95" t="n">
        <v>14.6</v>
      </c>
      <c r="I346" s="95" t="n">
        <v>36.8</v>
      </c>
      <c r="J346" s="95" t="n">
        <v>46.3</v>
      </c>
      <c r="K346" s="96" t="inlineStr">
        <is>
          <t>2659 BAO PHARMA-B</t>
        </is>
      </c>
    </row>
    <row r="347">
      <c r="A347" s="16" t="inlineStr">
        <is>
          <t>Xu Sumin ( ஢९ઽ) –</t>
        </is>
      </c>
      <c r="B347" s="89" t="n">
        <v>1</v>
      </c>
      <c r="C347" s="94" t="n">
        <v>100</v>
      </c>
      <c r="D347" s="95" t="n">
        <v>138.8</v>
      </c>
      <c r="E347" s="95" t="n">
        <v>173.7</v>
      </c>
      <c r="F347" s="95" t="n">
        <v>226.8</v>
      </c>
      <c r="G347" s="95" t="n">
        <v>249.3</v>
      </c>
      <c r="H347" s="95" t="n">
        <v>14.6</v>
      </c>
      <c r="I347" s="95" t="n">
        <v>36.8</v>
      </c>
      <c r="J347" s="95" t="n">
        <v>46.3</v>
      </c>
      <c r="K347" s="96" t="inlineStr">
        <is>
          <t>2659 BAO PHARMA-B</t>
        </is>
      </c>
    </row>
    <row r="348">
      <c r="A348" s="16" t="inlineStr">
        <is>
          <t>Song Aihui ( ҂ฌฯ)</t>
        </is>
      </c>
      <c r="B348" s="89" t="n">
        <v>1</v>
      </c>
      <c r="C348" s="94" t="n">
        <v>100</v>
      </c>
      <c r="D348" s="95" t="n">
        <v>138.8</v>
      </c>
      <c r="E348" s="95" t="n">
        <v>173.7</v>
      </c>
      <c r="F348" s="95" t="n">
        <v>226.8</v>
      </c>
      <c r="G348" s="95" t="n">
        <v>249.3</v>
      </c>
      <c r="H348" s="95" t="n">
        <v>14.6</v>
      </c>
      <c r="I348" s="95" t="n">
        <v>36.8</v>
      </c>
      <c r="J348" s="95" t="n">
        <v>46.3</v>
      </c>
      <c r="K348" s="96" t="inlineStr">
        <is>
          <t>2659 BAO PHARMA-B</t>
        </is>
      </c>
    </row>
    <row r="349">
      <c r="A349" s="16" t="inlineStr">
        <is>
          <t>Zhao Liping ( Ⴛ஁റ)</t>
        </is>
      </c>
      <c r="B349" s="89" t="n">
        <v>1</v>
      </c>
      <c r="C349" s="94" t="n">
        <v>100</v>
      </c>
      <c r="D349" s="95" t="n">
        <v>138.8</v>
      </c>
      <c r="E349" s="95" t="n">
        <v>173.7</v>
      </c>
      <c r="F349" s="95" t="n">
        <v>226.8</v>
      </c>
      <c r="G349" s="95" t="n">
        <v>249.3</v>
      </c>
      <c r="H349" s="95" t="n">
        <v>14.6</v>
      </c>
      <c r="I349" s="95" t="n">
        <v>36.8</v>
      </c>
      <c r="J349" s="95" t="n">
        <v>46.3</v>
      </c>
      <c r="K349" s="96" t="inlineStr">
        <is>
          <t>2659 BAO PHARMA-B</t>
        </is>
      </c>
    </row>
    <row r="350">
      <c r="A350" s="16" t="inlineStr">
        <is>
          <t>Chample International Limited</t>
        </is>
      </c>
      <c r="B350" s="89" t="n">
        <v>1</v>
      </c>
      <c r="C350" s="94" t="n">
        <v>100</v>
      </c>
      <c r="D350" s="95" t="n">
        <v>127.1</v>
      </c>
      <c r="E350" s="95" t="n">
        <v>105.9</v>
      </c>
      <c r="F350" s="95" t="n">
        <v>10</v>
      </c>
      <c r="G350" s="95" t="n"/>
      <c r="H350" s="95" t="n">
        <v>-9.300000000000001</v>
      </c>
      <c r="I350" s="95" t="n">
        <v>-51.6</v>
      </c>
      <c r="J350" s="95" t="n"/>
      <c r="K350" s="96" t="inlineStr">
        <is>
          <t>6675 SENASIC</t>
        </is>
      </c>
    </row>
    <row r="351">
      <c r="A351" s="16" t="inlineStr">
        <is>
          <t>Libra Fixed Income One SP</t>
        </is>
      </c>
      <c r="B351" s="89" t="n">
        <v>1</v>
      </c>
      <c r="C351" s="94" t="n">
        <v>100</v>
      </c>
      <c r="D351" s="95" t="n">
        <v>127.1</v>
      </c>
      <c r="E351" s="95" t="n">
        <v>105.9</v>
      </c>
      <c r="F351" s="95" t="n">
        <v>10</v>
      </c>
      <c r="G351" s="95" t="n"/>
      <c r="H351" s="95" t="n">
        <v>-9.300000000000001</v>
      </c>
      <c r="I351" s="95" t="n">
        <v>-51.6</v>
      </c>
      <c r="J351" s="95" t="n"/>
      <c r="K351" s="96" t="inlineStr">
        <is>
          <t>6675 SENASIC</t>
        </is>
      </c>
    </row>
    <row r="352">
      <c r="A352" s="16" t="inlineStr">
        <is>
          <t>Longwei Hong Kong Company Limited</t>
        </is>
      </c>
      <c r="B352" s="89" t="n">
        <v>1</v>
      </c>
      <c r="C352" s="94" t="n">
        <v>100</v>
      </c>
      <c r="D352" s="95" t="n">
        <v>127.1</v>
      </c>
      <c r="E352" s="95" t="n">
        <v>105.9</v>
      </c>
      <c r="F352" s="95" t="n">
        <v>10</v>
      </c>
      <c r="G352" s="95" t="n"/>
      <c r="H352" s="95" t="n">
        <v>-9.300000000000001</v>
      </c>
      <c r="I352" s="95" t="n">
        <v>-51.6</v>
      </c>
      <c r="J352" s="95" t="n"/>
      <c r="K352" s="96" t="inlineStr">
        <is>
          <t>6675 SENASIC</t>
        </is>
      </c>
    </row>
    <row r="353">
      <c r="A353" s="16" t="inlineStr">
        <is>
          <t>Mr. Andrew Y Yan</t>
        </is>
      </c>
      <c r="B353" s="89" t="n">
        <v>1</v>
      </c>
      <c r="C353" s="94" t="n">
        <v>100</v>
      </c>
      <c r="D353" s="95" t="n">
        <v>127.1</v>
      </c>
      <c r="E353" s="95" t="n">
        <v>105.9</v>
      </c>
      <c r="F353" s="95" t="n">
        <v>10</v>
      </c>
      <c r="G353" s="95" t="n"/>
      <c r="H353" s="95" t="n">
        <v>-9.300000000000001</v>
      </c>
      <c r="I353" s="95" t="n">
        <v>-51.6</v>
      </c>
      <c r="J353" s="95" t="n"/>
      <c r="K353" s="96" t="inlineStr">
        <is>
          <t>6675 SENASIC</t>
        </is>
      </c>
    </row>
    <row r="354">
      <c r="A354" s="16" t="inlineStr">
        <is>
          <t>Tembusu Limited</t>
        </is>
      </c>
      <c r="B354" s="89" t="n">
        <v>1</v>
      </c>
      <c r="C354" s="94" t="n">
        <v>100</v>
      </c>
      <c r="D354" s="95" t="n">
        <v>127.1</v>
      </c>
      <c r="E354" s="95" t="n">
        <v>105.9</v>
      </c>
      <c r="F354" s="95" t="n">
        <v>10</v>
      </c>
      <c r="G354" s="95" t="n"/>
      <c r="H354" s="95" t="n">
        <v>-9.300000000000001</v>
      </c>
      <c r="I354" s="95" t="n">
        <v>-51.6</v>
      </c>
      <c r="J354" s="95" t="n"/>
      <c r="K354" s="96" t="inlineStr">
        <is>
          <t>6675 SENASIC</t>
        </is>
      </c>
    </row>
    <row r="355">
      <c r="A355" s="16" t="inlineStr">
        <is>
          <t>Thalassa Capital Dynamics SPC</t>
        </is>
      </c>
      <c r="B355" s="89" t="n">
        <v>1</v>
      </c>
      <c r="C355" s="94" t="n">
        <v>100</v>
      </c>
      <c r="D355" s="95" t="n">
        <v>127.1</v>
      </c>
      <c r="E355" s="95" t="n">
        <v>105.9</v>
      </c>
      <c r="F355" s="95" t="n">
        <v>10</v>
      </c>
      <c r="G355" s="95" t="n"/>
      <c r="H355" s="95" t="n">
        <v>-9.300000000000001</v>
      </c>
      <c r="I355" s="95" t="n">
        <v>-51.6</v>
      </c>
      <c r="J355" s="95" t="n"/>
      <c r="K355" s="96" t="inlineStr">
        <is>
          <t>6675 SENASIC</t>
        </is>
      </c>
    </row>
    <row r="356">
      <c r="A356" s="16" t="inlineStr">
        <is>
          <t>Xu Yanjun</t>
        </is>
      </c>
      <c r="B356" s="89" t="n">
        <v>1</v>
      </c>
      <c r="C356" s="94" t="n">
        <v>100</v>
      </c>
      <c r="D356" s="95" t="n">
        <v>126.7</v>
      </c>
      <c r="E356" s="95" t="n">
        <v>417.2</v>
      </c>
      <c r="F356" s="95" t="n">
        <v>451.3</v>
      </c>
      <c r="G356" s="95" t="n">
        <v>509.1</v>
      </c>
      <c r="H356" s="95" t="n">
        <v>128.1</v>
      </c>
      <c r="I356" s="95" t="n">
        <v>143.2</v>
      </c>
      <c r="J356" s="95" t="n">
        <v>168.6</v>
      </c>
      <c r="K356" s="96" t="inlineStr">
        <is>
          <t>2575 XUANZHUBIO-B</t>
        </is>
      </c>
    </row>
    <row r="357">
      <c r="A357" s="16" t="inlineStr">
        <is>
          <t>Li Jia Kui</t>
        </is>
      </c>
      <c r="B357" s="89" t="n">
        <v>1</v>
      </c>
      <c r="C357" s="94" t="n">
        <v>100</v>
      </c>
      <c r="D357" s="95" t="n">
        <v>126.7</v>
      </c>
      <c r="E357" s="95" t="n">
        <v>417.2</v>
      </c>
      <c r="F357" s="95" t="n">
        <v>451.3</v>
      </c>
      <c r="G357" s="95" t="n">
        <v>509.1</v>
      </c>
      <c r="H357" s="95" t="n">
        <v>128.1</v>
      </c>
      <c r="I357" s="95" t="n">
        <v>143.2</v>
      </c>
      <c r="J357" s="95" t="n">
        <v>168.6</v>
      </c>
      <c r="K357" s="96" t="inlineStr">
        <is>
          <t>2575 XUANZHUBIO-B</t>
        </is>
      </c>
    </row>
    <row r="358">
      <c r="A358" s="16" t="inlineStr">
        <is>
          <t>China Venture Capital Innovation Investment Fund Co., Ltd</t>
        </is>
      </c>
      <c r="B358" s="89" t="n">
        <v>1</v>
      </c>
      <c r="C358" s="94" t="n">
        <v>100</v>
      </c>
      <c r="D358" s="95" t="n">
        <v>126.7</v>
      </c>
      <c r="E358" s="95" t="n">
        <v>71.40000000000001</v>
      </c>
      <c r="F358" s="95" t="n">
        <v>25.6</v>
      </c>
      <c r="G358" s="95" t="n">
        <v>25.6</v>
      </c>
      <c r="H358" s="95" t="n">
        <v>-24.4</v>
      </c>
      <c r="I358" s="95" t="n">
        <v>-44.6</v>
      </c>
      <c r="J358" s="95" t="n">
        <v>-44.6</v>
      </c>
      <c r="K358" s="96" t="inlineStr">
        <is>
          <t>7666 METIS TECHBIO-P</t>
        </is>
      </c>
    </row>
    <row r="359">
      <c r="A359" s="16" t="inlineStr">
        <is>
          <t>Deerfield Management Company, L.P</t>
        </is>
      </c>
      <c r="B359" s="89" t="n">
        <v>1</v>
      </c>
      <c r="C359" s="94" t="n">
        <v>100</v>
      </c>
      <c r="D359" s="95" t="n">
        <v>126.7</v>
      </c>
      <c r="E359" s="95" t="n">
        <v>71.40000000000001</v>
      </c>
      <c r="F359" s="95" t="n">
        <v>25.6</v>
      </c>
      <c r="G359" s="95" t="n">
        <v>25.6</v>
      </c>
      <c r="H359" s="95" t="n">
        <v>-24.4</v>
      </c>
      <c r="I359" s="95" t="n">
        <v>-44.6</v>
      </c>
      <c r="J359" s="95" t="n">
        <v>-44.6</v>
      </c>
      <c r="K359" s="96" t="inlineStr">
        <is>
          <t>7666 METIS TECHBIO-P</t>
        </is>
      </c>
    </row>
    <row r="360">
      <c r="A360" s="16" t="inlineStr">
        <is>
          <t>Isometry Global Master Fund, L.P</t>
        </is>
      </c>
      <c r="B360" s="89" t="n">
        <v>1</v>
      </c>
      <c r="C360" s="94" t="n">
        <v>100</v>
      </c>
      <c r="D360" s="95" t="n">
        <v>126.7</v>
      </c>
      <c r="E360" s="95" t="n">
        <v>71.40000000000001</v>
      </c>
      <c r="F360" s="95" t="n">
        <v>25.6</v>
      </c>
      <c r="G360" s="95" t="n">
        <v>25.6</v>
      </c>
      <c r="H360" s="95" t="n">
        <v>-24.4</v>
      </c>
      <c r="I360" s="95" t="n">
        <v>-44.6</v>
      </c>
      <c r="J360" s="95" t="n">
        <v>-44.6</v>
      </c>
      <c r="K360" s="96" t="inlineStr">
        <is>
          <t>7666 METIS TECHBIO-P</t>
        </is>
      </c>
    </row>
    <row r="361">
      <c r="A361" s="16" t="inlineStr">
        <is>
          <t>OAP IV (HK) Limited</t>
        </is>
      </c>
      <c r="B361" s="89" t="n">
        <v>1</v>
      </c>
      <c r="C361" s="94" t="n">
        <v>100</v>
      </c>
      <c r="D361" s="95" t="n">
        <v>118.3</v>
      </c>
      <c r="E361" s="95" t="n">
        <v>102.4</v>
      </c>
      <c r="F361" s="95" t="n">
        <v>94.3</v>
      </c>
      <c r="G361" s="95" t="n">
        <v>26.4</v>
      </c>
      <c r="H361" s="95" t="n">
        <v>-7.2</v>
      </c>
      <c r="I361" s="95" t="n">
        <v>-11</v>
      </c>
      <c r="J361" s="95" t="n">
        <v>-42.1</v>
      </c>
      <c r="K361" s="96" t="inlineStr">
        <is>
          <t>1609 STAR SPORTS MED</t>
        </is>
      </c>
    </row>
    <row r="362">
      <c r="A362" s="16" t="inlineStr">
        <is>
          <t>E Fund Mangement</t>
        </is>
      </c>
      <c r="B362" s="89" t="n">
        <v>1</v>
      </c>
      <c r="C362" s="94" t="n">
        <v>100</v>
      </c>
      <c r="D362" s="95" t="n">
        <v>116.7</v>
      </c>
      <c r="E362" s="95" t="n">
        <v>137.8</v>
      </c>
      <c r="F362" s="95" t="n">
        <v>111.4</v>
      </c>
      <c r="G362" s="95" t="n">
        <v>255.2</v>
      </c>
      <c r="H362" s="95" t="n">
        <v>9.800000000000001</v>
      </c>
      <c r="I362" s="95" t="n">
        <v>-2.4</v>
      </c>
      <c r="J362" s="95" t="n">
        <v>63.9</v>
      </c>
      <c r="K362" s="96" t="inlineStr">
        <is>
          <t>9606 DUALITYBIO-B</t>
        </is>
      </c>
    </row>
    <row r="363">
      <c r="A363" s="16" t="inlineStr">
        <is>
          <t>BioNTech SE</t>
        </is>
      </c>
      <c r="B363" s="89" t="n">
        <v>1</v>
      </c>
      <c r="C363" s="94" t="n">
        <v>100</v>
      </c>
      <c r="D363" s="95" t="n">
        <v>116.7</v>
      </c>
      <c r="E363" s="95" t="n">
        <v>137.8</v>
      </c>
      <c r="F363" s="95" t="n">
        <v>111.4</v>
      </c>
      <c r="G363" s="95" t="n">
        <v>255.2</v>
      </c>
      <c r="H363" s="95" t="n">
        <v>9.800000000000001</v>
      </c>
      <c r="I363" s="95" t="n">
        <v>-2.4</v>
      </c>
      <c r="J363" s="95" t="n">
        <v>63.9</v>
      </c>
      <c r="K363" s="96" t="inlineStr">
        <is>
          <t>9606 DUALITYBIO-B</t>
        </is>
      </c>
    </row>
    <row r="364">
      <c r="A364" s="16" t="inlineStr">
        <is>
          <t>DualityBio Ltd</t>
        </is>
      </c>
      <c r="B364" s="89" t="n">
        <v>1</v>
      </c>
      <c r="C364" s="94" t="n">
        <v>100</v>
      </c>
      <c r="D364" s="95" t="n">
        <v>116.7</v>
      </c>
      <c r="E364" s="95" t="n">
        <v>137.8</v>
      </c>
      <c r="F364" s="95" t="n">
        <v>111.4</v>
      </c>
      <c r="G364" s="95" t="n">
        <v>255.2</v>
      </c>
      <c r="H364" s="95" t="n">
        <v>9.800000000000001</v>
      </c>
      <c r="I364" s="95" t="n">
        <v>-2.4</v>
      </c>
      <c r="J364" s="95" t="n">
        <v>63.9</v>
      </c>
      <c r="K364" s="96" t="inlineStr">
        <is>
          <t>9606 DUALITYBIO-B</t>
        </is>
      </c>
    </row>
    <row r="365">
      <c r="A365" s="16" t="inlineStr">
        <is>
          <t>Fighton Asia Master Fund Limited</t>
        </is>
      </c>
      <c r="B365" s="89" t="n">
        <v>1</v>
      </c>
      <c r="C365" s="94" t="n">
        <v>100</v>
      </c>
      <c r="D365" s="95" t="n">
        <v>110.9</v>
      </c>
      <c r="E365" s="95" t="n">
        <v>218.8</v>
      </c>
      <c r="F365" s="95" t="n">
        <v>314.1</v>
      </c>
      <c r="G365" s="95" t="n">
        <v>284.4</v>
      </c>
      <c r="H365" s="95" t="n">
        <v>51.1</v>
      </c>
      <c r="I365" s="95" t="n">
        <v>96.3</v>
      </c>
      <c r="J365" s="95" t="n">
        <v>82.2</v>
      </c>
      <c r="K365" s="96" t="inlineStr">
        <is>
          <t>2422 REGO INTERACT</t>
        </is>
      </c>
    </row>
    <row r="366">
      <c r="A366" s="16" t="inlineStr">
        <is>
          <t>Authority</t>
        </is>
      </c>
      <c r="B366" s="89" t="n">
        <v>1</v>
      </c>
      <c r="C366" s="94" t="n">
        <v>100</v>
      </c>
      <c r="D366" s="95" t="n">
        <v>109.1</v>
      </c>
      <c r="E366" s="95" t="n">
        <v>165.4</v>
      </c>
      <c r="F366" s="95" t="n">
        <v>212.1</v>
      </c>
      <c r="G366" s="95" t="n">
        <v>445.8</v>
      </c>
      <c r="H366" s="95" t="n">
        <v>26.9</v>
      </c>
      <c r="I366" s="95" t="n">
        <v>49.3</v>
      </c>
      <c r="J366" s="95" t="n">
        <v>161</v>
      </c>
      <c r="K366" s="96" t="inlineStr">
        <is>
          <t>0100 MINIMAX-WP</t>
        </is>
      </c>
    </row>
    <row r="367">
      <c r="A367" s="16" t="inlineStr">
        <is>
          <t>First Quarter Moon OFC — Phecda Fund</t>
        </is>
      </c>
      <c r="B367" s="89" t="n">
        <v>1</v>
      </c>
      <c r="C367" s="94" t="n">
        <v>100</v>
      </c>
      <c r="D367" s="95" t="n">
        <v>108.3</v>
      </c>
      <c r="E367" s="95" t="n">
        <v>86.3</v>
      </c>
      <c r="F367" s="95" t="n">
        <v>81.09999999999999</v>
      </c>
      <c r="G367" s="95" t="n">
        <v>-39.8</v>
      </c>
      <c r="H367" s="95" t="n">
        <v>-10.6</v>
      </c>
      <c r="I367" s="95" t="n">
        <v>-13.1</v>
      </c>
      <c r="J367" s="95" t="n">
        <v>-71.09999999999999</v>
      </c>
      <c r="K367" s="96" t="inlineStr">
        <is>
          <t>7630 IMPACT THERAP-B</t>
        </is>
      </c>
    </row>
    <row r="368">
      <c r="A368" s="16" t="inlineStr">
        <is>
          <t>E Fund Hong Kong</t>
        </is>
      </c>
      <c r="B368" s="89" t="n">
        <v>1</v>
      </c>
      <c r="C368" s="94" t="n">
        <v>100</v>
      </c>
      <c r="D368" s="95" t="n">
        <v>106.5</v>
      </c>
      <c r="E368" s="95" t="n">
        <v>87.3</v>
      </c>
      <c r="F368" s="95" t="n">
        <v>30.1</v>
      </c>
      <c r="G368" s="95" t="n">
        <v>25.8</v>
      </c>
      <c r="H368" s="95" t="n">
        <v>-9.300000000000001</v>
      </c>
      <c r="I368" s="95" t="n">
        <v>-37</v>
      </c>
      <c r="J368" s="95" t="n">
        <v>-39.1</v>
      </c>
      <c r="K368" s="96" t="inlineStr">
        <is>
          <t>2595 GENFLEET-B</t>
        </is>
      </c>
    </row>
    <row r="369">
      <c r="A369" s="16" t="inlineStr">
        <is>
          <t>Hundreds Capital</t>
        </is>
      </c>
      <c r="B369" s="89" t="n">
        <v>1</v>
      </c>
      <c r="C369" s="94" t="n">
        <v>100</v>
      </c>
      <c r="D369" s="95" t="n">
        <v>106.1</v>
      </c>
      <c r="E369" s="95" t="n">
        <v>57.2</v>
      </c>
      <c r="F369" s="95" t="n">
        <v>45.2</v>
      </c>
      <c r="G369" s="95" t="n">
        <v>77.90000000000001</v>
      </c>
      <c r="H369" s="95" t="n">
        <v>-23.8</v>
      </c>
      <c r="I369" s="95" t="n">
        <v>-29.5</v>
      </c>
      <c r="J369" s="95" t="n">
        <v>-13.7</v>
      </c>
      <c r="K369" s="96" t="inlineStr">
        <is>
          <t>2718 MININGLAMP-W</t>
        </is>
      </c>
    </row>
    <row r="370">
      <c r="A370" s="16" t="inlineStr">
        <is>
          <t>GFH Financial Group B.S.C</t>
        </is>
      </c>
      <c r="B370" s="89" t="n">
        <v>1</v>
      </c>
      <c r="C370" s="94" t="n">
        <v>100</v>
      </c>
      <c r="D370" s="95" t="n">
        <v>106.1</v>
      </c>
      <c r="E370" s="95" t="n">
        <v>57.2</v>
      </c>
      <c r="F370" s="95" t="n">
        <v>45.2</v>
      </c>
      <c r="G370" s="95" t="n">
        <v>77.90000000000001</v>
      </c>
      <c r="H370" s="95" t="n">
        <v>-23.8</v>
      </c>
      <c r="I370" s="95" t="n">
        <v>-29.5</v>
      </c>
      <c r="J370" s="95" t="n">
        <v>-13.7</v>
      </c>
      <c r="K370" s="96" t="inlineStr">
        <is>
          <t>2718 MININGLAMP-W</t>
        </is>
      </c>
    </row>
    <row r="371">
      <c r="A371" s="16" t="inlineStr">
        <is>
          <t>International Capital Management Limited</t>
        </is>
      </c>
      <c r="B371" s="89" t="n">
        <v>1</v>
      </c>
      <c r="C371" s="94" t="n">
        <v>100</v>
      </c>
      <c r="D371" s="95" t="n">
        <v>106.1</v>
      </c>
      <c r="E371" s="95" t="n">
        <v>57.2</v>
      </c>
      <c r="F371" s="95" t="n">
        <v>45.2</v>
      </c>
      <c r="G371" s="95" t="n">
        <v>77.90000000000001</v>
      </c>
      <c r="H371" s="95" t="n">
        <v>-23.8</v>
      </c>
      <c r="I371" s="95" t="n">
        <v>-29.5</v>
      </c>
      <c r="J371" s="95" t="n">
        <v>-13.7</v>
      </c>
      <c r="K371" s="96" t="inlineStr">
        <is>
          <t>2718 MININGLAMP-W</t>
        </is>
      </c>
    </row>
    <row r="372">
      <c r="A372" s="16" t="inlineStr">
        <is>
          <t>HK Yonglian Investment Development Co., Limited</t>
        </is>
      </c>
      <c r="B372" s="89" t="n">
        <v>1</v>
      </c>
      <c r="C372" s="94" t="n">
        <v>100</v>
      </c>
      <c r="D372" s="95" t="n">
        <v>103.8</v>
      </c>
      <c r="E372" s="95" t="n">
        <v>55.1</v>
      </c>
      <c r="F372" s="95" t="n">
        <v>30.3</v>
      </c>
      <c r="G372" s="95" t="n"/>
      <c r="H372" s="95" t="n">
        <v>-23.9</v>
      </c>
      <c r="I372" s="95" t="n">
        <v>-36.1</v>
      </c>
      <c r="J372" s="95" t="n"/>
      <c r="K372" s="96" t="inlineStr">
        <is>
          <t>9630 CFMEE</t>
        </is>
      </c>
    </row>
    <row r="373">
      <c r="A373" s="16" t="inlineStr">
        <is>
          <t>Hong Kong Xinyao Investment Limited</t>
        </is>
      </c>
      <c r="B373" s="89" t="n">
        <v>1</v>
      </c>
      <c r="C373" s="94" t="n">
        <v>100</v>
      </c>
      <c r="D373" s="95" t="n">
        <v>103.8</v>
      </c>
      <c r="E373" s="95" t="n">
        <v>55.1</v>
      </c>
      <c r="F373" s="95" t="n">
        <v>30.3</v>
      </c>
      <c r="G373" s="95" t="n"/>
      <c r="H373" s="95" t="n">
        <v>-23.9</v>
      </c>
      <c r="I373" s="95" t="n">
        <v>-36.1</v>
      </c>
      <c r="J373" s="95" t="n"/>
      <c r="K373" s="96" t="inlineStr">
        <is>
          <t>9630 CFMEE</t>
        </is>
      </c>
    </row>
    <row r="374">
      <c r="A374" s="16" t="inlineStr">
        <is>
          <t>Lion Global Investors Limited</t>
        </is>
      </c>
      <c r="B374" s="89" t="n">
        <v>1</v>
      </c>
      <c r="C374" s="94" t="n">
        <v>100</v>
      </c>
      <c r="D374" s="95" t="n">
        <v>103.8</v>
      </c>
      <c r="E374" s="95" t="n">
        <v>55.1</v>
      </c>
      <c r="F374" s="95" t="n">
        <v>30.3</v>
      </c>
      <c r="G374" s="95" t="n"/>
      <c r="H374" s="95" t="n">
        <v>-23.9</v>
      </c>
      <c r="I374" s="95" t="n">
        <v>-36.1</v>
      </c>
      <c r="J374" s="95" t="n"/>
      <c r="K374" s="96" t="inlineStr">
        <is>
          <t>9630 CFMEE</t>
        </is>
      </c>
    </row>
    <row r="375">
      <c r="A375" s="16" t="inlineStr">
        <is>
          <t>Monterey Park Finance Limited</t>
        </is>
      </c>
      <c r="B375" s="89" t="n">
        <v>1</v>
      </c>
      <c r="C375" s="94" t="n">
        <v>100</v>
      </c>
      <c r="D375" s="95" t="n">
        <v>103.8</v>
      </c>
      <c r="E375" s="95" t="n">
        <v>55.1</v>
      </c>
      <c r="F375" s="95" t="n">
        <v>30.3</v>
      </c>
      <c r="G375" s="95" t="n"/>
      <c r="H375" s="95" t="n">
        <v>-23.9</v>
      </c>
      <c r="I375" s="95" t="n">
        <v>-36.1</v>
      </c>
      <c r="J375" s="95" t="n"/>
      <c r="K375" s="96" t="inlineStr">
        <is>
          <t>9630 CFMEE</t>
        </is>
      </c>
    </row>
    <row r="376">
      <c r="A376" s="16" t="inlineStr">
        <is>
          <t>Nexchip Semiconductor Hong Kong Corporation Limited</t>
        </is>
      </c>
      <c r="B376" s="89" t="n">
        <v>1</v>
      </c>
      <c r="C376" s="94" t="n">
        <v>100</v>
      </c>
      <c r="D376" s="95" t="n">
        <v>103.8</v>
      </c>
      <c r="E376" s="95" t="n">
        <v>55.1</v>
      </c>
      <c r="F376" s="95" t="n">
        <v>30.3</v>
      </c>
      <c r="G376" s="95" t="n"/>
      <c r="H376" s="95" t="n">
        <v>-23.9</v>
      </c>
      <c r="I376" s="95" t="n">
        <v>-36.1</v>
      </c>
      <c r="J376" s="95" t="n"/>
      <c r="K376" s="96" t="inlineStr">
        <is>
          <t>9630 CFMEE</t>
        </is>
      </c>
    </row>
    <row r="377">
      <c r="A377" s="16" t="inlineStr">
        <is>
          <t>Loomis Sayles Trust Company, LLC</t>
        </is>
      </c>
      <c r="B377" s="89" t="n">
        <v>1</v>
      </c>
      <c r="C377" s="94" t="n">
        <v>100</v>
      </c>
      <c r="D377" s="95" t="n">
        <v>103.5</v>
      </c>
      <c r="E377" s="95" t="n">
        <v>29.1</v>
      </c>
      <c r="F377" s="95" t="n">
        <v>19.5</v>
      </c>
      <c r="G377" s="95" t="n"/>
      <c r="H377" s="95" t="n">
        <v>-36.6</v>
      </c>
      <c r="I377" s="95" t="n">
        <v>-41.3</v>
      </c>
      <c r="J377" s="95" t="n"/>
      <c r="K377" s="96" t="inlineStr">
        <is>
          <t>9637 ALEBUND-B</t>
        </is>
      </c>
    </row>
    <row r="378">
      <c r="A378" s="16" t="inlineStr">
        <is>
          <t>Perfect Ten Holding Limited</t>
        </is>
      </c>
      <c r="B378" s="89" t="n">
        <v>1</v>
      </c>
      <c r="C378" s="94" t="n">
        <v>100</v>
      </c>
      <c r="D378" s="95" t="n">
        <v>103.5</v>
      </c>
      <c r="E378" s="95" t="n">
        <v>29.1</v>
      </c>
      <c r="F378" s="95" t="n">
        <v>19.5</v>
      </c>
      <c r="G378" s="95" t="n"/>
      <c r="H378" s="95" t="n">
        <v>-36.6</v>
      </c>
      <c r="I378" s="95" t="n">
        <v>-41.3</v>
      </c>
      <c r="J378" s="95" t="n"/>
      <c r="K378" s="96" t="inlineStr">
        <is>
          <t>9637 ALEBUND-B</t>
        </is>
      </c>
    </row>
    <row r="379">
      <c r="A379" s="16" t="inlineStr">
        <is>
          <t>SymBiosis II, LLC</t>
        </is>
      </c>
      <c r="B379" s="89" t="n">
        <v>1</v>
      </c>
      <c r="C379" s="94" t="n">
        <v>100</v>
      </c>
      <c r="D379" s="95" t="n">
        <v>103.5</v>
      </c>
      <c r="E379" s="95" t="n">
        <v>29.1</v>
      </c>
      <c r="F379" s="95" t="n">
        <v>19.5</v>
      </c>
      <c r="G379" s="95" t="n"/>
      <c r="H379" s="95" t="n">
        <v>-36.6</v>
      </c>
      <c r="I379" s="95" t="n">
        <v>-41.3</v>
      </c>
      <c r="J379" s="95" t="n"/>
      <c r="K379" s="96" t="inlineStr">
        <is>
          <t>9637 ALEBUND-B</t>
        </is>
      </c>
    </row>
    <row r="380">
      <c r="A380" s="16" t="inlineStr">
        <is>
          <t>AXA Investment Managers UK Limited</t>
        </is>
      </c>
      <c r="B380" s="89" t="n">
        <v>1</v>
      </c>
      <c r="C380" s="94" t="n">
        <v>100</v>
      </c>
      <c r="D380" s="95" t="n">
        <v>103.4</v>
      </c>
      <c r="E380" s="95" t="n">
        <v>73.7</v>
      </c>
      <c r="F380" s="95" t="n">
        <v>64.40000000000001</v>
      </c>
      <c r="G380" s="95" t="n">
        <v>-14.7</v>
      </c>
      <c r="H380" s="95" t="n">
        <v>-14.6</v>
      </c>
      <c r="I380" s="95" t="n">
        <v>-19.2</v>
      </c>
      <c r="J380" s="95" t="n">
        <v>-58.1</v>
      </c>
      <c r="K380" s="96" t="inlineStr">
        <is>
          <t>6656 SIGENERGY</t>
        </is>
      </c>
    </row>
    <row r="381">
      <c r="A381" s="16" t="inlineStr">
        <is>
          <t>Lazurite Hime L.P</t>
        </is>
      </c>
      <c r="B381" s="89" t="n">
        <v>1</v>
      </c>
      <c r="C381" s="94" t="n">
        <v>100</v>
      </c>
      <c r="D381" s="95" t="n">
        <v>103.4</v>
      </c>
      <c r="E381" s="95" t="n">
        <v>73.7</v>
      </c>
      <c r="F381" s="95" t="n">
        <v>64.40000000000001</v>
      </c>
      <c r="G381" s="95" t="n">
        <v>-14.7</v>
      </c>
      <c r="H381" s="95" t="n">
        <v>-14.6</v>
      </c>
      <c r="I381" s="95" t="n">
        <v>-19.2</v>
      </c>
      <c r="J381" s="95" t="n">
        <v>-58.1</v>
      </c>
      <c r="K381" s="96" t="inlineStr">
        <is>
          <t>6656 SIGENERGY</t>
        </is>
      </c>
    </row>
    <row r="382">
      <c r="A382" s="16" t="inlineStr">
        <is>
          <t>Scene Cloud Global Limited</t>
        </is>
      </c>
      <c r="B382" s="89" t="n">
        <v>1</v>
      </c>
      <c r="C382" s="94" t="n">
        <v>100</v>
      </c>
      <c r="D382" s="95" t="n">
        <v>103.4</v>
      </c>
      <c r="E382" s="95" t="n">
        <v>73.7</v>
      </c>
      <c r="F382" s="95" t="n">
        <v>64.40000000000001</v>
      </c>
      <c r="G382" s="95" t="n">
        <v>-14.7</v>
      </c>
      <c r="H382" s="95" t="n">
        <v>-14.6</v>
      </c>
      <c r="I382" s="95" t="n">
        <v>-19.2</v>
      </c>
      <c r="J382" s="95" t="n">
        <v>-58.1</v>
      </c>
      <c r="K382" s="96" t="inlineStr">
        <is>
          <t>6656 SIGENERGY</t>
        </is>
      </c>
    </row>
    <row r="383">
      <c r="A383" s="16" t="inlineStr">
        <is>
          <t>Shanghai Lujiazui (Group) Co., Ltd</t>
        </is>
      </c>
      <c r="B383" s="89" t="n">
        <v>1</v>
      </c>
      <c r="C383" s="94" t="n">
        <v>100</v>
      </c>
      <c r="D383" s="95" t="n">
        <v>103.4</v>
      </c>
      <c r="E383" s="95" t="n">
        <v>73.7</v>
      </c>
      <c r="F383" s="95" t="n">
        <v>64.40000000000001</v>
      </c>
      <c r="G383" s="95" t="n">
        <v>-14.7</v>
      </c>
      <c r="H383" s="95" t="n">
        <v>-14.6</v>
      </c>
      <c r="I383" s="95" t="n">
        <v>-19.2</v>
      </c>
      <c r="J383" s="95" t="n">
        <v>-58.1</v>
      </c>
      <c r="K383" s="96" t="inlineStr">
        <is>
          <t>6656 SIGENERGY</t>
        </is>
      </c>
    </row>
    <row r="384">
      <c r="A384" s="16" t="inlineStr">
        <is>
          <t>Tropical Terrain Limited</t>
        </is>
      </c>
      <c r="B384" s="89" t="n">
        <v>1</v>
      </c>
      <c r="C384" s="94" t="n">
        <v>100</v>
      </c>
      <c r="D384" s="95" t="n">
        <v>103.4</v>
      </c>
      <c r="E384" s="95" t="n">
        <v>73.7</v>
      </c>
      <c r="F384" s="95" t="n">
        <v>64.40000000000001</v>
      </c>
      <c r="G384" s="95" t="n">
        <v>-14.7</v>
      </c>
      <c r="H384" s="95" t="n">
        <v>-14.6</v>
      </c>
      <c r="I384" s="95" t="n">
        <v>-19.2</v>
      </c>
      <c r="J384" s="95" t="n">
        <v>-58.1</v>
      </c>
      <c r="K384" s="96" t="inlineStr">
        <is>
          <t>6656 SIGENERGY</t>
        </is>
      </c>
    </row>
    <row r="385">
      <c r="A385" s="16" t="inlineStr">
        <is>
          <t>Everest Medicines Limited</t>
        </is>
      </c>
      <c r="B385" s="89" t="n">
        <v>1</v>
      </c>
      <c r="C385" s="94" t="n">
        <v>100</v>
      </c>
      <c r="D385" s="95" t="n">
        <v>102.8</v>
      </c>
      <c r="E385" s="95" t="n">
        <v>97.59999999999999</v>
      </c>
      <c r="F385" s="95" t="n">
        <v>86.8</v>
      </c>
      <c r="G385" s="95" t="n"/>
      <c r="H385" s="95" t="n">
        <v>-2.5</v>
      </c>
      <c r="I385" s="95" t="n">
        <v>-7.9</v>
      </c>
      <c r="J385" s="95" t="n"/>
      <c r="K385" s="96" t="inlineStr">
        <is>
          <t>2335 MICOT PHARMA-B</t>
        </is>
      </c>
    </row>
    <row r="386">
      <c r="A386" s="16" t="inlineStr">
        <is>
          <t>Qiyuan High-tech Innovation Investment (Hong Kong) Limited</t>
        </is>
      </c>
      <c r="B386" s="89" t="n">
        <v>1</v>
      </c>
      <c r="C386" s="94" t="n">
        <v>100</v>
      </c>
      <c r="D386" s="95" t="n">
        <v>102.8</v>
      </c>
      <c r="E386" s="95" t="n">
        <v>97.59999999999999</v>
      </c>
      <c r="F386" s="95" t="n">
        <v>86.8</v>
      </c>
      <c r="G386" s="95" t="n"/>
      <c r="H386" s="95" t="n">
        <v>-2.5</v>
      </c>
      <c r="I386" s="95" t="n">
        <v>-7.9</v>
      </c>
      <c r="J386" s="95" t="n"/>
      <c r="K386" s="96" t="inlineStr">
        <is>
          <t>2335 MICOT PHARMA-B</t>
        </is>
      </c>
    </row>
    <row r="387">
      <c r="A387" s="16" t="inlineStr">
        <is>
          <t>Summit Capital Limited</t>
        </is>
      </c>
      <c r="B387" s="89" t="n">
        <v>1</v>
      </c>
      <c r="C387" s="94" t="n">
        <v>100</v>
      </c>
      <c r="D387" s="95" t="n">
        <v>102.8</v>
      </c>
      <c r="E387" s="95" t="n">
        <v>97.59999999999999</v>
      </c>
      <c r="F387" s="95" t="n">
        <v>86.8</v>
      </c>
      <c r="G387" s="95" t="n"/>
      <c r="H387" s="95" t="n">
        <v>-2.5</v>
      </c>
      <c r="I387" s="95" t="n">
        <v>-7.9</v>
      </c>
      <c r="J387" s="95" t="n"/>
      <c r="K387" s="96" t="inlineStr">
        <is>
          <t>2335 MICOT PHARMA-B</t>
        </is>
      </c>
    </row>
    <row r="388">
      <c r="A388" s="16" t="inlineStr">
        <is>
          <t>Mr. Yang</t>
        </is>
      </c>
      <c r="B388" s="89" t="n">
        <v>1</v>
      </c>
      <c r="C388" s="94" t="n">
        <v>100</v>
      </c>
      <c r="D388" s="95" t="n">
        <v>102.3</v>
      </c>
      <c r="E388" s="95" t="n">
        <v>124.5</v>
      </c>
      <c r="F388" s="95" t="n">
        <v>112.2</v>
      </c>
      <c r="G388" s="95" t="n">
        <v>100.8</v>
      </c>
      <c r="H388" s="95" t="n">
        <v>11</v>
      </c>
      <c r="I388" s="95" t="n">
        <v>4.9</v>
      </c>
      <c r="J388" s="95" t="n">
        <v>-0.7</v>
      </c>
      <c r="K388" s="96" t="inlineStr">
        <is>
          <t>2720 RIDGE OUTDOOR</t>
        </is>
      </c>
    </row>
    <row r="389">
      <c r="A389" s="16" t="inlineStr">
        <is>
          <t>GreatCast</t>
        </is>
      </c>
      <c r="B389" s="89" t="n">
        <v>1</v>
      </c>
      <c r="C389" s="94" t="n">
        <v>100</v>
      </c>
      <c r="D389" s="95" t="n">
        <v>102.3</v>
      </c>
      <c r="E389" s="95" t="n">
        <v>124.5</v>
      </c>
      <c r="F389" s="95" t="n">
        <v>112.2</v>
      </c>
      <c r="G389" s="95" t="n">
        <v>100.8</v>
      </c>
      <c r="H389" s="95" t="n">
        <v>11</v>
      </c>
      <c r="I389" s="95" t="n">
        <v>4.9</v>
      </c>
      <c r="J389" s="95" t="n">
        <v>-0.7</v>
      </c>
      <c r="K389" s="96" t="inlineStr">
        <is>
          <t>2720 RIDGE OUTDOOR</t>
        </is>
      </c>
    </row>
    <row r="390">
      <c r="A390" s="16" t="inlineStr">
        <is>
          <t>Taihong</t>
        </is>
      </c>
      <c r="B390" s="89" t="n">
        <v>1</v>
      </c>
      <c r="C390" s="94" t="n">
        <v>100</v>
      </c>
      <c r="D390" s="95" t="n">
        <v>102.3</v>
      </c>
      <c r="E390" s="95" t="n">
        <v>124.5</v>
      </c>
      <c r="F390" s="95" t="n">
        <v>112.2</v>
      </c>
      <c r="G390" s="95" t="n">
        <v>100.8</v>
      </c>
      <c r="H390" s="95" t="n">
        <v>11</v>
      </c>
      <c r="I390" s="95" t="n">
        <v>4.9</v>
      </c>
      <c r="J390" s="95" t="n">
        <v>-0.7</v>
      </c>
      <c r="K390" s="96" t="inlineStr">
        <is>
          <t>2720 RIDGE OUTDOOR</t>
        </is>
      </c>
    </row>
    <row r="391">
      <c r="A391" s="16" t="inlineStr">
        <is>
          <t>Outrider Partnership</t>
        </is>
      </c>
      <c r="B391" s="89" t="n">
        <v>1</v>
      </c>
      <c r="C391" s="94" t="n">
        <v>100</v>
      </c>
      <c r="D391" s="95" t="n">
        <v>102.3</v>
      </c>
      <c r="E391" s="95" t="n">
        <v>124.5</v>
      </c>
      <c r="F391" s="95" t="n">
        <v>112.2</v>
      </c>
      <c r="G391" s="95" t="n">
        <v>100.8</v>
      </c>
      <c r="H391" s="95" t="n">
        <v>11</v>
      </c>
      <c r="I391" s="95" t="n">
        <v>4.9</v>
      </c>
      <c r="J391" s="95" t="n">
        <v>-0.7</v>
      </c>
      <c r="K391" s="96" t="inlineStr">
        <is>
          <t>2720 RIDGE OUTDOOR</t>
        </is>
      </c>
    </row>
    <row r="392">
      <c r="A392" s="16" t="inlineStr">
        <is>
          <t>Orbit VC</t>
        </is>
      </c>
      <c r="B392" s="89" t="n">
        <v>1</v>
      </c>
      <c r="C392" s="94" t="n">
        <v>100</v>
      </c>
      <c r="D392" s="95" t="n">
        <v>102.3</v>
      </c>
      <c r="E392" s="95" t="n">
        <v>124.5</v>
      </c>
      <c r="F392" s="95" t="n">
        <v>112.2</v>
      </c>
      <c r="G392" s="95" t="n">
        <v>100.8</v>
      </c>
      <c r="H392" s="95" t="n">
        <v>11</v>
      </c>
      <c r="I392" s="95" t="n">
        <v>4.9</v>
      </c>
      <c r="J392" s="95" t="n">
        <v>-0.7</v>
      </c>
      <c r="K392" s="96" t="inlineStr">
        <is>
          <t>2720 RIDGE OUTDOOR</t>
        </is>
      </c>
    </row>
    <row r="393">
      <c r="A393" s="16" t="inlineStr">
        <is>
          <t>Vision Fund</t>
        </is>
      </c>
      <c r="B393" s="89" t="n">
        <v>1</v>
      </c>
      <c r="C393" s="94" t="n">
        <v>100</v>
      </c>
      <c r="D393" s="95" t="n">
        <v>91.7</v>
      </c>
      <c r="E393" s="95" t="n">
        <v>100</v>
      </c>
      <c r="F393" s="95" t="n">
        <v>94.3</v>
      </c>
      <c r="G393" s="95" t="n">
        <v>69.09999999999999</v>
      </c>
      <c r="H393" s="95" t="n">
        <v>4.3</v>
      </c>
      <c r="I393" s="95" t="n">
        <v>1.4</v>
      </c>
      <c r="J393" s="95" t="n">
        <v>-11.8</v>
      </c>
      <c r="K393" s="96" t="inlineStr">
        <is>
          <t>9887 LEADS BIOLABS-B</t>
        </is>
      </c>
    </row>
    <row r="394">
      <c r="A394" s="16" t="inlineStr">
        <is>
          <t>Digital Vista GD Investment LP</t>
        </is>
      </c>
      <c r="B394" s="89" t="n">
        <v>1</v>
      </c>
      <c r="C394" s="94" t="n">
        <v>100</v>
      </c>
      <c r="D394" s="95" t="n">
        <v>91.7</v>
      </c>
      <c r="E394" s="95" t="n">
        <v>66.90000000000001</v>
      </c>
      <c r="F394" s="95" t="n">
        <v>61</v>
      </c>
      <c r="G394" s="95" t="n">
        <v>34.5</v>
      </c>
      <c r="H394" s="95" t="n">
        <v>-12.9</v>
      </c>
      <c r="I394" s="95" t="n">
        <v>-16</v>
      </c>
      <c r="J394" s="95" t="n">
        <v>-29.9</v>
      </c>
      <c r="K394" s="96" t="inlineStr">
        <is>
          <t>3310 VIEWTRIX TECH</t>
        </is>
      </c>
    </row>
    <row r="395">
      <c r="A395" s="16" t="inlineStr">
        <is>
          <t>SpreadCom Limited</t>
        </is>
      </c>
      <c r="B395" s="89" t="n">
        <v>1</v>
      </c>
      <c r="C395" s="94" t="n">
        <v>100</v>
      </c>
      <c r="D395" s="95" t="n">
        <v>91.7</v>
      </c>
      <c r="E395" s="95" t="n">
        <v>66.90000000000001</v>
      </c>
      <c r="F395" s="95" t="n">
        <v>61</v>
      </c>
      <c r="G395" s="95" t="n">
        <v>34.5</v>
      </c>
      <c r="H395" s="95" t="n">
        <v>-12.9</v>
      </c>
      <c r="I395" s="95" t="n">
        <v>-16</v>
      </c>
      <c r="J395" s="95" t="n">
        <v>-29.9</v>
      </c>
      <c r="K395" s="96" t="inlineStr">
        <is>
          <t>3310 VIEWTRIX TECH</t>
        </is>
      </c>
    </row>
    <row r="396">
      <c r="A396" s="16" t="inlineStr">
        <is>
          <t>GIGA Industries Limited</t>
        </is>
      </c>
      <c r="B396" s="89" t="n">
        <v>1</v>
      </c>
      <c r="C396" s="94" t="n">
        <v>100</v>
      </c>
      <c r="D396" s="95" t="n">
        <v>90.7</v>
      </c>
      <c r="E396" s="95" t="n">
        <v>109.3</v>
      </c>
      <c r="F396" s="95" t="n">
        <v>186</v>
      </c>
      <c r="G396" s="95" t="n">
        <v>212.6</v>
      </c>
      <c r="H396" s="95" t="n">
        <v>9.800000000000001</v>
      </c>
      <c r="I396" s="95" t="n">
        <v>50</v>
      </c>
      <c r="J396" s="95" t="n">
        <v>64</v>
      </c>
      <c r="K396" s="96" t="inlineStr">
        <is>
          <t>2546 ZHIHUI MINING</t>
        </is>
      </c>
    </row>
    <row r="397">
      <c r="A397" s="16" t="inlineStr">
        <is>
          <t>Enterprises Limited</t>
        </is>
      </c>
      <c r="B397" s="89" t="n">
        <v>1</v>
      </c>
      <c r="C397" s="94" t="n">
        <v>100</v>
      </c>
      <c r="D397" s="95" t="n">
        <v>90.7</v>
      </c>
      <c r="E397" s="95" t="n">
        <v>109.3</v>
      </c>
      <c r="F397" s="95" t="n">
        <v>186</v>
      </c>
      <c r="G397" s="95" t="n">
        <v>212.6</v>
      </c>
      <c r="H397" s="95" t="n">
        <v>9.800000000000001</v>
      </c>
      <c r="I397" s="95" t="n">
        <v>50</v>
      </c>
      <c r="J397" s="95" t="n">
        <v>64</v>
      </c>
      <c r="K397" s="96" t="inlineStr">
        <is>
          <t>2546 ZHIHUI MINING</t>
        </is>
      </c>
    </row>
    <row r="398">
      <c r="A398" s="16" t="inlineStr">
        <is>
          <t>Origin Flair Limited</t>
        </is>
      </c>
      <c r="B398" s="89" t="n">
        <v>1</v>
      </c>
      <c r="C398" s="94" t="n">
        <v>100</v>
      </c>
      <c r="D398" s="95" t="n">
        <v>83.7</v>
      </c>
      <c r="E398" s="95" t="n">
        <v>25.9</v>
      </c>
      <c r="F398" s="95" t="n">
        <v>32.3</v>
      </c>
      <c r="G398" s="95" t="n">
        <v>130.9</v>
      </c>
      <c r="H398" s="95" t="n">
        <v>-31.5</v>
      </c>
      <c r="I398" s="95" t="n">
        <v>-28</v>
      </c>
      <c r="J398" s="95" t="n">
        <v>25.7</v>
      </c>
      <c r="K398" s="96" t="inlineStr">
        <is>
          <t>2125 STRAWBEAR ENT</t>
        </is>
      </c>
    </row>
    <row r="399">
      <c r="A399" s="16" t="inlineStr">
        <is>
          <t>Vipshop International Holdings Limited</t>
        </is>
      </c>
      <c r="B399" s="89" t="n">
        <v>1</v>
      </c>
      <c r="C399" s="94" t="n">
        <v>100</v>
      </c>
      <c r="D399" s="95" t="n">
        <v>83.7</v>
      </c>
      <c r="E399" s="95" t="n">
        <v>25.9</v>
      </c>
      <c r="F399" s="95" t="n">
        <v>32.3</v>
      </c>
      <c r="G399" s="95" t="n">
        <v>130.9</v>
      </c>
      <c r="H399" s="95" t="n">
        <v>-31.5</v>
      </c>
      <c r="I399" s="95" t="n">
        <v>-28</v>
      </c>
      <c r="J399" s="95" t="n">
        <v>25.7</v>
      </c>
      <c r="K399" s="96" t="inlineStr">
        <is>
          <t>2125 STRAWBEAR ENT</t>
        </is>
      </c>
    </row>
    <row r="400">
      <c r="A400" s="16" t="inlineStr">
        <is>
          <t>Shanghai Minhang Financial Investment Development Co., Ltd</t>
        </is>
      </c>
      <c r="B400" s="89" t="n">
        <v>1</v>
      </c>
      <c r="C400" s="94" t="n">
        <v>100</v>
      </c>
      <c r="D400" s="95" t="n">
        <v>80</v>
      </c>
      <c r="E400" s="95" t="n">
        <v>35.7</v>
      </c>
      <c r="F400" s="95" t="n">
        <v>11.2</v>
      </c>
      <c r="G400" s="95" t="n">
        <v>-38.8</v>
      </c>
      <c r="H400" s="95" t="n">
        <v>-24.6</v>
      </c>
      <c r="I400" s="95" t="n">
        <v>-38.2</v>
      </c>
      <c r="J400" s="95" t="n">
        <v>-66</v>
      </c>
      <c r="K400" s="96" t="inlineStr">
        <is>
          <t>7688 TOPNC</t>
        </is>
      </c>
    </row>
    <row r="401">
      <c r="A401" s="16" t="inlineStr">
        <is>
          <t>Akeso, Inc</t>
        </is>
      </c>
      <c r="B401" s="89" t="n">
        <v>1</v>
      </c>
      <c r="C401" s="94" t="n">
        <v>100</v>
      </c>
      <c r="D401" s="95" t="n">
        <v>78.7</v>
      </c>
      <c r="E401" s="95" t="n">
        <v>129.3</v>
      </c>
      <c r="F401" s="95" t="n">
        <v>138.8</v>
      </c>
      <c r="G401" s="95" t="n">
        <v>1039.9</v>
      </c>
      <c r="H401" s="95" t="n">
        <v>28.3</v>
      </c>
      <c r="I401" s="95" t="n">
        <v>33.6</v>
      </c>
      <c r="J401" s="95" t="n">
        <v>537.9</v>
      </c>
      <c r="K401" s="96" t="inlineStr">
        <is>
          <t>2617 TRANSTHERA-B</t>
        </is>
      </c>
    </row>
    <row r="402">
      <c r="A402" s="16" t="inlineStr">
        <is>
          <t>BOCOM International Securities Limited</t>
        </is>
      </c>
      <c r="B402" s="89" t="n">
        <v>1</v>
      </c>
      <c r="C402" s="94" t="n">
        <v>100</v>
      </c>
      <c r="D402" s="95" t="n">
        <v>78.7</v>
      </c>
      <c r="E402" s="95" t="n">
        <v>129.3</v>
      </c>
      <c r="F402" s="95" t="n">
        <v>138.8</v>
      </c>
      <c r="G402" s="95" t="n">
        <v>1039.9</v>
      </c>
      <c r="H402" s="95" t="n">
        <v>28.3</v>
      </c>
      <c r="I402" s="95" t="n">
        <v>33.6</v>
      </c>
      <c r="J402" s="95" t="n">
        <v>537.9</v>
      </c>
      <c r="K402" s="96" t="inlineStr">
        <is>
          <t>2617 TRANSTHERA-B</t>
        </is>
      </c>
    </row>
    <row r="403">
      <c r="A403" s="16" t="inlineStr">
        <is>
          <t>Fund LP and China Core Fund</t>
        </is>
      </c>
      <c r="B403" s="89" t="n">
        <v>1</v>
      </c>
      <c r="C403" s="94" t="n">
        <v>100</v>
      </c>
      <c r="D403" s="95" t="n">
        <v>76.5</v>
      </c>
      <c r="E403" s="95" t="n">
        <v>96.3</v>
      </c>
      <c r="F403" s="95" t="n">
        <v>98</v>
      </c>
      <c r="G403" s="95" t="n">
        <v>270.5</v>
      </c>
      <c r="H403" s="95" t="n">
        <v>11.2</v>
      </c>
      <c r="I403" s="95" t="n">
        <v>12.2</v>
      </c>
      <c r="J403" s="95" t="n">
        <v>109.9</v>
      </c>
      <c r="K403" s="96" t="inlineStr">
        <is>
          <t>1318 MAO GEPING</t>
        </is>
      </c>
    </row>
    <row r="404">
      <c r="A404" s="16" t="inlineStr">
        <is>
          <t>Qiming Venture Partners</t>
        </is>
      </c>
      <c r="B404" s="89" t="n">
        <v>1</v>
      </c>
      <c r="C404" s="94" t="n">
        <v>100</v>
      </c>
      <c r="D404" s="95" t="n">
        <v>75.8</v>
      </c>
      <c r="E404" s="95" t="n">
        <v>73.8</v>
      </c>
      <c r="F404" s="95" t="n">
        <v>67.3</v>
      </c>
      <c r="G404" s="95" t="n">
        <v>75.3</v>
      </c>
      <c r="H404" s="95" t="n">
        <v>-1.2</v>
      </c>
      <c r="I404" s="95" t="n">
        <v>-4.8</v>
      </c>
      <c r="J404" s="95" t="n">
        <v>-0.3</v>
      </c>
      <c r="K404" s="96" t="inlineStr">
        <is>
          <t>6082 BIREN TECH</t>
        </is>
      </c>
    </row>
    <row r="405">
      <c r="A405" s="16" t="inlineStr">
        <is>
          <t>Master Fund, L.P</t>
        </is>
      </c>
      <c r="B405" s="89" t="n">
        <v>1</v>
      </c>
      <c r="C405" s="94" t="n">
        <v>100</v>
      </c>
      <c r="D405" s="95" t="n">
        <v>75.8</v>
      </c>
      <c r="E405" s="95" t="n">
        <v>73.8</v>
      </c>
      <c r="F405" s="95" t="n">
        <v>67.3</v>
      </c>
      <c r="G405" s="95" t="n">
        <v>75.3</v>
      </c>
      <c r="H405" s="95" t="n">
        <v>-1.2</v>
      </c>
      <c r="I405" s="95" t="n">
        <v>-4.8</v>
      </c>
      <c r="J405" s="95" t="n">
        <v>-0.3</v>
      </c>
      <c r="K405" s="96" t="inlineStr">
        <is>
          <t>6082 BIREN TECH</t>
        </is>
      </c>
    </row>
    <row r="406">
      <c r="A406" s="16" t="inlineStr">
        <is>
          <t>有限公司)</t>
        </is>
      </c>
      <c r="B406" s="89" t="n">
        <v>1</v>
      </c>
      <c r="C406" s="94" t="n">
        <v>100</v>
      </c>
      <c r="D406" s="95" t="n">
        <v>75.8</v>
      </c>
      <c r="E406" s="95" t="n">
        <v>73.8</v>
      </c>
      <c r="F406" s="95" t="n">
        <v>67.3</v>
      </c>
      <c r="G406" s="95" t="n">
        <v>75.3</v>
      </c>
      <c r="H406" s="95" t="n">
        <v>-1.2</v>
      </c>
      <c r="I406" s="95" t="n">
        <v>-4.8</v>
      </c>
      <c r="J406" s="95" t="n">
        <v>-0.3</v>
      </c>
      <c r="K406" s="96" t="inlineStr">
        <is>
          <t>6082 BIREN TECH</t>
        </is>
      </c>
    </row>
    <row r="407">
      <c r="A407" s="16" t="inlineStr">
        <is>
          <t>Eastern Bell Capital VIII Investment Limited</t>
        </is>
      </c>
      <c r="B407" s="89" t="n">
        <v>1</v>
      </c>
      <c r="C407" s="94" t="n">
        <v>100</v>
      </c>
      <c r="D407" s="95" t="n">
        <v>75.5</v>
      </c>
      <c r="E407" s="95" t="n">
        <v>112.4</v>
      </c>
      <c r="F407" s="95" t="n">
        <v>107.6</v>
      </c>
      <c r="G407" s="95" t="n">
        <v>81.40000000000001</v>
      </c>
      <c r="H407" s="95" t="n">
        <v>21</v>
      </c>
      <c r="I407" s="95" t="n">
        <v>18.3</v>
      </c>
      <c r="J407" s="95" t="n">
        <v>3.4</v>
      </c>
      <c r="K407" s="96" t="inlineStr">
        <is>
          <t>3277 GPIXEL</t>
        </is>
      </c>
    </row>
    <row r="408">
      <c r="A408" s="16" t="inlineStr">
        <is>
          <t>Protium Capital Limited</t>
        </is>
      </c>
      <c r="B408" s="89" t="n">
        <v>1</v>
      </c>
      <c r="C408" s="94" t="n">
        <v>100</v>
      </c>
      <c r="D408" s="95" t="n">
        <v>75.5</v>
      </c>
      <c r="E408" s="95" t="n">
        <v>112.4</v>
      </c>
      <c r="F408" s="95" t="n">
        <v>107.6</v>
      </c>
      <c r="G408" s="95" t="n">
        <v>81.40000000000001</v>
      </c>
      <c r="H408" s="95" t="n">
        <v>21</v>
      </c>
      <c r="I408" s="95" t="n">
        <v>18.3</v>
      </c>
      <c r="J408" s="95" t="n">
        <v>3.4</v>
      </c>
      <c r="K408" s="96" t="inlineStr">
        <is>
          <t>3277 GPIXEL</t>
        </is>
      </c>
    </row>
    <row r="409">
      <c r="A409" s="16" t="inlineStr">
        <is>
          <t>Source Code Super Holdings Co</t>
        </is>
      </c>
      <c r="B409" s="89" t="n">
        <v>1</v>
      </c>
      <c r="C409" s="94" t="n">
        <v>100</v>
      </c>
      <c r="D409" s="95" t="n">
        <v>75.5</v>
      </c>
      <c r="E409" s="95" t="n">
        <v>112.4</v>
      </c>
      <c r="F409" s="95" t="n">
        <v>107.6</v>
      </c>
      <c r="G409" s="95" t="n">
        <v>81.40000000000001</v>
      </c>
      <c r="H409" s="95" t="n">
        <v>21</v>
      </c>
      <c r="I409" s="95" t="n">
        <v>18.3</v>
      </c>
      <c r="J409" s="95" t="n">
        <v>3.4</v>
      </c>
      <c r="K409" s="96" t="inlineStr">
        <is>
          <t>3277 GPIXEL</t>
        </is>
      </c>
    </row>
    <row r="410">
      <c r="A410" s="16" t="inlineStr">
        <is>
          <t>Voyage42 Master Fund</t>
        </is>
      </c>
      <c r="B410" s="89" t="n">
        <v>1</v>
      </c>
      <c r="C410" s="94" t="n">
        <v>100</v>
      </c>
      <c r="D410" s="95" t="n">
        <v>75.5</v>
      </c>
      <c r="E410" s="95" t="n">
        <v>112.4</v>
      </c>
      <c r="F410" s="95" t="n">
        <v>107.6</v>
      </c>
      <c r="G410" s="95" t="n">
        <v>81.40000000000001</v>
      </c>
      <c r="H410" s="95" t="n">
        <v>21</v>
      </c>
      <c r="I410" s="95" t="n">
        <v>18.3</v>
      </c>
      <c r="J410" s="95" t="n">
        <v>3.4</v>
      </c>
      <c r="K410" s="96" t="inlineStr">
        <is>
          <t>3277 GPIXEL</t>
        </is>
      </c>
    </row>
    <row r="411">
      <c r="A411" s="16" t="inlineStr">
        <is>
          <t>Mr. Zhao</t>
        </is>
      </c>
      <c r="B411" s="89" t="n">
        <v>1</v>
      </c>
      <c r="C411" s="94" t="n">
        <v>100</v>
      </c>
      <c r="D411" s="95" t="n">
        <v>69.09999999999999</v>
      </c>
      <c r="E411" s="95" t="n">
        <v>68.8</v>
      </c>
      <c r="F411" s="95" t="n">
        <v>65.2</v>
      </c>
      <c r="G411" s="95" t="n">
        <v>84.09999999999999</v>
      </c>
      <c r="H411" s="95" t="n">
        <v>-0.1</v>
      </c>
      <c r="I411" s="95" t="n">
        <v>-2.3</v>
      </c>
      <c r="J411" s="95" t="n">
        <v>8.9</v>
      </c>
      <c r="K411" s="96" t="inlineStr">
        <is>
          <t>1768 BUSYMING</t>
        </is>
      </c>
    </row>
    <row r="412">
      <c r="A412" s="16" t="inlineStr">
        <is>
          <t>Shanghai Bird Nest</t>
        </is>
      </c>
      <c r="B412" s="89" t="n">
        <v>1</v>
      </c>
      <c r="C412" s="94" t="n">
        <v>100</v>
      </c>
      <c r="D412" s="95" t="n">
        <v>69.09999999999999</v>
      </c>
      <c r="E412" s="95" t="n">
        <v>68.8</v>
      </c>
      <c r="F412" s="95" t="n">
        <v>65.2</v>
      </c>
      <c r="G412" s="95" t="n">
        <v>84.09999999999999</v>
      </c>
      <c r="H412" s="95" t="n">
        <v>-0.1</v>
      </c>
      <c r="I412" s="95" t="n">
        <v>-2.3</v>
      </c>
      <c r="J412" s="95" t="n">
        <v>8.9</v>
      </c>
      <c r="K412" s="96" t="inlineStr">
        <is>
          <t>1768 BUSYMING</t>
        </is>
      </c>
    </row>
    <row r="413">
      <c r="A413" s="16" t="inlineStr">
        <is>
          <t>Yichun Yikouniao</t>
        </is>
      </c>
      <c r="B413" s="89" t="n">
        <v>1</v>
      </c>
      <c r="C413" s="94" t="n">
        <v>100</v>
      </c>
      <c r="D413" s="95" t="n">
        <v>69.09999999999999</v>
      </c>
      <c r="E413" s="95" t="n">
        <v>68.8</v>
      </c>
      <c r="F413" s="95" t="n">
        <v>65.2</v>
      </c>
      <c r="G413" s="95" t="n">
        <v>84.09999999999999</v>
      </c>
      <c r="H413" s="95" t="n">
        <v>-0.1</v>
      </c>
      <c r="I413" s="95" t="n">
        <v>-2.3</v>
      </c>
      <c r="J413" s="95" t="n">
        <v>8.9</v>
      </c>
      <c r="K413" s="96" t="inlineStr">
        <is>
          <t>1768 BUSYMING</t>
        </is>
      </c>
    </row>
    <row r="414">
      <c r="A414" s="16" t="inlineStr">
        <is>
          <t>Gaorong LKZN</t>
        </is>
      </c>
      <c r="B414" s="89" t="n">
        <v>1</v>
      </c>
      <c r="C414" s="94" t="n">
        <v>100</v>
      </c>
      <c r="D414" s="95" t="n">
        <v>69.09999999999999</v>
      </c>
      <c r="E414" s="95" t="n">
        <v>68.8</v>
      </c>
      <c r="F414" s="95" t="n">
        <v>65.2</v>
      </c>
      <c r="G414" s="95" t="n">
        <v>84.09999999999999</v>
      </c>
      <c r="H414" s="95" t="n">
        <v>-0.1</v>
      </c>
      <c r="I414" s="95" t="n">
        <v>-2.3</v>
      </c>
      <c r="J414" s="95" t="n">
        <v>8.9</v>
      </c>
      <c r="K414" s="96" t="inlineStr">
        <is>
          <t>1768 BUSYMING</t>
        </is>
      </c>
    </row>
    <row r="415">
      <c r="A415" s="16" t="inlineStr">
        <is>
          <t>Discounter Seed</t>
        </is>
      </c>
      <c r="B415" s="89" t="n">
        <v>1</v>
      </c>
      <c r="C415" s="94" t="n">
        <v>100</v>
      </c>
      <c r="D415" s="95" t="n">
        <v>69.09999999999999</v>
      </c>
      <c r="E415" s="95" t="n">
        <v>68.8</v>
      </c>
      <c r="F415" s="95" t="n">
        <v>65.2</v>
      </c>
      <c r="G415" s="95" t="n">
        <v>84.09999999999999</v>
      </c>
      <c r="H415" s="95" t="n">
        <v>-0.1</v>
      </c>
      <c r="I415" s="95" t="n">
        <v>-2.3</v>
      </c>
      <c r="J415" s="95" t="n">
        <v>8.9</v>
      </c>
      <c r="K415" s="96" t="inlineStr">
        <is>
          <t>1768 BUSYMING</t>
        </is>
      </c>
    </row>
    <row r="416">
      <c r="A416" s="16" t="inlineStr">
        <is>
          <t>Shanghai Yihai</t>
        </is>
      </c>
      <c r="B416" s="89" t="n">
        <v>1</v>
      </c>
      <c r="C416" s="94" t="n">
        <v>100</v>
      </c>
      <c r="D416" s="95" t="n">
        <v>69.09999999999999</v>
      </c>
      <c r="E416" s="95" t="n">
        <v>68.8</v>
      </c>
      <c r="F416" s="95" t="n">
        <v>65.2</v>
      </c>
      <c r="G416" s="95" t="n">
        <v>84.09999999999999</v>
      </c>
      <c r="H416" s="95" t="n">
        <v>-0.1</v>
      </c>
      <c r="I416" s="95" t="n">
        <v>-2.3</v>
      </c>
      <c r="J416" s="95" t="n">
        <v>8.9</v>
      </c>
      <c r="K416" s="96" t="inlineStr">
        <is>
          <t>1768 BUSYMING</t>
        </is>
      </c>
    </row>
    <row r="417">
      <c r="A417" s="16" t="inlineStr">
        <is>
          <t>YSC Go (BVI) Limited</t>
        </is>
      </c>
      <c r="B417" s="89" t="n">
        <v>1</v>
      </c>
      <c r="C417" s="94" t="n">
        <v>100</v>
      </c>
      <c r="D417" s="95" t="n">
        <v>58.3</v>
      </c>
      <c r="E417" s="95" t="n">
        <v>17.6</v>
      </c>
      <c r="F417" s="95" t="n">
        <v>-11.1</v>
      </c>
      <c r="G417" s="95" t="n">
        <v>-14</v>
      </c>
      <c r="H417" s="95" t="n">
        <v>-25.7</v>
      </c>
      <c r="I417" s="95" t="n">
        <v>-43.8</v>
      </c>
      <c r="J417" s="95" t="n">
        <v>-45.7</v>
      </c>
      <c r="K417" s="96" t="inlineStr">
        <is>
          <t>2549 CAROTE LTD</t>
        </is>
      </c>
    </row>
    <row r="418">
      <c r="A418" s="16" t="inlineStr">
        <is>
          <t>CDG Group Fund L.P</t>
        </is>
      </c>
      <c r="B418" s="89" t="n">
        <v>1</v>
      </c>
      <c r="C418" s="94" t="n">
        <v>100</v>
      </c>
      <c r="D418" s="95" t="n">
        <v>54.3</v>
      </c>
      <c r="E418" s="95" t="n">
        <v>59.7</v>
      </c>
      <c r="F418" s="95" t="n">
        <v>29.5</v>
      </c>
      <c r="G418" s="95" t="n">
        <v>27.5</v>
      </c>
      <c r="H418" s="95" t="n">
        <v>3.5</v>
      </c>
      <c r="I418" s="95" t="n">
        <v>-16</v>
      </c>
      <c r="J418" s="95" t="n">
        <v>-17.3</v>
      </c>
      <c r="K418" s="96" t="inlineStr">
        <is>
          <t>2160 CARDIOFLOW-B</t>
        </is>
      </c>
    </row>
    <row r="419">
      <c r="A419" s="16" t="inlineStr">
        <is>
          <t>Kunlun Group Limited</t>
        </is>
      </c>
      <c r="B419" s="89" t="n">
        <v>1</v>
      </c>
      <c r="C419" s="94" t="n">
        <v>100</v>
      </c>
      <c r="D419" s="95" t="n">
        <v>54.3</v>
      </c>
      <c r="E419" s="95" t="n">
        <v>59.7</v>
      </c>
      <c r="F419" s="95" t="n">
        <v>29.5</v>
      </c>
      <c r="G419" s="95" t="n">
        <v>27.5</v>
      </c>
      <c r="H419" s="95" t="n">
        <v>3.5</v>
      </c>
      <c r="I419" s="95" t="n">
        <v>-16</v>
      </c>
      <c r="J419" s="95" t="n">
        <v>-17.3</v>
      </c>
      <c r="K419" s="96" t="inlineStr">
        <is>
          <t>2160 CARDIOFLOW-B</t>
        </is>
      </c>
    </row>
    <row r="420">
      <c r="A420" s="16" t="inlineStr">
        <is>
          <t>Tybourne Capital Management (HK) Limited</t>
        </is>
      </c>
      <c r="B420" s="89" t="n">
        <v>1</v>
      </c>
      <c r="C420" s="94" t="n">
        <v>100</v>
      </c>
      <c r="D420" s="95" t="n">
        <v>54.3</v>
      </c>
      <c r="E420" s="95" t="n">
        <v>59.7</v>
      </c>
      <c r="F420" s="95" t="n">
        <v>29.5</v>
      </c>
      <c r="G420" s="95" t="n">
        <v>27.5</v>
      </c>
      <c r="H420" s="95" t="n">
        <v>3.5</v>
      </c>
      <c r="I420" s="95" t="n">
        <v>-16</v>
      </c>
      <c r="J420" s="95" t="n">
        <v>-17.3</v>
      </c>
      <c r="K420" s="96" t="inlineStr">
        <is>
          <t>2160 CARDIOFLOW-B</t>
        </is>
      </c>
    </row>
    <row r="421">
      <c r="A421" s="16" t="inlineStr">
        <is>
          <t>Woodline Master Fund LP</t>
        </is>
      </c>
      <c r="B421" s="89" t="n">
        <v>1</v>
      </c>
      <c r="C421" s="94" t="n">
        <v>100</v>
      </c>
      <c r="D421" s="95" t="n">
        <v>54.3</v>
      </c>
      <c r="E421" s="95" t="n">
        <v>59.7</v>
      </c>
      <c r="F421" s="95" t="n">
        <v>29.5</v>
      </c>
      <c r="G421" s="95" t="n">
        <v>27.5</v>
      </c>
      <c r="H421" s="95" t="n">
        <v>3.5</v>
      </c>
      <c r="I421" s="95" t="n">
        <v>-16</v>
      </c>
      <c r="J421" s="95" t="n">
        <v>-17.3</v>
      </c>
      <c r="K421" s="96" t="inlineStr">
        <is>
          <t>2160 CARDIOFLOW-B</t>
        </is>
      </c>
    </row>
    <row r="422">
      <c r="A422" s="16" t="inlineStr">
        <is>
          <t>Juzi Holding Co., Ltd</t>
        </is>
      </c>
      <c r="B422" s="89" t="n">
        <v>1</v>
      </c>
      <c r="C422" s="94" t="n">
        <v>100</v>
      </c>
      <c r="D422" s="95" t="n">
        <v>53.5</v>
      </c>
      <c r="E422" s="95" t="n">
        <v>56.3</v>
      </c>
      <c r="F422" s="95" t="n">
        <v>46</v>
      </c>
      <c r="G422" s="95" t="n">
        <v>58.6</v>
      </c>
      <c r="H422" s="95" t="n">
        <v>1.9</v>
      </c>
      <c r="I422" s="95" t="n">
        <v>-4.9</v>
      </c>
      <c r="J422" s="95" t="n">
        <v>3.4</v>
      </c>
      <c r="K422" s="96" t="inlineStr">
        <is>
          <t>2373 BEAUTYFARM MED</t>
        </is>
      </c>
    </row>
    <row r="423">
      <c r="A423" s="16" t="inlineStr">
        <is>
          <t>CA Fern Parent</t>
        </is>
      </c>
      <c r="B423" s="89" t="n">
        <v>1</v>
      </c>
      <c r="C423" s="94" t="n">
        <v>100</v>
      </c>
      <c r="D423" s="95" t="n">
        <v>50.4</v>
      </c>
      <c r="E423" s="95" t="n">
        <v>42</v>
      </c>
      <c r="F423" s="95" t="n">
        <v>76.09999999999999</v>
      </c>
      <c r="G423" s="95" t="n">
        <v>44.3</v>
      </c>
      <c r="H423" s="95" t="n">
        <v>-5.5</v>
      </c>
      <c r="I423" s="95" t="n">
        <v>17.1</v>
      </c>
      <c r="J423" s="95" t="n">
        <v>-4.1</v>
      </c>
      <c r="K423" s="96" t="inlineStr">
        <is>
          <t>0013 HUTCHMED</t>
        </is>
      </c>
    </row>
    <row r="424">
      <c r="A424" s="16" t="inlineStr">
        <is>
          <t>HBM Healthcare Investments (Cayman) Ltd</t>
        </is>
      </c>
      <c r="B424" s="89" t="n">
        <v>1</v>
      </c>
      <c r="C424" s="94" t="n">
        <v>100</v>
      </c>
      <c r="D424" s="95" t="n">
        <v>50.4</v>
      </c>
      <c r="E424" s="95" t="n">
        <v>42</v>
      </c>
      <c r="F424" s="95" t="n">
        <v>76.09999999999999</v>
      </c>
      <c r="G424" s="95" t="n">
        <v>44.3</v>
      </c>
      <c r="H424" s="95" t="n">
        <v>-5.5</v>
      </c>
      <c r="I424" s="95" t="n">
        <v>17.1</v>
      </c>
      <c r="J424" s="95" t="n">
        <v>-4.1</v>
      </c>
      <c r="K424" s="96" t="inlineStr">
        <is>
          <t>0013 HUTCHMED</t>
        </is>
      </c>
    </row>
    <row r="425">
      <c r="A425" s="16" t="inlineStr">
        <is>
          <t>Cloudview Capital Limited</t>
        </is>
      </c>
      <c r="B425" s="89" t="n">
        <v>1</v>
      </c>
      <c r="C425" s="94" t="n">
        <v>100</v>
      </c>
      <c r="D425" s="95" t="n">
        <v>50.1</v>
      </c>
      <c r="E425" s="95" t="n">
        <v>42.9</v>
      </c>
      <c r="F425" s="95" t="n">
        <v>65</v>
      </c>
      <c r="G425" s="95" t="n">
        <v>9.6</v>
      </c>
      <c r="H425" s="95" t="n">
        <v>-4.8</v>
      </c>
      <c r="I425" s="95" t="n">
        <v>9.9</v>
      </c>
      <c r="J425" s="95" t="n">
        <v>-27</v>
      </c>
      <c r="K425" s="96" t="inlineStr">
        <is>
          <t>2476 VGT</t>
        </is>
      </c>
    </row>
    <row r="426">
      <c r="A426" s="16" t="inlineStr">
        <is>
          <t>CNCB (Hong Kong) Investment Limited</t>
        </is>
      </c>
      <c r="B426" s="89" t="n">
        <v>1</v>
      </c>
      <c r="C426" s="94" t="n">
        <v>100</v>
      </c>
      <c r="D426" s="95" t="n">
        <v>50.1</v>
      </c>
      <c r="E426" s="95" t="n">
        <v>42.9</v>
      </c>
      <c r="F426" s="95" t="n">
        <v>65</v>
      </c>
      <c r="G426" s="95" t="n">
        <v>9.6</v>
      </c>
      <c r="H426" s="95" t="n">
        <v>-4.8</v>
      </c>
      <c r="I426" s="95" t="n">
        <v>9.9</v>
      </c>
      <c r="J426" s="95" t="n">
        <v>-27</v>
      </c>
      <c r="K426" s="96" t="inlineStr">
        <is>
          <t>2476 VGT</t>
        </is>
      </c>
    </row>
    <row r="427">
      <c r="A427" s="16" t="inlineStr">
        <is>
          <t>Golden K2 Falcon Open-ended Fund Company</t>
        </is>
      </c>
      <c r="B427" s="89" t="n">
        <v>1</v>
      </c>
      <c r="C427" s="94" t="n">
        <v>100</v>
      </c>
      <c r="D427" s="95" t="n">
        <v>50.1</v>
      </c>
      <c r="E427" s="95" t="n">
        <v>42.9</v>
      </c>
      <c r="F427" s="95" t="n">
        <v>65</v>
      </c>
      <c r="G427" s="95" t="n">
        <v>9.6</v>
      </c>
      <c r="H427" s="95" t="n">
        <v>-4.8</v>
      </c>
      <c r="I427" s="95" t="n">
        <v>9.9</v>
      </c>
      <c r="J427" s="95" t="n">
        <v>-27</v>
      </c>
      <c r="K427" s="96" t="inlineStr">
        <is>
          <t>2476 VGT</t>
        </is>
      </c>
    </row>
    <row r="428">
      <c r="A428" s="16" t="inlineStr">
        <is>
          <t>Hong Kong Mason Electronics Co., Ltd</t>
        </is>
      </c>
      <c r="B428" s="89" t="n">
        <v>1</v>
      </c>
      <c r="C428" s="94" t="n">
        <v>100</v>
      </c>
      <c r="D428" s="95" t="n">
        <v>50.1</v>
      </c>
      <c r="E428" s="95" t="n">
        <v>42.9</v>
      </c>
      <c r="F428" s="95" t="n">
        <v>65</v>
      </c>
      <c r="G428" s="95" t="n">
        <v>9.6</v>
      </c>
      <c r="H428" s="95" t="n">
        <v>-4.8</v>
      </c>
      <c r="I428" s="95" t="n">
        <v>9.9</v>
      </c>
      <c r="J428" s="95" t="n">
        <v>-27</v>
      </c>
      <c r="K428" s="96" t="inlineStr">
        <is>
          <t>2476 VGT</t>
        </is>
      </c>
    </row>
    <row r="429">
      <c r="A429" s="16" t="inlineStr">
        <is>
          <t>Mr. Ye Guofu</t>
        </is>
      </c>
      <c r="B429" s="89" t="n">
        <v>1</v>
      </c>
      <c r="C429" s="94" t="n">
        <v>100</v>
      </c>
      <c r="D429" s="95" t="n">
        <v>50.1</v>
      </c>
      <c r="E429" s="95" t="n">
        <v>42.9</v>
      </c>
      <c r="F429" s="95" t="n">
        <v>65</v>
      </c>
      <c r="G429" s="95" t="n">
        <v>9.6</v>
      </c>
      <c r="H429" s="95" t="n">
        <v>-4.8</v>
      </c>
      <c r="I429" s="95" t="n">
        <v>9.9</v>
      </c>
      <c r="J429" s="95" t="n">
        <v>-27</v>
      </c>
      <c r="K429" s="96" t="inlineStr">
        <is>
          <t>2476 VGT</t>
        </is>
      </c>
    </row>
    <row r="430">
      <c r="A430" s="16" t="inlineStr">
        <is>
          <t>New Golden Future Limited</t>
        </is>
      </c>
      <c r="B430" s="89" t="n">
        <v>1</v>
      </c>
      <c r="C430" s="94" t="n">
        <v>100</v>
      </c>
      <c r="D430" s="95" t="n">
        <v>50.1</v>
      </c>
      <c r="E430" s="95" t="n">
        <v>42.9</v>
      </c>
      <c r="F430" s="95" t="n">
        <v>65</v>
      </c>
      <c r="G430" s="95" t="n">
        <v>9.6</v>
      </c>
      <c r="H430" s="95" t="n">
        <v>-4.8</v>
      </c>
      <c r="I430" s="95" t="n">
        <v>9.9</v>
      </c>
      <c r="J430" s="95" t="n">
        <v>-27</v>
      </c>
      <c r="K430" s="96" t="inlineStr">
        <is>
          <t>2476 VGT</t>
        </is>
      </c>
    </row>
    <row r="431">
      <c r="A431" s="16" t="inlineStr">
        <is>
          <t>Ding Shijia</t>
        </is>
      </c>
      <c r="B431" s="89" t="n">
        <v>1</v>
      </c>
      <c r="C431" s="94" t="n">
        <v>100</v>
      </c>
      <c r="D431" s="95" t="n">
        <v>47.8</v>
      </c>
      <c r="E431" s="95" t="n">
        <v>17.2</v>
      </c>
      <c r="F431" s="95" t="n">
        <v>6.9</v>
      </c>
      <c r="G431" s="95" t="n">
        <v>-1.2</v>
      </c>
      <c r="H431" s="95" t="n">
        <v>-20.7</v>
      </c>
      <c r="I431" s="95" t="n">
        <v>-27.7</v>
      </c>
      <c r="J431" s="95" t="n">
        <v>-33.2</v>
      </c>
      <c r="K431" s="96" t="inlineStr">
        <is>
          <t>2306 YH ENT</t>
        </is>
      </c>
    </row>
    <row r="432">
      <c r="A432" s="16" t="inlineStr">
        <is>
          <t>Maoyan Entertainment (HK) Limited</t>
        </is>
      </c>
      <c r="B432" s="89" t="n">
        <v>1</v>
      </c>
      <c r="C432" s="94" t="n">
        <v>100</v>
      </c>
      <c r="D432" s="95" t="n">
        <v>47.8</v>
      </c>
      <c r="E432" s="95" t="n">
        <v>17.2</v>
      </c>
      <c r="F432" s="95" t="n">
        <v>6.9</v>
      </c>
      <c r="G432" s="95" t="n">
        <v>-1.2</v>
      </c>
      <c r="H432" s="95" t="n">
        <v>-20.7</v>
      </c>
      <c r="I432" s="95" t="n">
        <v>-27.7</v>
      </c>
      <c r="J432" s="95" t="n">
        <v>-33.2</v>
      </c>
      <c r="K432" s="96" t="inlineStr">
        <is>
          <t>2306 YH ENT</t>
        </is>
      </c>
    </row>
    <row r="433">
      <c r="A433" s="16" t="inlineStr">
        <is>
          <t>Sun Mass Energy Development Limited</t>
        </is>
      </c>
      <c r="B433" s="89" t="n">
        <v>1</v>
      </c>
      <c r="C433" s="94" t="n">
        <v>100</v>
      </c>
      <c r="D433" s="95" t="n">
        <v>47.8</v>
      </c>
      <c r="E433" s="95" t="n">
        <v>17.2</v>
      </c>
      <c r="F433" s="95" t="n">
        <v>6.9</v>
      </c>
      <c r="G433" s="95" t="n">
        <v>-1.2</v>
      </c>
      <c r="H433" s="95" t="n">
        <v>-20.7</v>
      </c>
      <c r="I433" s="95" t="n">
        <v>-27.7</v>
      </c>
      <c r="J433" s="95" t="n">
        <v>-33.2</v>
      </c>
      <c r="K433" s="96" t="inlineStr">
        <is>
          <t>2306 YH ENT</t>
        </is>
      </c>
    </row>
    <row r="434">
      <c r="A434" s="16" t="inlineStr">
        <is>
          <t>Kingsoft Cloud Network Corporation Limited</t>
        </is>
      </c>
      <c r="B434" s="89" t="n">
        <v>1</v>
      </c>
      <c r="C434" s="94" t="n">
        <v>100</v>
      </c>
      <c r="D434" s="95" t="n">
        <v>44.7</v>
      </c>
      <c r="E434" s="95" t="n">
        <v>60.5</v>
      </c>
      <c r="F434" s="95" t="n">
        <v>-41.7</v>
      </c>
      <c r="G434" s="95" t="n"/>
      <c r="H434" s="95" t="n">
        <v>10.9</v>
      </c>
      <c r="I434" s="95" t="n">
        <v>-59.7</v>
      </c>
      <c r="J434" s="95" t="n"/>
      <c r="K434" s="96" t="inlineStr">
        <is>
          <t>1191 CREALIGHTS</t>
        </is>
      </c>
    </row>
    <row r="435">
      <c r="A435" s="16" t="inlineStr">
        <is>
          <t>Winwin Technology Investment Co., Limited</t>
        </is>
      </c>
      <c r="B435" s="89" t="n">
        <v>1</v>
      </c>
      <c r="C435" s="94" t="n">
        <v>100</v>
      </c>
      <c r="D435" s="95" t="n">
        <v>44.7</v>
      </c>
      <c r="E435" s="95" t="n">
        <v>60.5</v>
      </c>
      <c r="F435" s="95" t="n">
        <v>-41.7</v>
      </c>
      <c r="G435" s="95" t="n"/>
      <c r="H435" s="95" t="n">
        <v>10.9</v>
      </c>
      <c r="I435" s="95" t="n">
        <v>-59.7</v>
      </c>
      <c r="J435" s="95" t="n"/>
      <c r="K435" s="96" t="inlineStr">
        <is>
          <t>1191 CREALIGHTS</t>
        </is>
      </c>
    </row>
    <row r="436">
      <c r="A436" s="16" t="inlineStr">
        <is>
          <t>Nebula</t>
        </is>
      </c>
      <c r="B436" s="89" t="n">
        <v>1</v>
      </c>
      <c r="C436" s="94" t="n">
        <v>100</v>
      </c>
      <c r="D436" s="95" t="n">
        <v>44.6</v>
      </c>
      <c r="E436" s="95" t="n">
        <v>105.4</v>
      </c>
      <c r="F436" s="95" t="n">
        <v>184.9</v>
      </c>
      <c r="G436" s="95" t="n">
        <v>137.2</v>
      </c>
      <c r="H436" s="95" t="n">
        <v>42</v>
      </c>
      <c r="I436" s="95" t="n">
        <v>97</v>
      </c>
      <c r="J436" s="95" t="n">
        <v>64</v>
      </c>
      <c r="K436" s="96" t="inlineStr">
        <is>
          <t>9678 UNISOUND</t>
        </is>
      </c>
    </row>
    <row r="437">
      <c r="A437" s="16" t="inlineStr">
        <is>
          <t>Great Praise</t>
        </is>
      </c>
      <c r="B437" s="89" t="n">
        <v>1</v>
      </c>
      <c r="C437" s="94" t="n">
        <v>100</v>
      </c>
      <c r="D437" s="95" t="n">
        <v>44</v>
      </c>
      <c r="E437" s="95" t="n">
        <v>46.1</v>
      </c>
      <c r="F437" s="95" t="n">
        <v>36.3</v>
      </c>
      <c r="G437" s="95" t="n">
        <v>44.7</v>
      </c>
      <c r="H437" s="95" t="n">
        <v>1.5</v>
      </c>
      <c r="I437" s="95" t="n">
        <v>-5.3</v>
      </c>
      <c r="J437" s="95" t="n">
        <v>0.5</v>
      </c>
      <c r="K437" s="96" t="inlineStr">
        <is>
          <t>6090 BUTONG GROUP</t>
        </is>
      </c>
    </row>
    <row r="438">
      <c r="A438" s="16" t="inlineStr">
        <is>
          <t>Limited (TKAMC HK)</t>
        </is>
      </c>
      <c r="B438" s="89" t="n">
        <v>1</v>
      </c>
      <c r="C438" s="94" t="n">
        <v>100</v>
      </c>
      <c r="D438" s="95" t="n">
        <v>43.2</v>
      </c>
      <c r="E438" s="95" t="n">
        <v>94.3</v>
      </c>
      <c r="F438" s="95" t="n">
        <v>107.4</v>
      </c>
      <c r="G438" s="95" t="n">
        <v>180.5</v>
      </c>
      <c r="H438" s="95" t="n">
        <v>35.6</v>
      </c>
      <c r="I438" s="95" t="n">
        <v>44.8</v>
      </c>
      <c r="J438" s="95" t="n">
        <v>95.90000000000001</v>
      </c>
      <c r="K438" s="96" t="inlineStr">
        <is>
          <t>2097 MIXUE GROUP</t>
        </is>
      </c>
    </row>
    <row r="439">
      <c r="A439" s="16" t="inlineStr">
        <is>
          <t>Investment Limited (HTCI)</t>
        </is>
      </c>
      <c r="B439" s="89" t="n">
        <v>1</v>
      </c>
      <c r="C439" s="94" t="n">
        <v>100</v>
      </c>
      <c r="D439" s="95" t="n">
        <v>43.2</v>
      </c>
      <c r="E439" s="95" t="n">
        <v>94.3</v>
      </c>
      <c r="F439" s="95" t="n">
        <v>107.4</v>
      </c>
      <c r="G439" s="95" t="n">
        <v>180.5</v>
      </c>
      <c r="H439" s="95" t="n">
        <v>35.6</v>
      </c>
      <c r="I439" s="95" t="n">
        <v>44.8</v>
      </c>
      <c r="J439" s="95" t="n">
        <v>95.90000000000001</v>
      </c>
      <c r="K439" s="96" t="inlineStr">
        <is>
          <t>2097 MIXUE GROUP</t>
        </is>
      </c>
    </row>
    <row r="440">
      <c r="A440" s="16" t="inlineStr">
        <is>
          <t>Kong Limited (VPHK)</t>
        </is>
      </c>
      <c r="B440" s="89" t="n">
        <v>1</v>
      </c>
      <c r="C440" s="94" t="n">
        <v>100</v>
      </c>
      <c r="D440" s="95" t="n">
        <v>43.2</v>
      </c>
      <c r="E440" s="95" t="n">
        <v>94.3</v>
      </c>
      <c r="F440" s="95" t="n">
        <v>107.4</v>
      </c>
      <c r="G440" s="95" t="n">
        <v>180.5</v>
      </c>
      <c r="H440" s="95" t="n">
        <v>35.6</v>
      </c>
      <c r="I440" s="95" t="n">
        <v>44.8</v>
      </c>
      <c r="J440" s="95" t="n">
        <v>95.90000000000001</v>
      </c>
      <c r="K440" s="96" t="inlineStr">
        <is>
          <t>2097 MIXUE GROUP</t>
        </is>
      </c>
    </row>
    <row r="441">
      <c r="A441" s="16" t="inlineStr">
        <is>
          <t>M&amp;G Investments</t>
        </is>
      </c>
      <c r="B441" s="89" t="n">
        <v>1</v>
      </c>
      <c r="C441" s="94" t="n">
        <v>100</v>
      </c>
      <c r="D441" s="95" t="n">
        <v>43.2</v>
      </c>
      <c r="E441" s="95" t="n">
        <v>94.3</v>
      </c>
      <c r="F441" s="95" t="n">
        <v>107.4</v>
      </c>
      <c r="G441" s="95" t="n">
        <v>180.5</v>
      </c>
      <c r="H441" s="95" t="n">
        <v>35.6</v>
      </c>
      <c r="I441" s="95" t="n">
        <v>44.8</v>
      </c>
      <c r="J441" s="95" t="n">
        <v>95.90000000000001</v>
      </c>
      <c r="K441" s="96" t="inlineStr">
        <is>
          <t>2097 MIXUE GROUP</t>
        </is>
      </c>
    </row>
    <row r="442">
      <c r="A442" s="16" t="inlineStr">
        <is>
          <t>Persistence Growth Limited</t>
        </is>
      </c>
      <c r="B442" s="89" t="n">
        <v>1</v>
      </c>
      <c r="C442" s="94" t="n">
        <v>100</v>
      </c>
      <c r="D442" s="95" t="n">
        <v>43.2</v>
      </c>
      <c r="E442" s="95" t="n">
        <v>94.3</v>
      </c>
      <c r="F442" s="95" t="n">
        <v>107.4</v>
      </c>
      <c r="G442" s="95" t="n">
        <v>180.5</v>
      </c>
      <c r="H442" s="95" t="n">
        <v>35.6</v>
      </c>
      <c r="I442" s="95" t="n">
        <v>44.8</v>
      </c>
      <c r="J442" s="95" t="n">
        <v>95.90000000000001</v>
      </c>
      <c r="K442" s="96" t="inlineStr">
        <is>
          <t>2097 MIXUE GROUP</t>
        </is>
      </c>
    </row>
    <row r="443">
      <c r="A443" s="16" t="inlineStr">
        <is>
          <t>MeichengNote</t>
        </is>
      </c>
      <c r="B443" s="89" t="n">
        <v>1</v>
      </c>
      <c r="C443" s="94" t="n">
        <v>100</v>
      </c>
      <c r="D443" s="95" t="n">
        <v>43.2</v>
      </c>
      <c r="E443" s="95" t="n">
        <v>94.3</v>
      </c>
      <c r="F443" s="95" t="n">
        <v>107.4</v>
      </c>
      <c r="G443" s="95" t="n">
        <v>180.5</v>
      </c>
      <c r="H443" s="95" t="n">
        <v>35.6</v>
      </c>
      <c r="I443" s="95" t="n">
        <v>44.8</v>
      </c>
      <c r="J443" s="95" t="n">
        <v>95.90000000000001</v>
      </c>
      <c r="K443" s="96" t="inlineStr">
        <is>
          <t>2097 MIXUE GROUP</t>
        </is>
      </c>
    </row>
    <row r="444">
      <c r="A444" s="16" t="inlineStr">
        <is>
          <t>Shenzhen Yunqi</t>
        </is>
      </c>
      <c r="B444" s="89" t="n">
        <v>1</v>
      </c>
      <c r="C444" s="94" t="n">
        <v>100</v>
      </c>
      <c r="D444" s="95" t="n">
        <v>43.2</v>
      </c>
      <c r="E444" s="95" t="n">
        <v>94.3</v>
      </c>
      <c r="F444" s="95" t="n">
        <v>107.4</v>
      </c>
      <c r="G444" s="95" t="n">
        <v>180.5</v>
      </c>
      <c r="H444" s="95" t="n">
        <v>35.6</v>
      </c>
      <c r="I444" s="95" t="n">
        <v>44.8</v>
      </c>
      <c r="J444" s="95" t="n">
        <v>95.90000000000001</v>
      </c>
      <c r="K444" s="96" t="inlineStr">
        <is>
          <t>2097 MIXUE GROUP</t>
        </is>
      </c>
    </row>
    <row r="445">
      <c r="A445" s="16" t="inlineStr">
        <is>
          <t>Lin Xiaojian</t>
        </is>
      </c>
      <c r="B445" s="89" t="n">
        <v>1</v>
      </c>
      <c r="C445" s="94" t="n">
        <v>100</v>
      </c>
      <c r="D445" s="95" t="n">
        <v>42</v>
      </c>
      <c r="E445" s="95" t="n">
        <v>30</v>
      </c>
      <c r="F445" s="95" t="n">
        <v>3</v>
      </c>
      <c r="G445" s="95" t="n">
        <v>9.5</v>
      </c>
      <c r="H445" s="95" t="n">
        <v>-8.4</v>
      </c>
      <c r="I445" s="95" t="n">
        <v>-27.5</v>
      </c>
      <c r="J445" s="95" t="n">
        <v>-22.9</v>
      </c>
      <c r="K445" s="96" t="inlineStr">
        <is>
          <t>9881 RONGTA TECH</t>
        </is>
      </c>
    </row>
    <row r="446">
      <c r="A446" s="16" t="inlineStr">
        <is>
          <t>Sinos Group Limited</t>
        </is>
      </c>
      <c r="B446" s="89" t="n">
        <v>1</v>
      </c>
      <c r="C446" s="94" t="n">
        <v>100</v>
      </c>
      <c r="D446" s="95" t="n">
        <v>42</v>
      </c>
      <c r="E446" s="95" t="n">
        <v>30</v>
      </c>
      <c r="F446" s="95" t="n">
        <v>3</v>
      </c>
      <c r="G446" s="95" t="n">
        <v>9.5</v>
      </c>
      <c r="H446" s="95" t="n">
        <v>-8.4</v>
      </c>
      <c r="I446" s="95" t="n">
        <v>-27.5</v>
      </c>
      <c r="J446" s="95" t="n">
        <v>-22.9</v>
      </c>
      <c r="K446" s="96" t="inlineStr">
        <is>
          <t>9881 RONGTA TECH</t>
        </is>
      </c>
    </row>
    <row r="447">
      <c r="A447" s="16" t="inlineStr">
        <is>
          <t>Li Shuhan</t>
        </is>
      </c>
      <c r="B447" s="89" t="n">
        <v>1</v>
      </c>
      <c r="C447" s="94" t="n">
        <v>100</v>
      </c>
      <c r="D447" s="95" t="n">
        <v>42</v>
      </c>
      <c r="E447" s="95" t="n">
        <v>30</v>
      </c>
      <c r="F447" s="95" t="n">
        <v>3</v>
      </c>
      <c r="G447" s="95" t="n">
        <v>9.5</v>
      </c>
      <c r="H447" s="95" t="n">
        <v>-8.4</v>
      </c>
      <c r="I447" s="95" t="n">
        <v>-27.5</v>
      </c>
      <c r="J447" s="95" t="n">
        <v>-22.9</v>
      </c>
      <c r="K447" s="96" t="inlineStr">
        <is>
          <t>9881 RONGTA TECH</t>
        </is>
      </c>
    </row>
    <row r="448">
      <c r="A448" s="16" t="inlineStr">
        <is>
          <t>Ng Chi Fat</t>
        </is>
      </c>
      <c r="B448" s="89" t="n">
        <v>1</v>
      </c>
      <c r="C448" s="94" t="n">
        <v>100</v>
      </c>
      <c r="D448" s="95" t="n">
        <v>42</v>
      </c>
      <c r="E448" s="95" t="n">
        <v>30</v>
      </c>
      <c r="F448" s="95" t="n">
        <v>3</v>
      </c>
      <c r="G448" s="95" t="n">
        <v>9.5</v>
      </c>
      <c r="H448" s="95" t="n">
        <v>-8.4</v>
      </c>
      <c r="I448" s="95" t="n">
        <v>-27.5</v>
      </c>
      <c r="J448" s="95" t="n">
        <v>-22.9</v>
      </c>
      <c r="K448" s="96" t="inlineStr">
        <is>
          <t>9881 RONGTA TECH</t>
        </is>
      </c>
    </row>
    <row r="449">
      <c r="A449" s="16" t="inlineStr">
        <is>
          <t>Xu Kaiming</t>
        </is>
      </c>
      <c r="B449" s="89" t="n">
        <v>1</v>
      </c>
      <c r="C449" s="94" t="n">
        <v>100</v>
      </c>
      <c r="D449" s="95" t="n">
        <v>42</v>
      </c>
      <c r="E449" s="95" t="n">
        <v>30</v>
      </c>
      <c r="F449" s="95" t="n">
        <v>3</v>
      </c>
      <c r="G449" s="95" t="n">
        <v>9.5</v>
      </c>
      <c r="H449" s="95" t="n">
        <v>-8.4</v>
      </c>
      <c r="I449" s="95" t="n">
        <v>-27.5</v>
      </c>
      <c r="J449" s="95" t="n">
        <v>-22.9</v>
      </c>
      <c r="K449" s="96" t="inlineStr">
        <is>
          <t>9881 RONGTA TECH</t>
        </is>
      </c>
    </row>
    <row r="450">
      <c r="A450" s="16" t="inlineStr">
        <is>
          <t>Xu Kaihe</t>
        </is>
      </c>
      <c r="B450" s="89" t="n">
        <v>1</v>
      </c>
      <c r="C450" s="94" t="n">
        <v>100</v>
      </c>
      <c r="D450" s="95" t="n">
        <v>42</v>
      </c>
      <c r="E450" s="95" t="n">
        <v>30</v>
      </c>
      <c r="F450" s="95" t="n">
        <v>3</v>
      </c>
      <c r="G450" s="95" t="n">
        <v>9.5</v>
      </c>
      <c r="H450" s="95" t="n">
        <v>-8.4</v>
      </c>
      <c r="I450" s="95" t="n">
        <v>-27.5</v>
      </c>
      <c r="J450" s="95" t="n">
        <v>-22.9</v>
      </c>
      <c r="K450" s="96" t="inlineStr">
        <is>
          <t>9881 RONGTA TECH</t>
        </is>
      </c>
    </row>
    <row r="451">
      <c r="A451" s="16" t="inlineStr">
        <is>
          <t>Lin Huanan</t>
        </is>
      </c>
      <c r="B451" s="89" t="n">
        <v>1</v>
      </c>
      <c r="C451" s="94" t="n">
        <v>100</v>
      </c>
      <c r="D451" s="95" t="n">
        <v>42</v>
      </c>
      <c r="E451" s="95" t="n">
        <v>30</v>
      </c>
      <c r="F451" s="95" t="n">
        <v>3</v>
      </c>
      <c r="G451" s="95" t="n">
        <v>9.5</v>
      </c>
      <c r="H451" s="95" t="n">
        <v>-8.4</v>
      </c>
      <c r="I451" s="95" t="n">
        <v>-27.5</v>
      </c>
      <c r="J451" s="95" t="n">
        <v>-22.9</v>
      </c>
      <c r="K451" s="96" t="inlineStr">
        <is>
          <t>9881 RONGTA TECH</t>
        </is>
      </c>
    </row>
    <row r="452">
      <c r="A452" s="16" t="inlineStr">
        <is>
          <t>Yang Litie</t>
        </is>
      </c>
      <c r="B452" s="89" t="n">
        <v>1</v>
      </c>
      <c r="C452" s="94" t="n">
        <v>100</v>
      </c>
      <c r="D452" s="95" t="n">
        <v>42</v>
      </c>
      <c r="E452" s="95" t="n">
        <v>30</v>
      </c>
      <c r="F452" s="95" t="n">
        <v>3</v>
      </c>
      <c r="G452" s="95" t="n">
        <v>9.5</v>
      </c>
      <c r="H452" s="95" t="n">
        <v>-8.4</v>
      </c>
      <c r="I452" s="95" t="n">
        <v>-27.5</v>
      </c>
      <c r="J452" s="95" t="n">
        <v>-22.9</v>
      </c>
      <c r="K452" s="96" t="inlineStr">
        <is>
          <t>9881 RONGTA TECH</t>
        </is>
      </c>
    </row>
    <row r="453">
      <c r="A453" s="16" t="inlineStr">
        <is>
          <t>Bright Stone Holdings Limited</t>
        </is>
      </c>
      <c r="B453" s="89" t="n">
        <v>1</v>
      </c>
      <c r="C453" s="94" t="n">
        <v>100</v>
      </c>
      <c r="D453" s="95" t="n">
        <v>41.6</v>
      </c>
      <c r="E453" s="95" t="n">
        <v>30.8</v>
      </c>
      <c r="F453" s="95" t="n">
        <v>18.2</v>
      </c>
      <c r="G453" s="95" t="n">
        <v>14.6</v>
      </c>
      <c r="H453" s="95" t="n">
        <v>-7.7</v>
      </c>
      <c r="I453" s="95" t="n">
        <v>-16.5</v>
      </c>
      <c r="J453" s="95" t="n">
        <v>-19.1</v>
      </c>
      <c r="K453" s="96" t="inlineStr">
        <is>
          <t>6938 RIBOLIFE-B</t>
        </is>
      </c>
    </row>
    <row r="454">
      <c r="A454" s="16" t="inlineStr">
        <is>
          <t>Erik Selin Fastigheter Aktiebolag</t>
        </is>
      </c>
      <c r="B454" s="89" t="n">
        <v>1</v>
      </c>
      <c r="C454" s="94" t="n">
        <v>100</v>
      </c>
      <c r="D454" s="95" t="n">
        <v>41.6</v>
      </c>
      <c r="E454" s="95" t="n">
        <v>30.8</v>
      </c>
      <c r="F454" s="95" t="n">
        <v>18.2</v>
      </c>
      <c r="G454" s="95" t="n">
        <v>14.6</v>
      </c>
      <c r="H454" s="95" t="n">
        <v>-7.7</v>
      </c>
      <c r="I454" s="95" t="n">
        <v>-16.5</v>
      </c>
      <c r="J454" s="95" t="n">
        <v>-19.1</v>
      </c>
      <c r="K454" s="96" t="inlineStr">
        <is>
          <t>6938 RIBOLIFE-B</t>
        </is>
      </c>
    </row>
    <row r="455">
      <c r="A455" s="16" t="inlineStr">
        <is>
          <t>Himension Fund</t>
        </is>
      </c>
      <c r="B455" s="89" t="n">
        <v>1</v>
      </c>
      <c r="C455" s="94" t="n">
        <v>100</v>
      </c>
      <c r="D455" s="95" t="n">
        <v>41.6</v>
      </c>
      <c r="E455" s="95" t="n">
        <v>30.8</v>
      </c>
      <c r="F455" s="95" t="n">
        <v>18.2</v>
      </c>
      <c r="G455" s="95" t="n">
        <v>14.6</v>
      </c>
      <c r="H455" s="95" t="n">
        <v>-7.7</v>
      </c>
      <c r="I455" s="95" t="n">
        <v>-16.5</v>
      </c>
      <c r="J455" s="95" t="n">
        <v>-19.1</v>
      </c>
      <c r="K455" s="96" t="inlineStr">
        <is>
          <t>6938 RIBOLIFE-B</t>
        </is>
      </c>
    </row>
    <row r="456">
      <c r="A456" s="16" t="inlineStr">
        <is>
          <t>Mingxin Growth Ventures LS2 Limited</t>
        </is>
      </c>
      <c r="B456" s="89" t="n">
        <v>1</v>
      </c>
      <c r="C456" s="94" t="n">
        <v>100</v>
      </c>
      <c r="D456" s="95" t="n">
        <v>41.6</v>
      </c>
      <c r="E456" s="95" t="n">
        <v>30.8</v>
      </c>
      <c r="F456" s="95" t="n">
        <v>18.2</v>
      </c>
      <c r="G456" s="95" t="n">
        <v>14.6</v>
      </c>
      <c r="H456" s="95" t="n">
        <v>-7.7</v>
      </c>
      <c r="I456" s="95" t="n">
        <v>-16.5</v>
      </c>
      <c r="J456" s="95" t="n">
        <v>-19.1</v>
      </c>
      <c r="K456" s="96" t="inlineStr">
        <is>
          <t>6938 RIBOLIFE-B</t>
        </is>
      </c>
    </row>
    <row r="457">
      <c r="A457" s="16" t="inlineStr">
        <is>
          <t>William WONG ( ˮጳ਷)</t>
        </is>
      </c>
      <c r="B457" s="89" t="n">
        <v>1</v>
      </c>
      <c r="C457" s="94" t="n">
        <v>100</v>
      </c>
      <c r="D457" s="95" t="n">
        <v>41.6</v>
      </c>
      <c r="E457" s="95" t="n">
        <v>30.8</v>
      </c>
      <c r="F457" s="95" t="n">
        <v>18.2</v>
      </c>
      <c r="G457" s="95" t="n">
        <v>14.6</v>
      </c>
      <c r="H457" s="95" t="n">
        <v>-7.7</v>
      </c>
      <c r="I457" s="95" t="n">
        <v>-16.5</v>
      </c>
      <c r="J457" s="95" t="n">
        <v>-19.1</v>
      </c>
      <c r="K457" s="96" t="inlineStr">
        <is>
          <t>6938 RIBOLIFE-B</t>
        </is>
      </c>
    </row>
    <row r="458">
      <c r="A458" s="16" t="inlineStr">
        <is>
          <t>Worldstar Global Holdings Limited</t>
        </is>
      </c>
      <c r="B458" s="89" t="n">
        <v>1</v>
      </c>
      <c r="C458" s="94" t="n">
        <v>100</v>
      </c>
      <c r="D458" s="95" t="n">
        <v>41.6</v>
      </c>
      <c r="E458" s="95" t="n">
        <v>30.8</v>
      </c>
      <c r="F458" s="95" t="n">
        <v>18.2</v>
      </c>
      <c r="G458" s="95" t="n">
        <v>14.6</v>
      </c>
      <c r="H458" s="95" t="n">
        <v>-7.7</v>
      </c>
      <c r="I458" s="95" t="n">
        <v>-16.5</v>
      </c>
      <c r="J458" s="95" t="n">
        <v>-19.1</v>
      </c>
      <c r="K458" s="96" t="inlineStr">
        <is>
          <t>6938 RIBOLIFE-B</t>
        </is>
      </c>
    </row>
    <row r="459">
      <c r="A459" s="16" t="inlineStr">
        <is>
          <t>Wise Vigour Limited</t>
        </is>
      </c>
      <c r="B459" s="89" t="n">
        <v>1</v>
      </c>
      <c r="C459" s="94" t="n">
        <v>100</v>
      </c>
      <c r="D459" s="95" t="n">
        <v>41.6</v>
      </c>
      <c r="E459" s="95" t="n">
        <v>30.8</v>
      </c>
      <c r="F459" s="95" t="n">
        <v>18.2</v>
      </c>
      <c r="G459" s="95" t="n">
        <v>14.6</v>
      </c>
      <c r="H459" s="95" t="n">
        <v>-7.7</v>
      </c>
      <c r="I459" s="95" t="n">
        <v>-16.5</v>
      </c>
      <c r="J459" s="95" t="n">
        <v>-19.1</v>
      </c>
      <c r="K459" s="96" t="inlineStr">
        <is>
          <t>6938 RIBOLIFE-B</t>
        </is>
      </c>
    </row>
    <row r="460">
      <c r="A460" s="16" t="inlineStr">
        <is>
          <t>CURA International (Hong Kong) Investment Management Company Limited</t>
        </is>
      </c>
      <c r="B460" s="89" t="n">
        <v>1</v>
      </c>
      <c r="C460" s="94" t="n">
        <v>100</v>
      </c>
      <c r="D460" s="95" t="n">
        <v>41.5</v>
      </c>
      <c r="E460" s="95" t="n">
        <v>2.5</v>
      </c>
      <c r="F460" s="95" t="n">
        <v>0</v>
      </c>
      <c r="G460" s="95" t="n">
        <v>3.8</v>
      </c>
      <c r="H460" s="95" t="n">
        <v>-27.6</v>
      </c>
      <c r="I460" s="95" t="n">
        <v>-29.3</v>
      </c>
      <c r="J460" s="95" t="n">
        <v>-26.7</v>
      </c>
      <c r="K460" s="96" t="inlineStr">
        <is>
          <t>1965 LANDSEA LIFE</t>
        </is>
      </c>
    </row>
    <row r="461">
      <c r="A461" s="16" t="inlineStr">
        <is>
          <t>Dato Sri Ng Chong Keong</t>
        </is>
      </c>
      <c r="B461" s="89" t="n">
        <v>1</v>
      </c>
      <c r="C461" s="94" t="n">
        <v>100</v>
      </c>
      <c r="D461" s="95" t="n">
        <v>41.1</v>
      </c>
      <c r="E461" s="95" t="n">
        <v>62.5</v>
      </c>
      <c r="F461" s="95" t="n">
        <v>96.40000000000001</v>
      </c>
      <c r="G461" s="95" t="n">
        <v>258.9</v>
      </c>
      <c r="H461" s="95" t="n">
        <v>15.2</v>
      </c>
      <c r="I461" s="95" t="n">
        <v>39.2</v>
      </c>
      <c r="J461" s="95" t="n">
        <v>154.4</v>
      </c>
      <c r="K461" s="96" t="inlineStr">
        <is>
          <t>2321 SWANGCHAICHUAN</t>
        </is>
      </c>
    </row>
    <row r="462">
      <c r="A462" s="16" t="inlineStr">
        <is>
          <t>Huihuang Resources Limited</t>
        </is>
      </c>
      <c r="B462" s="89" t="n">
        <v>1</v>
      </c>
      <c r="C462" s="94" t="n">
        <v>100</v>
      </c>
      <c r="D462" s="95" t="n">
        <v>41.1</v>
      </c>
      <c r="E462" s="95" t="n">
        <v>62.5</v>
      </c>
      <c r="F462" s="95" t="n">
        <v>96.40000000000001</v>
      </c>
      <c r="G462" s="95" t="n">
        <v>258.9</v>
      </c>
      <c r="H462" s="95" t="n">
        <v>15.2</v>
      </c>
      <c r="I462" s="95" t="n">
        <v>39.2</v>
      </c>
      <c r="J462" s="95" t="n">
        <v>154.4</v>
      </c>
      <c r="K462" s="96" t="inlineStr">
        <is>
          <t>2321 SWANGCHAICHUAN</t>
        </is>
      </c>
    </row>
    <row r="463">
      <c r="A463" s="16" t="inlineStr">
        <is>
          <t>Mr. Tee Kian Heng</t>
        </is>
      </c>
      <c r="B463" s="89" t="n">
        <v>1</v>
      </c>
      <c r="C463" s="94" t="n">
        <v>100</v>
      </c>
      <c r="D463" s="95" t="n">
        <v>41.1</v>
      </c>
      <c r="E463" s="95" t="n">
        <v>62.5</v>
      </c>
      <c r="F463" s="95" t="n">
        <v>96.40000000000001</v>
      </c>
      <c r="G463" s="95" t="n">
        <v>258.9</v>
      </c>
      <c r="H463" s="95" t="n">
        <v>15.2</v>
      </c>
      <c r="I463" s="95" t="n">
        <v>39.2</v>
      </c>
      <c r="J463" s="95" t="n">
        <v>154.4</v>
      </c>
      <c r="K463" s="96" t="inlineStr">
        <is>
          <t>2321 SWANGCHAICHUAN</t>
        </is>
      </c>
    </row>
    <row r="464">
      <c r="A464" s="16" t="inlineStr">
        <is>
          <t>Nayuki Holdings Limited</t>
        </is>
      </c>
      <c r="B464" s="89" t="n">
        <v>1</v>
      </c>
      <c r="C464" s="94" t="n">
        <v>100</v>
      </c>
      <c r="D464" s="95" t="n">
        <v>40.9</v>
      </c>
      <c r="E464" s="95" t="n">
        <v>20.8</v>
      </c>
      <c r="F464" s="95" t="n">
        <v>55.9</v>
      </c>
      <c r="G464" s="95" t="n">
        <v>79.09999999999999</v>
      </c>
      <c r="H464" s="95" t="n">
        <v>-14.3</v>
      </c>
      <c r="I464" s="95" t="n">
        <v>10.7</v>
      </c>
      <c r="J464" s="95" t="n">
        <v>27.2</v>
      </c>
      <c r="K464" s="96" t="inlineStr">
        <is>
          <t>2429 UBOX ONLINE</t>
        </is>
      </c>
    </row>
    <row r="465">
      <c r="A465" s="16" t="inlineStr">
        <is>
          <t>Shenzhen Maliujia Network Technology Co., Ltd</t>
        </is>
      </c>
      <c r="B465" s="89" t="n">
        <v>1</v>
      </c>
      <c r="C465" s="94" t="n">
        <v>100</v>
      </c>
      <c r="D465" s="95" t="n">
        <v>40.9</v>
      </c>
      <c r="E465" s="95" t="n">
        <v>20.8</v>
      </c>
      <c r="F465" s="95" t="n">
        <v>55.9</v>
      </c>
      <c r="G465" s="95" t="n">
        <v>79.09999999999999</v>
      </c>
      <c r="H465" s="95" t="n">
        <v>-14.3</v>
      </c>
      <c r="I465" s="95" t="n">
        <v>10.7</v>
      </c>
      <c r="J465" s="95" t="n">
        <v>27.2</v>
      </c>
      <c r="K465" s="96" t="inlineStr">
        <is>
          <t>2429 UBOX ONLINE</t>
        </is>
      </c>
    </row>
    <row r="466">
      <c r="A466" s="16" t="inlineStr">
        <is>
          <t>Wei Jinbing</t>
        </is>
      </c>
      <c r="B466" s="89" t="n">
        <v>1</v>
      </c>
      <c r="C466" s="94" t="n">
        <v>100</v>
      </c>
      <c r="D466" s="95" t="n">
        <v>40.9</v>
      </c>
      <c r="E466" s="95" t="n">
        <v>20.8</v>
      </c>
      <c r="F466" s="95" t="n">
        <v>55.9</v>
      </c>
      <c r="G466" s="95" t="n">
        <v>79.09999999999999</v>
      </c>
      <c r="H466" s="95" t="n">
        <v>-14.3</v>
      </c>
      <c r="I466" s="95" t="n">
        <v>10.7</v>
      </c>
      <c r="J466" s="95" t="n">
        <v>27.2</v>
      </c>
      <c r="K466" s="96" t="inlineStr">
        <is>
          <t>2429 UBOX ONLINE</t>
        </is>
      </c>
    </row>
    <row r="467">
      <c r="A467" s="16" t="inlineStr">
        <is>
          <t>Gaintex Investment Limited</t>
        </is>
      </c>
      <c r="B467" s="89" t="n">
        <v>1</v>
      </c>
      <c r="C467" s="94" t="n">
        <v>100</v>
      </c>
      <c r="D467" s="95" t="n">
        <v>40.9</v>
      </c>
      <c r="E467" s="95" t="n">
        <v>49.6</v>
      </c>
      <c r="F467" s="95" t="n">
        <v>40.2</v>
      </c>
      <c r="G467" s="95" t="n">
        <v>101.7</v>
      </c>
      <c r="H467" s="95" t="n">
        <v>6.2</v>
      </c>
      <c r="I467" s="95" t="n">
        <v>-0.5</v>
      </c>
      <c r="J467" s="95" t="n">
        <v>43.2</v>
      </c>
      <c r="K467" s="96" t="inlineStr">
        <is>
          <t>0325 BLOKS</t>
        </is>
      </c>
    </row>
    <row r="468">
      <c r="A468" s="16" t="inlineStr">
        <is>
          <t>Plus Force Enterprise Limited</t>
        </is>
      </c>
      <c r="B468" s="89" t="n">
        <v>1</v>
      </c>
      <c r="C468" s="94" t="n">
        <v>100</v>
      </c>
      <c r="D468" s="95" t="n">
        <v>40.9</v>
      </c>
      <c r="E468" s="95" t="n">
        <v>49.6</v>
      </c>
      <c r="F468" s="95" t="n">
        <v>40.2</v>
      </c>
      <c r="G468" s="95" t="n">
        <v>101.7</v>
      </c>
      <c r="H468" s="95" t="n">
        <v>6.2</v>
      </c>
      <c r="I468" s="95" t="n">
        <v>-0.5</v>
      </c>
      <c r="J468" s="95" t="n">
        <v>43.2</v>
      </c>
      <c r="K468" s="96" t="inlineStr">
        <is>
          <t>0325 BLOKS</t>
        </is>
      </c>
    </row>
    <row r="469">
      <c r="A469" s="16" t="inlineStr">
        <is>
          <t>Merron Ventures Limited</t>
        </is>
      </c>
      <c r="B469" s="89" t="n">
        <v>1</v>
      </c>
      <c r="C469" s="94" t="n">
        <v>100</v>
      </c>
      <c r="D469" s="95" t="n">
        <v>40.9</v>
      </c>
      <c r="E469" s="95" t="n">
        <v>49.6</v>
      </c>
      <c r="F469" s="95" t="n">
        <v>40.2</v>
      </c>
      <c r="G469" s="95" t="n">
        <v>101.7</v>
      </c>
      <c r="H469" s="95" t="n">
        <v>6.2</v>
      </c>
      <c r="I469" s="95" t="n">
        <v>-0.5</v>
      </c>
      <c r="J469" s="95" t="n">
        <v>43.2</v>
      </c>
      <c r="K469" s="96" t="inlineStr">
        <is>
          <t>0325 BLOKS</t>
        </is>
      </c>
    </row>
    <row r="470">
      <c r="A470" s="16" t="inlineStr">
        <is>
          <t>JYCP Holding Limited</t>
        </is>
      </c>
      <c r="B470" s="89" t="n">
        <v>1</v>
      </c>
      <c r="C470" s="94" t="n">
        <v>100</v>
      </c>
      <c r="D470" s="95" t="n">
        <v>40.9</v>
      </c>
      <c r="E470" s="95" t="n">
        <v>49.6</v>
      </c>
      <c r="F470" s="95" t="n">
        <v>40.2</v>
      </c>
      <c r="G470" s="95" t="n">
        <v>101.7</v>
      </c>
      <c r="H470" s="95" t="n">
        <v>6.2</v>
      </c>
      <c r="I470" s="95" t="n">
        <v>-0.5</v>
      </c>
      <c r="J470" s="95" t="n">
        <v>43.2</v>
      </c>
      <c r="K470" s="96" t="inlineStr">
        <is>
          <t>0325 BLOKS</t>
        </is>
      </c>
    </row>
    <row r="471">
      <c r="A471" s="16" t="inlineStr">
        <is>
          <t>JYMB Holding Limited</t>
        </is>
      </c>
      <c r="B471" s="89" t="n">
        <v>1</v>
      </c>
      <c r="C471" s="94" t="n">
        <v>100</v>
      </c>
      <c r="D471" s="95" t="n">
        <v>40.9</v>
      </c>
      <c r="E471" s="95" t="n">
        <v>49.6</v>
      </c>
      <c r="F471" s="95" t="n">
        <v>40.2</v>
      </c>
      <c r="G471" s="95" t="n">
        <v>101.7</v>
      </c>
      <c r="H471" s="95" t="n">
        <v>6.2</v>
      </c>
      <c r="I471" s="95" t="n">
        <v>-0.5</v>
      </c>
      <c r="J471" s="95" t="n">
        <v>43.2</v>
      </c>
      <c r="K471" s="96" t="inlineStr">
        <is>
          <t>0325 BLOKS</t>
        </is>
      </c>
    </row>
    <row r="472">
      <c r="A472" s="16" t="inlineStr">
        <is>
          <t>Beihai Kmind Management Consulting Limited</t>
        </is>
      </c>
      <c r="B472" s="89" t="n">
        <v>1</v>
      </c>
      <c r="C472" s="94" t="n">
        <v>100</v>
      </c>
      <c r="D472" s="95" t="n">
        <v>40.9</v>
      </c>
      <c r="E472" s="95" t="n">
        <v>49.6</v>
      </c>
      <c r="F472" s="95" t="n">
        <v>40.2</v>
      </c>
      <c r="G472" s="95" t="n">
        <v>101.7</v>
      </c>
      <c r="H472" s="95" t="n">
        <v>6.2</v>
      </c>
      <c r="I472" s="95" t="n">
        <v>-0.5</v>
      </c>
      <c r="J472" s="95" t="n">
        <v>43.2</v>
      </c>
      <c r="K472" s="96" t="inlineStr">
        <is>
          <t>0325 BLOKS</t>
        </is>
      </c>
    </row>
    <row r="473">
      <c r="A473" s="16" t="inlineStr">
        <is>
          <t>BlueCo Investment L.P</t>
        </is>
      </c>
      <c r="B473" s="89" t="n">
        <v>1</v>
      </c>
      <c r="C473" s="94" t="n">
        <v>100</v>
      </c>
      <c r="D473" s="95" t="n">
        <v>40.9</v>
      </c>
      <c r="E473" s="95" t="n">
        <v>49.6</v>
      </c>
      <c r="F473" s="95" t="n">
        <v>40.2</v>
      </c>
      <c r="G473" s="95" t="n">
        <v>101.7</v>
      </c>
      <c r="H473" s="95" t="n">
        <v>6.2</v>
      </c>
      <c r="I473" s="95" t="n">
        <v>-0.5</v>
      </c>
      <c r="J473" s="95" t="n">
        <v>43.2</v>
      </c>
      <c r="K473" s="96" t="inlineStr">
        <is>
          <t>0325 BLOKS</t>
        </is>
      </c>
    </row>
    <row r="474">
      <c r="A474" s="16" t="inlineStr">
        <is>
          <t>Lenient Investment L.P</t>
        </is>
      </c>
      <c r="B474" s="89" t="n">
        <v>1</v>
      </c>
      <c r="C474" s="94" t="n">
        <v>100</v>
      </c>
      <c r="D474" s="95" t="n">
        <v>40.9</v>
      </c>
      <c r="E474" s="95" t="n">
        <v>49.6</v>
      </c>
      <c r="F474" s="95" t="n">
        <v>40.2</v>
      </c>
      <c r="G474" s="95" t="n">
        <v>101.7</v>
      </c>
      <c r="H474" s="95" t="n">
        <v>6.2</v>
      </c>
      <c r="I474" s="95" t="n">
        <v>-0.5</v>
      </c>
      <c r="J474" s="95" t="n">
        <v>43.2</v>
      </c>
      <c r="K474" s="96" t="inlineStr">
        <is>
          <t>0325 BLOKS</t>
        </is>
      </c>
    </row>
    <row r="475">
      <c r="A475" s="16" t="inlineStr">
        <is>
          <t>Golden Future LPF</t>
        </is>
      </c>
      <c r="B475" s="89" t="n">
        <v>1</v>
      </c>
      <c r="C475" s="94" t="n">
        <v>100</v>
      </c>
      <c r="D475" s="95" t="n">
        <v>40</v>
      </c>
      <c r="E475" s="95" t="n">
        <v>58.8</v>
      </c>
      <c r="F475" s="95" t="n">
        <v>110.6</v>
      </c>
      <c r="G475" s="95" t="n">
        <v>105.8</v>
      </c>
      <c r="H475" s="95" t="n">
        <v>13.4</v>
      </c>
      <c r="I475" s="95" t="n">
        <v>50.4</v>
      </c>
      <c r="J475" s="95" t="n">
        <v>47</v>
      </c>
      <c r="K475" s="96" t="inlineStr">
        <is>
          <t>0917 QUNABOX GROUP</t>
        </is>
      </c>
    </row>
    <row r="476">
      <c r="A476" s="16" t="inlineStr">
        <is>
          <t>Changfeng Growth Equity Fund</t>
        </is>
      </c>
      <c r="B476" s="89" t="n">
        <v>1</v>
      </c>
      <c r="C476" s="94" t="n">
        <v>100</v>
      </c>
      <c r="D476" s="95" t="n">
        <v>38.3</v>
      </c>
      <c r="E476" s="95" t="n">
        <v>31.1</v>
      </c>
      <c r="F476" s="95" t="n">
        <v>79.40000000000001</v>
      </c>
      <c r="G476" s="95" t="n">
        <v>53.3</v>
      </c>
      <c r="H476" s="95" t="n">
        <v>-5.2</v>
      </c>
      <c r="I476" s="95" t="n">
        <v>29.7</v>
      </c>
      <c r="J476" s="95" t="n">
        <v>10.8</v>
      </c>
      <c r="K476" s="96" t="inlineStr">
        <is>
          <t>1333 BRETON</t>
        </is>
      </c>
    </row>
    <row r="477">
      <c r="A477" s="16" t="inlineStr">
        <is>
          <t>Xiaomi</t>
        </is>
      </c>
      <c r="B477" s="89" t="n">
        <v>1</v>
      </c>
      <c r="C477" s="94" t="n">
        <v>100</v>
      </c>
      <c r="D477" s="95" t="n">
        <v>37.5</v>
      </c>
      <c r="E477" s="95" t="n">
        <v>88.90000000000001</v>
      </c>
      <c r="F477" s="95" t="n">
        <v>82.7</v>
      </c>
      <c r="G477" s="95" t="n">
        <v>161.1</v>
      </c>
      <c r="H477" s="95" t="n">
        <v>37.3</v>
      </c>
      <c r="I477" s="95" t="n">
        <v>32.9</v>
      </c>
      <c r="J477" s="95" t="n">
        <v>89.90000000000001</v>
      </c>
      <c r="K477" s="96" t="inlineStr">
        <is>
          <t>3986 GIGADEVICE</t>
        </is>
      </c>
    </row>
    <row r="478">
      <c r="A478" s="16" t="inlineStr">
        <is>
          <t>TCL Industries</t>
        </is>
      </c>
      <c r="B478" s="89" t="n">
        <v>1</v>
      </c>
      <c r="C478" s="94" t="n">
        <v>100</v>
      </c>
      <c r="D478" s="95" t="n">
        <v>37.5</v>
      </c>
      <c r="E478" s="95" t="n">
        <v>88.90000000000001</v>
      </c>
      <c r="F478" s="95" t="n">
        <v>82.7</v>
      </c>
      <c r="G478" s="95" t="n">
        <v>161.1</v>
      </c>
      <c r="H478" s="95" t="n">
        <v>37.3</v>
      </c>
      <c r="I478" s="95" t="n">
        <v>32.9</v>
      </c>
      <c r="J478" s="95" t="n">
        <v>89.90000000000001</v>
      </c>
      <c r="K478" s="96" t="inlineStr">
        <is>
          <t>3986 GIGADEVICE</t>
        </is>
      </c>
    </row>
    <row r="479">
      <c r="A479" s="16" t="inlineStr">
        <is>
          <t>Yuanfeng Future Growth Fund and CGII</t>
        </is>
      </c>
      <c r="B479" s="89" t="n">
        <v>1</v>
      </c>
      <c r="C479" s="94" t="n">
        <v>100</v>
      </c>
      <c r="D479" s="95" t="n">
        <v>37.2</v>
      </c>
      <c r="E479" s="95" t="n">
        <v>49.8</v>
      </c>
      <c r="F479" s="95" t="n">
        <v>-1.1</v>
      </c>
      <c r="G479" s="95" t="n"/>
      <c r="H479" s="95" t="n">
        <v>9.199999999999999</v>
      </c>
      <c r="I479" s="95" t="n">
        <v>-27.9</v>
      </c>
      <c r="J479" s="95" t="n"/>
      <c r="K479" s="96" t="inlineStr">
        <is>
          <t>1779 LONGBIO-B</t>
        </is>
      </c>
    </row>
    <row r="480">
      <c r="A480" s="16" t="inlineStr">
        <is>
          <t>Affluent Base Limited</t>
        </is>
      </c>
      <c r="B480" s="89" t="n">
        <v>1</v>
      </c>
      <c r="C480" s="94" t="n">
        <v>100</v>
      </c>
      <c r="D480" s="95" t="n">
        <v>36.7</v>
      </c>
      <c r="E480" s="95" t="n">
        <v>98</v>
      </c>
      <c r="F480" s="95" t="n">
        <v>71.8</v>
      </c>
      <c r="G480" s="95" t="n">
        <v>303.2</v>
      </c>
      <c r="H480" s="95" t="n">
        <v>44.8</v>
      </c>
      <c r="I480" s="95" t="n">
        <v>25.7</v>
      </c>
      <c r="J480" s="95" t="n">
        <v>195</v>
      </c>
      <c r="K480" s="96" t="inlineStr">
        <is>
          <t>2587 HEALTHYWAY INC</t>
        </is>
      </c>
    </row>
    <row r="481">
      <c r="A481" s="16" t="inlineStr">
        <is>
          <t>HW MedSpect Limited</t>
        </is>
      </c>
      <c r="B481" s="89" t="n">
        <v>1</v>
      </c>
      <c r="C481" s="94" t="n">
        <v>100</v>
      </c>
      <c r="D481" s="95" t="n">
        <v>36.7</v>
      </c>
      <c r="E481" s="95" t="n">
        <v>98</v>
      </c>
      <c r="F481" s="95" t="n">
        <v>71.8</v>
      </c>
      <c r="G481" s="95" t="n">
        <v>303.2</v>
      </c>
      <c r="H481" s="95" t="n">
        <v>44.8</v>
      </c>
      <c r="I481" s="95" t="n">
        <v>25.7</v>
      </c>
      <c r="J481" s="95" t="n">
        <v>195</v>
      </c>
      <c r="K481" s="96" t="inlineStr">
        <is>
          <t>2587 HEALTHYWAY INC</t>
        </is>
      </c>
    </row>
    <row r="482">
      <c r="A482" s="16" t="inlineStr">
        <is>
          <t>Strait One Investment LTD</t>
        </is>
      </c>
      <c r="B482" s="89" t="n">
        <v>1</v>
      </c>
      <c r="C482" s="94" t="n">
        <v>100</v>
      </c>
      <c r="D482" s="95" t="n">
        <v>36.7</v>
      </c>
      <c r="E482" s="95" t="n">
        <v>98</v>
      </c>
      <c r="F482" s="95" t="n">
        <v>71.8</v>
      </c>
      <c r="G482" s="95" t="n">
        <v>303.2</v>
      </c>
      <c r="H482" s="95" t="n">
        <v>44.8</v>
      </c>
      <c r="I482" s="95" t="n">
        <v>25.7</v>
      </c>
      <c r="J482" s="95" t="n">
        <v>195</v>
      </c>
      <c r="K482" s="96" t="inlineStr">
        <is>
          <t>2587 HEALTHYWAY INC</t>
        </is>
      </c>
    </row>
    <row r="483">
      <c r="A483" s="16" t="inlineStr">
        <is>
          <t>May Jyu Limited</t>
        </is>
      </c>
      <c r="B483" s="89" t="n">
        <v>1</v>
      </c>
      <c r="C483" s="94" t="n">
        <v>100</v>
      </c>
      <c r="D483" s="95" t="n">
        <v>36.7</v>
      </c>
      <c r="E483" s="95" t="n">
        <v>98</v>
      </c>
      <c r="F483" s="95" t="n">
        <v>71.8</v>
      </c>
      <c r="G483" s="95" t="n">
        <v>303.2</v>
      </c>
      <c r="H483" s="95" t="n">
        <v>44.8</v>
      </c>
      <c r="I483" s="95" t="n">
        <v>25.7</v>
      </c>
      <c r="J483" s="95" t="n">
        <v>195</v>
      </c>
      <c r="K483" s="96" t="inlineStr">
        <is>
          <t>2587 HEALTHYWAY INC</t>
        </is>
      </c>
    </row>
    <row r="484">
      <c r="A484" s="16" t="inlineStr">
        <is>
          <t>Jyun Jing Limited</t>
        </is>
      </c>
      <c r="B484" s="89" t="n">
        <v>1</v>
      </c>
      <c r="C484" s="94" t="n">
        <v>100</v>
      </c>
      <c r="D484" s="95" t="n">
        <v>36.7</v>
      </c>
      <c r="E484" s="95" t="n">
        <v>98</v>
      </c>
      <c r="F484" s="95" t="n">
        <v>71.8</v>
      </c>
      <c r="G484" s="95" t="n">
        <v>303.2</v>
      </c>
      <c r="H484" s="95" t="n">
        <v>44.8</v>
      </c>
      <c r="I484" s="95" t="n">
        <v>25.7</v>
      </c>
      <c r="J484" s="95" t="n">
        <v>195</v>
      </c>
      <c r="K484" s="96" t="inlineStr">
        <is>
          <t>2587 HEALTHYWAY INC</t>
        </is>
      </c>
    </row>
    <row r="485">
      <c r="A485" s="16" t="inlineStr">
        <is>
          <t>Bai Sheng Enterprises Limited</t>
        </is>
      </c>
      <c r="B485" s="89" t="n">
        <v>1</v>
      </c>
      <c r="C485" s="94" t="n">
        <v>100</v>
      </c>
      <c r="D485" s="95" t="n">
        <v>36.7</v>
      </c>
      <c r="E485" s="95" t="n">
        <v>98</v>
      </c>
      <c r="F485" s="95" t="n">
        <v>71.8</v>
      </c>
      <c r="G485" s="95" t="n">
        <v>303.2</v>
      </c>
      <c r="H485" s="95" t="n">
        <v>44.8</v>
      </c>
      <c r="I485" s="95" t="n">
        <v>25.7</v>
      </c>
      <c r="J485" s="95" t="n">
        <v>195</v>
      </c>
      <c r="K485" s="96" t="inlineStr">
        <is>
          <t>2587 HEALTHYWAY INC</t>
        </is>
      </c>
    </row>
    <row r="486">
      <c r="A486" s="16" t="inlineStr">
        <is>
          <t>Novo Holdings A / S</t>
        </is>
      </c>
      <c r="B486" s="89" t="n">
        <v>1</v>
      </c>
      <c r="C486" s="94" t="n">
        <v>100</v>
      </c>
      <c r="D486" s="95" t="n">
        <v>35.9</v>
      </c>
      <c r="E486" s="95" t="n">
        <v>40.8</v>
      </c>
      <c r="F486" s="95" t="n">
        <v>51.2</v>
      </c>
      <c r="G486" s="95" t="n">
        <v>-10</v>
      </c>
      <c r="H486" s="95" t="n">
        <v>3.6</v>
      </c>
      <c r="I486" s="95" t="n">
        <v>11.2</v>
      </c>
      <c r="J486" s="95" t="n">
        <v>-33.8</v>
      </c>
      <c r="K486" s="96" t="inlineStr">
        <is>
          <t>2268 WUXI XDC</t>
        </is>
      </c>
    </row>
    <row r="487">
      <c r="A487" s="16" t="inlineStr">
        <is>
          <t>JKKB Limited</t>
        </is>
      </c>
      <c r="B487" s="89" t="n">
        <v>1</v>
      </c>
      <c r="C487" s="94" t="n">
        <v>100</v>
      </c>
      <c r="D487" s="95" t="n">
        <v>33.7</v>
      </c>
      <c r="E487" s="95" t="n">
        <v>0.5</v>
      </c>
      <c r="F487" s="95" t="n">
        <v>16.4</v>
      </c>
      <c r="G487" s="95" t="n">
        <v>-6.5</v>
      </c>
      <c r="H487" s="95" t="n">
        <v>-24.9</v>
      </c>
      <c r="I487" s="95" t="n">
        <v>-13</v>
      </c>
      <c r="J487" s="95" t="n">
        <v>-30.1</v>
      </c>
      <c r="K487" s="96" t="inlineStr">
        <is>
          <t>2508 SAINT BELLA</t>
        </is>
      </c>
    </row>
    <row r="488">
      <c r="A488" s="16" t="inlineStr">
        <is>
          <t>Carl Wu / 吳啟楠</t>
        </is>
      </c>
      <c r="B488" s="89" t="n">
        <v>1</v>
      </c>
      <c r="C488" s="94" t="n">
        <v>100</v>
      </c>
      <c r="D488" s="95" t="n">
        <v>33.7</v>
      </c>
      <c r="E488" s="95" t="n">
        <v>0.5</v>
      </c>
      <c r="F488" s="95" t="n">
        <v>16.4</v>
      </c>
      <c r="G488" s="95" t="n">
        <v>-6.5</v>
      </c>
      <c r="H488" s="95" t="n">
        <v>-24.9</v>
      </c>
      <c r="I488" s="95" t="n">
        <v>-13</v>
      </c>
      <c r="J488" s="95" t="n">
        <v>-30.1</v>
      </c>
      <c r="K488" s="96" t="inlineStr">
        <is>
          <t>2508 SAINT BELLA</t>
        </is>
      </c>
    </row>
    <row r="489">
      <c r="A489" s="16" t="inlineStr">
        <is>
          <t>Gigantic Wealth Holdings Limited</t>
        </is>
      </c>
      <c r="B489" s="89" t="n">
        <v>1</v>
      </c>
      <c r="C489" s="94" t="n">
        <v>100</v>
      </c>
      <c r="D489" s="95" t="n">
        <v>33</v>
      </c>
      <c r="E489" s="95" t="n">
        <v>44.3</v>
      </c>
      <c r="F489" s="95" t="n">
        <v>25.5</v>
      </c>
      <c r="G489" s="95" t="n">
        <v>-10.5</v>
      </c>
      <c r="H489" s="95" t="n">
        <v>8.5</v>
      </c>
      <c r="I489" s="95" t="n">
        <v>-5.7</v>
      </c>
      <c r="J489" s="95" t="n">
        <v>-32.7</v>
      </c>
      <c r="K489" s="96" t="inlineStr">
        <is>
          <t>2219 CHAOJU EYE CARE</t>
        </is>
      </c>
    </row>
    <row r="490">
      <c r="A490" s="16" t="inlineStr">
        <is>
          <t>GT Cedar Capital (Hong Kong) Limited</t>
        </is>
      </c>
      <c r="B490" s="89" t="n">
        <v>1</v>
      </c>
      <c r="C490" s="94" t="n">
        <v>100</v>
      </c>
      <c r="D490" s="95" t="n">
        <v>33</v>
      </c>
      <c r="E490" s="95" t="n">
        <v>44.3</v>
      </c>
      <c r="F490" s="95" t="n">
        <v>25.5</v>
      </c>
      <c r="G490" s="95" t="n">
        <v>-10.5</v>
      </c>
      <c r="H490" s="95" t="n">
        <v>8.5</v>
      </c>
      <c r="I490" s="95" t="n">
        <v>-5.7</v>
      </c>
      <c r="J490" s="95" t="n">
        <v>-32.7</v>
      </c>
      <c r="K490" s="96" t="inlineStr">
        <is>
          <t>2219 CHAOJU EYE CARE</t>
        </is>
      </c>
    </row>
    <row r="491">
      <c r="A491" s="16" t="inlineStr">
        <is>
          <t>Management (HK) Limited</t>
        </is>
      </c>
      <c r="B491" s="89" t="n">
        <v>1</v>
      </c>
      <c r="C491" s="94" t="n">
        <v>100</v>
      </c>
      <c r="D491" s="95" t="n">
        <v>32.8</v>
      </c>
      <c r="E491" s="95" t="n">
        <v>59.4</v>
      </c>
      <c r="F491" s="95" t="n">
        <v>78.3</v>
      </c>
      <c r="G491" s="95" t="n">
        <v>115.7</v>
      </c>
      <c r="H491" s="95" t="n">
        <v>20.1</v>
      </c>
      <c r="I491" s="95" t="n">
        <v>34.3</v>
      </c>
      <c r="J491" s="95" t="n">
        <v>62.4</v>
      </c>
      <c r="K491" s="96" t="inlineStr">
        <is>
          <t>2788 CHUANGXIN IND</t>
        </is>
      </c>
    </row>
    <row r="492">
      <c r="A492" s="16" t="inlineStr">
        <is>
          <t>CCB International Capital Limited</t>
        </is>
      </c>
      <c r="B492" s="89" t="n">
        <v>1</v>
      </c>
      <c r="C492" s="94" t="n">
        <v>100</v>
      </c>
      <c r="D492" s="95" t="n">
        <v>31.3</v>
      </c>
      <c r="E492" s="95" t="n">
        <v>20.1</v>
      </c>
      <c r="F492" s="95" t="n">
        <v>24.4</v>
      </c>
      <c r="G492" s="95" t="n">
        <v>20.1</v>
      </c>
      <c r="H492" s="95" t="n">
        <v>-8.6</v>
      </c>
      <c r="I492" s="95" t="n">
        <v>-5.2</v>
      </c>
      <c r="J492" s="95" t="n">
        <v>-8.6</v>
      </c>
      <c r="K492" s="96" t="inlineStr">
        <is>
          <t>6960 SHUANGDENG</t>
        </is>
      </c>
    </row>
    <row r="493">
      <c r="A493" s="16" t="inlineStr">
        <is>
          <t>Connected Client CSOP Asset Management Limited</t>
        </is>
      </c>
      <c r="B493" s="89" t="n">
        <v>1</v>
      </c>
      <c r="C493" s="94" t="n">
        <v>100</v>
      </c>
      <c r="D493" s="95" t="n">
        <v>31.3</v>
      </c>
      <c r="E493" s="95" t="n">
        <v>20.1</v>
      </c>
      <c r="F493" s="95" t="n">
        <v>24.4</v>
      </c>
      <c r="G493" s="95" t="n">
        <v>20.1</v>
      </c>
      <c r="H493" s="95" t="n">
        <v>-8.6</v>
      </c>
      <c r="I493" s="95" t="n">
        <v>-5.2</v>
      </c>
      <c r="J493" s="95" t="n">
        <v>-8.6</v>
      </c>
      <c r="K493" s="96" t="inlineStr">
        <is>
          <t>6960 SHUANGDENG</t>
        </is>
      </c>
    </row>
    <row r="494">
      <c r="A494" s="16" t="inlineStr">
        <is>
          <t>Abu Dhabi Investment Authority</t>
        </is>
      </c>
      <c r="B494" s="89" t="n">
        <v>1</v>
      </c>
      <c r="C494" s="94" t="n">
        <v>100</v>
      </c>
      <c r="D494" s="95" t="n">
        <v>30.9</v>
      </c>
      <c r="E494" s="95" t="n">
        <v>55.5</v>
      </c>
      <c r="F494" s="95" t="n">
        <v>37.7</v>
      </c>
      <c r="G494" s="95" t="n">
        <v>24.9</v>
      </c>
      <c r="H494" s="95" t="n">
        <v>18.8</v>
      </c>
      <c r="I494" s="95" t="n">
        <v>5.2</v>
      </c>
      <c r="J494" s="95" t="n">
        <v>-4.6</v>
      </c>
      <c r="K494" s="96" t="inlineStr">
        <is>
          <t>2675 EDGE MEDICAL-B</t>
        </is>
      </c>
    </row>
    <row r="495">
      <c r="A495" s="16" t="inlineStr">
        <is>
          <t>China Alpha Fund Management (HK) Ltd</t>
        </is>
      </c>
      <c r="B495" s="89" t="n">
        <v>1</v>
      </c>
      <c r="C495" s="94" t="n">
        <v>100</v>
      </c>
      <c r="D495" s="95" t="n">
        <v>30.9</v>
      </c>
      <c r="E495" s="95" t="n">
        <v>55.5</v>
      </c>
      <c r="F495" s="95" t="n">
        <v>37.7</v>
      </c>
      <c r="G495" s="95" t="n">
        <v>24.9</v>
      </c>
      <c r="H495" s="95" t="n">
        <v>18.8</v>
      </c>
      <c r="I495" s="95" t="n">
        <v>5.2</v>
      </c>
      <c r="J495" s="95" t="n">
        <v>-4.6</v>
      </c>
      <c r="K495" s="96" t="inlineStr">
        <is>
          <t>2675 EDGE MEDICAL-B</t>
        </is>
      </c>
    </row>
    <row r="496">
      <c r="A496" s="16" t="inlineStr">
        <is>
          <t>Tekful Limited</t>
        </is>
      </c>
      <c r="B496" s="89" t="n">
        <v>1</v>
      </c>
      <c r="C496" s="94" t="n">
        <v>100</v>
      </c>
      <c r="D496" s="95" t="n">
        <v>30.9</v>
      </c>
      <c r="E496" s="95" t="n">
        <v>55.5</v>
      </c>
      <c r="F496" s="95" t="n">
        <v>37.7</v>
      </c>
      <c r="G496" s="95" t="n">
        <v>24.9</v>
      </c>
      <c r="H496" s="95" t="n">
        <v>18.8</v>
      </c>
      <c r="I496" s="95" t="n">
        <v>5.2</v>
      </c>
      <c r="J496" s="95" t="n">
        <v>-4.6</v>
      </c>
      <c r="K496" s="96" t="inlineStr">
        <is>
          <t>2675 EDGE MEDICAL-B</t>
        </is>
      </c>
    </row>
    <row r="497">
      <c r="A497" s="16" t="inlineStr">
        <is>
          <t>Novotech SG Holdings Pte. Ltd</t>
        </is>
      </c>
      <c r="B497" s="89" t="n">
        <v>1</v>
      </c>
      <c r="C497" s="94" t="n">
        <v>100</v>
      </c>
      <c r="D497" s="95" t="n">
        <v>30</v>
      </c>
      <c r="E497" s="95" t="n">
        <v>75</v>
      </c>
      <c r="F497" s="95" t="n">
        <v>74.7</v>
      </c>
      <c r="G497" s="95" t="n">
        <v>-2.9</v>
      </c>
      <c r="H497" s="95" t="n">
        <v>34.6</v>
      </c>
      <c r="I497" s="95" t="n">
        <v>34.4</v>
      </c>
      <c r="J497" s="95" t="n">
        <v>-25.3</v>
      </c>
      <c r="K497" s="96" t="inlineStr">
        <is>
          <t>2563 BIOSTAR PHARM-B</t>
        </is>
      </c>
    </row>
    <row r="498">
      <c r="A498" s="16" t="inlineStr">
        <is>
          <t>Mr. Li Yi</t>
        </is>
      </c>
      <c r="B498" s="89" t="n">
        <v>1</v>
      </c>
      <c r="C498" s="94" t="n">
        <v>100</v>
      </c>
      <c r="D498" s="95" t="n">
        <v>29.9</v>
      </c>
      <c r="E498" s="95" t="n">
        <v>51.5</v>
      </c>
      <c r="F498" s="95" t="n">
        <v>212.5</v>
      </c>
      <c r="G498" s="95" t="n">
        <v>18.8</v>
      </c>
      <c r="H498" s="95" t="n">
        <v>16.6</v>
      </c>
      <c r="I498" s="95" t="n">
        <v>140.5</v>
      </c>
      <c r="J498" s="95" t="n">
        <v>-8.5</v>
      </c>
      <c r="K498" s="96" t="inlineStr">
        <is>
          <t>6651 51WORLD</t>
        </is>
      </c>
    </row>
    <row r="499">
      <c r="A499" s="16" t="inlineStr">
        <is>
          <t>III, L.P.</t>
        </is>
      </c>
      <c r="B499" s="89" t="n">
        <v>1</v>
      </c>
      <c r="C499" s="94" t="n">
        <v>100</v>
      </c>
      <c r="D499" s="95" t="n">
        <v>28.8</v>
      </c>
      <c r="E499" s="95" t="n">
        <v>25.3</v>
      </c>
      <c r="F499" s="95" t="n">
        <v>44.4</v>
      </c>
      <c r="G499" s="95" t="n">
        <v>87.5</v>
      </c>
      <c r="H499" s="95" t="n">
        <v>-2.7</v>
      </c>
      <c r="I499" s="95" t="n">
        <v>12.2</v>
      </c>
      <c r="J499" s="95" t="n">
        <v>45.7</v>
      </c>
      <c r="K499" s="96" t="inlineStr">
        <is>
          <t>2629 MIRXES-B</t>
        </is>
      </c>
    </row>
    <row r="500">
      <c r="A500" s="16" t="inlineStr">
        <is>
          <t>Creation Pte. Ltd.</t>
        </is>
      </c>
      <c r="B500" s="89" t="n">
        <v>1</v>
      </c>
      <c r="C500" s="94" t="n">
        <v>100</v>
      </c>
      <c r="D500" s="95" t="n">
        <v>28.8</v>
      </c>
      <c r="E500" s="95" t="n">
        <v>25.3</v>
      </c>
      <c r="F500" s="95" t="n">
        <v>44.4</v>
      </c>
      <c r="G500" s="95" t="n">
        <v>87.5</v>
      </c>
      <c r="H500" s="95" t="n">
        <v>-2.7</v>
      </c>
      <c r="I500" s="95" t="n">
        <v>12.2</v>
      </c>
      <c r="J500" s="95" t="n">
        <v>45.7</v>
      </c>
      <c r="K500" s="96" t="inlineStr">
        <is>
          <t>2629 MIRXES-B</t>
        </is>
      </c>
    </row>
    <row r="501">
      <c r="A501" s="16" t="inlineStr">
        <is>
          <t>NHH Venture Fund, L.P</t>
        </is>
      </c>
      <c r="B501" s="89" t="n">
        <v>1</v>
      </c>
      <c r="C501" s="94" t="n">
        <v>100</v>
      </c>
      <c r="D501" s="95" t="n">
        <v>28.8</v>
      </c>
      <c r="E501" s="95" t="n">
        <v>25.3</v>
      </c>
      <c r="F501" s="95" t="n">
        <v>44.4</v>
      </c>
      <c r="G501" s="95" t="n">
        <v>87.5</v>
      </c>
      <c r="H501" s="95" t="n">
        <v>-2.7</v>
      </c>
      <c r="I501" s="95" t="n">
        <v>12.2</v>
      </c>
      <c r="J501" s="95" t="n">
        <v>45.7</v>
      </c>
      <c r="K501" s="96" t="inlineStr">
        <is>
          <t>2629 MIRXES-B</t>
        </is>
      </c>
    </row>
    <row r="502">
      <c r="A502" s="16" t="inlineStr">
        <is>
          <t>源九號有限合夥基金</t>
        </is>
      </c>
      <c r="B502" s="89" t="n">
        <v>1</v>
      </c>
      <c r="C502" s="94" t="n">
        <v>100</v>
      </c>
      <c r="D502" s="95" t="n">
        <v>28.8</v>
      </c>
      <c r="E502" s="95" t="n">
        <v>25.3</v>
      </c>
      <c r="F502" s="95" t="n">
        <v>44.4</v>
      </c>
      <c r="G502" s="95" t="n">
        <v>87.5</v>
      </c>
      <c r="H502" s="95" t="n">
        <v>-2.7</v>
      </c>
      <c r="I502" s="95" t="n">
        <v>12.2</v>
      </c>
      <c r="J502" s="95" t="n">
        <v>45.7</v>
      </c>
      <c r="K502" s="96" t="inlineStr">
        <is>
          <t>2629 MIRXES-B</t>
        </is>
      </c>
    </row>
    <row r="503">
      <c r="A503" s="16" t="inlineStr">
        <is>
          <t>SDG Alpha Win PE LPF</t>
        </is>
      </c>
      <c r="B503" s="89" t="n">
        <v>1</v>
      </c>
      <c r="C503" s="94" t="n">
        <v>100</v>
      </c>
      <c r="D503" s="95" t="n">
        <v>28.8</v>
      </c>
      <c r="E503" s="95" t="n">
        <v>25.3</v>
      </c>
      <c r="F503" s="95" t="n">
        <v>44.4</v>
      </c>
      <c r="G503" s="95" t="n">
        <v>87.5</v>
      </c>
      <c r="H503" s="95" t="n">
        <v>-2.7</v>
      </c>
      <c r="I503" s="95" t="n">
        <v>12.2</v>
      </c>
      <c r="J503" s="95" t="n">
        <v>45.7</v>
      </c>
      <c r="K503" s="96" t="inlineStr">
        <is>
          <t>2629 MIRXES-B</t>
        </is>
      </c>
    </row>
    <row r="504">
      <c r="A504" s="16" t="inlineStr">
        <is>
          <t>Holdings Company Limited</t>
        </is>
      </c>
      <c r="B504" s="89" t="n">
        <v>1</v>
      </c>
      <c r="C504" s="94" t="n">
        <v>100</v>
      </c>
      <c r="D504" s="95" t="n">
        <v>28.8</v>
      </c>
      <c r="E504" s="95" t="n">
        <v>25.3</v>
      </c>
      <c r="F504" s="95" t="n">
        <v>44.4</v>
      </c>
      <c r="G504" s="95" t="n">
        <v>87.5</v>
      </c>
      <c r="H504" s="95" t="n">
        <v>-2.7</v>
      </c>
      <c r="I504" s="95" t="n">
        <v>12.2</v>
      </c>
      <c r="J504" s="95" t="n">
        <v>45.7</v>
      </c>
      <c r="K504" s="96" t="inlineStr">
        <is>
          <t>2629 MIRXES-B</t>
        </is>
      </c>
    </row>
    <row r="505">
      <c r="A505" s="16" t="inlineStr">
        <is>
          <t>BPC SPV MRX LIMITED</t>
        </is>
      </c>
      <c r="B505" s="89" t="n">
        <v>1</v>
      </c>
      <c r="C505" s="94" t="n">
        <v>100</v>
      </c>
      <c r="D505" s="95" t="n">
        <v>28.8</v>
      </c>
      <c r="E505" s="95" t="n">
        <v>25.3</v>
      </c>
      <c r="F505" s="95" t="n">
        <v>44.4</v>
      </c>
      <c r="G505" s="95" t="n">
        <v>87.5</v>
      </c>
      <c r="H505" s="95" t="n">
        <v>-2.7</v>
      </c>
      <c r="I505" s="95" t="n">
        <v>12.2</v>
      </c>
      <c r="J505" s="95" t="n">
        <v>45.7</v>
      </c>
      <c r="K505" s="96" t="inlineStr">
        <is>
          <t>2629 MIRXES-B</t>
        </is>
      </c>
    </row>
    <row r="506">
      <c r="A506" s="16" t="inlineStr">
        <is>
          <t>Accurate Gene Limited</t>
        </is>
      </c>
      <c r="B506" s="89" t="n">
        <v>1</v>
      </c>
      <c r="C506" s="94" t="n">
        <v>100</v>
      </c>
      <c r="D506" s="95" t="n">
        <v>28.8</v>
      </c>
      <c r="E506" s="95" t="n">
        <v>25.3</v>
      </c>
      <c r="F506" s="95" t="n">
        <v>44.4</v>
      </c>
      <c r="G506" s="95" t="n">
        <v>87.5</v>
      </c>
      <c r="H506" s="95" t="n">
        <v>-2.7</v>
      </c>
      <c r="I506" s="95" t="n">
        <v>12.2</v>
      </c>
      <c r="J506" s="95" t="n">
        <v>45.7</v>
      </c>
      <c r="K506" s="96" t="inlineStr">
        <is>
          <t>2629 MIRXES-B</t>
        </is>
      </c>
    </row>
    <row r="507">
      <c r="A507" s="16" t="inlineStr">
        <is>
          <t>Technologies Pte. Ltd.</t>
        </is>
      </c>
      <c r="B507" s="89" t="n">
        <v>1</v>
      </c>
      <c r="C507" s="94" t="n">
        <v>100</v>
      </c>
      <c r="D507" s="95" t="n">
        <v>28.8</v>
      </c>
      <c r="E507" s="95" t="n">
        <v>25.3</v>
      </c>
      <c r="F507" s="95" t="n">
        <v>44.4</v>
      </c>
      <c r="G507" s="95" t="n">
        <v>87.5</v>
      </c>
      <c r="H507" s="95" t="n">
        <v>-2.7</v>
      </c>
      <c r="I507" s="95" t="n">
        <v>12.2</v>
      </c>
      <c r="J507" s="95" t="n">
        <v>45.7</v>
      </c>
      <c r="K507" s="96" t="inlineStr">
        <is>
          <t>2629 MIRXES-B</t>
        </is>
      </c>
    </row>
    <row r="508">
      <c r="A508" s="16" t="inlineStr">
        <is>
          <t>Luo Jinhong</t>
        </is>
      </c>
      <c r="B508" s="89" t="n">
        <v>1</v>
      </c>
      <c r="C508" s="94" t="n">
        <v>100</v>
      </c>
      <c r="D508" s="95" t="n">
        <v>28.4</v>
      </c>
      <c r="E508" s="95" t="n">
        <v>28</v>
      </c>
      <c r="F508" s="95" t="n">
        <v>28.9</v>
      </c>
      <c r="G508" s="95" t="n">
        <v>27.1</v>
      </c>
      <c r="H508" s="95" t="n">
        <v>-0.4</v>
      </c>
      <c r="I508" s="95" t="n">
        <v>0.4</v>
      </c>
      <c r="J508" s="95" t="n">
        <v>-1.1</v>
      </c>
      <c r="K508" s="96" t="inlineStr">
        <is>
          <t>2285 CHERVON</t>
        </is>
      </c>
    </row>
    <row r="509">
      <c r="A509" s="16" t="inlineStr">
        <is>
          <t>Double Joy Ventures Limited</t>
        </is>
      </c>
      <c r="B509" s="89" t="n">
        <v>1</v>
      </c>
      <c r="C509" s="94" t="n">
        <v>100</v>
      </c>
      <c r="D509" s="95" t="n">
        <v>27.6</v>
      </c>
      <c r="E509" s="95" t="n">
        <v>27.9</v>
      </c>
      <c r="F509" s="95" t="n">
        <v>22.5</v>
      </c>
      <c r="G509" s="95" t="n">
        <v>-6.2</v>
      </c>
      <c r="H509" s="95" t="n">
        <v>0.3</v>
      </c>
      <c r="I509" s="95" t="n">
        <v>-4</v>
      </c>
      <c r="J509" s="95" t="n">
        <v>-26.5</v>
      </c>
      <c r="K509" s="96" t="inlineStr">
        <is>
          <t>2162 KEYMED BIO-B</t>
        </is>
      </c>
    </row>
    <row r="510">
      <c r="A510" s="16" t="inlineStr">
        <is>
          <t>Zhengxin Group Investment Limited</t>
        </is>
      </c>
      <c r="B510" s="89" t="n">
        <v>1</v>
      </c>
      <c r="C510" s="94" t="n">
        <v>100</v>
      </c>
      <c r="D510" s="95" t="n">
        <v>26</v>
      </c>
      <c r="E510" s="95" t="n">
        <v>31.3</v>
      </c>
      <c r="F510" s="95" t="n">
        <v>25.5</v>
      </c>
      <c r="G510" s="95" t="n">
        <v>-12.7</v>
      </c>
      <c r="H510" s="95" t="n">
        <v>4.2</v>
      </c>
      <c r="I510" s="95" t="n">
        <v>-0.4</v>
      </c>
      <c r="J510" s="95" t="n">
        <v>-30.7</v>
      </c>
      <c r="K510" s="96" t="inlineStr">
        <is>
          <t>3636 JINXUN RESOURCE</t>
        </is>
      </c>
    </row>
    <row r="511">
      <c r="A511" s="16" t="inlineStr">
        <is>
          <t>New Asia Ferrell Asset Management Limited</t>
        </is>
      </c>
      <c r="B511" s="89" t="n">
        <v>1</v>
      </c>
      <c r="C511" s="94" t="n">
        <v>100</v>
      </c>
      <c r="D511" s="95" t="n">
        <v>26</v>
      </c>
      <c r="E511" s="95" t="n">
        <v>31.3</v>
      </c>
      <c r="F511" s="95" t="n">
        <v>25.5</v>
      </c>
      <c r="G511" s="95" t="n">
        <v>-12.7</v>
      </c>
      <c r="H511" s="95" t="n">
        <v>4.2</v>
      </c>
      <c r="I511" s="95" t="n">
        <v>-0.4</v>
      </c>
      <c r="J511" s="95" t="n">
        <v>-30.7</v>
      </c>
      <c r="K511" s="96" t="inlineStr">
        <is>
          <t>3636 JINXUN RESOURCE</t>
        </is>
      </c>
    </row>
    <row r="512">
      <c r="A512" s="16" t="inlineStr">
        <is>
          <t>Mobilewise Limited</t>
        </is>
      </c>
      <c r="B512" s="89" t="n">
        <v>1</v>
      </c>
      <c r="C512" s="94" t="n">
        <v>100</v>
      </c>
      <c r="D512" s="95" t="n">
        <v>25.9</v>
      </c>
      <c r="E512" s="95" t="n">
        <v>66.09999999999999</v>
      </c>
      <c r="F512" s="95" t="n">
        <v>139.4</v>
      </c>
      <c r="G512" s="95" t="n">
        <v>167.2</v>
      </c>
      <c r="H512" s="95" t="n">
        <v>31.9</v>
      </c>
      <c r="I512" s="95" t="n">
        <v>90.09999999999999</v>
      </c>
      <c r="J512" s="95" t="n">
        <v>112.2</v>
      </c>
      <c r="K512" s="96" t="inlineStr">
        <is>
          <t>1244 3D MEDICINES-B</t>
        </is>
      </c>
    </row>
    <row r="513">
      <c r="A513" s="16" t="inlineStr">
        <is>
          <t>NewTrails Capital</t>
        </is>
      </c>
      <c r="B513" s="89" t="n">
        <v>1</v>
      </c>
      <c r="C513" s="94" t="n">
        <v>100</v>
      </c>
      <c r="D513" s="95" t="n">
        <v>25.9</v>
      </c>
      <c r="E513" s="95" t="n">
        <v>17.7</v>
      </c>
      <c r="F513" s="95" t="n">
        <v>14.5</v>
      </c>
      <c r="G513" s="95" t="n">
        <v>17.1</v>
      </c>
      <c r="H513" s="95" t="n">
        <v>-6.5</v>
      </c>
      <c r="I513" s="95" t="n">
        <v>-9.1</v>
      </c>
      <c r="J513" s="95" t="n">
        <v>-7</v>
      </c>
      <c r="K513" s="96" t="inlineStr">
        <is>
          <t>2698 SOFTCARE</t>
        </is>
      </c>
    </row>
    <row r="514">
      <c r="A514" s="16" t="inlineStr">
        <is>
          <t>Qihui Runjin</t>
        </is>
      </c>
      <c r="B514" s="89" t="n">
        <v>1</v>
      </c>
      <c r="C514" s="94" t="n">
        <v>100</v>
      </c>
      <c r="D514" s="95" t="n">
        <v>25.9</v>
      </c>
      <c r="E514" s="95" t="n">
        <v>17.7</v>
      </c>
      <c r="F514" s="95" t="n">
        <v>14.5</v>
      </c>
      <c r="G514" s="95" t="n">
        <v>17.1</v>
      </c>
      <c r="H514" s="95" t="n">
        <v>-6.5</v>
      </c>
      <c r="I514" s="95" t="n">
        <v>-9.1</v>
      </c>
      <c r="J514" s="95" t="n">
        <v>-7</v>
      </c>
      <c r="K514" s="96" t="inlineStr">
        <is>
          <t>2698 SOFTCARE</t>
        </is>
      </c>
    </row>
    <row r="515">
      <c r="A515" s="16" t="inlineStr">
        <is>
          <t>Strategies (Asia) Pte. Ltd</t>
        </is>
      </c>
      <c r="B515" s="89" t="n">
        <v>1</v>
      </c>
      <c r="C515" s="94" t="n">
        <v>100</v>
      </c>
      <c r="D515" s="95" t="n">
        <v>25.2</v>
      </c>
      <c r="E515" s="95" t="n">
        <v>31.7</v>
      </c>
      <c r="F515" s="95" t="n">
        <v>26.8</v>
      </c>
      <c r="G515" s="95" t="n">
        <v>76.5</v>
      </c>
      <c r="H515" s="95" t="n">
        <v>5.2</v>
      </c>
      <c r="I515" s="95" t="n">
        <v>1.3</v>
      </c>
      <c r="J515" s="95" t="n">
        <v>41</v>
      </c>
      <c r="K515" s="96" t="inlineStr">
        <is>
          <t>1276 HENGRUI PHARMA</t>
        </is>
      </c>
    </row>
    <row r="516">
      <c r="A516" s="16" t="inlineStr">
        <is>
          <t>Cordial Solar</t>
        </is>
      </c>
      <c r="B516" s="89" t="n">
        <v>1</v>
      </c>
      <c r="C516" s="94" t="n">
        <v>100</v>
      </c>
      <c r="D516" s="95" t="n">
        <v>25.2</v>
      </c>
      <c r="E516" s="95" t="n">
        <v>31.7</v>
      </c>
      <c r="F516" s="95" t="n">
        <v>26.8</v>
      </c>
      <c r="G516" s="95" t="n">
        <v>76.5</v>
      </c>
      <c r="H516" s="95" t="n">
        <v>5.2</v>
      </c>
      <c r="I516" s="95" t="n">
        <v>1.3</v>
      </c>
      <c r="J516" s="95" t="n">
        <v>41</v>
      </c>
      <c r="K516" s="96" t="inlineStr">
        <is>
          <t>1276 HENGRUI PHARMA</t>
        </is>
      </c>
    </row>
    <row r="517">
      <c r="A517" s="16" t="inlineStr">
        <is>
          <t>Zhou Keting</t>
        </is>
      </c>
      <c r="B517" s="89" t="n">
        <v>1</v>
      </c>
      <c r="C517" s="94" t="n">
        <v>100</v>
      </c>
      <c r="D517" s="95" t="n">
        <v>23.9</v>
      </c>
      <c r="E517" s="95" t="n">
        <v>8.5</v>
      </c>
      <c r="F517" s="95" t="n">
        <v>-15.1</v>
      </c>
      <c r="G517" s="95" t="n">
        <v>-6.3</v>
      </c>
      <c r="H517" s="95" t="n">
        <v>-12.4</v>
      </c>
      <c r="I517" s="95" t="n">
        <v>-31.4</v>
      </c>
      <c r="J517" s="95" t="n">
        <v>-24.3</v>
      </c>
      <c r="K517" s="96" t="inlineStr">
        <is>
          <t>6687 JST GROUP</t>
        </is>
      </c>
    </row>
    <row r="518">
      <c r="A518" s="16" t="inlineStr">
        <is>
          <t>CUAM Entities</t>
        </is>
      </c>
      <c r="B518" s="89" t="n">
        <v>1</v>
      </c>
      <c r="C518" s="94" t="n">
        <v>100</v>
      </c>
      <c r="D518" s="95" t="n">
        <v>23.9</v>
      </c>
      <c r="E518" s="95" t="n">
        <v>8.5</v>
      </c>
      <c r="F518" s="95" t="n">
        <v>-15.1</v>
      </c>
      <c r="G518" s="95" t="n">
        <v>-6.3</v>
      </c>
      <c r="H518" s="95" t="n">
        <v>-12.4</v>
      </c>
      <c r="I518" s="95" t="n">
        <v>-31.4</v>
      </c>
      <c r="J518" s="95" t="n">
        <v>-24.3</v>
      </c>
      <c r="K518" s="96" t="inlineStr">
        <is>
          <t>6687 JST GROUP</t>
        </is>
      </c>
    </row>
    <row r="519">
      <c r="A519" s="16" t="inlineStr">
        <is>
          <t>GTCS Holdings</t>
        </is>
      </c>
      <c r="B519" s="89" t="n">
        <v>1</v>
      </c>
      <c r="C519" s="94" t="n">
        <v>100</v>
      </c>
      <c r="D519" s="95" t="n">
        <v>23.9</v>
      </c>
      <c r="E519" s="95" t="n">
        <v>8.5</v>
      </c>
      <c r="F519" s="95" t="n">
        <v>-15.1</v>
      </c>
      <c r="G519" s="95" t="n">
        <v>-6.3</v>
      </c>
      <c r="H519" s="95" t="n">
        <v>-12.4</v>
      </c>
      <c r="I519" s="95" t="n">
        <v>-31.4</v>
      </c>
      <c r="J519" s="95" t="n">
        <v>-24.3</v>
      </c>
      <c r="K519" s="96" t="inlineStr">
        <is>
          <t>6687 JST GROUP</t>
        </is>
      </c>
    </row>
    <row r="520">
      <c r="A520" s="16" t="inlineStr">
        <is>
          <t>Blink Field Limited</t>
        </is>
      </c>
      <c r="B520" s="89" t="n">
        <v>1</v>
      </c>
      <c r="C520" s="94" t="n">
        <v>100</v>
      </c>
      <c r="D520" s="95" t="n">
        <v>23.8</v>
      </c>
      <c r="E520" s="95" t="n">
        <v>67.09999999999999</v>
      </c>
      <c r="F520" s="95" t="n">
        <v>34.4</v>
      </c>
      <c r="G520" s="95" t="n">
        <v>102.3</v>
      </c>
      <c r="H520" s="95" t="n">
        <v>35</v>
      </c>
      <c r="I520" s="95" t="n">
        <v>8.6</v>
      </c>
      <c r="J520" s="95" t="n">
        <v>63.5</v>
      </c>
      <c r="K520" s="96" t="inlineStr">
        <is>
          <t>6683 STARPLUS LEGEND</t>
        </is>
      </c>
    </row>
    <row r="521">
      <c r="A521" s="16" t="inlineStr">
        <is>
          <t>NETDRAGON WEBSOFT INC</t>
        </is>
      </c>
      <c r="B521" s="89" t="n">
        <v>1</v>
      </c>
      <c r="C521" s="94" t="n">
        <v>100</v>
      </c>
      <c r="D521" s="95" t="n">
        <v>23.8</v>
      </c>
      <c r="E521" s="95" t="n">
        <v>67.09999999999999</v>
      </c>
      <c r="F521" s="95" t="n">
        <v>34.4</v>
      </c>
      <c r="G521" s="95" t="n">
        <v>102.3</v>
      </c>
      <c r="H521" s="95" t="n">
        <v>35</v>
      </c>
      <c r="I521" s="95" t="n">
        <v>8.6</v>
      </c>
      <c r="J521" s="95" t="n">
        <v>63.5</v>
      </c>
      <c r="K521" s="96" t="inlineStr">
        <is>
          <t>6683 STARPLUS LEGEND</t>
        </is>
      </c>
    </row>
    <row r="522">
      <c r="A522" s="16" t="inlineStr">
        <is>
          <t>Beevest Capital Limited</t>
        </is>
      </c>
      <c r="B522" s="89" t="n">
        <v>1</v>
      </c>
      <c r="C522" s="94" t="n">
        <v>100</v>
      </c>
      <c r="D522" s="95" t="n">
        <v>23.7</v>
      </c>
      <c r="E522" s="95" t="n">
        <v>21</v>
      </c>
      <c r="F522" s="95" t="n">
        <v>20.7</v>
      </c>
      <c r="G522" s="95" t="n">
        <v>39.6</v>
      </c>
      <c r="H522" s="95" t="n">
        <v>-2.2</v>
      </c>
      <c r="I522" s="95" t="n">
        <v>-2.5</v>
      </c>
      <c r="J522" s="95" t="n">
        <v>12.9</v>
      </c>
      <c r="K522" s="96" t="inlineStr">
        <is>
          <t>2509 QYUNS-B</t>
        </is>
      </c>
    </row>
    <row r="523">
      <c r="A523" s="16" t="inlineStr">
        <is>
          <t>Huadong Medicine Investment Holding (Hong Kong) Limited</t>
        </is>
      </c>
      <c r="B523" s="89" t="n">
        <v>1</v>
      </c>
      <c r="C523" s="94" t="n">
        <v>100</v>
      </c>
      <c r="D523" s="95" t="n">
        <v>23.7</v>
      </c>
      <c r="E523" s="95" t="n">
        <v>21</v>
      </c>
      <c r="F523" s="95" t="n">
        <v>20.7</v>
      </c>
      <c r="G523" s="95" t="n">
        <v>39.6</v>
      </c>
      <c r="H523" s="95" t="n">
        <v>-2.2</v>
      </c>
      <c r="I523" s="95" t="n">
        <v>-2.5</v>
      </c>
      <c r="J523" s="95" t="n">
        <v>12.9</v>
      </c>
      <c r="K523" s="96" t="inlineStr">
        <is>
          <t>2509 QYUNS-B</t>
        </is>
      </c>
    </row>
    <row r="524">
      <c r="A524" s="16" t="inlineStr">
        <is>
          <t>JianXin Medical Technology Limited</t>
        </is>
      </c>
      <c r="B524" s="89" t="n">
        <v>1</v>
      </c>
      <c r="C524" s="94" t="n">
        <v>100</v>
      </c>
      <c r="D524" s="95" t="n">
        <v>23.7</v>
      </c>
      <c r="E524" s="95" t="n">
        <v>21</v>
      </c>
      <c r="F524" s="95" t="n">
        <v>20.7</v>
      </c>
      <c r="G524" s="95" t="n">
        <v>39.6</v>
      </c>
      <c r="H524" s="95" t="n">
        <v>-2.2</v>
      </c>
      <c r="I524" s="95" t="n">
        <v>-2.5</v>
      </c>
      <c r="J524" s="95" t="n">
        <v>12.9</v>
      </c>
      <c r="K524" s="96" t="inlineStr">
        <is>
          <t>2509 QYUNS-B</t>
        </is>
      </c>
    </row>
    <row r="525">
      <c r="A525" s="16" t="inlineStr">
        <is>
          <t>Xinmin Tianshi Agricultural Industry Development Company Limited</t>
        </is>
      </c>
      <c r="B525" s="89" t="n">
        <v>1</v>
      </c>
      <c r="C525" s="94" t="n">
        <v>100</v>
      </c>
      <c r="D525" s="95" t="n">
        <v>22.7</v>
      </c>
      <c r="E525" s="95" t="n">
        <v>60.8</v>
      </c>
      <c r="F525" s="95" t="n">
        <v>61.5</v>
      </c>
      <c r="G525" s="95" t="n">
        <v>68.3</v>
      </c>
      <c r="H525" s="95" t="n">
        <v>31.1</v>
      </c>
      <c r="I525" s="95" t="n">
        <v>31.6</v>
      </c>
      <c r="J525" s="95" t="n">
        <v>37.2</v>
      </c>
      <c r="K525" s="96" t="inlineStr">
        <is>
          <t>9676 SHIYUE DAOTIAN</t>
        </is>
      </c>
    </row>
    <row r="526">
      <c r="A526" s="16" t="inlineStr">
        <is>
          <t>Bona Star Consultant Limited</t>
        </is>
      </c>
      <c r="B526" s="89" t="n">
        <v>1</v>
      </c>
      <c r="C526" s="94" t="n">
        <v>100</v>
      </c>
      <c r="D526" s="95" t="n">
        <v>22.5</v>
      </c>
      <c r="E526" s="95" t="n">
        <v>10.2</v>
      </c>
      <c r="F526" s="95" t="n">
        <v>-12.2</v>
      </c>
      <c r="G526" s="95" t="n"/>
      <c r="H526" s="95" t="n">
        <v>-10</v>
      </c>
      <c r="I526" s="95" t="n">
        <v>-28.4</v>
      </c>
      <c r="J526" s="95" t="n"/>
      <c r="K526" s="96" t="inlineStr">
        <is>
          <t>6067 SENIOR MATERIAL</t>
        </is>
      </c>
    </row>
    <row r="527">
      <c r="A527" s="16" t="inlineStr">
        <is>
          <t>JINKOSOLAR INVESTMENT LIMITED</t>
        </is>
      </c>
      <c r="B527" s="89" t="n">
        <v>1</v>
      </c>
      <c r="C527" s="94" t="n">
        <v>100</v>
      </c>
      <c r="D527" s="95" t="n">
        <v>22.5</v>
      </c>
      <c r="E527" s="95" t="n">
        <v>10.2</v>
      </c>
      <c r="F527" s="95" t="n">
        <v>-12.2</v>
      </c>
      <c r="G527" s="95" t="n"/>
      <c r="H527" s="95" t="n">
        <v>-10</v>
      </c>
      <c r="I527" s="95" t="n">
        <v>-28.4</v>
      </c>
      <c r="J527" s="95" t="n"/>
      <c r="K527" s="96" t="inlineStr">
        <is>
          <t>6067 SENIOR MATERIAL</t>
        </is>
      </c>
    </row>
    <row r="528">
      <c r="A528" s="16" t="inlineStr">
        <is>
          <t>Mondeomax Limited</t>
        </is>
      </c>
      <c r="B528" s="89" t="n">
        <v>1</v>
      </c>
      <c r="C528" s="94" t="n">
        <v>100</v>
      </c>
      <c r="D528" s="95" t="n">
        <v>22.5</v>
      </c>
      <c r="E528" s="95" t="n">
        <v>10.2</v>
      </c>
      <c r="F528" s="95" t="n">
        <v>-12.2</v>
      </c>
      <c r="G528" s="95" t="n"/>
      <c r="H528" s="95" t="n">
        <v>-10</v>
      </c>
      <c r="I528" s="95" t="n">
        <v>-28.4</v>
      </c>
      <c r="J528" s="95" t="n"/>
      <c r="K528" s="96" t="inlineStr">
        <is>
          <t>6067 SENIOR MATERIAL</t>
        </is>
      </c>
    </row>
    <row r="529">
      <c r="A529" s="16" t="inlineStr">
        <is>
          <t>SHEEN NATION HOLDINGS LIMITED</t>
        </is>
      </c>
      <c r="B529" s="89" t="n">
        <v>1</v>
      </c>
      <c r="C529" s="94" t="n">
        <v>100</v>
      </c>
      <c r="D529" s="95" t="n">
        <v>22.5</v>
      </c>
      <c r="E529" s="95" t="n">
        <v>10.2</v>
      </c>
      <c r="F529" s="95" t="n">
        <v>-12.2</v>
      </c>
      <c r="G529" s="95" t="n"/>
      <c r="H529" s="95" t="n">
        <v>-10</v>
      </c>
      <c r="I529" s="95" t="n">
        <v>-28.4</v>
      </c>
      <c r="J529" s="95" t="n"/>
      <c r="K529" s="96" t="inlineStr">
        <is>
          <t>6067 SENIOR MATERIAL</t>
        </is>
      </c>
    </row>
    <row r="530">
      <c r="A530" s="16" t="inlineStr">
        <is>
          <t>SINSANWA HOLDINGS (H.K.) CO., LIMITED</t>
        </is>
      </c>
      <c r="B530" s="89" t="n">
        <v>1</v>
      </c>
      <c r="C530" s="94" t="n">
        <v>100</v>
      </c>
      <c r="D530" s="95" t="n">
        <v>22.5</v>
      </c>
      <c r="E530" s="95" t="n">
        <v>10.2</v>
      </c>
      <c r="F530" s="95" t="n">
        <v>-12.2</v>
      </c>
      <c r="G530" s="95" t="n"/>
      <c r="H530" s="95" t="n">
        <v>-10</v>
      </c>
      <c r="I530" s="95" t="n">
        <v>-28.4</v>
      </c>
      <c r="J530" s="95" t="n"/>
      <c r="K530" s="96" t="inlineStr">
        <is>
          <t>6067 SENIOR MATERIAL</t>
        </is>
      </c>
    </row>
    <row r="531">
      <c r="A531" s="16" t="inlineStr">
        <is>
          <t>Coast Flagship Investment SPC</t>
        </is>
      </c>
      <c r="B531" s="89" t="n">
        <v>1</v>
      </c>
      <c r="C531" s="94" t="n">
        <v>100</v>
      </c>
      <c r="D531" s="95" t="n">
        <v>21.9</v>
      </c>
      <c r="E531" s="95" t="n">
        <v>10.6</v>
      </c>
      <c r="F531" s="95" t="n">
        <v>8.1</v>
      </c>
      <c r="G531" s="95" t="n">
        <v>21.1</v>
      </c>
      <c r="H531" s="95" t="n">
        <v>-9.300000000000001</v>
      </c>
      <c r="I531" s="95" t="n">
        <v>-11.3</v>
      </c>
      <c r="J531" s="95" t="n">
        <v>-0.7</v>
      </c>
      <c r="K531" s="96" t="inlineStr">
        <is>
          <t>1490 CHESHI</t>
        </is>
      </c>
    </row>
    <row r="532">
      <c r="A532" s="16" t="inlineStr">
        <is>
          <t>Goldstream Capital Management Limited</t>
        </is>
      </c>
      <c r="B532" s="89" t="n">
        <v>1</v>
      </c>
      <c r="C532" s="94" t="n">
        <v>100</v>
      </c>
      <c r="D532" s="95" t="n">
        <v>21.9</v>
      </c>
      <c r="E532" s="95" t="n">
        <v>10.6</v>
      </c>
      <c r="F532" s="95" t="n">
        <v>8.1</v>
      </c>
      <c r="G532" s="95" t="n">
        <v>21.1</v>
      </c>
      <c r="H532" s="95" t="n">
        <v>-9.300000000000001</v>
      </c>
      <c r="I532" s="95" t="n">
        <v>-11.3</v>
      </c>
      <c r="J532" s="95" t="n">
        <v>-0.7</v>
      </c>
      <c r="K532" s="96" t="inlineStr">
        <is>
          <t>1490 CHESHI</t>
        </is>
      </c>
    </row>
    <row r="533">
      <c r="A533" s="16" t="inlineStr">
        <is>
          <t>Shimmering Skyline L.P</t>
        </is>
      </c>
      <c r="B533" s="89" t="n">
        <v>1</v>
      </c>
      <c r="C533" s="94" t="n">
        <v>100</v>
      </c>
      <c r="D533" s="95" t="n">
        <v>21.9</v>
      </c>
      <c r="E533" s="95" t="n">
        <v>10.6</v>
      </c>
      <c r="F533" s="95" t="n">
        <v>8.1</v>
      </c>
      <c r="G533" s="95" t="n">
        <v>21.1</v>
      </c>
      <c r="H533" s="95" t="n">
        <v>-9.300000000000001</v>
      </c>
      <c r="I533" s="95" t="n">
        <v>-11.3</v>
      </c>
      <c r="J533" s="95" t="n">
        <v>-0.7</v>
      </c>
      <c r="K533" s="96" t="inlineStr">
        <is>
          <t>1490 CHESHI</t>
        </is>
      </c>
    </row>
    <row r="534">
      <c r="A534" s="16" t="inlineStr">
        <is>
          <t>Pingtan Xinghang Investment</t>
        </is>
      </c>
      <c r="B534" s="89" t="n">
        <v>1</v>
      </c>
      <c r="C534" s="94" t="n">
        <v>100</v>
      </c>
      <c r="D534" s="95" t="n">
        <v>21.4</v>
      </c>
      <c r="E534" s="95" t="n">
        <v>-16.8</v>
      </c>
      <c r="F534" s="95" t="n">
        <v>-34.6</v>
      </c>
      <c r="G534" s="95" t="n">
        <v>-34.9</v>
      </c>
      <c r="H534" s="95" t="n">
        <v>-31.5</v>
      </c>
      <c r="I534" s="95" t="n">
        <v>-46.1</v>
      </c>
      <c r="J534" s="95" t="n">
        <v>-46.4</v>
      </c>
      <c r="K534" s="96" t="inlineStr">
        <is>
          <t>2573 NEWTREND GROUP</t>
        </is>
      </c>
    </row>
    <row r="535">
      <c r="A535" s="16" t="inlineStr">
        <is>
          <t>Ms. Huang</t>
        </is>
      </c>
      <c r="B535" s="89" t="n">
        <v>1</v>
      </c>
      <c r="C535" s="94" t="n">
        <v>100</v>
      </c>
      <c r="D535" s="95" t="n">
        <v>21.4</v>
      </c>
      <c r="E535" s="95" t="n">
        <v>-16.8</v>
      </c>
      <c r="F535" s="95" t="n">
        <v>-34.6</v>
      </c>
      <c r="G535" s="95" t="n">
        <v>-34.9</v>
      </c>
      <c r="H535" s="95" t="n">
        <v>-31.5</v>
      </c>
      <c r="I535" s="95" t="n">
        <v>-46.1</v>
      </c>
      <c r="J535" s="95" t="n">
        <v>-46.4</v>
      </c>
      <c r="K535" s="96" t="inlineStr">
        <is>
          <t>2573 NEWTREND GROUP</t>
        </is>
      </c>
    </row>
    <row r="536">
      <c r="A536" s="16" t="inlineStr">
        <is>
          <t>Ms. He</t>
        </is>
      </c>
      <c r="B536" s="89" t="n">
        <v>1</v>
      </c>
      <c r="C536" s="94" t="n">
        <v>100</v>
      </c>
      <c r="D536" s="95" t="n">
        <v>21.4</v>
      </c>
      <c r="E536" s="95" t="n">
        <v>-16.8</v>
      </c>
      <c r="F536" s="95" t="n">
        <v>-34.6</v>
      </c>
      <c r="G536" s="95" t="n">
        <v>-34.9</v>
      </c>
      <c r="H536" s="95" t="n">
        <v>-31.5</v>
      </c>
      <c r="I536" s="95" t="n">
        <v>-46.1</v>
      </c>
      <c r="J536" s="95" t="n">
        <v>-46.4</v>
      </c>
      <c r="K536" s="96" t="inlineStr">
        <is>
          <t>2573 NEWTREND GROUP</t>
        </is>
      </c>
    </row>
    <row r="537">
      <c r="A537" s="16" t="inlineStr">
        <is>
          <t>Ms. Chen</t>
        </is>
      </c>
      <c r="B537" s="89" t="n">
        <v>1</v>
      </c>
      <c r="C537" s="94" t="n">
        <v>100</v>
      </c>
      <c r="D537" s="95" t="n">
        <v>21.4</v>
      </c>
      <c r="E537" s="95" t="n">
        <v>-16.8</v>
      </c>
      <c r="F537" s="95" t="n">
        <v>-34.6</v>
      </c>
      <c r="G537" s="95" t="n">
        <v>-34.9</v>
      </c>
      <c r="H537" s="95" t="n">
        <v>-31.5</v>
      </c>
      <c r="I537" s="95" t="n">
        <v>-46.1</v>
      </c>
      <c r="J537" s="95" t="n">
        <v>-46.4</v>
      </c>
      <c r="K537" s="96" t="inlineStr">
        <is>
          <t>2573 NEWTREND GROUP</t>
        </is>
      </c>
    </row>
    <row r="538">
      <c r="A538" s="16" t="inlineStr">
        <is>
          <t>He Win Hong Kong Holdings</t>
        </is>
      </c>
      <c r="B538" s="89" t="n">
        <v>1</v>
      </c>
      <c r="C538" s="94" t="n">
        <v>100</v>
      </c>
      <c r="D538" s="95" t="n">
        <v>21.4</v>
      </c>
      <c r="E538" s="95" t="n">
        <v>-16.8</v>
      </c>
      <c r="F538" s="95" t="n">
        <v>-34.6</v>
      </c>
      <c r="G538" s="95" t="n">
        <v>-34.9</v>
      </c>
      <c r="H538" s="95" t="n">
        <v>-31.5</v>
      </c>
      <c r="I538" s="95" t="n">
        <v>-46.1</v>
      </c>
      <c r="J538" s="95" t="n">
        <v>-46.4</v>
      </c>
      <c r="K538" s="96" t="inlineStr">
        <is>
          <t>2573 NEWTREND GROUP</t>
        </is>
      </c>
    </row>
    <row r="539">
      <c r="A539" s="16" t="inlineStr">
        <is>
          <t>Apex Insight Investment L.P</t>
        </is>
      </c>
      <c r="B539" s="89" t="n">
        <v>1</v>
      </c>
      <c r="C539" s="94" t="n">
        <v>100</v>
      </c>
      <c r="D539" s="95" t="n">
        <v>21.3</v>
      </c>
      <c r="E539" s="95" t="n">
        <v>11.2</v>
      </c>
      <c r="F539" s="95" t="n">
        <v>38.7</v>
      </c>
      <c r="G539" s="95" t="n">
        <v>25.4</v>
      </c>
      <c r="H539" s="95" t="n">
        <v>-8.300000000000001</v>
      </c>
      <c r="I539" s="95" t="n">
        <v>14.4</v>
      </c>
      <c r="J539" s="95" t="n">
        <v>3.4</v>
      </c>
      <c r="K539" s="96" t="inlineStr">
        <is>
          <t>3388 CREALITY</t>
        </is>
      </c>
    </row>
    <row r="540">
      <c r="A540" s="16" t="inlineStr">
        <is>
          <t>Colloway Group Limited</t>
        </is>
      </c>
      <c r="B540" s="89" t="n">
        <v>1</v>
      </c>
      <c r="C540" s="94" t="n">
        <v>100</v>
      </c>
      <c r="D540" s="95" t="n">
        <v>21.3</v>
      </c>
      <c r="E540" s="95" t="n">
        <v>11.2</v>
      </c>
      <c r="F540" s="95" t="n">
        <v>38.7</v>
      </c>
      <c r="G540" s="95" t="n">
        <v>25.4</v>
      </c>
      <c r="H540" s="95" t="n">
        <v>-8.300000000000001</v>
      </c>
      <c r="I540" s="95" t="n">
        <v>14.4</v>
      </c>
      <c r="J540" s="95" t="n">
        <v>3.4</v>
      </c>
      <c r="K540" s="96" t="inlineStr">
        <is>
          <t>3388 CREALITY</t>
        </is>
      </c>
    </row>
    <row r="541">
      <c r="A541" s="16" t="inlineStr">
        <is>
          <t>Dingxin (Securities) Limited</t>
        </is>
      </c>
      <c r="B541" s="89" t="n">
        <v>1</v>
      </c>
      <c r="C541" s="94" t="n">
        <v>100</v>
      </c>
      <c r="D541" s="95" t="n">
        <v>21.3</v>
      </c>
      <c r="E541" s="95" t="n">
        <v>11.2</v>
      </c>
      <c r="F541" s="95" t="n">
        <v>38.7</v>
      </c>
      <c r="G541" s="95" t="n">
        <v>25.4</v>
      </c>
      <c r="H541" s="95" t="n">
        <v>-8.300000000000001</v>
      </c>
      <c r="I541" s="95" t="n">
        <v>14.4</v>
      </c>
      <c r="J541" s="95" t="n">
        <v>3.4</v>
      </c>
      <c r="K541" s="96" t="inlineStr">
        <is>
          <t>3388 CREALITY</t>
        </is>
      </c>
    </row>
    <row r="542">
      <c r="A542" s="16" t="inlineStr">
        <is>
          <t>GBA Homeland Limited</t>
        </is>
      </c>
      <c r="B542" s="89" t="n">
        <v>1</v>
      </c>
      <c r="C542" s="94" t="n">
        <v>100</v>
      </c>
      <c r="D542" s="95" t="n">
        <v>21.3</v>
      </c>
      <c r="E542" s="95" t="n">
        <v>11.2</v>
      </c>
      <c r="F542" s="95" t="n">
        <v>38.7</v>
      </c>
      <c r="G542" s="95" t="n">
        <v>25.4</v>
      </c>
      <c r="H542" s="95" t="n">
        <v>-8.300000000000001</v>
      </c>
      <c r="I542" s="95" t="n">
        <v>14.4</v>
      </c>
      <c r="J542" s="95" t="n">
        <v>3.4</v>
      </c>
      <c r="K542" s="96" t="inlineStr">
        <is>
          <t>3388 CREALITY</t>
        </is>
      </c>
    </row>
    <row r="543">
      <c r="A543" s="16" t="inlineStr">
        <is>
          <t>Optimas ACM Fund LP</t>
        </is>
      </c>
      <c r="B543" s="89" t="n">
        <v>1</v>
      </c>
      <c r="C543" s="94" t="n">
        <v>100</v>
      </c>
      <c r="D543" s="95" t="n">
        <v>21.3</v>
      </c>
      <c r="E543" s="95" t="n">
        <v>11.2</v>
      </c>
      <c r="F543" s="95" t="n">
        <v>38.7</v>
      </c>
      <c r="G543" s="95" t="n">
        <v>25.4</v>
      </c>
      <c r="H543" s="95" t="n">
        <v>-8.300000000000001</v>
      </c>
      <c r="I543" s="95" t="n">
        <v>14.4</v>
      </c>
      <c r="J543" s="95" t="n">
        <v>3.4</v>
      </c>
      <c r="K543" s="96" t="inlineStr">
        <is>
          <t>3388 CREALITY</t>
        </is>
      </c>
    </row>
    <row r="544">
      <c r="A544" s="16" t="inlineStr">
        <is>
          <t>Yuyao Yangming Equity Investment Fund Co., Ltd</t>
        </is>
      </c>
      <c r="B544" s="89" t="n">
        <v>1</v>
      </c>
      <c r="C544" s="94" t="n">
        <v>100</v>
      </c>
      <c r="D544" s="95" t="n">
        <v>20.9</v>
      </c>
      <c r="E544" s="95" t="n">
        <v>22.3</v>
      </c>
      <c r="F544" s="95" t="n">
        <v>16.5</v>
      </c>
      <c r="G544" s="95" t="n">
        <v>10.4</v>
      </c>
      <c r="H544" s="95" t="n">
        <v>1.2</v>
      </c>
      <c r="I544" s="95" t="n">
        <v>-3.6</v>
      </c>
      <c r="J544" s="95" t="n">
        <v>-8.699999999999999</v>
      </c>
      <c r="K544" s="96" t="inlineStr">
        <is>
          <t>2105 LAEKNA-B</t>
        </is>
      </c>
    </row>
    <row r="545">
      <c r="A545" s="16" t="inlineStr">
        <is>
          <t>Guosen (HK) Financial Products Company Limited</t>
        </is>
      </c>
      <c r="B545" s="89" t="n">
        <v>1</v>
      </c>
      <c r="C545" s="94" t="n">
        <v>100</v>
      </c>
      <c r="D545" s="95" t="n">
        <v>20.6</v>
      </c>
      <c r="E545" s="95" t="n">
        <v>30.7</v>
      </c>
      <c r="F545" s="95" t="n">
        <v>47.6</v>
      </c>
      <c r="G545" s="95" t="n">
        <v>62.9</v>
      </c>
      <c r="H545" s="95" t="n">
        <v>8.300000000000001</v>
      </c>
      <c r="I545" s="95" t="n">
        <v>22.4</v>
      </c>
      <c r="J545" s="95" t="n">
        <v>35</v>
      </c>
      <c r="K545" s="96" t="inlineStr">
        <is>
          <t>2637 HAIXI PHARMA</t>
        </is>
      </c>
    </row>
    <row r="546">
      <c r="A546" s="16" t="inlineStr">
        <is>
          <t>Zhuhai Gokin New Energy Investment Co., Ltd</t>
        </is>
      </c>
      <c r="B546" s="89" t="n">
        <v>1</v>
      </c>
      <c r="C546" s="94" t="n">
        <v>100</v>
      </c>
      <c r="D546" s="95" t="n">
        <v>20.1</v>
      </c>
      <c r="E546" s="95" t="n">
        <v>3.6</v>
      </c>
      <c r="F546" s="95" t="n">
        <v>8.1</v>
      </c>
      <c r="G546" s="95" t="n">
        <v>-2.5</v>
      </c>
      <c r="H546" s="95" t="n">
        <v>-13.7</v>
      </c>
      <c r="I546" s="95" t="n">
        <v>-10</v>
      </c>
      <c r="J546" s="95" t="n">
        <v>-18.8</v>
      </c>
      <c r="K546" s="96" t="inlineStr">
        <is>
          <t>2865 DRINDA</t>
        </is>
      </c>
    </row>
    <row r="547">
      <c r="A547" s="16" t="inlineStr">
        <is>
          <t>Modern Direct Investment New Energy Technology Co., Limited</t>
        </is>
      </c>
      <c r="B547" s="89" t="n">
        <v>1</v>
      </c>
      <c r="C547" s="94" t="n">
        <v>100</v>
      </c>
      <c r="D547" s="95" t="n">
        <v>20.1</v>
      </c>
      <c r="E547" s="95" t="n">
        <v>3.6</v>
      </c>
      <c r="F547" s="95" t="n">
        <v>8.1</v>
      </c>
      <c r="G547" s="95" t="n">
        <v>-2.5</v>
      </c>
      <c r="H547" s="95" t="n">
        <v>-13.7</v>
      </c>
      <c r="I547" s="95" t="n">
        <v>-10</v>
      </c>
      <c r="J547" s="95" t="n">
        <v>-18.8</v>
      </c>
      <c r="K547" s="96" t="inlineStr">
        <is>
          <t>2865 DRINDA</t>
        </is>
      </c>
    </row>
    <row r="548">
      <c r="A548" s="16" t="inlineStr">
        <is>
          <t>Yue Chuang New Energy HK Limited</t>
        </is>
      </c>
      <c r="B548" s="89" t="n">
        <v>1</v>
      </c>
      <c r="C548" s="94" t="n">
        <v>100</v>
      </c>
      <c r="D548" s="95" t="n">
        <v>20</v>
      </c>
      <c r="E548" s="95" t="n">
        <v>48.5</v>
      </c>
      <c r="F548" s="95" t="n">
        <v>69.8</v>
      </c>
      <c r="G548" s="95" t="n">
        <v>132.2</v>
      </c>
      <c r="H548" s="95" t="n">
        <v>23.8</v>
      </c>
      <c r="I548" s="95" t="n">
        <v>41.5</v>
      </c>
      <c r="J548" s="95" t="n">
        <v>93.5</v>
      </c>
      <c r="K548" s="96" t="inlineStr">
        <is>
          <t>2582 GUOFUHEE</t>
        </is>
      </c>
    </row>
    <row r="549">
      <c r="A549" s="16" t="inlineStr">
        <is>
          <t>Barjai Trading Company Limited</t>
        </is>
      </c>
      <c r="B549" s="89" t="n">
        <v>1</v>
      </c>
      <c r="C549" s="94" t="n">
        <v>100</v>
      </c>
      <c r="D549" s="95" t="n">
        <v>18.5</v>
      </c>
      <c r="E549" s="95" t="n">
        <v>40</v>
      </c>
      <c r="F549" s="95" t="n">
        <v>90.2</v>
      </c>
      <c r="G549" s="95" t="n">
        <v>125.3</v>
      </c>
      <c r="H549" s="95" t="n">
        <v>18.2</v>
      </c>
      <c r="I549" s="95" t="n">
        <v>60.6</v>
      </c>
      <c r="J549" s="95" t="n">
        <v>90.2</v>
      </c>
      <c r="K549" s="96" t="inlineStr">
        <is>
          <t>2556 MARKETINGFORCE</t>
        </is>
      </c>
    </row>
    <row r="550">
      <c r="A550" s="16" t="inlineStr">
        <is>
          <t>VH Nanchang Donghu Asset Capital LPF</t>
        </is>
      </c>
      <c r="B550" s="89" t="n">
        <v>1</v>
      </c>
      <c r="C550" s="94" t="n">
        <v>100</v>
      </c>
      <c r="D550" s="95" t="n">
        <v>18.5</v>
      </c>
      <c r="E550" s="95" t="n">
        <v>40</v>
      </c>
      <c r="F550" s="95" t="n">
        <v>90.2</v>
      </c>
      <c r="G550" s="95" t="n">
        <v>125.3</v>
      </c>
      <c r="H550" s="95" t="n">
        <v>18.2</v>
      </c>
      <c r="I550" s="95" t="n">
        <v>60.6</v>
      </c>
      <c r="J550" s="95" t="n">
        <v>90.2</v>
      </c>
      <c r="K550" s="96" t="inlineStr">
        <is>
          <t>2556 MARKETINGFORCE</t>
        </is>
      </c>
    </row>
    <row r="551">
      <c r="A551" s="16" t="inlineStr">
        <is>
          <t>Kuwait Investment</t>
        </is>
      </c>
      <c r="B551" s="89" t="n">
        <v>1</v>
      </c>
      <c r="C551" s="94" t="n">
        <v>100</v>
      </c>
      <c r="D551" s="95" t="n">
        <v>16.4</v>
      </c>
      <c r="E551" s="95" t="n">
        <v>17.5</v>
      </c>
      <c r="F551" s="95" t="n">
        <v>16.5</v>
      </c>
      <c r="G551" s="95" t="n">
        <v>57.4</v>
      </c>
      <c r="H551" s="95" t="n">
        <v>0.9</v>
      </c>
      <c r="I551" s="95" t="n">
        <v>0.1</v>
      </c>
      <c r="J551" s="95" t="n">
        <v>35.2</v>
      </c>
      <c r="K551" s="96" t="inlineStr">
        <is>
          <t>3750 CATL</t>
        </is>
      </c>
    </row>
    <row r="552">
      <c r="A552" s="16" t="inlineStr">
        <is>
          <t>Zenith Hop International Limited</t>
        </is>
      </c>
      <c r="B552" s="89" t="n">
        <v>1</v>
      </c>
      <c r="C552" s="94" t="n">
        <v>100</v>
      </c>
      <c r="D552" s="95" t="n">
        <v>16.4</v>
      </c>
      <c r="E552" s="95" t="n">
        <v>17.5</v>
      </c>
      <c r="F552" s="95" t="n">
        <v>16.5</v>
      </c>
      <c r="G552" s="95" t="n">
        <v>57.4</v>
      </c>
      <c r="H552" s="95" t="n">
        <v>0.9</v>
      </c>
      <c r="I552" s="95" t="n">
        <v>0.1</v>
      </c>
      <c r="J552" s="95" t="n">
        <v>35.2</v>
      </c>
      <c r="K552" s="96" t="inlineStr">
        <is>
          <t>3750 CATL</t>
        </is>
      </c>
    </row>
    <row r="553">
      <c r="A553" s="16" t="inlineStr">
        <is>
          <t>UG Investment</t>
        </is>
      </c>
      <c r="B553" s="89" t="n">
        <v>1</v>
      </c>
      <c r="C553" s="94" t="n">
        <v>100</v>
      </c>
      <c r="D553" s="95" t="n">
        <v>16.2</v>
      </c>
      <c r="E553" s="95" t="n">
        <v>11.2</v>
      </c>
      <c r="F553" s="95" t="n">
        <v>-0.1</v>
      </c>
      <c r="G553" s="95" t="n">
        <v>-25.1</v>
      </c>
      <c r="H553" s="95" t="n">
        <v>-4.3</v>
      </c>
      <c r="I553" s="95" t="n">
        <v>-14</v>
      </c>
      <c r="J553" s="95" t="n">
        <v>-35.5</v>
      </c>
      <c r="K553" s="96" t="inlineStr">
        <is>
          <t>0501 OMNIVISION</t>
        </is>
      </c>
    </row>
    <row r="554">
      <c r="A554" s="16" t="inlineStr">
        <is>
          <t>OPPO (Tiantian Trading)</t>
        </is>
      </c>
      <c r="B554" s="89" t="n">
        <v>1</v>
      </c>
      <c r="C554" s="94" t="n">
        <v>100</v>
      </c>
      <c r="D554" s="95" t="n">
        <v>16.2</v>
      </c>
      <c r="E554" s="95" t="n">
        <v>11.2</v>
      </c>
      <c r="F554" s="95" t="n">
        <v>-0.1</v>
      </c>
      <c r="G554" s="95" t="n">
        <v>-25.1</v>
      </c>
      <c r="H554" s="95" t="n">
        <v>-4.3</v>
      </c>
      <c r="I554" s="95" t="n">
        <v>-14</v>
      </c>
      <c r="J554" s="95" t="n">
        <v>-35.5</v>
      </c>
      <c r="K554" s="96" t="inlineStr">
        <is>
          <t>0501 OMNIVISION</t>
        </is>
      </c>
    </row>
    <row r="555">
      <c r="A555" s="16" t="inlineStr">
        <is>
          <t>Torus</t>
        </is>
      </c>
      <c r="B555" s="89" t="n">
        <v>1</v>
      </c>
      <c r="C555" s="94" t="n">
        <v>100</v>
      </c>
      <c r="D555" s="95" t="n">
        <v>16</v>
      </c>
      <c r="E555" s="95" t="n">
        <v>25.8</v>
      </c>
      <c r="F555" s="95" t="n">
        <v>30.9</v>
      </c>
      <c r="G555" s="95" t="n">
        <v>65.09999999999999</v>
      </c>
      <c r="H555" s="95" t="n">
        <v>8.4</v>
      </c>
      <c r="I555" s="95" t="n">
        <v>12.8</v>
      </c>
      <c r="J555" s="95" t="n">
        <v>42.3</v>
      </c>
      <c r="K555" s="96" t="inlineStr">
        <is>
          <t>1304 FORTIOR</t>
        </is>
      </c>
    </row>
    <row r="556">
      <c r="A556" s="16" t="inlineStr">
        <is>
          <t>Intac</t>
        </is>
      </c>
      <c r="B556" s="89" t="n">
        <v>1</v>
      </c>
      <c r="C556" s="94" t="n">
        <v>100</v>
      </c>
      <c r="D556" s="95" t="n">
        <v>16</v>
      </c>
      <c r="E556" s="95" t="n">
        <v>25.8</v>
      </c>
      <c r="F556" s="95" t="n">
        <v>30.9</v>
      </c>
      <c r="G556" s="95" t="n">
        <v>65.09999999999999</v>
      </c>
      <c r="H556" s="95" t="n">
        <v>8.4</v>
      </c>
      <c r="I556" s="95" t="n">
        <v>12.8</v>
      </c>
      <c r="J556" s="95" t="n">
        <v>42.3</v>
      </c>
      <c r="K556" s="96" t="inlineStr">
        <is>
          <t>1304 FORTIOR</t>
        </is>
      </c>
    </row>
    <row r="557">
      <c r="A557" s="16" t="inlineStr">
        <is>
          <t>Franklin Templeton Sealand Fund Management Co., Ltd</t>
        </is>
      </c>
      <c r="B557" s="89" t="n">
        <v>1</v>
      </c>
      <c r="C557" s="94" t="n">
        <v>100</v>
      </c>
      <c r="D557" s="95" t="n">
        <v>15.7</v>
      </c>
      <c r="E557" s="95" t="n">
        <v>1.3</v>
      </c>
      <c r="F557" s="95" t="n">
        <v>10.6</v>
      </c>
      <c r="G557" s="95" t="n"/>
      <c r="H557" s="95" t="n">
        <v>-12.4</v>
      </c>
      <c r="I557" s="95" t="n">
        <v>-4.4</v>
      </c>
      <c r="J557" s="95" t="n"/>
      <c r="K557" s="96" t="inlineStr">
        <is>
          <t>0668 ANKER</t>
        </is>
      </c>
    </row>
    <row r="558">
      <c r="A558" s="16" t="inlineStr">
        <is>
          <t>Principal Asset Management Company (Asia) Limited</t>
        </is>
      </c>
      <c r="B558" s="89" t="n">
        <v>1</v>
      </c>
      <c r="C558" s="94" t="n">
        <v>100</v>
      </c>
      <c r="D558" s="95" t="n">
        <v>15.7</v>
      </c>
      <c r="E558" s="95" t="n">
        <v>1.3</v>
      </c>
      <c r="F558" s="95" t="n">
        <v>10.6</v>
      </c>
      <c r="G558" s="95" t="n"/>
      <c r="H558" s="95" t="n">
        <v>-12.4</v>
      </c>
      <c r="I558" s="95" t="n">
        <v>-4.4</v>
      </c>
      <c r="J558" s="95" t="n"/>
      <c r="K558" s="96" t="inlineStr">
        <is>
          <t>0668 ANKER</t>
        </is>
      </c>
    </row>
    <row r="559">
      <c r="A559" s="16" t="inlineStr">
        <is>
          <t>All View Focus Fund LPF</t>
        </is>
      </c>
      <c r="B559" s="89" t="n">
        <v>1</v>
      </c>
      <c r="C559" s="94" t="n">
        <v>100</v>
      </c>
      <c r="D559" s="95" t="n">
        <v>15.2</v>
      </c>
      <c r="E559" s="95" t="n">
        <v>28.6</v>
      </c>
      <c r="F559" s="95" t="n">
        <v>89</v>
      </c>
      <c r="G559" s="95" t="n"/>
      <c r="H559" s="95" t="n">
        <v>11.7</v>
      </c>
      <c r="I559" s="95" t="n">
        <v>64</v>
      </c>
      <c r="J559" s="95" t="n"/>
      <c r="K559" s="96" t="inlineStr">
        <is>
          <t>3752 ROKAE ROBOTICS</t>
        </is>
      </c>
    </row>
    <row r="560">
      <c r="A560" s="16" t="inlineStr">
        <is>
          <t>Beijing Financial Street Capital Operation Group Co., Ltd</t>
        </is>
      </c>
      <c r="B560" s="89" t="n">
        <v>1</v>
      </c>
      <c r="C560" s="94" t="n">
        <v>100</v>
      </c>
      <c r="D560" s="95" t="n">
        <v>15.2</v>
      </c>
      <c r="E560" s="95" t="n">
        <v>28.6</v>
      </c>
      <c r="F560" s="95" t="n">
        <v>89</v>
      </c>
      <c r="G560" s="95" t="n"/>
      <c r="H560" s="95" t="n">
        <v>11.7</v>
      </c>
      <c r="I560" s="95" t="n">
        <v>64</v>
      </c>
      <c r="J560" s="95" t="n"/>
      <c r="K560" s="96" t="inlineStr">
        <is>
          <t>3752 ROKAE ROBOTICS</t>
        </is>
      </c>
    </row>
    <row r="561">
      <c r="A561" s="16" t="inlineStr">
        <is>
          <t>China Travel Service (Holdings) Hong Kong Limited</t>
        </is>
      </c>
      <c r="B561" s="89" t="n">
        <v>1</v>
      </c>
      <c r="C561" s="94" t="n">
        <v>100</v>
      </c>
      <c r="D561" s="95" t="n">
        <v>15</v>
      </c>
      <c r="E561" s="95" t="n">
        <v>6.6</v>
      </c>
      <c r="F561" s="95" t="n">
        <v>-15</v>
      </c>
      <c r="G561" s="95" t="n">
        <v>-18.1</v>
      </c>
      <c r="H561" s="95" t="n">
        <v>-7.3</v>
      </c>
      <c r="I561" s="95" t="n">
        <v>-26.1</v>
      </c>
      <c r="J561" s="95" t="n">
        <v>-28.8</v>
      </c>
      <c r="K561" s="96" t="inlineStr">
        <is>
          <t>2460 CR BEVERAGE</t>
        </is>
      </c>
    </row>
    <row r="562">
      <c r="A562" s="16" t="inlineStr">
        <is>
          <t>Wildlife Willow Limited</t>
        </is>
      </c>
      <c r="B562" s="89" t="n">
        <v>1</v>
      </c>
      <c r="C562" s="94" t="n">
        <v>100</v>
      </c>
      <c r="D562" s="95" t="n">
        <v>15</v>
      </c>
      <c r="E562" s="95" t="n">
        <v>6.6</v>
      </c>
      <c r="F562" s="95" t="n">
        <v>-15</v>
      </c>
      <c r="G562" s="95" t="n">
        <v>-18.1</v>
      </c>
      <c r="H562" s="95" t="n">
        <v>-7.3</v>
      </c>
      <c r="I562" s="95" t="n">
        <v>-26.1</v>
      </c>
      <c r="J562" s="95" t="n">
        <v>-28.8</v>
      </c>
      <c r="K562" s="96" t="inlineStr">
        <is>
          <t>2460 CR BEVERAGE</t>
        </is>
      </c>
    </row>
    <row r="563">
      <c r="A563" s="16" t="inlineStr">
        <is>
          <t>Asia Pacific Limited</t>
        </is>
      </c>
      <c r="B563" s="89" t="n">
        <v>1</v>
      </c>
      <c r="C563" s="94" t="n">
        <v>100</v>
      </c>
      <c r="D563" s="95" t="n">
        <v>14.9</v>
      </c>
      <c r="E563" s="95" t="n">
        <v>30</v>
      </c>
      <c r="F563" s="95" t="n">
        <v>0.9</v>
      </c>
      <c r="G563" s="95" t="n">
        <v>-17.4</v>
      </c>
      <c r="H563" s="95" t="n">
        <v>13.1</v>
      </c>
      <c r="I563" s="95" t="n">
        <v>-12.2</v>
      </c>
      <c r="J563" s="95" t="n">
        <v>-28.2</v>
      </c>
      <c r="K563" s="96" t="inlineStr">
        <is>
          <t>2543 DAHON TECH</t>
        </is>
      </c>
    </row>
    <row r="564">
      <c r="A564" s="16" t="inlineStr">
        <is>
          <t>Allianz Global Investors Asia Pacific Limited</t>
        </is>
      </c>
      <c r="B564" s="89" t="n">
        <v>1</v>
      </c>
      <c r="C564" s="94" t="n">
        <v>100</v>
      </c>
      <c r="D564" s="95" t="n">
        <v>14.9</v>
      </c>
      <c r="E564" s="95" t="n">
        <v>30</v>
      </c>
      <c r="F564" s="95" t="n">
        <v>0.9</v>
      </c>
      <c r="G564" s="95" t="n">
        <v>-17.4</v>
      </c>
      <c r="H564" s="95" t="n">
        <v>13.1</v>
      </c>
      <c r="I564" s="95" t="n">
        <v>-12.2</v>
      </c>
      <c r="J564" s="95" t="n">
        <v>-28.2</v>
      </c>
      <c r="K564" s="96" t="inlineStr">
        <is>
          <t>2543 DAHON TECH</t>
        </is>
      </c>
    </row>
    <row r="565">
      <c r="A565" s="16" t="inlineStr">
        <is>
          <t>GBAD Fund Management</t>
        </is>
      </c>
      <c r="B565" s="89" t="n">
        <v>1</v>
      </c>
      <c r="C565" s="94" t="n">
        <v>100</v>
      </c>
      <c r="D565" s="95" t="n">
        <v>14.9</v>
      </c>
      <c r="E565" s="95" t="n">
        <v>30</v>
      </c>
      <c r="F565" s="95" t="n">
        <v>0.9</v>
      </c>
      <c r="G565" s="95" t="n">
        <v>-17.4</v>
      </c>
      <c r="H565" s="95" t="n">
        <v>13.1</v>
      </c>
      <c r="I565" s="95" t="n">
        <v>-12.2</v>
      </c>
      <c r="J565" s="95" t="n">
        <v>-28.2</v>
      </c>
      <c r="K565" s="96" t="inlineStr">
        <is>
          <t>2543 DAHON TECH</t>
        </is>
      </c>
    </row>
    <row r="566">
      <c r="A566" s="16" t="inlineStr">
        <is>
          <t>Dahon Tech Enterprise LP</t>
        </is>
      </c>
      <c r="B566" s="89" t="n">
        <v>1</v>
      </c>
      <c r="C566" s="94" t="n">
        <v>100</v>
      </c>
      <c r="D566" s="95" t="n">
        <v>14.9</v>
      </c>
      <c r="E566" s="95" t="n">
        <v>30</v>
      </c>
      <c r="F566" s="95" t="n">
        <v>0.9</v>
      </c>
      <c r="G566" s="95" t="n">
        <v>-17.4</v>
      </c>
      <c r="H566" s="95" t="n">
        <v>13.1</v>
      </c>
      <c r="I566" s="95" t="n">
        <v>-12.2</v>
      </c>
      <c r="J566" s="95" t="n">
        <v>-28.2</v>
      </c>
      <c r="K566" s="96" t="inlineStr">
        <is>
          <t>2543 DAHON TECH</t>
        </is>
      </c>
    </row>
    <row r="567">
      <c r="A567" s="16" t="inlineStr">
        <is>
          <t>Industrial Bank WM</t>
        </is>
      </c>
      <c r="B567" s="89" t="n">
        <v>1</v>
      </c>
      <c r="C567" s="94" t="n">
        <v>100</v>
      </c>
      <c r="D567" s="95" t="n">
        <v>14.8</v>
      </c>
      <c r="E567" s="95" t="n">
        <v>17.5</v>
      </c>
      <c r="F567" s="95" t="n">
        <v>21.9</v>
      </c>
      <c r="G567" s="95" t="n">
        <v>69.40000000000001</v>
      </c>
      <c r="H567" s="95" t="n">
        <v>2.4</v>
      </c>
      <c r="I567" s="95" t="n">
        <v>6.2</v>
      </c>
      <c r="J567" s="95" t="n">
        <v>47.5</v>
      </c>
      <c r="K567" s="96" t="inlineStr">
        <is>
          <t>3200 HANS CNC</t>
        </is>
      </c>
    </row>
    <row r="568">
      <c r="A568" s="16" t="inlineStr">
        <is>
          <t>Emsdom Limited</t>
        </is>
      </c>
      <c r="B568" s="89" t="n">
        <v>1</v>
      </c>
      <c r="C568" s="94" t="n">
        <v>100</v>
      </c>
      <c r="D568" s="95" t="n">
        <v>14.3</v>
      </c>
      <c r="E568" s="95" t="n">
        <v>9.5</v>
      </c>
      <c r="F568" s="95" t="n">
        <v>-19.1</v>
      </c>
      <c r="G568" s="95" t="n">
        <v>-15.2</v>
      </c>
      <c r="H568" s="95" t="n">
        <v>-4.2</v>
      </c>
      <c r="I568" s="95" t="n">
        <v>-29.2</v>
      </c>
      <c r="J568" s="95" t="n">
        <v>-25.8</v>
      </c>
      <c r="K568" s="96" t="inlineStr">
        <is>
          <t>1334 RUICHANG INTL</t>
        </is>
      </c>
    </row>
    <row r="569">
      <c r="A569" s="16" t="inlineStr">
        <is>
          <t>Shanghai Huijin Asset Management Co., Ltd</t>
        </is>
      </c>
      <c r="B569" s="89" t="n">
        <v>1</v>
      </c>
      <c r="C569" s="94" t="n">
        <v>100</v>
      </c>
      <c r="D569" s="95" t="n">
        <v>13.8</v>
      </c>
      <c r="E569" s="95" t="n">
        <v>26.5</v>
      </c>
      <c r="F569" s="95" t="n">
        <v>93.8</v>
      </c>
      <c r="G569" s="95" t="n">
        <v>61.5</v>
      </c>
      <c r="H569" s="95" t="n">
        <v>11.1</v>
      </c>
      <c r="I569" s="95" t="n">
        <v>70.3</v>
      </c>
      <c r="J569" s="95" t="n">
        <v>41.9</v>
      </c>
      <c r="K569" s="96" t="inlineStr">
        <is>
          <t>6616 GLOBAL NEW MAT</t>
        </is>
      </c>
    </row>
    <row r="570">
      <c r="A570" s="16" t="inlineStr">
        <is>
          <t>YBN Investments</t>
        </is>
      </c>
      <c r="B570" s="89" t="n">
        <v>1</v>
      </c>
      <c r="C570" s="94" t="n">
        <v>100</v>
      </c>
      <c r="D570" s="95" t="n">
        <v>13.8</v>
      </c>
      <c r="E570" s="95" t="n">
        <v>26.5</v>
      </c>
      <c r="F570" s="95" t="n">
        <v>93.8</v>
      </c>
      <c r="G570" s="95" t="n">
        <v>61.5</v>
      </c>
      <c r="H570" s="95" t="n">
        <v>11.1</v>
      </c>
      <c r="I570" s="95" t="n">
        <v>70.3</v>
      </c>
      <c r="J570" s="95" t="n">
        <v>41.9</v>
      </c>
      <c r="K570" s="96" t="inlineStr">
        <is>
          <t>6616 GLOBAL NEW MAT</t>
        </is>
      </c>
    </row>
    <row r="571">
      <c r="A571" s="16" t="inlineStr">
        <is>
          <t>Aether Wave Fund L.P</t>
        </is>
      </c>
      <c r="B571" s="89" t="n">
        <v>1</v>
      </c>
      <c r="C571" s="94" t="n">
        <v>100</v>
      </c>
      <c r="D571" s="95" t="n">
        <v>13.5</v>
      </c>
      <c r="E571" s="95" t="n">
        <v>3.9</v>
      </c>
      <c r="F571" s="95" t="n">
        <v>7.5</v>
      </c>
      <c r="G571" s="95" t="n">
        <v>-14</v>
      </c>
      <c r="H571" s="95" t="n">
        <v>-8.4</v>
      </c>
      <c r="I571" s="95" t="n">
        <v>-5.2</v>
      </c>
      <c r="J571" s="95" t="n">
        <v>-24.2</v>
      </c>
      <c r="K571" s="96" t="inlineStr">
        <is>
          <t>3355 FS.COM</t>
        </is>
      </c>
    </row>
    <row r="572">
      <c r="A572" s="16" t="inlineStr">
        <is>
          <t>Great Holding Development Limited</t>
        </is>
      </c>
      <c r="B572" s="89" t="n">
        <v>1</v>
      </c>
      <c r="C572" s="94" t="n">
        <v>100</v>
      </c>
      <c r="D572" s="95" t="n">
        <v>13.5</v>
      </c>
      <c r="E572" s="95" t="n">
        <v>3.9</v>
      </c>
      <c r="F572" s="95" t="n">
        <v>7.5</v>
      </c>
      <c r="G572" s="95" t="n">
        <v>-14</v>
      </c>
      <c r="H572" s="95" t="n">
        <v>-8.4</v>
      </c>
      <c r="I572" s="95" t="n">
        <v>-5.2</v>
      </c>
      <c r="J572" s="95" t="n">
        <v>-24.2</v>
      </c>
      <c r="K572" s="96" t="inlineStr">
        <is>
          <t>3355 FS.COM</t>
        </is>
      </c>
    </row>
    <row r="573">
      <c r="A573" s="16" t="inlineStr">
        <is>
          <t>Wider Huge Group Limited</t>
        </is>
      </c>
      <c r="B573" s="89" t="n">
        <v>1</v>
      </c>
      <c r="C573" s="94" t="n">
        <v>100</v>
      </c>
      <c r="D573" s="95" t="n">
        <v>13.5</v>
      </c>
      <c r="E573" s="95" t="n">
        <v>3.9</v>
      </c>
      <c r="F573" s="95" t="n">
        <v>7.5</v>
      </c>
      <c r="G573" s="95" t="n">
        <v>-14</v>
      </c>
      <c r="H573" s="95" t="n">
        <v>-8.4</v>
      </c>
      <c r="I573" s="95" t="n">
        <v>-5.2</v>
      </c>
      <c r="J573" s="95" t="n">
        <v>-24.2</v>
      </c>
      <c r="K573" s="96" t="inlineStr">
        <is>
          <t>3355 FS.COM</t>
        </is>
      </c>
    </row>
    <row r="574">
      <c r="A574" s="16" t="inlineStr">
        <is>
          <t>Health Vision Hong Kong Limited</t>
        </is>
      </c>
      <c r="B574" s="89" t="n">
        <v>1</v>
      </c>
      <c r="C574" s="94" t="n">
        <v>100</v>
      </c>
      <c r="D574" s="95" t="n">
        <v>13.4</v>
      </c>
      <c r="E574" s="95" t="n">
        <v>-3.2</v>
      </c>
      <c r="F574" s="95" t="n">
        <v>9.1</v>
      </c>
      <c r="G574" s="95" t="n">
        <v>-54.5</v>
      </c>
      <c r="H574" s="95" t="n">
        <v>-14.6</v>
      </c>
      <c r="I574" s="95" t="n">
        <v>-3.8</v>
      </c>
      <c r="J574" s="95" t="n">
        <v>-59.9</v>
      </c>
      <c r="K574" s="96" t="inlineStr">
        <is>
          <t>2677 DISTINCT HEALTH</t>
        </is>
      </c>
    </row>
    <row r="575">
      <c r="A575" s="16" t="inlineStr">
        <is>
          <t>KingMed Diagnostics (Hong Kong) Limited (ਹᏨ᜕ (ಥ)ʮ̡</t>
        </is>
      </c>
      <c r="B575" s="89" t="n">
        <v>1</v>
      </c>
      <c r="C575" s="94" t="n">
        <v>100</v>
      </c>
      <c r="D575" s="95" t="n">
        <v>13.4</v>
      </c>
      <c r="E575" s="95" t="n">
        <v>-3.2</v>
      </c>
      <c r="F575" s="95" t="n">
        <v>9.1</v>
      </c>
      <c r="G575" s="95" t="n">
        <v>-54.5</v>
      </c>
      <c r="H575" s="95" t="n">
        <v>-14.6</v>
      </c>
      <c r="I575" s="95" t="n">
        <v>-3.8</v>
      </c>
      <c r="J575" s="95" t="n">
        <v>-59.9</v>
      </c>
      <c r="K575" s="96" t="inlineStr">
        <is>
          <t>2677 DISTINCT HEALTH</t>
        </is>
      </c>
    </row>
    <row r="576">
      <c r="A576" s="16" t="inlineStr">
        <is>
          <t>Mininglamp Technology</t>
        </is>
      </c>
      <c r="B576" s="89" t="n">
        <v>1</v>
      </c>
      <c r="C576" s="94" t="n">
        <v>100</v>
      </c>
      <c r="D576" s="95" t="n">
        <v>13.4</v>
      </c>
      <c r="E576" s="95" t="n">
        <v>-3.2</v>
      </c>
      <c r="F576" s="95" t="n">
        <v>9.1</v>
      </c>
      <c r="G576" s="95" t="n">
        <v>-54.5</v>
      </c>
      <c r="H576" s="95" t="n">
        <v>-14.6</v>
      </c>
      <c r="I576" s="95" t="n">
        <v>-3.8</v>
      </c>
      <c r="J576" s="95" t="n">
        <v>-59.9</v>
      </c>
      <c r="K576" s="96" t="inlineStr">
        <is>
          <t>2677 DISTINCT HEALTH</t>
        </is>
      </c>
    </row>
    <row r="577">
      <c r="A577" s="16" t="inlineStr">
        <is>
          <t>Awinic Technology Limited</t>
        </is>
      </c>
      <c r="B577" s="89" t="n">
        <v>1</v>
      </c>
      <c r="C577" s="94" t="n">
        <v>100</v>
      </c>
      <c r="D577" s="95" t="n">
        <v>13.3</v>
      </c>
      <c r="E577" s="95" t="n">
        <v>17.1</v>
      </c>
      <c r="F577" s="95" t="n">
        <v>52.2</v>
      </c>
      <c r="G577" s="95" t="n">
        <v>21.2</v>
      </c>
      <c r="H577" s="95" t="n">
        <v>3.4</v>
      </c>
      <c r="I577" s="95" t="n">
        <v>34.4</v>
      </c>
      <c r="J577" s="95" t="n">
        <v>7</v>
      </c>
      <c r="K577" s="96" t="inlineStr">
        <is>
          <t>3296 HUAQIN</t>
        </is>
      </c>
    </row>
    <row r="578">
      <c r="A578" s="16" t="inlineStr">
        <is>
          <t>Cloud Map Holdings Limited</t>
        </is>
      </c>
      <c r="B578" s="89" t="n">
        <v>1</v>
      </c>
      <c r="C578" s="94" t="n">
        <v>100</v>
      </c>
      <c r="D578" s="95" t="n">
        <v>13.3</v>
      </c>
      <c r="E578" s="95" t="n">
        <v>17.1</v>
      </c>
      <c r="F578" s="95" t="n">
        <v>52.2</v>
      </c>
      <c r="G578" s="95" t="n">
        <v>21.2</v>
      </c>
      <c r="H578" s="95" t="n">
        <v>3.4</v>
      </c>
      <c r="I578" s="95" t="n">
        <v>34.4</v>
      </c>
      <c r="J578" s="95" t="n">
        <v>7</v>
      </c>
      <c r="K578" s="96" t="inlineStr">
        <is>
          <t>3296 HUAQIN</t>
        </is>
      </c>
    </row>
    <row r="579">
      <c r="A579" s="16" t="inlineStr">
        <is>
          <t>Ingenic Semiconductor (HongKong) Group Limited</t>
        </is>
      </c>
      <c r="B579" s="89" t="n">
        <v>1</v>
      </c>
      <c r="C579" s="94" t="n">
        <v>100</v>
      </c>
      <c r="D579" s="95" t="n">
        <v>13.3</v>
      </c>
      <c r="E579" s="95" t="n">
        <v>17.1</v>
      </c>
      <c r="F579" s="95" t="n">
        <v>52.2</v>
      </c>
      <c r="G579" s="95" t="n">
        <v>21.2</v>
      </c>
      <c r="H579" s="95" t="n">
        <v>3.4</v>
      </c>
      <c r="I579" s="95" t="n">
        <v>34.4</v>
      </c>
      <c r="J579" s="95" t="n">
        <v>7</v>
      </c>
      <c r="K579" s="96" t="inlineStr">
        <is>
          <t>3296 HUAQIN</t>
        </is>
      </c>
    </row>
    <row r="580">
      <c r="A580" s="16" t="inlineStr">
        <is>
          <t>Ung Choi Kun</t>
        </is>
      </c>
      <c r="B580" s="89" t="n">
        <v>1</v>
      </c>
      <c r="C580" s="94" t="n">
        <v>100</v>
      </c>
      <c r="D580" s="95" t="n">
        <v>13</v>
      </c>
      <c r="E580" s="95" t="n">
        <v>13</v>
      </c>
      <c r="F580" s="95" t="n">
        <v>10.2</v>
      </c>
      <c r="G580" s="95" t="n">
        <v>-3.7</v>
      </c>
      <c r="H580" s="95" t="n">
        <v>0</v>
      </c>
      <c r="I580" s="95" t="n">
        <v>-2.5</v>
      </c>
      <c r="J580" s="95" t="n">
        <v>-14.8</v>
      </c>
      <c r="K580" s="96" t="inlineStr">
        <is>
          <t>1204 BOARDWARE INTEL</t>
        </is>
      </c>
    </row>
    <row r="581">
      <c r="A581" s="16" t="inlineStr">
        <is>
          <t>Corelink Group Limited</t>
        </is>
      </c>
      <c r="B581" s="89" t="n">
        <v>1</v>
      </c>
      <c r="C581" s="94" t="n">
        <v>100</v>
      </c>
      <c r="D581" s="95" t="n">
        <v>12</v>
      </c>
      <c r="E581" s="95" t="n">
        <v>1.6</v>
      </c>
      <c r="F581" s="95" t="n">
        <v>0.7</v>
      </c>
      <c r="G581" s="95" t="n">
        <v>20</v>
      </c>
      <c r="H581" s="95" t="n">
        <v>-9.300000000000001</v>
      </c>
      <c r="I581" s="95" t="n">
        <v>-10.1</v>
      </c>
      <c r="J581" s="95" t="n">
        <v>7.1</v>
      </c>
      <c r="K581" s="96" t="inlineStr">
        <is>
          <t>9860 ADICON HOLDINGS</t>
        </is>
      </c>
    </row>
    <row r="582">
      <c r="A582" s="16" t="inlineStr">
        <is>
          <t>MR Global (HK) Limited</t>
        </is>
      </c>
      <c r="B582" s="89" t="n">
        <v>1</v>
      </c>
      <c r="C582" s="94" t="n">
        <v>100</v>
      </c>
      <c r="D582" s="95" t="n">
        <v>12</v>
      </c>
      <c r="E582" s="95" t="n">
        <v>1.6</v>
      </c>
      <c r="F582" s="95" t="n">
        <v>0.7</v>
      </c>
      <c r="G582" s="95" t="n">
        <v>20</v>
      </c>
      <c r="H582" s="95" t="n">
        <v>-9.300000000000001</v>
      </c>
      <c r="I582" s="95" t="n">
        <v>-10.1</v>
      </c>
      <c r="J582" s="95" t="n">
        <v>7.1</v>
      </c>
      <c r="K582" s="96" t="inlineStr">
        <is>
          <t>9860 ADICON HOLDINGS</t>
        </is>
      </c>
    </row>
    <row r="583">
      <c r="A583" s="16" t="inlineStr">
        <is>
          <t>Snibe Diagnostic (Hong Kong) Company Limited</t>
        </is>
      </c>
      <c r="B583" s="89" t="n">
        <v>1</v>
      </c>
      <c r="C583" s="94" t="n">
        <v>100</v>
      </c>
      <c r="D583" s="95" t="n">
        <v>12</v>
      </c>
      <c r="E583" s="95" t="n">
        <v>1.6</v>
      </c>
      <c r="F583" s="95" t="n">
        <v>0.7</v>
      </c>
      <c r="G583" s="95" t="n">
        <v>20</v>
      </c>
      <c r="H583" s="95" t="n">
        <v>-9.300000000000001</v>
      </c>
      <c r="I583" s="95" t="n">
        <v>-10.1</v>
      </c>
      <c r="J583" s="95" t="n">
        <v>7.1</v>
      </c>
      <c r="K583" s="96" t="inlineStr">
        <is>
          <t>9860 ADICON HOLDINGS</t>
        </is>
      </c>
    </row>
    <row r="584">
      <c r="A584" s="16" t="inlineStr">
        <is>
          <t>Timestar Elite Limited</t>
        </is>
      </c>
      <c r="B584" s="89" t="n">
        <v>1</v>
      </c>
      <c r="C584" s="94" t="n">
        <v>100</v>
      </c>
      <c r="D584" s="95" t="n">
        <v>12</v>
      </c>
      <c r="E584" s="95" t="n">
        <v>1.6</v>
      </c>
      <c r="F584" s="95" t="n">
        <v>0.7</v>
      </c>
      <c r="G584" s="95" t="n">
        <v>20</v>
      </c>
      <c r="H584" s="95" t="n">
        <v>-9.300000000000001</v>
      </c>
      <c r="I584" s="95" t="n">
        <v>-10.1</v>
      </c>
      <c r="J584" s="95" t="n">
        <v>7.1</v>
      </c>
      <c r="K584" s="96" t="inlineStr">
        <is>
          <t>9860 ADICON HOLDINGS</t>
        </is>
      </c>
    </row>
    <row r="585">
      <c r="A585" s="16" t="inlineStr">
        <is>
          <t>Nice First Investments Limited</t>
        </is>
      </c>
      <c r="B585" s="89" t="n">
        <v>1</v>
      </c>
      <c r="C585" s="94" t="n">
        <v>100</v>
      </c>
      <c r="D585" s="95" t="n">
        <v>11.6</v>
      </c>
      <c r="E585" s="95" t="n">
        <v>27.2</v>
      </c>
      <c r="F585" s="95" t="n">
        <v>33.2</v>
      </c>
      <c r="G585" s="95" t="n">
        <v>43.8</v>
      </c>
      <c r="H585" s="95" t="n">
        <v>14</v>
      </c>
      <c r="I585" s="95" t="n">
        <v>19.4</v>
      </c>
      <c r="J585" s="95" t="n">
        <v>28.9</v>
      </c>
      <c r="K585" s="96" t="inlineStr">
        <is>
          <t>2768 GON TECHNOLOGY</t>
        </is>
      </c>
    </row>
    <row r="586">
      <c r="A586" s="16" t="inlineStr">
        <is>
          <t>Zhou Wanyuan</t>
        </is>
      </c>
      <c r="B586" s="89" t="n">
        <v>1</v>
      </c>
      <c r="C586" s="94" t="n">
        <v>100</v>
      </c>
      <c r="D586" s="95" t="n">
        <v>11.6</v>
      </c>
      <c r="E586" s="95" t="n">
        <v>27.2</v>
      </c>
      <c r="F586" s="95" t="n">
        <v>33.2</v>
      </c>
      <c r="G586" s="95" t="n">
        <v>43.8</v>
      </c>
      <c r="H586" s="95" t="n">
        <v>14</v>
      </c>
      <c r="I586" s="95" t="n">
        <v>19.4</v>
      </c>
      <c r="J586" s="95" t="n">
        <v>28.9</v>
      </c>
      <c r="K586" s="96" t="inlineStr">
        <is>
          <t>2768 GON TECHNOLOGY</t>
        </is>
      </c>
    </row>
    <row r="587">
      <c r="A587" s="16" t="inlineStr">
        <is>
          <t>CMBI (Singapore) Pte. Limited</t>
        </is>
      </c>
      <c r="B587" s="89" t="n">
        <v>1</v>
      </c>
      <c r="C587" s="94" t="n">
        <v>100</v>
      </c>
      <c r="D587" s="95" t="n">
        <v>11.6</v>
      </c>
      <c r="E587" s="95" t="n">
        <v>27.2</v>
      </c>
      <c r="F587" s="95" t="n">
        <v>33.2</v>
      </c>
      <c r="G587" s="95" t="n">
        <v>43.8</v>
      </c>
      <c r="H587" s="95" t="n">
        <v>14</v>
      </c>
      <c r="I587" s="95" t="n">
        <v>19.4</v>
      </c>
      <c r="J587" s="95" t="n">
        <v>28.9</v>
      </c>
      <c r="K587" s="96" t="inlineStr">
        <is>
          <t>2768 GON TECHNOLOGY</t>
        </is>
      </c>
    </row>
    <row r="588">
      <c r="A588" s="16" t="inlineStr">
        <is>
          <t>SLD International Enterprises Limited</t>
        </is>
      </c>
      <c r="B588" s="89" t="n">
        <v>1</v>
      </c>
      <c r="C588" s="94" t="n">
        <v>100</v>
      </c>
      <c r="D588" s="95" t="n">
        <v>11.6</v>
      </c>
      <c r="E588" s="95" t="n">
        <v>27.2</v>
      </c>
      <c r="F588" s="95" t="n">
        <v>33.2</v>
      </c>
      <c r="G588" s="95" t="n">
        <v>43.8</v>
      </c>
      <c r="H588" s="95" t="n">
        <v>14</v>
      </c>
      <c r="I588" s="95" t="n">
        <v>19.4</v>
      </c>
      <c r="J588" s="95" t="n">
        <v>28.9</v>
      </c>
      <c r="K588" s="96" t="inlineStr">
        <is>
          <t>2768 GON TECHNOLOGY</t>
        </is>
      </c>
    </row>
    <row r="589">
      <c r="A589" s="16" t="inlineStr">
        <is>
          <t>Cheng A International Co., Limited</t>
        </is>
      </c>
      <c r="B589" s="89" t="n">
        <v>1</v>
      </c>
      <c r="C589" s="94" t="n">
        <v>100</v>
      </c>
      <c r="D589" s="95" t="n">
        <v>11.6</v>
      </c>
      <c r="E589" s="95" t="n">
        <v>27.2</v>
      </c>
      <c r="F589" s="95" t="n">
        <v>33.2</v>
      </c>
      <c r="G589" s="95" t="n">
        <v>43.8</v>
      </c>
      <c r="H589" s="95" t="n">
        <v>14</v>
      </c>
      <c r="I589" s="95" t="n">
        <v>19.4</v>
      </c>
      <c r="J589" s="95" t="n">
        <v>28.9</v>
      </c>
      <c r="K589" s="96" t="inlineStr">
        <is>
          <t>2768 GON TECHNOLOGY</t>
        </is>
      </c>
    </row>
    <row r="590">
      <c r="A590" s="16" t="inlineStr">
        <is>
          <t>Luminous Horizon</t>
        </is>
      </c>
      <c r="B590" s="89" t="n">
        <v>1</v>
      </c>
      <c r="C590" s="94" t="n">
        <v>100</v>
      </c>
      <c r="D590" s="95" t="n">
        <v>11.6</v>
      </c>
      <c r="E590" s="95" t="n">
        <v>27.2</v>
      </c>
      <c r="F590" s="95" t="n">
        <v>33.2</v>
      </c>
      <c r="G590" s="95" t="n">
        <v>43.8</v>
      </c>
      <c r="H590" s="95" t="n">
        <v>14</v>
      </c>
      <c r="I590" s="95" t="n">
        <v>19.4</v>
      </c>
      <c r="J590" s="95" t="n">
        <v>28.9</v>
      </c>
      <c r="K590" s="96" t="inlineStr">
        <is>
          <t>2768 GON TECHNOLOGY</t>
        </is>
      </c>
    </row>
    <row r="591">
      <c r="A591" s="16" t="inlineStr">
        <is>
          <t>Guo Shaojun</t>
        </is>
      </c>
      <c r="B591" s="89" t="n">
        <v>1</v>
      </c>
      <c r="C591" s="94" t="n">
        <v>100</v>
      </c>
      <c r="D591" s="95" t="n">
        <v>11.1</v>
      </c>
      <c r="E591" s="95" t="n">
        <v>6.7</v>
      </c>
      <c r="F591" s="95" t="n">
        <v>-7.8</v>
      </c>
      <c r="G591" s="95" t="n">
        <v>-36.7</v>
      </c>
      <c r="H591" s="95" t="n">
        <v>-4</v>
      </c>
      <c r="I591" s="95" t="n">
        <v>-17</v>
      </c>
      <c r="J591" s="95" t="n">
        <v>-43</v>
      </c>
      <c r="K591" s="96" t="inlineStr">
        <is>
          <t>2516 FAR INTL</t>
        </is>
      </c>
    </row>
    <row r="592">
      <c r="A592" s="16" t="inlineStr">
        <is>
          <t>Liu Liyun</t>
        </is>
      </c>
      <c r="B592" s="89" t="n">
        <v>1</v>
      </c>
      <c r="C592" s="94" t="n">
        <v>100</v>
      </c>
      <c r="D592" s="95" t="n">
        <v>11.1</v>
      </c>
      <c r="E592" s="95" t="n">
        <v>6.7</v>
      </c>
      <c r="F592" s="95" t="n">
        <v>-7.8</v>
      </c>
      <c r="G592" s="95" t="n">
        <v>-36.7</v>
      </c>
      <c r="H592" s="95" t="n">
        <v>-4</v>
      </c>
      <c r="I592" s="95" t="n">
        <v>-17</v>
      </c>
      <c r="J592" s="95" t="n">
        <v>-43</v>
      </c>
      <c r="K592" s="96" t="inlineStr">
        <is>
          <t>2516 FAR INTL</t>
        </is>
      </c>
    </row>
    <row r="593">
      <c r="A593" s="16" t="inlineStr">
        <is>
          <t>Yang Yingwu</t>
        </is>
      </c>
      <c r="B593" s="89" t="n">
        <v>1</v>
      </c>
      <c r="C593" s="94" t="n">
        <v>100</v>
      </c>
      <c r="D593" s="95" t="n">
        <v>11.1</v>
      </c>
      <c r="E593" s="95" t="n">
        <v>6.7</v>
      </c>
      <c r="F593" s="95" t="n">
        <v>-7.8</v>
      </c>
      <c r="G593" s="95" t="n">
        <v>-36.7</v>
      </c>
      <c r="H593" s="95" t="n">
        <v>-4</v>
      </c>
      <c r="I593" s="95" t="n">
        <v>-17</v>
      </c>
      <c r="J593" s="95" t="n">
        <v>-43</v>
      </c>
      <c r="K593" s="96" t="inlineStr">
        <is>
          <t>2516 FAR INTL</t>
        </is>
      </c>
    </row>
    <row r="594">
      <c r="A594" s="16" t="inlineStr">
        <is>
          <t>Vital Message</t>
        </is>
      </c>
      <c r="B594" s="89" t="n">
        <v>1</v>
      </c>
      <c r="C594" s="94" t="n">
        <v>100</v>
      </c>
      <c r="D594" s="95" t="n">
        <v>10.4</v>
      </c>
      <c r="E594" s="95" t="n">
        <v>-24.3</v>
      </c>
      <c r="F594" s="95" t="n">
        <v>-45.1</v>
      </c>
      <c r="G594" s="95" t="n">
        <v>-54.9</v>
      </c>
      <c r="H594" s="95" t="n">
        <v>-31.4</v>
      </c>
      <c r="I594" s="95" t="n">
        <v>-50.2</v>
      </c>
      <c r="J594" s="95" t="n">
        <v>-59.2</v>
      </c>
      <c r="K594" s="96" t="inlineStr">
        <is>
          <t>2593 HERBS GROUP</t>
        </is>
      </c>
    </row>
    <row r="595">
      <c r="A595" s="16" t="inlineStr">
        <is>
          <t>Chu Kin Lan</t>
        </is>
      </c>
      <c r="B595" s="89" t="n">
        <v>1</v>
      </c>
      <c r="C595" s="94" t="n">
        <v>100</v>
      </c>
      <c r="D595" s="95" t="n">
        <v>10</v>
      </c>
      <c r="E595" s="95" t="n">
        <v>2</v>
      </c>
      <c r="F595" s="95" t="n">
        <v>8</v>
      </c>
      <c r="G595" s="95" t="n">
        <v>0</v>
      </c>
      <c r="H595" s="95" t="n">
        <v>-7.3</v>
      </c>
      <c r="I595" s="95" t="n">
        <v>-1.8</v>
      </c>
      <c r="J595" s="95" t="n">
        <v>-9.1</v>
      </c>
      <c r="K595" s="96" t="inlineStr">
        <is>
          <t>1489 GC CONSTRUCTION</t>
        </is>
      </c>
    </row>
    <row r="596">
      <c r="A596" s="16" t="inlineStr">
        <is>
          <t>Infinitus Wealth Limited</t>
        </is>
      </c>
      <c r="B596" s="89" t="n">
        <v>1</v>
      </c>
      <c r="C596" s="94" t="n">
        <v>100</v>
      </c>
      <c r="D596" s="95" t="n">
        <v>10</v>
      </c>
      <c r="E596" s="95" t="n">
        <v>2</v>
      </c>
      <c r="F596" s="95" t="n">
        <v>8</v>
      </c>
      <c r="G596" s="95" t="n">
        <v>0</v>
      </c>
      <c r="H596" s="95" t="n">
        <v>-7.3</v>
      </c>
      <c r="I596" s="95" t="n">
        <v>-1.8</v>
      </c>
      <c r="J596" s="95" t="n">
        <v>-9.1</v>
      </c>
      <c r="K596" s="96" t="inlineStr">
        <is>
          <t>1489 GC CONSTRUCTION</t>
        </is>
      </c>
    </row>
    <row r="597">
      <c r="A597" s="16" t="inlineStr">
        <is>
          <t>Grab Inc</t>
        </is>
      </c>
      <c r="B597" s="89" t="n">
        <v>1</v>
      </c>
      <c r="C597" s="94" t="n">
        <v>100</v>
      </c>
      <c r="D597" s="95" t="n">
        <v>10</v>
      </c>
      <c r="E597" s="95" t="n">
        <v>8.1</v>
      </c>
      <c r="F597" s="95" t="n">
        <v>-20.5</v>
      </c>
      <c r="G597" s="95" t="n">
        <v>-20.4</v>
      </c>
      <c r="H597" s="95" t="n">
        <v>-1.7</v>
      </c>
      <c r="I597" s="95" t="n">
        <v>-27.7</v>
      </c>
      <c r="J597" s="95" t="n">
        <v>-27.6</v>
      </c>
      <c r="K597" s="96" t="inlineStr">
        <is>
          <t>2525 HESAI-W</t>
        </is>
      </c>
    </row>
    <row r="598">
      <c r="A598" s="16" t="inlineStr">
        <is>
          <t>Commando Global Fund</t>
        </is>
      </c>
      <c r="B598" s="89" t="n">
        <v>1</v>
      </c>
      <c r="C598" s="94" t="n">
        <v>100</v>
      </c>
      <c r="D598" s="95" t="n">
        <v>10</v>
      </c>
      <c r="E598" s="95" t="n">
        <v>8.1</v>
      </c>
      <c r="F598" s="95" t="n">
        <v>-20.5</v>
      </c>
      <c r="G598" s="95" t="n">
        <v>-20.4</v>
      </c>
      <c r="H598" s="95" t="n">
        <v>-1.7</v>
      </c>
      <c r="I598" s="95" t="n">
        <v>-27.7</v>
      </c>
      <c r="J598" s="95" t="n">
        <v>-27.6</v>
      </c>
      <c r="K598" s="96" t="inlineStr">
        <is>
          <t>2525 HESAI-W</t>
        </is>
      </c>
    </row>
    <row r="599">
      <c r="A599" s="16" t="inlineStr">
        <is>
          <t>Regal Partners Holdings Pty Limited</t>
        </is>
      </c>
      <c r="B599" s="89" t="n">
        <v>1</v>
      </c>
      <c r="C599" s="94" t="n">
        <v>100</v>
      </c>
      <c r="D599" s="95" t="n">
        <v>10</v>
      </c>
      <c r="E599" s="95" t="n">
        <v>2.6</v>
      </c>
      <c r="F599" s="95" t="n">
        <v>-5.6</v>
      </c>
      <c r="G599" s="95" t="n"/>
      <c r="H599" s="95" t="n">
        <v>-6.7</v>
      </c>
      <c r="I599" s="95" t="n">
        <v>-14.2</v>
      </c>
      <c r="J599" s="95" t="n"/>
      <c r="K599" s="96" t="inlineStr">
        <is>
          <t>7687 EACON</t>
        </is>
      </c>
    </row>
    <row r="600">
      <c r="A600" s="16" t="inlineStr">
        <is>
          <t>ZIJINNING Limited Partnership</t>
        </is>
      </c>
      <c r="B600" s="89" t="n">
        <v>1</v>
      </c>
      <c r="C600" s="94" t="n">
        <v>100</v>
      </c>
      <c r="D600" s="95" t="n">
        <v>10</v>
      </c>
      <c r="E600" s="95" t="n">
        <v>2.6</v>
      </c>
      <c r="F600" s="95" t="n">
        <v>-5.6</v>
      </c>
      <c r="G600" s="95" t="n"/>
      <c r="H600" s="95" t="n">
        <v>-6.7</v>
      </c>
      <c r="I600" s="95" t="n">
        <v>-14.2</v>
      </c>
      <c r="J600" s="95" t="n"/>
      <c r="K600" s="96" t="inlineStr">
        <is>
          <t>7687 EACON</t>
        </is>
      </c>
    </row>
    <row r="601">
      <c r="A601" s="16" t="inlineStr">
        <is>
          <t>Ontario Teachers Pension Plan Board</t>
        </is>
      </c>
      <c r="B601" s="89" t="n">
        <v>1</v>
      </c>
      <c r="C601" s="94" t="n">
        <v>100</v>
      </c>
      <c r="D601" s="95" t="n">
        <v>9.9</v>
      </c>
      <c r="E601" s="95" t="n">
        <v>25.4</v>
      </c>
      <c r="F601" s="95" t="n">
        <v>25.1</v>
      </c>
      <c r="G601" s="95" t="n">
        <v>-17.4</v>
      </c>
      <c r="H601" s="95" t="n">
        <v>14.1</v>
      </c>
      <c r="I601" s="95" t="n">
        <v>13.9</v>
      </c>
      <c r="J601" s="95" t="n">
        <v>-24.9</v>
      </c>
      <c r="K601" s="96" t="inlineStr">
        <is>
          <t>9959 LINKLOGIS–W</t>
        </is>
      </c>
    </row>
    <row r="602">
      <c r="A602" s="16" t="inlineStr">
        <is>
          <t>Sequoia Funds</t>
        </is>
      </c>
      <c r="B602" s="89" t="n">
        <v>1</v>
      </c>
      <c r="C602" s="94" t="n">
        <v>100</v>
      </c>
      <c r="D602" s="95" t="n">
        <v>9.9</v>
      </c>
      <c r="E602" s="95" t="n">
        <v>25.4</v>
      </c>
      <c r="F602" s="95" t="n">
        <v>25.1</v>
      </c>
      <c r="G602" s="95" t="n">
        <v>-17.4</v>
      </c>
      <c r="H602" s="95" t="n">
        <v>14.1</v>
      </c>
      <c r="I602" s="95" t="n">
        <v>13.9</v>
      </c>
      <c r="J602" s="95" t="n">
        <v>-24.9</v>
      </c>
      <c r="K602" s="96" t="inlineStr">
        <is>
          <t>9959 LINKLOGIS–W</t>
        </is>
      </c>
    </row>
    <row r="603">
      <c r="A603" s="16" t="inlineStr">
        <is>
          <t>Begonia No. 1 LPF</t>
        </is>
      </c>
      <c r="B603" s="89" t="n">
        <v>1</v>
      </c>
      <c r="C603" s="94" t="n">
        <v>100</v>
      </c>
      <c r="D603" s="95" t="n">
        <v>9.800000000000001</v>
      </c>
      <c r="E603" s="95" t="n">
        <v>0.4</v>
      </c>
      <c r="F603" s="95" t="n">
        <v>9.800000000000001</v>
      </c>
      <c r="G603" s="95" t="n">
        <v>165.9</v>
      </c>
      <c r="H603" s="95" t="n">
        <v>-8.6</v>
      </c>
      <c r="I603" s="95" t="n">
        <v>0</v>
      </c>
      <c r="J603" s="95" t="n">
        <v>142.1</v>
      </c>
      <c r="K603" s="96" t="inlineStr">
        <is>
          <t>2228 QUANTUMPH-P</t>
        </is>
      </c>
    </row>
    <row r="604">
      <c r="A604" s="16" t="inlineStr">
        <is>
          <t>Biocytogen Pharmaceuticals (Beijing) Co., Ltd</t>
        </is>
      </c>
      <c r="B604" s="89" t="n">
        <v>1</v>
      </c>
      <c r="C604" s="94" t="n">
        <v>100</v>
      </c>
      <c r="D604" s="95" t="n">
        <v>9.800000000000001</v>
      </c>
      <c r="E604" s="95" t="n">
        <v>0.4</v>
      </c>
      <c r="F604" s="95" t="n">
        <v>9.800000000000001</v>
      </c>
      <c r="G604" s="95" t="n">
        <v>165.9</v>
      </c>
      <c r="H604" s="95" t="n">
        <v>-8.6</v>
      </c>
      <c r="I604" s="95" t="n">
        <v>0</v>
      </c>
      <c r="J604" s="95" t="n">
        <v>142.1</v>
      </c>
      <c r="K604" s="96" t="inlineStr">
        <is>
          <t>2228 QUANTUMPH-P</t>
        </is>
      </c>
    </row>
    <row r="605">
      <c r="A605" s="16" t="inlineStr">
        <is>
          <t>Bradley Lether Pentelute</t>
        </is>
      </c>
      <c r="B605" s="89" t="n">
        <v>1</v>
      </c>
      <c r="C605" s="94" t="n">
        <v>100</v>
      </c>
      <c r="D605" s="95" t="n">
        <v>9.800000000000001</v>
      </c>
      <c r="E605" s="95" t="n">
        <v>0.4</v>
      </c>
      <c r="F605" s="95" t="n">
        <v>9.800000000000001</v>
      </c>
      <c r="G605" s="95" t="n">
        <v>165.9</v>
      </c>
      <c r="H605" s="95" t="n">
        <v>-8.6</v>
      </c>
      <c r="I605" s="95" t="n">
        <v>0</v>
      </c>
      <c r="J605" s="95" t="n">
        <v>142.1</v>
      </c>
      <c r="K605" s="96" t="inlineStr">
        <is>
          <t>2228 QUANTUMPH-P</t>
        </is>
      </c>
    </row>
    <row r="606">
      <c r="A606" s="16" t="inlineStr">
        <is>
          <t>FaaS Capital Longevity Limited</t>
        </is>
      </c>
      <c r="B606" s="89" t="n">
        <v>1</v>
      </c>
      <c r="C606" s="94" t="n">
        <v>100</v>
      </c>
      <c r="D606" s="95" t="n">
        <v>9.800000000000001</v>
      </c>
      <c r="E606" s="95" t="n">
        <v>0.4</v>
      </c>
      <c r="F606" s="95" t="n">
        <v>9.800000000000001</v>
      </c>
      <c r="G606" s="95" t="n">
        <v>165.9</v>
      </c>
      <c r="H606" s="95" t="n">
        <v>-8.6</v>
      </c>
      <c r="I606" s="95" t="n">
        <v>0</v>
      </c>
      <c r="J606" s="95" t="n">
        <v>142.1</v>
      </c>
      <c r="K606" s="96" t="inlineStr">
        <is>
          <t>2228 QUANTUMPH-P</t>
        </is>
      </c>
    </row>
    <row r="607">
      <c r="A607" s="16" t="inlineStr">
        <is>
          <t>Ginkgo Capital Global Fund SPC-Ginkgo Capital Global Fund I SP</t>
        </is>
      </c>
      <c r="B607" s="89" t="n">
        <v>1</v>
      </c>
      <c r="C607" s="94" t="n">
        <v>100</v>
      </c>
      <c r="D607" s="95" t="n">
        <v>9.800000000000001</v>
      </c>
      <c r="E607" s="95" t="n">
        <v>0.4</v>
      </c>
      <c r="F607" s="95" t="n">
        <v>9.800000000000001</v>
      </c>
      <c r="G607" s="95" t="n">
        <v>165.9</v>
      </c>
      <c r="H607" s="95" t="n">
        <v>-8.6</v>
      </c>
      <c r="I607" s="95" t="n">
        <v>0</v>
      </c>
      <c r="J607" s="95" t="n">
        <v>142.1</v>
      </c>
      <c r="K607" s="96" t="inlineStr">
        <is>
          <t>2228 QUANTUMPH-P</t>
        </is>
      </c>
    </row>
    <row r="608">
      <c r="A608" s="16" t="inlineStr">
        <is>
          <t>IntelliMed One Investment Limited</t>
        </is>
      </c>
      <c r="B608" s="89" t="n">
        <v>1</v>
      </c>
      <c r="C608" s="94" t="n">
        <v>100</v>
      </c>
      <c r="D608" s="95" t="n">
        <v>9.800000000000001</v>
      </c>
      <c r="E608" s="95" t="n">
        <v>0.4</v>
      </c>
      <c r="F608" s="95" t="n">
        <v>9.800000000000001</v>
      </c>
      <c r="G608" s="95" t="n">
        <v>165.9</v>
      </c>
      <c r="H608" s="95" t="n">
        <v>-8.6</v>
      </c>
      <c r="I608" s="95" t="n">
        <v>0</v>
      </c>
      <c r="J608" s="95" t="n">
        <v>142.1</v>
      </c>
      <c r="K608" s="96" t="inlineStr">
        <is>
          <t>2228 QUANTUMPH-P</t>
        </is>
      </c>
    </row>
    <row r="609">
      <c r="A609" s="16" t="inlineStr">
        <is>
          <t>Mammoth Medical Solutions</t>
        </is>
      </c>
      <c r="B609" s="89" t="n">
        <v>1</v>
      </c>
      <c r="C609" s="94" t="n">
        <v>100</v>
      </c>
      <c r="D609" s="95" t="n">
        <v>9.800000000000001</v>
      </c>
      <c r="E609" s="95" t="n">
        <v>0.4</v>
      </c>
      <c r="F609" s="95" t="n">
        <v>9.800000000000001</v>
      </c>
      <c r="G609" s="95" t="n">
        <v>165.9</v>
      </c>
      <c r="H609" s="95" t="n">
        <v>-8.6</v>
      </c>
      <c r="I609" s="95" t="n">
        <v>0</v>
      </c>
      <c r="J609" s="95" t="n">
        <v>142.1</v>
      </c>
      <c r="K609" s="96" t="inlineStr">
        <is>
          <t>2228 QUANTUMPH-P</t>
        </is>
      </c>
    </row>
    <row r="610">
      <c r="A610" s="16" t="inlineStr">
        <is>
          <t>Successful Lotus Limited</t>
        </is>
      </c>
      <c r="B610" s="89" t="n">
        <v>1</v>
      </c>
      <c r="C610" s="94" t="n">
        <v>100</v>
      </c>
      <c r="D610" s="95" t="n">
        <v>9.800000000000001</v>
      </c>
      <c r="E610" s="95" t="n">
        <v>0.4</v>
      </c>
      <c r="F610" s="95" t="n">
        <v>9.800000000000001</v>
      </c>
      <c r="G610" s="95" t="n">
        <v>165.9</v>
      </c>
      <c r="H610" s="95" t="n">
        <v>-8.6</v>
      </c>
      <c r="I610" s="95" t="n">
        <v>0</v>
      </c>
      <c r="J610" s="95" t="n">
        <v>142.1</v>
      </c>
      <c r="K610" s="96" t="inlineStr">
        <is>
          <t>2228 QUANTUMPH-P</t>
        </is>
      </c>
    </row>
    <row r="611">
      <c r="A611" s="16" t="inlineStr">
        <is>
          <t>SynerSuccess Capital Ltd</t>
        </is>
      </c>
      <c r="B611" s="89" t="n">
        <v>1</v>
      </c>
      <c r="C611" s="94" t="n">
        <v>100</v>
      </c>
      <c r="D611" s="95" t="n">
        <v>9.300000000000001</v>
      </c>
      <c r="E611" s="95" t="n">
        <v>6.7</v>
      </c>
      <c r="F611" s="95" t="n">
        <v>3.6</v>
      </c>
      <c r="G611" s="95" t="n">
        <v>-18.3</v>
      </c>
      <c r="H611" s="95" t="n">
        <v>-2.4</v>
      </c>
      <c r="I611" s="95" t="n">
        <v>-5.2</v>
      </c>
      <c r="J611" s="95" t="n">
        <v>-25.2</v>
      </c>
      <c r="K611" s="96" t="inlineStr">
        <is>
          <t>2657 FOREST CABIN</t>
        </is>
      </c>
    </row>
    <row r="612">
      <c r="A612" s="16" t="inlineStr">
        <is>
          <t>SS Capital</t>
        </is>
      </c>
      <c r="B612" s="89" t="n">
        <v>1</v>
      </c>
      <c r="C612" s="94" t="n">
        <v>100</v>
      </c>
      <c r="D612" s="95" t="n">
        <v>9.300000000000001</v>
      </c>
      <c r="E612" s="95" t="n">
        <v>6.7</v>
      </c>
      <c r="F612" s="95" t="n">
        <v>3.6</v>
      </c>
      <c r="G612" s="95" t="n">
        <v>-18.3</v>
      </c>
      <c r="H612" s="95" t="n">
        <v>-2.4</v>
      </c>
      <c r="I612" s="95" t="n">
        <v>-5.2</v>
      </c>
      <c r="J612" s="95" t="n">
        <v>-25.2</v>
      </c>
      <c r="K612" s="96" t="inlineStr">
        <is>
          <t>2657 FOREST CABIN</t>
        </is>
      </c>
    </row>
    <row r="613">
      <c r="A613" s="16" t="inlineStr">
        <is>
          <t>Youngor Fashion –</t>
        </is>
      </c>
      <c r="B613" s="89" t="n">
        <v>1</v>
      </c>
      <c r="C613" s="94" t="n">
        <v>100</v>
      </c>
      <c r="D613" s="95" t="n">
        <v>9.300000000000001</v>
      </c>
      <c r="E613" s="95" t="n">
        <v>6.7</v>
      </c>
      <c r="F613" s="95" t="n">
        <v>3.6</v>
      </c>
      <c r="G613" s="95" t="n">
        <v>-18.3</v>
      </c>
      <c r="H613" s="95" t="n">
        <v>-2.4</v>
      </c>
      <c r="I613" s="95" t="n">
        <v>-5.2</v>
      </c>
      <c r="J613" s="95" t="n">
        <v>-25.2</v>
      </c>
      <c r="K613" s="96" t="inlineStr">
        <is>
          <t>2657 FOREST CABIN</t>
        </is>
      </c>
    </row>
    <row r="614">
      <c r="A614" s="16" t="inlineStr">
        <is>
          <t>Toutoushidao –</t>
        </is>
      </c>
      <c r="B614" s="89" t="n">
        <v>1</v>
      </c>
      <c r="C614" s="94" t="n">
        <v>100</v>
      </c>
      <c r="D614" s="95" t="n">
        <v>9.300000000000001</v>
      </c>
      <c r="E614" s="95" t="n">
        <v>6.7</v>
      </c>
      <c r="F614" s="95" t="n">
        <v>3.6</v>
      </c>
      <c r="G614" s="95" t="n">
        <v>-18.3</v>
      </c>
      <c r="H614" s="95" t="n">
        <v>-2.4</v>
      </c>
      <c r="I614" s="95" t="n">
        <v>-5.2</v>
      </c>
      <c r="J614" s="95" t="n">
        <v>-25.2</v>
      </c>
      <c r="K614" s="96" t="inlineStr">
        <is>
          <t>2657 FOREST CABIN</t>
        </is>
      </c>
    </row>
    <row r="615">
      <c r="A615" s="16" t="inlineStr">
        <is>
          <t>Olympic Country</t>
        </is>
      </c>
      <c r="B615" s="89" t="n">
        <v>1</v>
      </c>
      <c r="C615" s="94" t="n">
        <v>100</v>
      </c>
      <c r="D615" s="95" t="n">
        <v>9.1</v>
      </c>
      <c r="E615" s="95" t="n">
        <v>6.4</v>
      </c>
      <c r="F615" s="95" t="n">
        <v>16.1</v>
      </c>
      <c r="G615" s="95" t="n">
        <v>76.8</v>
      </c>
      <c r="H615" s="95" t="n">
        <v>-2.5</v>
      </c>
      <c r="I615" s="95" t="n">
        <v>6.3</v>
      </c>
      <c r="J615" s="95" t="n">
        <v>62</v>
      </c>
      <c r="K615" s="96" t="inlineStr">
        <is>
          <t>6613 LENS</t>
        </is>
      </c>
    </row>
    <row r="616">
      <c r="A616" s="16" t="inlineStr">
        <is>
          <t>CMB International Capital Limited</t>
        </is>
      </c>
      <c r="B616" s="89" t="n">
        <v>1</v>
      </c>
      <c r="C616" s="94" t="n">
        <v>100</v>
      </c>
      <c r="D616" s="95" t="n">
        <v>8.4</v>
      </c>
      <c r="E616" s="95" t="n">
        <v>21.7</v>
      </c>
      <c r="F616" s="95" t="n">
        <v>14.2</v>
      </c>
      <c r="G616" s="95" t="n">
        <v>156.6</v>
      </c>
      <c r="H616" s="95" t="n">
        <v>12.2</v>
      </c>
      <c r="I616" s="95" t="n">
        <v>5.4</v>
      </c>
      <c r="J616" s="95" t="n">
        <v>136.6</v>
      </c>
      <c r="K616" s="96" t="inlineStr">
        <is>
          <t>9903 ILUVATAR COREX</t>
        </is>
      </c>
    </row>
    <row r="617">
      <c r="A617" s="16" t="inlineStr">
        <is>
          <t>XN Mountain International Limited</t>
        </is>
      </c>
      <c r="B617" s="89" t="n">
        <v>1</v>
      </c>
      <c r="C617" s="94" t="n">
        <v>100</v>
      </c>
      <c r="D617" s="95" t="n">
        <v>8.4</v>
      </c>
      <c r="E617" s="95" t="n">
        <v>21.7</v>
      </c>
      <c r="F617" s="95" t="n">
        <v>14.2</v>
      </c>
      <c r="G617" s="95" t="n">
        <v>156.6</v>
      </c>
      <c r="H617" s="95" t="n">
        <v>12.2</v>
      </c>
      <c r="I617" s="95" t="n">
        <v>5.4</v>
      </c>
      <c r="J617" s="95" t="n">
        <v>136.6</v>
      </c>
      <c r="K617" s="96" t="inlineStr">
        <is>
          <t>9903 ILUVATAR COREX</t>
        </is>
      </c>
    </row>
    <row r="618">
      <c r="A618" s="16" t="inlineStr">
        <is>
          <t>Engine International Technology Co., Limited</t>
        </is>
      </c>
      <c r="B618" s="89" t="n">
        <v>1</v>
      </c>
      <c r="C618" s="94" t="n">
        <v>100</v>
      </c>
      <c r="D618" s="95" t="n">
        <v>8.4</v>
      </c>
      <c r="E618" s="95" t="n">
        <v>21.7</v>
      </c>
      <c r="F618" s="95" t="n">
        <v>14.2</v>
      </c>
      <c r="G618" s="95" t="n">
        <v>156.6</v>
      </c>
      <c r="H618" s="95" t="n">
        <v>12.2</v>
      </c>
      <c r="I618" s="95" t="n">
        <v>5.4</v>
      </c>
      <c r="J618" s="95" t="n">
        <v>136.6</v>
      </c>
      <c r="K618" s="96" t="inlineStr">
        <is>
          <t>9903 ILUVATAR COREX</t>
        </is>
      </c>
    </row>
    <row r="619">
      <c r="A619" s="16" t="inlineStr">
        <is>
          <t>DeepRoot Alpha Ltd</t>
        </is>
      </c>
      <c r="B619" s="89" t="n">
        <v>1</v>
      </c>
      <c r="C619" s="94" t="n">
        <v>100</v>
      </c>
      <c r="D619" s="95" t="n">
        <v>8.4</v>
      </c>
      <c r="E619" s="95" t="n">
        <v>21.7</v>
      </c>
      <c r="F619" s="95" t="n">
        <v>14.2</v>
      </c>
      <c r="G619" s="95" t="n">
        <v>156.6</v>
      </c>
      <c r="H619" s="95" t="n">
        <v>12.2</v>
      </c>
      <c r="I619" s="95" t="n">
        <v>5.4</v>
      </c>
      <c r="J619" s="95" t="n">
        <v>136.6</v>
      </c>
      <c r="K619" s="96" t="inlineStr">
        <is>
          <t>9903 ILUVATAR COREX</t>
        </is>
      </c>
    </row>
    <row r="620">
      <c r="A620" s="16" t="inlineStr">
        <is>
          <t>CFIG Holdings Limited</t>
        </is>
      </c>
      <c r="B620" s="89" t="n">
        <v>1</v>
      </c>
      <c r="C620" s="94" t="n">
        <v>100</v>
      </c>
      <c r="D620" s="95" t="n">
        <v>8.4</v>
      </c>
      <c r="E620" s="95" t="n">
        <v>21.7</v>
      </c>
      <c r="F620" s="95" t="n">
        <v>14.2</v>
      </c>
      <c r="G620" s="95" t="n">
        <v>156.6</v>
      </c>
      <c r="H620" s="95" t="n">
        <v>12.2</v>
      </c>
      <c r="I620" s="95" t="n">
        <v>5.4</v>
      </c>
      <c r="J620" s="95" t="n">
        <v>136.6</v>
      </c>
      <c r="K620" s="96" t="inlineStr">
        <is>
          <t>9903 ILUVATAR COREX</t>
        </is>
      </c>
    </row>
    <row r="621">
      <c r="A621" s="16" t="inlineStr">
        <is>
          <t>Richfirm (Hong Kong) Development Limited</t>
        </is>
      </c>
      <c r="B621" s="89" t="n">
        <v>1</v>
      </c>
      <c r="C621" s="94" t="n">
        <v>100</v>
      </c>
      <c r="D621" s="95" t="n">
        <v>8.199999999999999</v>
      </c>
      <c r="E621" s="95" t="n">
        <v>5.4</v>
      </c>
      <c r="F621" s="95" t="n">
        <v>16.2</v>
      </c>
      <c r="G621" s="95" t="n">
        <v>-9.1</v>
      </c>
      <c r="H621" s="95" t="n">
        <v>-2.6</v>
      </c>
      <c r="I621" s="95" t="n">
        <v>7.4</v>
      </c>
      <c r="J621" s="95" t="n">
        <v>-16</v>
      </c>
      <c r="K621" s="96" t="inlineStr">
        <is>
          <t>1021 HUAYAN ROBOTICS</t>
        </is>
      </c>
    </row>
    <row r="622">
      <c r="A622" s="16" t="inlineStr">
        <is>
          <t>Samson Group Limited</t>
        </is>
      </c>
      <c r="B622" s="89" t="n">
        <v>1</v>
      </c>
      <c r="C622" s="94" t="n">
        <v>100</v>
      </c>
      <c r="D622" s="95" t="n">
        <v>8.199999999999999</v>
      </c>
      <c r="E622" s="95" t="n">
        <v>5.4</v>
      </c>
      <c r="F622" s="95" t="n">
        <v>16.2</v>
      </c>
      <c r="G622" s="95" t="n">
        <v>-9.1</v>
      </c>
      <c r="H622" s="95" t="n">
        <v>-2.6</v>
      </c>
      <c r="I622" s="95" t="n">
        <v>7.4</v>
      </c>
      <c r="J622" s="95" t="n">
        <v>-16</v>
      </c>
      <c r="K622" s="96" t="inlineStr">
        <is>
          <t>1021 HUAYAN ROBOTICS</t>
        </is>
      </c>
    </row>
    <row r="623">
      <c r="A623" s="16" t="inlineStr">
        <is>
          <t>Shrewd Pioneer Limited</t>
        </is>
      </c>
      <c r="B623" s="89" t="n">
        <v>1</v>
      </c>
      <c r="C623" s="94" t="n">
        <v>100</v>
      </c>
      <c r="D623" s="95" t="n">
        <v>8.199999999999999</v>
      </c>
      <c r="E623" s="95" t="n">
        <v>5.4</v>
      </c>
      <c r="F623" s="95" t="n">
        <v>16.2</v>
      </c>
      <c r="G623" s="95" t="n">
        <v>-9.1</v>
      </c>
      <c r="H623" s="95" t="n">
        <v>-2.6</v>
      </c>
      <c r="I623" s="95" t="n">
        <v>7.4</v>
      </c>
      <c r="J623" s="95" t="n">
        <v>-16</v>
      </c>
      <c r="K623" s="96" t="inlineStr">
        <is>
          <t>1021 HUAYAN ROBOTICS</t>
        </is>
      </c>
    </row>
    <row r="624">
      <c r="A624" s="16" t="inlineStr">
        <is>
          <t>He Sheng Overseas Holdings Limited</t>
        </is>
      </c>
      <c r="B624" s="89" t="n">
        <v>1</v>
      </c>
      <c r="C624" s="94" t="n">
        <v>100</v>
      </c>
      <c r="D624" s="95" t="n">
        <v>8.1</v>
      </c>
      <c r="E624" s="95" t="n">
        <v>11.9</v>
      </c>
      <c r="F624" s="95" t="n">
        <v>8.9</v>
      </c>
      <c r="G624" s="95" t="n">
        <v>14.1</v>
      </c>
      <c r="H624" s="95" t="n">
        <v>3.5</v>
      </c>
      <c r="I624" s="95" t="n">
        <v>0.8</v>
      </c>
      <c r="J624" s="95" t="n">
        <v>5.5</v>
      </c>
      <c r="K624" s="96" t="inlineStr">
        <is>
          <t>0606 SCE CM</t>
        </is>
      </c>
    </row>
    <row r="625">
      <c r="A625" s="16" t="inlineStr">
        <is>
          <t>Lam Yuen Ying</t>
        </is>
      </c>
      <c r="B625" s="89" t="n">
        <v>1</v>
      </c>
      <c r="C625" s="94" t="n">
        <v>100</v>
      </c>
      <c r="D625" s="95" t="n">
        <v>8.1</v>
      </c>
      <c r="E625" s="95" t="n">
        <v>11.9</v>
      </c>
      <c r="F625" s="95" t="n">
        <v>8.9</v>
      </c>
      <c r="G625" s="95" t="n">
        <v>14.1</v>
      </c>
      <c r="H625" s="95" t="n">
        <v>3.5</v>
      </c>
      <c r="I625" s="95" t="n">
        <v>0.8</v>
      </c>
      <c r="J625" s="95" t="n">
        <v>5.5</v>
      </c>
      <c r="K625" s="96" t="inlineStr">
        <is>
          <t>0606 SCE CM</t>
        </is>
      </c>
    </row>
    <row r="626">
      <c r="A626" s="16" t="inlineStr">
        <is>
          <t>TX Capital Value Fund</t>
        </is>
      </c>
      <c r="B626" s="89" t="n">
        <v>1</v>
      </c>
      <c r="C626" s="94" t="n">
        <v>100</v>
      </c>
      <c r="D626" s="95" t="n">
        <v>8.1</v>
      </c>
      <c r="E626" s="95" t="n">
        <v>11.9</v>
      </c>
      <c r="F626" s="95" t="n">
        <v>8.9</v>
      </c>
      <c r="G626" s="95" t="n">
        <v>14.1</v>
      </c>
      <c r="H626" s="95" t="n">
        <v>3.5</v>
      </c>
      <c r="I626" s="95" t="n">
        <v>0.8</v>
      </c>
      <c r="J626" s="95" t="n">
        <v>5.5</v>
      </c>
      <c r="K626" s="96" t="inlineStr">
        <is>
          <t>0606 SCE CM</t>
        </is>
      </c>
    </row>
    <row r="627">
      <c r="A627" s="16" t="inlineStr">
        <is>
          <t>Splendor Achieve Limited</t>
        </is>
      </c>
      <c r="B627" s="89" t="n">
        <v>1</v>
      </c>
      <c r="C627" s="94" t="n">
        <v>100</v>
      </c>
      <c r="D627" s="95" t="n">
        <v>7.8</v>
      </c>
      <c r="E627" s="95" t="n">
        <v>29</v>
      </c>
      <c r="F627" s="95" t="n">
        <v>36.7</v>
      </c>
      <c r="G627" s="95" t="n">
        <v>39</v>
      </c>
      <c r="H627" s="95" t="n">
        <v>19.6</v>
      </c>
      <c r="I627" s="95" t="n">
        <v>26.7</v>
      </c>
      <c r="J627" s="95" t="n">
        <v>28.9</v>
      </c>
      <c r="K627" s="96" t="inlineStr">
        <is>
          <t>0300 MIDEA GROUP</t>
        </is>
      </c>
    </row>
    <row r="628">
      <c r="A628" s="16" t="inlineStr">
        <is>
          <t>Vanguard Focus Limited</t>
        </is>
      </c>
      <c r="B628" s="89" t="n">
        <v>1</v>
      </c>
      <c r="C628" s="94" t="n">
        <v>100</v>
      </c>
      <c r="D628" s="95" t="n">
        <v>7.8</v>
      </c>
      <c r="E628" s="95" t="n">
        <v>29</v>
      </c>
      <c r="F628" s="95" t="n">
        <v>36.7</v>
      </c>
      <c r="G628" s="95" t="n">
        <v>39</v>
      </c>
      <c r="H628" s="95" t="n">
        <v>19.6</v>
      </c>
      <c r="I628" s="95" t="n">
        <v>26.7</v>
      </c>
      <c r="J628" s="95" t="n">
        <v>28.9</v>
      </c>
      <c r="K628" s="96" t="inlineStr">
        <is>
          <t>0300 MIDEA GROUP</t>
        </is>
      </c>
    </row>
    <row r="629">
      <c r="A629" s="16" t="inlineStr">
        <is>
          <t>YHLO (Hong Kong) Limited</t>
        </is>
      </c>
      <c r="B629" s="89" t="n">
        <v>1</v>
      </c>
      <c r="C629" s="94" t="n">
        <v>100</v>
      </c>
      <c r="D629" s="95" t="n">
        <v>7.7</v>
      </c>
      <c r="E629" s="95" t="n">
        <v>15.3</v>
      </c>
      <c r="F629" s="95" t="n">
        <v>94.40000000000001</v>
      </c>
      <c r="G629" s="95" t="n">
        <v>129.4</v>
      </c>
      <c r="H629" s="95" t="n">
        <v>7.1</v>
      </c>
      <c r="I629" s="95" t="n">
        <v>80.5</v>
      </c>
      <c r="J629" s="95" t="n">
        <v>112.9</v>
      </c>
      <c r="K629" s="96" t="inlineStr">
        <is>
          <t>2325 YUNKANG GROUP</t>
        </is>
      </c>
    </row>
    <row r="630">
      <c r="A630" s="16" t="inlineStr">
        <is>
          <t>Cangzhou Chuangrong Equity Investment Fund Co., Ltd</t>
        </is>
      </c>
      <c r="B630" s="89" t="n">
        <v>1</v>
      </c>
      <c r="C630" s="94" t="n">
        <v>100</v>
      </c>
      <c r="D630" s="95" t="n">
        <v>7.7</v>
      </c>
      <c r="E630" s="95" t="n">
        <v>1.9</v>
      </c>
      <c r="F630" s="95" t="n">
        <v>5.2</v>
      </c>
      <c r="G630" s="95" t="n">
        <v>-50.6</v>
      </c>
      <c r="H630" s="95" t="n">
        <v>-5.3</v>
      </c>
      <c r="I630" s="95" t="n">
        <v>-2.3</v>
      </c>
      <c r="J630" s="95" t="n">
        <v>-54.1</v>
      </c>
      <c r="K630" s="96" t="inlineStr">
        <is>
          <t>2511 HIGHTIDE-B</t>
        </is>
      </c>
    </row>
    <row r="631">
      <c r="A631" s="16" t="inlineStr">
        <is>
          <t>No5XJR Limited</t>
        </is>
      </c>
      <c r="B631" s="89" t="n">
        <v>1</v>
      </c>
      <c r="C631" s="94" t="n">
        <v>100</v>
      </c>
      <c r="D631" s="95" t="n">
        <v>7.6</v>
      </c>
      <c r="E631" s="95" t="n">
        <v>-47.4</v>
      </c>
      <c r="F631" s="95" t="n">
        <v>-60</v>
      </c>
      <c r="G631" s="95" t="n">
        <v>-49.6</v>
      </c>
      <c r="H631" s="95" t="n">
        <v>-51.1</v>
      </c>
      <c r="I631" s="95" t="n">
        <v>-62.8</v>
      </c>
      <c r="J631" s="95" t="n">
        <v>-53.2</v>
      </c>
      <c r="K631" s="96" t="inlineStr">
        <is>
          <t>2898 SUNHO BIO-B</t>
        </is>
      </c>
    </row>
    <row r="632">
      <c r="A632" s="16" t="inlineStr">
        <is>
          <t>Tiny Jade</t>
        </is>
      </c>
      <c r="B632" s="89" t="n">
        <v>1</v>
      </c>
      <c r="C632" s="94" t="n">
        <v>100</v>
      </c>
      <c r="D632" s="95" t="n">
        <v>7.6</v>
      </c>
      <c r="E632" s="95" t="n">
        <v>4.2</v>
      </c>
      <c r="F632" s="95" t="n">
        <v>-29.6</v>
      </c>
      <c r="G632" s="95" t="n">
        <v>-42.2</v>
      </c>
      <c r="H632" s="95" t="n">
        <v>-3.1</v>
      </c>
      <c r="I632" s="95" t="n">
        <v>-34.6</v>
      </c>
      <c r="J632" s="95" t="n">
        <v>-46.3</v>
      </c>
      <c r="K632" s="96" t="inlineStr">
        <is>
          <t>2671 USAS BUILDING</t>
        </is>
      </c>
    </row>
    <row r="633">
      <c r="A633" s="16" t="inlineStr">
        <is>
          <t>Logic Selective</t>
        </is>
      </c>
      <c r="B633" s="89" t="n">
        <v>1</v>
      </c>
      <c r="C633" s="94" t="n">
        <v>100</v>
      </c>
      <c r="D633" s="95" t="n">
        <v>7.6</v>
      </c>
      <c r="E633" s="95" t="n">
        <v>4.2</v>
      </c>
      <c r="F633" s="95" t="n">
        <v>-29.6</v>
      </c>
      <c r="G633" s="95" t="n">
        <v>-42.2</v>
      </c>
      <c r="H633" s="95" t="n">
        <v>-3.1</v>
      </c>
      <c r="I633" s="95" t="n">
        <v>-34.6</v>
      </c>
      <c r="J633" s="95" t="n">
        <v>-46.3</v>
      </c>
      <c r="K633" s="96" t="inlineStr">
        <is>
          <t>2671 USAS BUILDING</t>
        </is>
      </c>
    </row>
    <row r="634">
      <c r="A634" s="16" t="inlineStr">
        <is>
          <t>Swift Grace</t>
        </is>
      </c>
      <c r="B634" s="89" t="n">
        <v>1</v>
      </c>
      <c r="C634" s="94" t="n">
        <v>100</v>
      </c>
      <c r="D634" s="95" t="n">
        <v>7.5</v>
      </c>
      <c r="E634" s="95" t="n">
        <v>-3.3</v>
      </c>
      <c r="F634" s="95" t="n">
        <v>13.5</v>
      </c>
      <c r="G634" s="95" t="n">
        <v>48.7</v>
      </c>
      <c r="H634" s="95" t="n">
        <v>-10.1</v>
      </c>
      <c r="I634" s="95" t="n">
        <v>5.6</v>
      </c>
      <c r="J634" s="95" t="n">
        <v>38.3</v>
      </c>
      <c r="K634" s="96" t="inlineStr">
        <is>
          <t>2585 MOKINGRAN</t>
        </is>
      </c>
    </row>
    <row r="635">
      <c r="A635" s="16" t="inlineStr">
        <is>
          <t>C-MER Eye Care Holdings Limited</t>
        </is>
      </c>
      <c r="B635" s="89" t="n">
        <v>1</v>
      </c>
      <c r="C635" s="94" t="n">
        <v>100</v>
      </c>
      <c r="D635" s="95" t="n">
        <v>7.3</v>
      </c>
      <c r="E635" s="95" t="n">
        <v>106.5</v>
      </c>
      <c r="F635" s="95" t="n">
        <v>64.2</v>
      </c>
      <c r="G635" s="95" t="n">
        <v>59</v>
      </c>
      <c r="H635" s="95" t="n">
        <v>92.5</v>
      </c>
      <c r="I635" s="95" t="n">
        <v>53</v>
      </c>
      <c r="J635" s="95" t="n">
        <v>48.2</v>
      </c>
      <c r="K635" s="96" t="inlineStr">
        <is>
          <t>0020 SENSETIME-W</t>
        </is>
      </c>
    </row>
    <row r="636">
      <c r="A636" s="16" t="inlineStr">
        <is>
          <t>Guosheng Overseas Holdings (Hong Kong) Limited</t>
        </is>
      </c>
      <c r="B636" s="89" t="n">
        <v>1</v>
      </c>
      <c r="C636" s="94" t="n">
        <v>100</v>
      </c>
      <c r="D636" s="95" t="n">
        <v>7.3</v>
      </c>
      <c r="E636" s="95" t="n">
        <v>106.5</v>
      </c>
      <c r="F636" s="95" t="n">
        <v>64.2</v>
      </c>
      <c r="G636" s="95" t="n">
        <v>59</v>
      </c>
      <c r="H636" s="95" t="n">
        <v>92.5</v>
      </c>
      <c r="I636" s="95" t="n">
        <v>53</v>
      </c>
      <c r="J636" s="95" t="n">
        <v>48.2</v>
      </c>
      <c r="K636" s="96" t="inlineStr">
        <is>
          <t>0020 SENSETIME-W</t>
        </is>
      </c>
    </row>
    <row r="637">
      <c r="A637" s="16" t="inlineStr">
        <is>
          <t>HKSTP Venture Fund</t>
        </is>
      </c>
      <c r="B637" s="89" t="n">
        <v>1</v>
      </c>
      <c r="C637" s="94" t="n">
        <v>100</v>
      </c>
      <c r="D637" s="95" t="n">
        <v>7.3</v>
      </c>
      <c r="E637" s="95" t="n">
        <v>106.5</v>
      </c>
      <c r="F637" s="95" t="n">
        <v>64.2</v>
      </c>
      <c r="G637" s="95" t="n">
        <v>59</v>
      </c>
      <c r="H637" s="95" t="n">
        <v>92.5</v>
      </c>
      <c r="I637" s="95" t="n">
        <v>53</v>
      </c>
      <c r="J637" s="95" t="n">
        <v>48.2</v>
      </c>
      <c r="K637" s="96" t="inlineStr">
        <is>
          <t>0020 SENSETIME-W</t>
        </is>
      </c>
    </row>
    <row r="638">
      <c r="A638" s="16" t="inlineStr">
        <is>
          <t>SAIC Motor HK Investment Limited</t>
        </is>
      </c>
      <c r="B638" s="89" t="n">
        <v>1</v>
      </c>
      <c r="C638" s="94" t="n">
        <v>100</v>
      </c>
      <c r="D638" s="95" t="n">
        <v>7.3</v>
      </c>
      <c r="E638" s="95" t="n">
        <v>106.5</v>
      </c>
      <c r="F638" s="95" t="n">
        <v>64.2</v>
      </c>
      <c r="G638" s="95" t="n">
        <v>59</v>
      </c>
      <c r="H638" s="95" t="n">
        <v>92.5</v>
      </c>
      <c r="I638" s="95" t="n">
        <v>53</v>
      </c>
      <c r="J638" s="95" t="n">
        <v>48.2</v>
      </c>
      <c r="K638" s="96" t="inlineStr">
        <is>
          <t>0020 SENSETIME-W</t>
        </is>
      </c>
    </row>
    <row r="639">
      <c r="A639" s="16" t="inlineStr">
        <is>
          <t>Shanghai Xuhui Capital Investment Co., Ltd</t>
        </is>
      </c>
      <c r="B639" s="89" t="n">
        <v>1</v>
      </c>
      <c r="C639" s="94" t="n">
        <v>100</v>
      </c>
      <c r="D639" s="95" t="n">
        <v>7.3</v>
      </c>
      <c r="E639" s="95" t="n">
        <v>106.5</v>
      </c>
      <c r="F639" s="95" t="n">
        <v>64.2</v>
      </c>
      <c r="G639" s="95" t="n">
        <v>59</v>
      </c>
      <c r="H639" s="95" t="n">
        <v>92.5</v>
      </c>
      <c r="I639" s="95" t="n">
        <v>53</v>
      </c>
      <c r="J639" s="95" t="n">
        <v>48.2</v>
      </c>
      <c r="K639" s="96" t="inlineStr">
        <is>
          <t>0020 SENSETIME-W</t>
        </is>
      </c>
    </row>
    <row r="640">
      <c r="A640" s="16" t="inlineStr">
        <is>
          <t>Taizhou Culture &amp; Tourism Development Group Ltd</t>
        </is>
      </c>
      <c r="B640" s="89" t="n">
        <v>1</v>
      </c>
      <c r="C640" s="94" t="n">
        <v>100</v>
      </c>
      <c r="D640" s="95" t="n">
        <v>7.3</v>
      </c>
      <c r="E640" s="95" t="n">
        <v>106.5</v>
      </c>
      <c r="F640" s="95" t="n">
        <v>64.2</v>
      </c>
      <c r="G640" s="95" t="n">
        <v>59</v>
      </c>
      <c r="H640" s="95" t="n">
        <v>92.5</v>
      </c>
      <c r="I640" s="95" t="n">
        <v>53</v>
      </c>
      <c r="J640" s="95" t="n">
        <v>48.2</v>
      </c>
      <c r="K640" s="96" t="inlineStr">
        <is>
          <t>0020 SENSETIME-W</t>
        </is>
      </c>
    </row>
    <row r="641">
      <c r="A641" s="16" t="inlineStr">
        <is>
          <t>HONG KONG BAIJIADA NEW MATERIAL LIMITED</t>
        </is>
      </c>
      <c r="B641" s="89" t="n">
        <v>1</v>
      </c>
      <c r="C641" s="94" t="n">
        <v>100</v>
      </c>
      <c r="D641" s="95" t="n">
        <v>7.1</v>
      </c>
      <c r="E641" s="95" t="n">
        <v>1.1</v>
      </c>
      <c r="F641" s="95" t="n">
        <v>0.7</v>
      </c>
      <c r="G641" s="95" t="n">
        <v>5.5</v>
      </c>
      <c r="H641" s="95" t="n">
        <v>-5.7</v>
      </c>
      <c r="I641" s="95" t="n">
        <v>-6</v>
      </c>
      <c r="J641" s="95" t="n">
        <v>-1.5</v>
      </c>
      <c r="K641" s="96" t="inlineStr">
        <is>
          <t>2411 PAGODA GP</t>
        </is>
      </c>
    </row>
    <row r="642">
      <c r="A642" s="16" t="inlineStr">
        <is>
          <t>Nantong Douson Drilling and Production Equipment Co., Ltd</t>
        </is>
      </c>
      <c r="B642" s="89" t="n">
        <v>1</v>
      </c>
      <c r="C642" s="94" t="n">
        <v>100</v>
      </c>
      <c r="D642" s="95" t="n">
        <v>7.1</v>
      </c>
      <c r="E642" s="95" t="n">
        <v>1.1</v>
      </c>
      <c r="F642" s="95" t="n">
        <v>0.7</v>
      </c>
      <c r="G642" s="95" t="n">
        <v>5.5</v>
      </c>
      <c r="H642" s="95" t="n">
        <v>-5.7</v>
      </c>
      <c r="I642" s="95" t="n">
        <v>-6</v>
      </c>
      <c r="J642" s="95" t="n">
        <v>-1.5</v>
      </c>
      <c r="K642" s="96" t="inlineStr">
        <is>
          <t>2411 PAGODA GP</t>
        </is>
      </c>
    </row>
    <row r="643">
      <c r="A643" s="16" t="inlineStr">
        <is>
          <t>Yip Wing Kui</t>
        </is>
      </c>
      <c r="B643" s="89" t="n">
        <v>1</v>
      </c>
      <c r="C643" s="94" t="n">
        <v>100</v>
      </c>
      <c r="D643" s="95" t="n">
        <v>7.1</v>
      </c>
      <c r="E643" s="95" t="n">
        <v>1.1</v>
      </c>
      <c r="F643" s="95" t="n">
        <v>0.7</v>
      </c>
      <c r="G643" s="95" t="n">
        <v>5.5</v>
      </c>
      <c r="H643" s="95" t="n">
        <v>-5.7</v>
      </c>
      <c r="I643" s="95" t="n">
        <v>-6</v>
      </c>
      <c r="J643" s="95" t="n">
        <v>-1.5</v>
      </c>
      <c r="K643" s="96" t="inlineStr">
        <is>
          <t>2411 PAGODA GP</t>
        </is>
      </c>
    </row>
    <row r="644">
      <c r="A644" s="16" t="inlineStr">
        <is>
          <t>H&amp;T Intelligent Control International Co., Limited</t>
        </is>
      </c>
      <c r="B644" s="89" t="n">
        <v>1</v>
      </c>
      <c r="C644" s="94" t="n">
        <v>100</v>
      </c>
      <c r="D644" s="95" t="n">
        <v>6.4</v>
      </c>
      <c r="E644" s="95" t="n">
        <v>2.3</v>
      </c>
      <c r="F644" s="95" t="n">
        <v>42.3</v>
      </c>
      <c r="G644" s="95" t="n">
        <v>23.2</v>
      </c>
      <c r="H644" s="95" t="n">
        <v>-3.8</v>
      </c>
      <c r="I644" s="95" t="n">
        <v>33.7</v>
      </c>
      <c r="J644" s="95" t="n">
        <v>15.8</v>
      </c>
      <c r="K644" s="96" t="inlineStr">
        <is>
          <t>2631 SICC</t>
        </is>
      </c>
    </row>
    <row r="645">
      <c r="A645" s="16" t="inlineStr">
        <is>
          <t>Mr. Lan Kun ( ᚆտ)</t>
        </is>
      </c>
      <c r="B645" s="89" t="n">
        <v>1</v>
      </c>
      <c r="C645" s="94" t="n">
        <v>100</v>
      </c>
      <c r="D645" s="95" t="n">
        <v>6.4</v>
      </c>
      <c r="E645" s="95" t="n">
        <v>2.3</v>
      </c>
      <c r="F645" s="95" t="n">
        <v>42.3</v>
      </c>
      <c r="G645" s="95" t="n">
        <v>23.2</v>
      </c>
      <c r="H645" s="95" t="n">
        <v>-3.8</v>
      </c>
      <c r="I645" s="95" t="n">
        <v>33.7</v>
      </c>
      <c r="J645" s="95" t="n">
        <v>15.8</v>
      </c>
      <c r="K645" s="96" t="inlineStr">
        <is>
          <t>2631 SICC</t>
        </is>
      </c>
    </row>
    <row r="646">
      <c r="A646" s="16" t="inlineStr">
        <is>
          <t>Mr. Tiago Braz</t>
        </is>
      </c>
      <c r="B646" s="89" t="n">
        <v>1</v>
      </c>
      <c r="C646" s="94" t="n">
        <v>100</v>
      </c>
      <c r="D646" s="95" t="n">
        <v>6.3</v>
      </c>
      <c r="E646" s="95" t="n">
        <v>-5.7</v>
      </c>
      <c r="F646" s="95" t="n">
        <v>-4.1</v>
      </c>
      <c r="G646" s="95" t="n">
        <v>-8.699999999999999</v>
      </c>
      <c r="H646" s="95" t="n">
        <v>-11.2</v>
      </c>
      <c r="I646" s="95" t="n">
        <v>-9.800000000000001</v>
      </c>
      <c r="J646" s="95" t="n">
        <v>-14.1</v>
      </c>
      <c r="K646" s="96" t="inlineStr">
        <is>
          <t>2613 CONTIOCEAN</t>
        </is>
      </c>
    </row>
    <row r="647">
      <c r="A647" s="16" t="inlineStr">
        <is>
          <t>Yorkool International Limited</t>
        </is>
      </c>
      <c r="B647" s="89" t="n">
        <v>1</v>
      </c>
      <c r="C647" s="94" t="n">
        <v>100</v>
      </c>
      <c r="D647" s="95" t="n">
        <v>6</v>
      </c>
      <c r="E647" s="95" t="n">
        <v>34</v>
      </c>
      <c r="F647" s="95" t="n">
        <v>24.2</v>
      </c>
      <c r="G647" s="95" t="n">
        <v>9.9</v>
      </c>
      <c r="H647" s="95" t="n">
        <v>26.4</v>
      </c>
      <c r="I647" s="95" t="n">
        <v>17.1</v>
      </c>
      <c r="J647" s="95" t="n">
        <v>3.7</v>
      </c>
      <c r="K647" s="96" t="inlineStr">
        <is>
          <t>2252 MEDBOT-B</t>
        </is>
      </c>
    </row>
    <row r="648">
      <c r="A648" s="16" t="inlineStr">
        <is>
          <t>CS Logistics Holdings Ltd</t>
        </is>
      </c>
      <c r="B648" s="89" t="n">
        <v>1</v>
      </c>
      <c r="C648" s="94" t="n">
        <v>100</v>
      </c>
      <c r="D648" s="95" t="n">
        <v>5.5</v>
      </c>
      <c r="E648" s="95" t="n">
        <v>-7.6</v>
      </c>
      <c r="F648" s="95" t="n">
        <v>-20.1</v>
      </c>
      <c r="G648" s="95" t="n">
        <v>-56.1</v>
      </c>
      <c r="H648" s="95" t="n">
        <v>-12.4</v>
      </c>
      <c r="I648" s="95" t="n">
        <v>-24.3</v>
      </c>
      <c r="J648" s="95" t="n">
        <v>-58.4</v>
      </c>
      <c r="K648" s="96" t="inlineStr">
        <is>
          <t>2209 YESASIA HLDGS</t>
        </is>
      </c>
    </row>
    <row r="649">
      <c r="A649" s="16" t="inlineStr">
        <is>
          <t>De Well Group Singapore Pte. Ltd</t>
        </is>
      </c>
      <c r="B649" s="89" t="n">
        <v>1</v>
      </c>
      <c r="C649" s="94" t="n">
        <v>100</v>
      </c>
      <c r="D649" s="95" t="n">
        <v>5.5</v>
      </c>
      <c r="E649" s="95" t="n">
        <v>-16.4</v>
      </c>
      <c r="F649" s="95" t="n">
        <v>-20.9</v>
      </c>
      <c r="G649" s="95" t="n">
        <v>-33.8</v>
      </c>
      <c r="H649" s="95" t="n">
        <v>-20.8</v>
      </c>
      <c r="I649" s="95" t="n">
        <v>-25</v>
      </c>
      <c r="J649" s="95" t="n">
        <v>-37.3</v>
      </c>
      <c r="K649" s="96" t="inlineStr">
        <is>
          <t>2420 ZIBUYU</t>
        </is>
      </c>
    </row>
    <row r="650">
      <c r="A650" s="16" t="inlineStr">
        <is>
          <t>Castrol Holdings International Limited</t>
        </is>
      </c>
      <c r="B650" s="89" t="n">
        <v>1</v>
      </c>
      <c r="C650" s="94" t="n">
        <v>100</v>
      </c>
      <c r="D650" s="95" t="n">
        <v>5.4</v>
      </c>
      <c r="E650" s="95" t="n">
        <v>2.5</v>
      </c>
      <c r="F650" s="95" t="n">
        <v>25.7</v>
      </c>
      <c r="G650" s="95" t="n">
        <v>7</v>
      </c>
      <c r="H650" s="95" t="n">
        <v>-2.7</v>
      </c>
      <c r="I650" s="95" t="n">
        <v>19.3</v>
      </c>
      <c r="J650" s="95" t="n">
        <v>1.5</v>
      </c>
      <c r="K650" s="96" t="inlineStr">
        <is>
          <t>9690 TUHU-W</t>
        </is>
      </c>
    </row>
    <row r="651">
      <c r="A651" s="16" t="inlineStr">
        <is>
          <t>Image Frame Investment (HK) Limited</t>
        </is>
      </c>
      <c r="B651" s="89" t="n">
        <v>1</v>
      </c>
      <c r="C651" s="94" t="n">
        <v>100</v>
      </c>
      <c r="D651" s="95" t="n">
        <v>5.4</v>
      </c>
      <c r="E651" s="95" t="n">
        <v>2.5</v>
      </c>
      <c r="F651" s="95" t="n">
        <v>25.7</v>
      </c>
      <c r="G651" s="95" t="n">
        <v>7</v>
      </c>
      <c r="H651" s="95" t="n">
        <v>-2.7</v>
      </c>
      <c r="I651" s="95" t="n">
        <v>19.3</v>
      </c>
      <c r="J651" s="95" t="n">
        <v>1.5</v>
      </c>
      <c r="K651" s="96" t="inlineStr">
        <is>
          <t>9690 TUHU-W</t>
        </is>
      </c>
    </row>
    <row r="652">
      <c r="A652" s="16" t="inlineStr">
        <is>
          <t>Shanghai Zizhu High-tech Zone (Group) Co., Ltd</t>
        </is>
      </c>
      <c r="B652" s="89" t="n">
        <v>1</v>
      </c>
      <c r="C652" s="94" t="n">
        <v>100</v>
      </c>
      <c r="D652" s="95" t="n">
        <v>5.4</v>
      </c>
      <c r="E652" s="95" t="n">
        <v>2.5</v>
      </c>
      <c r="F652" s="95" t="n">
        <v>25.7</v>
      </c>
      <c r="G652" s="95" t="n">
        <v>7</v>
      </c>
      <c r="H652" s="95" t="n">
        <v>-2.7</v>
      </c>
      <c r="I652" s="95" t="n">
        <v>19.3</v>
      </c>
      <c r="J652" s="95" t="n">
        <v>1.5</v>
      </c>
      <c r="K652" s="96" t="inlineStr">
        <is>
          <t>9690 TUHU-W</t>
        </is>
      </c>
    </row>
    <row r="653">
      <c r="A653" s="16" t="inlineStr">
        <is>
          <t>Accelerator VI Ltd</t>
        </is>
      </c>
      <c r="B653" s="89" t="n">
        <v>1</v>
      </c>
      <c r="C653" s="94" t="n">
        <v>100</v>
      </c>
      <c r="D653" s="95" t="n">
        <v>5.4</v>
      </c>
      <c r="E653" s="95" t="n">
        <v>12.6</v>
      </c>
      <c r="F653" s="95" t="n">
        <v>9.9</v>
      </c>
      <c r="G653" s="95" t="n">
        <v>92.5</v>
      </c>
      <c r="H653" s="95" t="n">
        <v>6.9</v>
      </c>
      <c r="I653" s="95" t="n">
        <v>4.3</v>
      </c>
      <c r="J653" s="95" t="n">
        <v>82.7</v>
      </c>
      <c r="K653" s="96" t="inlineStr">
        <is>
          <t>2590 GEEKPLUS-W</t>
        </is>
      </c>
    </row>
    <row r="654">
      <c r="A654" s="16" t="inlineStr">
        <is>
          <t>Primus Cabibbo Limited</t>
        </is>
      </c>
      <c r="B654" s="89" t="n">
        <v>1</v>
      </c>
      <c r="C654" s="94" t="n">
        <v>100</v>
      </c>
      <c r="D654" s="95" t="n">
        <v>5.4</v>
      </c>
      <c r="E654" s="95" t="n">
        <v>12.6</v>
      </c>
      <c r="F654" s="95" t="n">
        <v>9.9</v>
      </c>
      <c r="G654" s="95" t="n">
        <v>92.5</v>
      </c>
      <c r="H654" s="95" t="n">
        <v>6.9</v>
      </c>
      <c r="I654" s="95" t="n">
        <v>4.3</v>
      </c>
      <c r="J654" s="95" t="n">
        <v>82.7</v>
      </c>
      <c r="K654" s="96" t="inlineStr">
        <is>
          <t>2590 GEEKPLUS-W</t>
        </is>
      </c>
    </row>
    <row r="655">
      <c r="A655" s="16" t="inlineStr">
        <is>
          <t>NCC China A-Share Master Fund</t>
        </is>
      </c>
      <c r="B655" s="89" t="n">
        <v>1</v>
      </c>
      <c r="C655" s="94" t="n">
        <v>100</v>
      </c>
      <c r="D655" s="95" t="n">
        <v>5.1</v>
      </c>
      <c r="E655" s="95" t="n">
        <v>1.1</v>
      </c>
      <c r="F655" s="95" t="n">
        <v>-17.3</v>
      </c>
      <c r="G655" s="95" t="n">
        <v>-38.1</v>
      </c>
      <c r="H655" s="95" t="n">
        <v>-3.7</v>
      </c>
      <c r="I655" s="95" t="n">
        <v>-21.3</v>
      </c>
      <c r="J655" s="95" t="n">
        <v>-41.1</v>
      </c>
      <c r="K655" s="96" t="inlineStr">
        <is>
          <t>2279 YONGHE MEDICAL</t>
        </is>
      </c>
    </row>
    <row r="656">
      <c r="A656" s="16" t="inlineStr">
        <is>
          <t>Xunyi Limited</t>
        </is>
      </c>
      <c r="B656" s="89" t="n">
        <v>1</v>
      </c>
      <c r="C656" s="94" t="n">
        <v>100</v>
      </c>
      <c r="D656" s="95" t="n">
        <v>5.1</v>
      </c>
      <c r="E656" s="95" t="n">
        <v>2.2</v>
      </c>
      <c r="F656" s="95" t="n">
        <v>5.4</v>
      </c>
      <c r="G656" s="95" t="n">
        <v>60.8</v>
      </c>
      <c r="H656" s="95" t="n">
        <v>-2.8</v>
      </c>
      <c r="I656" s="95" t="n">
        <v>0.3</v>
      </c>
      <c r="J656" s="95" t="n">
        <v>53</v>
      </c>
      <c r="K656" s="96" t="inlineStr">
        <is>
          <t>2506 XUNFEIHEALTH</t>
        </is>
      </c>
    </row>
    <row r="657">
      <c r="A657" s="16" t="inlineStr">
        <is>
          <t>ClinChoice Medical Development Limited</t>
        </is>
      </c>
      <c r="B657" s="89" t="n">
        <v>1</v>
      </c>
      <c r="C657" s="94" t="n">
        <v>100</v>
      </c>
      <c r="D657" s="95" t="n">
        <v>5</v>
      </c>
      <c r="E657" s="95" t="n">
        <v>34.4</v>
      </c>
      <c r="F657" s="95" t="n">
        <v>38.2</v>
      </c>
      <c r="G657" s="95" t="n">
        <v>53</v>
      </c>
      <c r="H657" s="95" t="n">
        <v>28.1</v>
      </c>
      <c r="I657" s="95" t="n">
        <v>31.6</v>
      </c>
      <c r="J657" s="95" t="n">
        <v>45.8</v>
      </c>
      <c r="K657" s="96" t="inlineStr">
        <is>
          <t>1541 IMMUNEONCO-B</t>
        </is>
      </c>
    </row>
    <row r="658">
      <c r="A658" s="16" t="inlineStr">
        <is>
          <t>Hong Tai International III LPF</t>
        </is>
      </c>
      <c r="B658" s="89" t="n">
        <v>1</v>
      </c>
      <c r="C658" s="94" t="n">
        <v>100</v>
      </c>
      <c r="D658" s="95" t="n">
        <v>5</v>
      </c>
      <c r="E658" s="95" t="n">
        <v>-19.4</v>
      </c>
      <c r="F658" s="95" t="n">
        <v>-17.1</v>
      </c>
      <c r="G658" s="95" t="n">
        <v>-2.7</v>
      </c>
      <c r="H658" s="95" t="n">
        <v>-23.3</v>
      </c>
      <c r="I658" s="95" t="n">
        <v>-21.1</v>
      </c>
      <c r="J658" s="95" t="n">
        <v>-7.3</v>
      </c>
      <c r="K658" s="96" t="inlineStr">
        <is>
          <t>1471 ZHONGMIAO</t>
        </is>
      </c>
    </row>
    <row r="659">
      <c r="A659" s="16" t="inlineStr">
        <is>
          <t>Golden Feather Corporation</t>
        </is>
      </c>
      <c r="B659" s="89" t="n">
        <v>1</v>
      </c>
      <c r="C659" s="94" t="n">
        <v>100</v>
      </c>
      <c r="D659" s="95" t="n">
        <v>4.9</v>
      </c>
      <c r="E659" s="95" t="n">
        <v>0</v>
      </c>
      <c r="F659" s="95" t="n">
        <v>-8.5</v>
      </c>
      <c r="G659" s="95" t="n">
        <v>3</v>
      </c>
      <c r="H659" s="95" t="n">
        <v>-4.7</v>
      </c>
      <c r="I659" s="95" t="n">
        <v>-12.8</v>
      </c>
      <c r="J659" s="95" t="n">
        <v>-1.8</v>
      </c>
      <c r="K659" s="96" t="inlineStr">
        <is>
          <t>9878 HUITONGDA NET</t>
        </is>
      </c>
    </row>
    <row r="660">
      <c r="A660" s="16" t="inlineStr">
        <is>
          <t>Skyworth Overseas Investment Holdings Limited</t>
        </is>
      </c>
      <c r="B660" s="89" t="n">
        <v>1</v>
      </c>
      <c r="C660" s="94" t="n">
        <v>100</v>
      </c>
      <c r="D660" s="95" t="n">
        <v>4.9</v>
      </c>
      <c r="E660" s="95" t="n">
        <v>0</v>
      </c>
      <c r="F660" s="95" t="n">
        <v>-8.5</v>
      </c>
      <c r="G660" s="95" t="n">
        <v>3</v>
      </c>
      <c r="H660" s="95" t="n">
        <v>-4.7</v>
      </c>
      <c r="I660" s="95" t="n">
        <v>-12.8</v>
      </c>
      <c r="J660" s="95" t="n">
        <v>-1.8</v>
      </c>
      <c r="K660" s="96" t="inlineStr">
        <is>
          <t>9878 HUITONGDA NET</t>
        </is>
      </c>
    </row>
    <row r="661">
      <c r="A661" s="16" t="inlineStr">
        <is>
          <t>Windfall T&amp;L SPC</t>
        </is>
      </c>
      <c r="B661" s="89" t="n">
        <v>1</v>
      </c>
      <c r="C661" s="94" t="n">
        <v>100</v>
      </c>
      <c r="D661" s="95" t="n">
        <v>4.9</v>
      </c>
      <c r="E661" s="95" t="n">
        <v>0</v>
      </c>
      <c r="F661" s="95" t="n">
        <v>-8.5</v>
      </c>
      <c r="G661" s="95" t="n">
        <v>3</v>
      </c>
      <c r="H661" s="95" t="n">
        <v>-4.7</v>
      </c>
      <c r="I661" s="95" t="n">
        <v>-12.8</v>
      </c>
      <c r="J661" s="95" t="n">
        <v>-1.8</v>
      </c>
      <c r="K661" s="96" t="inlineStr">
        <is>
          <t>9878 HUITONGDA NET</t>
        </is>
      </c>
    </row>
    <row r="662">
      <c r="A662" s="16" t="inlineStr">
        <is>
          <t>Manulife Investment Management (Hong Kong) Limited</t>
        </is>
      </c>
      <c r="B662" s="89" t="n">
        <v>1</v>
      </c>
      <c r="C662" s="94" t="n">
        <v>100</v>
      </c>
      <c r="D662" s="95" t="n">
        <v>4.7</v>
      </c>
      <c r="E662" s="95" t="n">
        <v>-2.3</v>
      </c>
      <c r="F662" s="95" t="n">
        <v>6.7</v>
      </c>
      <c r="G662" s="95" t="n"/>
      <c r="H662" s="95" t="n">
        <v>-6.7</v>
      </c>
      <c r="I662" s="95" t="n">
        <v>1.9</v>
      </c>
      <c r="J662" s="95" t="n"/>
      <c r="K662" s="96" t="inlineStr">
        <is>
          <t>6951 CCTC</t>
        </is>
      </c>
    </row>
    <row r="663">
      <c r="A663" s="16" t="inlineStr">
        <is>
          <t>Yuanbao Family Office Limited</t>
        </is>
      </c>
      <c r="B663" s="89" t="n">
        <v>1</v>
      </c>
      <c r="C663" s="94" t="n">
        <v>100</v>
      </c>
      <c r="D663" s="95" t="n">
        <v>4.3</v>
      </c>
      <c r="E663" s="95" t="n">
        <v>-19.5</v>
      </c>
      <c r="F663" s="95" t="n">
        <v>-44.7</v>
      </c>
      <c r="G663" s="95" t="n"/>
      <c r="H663" s="95" t="n">
        <v>-22.9</v>
      </c>
      <c r="I663" s="95" t="n">
        <v>-47</v>
      </c>
      <c r="J663" s="95" t="n"/>
      <c r="K663" s="96" t="inlineStr">
        <is>
          <t>6106 SEER TECH</t>
        </is>
      </c>
    </row>
    <row r="664">
      <c r="A664" s="16" t="inlineStr">
        <is>
          <t>Fook Man Development Company Limited</t>
        </is>
      </c>
      <c r="B664" s="89" t="n">
        <v>1</v>
      </c>
      <c r="C664" s="94" t="n">
        <v>100</v>
      </c>
      <c r="D664" s="95" t="n">
        <v>4.2</v>
      </c>
      <c r="E664" s="95" t="n">
        <v>-4.9</v>
      </c>
      <c r="F664" s="95" t="n">
        <v>-8.6</v>
      </c>
      <c r="G664" s="95" t="n">
        <v>-4.7</v>
      </c>
      <c r="H664" s="95" t="n">
        <v>-8.699999999999999</v>
      </c>
      <c r="I664" s="95" t="n">
        <v>-12.2</v>
      </c>
      <c r="J664" s="95" t="n">
        <v>-8.5</v>
      </c>
      <c r="K664" s="96" t="inlineStr">
        <is>
          <t>9889 DRCB</t>
        </is>
      </c>
    </row>
    <row r="665">
      <c r="A665" s="16" t="inlineStr">
        <is>
          <t>Guohua Life Insurance Co., Ltd</t>
        </is>
      </c>
      <c r="B665" s="89" t="n">
        <v>1</v>
      </c>
      <c r="C665" s="94" t="n">
        <v>100</v>
      </c>
      <c r="D665" s="95" t="n">
        <v>4.2</v>
      </c>
      <c r="E665" s="95" t="n">
        <v>21.1</v>
      </c>
      <c r="F665" s="95" t="n">
        <v>14.5</v>
      </c>
      <c r="G665" s="95" t="n">
        <v>17.8</v>
      </c>
      <c r="H665" s="95" t="n">
        <v>16.3</v>
      </c>
      <c r="I665" s="95" t="n">
        <v>9.9</v>
      </c>
      <c r="J665" s="95" t="n">
        <v>13.1</v>
      </c>
      <c r="K665" s="96" t="inlineStr">
        <is>
          <t>2701 NSING TECH</t>
        </is>
      </c>
    </row>
    <row r="666">
      <c r="A666" s="16" t="inlineStr">
        <is>
          <t>Mr. An Jiangbo</t>
        </is>
      </c>
      <c r="B666" s="89" t="n">
        <v>1</v>
      </c>
      <c r="C666" s="94" t="n">
        <v>100</v>
      </c>
      <c r="D666" s="95" t="n">
        <v>4.2</v>
      </c>
      <c r="E666" s="95" t="n">
        <v>21.1</v>
      </c>
      <c r="F666" s="95" t="n">
        <v>14.5</v>
      </c>
      <c r="G666" s="95" t="n">
        <v>17.8</v>
      </c>
      <c r="H666" s="95" t="n">
        <v>16.3</v>
      </c>
      <c r="I666" s="95" t="n">
        <v>9.9</v>
      </c>
      <c r="J666" s="95" t="n">
        <v>13.1</v>
      </c>
      <c r="K666" s="96" t="inlineStr">
        <is>
          <t>2701 NSING TECH</t>
        </is>
      </c>
    </row>
    <row r="667">
      <c r="A667" s="16" t="inlineStr">
        <is>
          <t>Ms. Christine Tai</t>
        </is>
      </c>
      <c r="B667" s="89" t="n">
        <v>1</v>
      </c>
      <c r="C667" s="94" t="n">
        <v>100</v>
      </c>
      <c r="D667" s="95" t="n">
        <v>4.2</v>
      </c>
      <c r="E667" s="95" t="n">
        <v>21.1</v>
      </c>
      <c r="F667" s="95" t="n">
        <v>14.5</v>
      </c>
      <c r="G667" s="95" t="n">
        <v>17.8</v>
      </c>
      <c r="H667" s="95" t="n">
        <v>16.3</v>
      </c>
      <c r="I667" s="95" t="n">
        <v>9.9</v>
      </c>
      <c r="J667" s="95" t="n">
        <v>13.1</v>
      </c>
      <c r="K667" s="96" t="inlineStr">
        <is>
          <t>2701 NSING TECH</t>
        </is>
      </c>
    </row>
    <row r="668">
      <c r="A668" s="16" t="inlineStr">
        <is>
          <t>Hangzhou Fuyang Industrial Fund Investment Management Co., Ltd</t>
        </is>
      </c>
      <c r="B668" s="89" t="n">
        <v>1</v>
      </c>
      <c r="C668" s="94" t="n">
        <v>100</v>
      </c>
      <c r="D668" s="95" t="n">
        <v>4</v>
      </c>
      <c r="E668" s="95" t="n">
        <v>-5.1</v>
      </c>
      <c r="F668" s="95" t="n">
        <v>-6.2</v>
      </c>
      <c r="G668" s="95" t="n">
        <v>45.7</v>
      </c>
      <c r="H668" s="95" t="n">
        <v>-8.699999999999999</v>
      </c>
      <c r="I668" s="95" t="n">
        <v>-9.800000000000001</v>
      </c>
      <c r="J668" s="95" t="n">
        <v>40.1</v>
      </c>
      <c r="K668" s="96" t="inlineStr">
        <is>
          <t>6929 ORBUSNEICH</t>
        </is>
      </c>
    </row>
    <row r="669">
      <c r="A669" s="16" t="inlineStr">
        <is>
          <t>Wii Pte Ltd (Wilmar)</t>
        </is>
      </c>
      <c r="B669" s="89" t="n">
        <v>1</v>
      </c>
      <c r="C669" s="94" t="n">
        <v>100</v>
      </c>
      <c r="D669" s="95" t="n">
        <v>3.9</v>
      </c>
      <c r="E669" s="95" t="n">
        <v>0.5</v>
      </c>
      <c r="F669" s="95" t="n">
        <v>19.7</v>
      </c>
      <c r="G669" s="95" t="n">
        <v>0.7</v>
      </c>
      <c r="H669" s="95" t="n">
        <v>-3.3</v>
      </c>
      <c r="I669" s="95" t="n">
        <v>15.2</v>
      </c>
      <c r="J669" s="95" t="n">
        <v>-3.1</v>
      </c>
      <c r="K669" s="96" t="inlineStr">
        <is>
          <t>2714 MUYUAN</t>
        </is>
      </c>
    </row>
    <row r="670">
      <c r="A670" s="16" t="inlineStr">
        <is>
          <t>HPRY Holdings (Wilmar)</t>
        </is>
      </c>
      <c r="B670" s="89" t="n">
        <v>1</v>
      </c>
      <c r="C670" s="94" t="n">
        <v>100</v>
      </c>
      <c r="D670" s="95" t="n">
        <v>3.9</v>
      </c>
      <c r="E670" s="95" t="n">
        <v>0.5</v>
      </c>
      <c r="F670" s="95" t="n">
        <v>19.7</v>
      </c>
      <c r="G670" s="95" t="n">
        <v>0.7</v>
      </c>
      <c r="H670" s="95" t="n">
        <v>-3.3</v>
      </c>
      <c r="I670" s="95" t="n">
        <v>15.2</v>
      </c>
      <c r="J670" s="95" t="n">
        <v>-3.1</v>
      </c>
      <c r="K670" s="96" t="inlineStr">
        <is>
          <t>2714 MUYUAN</t>
        </is>
      </c>
    </row>
    <row r="671">
      <c r="A671" s="16" t="inlineStr">
        <is>
          <t>Sinochem Hong Kong (Group)</t>
        </is>
      </c>
      <c r="B671" s="89" t="n">
        <v>1</v>
      </c>
      <c r="C671" s="94" t="n">
        <v>100</v>
      </c>
      <c r="D671" s="95" t="n">
        <v>3.9</v>
      </c>
      <c r="E671" s="95" t="n">
        <v>0.5</v>
      </c>
      <c r="F671" s="95" t="n">
        <v>19.7</v>
      </c>
      <c r="G671" s="95" t="n">
        <v>0.7</v>
      </c>
      <c r="H671" s="95" t="n">
        <v>-3.3</v>
      </c>
      <c r="I671" s="95" t="n">
        <v>15.2</v>
      </c>
      <c r="J671" s="95" t="n">
        <v>-3.1</v>
      </c>
      <c r="K671" s="96" t="inlineStr">
        <is>
          <t>2714 MUYUAN</t>
        </is>
      </c>
    </row>
    <row r="672">
      <c r="A672" s="16" t="inlineStr">
        <is>
          <t>Hong Kong Henan Agri International</t>
        </is>
      </c>
      <c r="B672" s="89" t="n">
        <v>1</v>
      </c>
      <c r="C672" s="94" t="n">
        <v>100</v>
      </c>
      <c r="D672" s="95" t="n">
        <v>3.9</v>
      </c>
      <c r="E672" s="95" t="n">
        <v>0.5</v>
      </c>
      <c r="F672" s="95" t="n">
        <v>19.7</v>
      </c>
      <c r="G672" s="95" t="n">
        <v>0.7</v>
      </c>
      <c r="H672" s="95" t="n">
        <v>-3.3</v>
      </c>
      <c r="I672" s="95" t="n">
        <v>15.2</v>
      </c>
      <c r="J672" s="95" t="n">
        <v>-3.1</v>
      </c>
      <c r="K672" s="96" t="inlineStr">
        <is>
          <t>2714 MUYUAN</t>
        </is>
      </c>
    </row>
    <row r="673">
      <c r="A673" s="16" t="inlineStr">
        <is>
          <t>Midea Development Holding (BVI)</t>
        </is>
      </c>
      <c r="B673" s="89" t="n">
        <v>1</v>
      </c>
      <c r="C673" s="94" t="n">
        <v>100</v>
      </c>
      <c r="D673" s="95" t="n">
        <v>3.9</v>
      </c>
      <c r="E673" s="95" t="n">
        <v>0.5</v>
      </c>
      <c r="F673" s="95" t="n">
        <v>19.7</v>
      </c>
      <c r="G673" s="95" t="n">
        <v>0.7</v>
      </c>
      <c r="H673" s="95" t="n">
        <v>-3.3</v>
      </c>
      <c r="I673" s="95" t="n">
        <v>15.2</v>
      </c>
      <c r="J673" s="95" t="n">
        <v>-3.1</v>
      </c>
      <c r="K673" s="96" t="inlineStr">
        <is>
          <t>2714 MUYUAN</t>
        </is>
      </c>
    </row>
    <row r="674">
      <c r="A674" s="16" t="inlineStr">
        <is>
          <t>Cheng Hung Ping</t>
        </is>
      </c>
      <c r="B674" s="89" t="n">
        <v>1</v>
      </c>
      <c r="C674" s="94" t="n">
        <v>100</v>
      </c>
      <c r="D674" s="95" t="n">
        <v>3.8</v>
      </c>
      <c r="E674" s="95" t="n">
        <v>25</v>
      </c>
      <c r="F674" s="95" t="n">
        <v>60</v>
      </c>
      <c r="G674" s="95" t="n">
        <v>22.5</v>
      </c>
      <c r="H674" s="95" t="n">
        <v>20.5</v>
      </c>
      <c r="I674" s="95" t="n">
        <v>54.2</v>
      </c>
      <c r="J674" s="95" t="n">
        <v>18.1</v>
      </c>
      <c r="K674" s="96" t="inlineStr">
        <is>
          <t>1440 DEYUN HOLDING</t>
        </is>
      </c>
    </row>
    <row r="675">
      <c r="A675" s="16" t="inlineStr">
        <is>
          <t>Tam Yuk Ching Jenny</t>
        </is>
      </c>
      <c r="B675" s="89" t="n">
        <v>1</v>
      </c>
      <c r="C675" s="94" t="n">
        <v>100</v>
      </c>
      <c r="D675" s="95" t="n">
        <v>3.8</v>
      </c>
      <c r="E675" s="95" t="n">
        <v>25</v>
      </c>
      <c r="F675" s="95" t="n">
        <v>60</v>
      </c>
      <c r="G675" s="95" t="n">
        <v>22.5</v>
      </c>
      <c r="H675" s="95" t="n">
        <v>20.5</v>
      </c>
      <c r="I675" s="95" t="n">
        <v>54.2</v>
      </c>
      <c r="J675" s="95" t="n">
        <v>18.1</v>
      </c>
      <c r="K675" s="96" t="inlineStr">
        <is>
          <t>1440 DEYUN HOLDING</t>
        </is>
      </c>
    </row>
    <row r="676">
      <c r="A676" s="16" t="inlineStr">
        <is>
          <t>Tsai Chuen Sui Robert</t>
        </is>
      </c>
      <c r="B676" s="89" t="n">
        <v>1</v>
      </c>
      <c r="C676" s="94" t="n">
        <v>100</v>
      </c>
      <c r="D676" s="95" t="n">
        <v>3.8</v>
      </c>
      <c r="E676" s="95" t="n">
        <v>25</v>
      </c>
      <c r="F676" s="95" t="n">
        <v>60</v>
      </c>
      <c r="G676" s="95" t="n">
        <v>22.5</v>
      </c>
      <c r="H676" s="95" t="n">
        <v>20.5</v>
      </c>
      <c r="I676" s="95" t="n">
        <v>54.2</v>
      </c>
      <c r="J676" s="95" t="n">
        <v>18.1</v>
      </c>
      <c r="K676" s="96" t="inlineStr">
        <is>
          <t>1440 DEYUN HOLDING</t>
        </is>
      </c>
    </row>
    <row r="677">
      <c r="A677" s="16" t="inlineStr">
        <is>
          <t>Xingyu Automotive Lighting (Hong Kong) Company Limited</t>
        </is>
      </c>
      <c r="B677" s="89" t="n">
        <v>1</v>
      </c>
      <c r="C677" s="94" t="n">
        <v>100</v>
      </c>
      <c r="D677" s="95" t="n">
        <v>3.8</v>
      </c>
      <c r="E677" s="95" t="n">
        <v>3.7</v>
      </c>
      <c r="F677" s="95" t="n">
        <v>6.4</v>
      </c>
      <c r="G677" s="95" t="n">
        <v>-0.2</v>
      </c>
      <c r="H677" s="95" t="n">
        <v>-0.1</v>
      </c>
      <c r="I677" s="95" t="n">
        <v>2.5</v>
      </c>
      <c r="J677" s="95" t="n">
        <v>-3.8</v>
      </c>
      <c r="K677" s="96" t="inlineStr">
        <is>
          <t>9973 CHERY AUTO</t>
        </is>
      </c>
    </row>
    <row r="678">
      <c r="A678" s="16" t="inlineStr">
        <is>
          <t>Pilgrim Ever Project Company Limited</t>
        </is>
      </c>
      <c r="B678" s="89" t="n">
        <v>1</v>
      </c>
      <c r="C678" s="94" t="n">
        <v>100</v>
      </c>
      <c r="D678" s="95" t="n">
        <v>3.6</v>
      </c>
      <c r="E678" s="95" t="n">
        <v>3.1</v>
      </c>
      <c r="F678" s="95" t="n">
        <v>-8</v>
      </c>
      <c r="G678" s="95" t="n">
        <v>16.6</v>
      </c>
      <c r="H678" s="95" t="n">
        <v>-0.5</v>
      </c>
      <c r="I678" s="95" t="n">
        <v>-11.2</v>
      </c>
      <c r="J678" s="95" t="n">
        <v>12.5</v>
      </c>
      <c r="K678" s="96" t="inlineStr">
        <is>
          <t>6668 E-STAR CM</t>
        </is>
      </c>
    </row>
    <row r="679">
      <c r="A679" s="16" t="inlineStr">
        <is>
          <t>Shenzhen Qichang Investment Holding Limited</t>
        </is>
      </c>
      <c r="B679" s="89" t="n">
        <v>1</v>
      </c>
      <c r="C679" s="94" t="n">
        <v>100</v>
      </c>
      <c r="D679" s="95" t="n">
        <v>3.6</v>
      </c>
      <c r="E679" s="95" t="n">
        <v>3.1</v>
      </c>
      <c r="F679" s="95" t="n">
        <v>-8</v>
      </c>
      <c r="G679" s="95" t="n">
        <v>16.6</v>
      </c>
      <c r="H679" s="95" t="n">
        <v>-0.5</v>
      </c>
      <c r="I679" s="95" t="n">
        <v>-11.2</v>
      </c>
      <c r="J679" s="95" t="n">
        <v>12.5</v>
      </c>
      <c r="K679" s="96" t="inlineStr">
        <is>
          <t>6668 E-STAR CM</t>
        </is>
      </c>
    </row>
    <row r="680">
      <c r="A680" s="16" t="inlineStr">
        <is>
          <t>Virtues Origin SPC</t>
        </is>
      </c>
      <c r="B680" s="89" t="n">
        <v>1</v>
      </c>
      <c r="C680" s="94" t="n">
        <v>100</v>
      </c>
      <c r="D680" s="95" t="n">
        <v>3.6</v>
      </c>
      <c r="E680" s="95" t="n">
        <v>3.1</v>
      </c>
      <c r="F680" s="95" t="n">
        <v>-8</v>
      </c>
      <c r="G680" s="95" t="n">
        <v>16.6</v>
      </c>
      <c r="H680" s="95" t="n">
        <v>-0.5</v>
      </c>
      <c r="I680" s="95" t="n">
        <v>-11.2</v>
      </c>
      <c r="J680" s="95" t="n">
        <v>12.5</v>
      </c>
      <c r="K680" s="96" t="inlineStr">
        <is>
          <t>6668 E-STAR CM</t>
        </is>
      </c>
    </row>
    <row r="681">
      <c r="A681" s="16" t="inlineStr">
        <is>
          <t>Guokong Xinzhi Co., Limited</t>
        </is>
      </c>
      <c r="B681" s="89" t="n">
        <v>1</v>
      </c>
      <c r="C681" s="94" t="n">
        <v>100</v>
      </c>
      <c r="D681" s="95" t="n">
        <v>3.5</v>
      </c>
      <c r="E681" s="95" t="n">
        <v>-1.6</v>
      </c>
      <c r="F681" s="95" t="n">
        <v>-3.7</v>
      </c>
      <c r="G681" s="95" t="n">
        <v>-29.1</v>
      </c>
      <c r="H681" s="95" t="n">
        <v>-5</v>
      </c>
      <c r="I681" s="95" t="n">
        <v>-7</v>
      </c>
      <c r="J681" s="95" t="n">
        <v>-31.5</v>
      </c>
      <c r="K681" s="96" t="inlineStr">
        <is>
          <t>9611 LONGCHEER</t>
        </is>
      </c>
    </row>
    <row r="682">
      <c r="A682" s="16" t="inlineStr">
        <is>
          <t>Endless Growth NH Limited</t>
        </is>
      </c>
      <c r="B682" s="89" t="n">
        <v>1</v>
      </c>
      <c r="C682" s="94" t="n">
        <v>100</v>
      </c>
      <c r="D682" s="95" t="n">
        <v>3.5</v>
      </c>
      <c r="E682" s="95" t="n">
        <v>-1.6</v>
      </c>
      <c r="F682" s="95" t="n">
        <v>-3.7</v>
      </c>
      <c r="G682" s="95" t="n">
        <v>-29.1</v>
      </c>
      <c r="H682" s="95" t="n">
        <v>-5</v>
      </c>
      <c r="I682" s="95" t="n">
        <v>-7</v>
      </c>
      <c r="J682" s="95" t="n">
        <v>-31.5</v>
      </c>
      <c r="K682" s="96" t="inlineStr">
        <is>
          <t>9611 LONGCHEER</t>
        </is>
      </c>
    </row>
    <row r="683">
      <c r="A683" s="16" t="inlineStr">
        <is>
          <t>Qualcomm Ventures LLC</t>
        </is>
      </c>
      <c r="B683" s="89" t="n">
        <v>1</v>
      </c>
      <c r="C683" s="94" t="n">
        <v>100</v>
      </c>
      <c r="D683" s="95" t="n">
        <v>3.5</v>
      </c>
      <c r="E683" s="95" t="n">
        <v>-1.6</v>
      </c>
      <c r="F683" s="95" t="n">
        <v>-3.7</v>
      </c>
      <c r="G683" s="95" t="n">
        <v>-29.1</v>
      </c>
      <c r="H683" s="95" t="n">
        <v>-5</v>
      </c>
      <c r="I683" s="95" t="n">
        <v>-7</v>
      </c>
      <c r="J683" s="95" t="n">
        <v>-31.5</v>
      </c>
      <c r="K683" s="96" t="inlineStr">
        <is>
          <t>9611 LONGCHEER</t>
        </is>
      </c>
    </row>
    <row r="684">
      <c r="A684" s="16" t="inlineStr">
        <is>
          <t>Hong Kong Yuto Printing Company Limited</t>
        </is>
      </c>
      <c r="B684" s="89" t="n">
        <v>1</v>
      </c>
      <c r="C684" s="94" t="n">
        <v>100</v>
      </c>
      <c r="D684" s="95" t="n">
        <v>3.5</v>
      </c>
      <c r="E684" s="95" t="n">
        <v>-1.6</v>
      </c>
      <c r="F684" s="95" t="n">
        <v>-3.7</v>
      </c>
      <c r="G684" s="95" t="n">
        <v>-29.1</v>
      </c>
      <c r="H684" s="95" t="n">
        <v>-5</v>
      </c>
      <c r="I684" s="95" t="n">
        <v>-7</v>
      </c>
      <c r="J684" s="95" t="n">
        <v>-31.5</v>
      </c>
      <c r="K684" s="96" t="inlineStr">
        <is>
          <t>9611 LONGCHEER</t>
        </is>
      </c>
    </row>
    <row r="685">
      <c r="A685" s="16" t="inlineStr">
        <is>
          <t>Liugong Machinery Hongkong Co., Limited</t>
        </is>
      </c>
      <c r="B685" s="89" t="n">
        <v>1</v>
      </c>
      <c r="C685" s="94" t="n">
        <v>100</v>
      </c>
      <c r="D685" s="95" t="n">
        <v>3.4</v>
      </c>
      <c r="E685" s="95" t="n">
        <v>3.8</v>
      </c>
      <c r="F685" s="95" t="n">
        <v>2.7</v>
      </c>
      <c r="G685" s="95" t="n">
        <v>0.1</v>
      </c>
      <c r="H685" s="95" t="n">
        <v>0.4</v>
      </c>
      <c r="I685" s="95" t="n">
        <v>-0.7</v>
      </c>
      <c r="J685" s="95" t="n">
        <v>-3.1</v>
      </c>
      <c r="K685" s="96" t="inlineStr">
        <is>
          <t>2499 FOLANGSI</t>
        </is>
      </c>
    </row>
    <row r="686">
      <c r="A686" s="16" t="inlineStr">
        <is>
          <t>Huang Guangwei</t>
        </is>
      </c>
      <c r="B686" s="89" t="n">
        <v>1</v>
      </c>
      <c r="C686" s="94" t="n">
        <v>100</v>
      </c>
      <c r="D686" s="95" t="n">
        <v>3.4</v>
      </c>
      <c r="E686" s="95" t="n">
        <v>14.9</v>
      </c>
      <c r="F686" s="95" t="n">
        <v>73.90000000000001</v>
      </c>
      <c r="G686" s="95" t="n">
        <v>89.8</v>
      </c>
      <c r="H686" s="95" t="n">
        <v>11.1</v>
      </c>
      <c r="I686" s="95" t="n">
        <v>68.2</v>
      </c>
      <c r="J686" s="95" t="n">
        <v>83.5</v>
      </c>
      <c r="K686" s="96" t="inlineStr">
        <is>
          <t>6681 BRAINAURORA-B</t>
        </is>
      </c>
    </row>
    <row r="687">
      <c r="A687" s="16" t="inlineStr">
        <is>
          <t>Internet Fund IIIA Pte Ltd</t>
        </is>
      </c>
      <c r="B687" s="89" t="n">
        <v>1</v>
      </c>
      <c r="C687" s="94" t="n">
        <v>100</v>
      </c>
      <c r="D687" s="95" t="n">
        <v>3.3</v>
      </c>
      <c r="E687" s="95" t="n">
        <v>16.3</v>
      </c>
      <c r="F687" s="95" t="n">
        <v>4.2</v>
      </c>
      <c r="G687" s="95" t="n">
        <v>-24.2</v>
      </c>
      <c r="H687" s="95" t="n">
        <v>12.6</v>
      </c>
      <c r="I687" s="95" t="n">
        <v>0.8</v>
      </c>
      <c r="J687" s="95" t="n">
        <v>-26.6</v>
      </c>
      <c r="K687" s="96" t="inlineStr">
        <is>
          <t>2618 JD LOGISTICS</t>
        </is>
      </c>
    </row>
    <row r="688">
      <c r="A688" s="16" t="inlineStr">
        <is>
          <t>SoftBank Group</t>
        </is>
      </c>
      <c r="B688" s="89" t="n">
        <v>1</v>
      </c>
      <c r="C688" s="94" t="n">
        <v>100</v>
      </c>
      <c r="D688" s="95" t="n">
        <v>3.3</v>
      </c>
      <c r="E688" s="95" t="n">
        <v>16.3</v>
      </c>
      <c r="F688" s="95" t="n">
        <v>4.2</v>
      </c>
      <c r="G688" s="95" t="n">
        <v>-24.2</v>
      </c>
      <c r="H688" s="95" t="n">
        <v>12.6</v>
      </c>
      <c r="I688" s="95" t="n">
        <v>0.8</v>
      </c>
      <c r="J688" s="95" t="n">
        <v>-26.6</v>
      </c>
      <c r="K688" s="96" t="inlineStr">
        <is>
          <t>2618 JD LOGISTICS</t>
        </is>
      </c>
    </row>
    <row r="689">
      <c r="A689" s="16" t="inlineStr">
        <is>
          <t>The Blackstone Group Inc</t>
        </is>
      </c>
      <c r="B689" s="89" t="n">
        <v>1</v>
      </c>
      <c r="C689" s="94" t="n">
        <v>100</v>
      </c>
      <c r="D689" s="95" t="n">
        <v>3.3</v>
      </c>
      <c r="E689" s="95" t="n">
        <v>16.3</v>
      </c>
      <c r="F689" s="95" t="n">
        <v>4.2</v>
      </c>
      <c r="G689" s="95" t="n">
        <v>-24.2</v>
      </c>
      <c r="H689" s="95" t="n">
        <v>12.6</v>
      </c>
      <c r="I689" s="95" t="n">
        <v>0.8</v>
      </c>
      <c r="J689" s="95" t="n">
        <v>-26.6</v>
      </c>
      <c r="K689" s="96" t="inlineStr">
        <is>
          <t>2618 JD LOGISTICS</t>
        </is>
      </c>
    </row>
    <row r="690">
      <c r="A690" s="16" t="inlineStr">
        <is>
          <t>Youyu Global Limited</t>
        </is>
      </c>
      <c r="B690" s="89" t="n">
        <v>1</v>
      </c>
      <c r="C690" s="94" t="n">
        <v>100</v>
      </c>
      <c r="D690" s="95" t="n">
        <v>3.1</v>
      </c>
      <c r="E690" s="95" t="n">
        <v>-6.5</v>
      </c>
      <c r="F690" s="95" t="n">
        <v>79.8</v>
      </c>
      <c r="G690" s="95" t="n">
        <v>22</v>
      </c>
      <c r="H690" s="95" t="n">
        <v>-9.4</v>
      </c>
      <c r="I690" s="95" t="n">
        <v>74.3</v>
      </c>
      <c r="J690" s="95" t="n">
        <v>18.3</v>
      </c>
      <c r="K690" s="96" t="inlineStr">
        <is>
          <t>2137 BRII - B</t>
        </is>
      </c>
    </row>
    <row r="691">
      <c r="A691" s="16" t="inlineStr">
        <is>
          <t>Beijing Xingxing Equity Investment Partnership (Limited Partnership)</t>
        </is>
      </c>
      <c r="B691" s="89" t="n">
        <v>1</v>
      </c>
      <c r="C691" s="94" t="n">
        <v>100</v>
      </c>
      <c r="D691" s="95" t="n">
        <v>3.1</v>
      </c>
      <c r="E691" s="95" t="n">
        <v>0.7</v>
      </c>
      <c r="F691" s="95" t="n">
        <v>5.5</v>
      </c>
      <c r="G691" s="95" t="n">
        <v>3.1</v>
      </c>
      <c r="H691" s="95" t="n">
        <v>-2.3</v>
      </c>
      <c r="I691" s="95" t="n">
        <v>2.3</v>
      </c>
      <c r="J691" s="95" t="n">
        <v>0</v>
      </c>
      <c r="K691" s="96" t="inlineStr">
        <is>
          <t>2315 BIOCYTOGEN-B</t>
        </is>
      </c>
    </row>
    <row r="692">
      <c r="A692" s="16" t="inlineStr">
        <is>
          <t>VEKEN (HONGKONG) ECONOMIC AND TRADE CO., LIMITED</t>
        </is>
      </c>
      <c r="B692" s="89" t="n">
        <v>1</v>
      </c>
      <c r="C692" s="94" t="n">
        <v>100</v>
      </c>
      <c r="D692" s="95" t="n">
        <v>3.1</v>
      </c>
      <c r="E692" s="95" t="n">
        <v>0.7</v>
      </c>
      <c r="F692" s="95" t="n">
        <v>5.5</v>
      </c>
      <c r="G692" s="95" t="n">
        <v>3.1</v>
      </c>
      <c r="H692" s="95" t="n">
        <v>-2.3</v>
      </c>
      <c r="I692" s="95" t="n">
        <v>2.3</v>
      </c>
      <c r="J692" s="95" t="n">
        <v>0</v>
      </c>
      <c r="K692" s="96" t="inlineStr">
        <is>
          <t>2315 BIOCYTOGEN-B</t>
        </is>
      </c>
    </row>
    <row r="693">
      <c r="A693" s="16" t="inlineStr">
        <is>
          <t>Kelun International Development Co., Limited</t>
        </is>
      </c>
      <c r="B693" s="89" t="n">
        <v>1</v>
      </c>
      <c r="C693" s="94" t="n">
        <v>100</v>
      </c>
      <c r="D693" s="95" t="n">
        <v>3.1</v>
      </c>
      <c r="E693" s="95" t="n">
        <v>8.9</v>
      </c>
      <c r="F693" s="95" t="n">
        <v>19.6</v>
      </c>
      <c r="G693" s="95" t="n">
        <v>33.7</v>
      </c>
      <c r="H693" s="95" t="n">
        <v>5.6</v>
      </c>
      <c r="I693" s="95" t="n">
        <v>16</v>
      </c>
      <c r="J693" s="95" t="n">
        <v>29.6</v>
      </c>
      <c r="K693" s="96" t="inlineStr">
        <is>
          <t>6990 SKB BIO-B</t>
        </is>
      </c>
    </row>
    <row r="694">
      <c r="A694" s="16" t="inlineStr">
        <is>
          <t>Jiangxi Copper (via GTJA OTC swaps)</t>
        </is>
      </c>
      <c r="B694" s="89" t="n">
        <v>1</v>
      </c>
      <c r="C694" s="94" t="n">
        <v>100</v>
      </c>
      <c r="D694" s="95" t="n">
        <v>2.9</v>
      </c>
      <c r="E694" s="95" t="n">
        <v>3</v>
      </c>
      <c r="F694" s="95" t="n">
        <v>1.1</v>
      </c>
      <c r="G694" s="95" t="n">
        <v>-28.1</v>
      </c>
      <c r="H694" s="95" t="n">
        <v>0.1</v>
      </c>
      <c r="I694" s="95" t="n">
        <v>-1.8</v>
      </c>
      <c r="J694" s="95" t="n">
        <v>-30.1</v>
      </c>
      <c r="K694" s="96" t="inlineStr">
        <is>
          <t>9981 WOER</t>
        </is>
      </c>
    </row>
    <row r="695">
      <c r="A695" s="16" t="inlineStr">
        <is>
          <t>Shen Zhen New World Investment (H.K.)</t>
        </is>
      </c>
      <c r="B695" s="89" t="n">
        <v>1</v>
      </c>
      <c r="C695" s="94" t="n">
        <v>100</v>
      </c>
      <c r="D695" s="95" t="n">
        <v>2.9</v>
      </c>
      <c r="E695" s="95" t="n">
        <v>3</v>
      </c>
      <c r="F695" s="95" t="n">
        <v>1.1</v>
      </c>
      <c r="G695" s="95" t="n">
        <v>-28.1</v>
      </c>
      <c r="H695" s="95" t="n">
        <v>0.1</v>
      </c>
      <c r="I695" s="95" t="n">
        <v>-1.8</v>
      </c>
      <c r="J695" s="95" t="n">
        <v>-30.1</v>
      </c>
      <c r="K695" s="96" t="inlineStr">
        <is>
          <t>9981 WOER</t>
        </is>
      </c>
    </row>
    <row r="696">
      <c r="A696" s="16" t="inlineStr">
        <is>
          <t>Best Cheer Development</t>
        </is>
      </c>
      <c r="B696" s="89" t="n">
        <v>1</v>
      </c>
      <c r="C696" s="94" t="n">
        <v>100</v>
      </c>
      <c r="D696" s="95" t="n">
        <v>2.9</v>
      </c>
      <c r="E696" s="95" t="n">
        <v>3</v>
      </c>
      <c r="F696" s="95" t="n">
        <v>1.1</v>
      </c>
      <c r="G696" s="95" t="n">
        <v>-28.1</v>
      </c>
      <c r="H696" s="95" t="n">
        <v>0.1</v>
      </c>
      <c r="I696" s="95" t="n">
        <v>-1.8</v>
      </c>
      <c r="J696" s="95" t="n">
        <v>-30.1</v>
      </c>
      <c r="K696" s="96" t="inlineStr">
        <is>
          <t>9981 WOER</t>
        </is>
      </c>
    </row>
    <row r="697">
      <c r="A697" s="16" t="inlineStr">
        <is>
          <t>SCV Alpha LP</t>
        </is>
      </c>
      <c r="B697" s="89" t="n">
        <v>1</v>
      </c>
      <c r="C697" s="94" t="n">
        <v>100</v>
      </c>
      <c r="D697" s="95" t="n">
        <v>2.9</v>
      </c>
      <c r="E697" s="95" t="n">
        <v>3</v>
      </c>
      <c r="F697" s="95" t="n">
        <v>1.1</v>
      </c>
      <c r="G697" s="95" t="n">
        <v>-28.1</v>
      </c>
      <c r="H697" s="95" t="n">
        <v>0.1</v>
      </c>
      <c r="I697" s="95" t="n">
        <v>-1.8</v>
      </c>
      <c r="J697" s="95" t="n">
        <v>-30.1</v>
      </c>
      <c r="K697" s="96" t="inlineStr">
        <is>
          <t>9981 WOER</t>
        </is>
      </c>
    </row>
    <row r="698">
      <c r="A698" s="16" t="inlineStr">
        <is>
          <t>Pu Xin (via GTJA OTC swaps)</t>
        </is>
      </c>
      <c r="B698" s="89" t="n">
        <v>1</v>
      </c>
      <c r="C698" s="94" t="n">
        <v>100</v>
      </c>
      <c r="D698" s="95" t="n">
        <v>2.9</v>
      </c>
      <c r="E698" s="95" t="n">
        <v>3</v>
      </c>
      <c r="F698" s="95" t="n">
        <v>1.1</v>
      </c>
      <c r="G698" s="95" t="n">
        <v>-28.1</v>
      </c>
      <c r="H698" s="95" t="n">
        <v>0.1</v>
      </c>
      <c r="I698" s="95" t="n">
        <v>-1.8</v>
      </c>
      <c r="J698" s="95" t="n">
        <v>-30.1</v>
      </c>
      <c r="K698" s="96" t="inlineStr">
        <is>
          <t>9981 WOER</t>
        </is>
      </c>
    </row>
    <row r="699">
      <c r="A699" s="16" t="inlineStr">
        <is>
          <t>Capchem (Hongkong)</t>
        </is>
      </c>
      <c r="B699" s="89" t="n">
        <v>1</v>
      </c>
      <c r="C699" s="94" t="n">
        <v>100</v>
      </c>
      <c r="D699" s="95" t="n">
        <v>2.9</v>
      </c>
      <c r="E699" s="95" t="n">
        <v>3</v>
      </c>
      <c r="F699" s="95" t="n">
        <v>1.1</v>
      </c>
      <c r="G699" s="95" t="n">
        <v>-28.1</v>
      </c>
      <c r="H699" s="95" t="n">
        <v>0.1</v>
      </c>
      <c r="I699" s="95" t="n">
        <v>-1.8</v>
      </c>
      <c r="J699" s="95" t="n">
        <v>-30.1</v>
      </c>
      <c r="K699" s="96" t="inlineStr">
        <is>
          <t>9981 WOER</t>
        </is>
      </c>
    </row>
    <row r="700">
      <c r="A700" s="16" t="inlineStr">
        <is>
          <t>Enhanced Investment Products (EIP)</t>
        </is>
      </c>
      <c r="B700" s="89" t="n">
        <v>1</v>
      </c>
      <c r="C700" s="94" t="n">
        <v>100</v>
      </c>
      <c r="D700" s="95" t="n">
        <v>2.9</v>
      </c>
      <c r="E700" s="95" t="n">
        <v>3</v>
      </c>
      <c r="F700" s="95" t="n">
        <v>1.1</v>
      </c>
      <c r="G700" s="95" t="n">
        <v>-28.1</v>
      </c>
      <c r="H700" s="95" t="n">
        <v>0.1</v>
      </c>
      <c r="I700" s="95" t="n">
        <v>-1.8</v>
      </c>
      <c r="J700" s="95" t="n">
        <v>-30.1</v>
      </c>
      <c r="K700" s="96" t="inlineStr">
        <is>
          <t>9981 WOER</t>
        </is>
      </c>
    </row>
    <row r="701">
      <c r="A701" s="16" t="inlineStr">
        <is>
          <t>PARTICIPATIONS 1</t>
        </is>
      </c>
      <c r="B701" s="89" t="n">
        <v>1</v>
      </c>
      <c r="C701" s="94" t="n">
        <v>100</v>
      </c>
      <c r="D701" s="95" t="n">
        <v>2.8</v>
      </c>
      <c r="E701" s="95" t="n">
        <v>19.6</v>
      </c>
      <c r="F701" s="95" t="n">
        <v>-4.8</v>
      </c>
      <c r="G701" s="95" t="n">
        <v>10</v>
      </c>
      <c r="H701" s="95" t="n">
        <v>16.3</v>
      </c>
      <c r="I701" s="95" t="n">
        <v>-7.3</v>
      </c>
      <c r="J701" s="95" t="n">
        <v>7.1</v>
      </c>
      <c r="K701" s="96" t="inlineStr">
        <is>
          <t>9660 HORIZONROBOT-W</t>
        </is>
      </c>
    </row>
    <row r="702">
      <c r="A702" s="16" t="inlineStr">
        <is>
          <t>Temasek</t>
        </is>
      </c>
      <c r="B702" s="89" t="n">
        <v>1</v>
      </c>
      <c r="C702" s="94" t="n">
        <v>100</v>
      </c>
      <c r="D702" s="95" t="n">
        <v>2.8</v>
      </c>
      <c r="E702" s="95" t="n">
        <v>6.7</v>
      </c>
      <c r="F702" s="95" t="n">
        <v>0.2</v>
      </c>
      <c r="G702" s="95" t="n">
        <v>18.8</v>
      </c>
      <c r="H702" s="95" t="n">
        <v>3.7</v>
      </c>
      <c r="I702" s="95" t="n">
        <v>-2.6</v>
      </c>
      <c r="J702" s="95" t="n">
        <v>15.5</v>
      </c>
      <c r="K702" s="96" t="inlineStr">
        <is>
          <t>6031 SANY HEAVY IND</t>
        </is>
      </c>
    </row>
    <row r="703">
      <c r="A703" s="16" t="inlineStr">
        <is>
          <t>Weichai Power</t>
        </is>
      </c>
      <c r="B703" s="89" t="n">
        <v>1</v>
      </c>
      <c r="C703" s="94" t="n">
        <v>100</v>
      </c>
      <c r="D703" s="95" t="n">
        <v>2.8</v>
      </c>
      <c r="E703" s="95" t="n">
        <v>6.7</v>
      </c>
      <c r="F703" s="95" t="n">
        <v>0.2</v>
      </c>
      <c r="G703" s="95" t="n">
        <v>18.8</v>
      </c>
      <c r="H703" s="95" t="n">
        <v>3.7</v>
      </c>
      <c r="I703" s="95" t="n">
        <v>-2.6</v>
      </c>
      <c r="J703" s="95" t="n">
        <v>15.5</v>
      </c>
      <c r="K703" s="96" t="inlineStr">
        <is>
          <t>6031 SANY HEAVY IND</t>
        </is>
      </c>
    </row>
    <row r="704">
      <c r="A704" s="16" t="inlineStr">
        <is>
          <t>Heyuan Trading (Hong Kong) Limited</t>
        </is>
      </c>
      <c r="B704" s="89" t="n">
        <v>1</v>
      </c>
      <c r="C704" s="94" t="n">
        <v>100</v>
      </c>
      <c r="D704" s="95" t="n">
        <v>2.5</v>
      </c>
      <c r="E704" s="95" t="n">
        <v>-10.2</v>
      </c>
      <c r="F704" s="95" t="n">
        <v>-27.1</v>
      </c>
      <c r="G704" s="95" t="n">
        <v>-43.2</v>
      </c>
      <c r="H704" s="95" t="n">
        <v>-12.4</v>
      </c>
      <c r="I704" s="95" t="n">
        <v>-28.9</v>
      </c>
      <c r="J704" s="95" t="n">
        <v>-44.6</v>
      </c>
      <c r="K704" s="96" t="inlineStr">
        <is>
          <t>2271 ZHONGAN SERVICE</t>
        </is>
      </c>
    </row>
    <row r="705">
      <c r="A705" s="16" t="inlineStr">
        <is>
          <t>Wu Mingwu</t>
        </is>
      </c>
      <c r="B705" s="89" t="n">
        <v>1</v>
      </c>
      <c r="C705" s="94" t="n">
        <v>100</v>
      </c>
      <c r="D705" s="95" t="n">
        <v>2.5</v>
      </c>
      <c r="E705" s="95" t="n">
        <v>-10.2</v>
      </c>
      <c r="F705" s="95" t="n">
        <v>-27.1</v>
      </c>
      <c r="G705" s="95" t="n">
        <v>-43.2</v>
      </c>
      <c r="H705" s="95" t="n">
        <v>-12.4</v>
      </c>
      <c r="I705" s="95" t="n">
        <v>-28.9</v>
      </c>
      <c r="J705" s="95" t="n">
        <v>-44.6</v>
      </c>
      <c r="K705" s="96" t="inlineStr">
        <is>
          <t>2271 ZHONGAN SERVICE</t>
        </is>
      </c>
    </row>
    <row r="706">
      <c r="A706" s="16" t="inlineStr">
        <is>
          <t>BeingBoom Capital Limited</t>
        </is>
      </c>
      <c r="B706" s="89" t="n">
        <v>1</v>
      </c>
      <c r="C706" s="94" t="n">
        <v>100</v>
      </c>
      <c r="D706" s="95" t="n">
        <v>2.4</v>
      </c>
      <c r="E706" s="95" t="n">
        <v>11.4</v>
      </c>
      <c r="F706" s="95" t="n">
        <v>-7.5</v>
      </c>
      <c r="G706" s="95" t="n">
        <v>-13.1</v>
      </c>
      <c r="H706" s="95" t="n">
        <v>8.800000000000001</v>
      </c>
      <c r="I706" s="95" t="n">
        <v>-9.699999999999999</v>
      </c>
      <c r="J706" s="95" t="n">
        <v>-15.1</v>
      </c>
      <c r="K706" s="96" t="inlineStr">
        <is>
          <t>2692 ZHAOWEI</t>
        </is>
      </c>
    </row>
    <row r="707">
      <c r="A707" s="16" t="inlineStr">
        <is>
          <t>Hengbang and China Galaxy International Investment Company Limited</t>
        </is>
      </c>
      <c r="B707" s="89" t="n">
        <v>1</v>
      </c>
      <c r="C707" s="94" t="n">
        <v>100</v>
      </c>
      <c r="D707" s="95" t="n">
        <v>2.4</v>
      </c>
      <c r="E707" s="95" t="n">
        <v>11.4</v>
      </c>
      <c r="F707" s="95" t="n">
        <v>-7.5</v>
      </c>
      <c r="G707" s="95" t="n">
        <v>-13.1</v>
      </c>
      <c r="H707" s="95" t="n">
        <v>8.800000000000001</v>
      </c>
      <c r="I707" s="95" t="n">
        <v>-9.699999999999999</v>
      </c>
      <c r="J707" s="95" t="n">
        <v>-15.1</v>
      </c>
      <c r="K707" s="96" t="inlineStr">
        <is>
          <t>2692 ZHAOWEI</t>
        </is>
      </c>
    </row>
    <row r="708">
      <c r="A708" s="16" t="inlineStr">
        <is>
          <t>Mr. He Maoling</t>
        </is>
      </c>
      <c r="B708" s="89" t="n">
        <v>1</v>
      </c>
      <c r="C708" s="94" t="n">
        <v>100</v>
      </c>
      <c r="D708" s="95" t="n">
        <v>2.4</v>
      </c>
      <c r="E708" s="95" t="n">
        <v>11.4</v>
      </c>
      <c r="F708" s="95" t="n">
        <v>-7.5</v>
      </c>
      <c r="G708" s="95" t="n">
        <v>-13.1</v>
      </c>
      <c r="H708" s="95" t="n">
        <v>8.800000000000001</v>
      </c>
      <c r="I708" s="95" t="n">
        <v>-9.699999999999999</v>
      </c>
      <c r="J708" s="95" t="n">
        <v>-15.1</v>
      </c>
      <c r="K708" s="96" t="inlineStr">
        <is>
          <t>2692 ZHAOWEI</t>
        </is>
      </c>
    </row>
    <row r="709">
      <c r="A709" s="16" t="inlineStr">
        <is>
          <t>TOPSTAR WORLDWIDE GROUP LIMITED</t>
        </is>
      </c>
      <c r="B709" s="89" t="n">
        <v>1</v>
      </c>
      <c r="C709" s="94" t="n">
        <v>100</v>
      </c>
      <c r="D709" s="95" t="n">
        <v>2.4</v>
      </c>
      <c r="E709" s="95" t="n">
        <v>11.4</v>
      </c>
      <c r="F709" s="95" t="n">
        <v>-7.5</v>
      </c>
      <c r="G709" s="95" t="n">
        <v>-13.1</v>
      </c>
      <c r="H709" s="95" t="n">
        <v>8.800000000000001</v>
      </c>
      <c r="I709" s="95" t="n">
        <v>-9.699999999999999</v>
      </c>
      <c r="J709" s="95" t="n">
        <v>-15.1</v>
      </c>
      <c r="K709" s="96" t="inlineStr">
        <is>
          <t>2692 ZHAOWEI</t>
        </is>
      </c>
    </row>
    <row r="710">
      <c r="A710" s="16" t="inlineStr">
        <is>
          <t>W Investment Company Limited</t>
        </is>
      </c>
      <c r="B710" s="89" t="n">
        <v>1</v>
      </c>
      <c r="C710" s="94" t="n">
        <v>100</v>
      </c>
      <c r="D710" s="95" t="n">
        <v>2.4</v>
      </c>
      <c r="E710" s="95" t="n">
        <v>11.4</v>
      </c>
      <c r="F710" s="95" t="n">
        <v>-7.5</v>
      </c>
      <c r="G710" s="95" t="n">
        <v>-13.1</v>
      </c>
      <c r="H710" s="95" t="n">
        <v>8.800000000000001</v>
      </c>
      <c r="I710" s="95" t="n">
        <v>-9.699999999999999</v>
      </c>
      <c r="J710" s="95" t="n">
        <v>-15.1</v>
      </c>
      <c r="K710" s="96" t="inlineStr">
        <is>
          <t>2692 ZHAOWEI</t>
        </is>
      </c>
    </row>
    <row r="711">
      <c r="A711" s="16" t="inlineStr">
        <is>
          <t>Lai Shixian</t>
        </is>
      </c>
      <c r="B711" s="89" t="n">
        <v>1</v>
      </c>
      <c r="C711" s="94" t="n">
        <v>100</v>
      </c>
      <c r="D711" s="95" t="n">
        <v>2</v>
      </c>
      <c r="E711" s="95" t="n">
        <v>-15.8</v>
      </c>
      <c r="F711" s="95" t="n">
        <v>-64.3</v>
      </c>
      <c r="G711" s="95" t="n">
        <v>-70.90000000000001</v>
      </c>
      <c r="H711" s="95" t="n">
        <v>-17.5</v>
      </c>
      <c r="I711" s="95" t="n">
        <v>-65</v>
      </c>
      <c r="J711" s="95" t="n">
        <v>-71.5</v>
      </c>
      <c r="K711" s="96" t="inlineStr">
        <is>
          <t>6696 MANY IDEA CLOUD</t>
        </is>
      </c>
    </row>
    <row r="712">
      <c r="A712" s="16" t="inlineStr">
        <is>
          <t>SCHP Master Fund</t>
        </is>
      </c>
      <c r="B712" s="89" t="n">
        <v>1</v>
      </c>
      <c r="C712" s="94" t="n">
        <v>100</v>
      </c>
      <c r="D712" s="95" t="n">
        <v>1.8</v>
      </c>
      <c r="E712" s="95" t="n">
        <v>10.1</v>
      </c>
      <c r="F712" s="95" t="n">
        <v>0.2</v>
      </c>
      <c r="G712" s="95" t="n">
        <v>-8.699999999999999</v>
      </c>
      <c r="H712" s="95" t="n">
        <v>8.1</v>
      </c>
      <c r="I712" s="95" t="n">
        <v>-1.6</v>
      </c>
      <c r="J712" s="95" t="n">
        <v>-10.3</v>
      </c>
      <c r="K712" s="96" t="inlineStr">
        <is>
          <t>2179 RECBIO-B</t>
        </is>
      </c>
    </row>
    <row r="713">
      <c r="A713" s="16" t="inlineStr">
        <is>
          <t>Dongfang Gold Industry (Hong Kong) Limited</t>
        </is>
      </c>
      <c r="B713" s="89" t="n">
        <v>1</v>
      </c>
      <c r="C713" s="94" t="n">
        <v>100</v>
      </c>
      <c r="D713" s="95" t="n">
        <v>1.8</v>
      </c>
      <c r="E713" s="95" t="n">
        <v>0</v>
      </c>
      <c r="F713" s="95" t="n">
        <v>1.8</v>
      </c>
      <c r="G713" s="95" t="n">
        <v>12.7</v>
      </c>
      <c r="H713" s="95" t="n">
        <v>-1.8</v>
      </c>
      <c r="I713" s="95" t="n">
        <v>0</v>
      </c>
      <c r="J713" s="95" t="n">
        <v>10.7</v>
      </c>
      <c r="K713" s="96" t="inlineStr">
        <is>
          <t>2489 PERSISTENCE RES</t>
        </is>
      </c>
    </row>
    <row r="714">
      <c r="A714" s="16" t="inlineStr">
        <is>
          <t>LifeTech Scientific Corporation</t>
        </is>
      </c>
      <c r="B714" s="89" t="n">
        <v>1</v>
      </c>
      <c r="C714" s="94" t="n">
        <v>100</v>
      </c>
      <c r="D714" s="95" t="n">
        <v>1.6</v>
      </c>
      <c r="E714" s="95" t="n">
        <v>0.5</v>
      </c>
      <c r="F714" s="95" t="n">
        <v>11.5</v>
      </c>
      <c r="G714" s="95" t="n">
        <v>28.4</v>
      </c>
      <c r="H714" s="95" t="n">
        <v>-1.1</v>
      </c>
      <c r="I714" s="95" t="n">
        <v>9.699999999999999</v>
      </c>
      <c r="J714" s="95" t="n">
        <v>26.4</v>
      </c>
      <c r="K714" s="96" t="inlineStr">
        <is>
          <t>9877 JENSCARE-B</t>
        </is>
      </c>
    </row>
    <row r="715">
      <c r="A715" s="16" t="inlineStr">
        <is>
          <t>Guiyang Agricultural Investment Development Co., Ltd</t>
        </is>
      </c>
      <c r="B715" s="89" t="n">
        <v>1</v>
      </c>
      <c r="C715" s="94" t="n">
        <v>100</v>
      </c>
      <c r="D715" s="95" t="n">
        <v>1.5</v>
      </c>
      <c r="E715" s="95" t="n">
        <v>2.2</v>
      </c>
      <c r="F715" s="95" t="n">
        <v>59.7</v>
      </c>
      <c r="G715" s="95" t="n">
        <v>18.9</v>
      </c>
      <c r="H715" s="95" t="n">
        <v>0.7</v>
      </c>
      <c r="I715" s="95" t="n">
        <v>57.3</v>
      </c>
      <c r="J715" s="95" t="n">
        <v>17.2</v>
      </c>
      <c r="K715" s="96" t="inlineStr">
        <is>
          <t>2419 DEKON AGR</t>
        </is>
      </c>
    </row>
    <row r="716">
      <c r="A716" s="16" t="inlineStr">
        <is>
          <t>Quxian Huixing Industrial Investment Co., Ltd</t>
        </is>
      </c>
      <c r="B716" s="89" t="n">
        <v>1</v>
      </c>
      <c r="C716" s="94" t="n">
        <v>100</v>
      </c>
      <c r="D716" s="95" t="n">
        <v>1.5</v>
      </c>
      <c r="E716" s="95" t="n">
        <v>2.2</v>
      </c>
      <c r="F716" s="95" t="n">
        <v>59.7</v>
      </c>
      <c r="G716" s="95" t="n">
        <v>18.9</v>
      </c>
      <c r="H716" s="95" t="n">
        <v>0.7</v>
      </c>
      <c r="I716" s="95" t="n">
        <v>57.3</v>
      </c>
      <c r="J716" s="95" t="n">
        <v>17.2</v>
      </c>
      <c r="K716" s="96" t="inlineStr">
        <is>
          <t>2419 DEKON AGR</t>
        </is>
      </c>
    </row>
    <row r="717">
      <c r="A717" s="16" t="inlineStr">
        <is>
          <t>Xiushan County Xinzhiyuan Market Management Co., Ltd</t>
        </is>
      </c>
      <c r="B717" s="89" t="n">
        <v>1</v>
      </c>
      <c r="C717" s="94" t="n">
        <v>100</v>
      </c>
      <c r="D717" s="95" t="n">
        <v>1.5</v>
      </c>
      <c r="E717" s="95" t="n">
        <v>2.2</v>
      </c>
      <c r="F717" s="95" t="n">
        <v>59.7</v>
      </c>
      <c r="G717" s="95" t="n">
        <v>18.9</v>
      </c>
      <c r="H717" s="95" t="n">
        <v>0.7</v>
      </c>
      <c r="I717" s="95" t="n">
        <v>57.3</v>
      </c>
      <c r="J717" s="95" t="n">
        <v>17.2</v>
      </c>
      <c r="K717" s="96" t="inlineStr">
        <is>
          <t>2419 DEKON AGR</t>
        </is>
      </c>
    </row>
    <row r="718">
      <c r="A718" s="16" t="inlineStr">
        <is>
          <t>True Light Investments H Pte. Ltd</t>
        </is>
      </c>
      <c r="B718" s="89" t="n">
        <v>1</v>
      </c>
      <c r="C718" s="94" t="n">
        <v>100</v>
      </c>
      <c r="D718" s="95" t="n">
        <v>1.5</v>
      </c>
      <c r="E718" s="95" t="n">
        <v>0.8</v>
      </c>
      <c r="F718" s="95" t="n">
        <v>-13.9</v>
      </c>
      <c r="G718" s="95" t="n">
        <v>-12.5</v>
      </c>
      <c r="H718" s="95" t="n">
        <v>-0.7</v>
      </c>
      <c r="I718" s="95" t="n">
        <v>-15.2</v>
      </c>
      <c r="J718" s="95" t="n">
        <v>-13.8</v>
      </c>
      <c r="K718" s="96" t="inlineStr">
        <is>
          <t>9980 EASTROC</t>
        </is>
      </c>
    </row>
    <row r="719">
      <c r="A719" s="16" t="inlineStr">
        <is>
          <t>Investments 1 Limited</t>
        </is>
      </c>
      <c r="B719" s="89" t="n">
        <v>1</v>
      </c>
      <c r="C719" s="94" t="n">
        <v>100</v>
      </c>
      <c r="D719" s="95" t="n">
        <v>1.5</v>
      </c>
      <c r="E719" s="95" t="n">
        <v>0.8</v>
      </c>
      <c r="F719" s="95" t="n">
        <v>-13.9</v>
      </c>
      <c r="G719" s="95" t="n">
        <v>-12.5</v>
      </c>
      <c r="H719" s="95" t="n">
        <v>-0.7</v>
      </c>
      <c r="I719" s="95" t="n">
        <v>-15.2</v>
      </c>
      <c r="J719" s="95" t="n">
        <v>-13.8</v>
      </c>
      <c r="K719" s="96" t="inlineStr">
        <is>
          <t>9980 EASTROC</t>
        </is>
      </c>
    </row>
    <row r="720">
      <c r="A720" s="16" t="inlineStr">
        <is>
          <t>Amazing Mountain Limited</t>
        </is>
      </c>
      <c r="B720" s="89" t="n">
        <v>1</v>
      </c>
      <c r="C720" s="94" t="n">
        <v>100</v>
      </c>
      <c r="D720" s="95" t="n">
        <v>1.5</v>
      </c>
      <c r="E720" s="95" t="n">
        <v>0.8</v>
      </c>
      <c r="F720" s="95" t="n">
        <v>-13.9</v>
      </c>
      <c r="G720" s="95" t="n">
        <v>-12.5</v>
      </c>
      <c r="H720" s="95" t="n">
        <v>-0.7</v>
      </c>
      <c r="I720" s="95" t="n">
        <v>-15.2</v>
      </c>
      <c r="J720" s="95" t="n">
        <v>-13.8</v>
      </c>
      <c r="K720" s="96" t="inlineStr">
        <is>
          <t>9980 EASTROC</t>
        </is>
      </c>
    </row>
    <row r="721">
      <c r="A721" s="16" t="inlineStr">
        <is>
          <t>Phase II L.P</t>
        </is>
      </c>
      <c r="B721" s="89" t="n">
        <v>1</v>
      </c>
      <c r="C721" s="94" t="n">
        <v>100</v>
      </c>
      <c r="D721" s="95" t="n">
        <v>1.5</v>
      </c>
      <c r="E721" s="95" t="n">
        <v>0.8</v>
      </c>
      <c r="F721" s="95" t="n">
        <v>-13.9</v>
      </c>
      <c r="G721" s="95" t="n">
        <v>-12.5</v>
      </c>
      <c r="H721" s="95" t="n">
        <v>-0.7</v>
      </c>
      <c r="I721" s="95" t="n">
        <v>-15.2</v>
      </c>
      <c r="J721" s="95" t="n">
        <v>-13.8</v>
      </c>
      <c r="K721" s="96" t="inlineStr">
        <is>
          <t>9980 EASTROC</t>
        </is>
      </c>
    </row>
    <row r="722">
      <c r="A722" s="16" t="inlineStr">
        <is>
          <t>China Winning Limited</t>
        </is>
      </c>
      <c r="B722" s="89" t="n">
        <v>1</v>
      </c>
      <c r="C722" s="94" t="n">
        <v>100</v>
      </c>
      <c r="D722" s="95" t="n">
        <v>1.5</v>
      </c>
      <c r="E722" s="95" t="n">
        <v>-10.1</v>
      </c>
      <c r="F722" s="95" t="n">
        <v>-20</v>
      </c>
      <c r="G722" s="95" t="n">
        <v>-29.1</v>
      </c>
      <c r="H722" s="95" t="n">
        <v>-11.4</v>
      </c>
      <c r="I722" s="95" t="n">
        <v>-21.2</v>
      </c>
      <c r="J722" s="95" t="n">
        <v>-30.2</v>
      </c>
      <c r="K722" s="96" t="inlineStr">
        <is>
          <t>3268 MEIG</t>
        </is>
      </c>
    </row>
    <row r="723">
      <c r="A723" s="16" t="inlineStr">
        <is>
          <t>Meiko Elec. Hong Kong Co., Limited</t>
        </is>
      </c>
      <c r="B723" s="89" t="n">
        <v>1</v>
      </c>
      <c r="C723" s="94" t="n">
        <v>100</v>
      </c>
      <c r="D723" s="95" t="n">
        <v>1.5</v>
      </c>
      <c r="E723" s="95" t="n">
        <v>-10.1</v>
      </c>
      <c r="F723" s="95" t="n">
        <v>-20</v>
      </c>
      <c r="G723" s="95" t="n">
        <v>-29.1</v>
      </c>
      <c r="H723" s="95" t="n">
        <v>-11.4</v>
      </c>
      <c r="I723" s="95" t="n">
        <v>-21.2</v>
      </c>
      <c r="J723" s="95" t="n">
        <v>-30.2</v>
      </c>
      <c r="K723" s="96" t="inlineStr">
        <is>
          <t>3268 MEIG</t>
        </is>
      </c>
    </row>
    <row r="724">
      <c r="A724" s="16" t="inlineStr">
        <is>
          <t>Mr. Chau Tsang Cheong</t>
        </is>
      </c>
      <c r="B724" s="89" t="n">
        <v>1</v>
      </c>
      <c r="C724" s="94" t="n">
        <v>100</v>
      </c>
      <c r="D724" s="95" t="n">
        <v>1.5</v>
      </c>
      <c r="E724" s="95" t="n">
        <v>-10.1</v>
      </c>
      <c r="F724" s="95" t="n">
        <v>-20</v>
      </c>
      <c r="G724" s="95" t="n">
        <v>-29.1</v>
      </c>
      <c r="H724" s="95" t="n">
        <v>-11.4</v>
      </c>
      <c r="I724" s="95" t="n">
        <v>-21.2</v>
      </c>
      <c r="J724" s="95" t="n">
        <v>-30.2</v>
      </c>
      <c r="K724" s="96" t="inlineStr">
        <is>
          <t>3268 MEIG</t>
        </is>
      </c>
    </row>
    <row r="725">
      <c r="A725" s="16" t="inlineStr">
        <is>
          <t>Open Wealth Management Limited</t>
        </is>
      </c>
      <c r="B725" s="89" t="n">
        <v>1</v>
      </c>
      <c r="C725" s="94" t="n">
        <v>100</v>
      </c>
      <c r="D725" s="95" t="n">
        <v>1.5</v>
      </c>
      <c r="E725" s="95" t="n">
        <v>-10.1</v>
      </c>
      <c r="F725" s="95" t="n">
        <v>-20</v>
      </c>
      <c r="G725" s="95" t="n">
        <v>-29.1</v>
      </c>
      <c r="H725" s="95" t="n">
        <v>-11.4</v>
      </c>
      <c r="I725" s="95" t="n">
        <v>-21.2</v>
      </c>
      <c r="J725" s="95" t="n">
        <v>-30.2</v>
      </c>
      <c r="K725" s="96" t="inlineStr">
        <is>
          <t>3268 MEIG</t>
        </is>
      </c>
    </row>
    <row r="726">
      <c r="A726" s="16" t="inlineStr">
        <is>
          <t>WinTwin Capital Limited</t>
        </is>
      </c>
      <c r="B726" s="89" t="n">
        <v>1</v>
      </c>
      <c r="C726" s="94" t="n">
        <v>100</v>
      </c>
      <c r="D726" s="95" t="n">
        <v>1.2</v>
      </c>
      <c r="E726" s="95" t="n">
        <v>17</v>
      </c>
      <c r="F726" s="95" t="n">
        <v>-25.3</v>
      </c>
      <c r="G726" s="95" t="n">
        <v>-1.3</v>
      </c>
      <c r="H726" s="95" t="n">
        <v>15.5</v>
      </c>
      <c r="I726" s="95" t="n">
        <v>-26.2</v>
      </c>
      <c r="J726" s="95" t="n">
        <v>-2.5</v>
      </c>
      <c r="K726" s="96" t="inlineStr">
        <is>
          <t>2170 BASECARE-B</t>
        </is>
      </c>
    </row>
    <row r="727">
      <c r="A727" s="16" t="inlineStr">
        <is>
          <t>RSC Ltd</t>
        </is>
      </c>
      <c r="B727" s="89" t="n">
        <v>1</v>
      </c>
      <c r="C727" s="94" t="n">
        <v>100</v>
      </c>
      <c r="D727" s="95" t="n">
        <v>1.1</v>
      </c>
      <c r="E727" s="95" t="n">
        <v>0.7</v>
      </c>
      <c r="F727" s="95" t="n">
        <v>0.3</v>
      </c>
      <c r="G727" s="95" t="n">
        <v>21.1</v>
      </c>
      <c r="H727" s="95" t="n">
        <v>-0.4</v>
      </c>
      <c r="I727" s="95" t="n">
        <v>-0.8</v>
      </c>
      <c r="J727" s="95" t="n">
        <v>19.8</v>
      </c>
      <c r="K727" s="96" t="inlineStr">
        <is>
          <t>1828 FWD</t>
        </is>
      </c>
    </row>
    <row r="728">
      <c r="A728" s="16" t="inlineStr">
        <is>
          <t>Crimson White Investment Pte. Ltd</t>
        </is>
      </c>
      <c r="B728" s="89" t="n">
        <v>1</v>
      </c>
      <c r="C728" s="94" t="n">
        <v>100</v>
      </c>
      <c r="D728" s="95" t="n">
        <v>1.1</v>
      </c>
      <c r="E728" s="95" t="n">
        <v>0.7</v>
      </c>
      <c r="F728" s="95" t="n">
        <v>0.3</v>
      </c>
      <c r="G728" s="95" t="n">
        <v>21.1</v>
      </c>
      <c r="H728" s="95" t="n">
        <v>-0.4</v>
      </c>
      <c r="I728" s="95" t="n">
        <v>-0.8</v>
      </c>
      <c r="J728" s="95" t="n">
        <v>19.8</v>
      </c>
      <c r="K728" s="96" t="inlineStr">
        <is>
          <t>1828 FWD</t>
        </is>
      </c>
    </row>
    <row r="729">
      <c r="A729" s="16" t="inlineStr">
        <is>
          <t>Apollo Principal Holdings C, L.P</t>
        </is>
      </c>
      <c r="B729" s="89" t="n">
        <v>1</v>
      </c>
      <c r="C729" s="94" t="n">
        <v>100</v>
      </c>
      <c r="D729" s="95" t="n">
        <v>1.1</v>
      </c>
      <c r="E729" s="95" t="n">
        <v>0.7</v>
      </c>
      <c r="F729" s="95" t="n">
        <v>0.3</v>
      </c>
      <c r="G729" s="95" t="n">
        <v>21.1</v>
      </c>
      <c r="H729" s="95" t="n">
        <v>-0.4</v>
      </c>
      <c r="I729" s="95" t="n">
        <v>-0.8</v>
      </c>
      <c r="J729" s="95" t="n">
        <v>19.8</v>
      </c>
      <c r="K729" s="96" t="inlineStr">
        <is>
          <t>1828 FWD</t>
        </is>
      </c>
    </row>
    <row r="730">
      <c r="A730" s="16" t="inlineStr">
        <is>
          <t>SCB X Public Company Limited</t>
        </is>
      </c>
      <c r="B730" s="89" t="n">
        <v>1</v>
      </c>
      <c r="C730" s="94" t="n">
        <v>100</v>
      </c>
      <c r="D730" s="95" t="n">
        <v>1.1</v>
      </c>
      <c r="E730" s="95" t="n">
        <v>0.7</v>
      </c>
      <c r="F730" s="95" t="n">
        <v>0.3</v>
      </c>
      <c r="G730" s="95" t="n">
        <v>21.1</v>
      </c>
      <c r="H730" s="95" t="n">
        <v>-0.4</v>
      </c>
      <c r="I730" s="95" t="n">
        <v>-0.8</v>
      </c>
      <c r="J730" s="95" t="n">
        <v>19.8</v>
      </c>
      <c r="K730" s="96" t="inlineStr">
        <is>
          <t>1828 FWD</t>
        </is>
      </c>
    </row>
    <row r="731">
      <c r="A731" s="16" t="inlineStr">
        <is>
          <t>DGA Capital (Master) Fund I LP</t>
        </is>
      </c>
      <c r="B731" s="89" t="n">
        <v>1</v>
      </c>
      <c r="C731" s="94" t="n">
        <v>100</v>
      </c>
      <c r="D731" s="95" t="n">
        <v>1.1</v>
      </c>
      <c r="E731" s="95" t="n">
        <v>0.7</v>
      </c>
      <c r="F731" s="95" t="n">
        <v>0.3</v>
      </c>
      <c r="G731" s="95" t="n">
        <v>21.1</v>
      </c>
      <c r="H731" s="95" t="n">
        <v>-0.4</v>
      </c>
      <c r="I731" s="95" t="n">
        <v>-0.8</v>
      </c>
      <c r="J731" s="95" t="n">
        <v>19.8</v>
      </c>
      <c r="K731" s="96" t="inlineStr">
        <is>
          <t>1828 FWD</t>
        </is>
      </c>
    </row>
    <row r="732">
      <c r="A732" s="16" t="inlineStr">
        <is>
          <t>Mr. Wang Wei</t>
        </is>
      </c>
      <c r="B732" s="89" t="n">
        <v>1</v>
      </c>
      <c r="C732" s="94" t="n">
        <v>100</v>
      </c>
      <c r="D732" s="95" t="n">
        <v>1</v>
      </c>
      <c r="E732" s="95" t="n">
        <v>1.5</v>
      </c>
      <c r="F732" s="95" t="n">
        <v>23.8</v>
      </c>
      <c r="G732" s="95" t="n">
        <v>313.5</v>
      </c>
      <c r="H732" s="95" t="n">
        <v>0.5</v>
      </c>
      <c r="I732" s="95" t="n">
        <v>22.5</v>
      </c>
      <c r="J732" s="95" t="n">
        <v>309.3</v>
      </c>
      <c r="K732" s="96" t="inlineStr">
        <is>
          <t>3317 XUNCE</t>
        </is>
      </c>
    </row>
    <row r="733">
      <c r="A733" s="16" t="inlineStr">
        <is>
          <t>Chongqing Dazuhuaiyuan Construction Investment Co., L</t>
        </is>
      </c>
      <c r="B733" s="89" t="n">
        <v>1</v>
      </c>
      <c r="C733" s="94" t="n">
        <v>100</v>
      </c>
      <c r="D733" s="95" t="n">
        <v>0.9</v>
      </c>
      <c r="E733" s="95" t="n">
        <v>-1.6</v>
      </c>
      <c r="F733" s="95" t="n">
        <v>0.5</v>
      </c>
      <c r="G733" s="95" t="n">
        <v>-1.4</v>
      </c>
      <c r="H733" s="95" t="n">
        <v>-2.6</v>
      </c>
      <c r="I733" s="95" t="n">
        <v>-0.4</v>
      </c>
      <c r="J733" s="95" t="n">
        <v>-2.3</v>
      </c>
      <c r="K733" s="96" t="inlineStr">
        <is>
          <t>2451 LUYUAN GP HLDG</t>
        </is>
      </c>
    </row>
    <row r="734">
      <c r="A734" s="16" t="inlineStr">
        <is>
          <t>Phylion Battery Co., Ltd</t>
        </is>
      </c>
      <c r="B734" s="89" t="n">
        <v>1</v>
      </c>
      <c r="C734" s="94" t="n">
        <v>100</v>
      </c>
      <c r="D734" s="95" t="n">
        <v>0.9</v>
      </c>
      <c r="E734" s="95" t="n">
        <v>-1.6</v>
      </c>
      <c r="F734" s="95" t="n">
        <v>0.5</v>
      </c>
      <c r="G734" s="95" t="n">
        <v>-1.4</v>
      </c>
      <c r="H734" s="95" t="n">
        <v>-2.6</v>
      </c>
      <c r="I734" s="95" t="n">
        <v>-0.4</v>
      </c>
      <c r="J734" s="95" t="n">
        <v>-2.3</v>
      </c>
      <c r="K734" s="96" t="inlineStr">
        <is>
          <t>2451 LUYUAN GP HLDG</t>
        </is>
      </c>
    </row>
    <row r="735">
      <c r="A735" s="16" t="inlineStr">
        <is>
          <t>E-Town International Holding (Hong Kong) Co., Limited</t>
        </is>
      </c>
      <c r="B735" s="89" t="n">
        <v>1</v>
      </c>
      <c r="C735" s="94" t="n">
        <v>100</v>
      </c>
      <c r="D735" s="95" t="n">
        <v>0.9</v>
      </c>
      <c r="E735" s="95" t="n">
        <v>-2.2</v>
      </c>
      <c r="F735" s="95" t="n">
        <v>0</v>
      </c>
      <c r="G735" s="95" t="n">
        <v>143.8</v>
      </c>
      <c r="H735" s="95" t="n">
        <v>-3.1</v>
      </c>
      <c r="I735" s="95" t="n">
        <v>-0.9</v>
      </c>
      <c r="J735" s="95" t="n">
        <v>141.5</v>
      </c>
      <c r="K735" s="96" t="inlineStr">
        <is>
          <t>9880 UBTECH ROBOTICS</t>
        </is>
      </c>
    </row>
    <row r="736">
      <c r="A736" s="16" t="inlineStr">
        <is>
          <t>Chen Xiong</t>
        </is>
      </c>
      <c r="B736" s="89" t="n">
        <v>1</v>
      </c>
      <c r="C736" s="94" t="n">
        <v>100</v>
      </c>
      <c r="D736" s="95" t="n">
        <v>0.8</v>
      </c>
      <c r="E736" s="95" t="n">
        <v>0.8</v>
      </c>
      <c r="F736" s="95" t="n">
        <v>0</v>
      </c>
      <c r="G736" s="95" t="n">
        <v>0</v>
      </c>
      <c r="H736" s="95" t="n">
        <v>0</v>
      </c>
      <c r="I736" s="95" t="n">
        <v>-0.8</v>
      </c>
      <c r="J736" s="95" t="n">
        <v>-0.8</v>
      </c>
      <c r="K736" s="96" t="inlineStr">
        <is>
          <t>2260 VANOV HOLDINGS</t>
        </is>
      </c>
    </row>
    <row r="737">
      <c r="A737" s="16" t="inlineStr">
        <is>
          <t>Gong Chaohui</t>
        </is>
      </c>
      <c r="B737" s="89" t="n">
        <v>1</v>
      </c>
      <c r="C737" s="94" t="n">
        <v>100</v>
      </c>
      <c r="D737" s="95" t="n">
        <v>0.8</v>
      </c>
      <c r="E737" s="95" t="n">
        <v>0.8</v>
      </c>
      <c r="F737" s="95" t="n">
        <v>0</v>
      </c>
      <c r="G737" s="95" t="n">
        <v>0</v>
      </c>
      <c r="H737" s="95" t="n">
        <v>0</v>
      </c>
      <c r="I737" s="95" t="n">
        <v>-0.8</v>
      </c>
      <c r="J737" s="95" t="n">
        <v>-0.8</v>
      </c>
      <c r="K737" s="96" t="inlineStr">
        <is>
          <t>2260 VANOV HOLDINGS</t>
        </is>
      </c>
    </row>
    <row r="738">
      <c r="A738" s="16" t="inlineStr">
        <is>
          <t>Duke King Holdings Limited</t>
        </is>
      </c>
      <c r="B738" s="89" t="n">
        <v>1</v>
      </c>
      <c r="C738" s="94" t="n">
        <v>100</v>
      </c>
      <c r="D738" s="95" t="n">
        <v>0.8</v>
      </c>
      <c r="E738" s="95" t="n">
        <v>-0.8</v>
      </c>
      <c r="F738" s="95" t="n">
        <v>-7.7</v>
      </c>
      <c r="G738" s="95" t="n">
        <v>-4.8</v>
      </c>
      <c r="H738" s="95" t="n">
        <v>-1.6</v>
      </c>
      <c r="I738" s="95" t="n">
        <v>-8.4</v>
      </c>
      <c r="J738" s="95" t="n">
        <v>-5.6</v>
      </c>
      <c r="K738" s="96" t="inlineStr">
        <is>
          <t>9636 JF WEALTH</t>
        </is>
      </c>
    </row>
    <row r="739">
      <c r="A739" s="16" t="inlineStr">
        <is>
          <t>Garland Glory Holdings Limited</t>
        </is>
      </c>
      <c r="B739" s="89" t="n">
        <v>1</v>
      </c>
      <c r="C739" s="94" t="n">
        <v>100</v>
      </c>
      <c r="D739" s="95" t="n">
        <v>0.8</v>
      </c>
      <c r="E739" s="95" t="n">
        <v>-0.8</v>
      </c>
      <c r="F739" s="95" t="n">
        <v>-7.7</v>
      </c>
      <c r="G739" s="95" t="n">
        <v>-4.8</v>
      </c>
      <c r="H739" s="95" t="n">
        <v>-1.6</v>
      </c>
      <c r="I739" s="95" t="n">
        <v>-8.4</v>
      </c>
      <c r="J739" s="95" t="n">
        <v>-5.6</v>
      </c>
      <c r="K739" s="96" t="inlineStr">
        <is>
          <t>9636 JF WEALTH</t>
        </is>
      </c>
    </row>
    <row r="740">
      <c r="A740" s="16" t="inlineStr">
        <is>
          <t>Orchid Asia V Co-Investment, Limited</t>
        </is>
      </c>
      <c r="B740" s="89" t="n">
        <v>1</v>
      </c>
      <c r="C740" s="94" t="n">
        <v>100</v>
      </c>
      <c r="D740" s="95" t="n">
        <v>0.8</v>
      </c>
      <c r="E740" s="95" t="n">
        <v>-0.8</v>
      </c>
      <c r="F740" s="95" t="n">
        <v>-7.7</v>
      </c>
      <c r="G740" s="95" t="n">
        <v>-4.8</v>
      </c>
      <c r="H740" s="95" t="n">
        <v>-1.6</v>
      </c>
      <c r="I740" s="95" t="n">
        <v>-8.4</v>
      </c>
      <c r="J740" s="95" t="n">
        <v>-5.6</v>
      </c>
      <c r="K740" s="96" t="inlineStr">
        <is>
          <t>9636 JF WEALTH</t>
        </is>
      </c>
    </row>
    <row r="741">
      <c r="A741" s="16" t="inlineStr">
        <is>
          <t>Welight Capital L.P</t>
        </is>
      </c>
      <c r="B741" s="89" t="n">
        <v>1</v>
      </c>
      <c r="C741" s="94" t="n">
        <v>100</v>
      </c>
      <c r="D741" s="95" t="n">
        <v>0.7</v>
      </c>
      <c r="E741" s="95" t="n">
        <v>1.6</v>
      </c>
      <c r="F741" s="95" t="n">
        <v>15.5</v>
      </c>
      <c r="G741" s="95" t="n">
        <v>0</v>
      </c>
      <c r="H741" s="95" t="n">
        <v>1</v>
      </c>
      <c r="I741" s="95" t="n">
        <v>14.8</v>
      </c>
      <c r="J741" s="95" t="n">
        <v>-0.7</v>
      </c>
      <c r="K741" s="96" t="inlineStr">
        <is>
          <t>3880 MEDTIDE</t>
        </is>
      </c>
    </row>
    <row r="742">
      <c r="A742" s="16" t="inlineStr">
        <is>
          <t>Shenzhen Victory Investment Fund Management Company Limited</t>
        </is>
      </c>
      <c r="B742" s="89" t="n">
        <v>1</v>
      </c>
      <c r="C742" s="94" t="n">
        <v>100</v>
      </c>
      <c r="D742" s="95" t="n">
        <v>0.6</v>
      </c>
      <c r="E742" s="95" t="n">
        <v>-3.4</v>
      </c>
      <c r="F742" s="95" t="n">
        <v>-1.6</v>
      </c>
      <c r="G742" s="95" t="n">
        <v>-6.5</v>
      </c>
      <c r="H742" s="95" t="n">
        <v>-4</v>
      </c>
      <c r="I742" s="95" t="n">
        <v>-2.2</v>
      </c>
      <c r="J742" s="95" t="n">
        <v>-7</v>
      </c>
      <c r="K742" s="96" t="inlineStr">
        <is>
          <t>3288 HAITIAN FLAV</t>
        </is>
      </c>
    </row>
    <row r="743">
      <c r="A743" s="16" t="inlineStr">
        <is>
          <t>Charm Harvest International Limited</t>
        </is>
      </c>
      <c r="B743" s="89" t="n">
        <v>1</v>
      </c>
      <c r="C743" s="94" t="n">
        <v>100</v>
      </c>
      <c r="D743" s="95" t="n">
        <v>0.6</v>
      </c>
      <c r="E743" s="95" t="n">
        <v>-2</v>
      </c>
      <c r="F743" s="95" t="n">
        <v>-17.6</v>
      </c>
      <c r="G743" s="95" t="n">
        <v>-24.2</v>
      </c>
      <c r="H743" s="95" t="n">
        <v>-2.6</v>
      </c>
      <c r="I743" s="95" t="n">
        <v>-18.1</v>
      </c>
      <c r="J743" s="95" t="n">
        <v>-24.6</v>
      </c>
      <c r="K743" s="96" t="inlineStr">
        <is>
          <t>2493 MABWELL-B</t>
        </is>
      </c>
    </row>
    <row r="744">
      <c r="A744" s="16" t="inlineStr">
        <is>
          <t>Junshi Hong Kong Limited</t>
        </is>
      </c>
      <c r="B744" s="89" t="n">
        <v>1</v>
      </c>
      <c r="C744" s="94" t="n">
        <v>100</v>
      </c>
      <c r="D744" s="95" t="n">
        <v>0.6</v>
      </c>
      <c r="E744" s="95" t="n">
        <v>-2</v>
      </c>
      <c r="F744" s="95" t="n">
        <v>-17.6</v>
      </c>
      <c r="G744" s="95" t="n">
        <v>-24.2</v>
      </c>
      <c r="H744" s="95" t="n">
        <v>-2.6</v>
      </c>
      <c r="I744" s="95" t="n">
        <v>-18.1</v>
      </c>
      <c r="J744" s="95" t="n">
        <v>-24.6</v>
      </c>
      <c r="K744" s="96" t="inlineStr">
        <is>
          <t>2493 MABWELL-B</t>
        </is>
      </c>
    </row>
    <row r="745">
      <c r="A745" s="16" t="inlineStr">
        <is>
          <t>Golden Star International Pty Limited</t>
        </is>
      </c>
      <c r="B745" s="89" t="n">
        <v>1</v>
      </c>
      <c r="C745" s="94" t="n">
        <v>100</v>
      </c>
      <c r="D745" s="95" t="n">
        <v>0.5</v>
      </c>
      <c r="E745" s="95" t="n">
        <v>5</v>
      </c>
      <c r="F745" s="95" t="n">
        <v>-25.8</v>
      </c>
      <c r="G745" s="95" t="n">
        <v>-45.3</v>
      </c>
      <c r="H745" s="95" t="n">
        <v>4.5</v>
      </c>
      <c r="I745" s="95" t="n">
        <v>-26.2</v>
      </c>
      <c r="J745" s="95" t="n">
        <v>-45.5</v>
      </c>
      <c r="K745" s="96" t="inlineStr">
        <is>
          <t>3658 NEW HOPE SERV</t>
        </is>
      </c>
    </row>
    <row r="746">
      <c r="A746" s="16" t="inlineStr">
        <is>
          <t>Neptune Investments Holdings Limited</t>
        </is>
      </c>
      <c r="B746" s="89" t="n">
        <v>1</v>
      </c>
      <c r="C746" s="94" t="n">
        <v>100</v>
      </c>
      <c r="D746" s="95" t="n">
        <v>0.5</v>
      </c>
      <c r="E746" s="95" t="n">
        <v>5</v>
      </c>
      <c r="F746" s="95" t="n">
        <v>-25.8</v>
      </c>
      <c r="G746" s="95" t="n">
        <v>-45.3</v>
      </c>
      <c r="H746" s="95" t="n">
        <v>4.5</v>
      </c>
      <c r="I746" s="95" t="n">
        <v>-26.2</v>
      </c>
      <c r="J746" s="95" t="n">
        <v>-45.5</v>
      </c>
      <c r="K746" s="96" t="inlineStr">
        <is>
          <t>3658 NEW HOPE SERV</t>
        </is>
      </c>
    </row>
    <row r="747">
      <c r="A747" s="16" t="inlineStr">
        <is>
          <t>Peak Reinsurance Company Limited</t>
        </is>
      </c>
      <c r="B747" s="89" t="n">
        <v>1</v>
      </c>
      <c r="C747" s="94" t="n">
        <v>100</v>
      </c>
      <c r="D747" s="95" t="n">
        <v>0.5</v>
      </c>
      <c r="E747" s="95" t="n">
        <v>5</v>
      </c>
      <c r="F747" s="95" t="n">
        <v>-25.8</v>
      </c>
      <c r="G747" s="95" t="n">
        <v>-45.3</v>
      </c>
      <c r="H747" s="95" t="n">
        <v>4.5</v>
      </c>
      <c r="I747" s="95" t="n">
        <v>-26.2</v>
      </c>
      <c r="J747" s="95" t="n">
        <v>-45.5</v>
      </c>
      <c r="K747" s="96" t="inlineStr">
        <is>
          <t>3658 NEW HOPE SERV</t>
        </is>
      </c>
    </row>
    <row r="748">
      <c r="A748" s="16" t="inlineStr">
        <is>
          <t>So-Young Hong Kong Limited</t>
        </is>
      </c>
      <c r="B748" s="89" t="n">
        <v>1</v>
      </c>
      <c r="C748" s="94" t="n">
        <v>100</v>
      </c>
      <c r="D748" s="95" t="n">
        <v>0.5</v>
      </c>
      <c r="E748" s="95" t="n">
        <v>38.7</v>
      </c>
      <c r="F748" s="95" t="n">
        <v>-1.6</v>
      </c>
      <c r="G748" s="95" t="n">
        <v>1.4</v>
      </c>
      <c r="H748" s="95" t="n">
        <v>38</v>
      </c>
      <c r="I748" s="95" t="n">
        <v>-2</v>
      </c>
      <c r="J748" s="95" t="n">
        <v>0.9</v>
      </c>
      <c r="K748" s="96" t="inlineStr">
        <is>
          <t>2487 CUTIA-B</t>
        </is>
      </c>
    </row>
    <row r="749">
      <c r="A749" s="16" t="inlineStr">
        <is>
          <t>HK InnoSC</t>
        </is>
      </c>
      <c r="B749" s="89" t="n">
        <v>1</v>
      </c>
      <c r="C749" s="94" t="n">
        <v>100</v>
      </c>
      <c r="D749" s="95" t="n">
        <v>0.5</v>
      </c>
      <c r="E749" s="95" t="n">
        <v>-0</v>
      </c>
      <c r="F749" s="95" t="n">
        <v>32.7</v>
      </c>
      <c r="G749" s="95" t="n">
        <v>44.2</v>
      </c>
      <c r="H749" s="95" t="n">
        <v>-0.5</v>
      </c>
      <c r="I749" s="95" t="n">
        <v>32.1</v>
      </c>
      <c r="J749" s="95" t="n">
        <v>43.5</v>
      </c>
      <c r="K749" s="96" t="inlineStr">
        <is>
          <t>2577 INNOSCIENCE</t>
        </is>
      </c>
    </row>
    <row r="750">
      <c r="A750" s="16" t="inlineStr">
        <is>
          <t>Inno CL</t>
        </is>
      </c>
      <c r="B750" s="89" t="n">
        <v>1</v>
      </c>
      <c r="C750" s="94" t="n">
        <v>100</v>
      </c>
      <c r="D750" s="95" t="n">
        <v>0.5</v>
      </c>
      <c r="E750" s="95" t="n">
        <v>-0</v>
      </c>
      <c r="F750" s="95" t="n">
        <v>32.7</v>
      </c>
      <c r="G750" s="95" t="n">
        <v>44.2</v>
      </c>
      <c r="H750" s="95" t="n">
        <v>-0.5</v>
      </c>
      <c r="I750" s="95" t="n">
        <v>32.1</v>
      </c>
      <c r="J750" s="95" t="n">
        <v>43.5</v>
      </c>
      <c r="K750" s="96" t="inlineStr">
        <is>
          <t>2577 INNOSCIENCE</t>
        </is>
      </c>
    </row>
    <row r="751">
      <c r="A751" s="16" t="inlineStr">
        <is>
          <t>Fuqing Shengde Calorie Investment Co., Ltd</t>
        </is>
      </c>
      <c r="B751" s="89" t="n">
        <v>1</v>
      </c>
      <c r="C751" s="94" t="n">
        <v>100</v>
      </c>
      <c r="D751" s="95" t="n">
        <v>0.3</v>
      </c>
      <c r="E751" s="95" t="n">
        <v>-0.2</v>
      </c>
      <c r="F751" s="95" t="n">
        <v>9.300000000000001</v>
      </c>
      <c r="G751" s="95" t="n">
        <v>0.6</v>
      </c>
      <c r="H751" s="95" t="n">
        <v>-0.5</v>
      </c>
      <c r="I751" s="95" t="n">
        <v>9</v>
      </c>
      <c r="J751" s="95" t="n">
        <v>0.3</v>
      </c>
      <c r="K751" s="96" t="inlineStr">
        <is>
          <t>3650 KEEP</t>
        </is>
      </c>
    </row>
    <row r="752">
      <c r="A752" s="16" t="inlineStr">
        <is>
          <t>Shenzhen Fenda Technology Co., Ltd</t>
        </is>
      </c>
      <c r="B752" s="89" t="n">
        <v>1</v>
      </c>
      <c r="C752" s="94" t="n">
        <v>100</v>
      </c>
      <c r="D752" s="95" t="n">
        <v>0.3</v>
      </c>
      <c r="E752" s="95" t="n">
        <v>-0.2</v>
      </c>
      <c r="F752" s="95" t="n">
        <v>9.300000000000001</v>
      </c>
      <c r="G752" s="95" t="n">
        <v>0.6</v>
      </c>
      <c r="H752" s="95" t="n">
        <v>-0.5</v>
      </c>
      <c r="I752" s="95" t="n">
        <v>9</v>
      </c>
      <c r="J752" s="95" t="n">
        <v>0.3</v>
      </c>
      <c r="K752" s="96" t="inlineStr">
        <is>
          <t>3650 KEEP</t>
        </is>
      </c>
    </row>
    <row r="753">
      <c r="A753" s="16" t="inlineStr">
        <is>
          <t>Leyard (HongKong) Co., Limited</t>
        </is>
      </c>
      <c r="B753" s="89" t="n">
        <v>1</v>
      </c>
      <c r="C753" s="94" t="n">
        <v>100</v>
      </c>
      <c r="D753" s="95" t="n">
        <v>0.3</v>
      </c>
      <c r="E753" s="95" t="n">
        <v>-19.4</v>
      </c>
      <c r="F753" s="95" t="n">
        <v>-7.8</v>
      </c>
      <c r="G753" s="95" t="n">
        <v>-12.5</v>
      </c>
      <c r="H753" s="95" t="n">
        <v>-19.6</v>
      </c>
      <c r="I753" s="95" t="n">
        <v>-8.1</v>
      </c>
      <c r="J753" s="95" t="n">
        <v>-12.8</v>
      </c>
      <c r="K753" s="96" t="inlineStr">
        <is>
          <t>2529 HOLLWIN URBAN</t>
        </is>
      </c>
    </row>
    <row r="754">
      <c r="A754" s="16" t="inlineStr">
        <is>
          <t>Sanan International Holding Co., Limited</t>
        </is>
      </c>
      <c r="B754" s="89" t="n">
        <v>1</v>
      </c>
      <c r="C754" s="94" t="n">
        <v>100</v>
      </c>
      <c r="D754" s="95" t="n">
        <v>0.3</v>
      </c>
      <c r="E754" s="95" t="n">
        <v>-19.4</v>
      </c>
      <c r="F754" s="95" t="n">
        <v>-7.8</v>
      </c>
      <c r="G754" s="95" t="n">
        <v>-12.5</v>
      </c>
      <c r="H754" s="95" t="n">
        <v>-19.6</v>
      </c>
      <c r="I754" s="95" t="n">
        <v>-8.1</v>
      </c>
      <c r="J754" s="95" t="n">
        <v>-12.8</v>
      </c>
      <c r="K754" s="96" t="inlineStr">
        <is>
          <t>2529 HOLLWIN URBAN</t>
        </is>
      </c>
    </row>
    <row r="755">
      <c r="A755" s="16" t="inlineStr">
        <is>
          <t>Xiangzheng Capital Limited</t>
        </is>
      </c>
      <c r="B755" s="89" t="n">
        <v>1</v>
      </c>
      <c r="C755" s="94" t="n">
        <v>100</v>
      </c>
      <c r="D755" s="95" t="n">
        <v>0.3</v>
      </c>
      <c r="E755" s="95" t="n">
        <v>-19.4</v>
      </c>
      <c r="F755" s="95" t="n">
        <v>-7.8</v>
      </c>
      <c r="G755" s="95" t="n">
        <v>-12.5</v>
      </c>
      <c r="H755" s="95" t="n">
        <v>-19.6</v>
      </c>
      <c r="I755" s="95" t="n">
        <v>-8.1</v>
      </c>
      <c r="J755" s="95" t="n">
        <v>-12.8</v>
      </c>
      <c r="K755" s="96" t="inlineStr">
        <is>
          <t>2529 HOLLWIN URBAN</t>
        </is>
      </c>
    </row>
    <row r="756">
      <c r="A756" s="16" t="inlineStr">
        <is>
          <t>FUHUIDA HK</t>
        </is>
      </c>
      <c r="B756" s="89" t="n">
        <v>1</v>
      </c>
      <c r="C756" s="94" t="n">
        <v>100</v>
      </c>
      <c r="D756" s="95" t="n">
        <v>0.3</v>
      </c>
      <c r="E756" s="95" t="n">
        <v>-18.8</v>
      </c>
      <c r="F756" s="95" t="n">
        <v>-30.5</v>
      </c>
      <c r="G756" s="95" t="n">
        <v>-42.1</v>
      </c>
      <c r="H756" s="95" t="n">
        <v>-19</v>
      </c>
      <c r="I756" s="95" t="n">
        <v>-30.7</v>
      </c>
      <c r="J756" s="95" t="n">
        <v>-42.3</v>
      </c>
      <c r="K756" s="96" t="inlineStr">
        <is>
          <t>1641 HX COLDCHAIN</t>
        </is>
      </c>
    </row>
    <row r="757">
      <c r="A757" s="16" t="inlineStr">
        <is>
          <t>Huang Fusheng (黃福生)</t>
        </is>
      </c>
      <c r="B757" s="89" t="n">
        <v>1</v>
      </c>
      <c r="C757" s="94" t="n">
        <v>100</v>
      </c>
      <c r="D757" s="95" t="n">
        <v>0.3</v>
      </c>
      <c r="E757" s="95" t="n">
        <v>-18.8</v>
      </c>
      <c r="F757" s="95" t="n">
        <v>-30.5</v>
      </c>
      <c r="G757" s="95" t="n">
        <v>-42.1</v>
      </c>
      <c r="H757" s="95" t="n">
        <v>-19</v>
      </c>
      <c r="I757" s="95" t="n">
        <v>-30.7</v>
      </c>
      <c r="J757" s="95" t="n">
        <v>-42.3</v>
      </c>
      <c r="K757" s="96" t="inlineStr">
        <is>
          <t>1641 HX COLDCHAIN</t>
        </is>
      </c>
    </row>
    <row r="758">
      <c r="A758" s="16" t="inlineStr">
        <is>
          <t>Cheng Yan (成燕)</t>
        </is>
      </c>
      <c r="B758" s="89" t="n">
        <v>1</v>
      </c>
      <c r="C758" s="94" t="n">
        <v>100</v>
      </c>
      <c r="D758" s="95" t="n">
        <v>0.3</v>
      </c>
      <c r="E758" s="95" t="n">
        <v>-18.8</v>
      </c>
      <c r="F758" s="95" t="n">
        <v>-30.5</v>
      </c>
      <c r="G758" s="95" t="n">
        <v>-42.1</v>
      </c>
      <c r="H758" s="95" t="n">
        <v>-19</v>
      </c>
      <c r="I758" s="95" t="n">
        <v>-30.7</v>
      </c>
      <c r="J758" s="95" t="n">
        <v>-42.3</v>
      </c>
      <c r="K758" s="96" t="inlineStr">
        <is>
          <t>1641 HX COLDCHAIN</t>
        </is>
      </c>
    </row>
    <row r="759">
      <c r="A759" s="16" t="inlineStr">
        <is>
          <t>Luo Tiexing (羅鐵興)</t>
        </is>
      </c>
      <c r="B759" s="89" t="n">
        <v>1</v>
      </c>
      <c r="C759" s="94" t="n">
        <v>100</v>
      </c>
      <c r="D759" s="95" t="n">
        <v>0.3</v>
      </c>
      <c r="E759" s="95" t="n">
        <v>-18.8</v>
      </c>
      <c r="F759" s="95" t="n">
        <v>-30.5</v>
      </c>
      <c r="G759" s="95" t="n">
        <v>-42.1</v>
      </c>
      <c r="H759" s="95" t="n">
        <v>-19</v>
      </c>
      <c r="I759" s="95" t="n">
        <v>-30.7</v>
      </c>
      <c r="J759" s="95" t="n">
        <v>-42.3</v>
      </c>
      <c r="K759" s="96" t="inlineStr">
        <is>
          <t>1641 HX COLDCHAIN</t>
        </is>
      </c>
    </row>
    <row r="760">
      <c r="A760" s="16" t="inlineStr">
        <is>
          <t>Li Changxiao (李昌孝)</t>
        </is>
      </c>
      <c r="B760" s="89" t="n">
        <v>1</v>
      </c>
      <c r="C760" s="94" t="n">
        <v>100</v>
      </c>
      <c r="D760" s="95" t="n">
        <v>0.3</v>
      </c>
      <c r="E760" s="95" t="n">
        <v>-18.8</v>
      </c>
      <c r="F760" s="95" t="n">
        <v>-30.5</v>
      </c>
      <c r="G760" s="95" t="n">
        <v>-42.1</v>
      </c>
      <c r="H760" s="95" t="n">
        <v>-19</v>
      </c>
      <c r="I760" s="95" t="n">
        <v>-30.7</v>
      </c>
      <c r="J760" s="95" t="n">
        <v>-42.3</v>
      </c>
      <c r="K760" s="96" t="inlineStr">
        <is>
          <t>1641 HX COLDCHAIN</t>
        </is>
      </c>
    </row>
    <row r="761">
      <c r="A761" s="16" t="inlineStr">
        <is>
          <t>Kong Yu (孔昱)</t>
        </is>
      </c>
      <c r="B761" s="89" t="n">
        <v>1</v>
      </c>
      <c r="C761" s="94" t="n">
        <v>100</v>
      </c>
      <c r="D761" s="95" t="n">
        <v>0.3</v>
      </c>
      <c r="E761" s="95" t="n">
        <v>-18.8</v>
      </c>
      <c r="F761" s="95" t="n">
        <v>-30.5</v>
      </c>
      <c r="G761" s="95" t="n">
        <v>-42.1</v>
      </c>
      <c r="H761" s="95" t="n">
        <v>-19</v>
      </c>
      <c r="I761" s="95" t="n">
        <v>-30.7</v>
      </c>
      <c r="J761" s="95" t="n">
        <v>-42.3</v>
      </c>
      <c r="K761" s="96" t="inlineStr">
        <is>
          <t>1641 HX COLDCHAIN</t>
        </is>
      </c>
    </row>
    <row r="762">
      <c r="A762" s="16" t="inlineStr">
        <is>
          <t>Li Zhenbin (李振斌)</t>
        </is>
      </c>
      <c r="B762" s="89" t="n">
        <v>1</v>
      </c>
      <c r="C762" s="94" t="n">
        <v>100</v>
      </c>
      <c r="D762" s="95" t="n">
        <v>0.3</v>
      </c>
      <c r="E762" s="95" t="n">
        <v>-18.8</v>
      </c>
      <c r="F762" s="95" t="n">
        <v>-30.5</v>
      </c>
      <c r="G762" s="95" t="n">
        <v>-42.1</v>
      </c>
      <c r="H762" s="95" t="n">
        <v>-19</v>
      </c>
      <c r="I762" s="95" t="n">
        <v>-30.7</v>
      </c>
      <c r="J762" s="95" t="n">
        <v>-42.3</v>
      </c>
      <c r="K762" s="96" t="inlineStr">
        <is>
          <t>1641 HX COLDCHAIN</t>
        </is>
      </c>
    </row>
    <row r="763">
      <c r="A763" s="16" t="inlineStr">
        <is>
          <t>Li Zhenwu (李振武)</t>
        </is>
      </c>
      <c r="B763" s="89" t="n">
        <v>1</v>
      </c>
      <c r="C763" s="94" t="n">
        <v>100</v>
      </c>
      <c r="D763" s="95" t="n">
        <v>0.3</v>
      </c>
      <c r="E763" s="95" t="n">
        <v>-18.8</v>
      </c>
      <c r="F763" s="95" t="n">
        <v>-30.5</v>
      </c>
      <c r="G763" s="95" t="n">
        <v>-42.1</v>
      </c>
      <c r="H763" s="95" t="n">
        <v>-19</v>
      </c>
      <c r="I763" s="95" t="n">
        <v>-30.7</v>
      </c>
      <c r="J763" s="95" t="n">
        <v>-42.3</v>
      </c>
      <c r="K763" s="96" t="inlineStr">
        <is>
          <t>1641 HX COLDCHAIN</t>
        </is>
      </c>
    </row>
    <row r="764">
      <c r="A764" s="16" t="inlineStr">
        <is>
          <t>Li Dengyun (李登雲)</t>
        </is>
      </c>
      <c r="B764" s="89" t="n">
        <v>1</v>
      </c>
      <c r="C764" s="94" t="n">
        <v>100</v>
      </c>
      <c r="D764" s="95" t="n">
        <v>0.3</v>
      </c>
      <c r="E764" s="95" t="n">
        <v>-18.8</v>
      </c>
      <c r="F764" s="95" t="n">
        <v>-30.5</v>
      </c>
      <c r="G764" s="95" t="n">
        <v>-42.1</v>
      </c>
      <c r="H764" s="95" t="n">
        <v>-19</v>
      </c>
      <c r="I764" s="95" t="n">
        <v>-30.7</v>
      </c>
      <c r="J764" s="95" t="n">
        <v>-42.3</v>
      </c>
      <c r="K764" s="96" t="inlineStr">
        <is>
          <t>1641 HX COLDCHAIN</t>
        </is>
      </c>
    </row>
    <row r="765">
      <c r="A765" s="16" t="inlineStr">
        <is>
          <t>Zhang Ying (張穎)</t>
        </is>
      </c>
      <c r="B765" s="89" t="n">
        <v>1</v>
      </c>
      <c r="C765" s="94" t="n">
        <v>100</v>
      </c>
      <c r="D765" s="95" t="n">
        <v>0.3</v>
      </c>
      <c r="E765" s="95" t="n">
        <v>-18.8</v>
      </c>
      <c r="F765" s="95" t="n">
        <v>-30.5</v>
      </c>
      <c r="G765" s="95" t="n">
        <v>-42.1</v>
      </c>
      <c r="H765" s="95" t="n">
        <v>-19</v>
      </c>
      <c r="I765" s="95" t="n">
        <v>-30.7</v>
      </c>
      <c r="J765" s="95" t="n">
        <v>-42.3</v>
      </c>
      <c r="K765" s="96" t="inlineStr">
        <is>
          <t>1641 HX COLDCHAIN</t>
        </is>
      </c>
    </row>
    <row r="766">
      <c r="A766" s="16" t="inlineStr">
        <is>
          <t>Pioneer Top Holdings Limited</t>
        </is>
      </c>
      <c r="B766" s="89" t="n">
        <v>1</v>
      </c>
      <c r="C766" s="94" t="n">
        <v>100</v>
      </c>
      <c r="D766" s="95" t="n">
        <v>0.2</v>
      </c>
      <c r="E766" s="95" t="n">
        <v>0</v>
      </c>
      <c r="F766" s="95" t="n">
        <v>31.1</v>
      </c>
      <c r="G766" s="95" t="n">
        <v>98.5</v>
      </c>
      <c r="H766" s="95" t="n">
        <v>-0.2</v>
      </c>
      <c r="I766" s="95" t="n">
        <v>30.8</v>
      </c>
      <c r="J766" s="95" t="n">
        <v>98</v>
      </c>
      <c r="K766" s="96" t="inlineStr">
        <is>
          <t>9879 MIGAO GROUP</t>
        </is>
      </c>
    </row>
    <row r="767">
      <c r="A767" s="16" t="inlineStr">
        <is>
          <t>Shenyang Xinchang Grain Trade Co., Ltd</t>
        </is>
      </c>
      <c r="B767" s="89" t="n">
        <v>1</v>
      </c>
      <c r="C767" s="94" t="n">
        <v>100</v>
      </c>
      <c r="D767" s="95" t="n">
        <v>0.2</v>
      </c>
      <c r="E767" s="95" t="n">
        <v>0</v>
      </c>
      <c r="F767" s="95" t="n">
        <v>31.1</v>
      </c>
      <c r="G767" s="95" t="n">
        <v>98.5</v>
      </c>
      <c r="H767" s="95" t="n">
        <v>-0.2</v>
      </c>
      <c r="I767" s="95" t="n">
        <v>30.8</v>
      </c>
      <c r="J767" s="95" t="n">
        <v>98</v>
      </c>
      <c r="K767" s="96" t="inlineStr">
        <is>
          <t>9879 MIGAO GROUP</t>
        </is>
      </c>
    </row>
    <row r="768">
      <c r="A768" s="16" t="inlineStr">
        <is>
          <t>Tongzhou International</t>
        </is>
      </c>
      <c r="B768" s="89" t="n">
        <v>1</v>
      </c>
      <c r="C768" s="94" t="n">
        <v>100</v>
      </c>
      <c r="D768" s="95" t="n">
        <v>0.2</v>
      </c>
      <c r="E768" s="95" t="n">
        <v>-0.4</v>
      </c>
      <c r="F768" s="95" t="n">
        <v>-0.4</v>
      </c>
      <c r="G768" s="95" t="n">
        <v>47.6</v>
      </c>
      <c r="H768" s="95" t="n">
        <v>-0.6</v>
      </c>
      <c r="I768" s="95" t="n">
        <v>-0.6</v>
      </c>
      <c r="J768" s="95" t="n">
        <v>47.3</v>
      </c>
      <c r="K768" s="96" t="inlineStr">
        <is>
          <t>2597 XUNZHONG</t>
        </is>
      </c>
    </row>
    <row r="769">
      <c r="A769" s="16" t="inlineStr">
        <is>
          <t>China New Rich Medicine Holding Co. Limited</t>
        </is>
      </c>
      <c r="B769" s="89" t="n">
        <v>1</v>
      </c>
      <c r="C769" s="94" t="n">
        <v>100</v>
      </c>
      <c r="D769" s="95" t="n">
        <v>0.1</v>
      </c>
      <c r="E769" s="95" t="n">
        <v>28.3</v>
      </c>
      <c r="F769" s="95" t="n">
        <v>15.1</v>
      </c>
      <c r="G769" s="95" t="n">
        <v>34.2</v>
      </c>
      <c r="H769" s="95" t="n">
        <v>28.1</v>
      </c>
      <c r="I769" s="95" t="n">
        <v>14.9</v>
      </c>
      <c r="J769" s="95" t="n">
        <v>34</v>
      </c>
      <c r="K769" s="96" t="inlineStr">
        <is>
          <t>2522 RIMAG GROUP</t>
        </is>
      </c>
    </row>
    <row r="770">
      <c r="A770" s="16" t="inlineStr">
        <is>
          <t>Excellent Investment Enterprise Management (Hong Kong) Co., Limited</t>
        </is>
      </c>
      <c r="B770" s="89" t="n">
        <v>1</v>
      </c>
      <c r="C770" s="94" t="n">
        <v>100</v>
      </c>
      <c r="D770" s="95" t="n">
        <v>0.1</v>
      </c>
      <c r="E770" s="95" t="n">
        <v>28.3</v>
      </c>
      <c r="F770" s="95" t="n">
        <v>15.1</v>
      </c>
      <c r="G770" s="95" t="n">
        <v>34.2</v>
      </c>
      <c r="H770" s="95" t="n">
        <v>28.1</v>
      </c>
      <c r="I770" s="95" t="n">
        <v>14.9</v>
      </c>
      <c r="J770" s="95" t="n">
        <v>34</v>
      </c>
      <c r="K770" s="96" t="inlineStr">
        <is>
          <t>2522 RIMAG GROUP</t>
        </is>
      </c>
    </row>
    <row r="771">
      <c r="A771" s="16" t="inlineStr">
        <is>
          <t>Hunter Ventures Limited</t>
        </is>
      </c>
      <c r="B771" s="89" t="n">
        <v>1</v>
      </c>
      <c r="C771" s="94" t="n">
        <v>100</v>
      </c>
      <c r="D771" s="95" t="n">
        <v>0.1</v>
      </c>
      <c r="E771" s="95" t="n">
        <v>40.2</v>
      </c>
      <c r="F771" s="95" t="n">
        <v>129.3</v>
      </c>
      <c r="G771" s="95" t="n">
        <v>33.4</v>
      </c>
      <c r="H771" s="95" t="n">
        <v>40.1</v>
      </c>
      <c r="I771" s="95" t="n">
        <v>129.1</v>
      </c>
      <c r="J771" s="95" t="n">
        <v>33.3</v>
      </c>
      <c r="K771" s="96" t="inlineStr">
        <is>
          <t>6600 ONEROBOTICS</t>
        </is>
      </c>
    </row>
    <row r="772">
      <c r="A772" s="16" t="inlineStr">
        <is>
          <t>Li Zhichen / 李志晨</t>
        </is>
      </c>
      <c r="B772" s="89" t="n">
        <v>1</v>
      </c>
      <c r="C772" s="94" t="n">
        <v>100</v>
      </c>
      <c r="D772" s="95" t="n">
        <v>0.1</v>
      </c>
      <c r="E772" s="95" t="n">
        <v>40.2</v>
      </c>
      <c r="F772" s="95" t="n">
        <v>129.3</v>
      </c>
      <c r="G772" s="95" t="n">
        <v>33.4</v>
      </c>
      <c r="H772" s="95" t="n">
        <v>40.1</v>
      </c>
      <c r="I772" s="95" t="n">
        <v>129.1</v>
      </c>
      <c r="J772" s="95" t="n">
        <v>33.3</v>
      </c>
      <c r="K772" s="96" t="inlineStr">
        <is>
          <t>6600 ONEROBOTICS</t>
        </is>
      </c>
    </row>
    <row r="773">
      <c r="A773" s="16" t="inlineStr">
        <is>
          <t>Pan Yang / 潘陽</t>
        </is>
      </c>
      <c r="B773" s="89" t="n">
        <v>1</v>
      </c>
      <c r="C773" s="94" t="n">
        <v>100</v>
      </c>
      <c r="D773" s="95" t="n">
        <v>0.1</v>
      </c>
      <c r="E773" s="95" t="n">
        <v>40.2</v>
      </c>
      <c r="F773" s="95" t="n">
        <v>129.3</v>
      </c>
      <c r="G773" s="95" t="n">
        <v>33.4</v>
      </c>
      <c r="H773" s="95" t="n">
        <v>40.1</v>
      </c>
      <c r="I773" s="95" t="n">
        <v>129.1</v>
      </c>
      <c r="J773" s="95" t="n">
        <v>33.3</v>
      </c>
      <c r="K773" s="96" t="inlineStr">
        <is>
          <t>6600 ONEROBOTICS</t>
        </is>
      </c>
    </row>
    <row r="774">
      <c r="A774" s="16" t="inlineStr">
        <is>
          <t>Brizan Ventures V LP</t>
        </is>
      </c>
      <c r="B774" s="89" t="n">
        <v>1</v>
      </c>
      <c r="C774" s="94" t="n">
        <v>100</v>
      </c>
      <c r="D774" s="95" t="n">
        <v>0.1</v>
      </c>
      <c r="E774" s="95" t="n">
        <v>40.2</v>
      </c>
      <c r="F774" s="95" t="n">
        <v>129.3</v>
      </c>
      <c r="G774" s="95" t="n">
        <v>33.4</v>
      </c>
      <c r="H774" s="95" t="n">
        <v>40.1</v>
      </c>
      <c r="I774" s="95" t="n">
        <v>129.1</v>
      </c>
      <c r="J774" s="95" t="n">
        <v>33.3</v>
      </c>
      <c r="K774" s="96" t="inlineStr">
        <is>
          <t>6600 ONEROBOTICS</t>
        </is>
      </c>
    </row>
    <row r="775">
      <c r="A775" s="16" t="inlineStr">
        <is>
          <t>Crotona Assets Limited</t>
        </is>
      </c>
      <c r="B775" s="89" t="n">
        <v>1</v>
      </c>
      <c r="C775" s="94" t="n">
        <v>0</v>
      </c>
      <c r="D775" s="95" t="n">
        <v>0</v>
      </c>
      <c r="E775" s="95" t="n">
        <v>10</v>
      </c>
      <c r="F775" s="95" t="n">
        <v>-13.9</v>
      </c>
      <c r="G775" s="95" t="n">
        <v>-33.8</v>
      </c>
      <c r="H775" s="95" t="n">
        <v>10</v>
      </c>
      <c r="I775" s="95" t="n">
        <v>-13.9</v>
      </c>
      <c r="J775" s="95" t="n">
        <v>-33.8</v>
      </c>
      <c r="K775" s="96" t="inlineStr">
        <is>
          <t>6626 YUEXIU SERVICES</t>
        </is>
      </c>
    </row>
    <row r="776">
      <c r="A776" s="16" t="inlineStr">
        <is>
          <t>Goingup Inc Limited</t>
        </is>
      </c>
      <c r="B776" s="89" t="n">
        <v>1</v>
      </c>
      <c r="C776" s="94" t="n">
        <v>0</v>
      </c>
      <c r="D776" s="95" t="n">
        <v>0</v>
      </c>
      <c r="E776" s="95" t="n">
        <v>10</v>
      </c>
      <c r="F776" s="95" t="n">
        <v>-13.9</v>
      </c>
      <c r="G776" s="95" t="n">
        <v>-33.8</v>
      </c>
      <c r="H776" s="95" t="n">
        <v>10</v>
      </c>
      <c r="I776" s="95" t="n">
        <v>-13.9</v>
      </c>
      <c r="J776" s="95" t="n">
        <v>-33.8</v>
      </c>
      <c r="K776" s="96" t="inlineStr">
        <is>
          <t>6626 YUEXIU SERVICES</t>
        </is>
      </c>
    </row>
    <row r="777">
      <c r="A777" s="16" t="inlineStr">
        <is>
          <t>Jiang Ganjun</t>
        </is>
      </c>
      <c r="B777" s="89" t="n">
        <v>1</v>
      </c>
      <c r="C777" s="94" t="n">
        <v>0</v>
      </c>
      <c r="D777" s="95" t="n">
        <v>0</v>
      </c>
      <c r="E777" s="95" t="n">
        <v>10</v>
      </c>
      <c r="F777" s="95" t="n">
        <v>-13.9</v>
      </c>
      <c r="G777" s="95" t="n">
        <v>-33.8</v>
      </c>
      <c r="H777" s="95" t="n">
        <v>10</v>
      </c>
      <c r="I777" s="95" t="n">
        <v>-13.9</v>
      </c>
      <c r="J777" s="95" t="n">
        <v>-33.8</v>
      </c>
      <c r="K777" s="96" t="inlineStr">
        <is>
          <t>6626 YUEXIU SERVICES</t>
        </is>
      </c>
    </row>
    <row r="778">
      <c r="A778" s="16" t="inlineStr">
        <is>
          <t>Kaiser Private Equity Fund SPC-SPI</t>
        </is>
      </c>
      <c r="B778" s="89" t="n">
        <v>1</v>
      </c>
      <c r="C778" s="94" t="n">
        <v>0</v>
      </c>
      <c r="D778" s="95" t="n">
        <v>0</v>
      </c>
      <c r="E778" s="95" t="n">
        <v>10</v>
      </c>
      <c r="F778" s="95" t="n">
        <v>-13.9</v>
      </c>
      <c r="G778" s="95" t="n">
        <v>-33.8</v>
      </c>
      <c r="H778" s="95" t="n">
        <v>10</v>
      </c>
      <c r="I778" s="95" t="n">
        <v>-13.9</v>
      </c>
      <c r="J778" s="95" t="n">
        <v>-33.8</v>
      </c>
      <c r="K778" s="96" t="inlineStr">
        <is>
          <t>6626 YUEXIU SERVICES</t>
        </is>
      </c>
    </row>
    <row r="779">
      <c r="A779" s="16" t="inlineStr">
        <is>
          <t>Ke Jiansheng</t>
        </is>
      </c>
      <c r="B779" s="89" t="n">
        <v>1</v>
      </c>
      <c r="C779" s="94" t="n">
        <v>0</v>
      </c>
      <c r="D779" s="95" t="n">
        <v>0</v>
      </c>
      <c r="E779" s="95" t="n">
        <v>10</v>
      </c>
      <c r="F779" s="95" t="n">
        <v>-13.9</v>
      </c>
      <c r="G779" s="95" t="n">
        <v>-33.8</v>
      </c>
      <c r="H779" s="95" t="n">
        <v>10</v>
      </c>
      <c r="I779" s="95" t="n">
        <v>-13.9</v>
      </c>
      <c r="J779" s="95" t="n">
        <v>-33.8</v>
      </c>
      <c r="K779" s="96" t="inlineStr">
        <is>
          <t>6626 YUEXIU SERVICES</t>
        </is>
      </c>
    </row>
    <row r="780">
      <c r="A780" s="16" t="inlineStr">
        <is>
          <t>Sunfly Holding Co., Ltd</t>
        </is>
      </c>
      <c r="B780" s="89" t="n">
        <v>1</v>
      </c>
      <c r="C780" s="94" t="n">
        <v>0</v>
      </c>
      <c r="D780" s="95" t="n">
        <v>0</v>
      </c>
      <c r="E780" s="95" t="n">
        <v>10</v>
      </c>
      <c r="F780" s="95" t="n">
        <v>-13.9</v>
      </c>
      <c r="G780" s="95" t="n">
        <v>-33.8</v>
      </c>
      <c r="H780" s="95" t="n">
        <v>10</v>
      </c>
      <c r="I780" s="95" t="n">
        <v>-13.9</v>
      </c>
      <c r="J780" s="95" t="n">
        <v>-33.8</v>
      </c>
      <c r="K780" s="96" t="inlineStr">
        <is>
          <t>6626 YUEXIU SERVICES</t>
        </is>
      </c>
    </row>
    <row r="781">
      <c r="A781" s="16" t="inlineStr">
        <is>
          <t>Wealthking Investments Limited</t>
        </is>
      </c>
      <c r="B781" s="89" t="n">
        <v>1</v>
      </c>
      <c r="C781" s="94" t="n">
        <v>0</v>
      </c>
      <c r="D781" s="95" t="n">
        <v>0</v>
      </c>
      <c r="E781" s="95" t="n">
        <v>10</v>
      </c>
      <c r="F781" s="95" t="n">
        <v>-13.9</v>
      </c>
      <c r="G781" s="95" t="n">
        <v>-33.8</v>
      </c>
      <c r="H781" s="95" t="n">
        <v>10</v>
      </c>
      <c r="I781" s="95" t="n">
        <v>-13.9</v>
      </c>
      <c r="J781" s="95" t="n">
        <v>-33.8</v>
      </c>
      <c r="K781" s="96" t="inlineStr">
        <is>
          <t>6626 YUEXIU SERVICES</t>
        </is>
      </c>
    </row>
    <row r="782">
      <c r="A782" s="16" t="inlineStr">
        <is>
          <t>Hangzhou Jintou Shenghan Investment Partnership (Limited Partnership)</t>
        </is>
      </c>
      <c r="B782" s="89" t="n">
        <v>1</v>
      </c>
      <c r="C782" s="94" t="n">
        <v>0</v>
      </c>
      <c r="D782" s="95" t="n">
        <v>0</v>
      </c>
      <c r="E782" s="95" t="n">
        <v>0</v>
      </c>
      <c r="F782" s="95" t="n">
        <v>9.800000000000001</v>
      </c>
      <c r="G782" s="95" t="n">
        <v>10.1</v>
      </c>
      <c r="H782" s="95" t="n">
        <v>0</v>
      </c>
      <c r="I782" s="95" t="n">
        <v>9.800000000000001</v>
      </c>
      <c r="J782" s="95" t="n">
        <v>10.1</v>
      </c>
      <c r="K782" s="96" t="inlineStr">
        <is>
          <t>2215 DEXIN SER GROUP</t>
        </is>
      </c>
    </row>
    <row r="783">
      <c r="A783" s="16" t="inlineStr">
        <is>
          <t>Hangzhou Light Industrial Association Investment Group Co.,Ltd</t>
        </is>
      </c>
      <c r="B783" s="89" t="n">
        <v>1</v>
      </c>
      <c r="C783" s="94" t="n">
        <v>0</v>
      </c>
      <c r="D783" s="95" t="n">
        <v>0</v>
      </c>
      <c r="E783" s="95" t="n">
        <v>0</v>
      </c>
      <c r="F783" s="95" t="n">
        <v>9.800000000000001</v>
      </c>
      <c r="G783" s="95" t="n">
        <v>10.1</v>
      </c>
      <c r="H783" s="95" t="n">
        <v>0</v>
      </c>
      <c r="I783" s="95" t="n">
        <v>9.800000000000001</v>
      </c>
      <c r="J783" s="95" t="n">
        <v>10.1</v>
      </c>
      <c r="K783" s="96" t="inlineStr">
        <is>
          <t>2215 DEXIN SER GROUP</t>
        </is>
      </c>
    </row>
    <row r="784">
      <c r="A784" s="16" t="inlineStr">
        <is>
          <t>JIC TRUST CO., LTD</t>
        </is>
      </c>
      <c r="B784" s="89" t="n">
        <v>1</v>
      </c>
      <c r="C784" s="94" t="n">
        <v>0</v>
      </c>
      <c r="D784" s="95" t="n">
        <v>0</v>
      </c>
      <c r="E784" s="95" t="n">
        <v>0</v>
      </c>
      <c r="F784" s="95" t="n">
        <v>9.800000000000001</v>
      </c>
      <c r="G784" s="95" t="n">
        <v>10.1</v>
      </c>
      <c r="H784" s="95" t="n">
        <v>0</v>
      </c>
      <c r="I784" s="95" t="n">
        <v>9.800000000000001</v>
      </c>
      <c r="J784" s="95" t="n">
        <v>10.1</v>
      </c>
      <c r="K784" s="96" t="inlineStr">
        <is>
          <t>2215 DEXIN SER GROUP</t>
        </is>
      </c>
    </row>
    <row r="785">
      <c r="A785" s="16" t="inlineStr">
        <is>
          <t>Maccura Biotechnology Co., Ltd</t>
        </is>
      </c>
      <c r="B785" s="89" t="n">
        <v>1</v>
      </c>
      <c r="C785" s="94" t="n">
        <v>0</v>
      </c>
      <c r="D785" s="95" t="n">
        <v>0</v>
      </c>
      <c r="E785" s="95" t="n">
        <v>-1.1</v>
      </c>
      <c r="F785" s="95" t="n">
        <v>-1.2</v>
      </c>
      <c r="G785" s="95" t="n">
        <v>-24.2</v>
      </c>
      <c r="H785" s="95" t="n">
        <v>-1.1</v>
      </c>
      <c r="I785" s="95" t="n">
        <v>-1.2</v>
      </c>
      <c r="J785" s="95" t="n">
        <v>-24.2</v>
      </c>
      <c r="K785" s="96" t="inlineStr">
        <is>
          <t>6667 MEGA GENOMICS</t>
        </is>
      </c>
    </row>
    <row r="786">
      <c r="A786" s="16" t="inlineStr">
        <is>
          <t>Nanchang Financial Holdings Co., Ltd</t>
        </is>
      </c>
      <c r="B786" s="89" t="n">
        <v>1</v>
      </c>
      <c r="C786" s="94" t="n">
        <v>0</v>
      </c>
      <c r="D786" s="95" t="n">
        <v>0</v>
      </c>
      <c r="E786" s="95" t="n">
        <v>-1.1</v>
      </c>
      <c r="F786" s="95" t="n">
        <v>-1.2</v>
      </c>
      <c r="G786" s="95" t="n">
        <v>-24.2</v>
      </c>
      <c r="H786" s="95" t="n">
        <v>-1.1</v>
      </c>
      <c r="I786" s="95" t="n">
        <v>-1.2</v>
      </c>
      <c r="J786" s="95" t="n">
        <v>-24.2</v>
      </c>
      <c r="K786" s="96" t="inlineStr">
        <is>
          <t>6667 MEGA GENOMICS</t>
        </is>
      </c>
    </row>
    <row r="787">
      <c r="A787" s="16" t="inlineStr">
        <is>
          <t>Kangshi No.1 LP</t>
        </is>
      </c>
      <c r="B787" s="89" t="n">
        <v>1</v>
      </c>
      <c r="C787" s="94" t="n">
        <v>0</v>
      </c>
      <c r="D787" s="95" t="n">
        <v>0</v>
      </c>
      <c r="E787" s="95" t="n">
        <v>11.9</v>
      </c>
      <c r="F787" s="95" t="n">
        <v>-1.5</v>
      </c>
      <c r="G787" s="95" t="n">
        <v>-38.1</v>
      </c>
      <c r="H787" s="95" t="n">
        <v>11.9</v>
      </c>
      <c r="I787" s="95" t="n">
        <v>-1.5</v>
      </c>
      <c r="J787" s="95" t="n">
        <v>-38.1</v>
      </c>
      <c r="K787" s="96" t="inlineStr">
        <is>
          <t>2361 SINOHEALTH HLDG</t>
        </is>
      </c>
    </row>
    <row r="788">
      <c r="A788" s="16" t="inlineStr">
        <is>
          <t>Luns Family Holdings Limited</t>
        </is>
      </c>
      <c r="B788" s="89" t="n">
        <v>1</v>
      </c>
      <c r="C788" s="94" t="n">
        <v>0</v>
      </c>
      <c r="D788" s="95" t="n">
        <v>0</v>
      </c>
      <c r="E788" s="95" t="n">
        <v>11.9</v>
      </c>
      <c r="F788" s="95" t="n">
        <v>-1.5</v>
      </c>
      <c r="G788" s="95" t="n">
        <v>-38.1</v>
      </c>
      <c r="H788" s="95" t="n">
        <v>11.9</v>
      </c>
      <c r="I788" s="95" t="n">
        <v>-1.5</v>
      </c>
      <c r="J788" s="95" t="n">
        <v>-38.1</v>
      </c>
      <c r="K788" s="96" t="inlineStr">
        <is>
          <t>2361 SINOHEALTH HLDG</t>
        </is>
      </c>
    </row>
    <row r="789">
      <c r="A789" s="16" t="inlineStr">
        <is>
          <t>Zheng Jingjie</t>
        </is>
      </c>
      <c r="B789" s="89" t="n">
        <v>1</v>
      </c>
      <c r="C789" s="94" t="n">
        <v>0</v>
      </c>
      <c r="D789" s="95" t="n">
        <v>0</v>
      </c>
      <c r="E789" s="95" t="n">
        <v>11.9</v>
      </c>
      <c r="F789" s="95" t="n">
        <v>-1.5</v>
      </c>
      <c r="G789" s="95" t="n">
        <v>-38.1</v>
      </c>
      <c r="H789" s="95" t="n">
        <v>11.9</v>
      </c>
      <c r="I789" s="95" t="n">
        <v>-1.5</v>
      </c>
      <c r="J789" s="95" t="n">
        <v>-38.1</v>
      </c>
      <c r="K789" s="96" t="inlineStr">
        <is>
          <t>2361 SINOHEALTH HLDG</t>
        </is>
      </c>
    </row>
    <row r="790">
      <c r="A790" s="16" t="inlineStr">
        <is>
          <t>LG Chem, Ltd</t>
        </is>
      </c>
      <c r="B790" s="89" t="n">
        <v>1</v>
      </c>
      <c r="C790" s="94" t="n">
        <v>0</v>
      </c>
      <c r="D790" s="95" t="n">
        <v>0</v>
      </c>
      <c r="E790" s="95" t="n">
        <v>-3.8</v>
      </c>
      <c r="F790" s="95" t="n">
        <v>4.3</v>
      </c>
      <c r="G790" s="95" t="n">
        <v>-21.2</v>
      </c>
      <c r="H790" s="95" t="n">
        <v>-3.8</v>
      </c>
      <c r="I790" s="95" t="n">
        <v>4.3</v>
      </c>
      <c r="J790" s="95" t="n">
        <v>-21.2</v>
      </c>
      <c r="K790" s="96" t="inlineStr">
        <is>
          <t>9696 TIANQI LITHIUM</t>
        </is>
      </c>
    </row>
    <row r="791">
      <c r="A791" s="16" t="inlineStr">
        <is>
          <t>Shenzhen Dynanonic Company Limited</t>
        </is>
      </c>
      <c r="B791" s="89" t="n">
        <v>1</v>
      </c>
      <c r="C791" s="94" t="n">
        <v>0</v>
      </c>
      <c r="D791" s="95" t="n">
        <v>0</v>
      </c>
      <c r="E791" s="95" t="n">
        <v>-3.8</v>
      </c>
      <c r="F791" s="95" t="n">
        <v>4.3</v>
      </c>
      <c r="G791" s="95" t="n">
        <v>-21.2</v>
      </c>
      <c r="H791" s="95" t="n">
        <v>-3.8</v>
      </c>
      <c r="I791" s="95" t="n">
        <v>4.3</v>
      </c>
      <c r="J791" s="95" t="n">
        <v>-21.2</v>
      </c>
      <c r="K791" s="96" t="inlineStr">
        <is>
          <t>9696 TIANQI LITHIUM</t>
        </is>
      </c>
    </row>
    <row r="792">
      <c r="A792" s="16" t="inlineStr">
        <is>
          <t>Shaanxi Tide Automobile Air Conditioning Co., Ltd</t>
        </is>
      </c>
      <c r="B792" s="89" t="n">
        <v>1</v>
      </c>
      <c r="C792" s="94" t="n">
        <v>0</v>
      </c>
      <c r="D792" s="95" t="n">
        <v>0</v>
      </c>
      <c r="E792" s="95" t="n">
        <v>-8.9</v>
      </c>
      <c r="F792" s="95" t="n">
        <v>-31.7</v>
      </c>
      <c r="G792" s="95" t="n">
        <v>-46.1</v>
      </c>
      <c r="H792" s="95" t="n">
        <v>-8.9</v>
      </c>
      <c r="I792" s="95" t="n">
        <v>-31.7</v>
      </c>
      <c r="J792" s="95" t="n">
        <v>-46.1</v>
      </c>
      <c r="K792" s="96" t="inlineStr">
        <is>
          <t>2418 DEEWIN</t>
        </is>
      </c>
    </row>
    <row r="793">
      <c r="A793" s="16" t="inlineStr">
        <is>
          <t>AMOREPACIFIC Group</t>
        </is>
      </c>
      <c r="B793" s="89" t="n">
        <v>1</v>
      </c>
      <c r="C793" s="94" t="n">
        <v>0</v>
      </c>
      <c r="D793" s="95" t="n">
        <v>0</v>
      </c>
      <c r="E793" s="95" t="n">
        <v>8.199999999999999</v>
      </c>
      <c r="F793" s="95" t="n">
        <v>17.1</v>
      </c>
      <c r="G793" s="95" t="n">
        <v>9.300000000000001</v>
      </c>
      <c r="H793" s="95" t="n">
        <v>8.199999999999999</v>
      </c>
      <c r="I793" s="95" t="n">
        <v>17.1</v>
      </c>
      <c r="J793" s="95" t="n">
        <v>9.300000000000001</v>
      </c>
      <c r="K793" s="96" t="inlineStr">
        <is>
          <t>1880 CTG DUTY-FREE</t>
        </is>
      </c>
    </row>
    <row r="794">
      <c r="A794" s="16" t="inlineStr">
        <is>
          <t>Luzhou Laojiao Co., Ltd</t>
        </is>
      </c>
      <c r="B794" s="89" t="n">
        <v>1</v>
      </c>
      <c r="C794" s="94" t="n">
        <v>0</v>
      </c>
      <c r="D794" s="95" t="n">
        <v>0</v>
      </c>
      <c r="E794" s="95" t="n">
        <v>8.199999999999999</v>
      </c>
      <c r="F794" s="95" t="n">
        <v>17.1</v>
      </c>
      <c r="G794" s="95" t="n">
        <v>9.300000000000001</v>
      </c>
      <c r="H794" s="95" t="n">
        <v>8.199999999999999</v>
      </c>
      <c r="I794" s="95" t="n">
        <v>17.1</v>
      </c>
      <c r="J794" s="95" t="n">
        <v>9.300000000000001</v>
      </c>
      <c r="K794" s="96" t="inlineStr">
        <is>
          <t>1880 CTG DUTY-FREE</t>
        </is>
      </c>
    </row>
    <row r="795">
      <c r="A795" s="16" t="inlineStr">
        <is>
          <t>Rongshi International Holding Company Limited</t>
        </is>
      </c>
      <c r="B795" s="89" t="n">
        <v>1</v>
      </c>
      <c r="C795" s="94" t="n">
        <v>0</v>
      </c>
      <c r="D795" s="95" t="n">
        <v>0</v>
      </c>
      <c r="E795" s="95" t="n">
        <v>8.199999999999999</v>
      </c>
      <c r="F795" s="95" t="n">
        <v>17.1</v>
      </c>
      <c r="G795" s="95" t="n">
        <v>9.300000000000001</v>
      </c>
      <c r="H795" s="95" t="n">
        <v>8.199999999999999</v>
      </c>
      <c r="I795" s="95" t="n">
        <v>17.1</v>
      </c>
      <c r="J795" s="95" t="n">
        <v>9.300000000000001</v>
      </c>
      <c r="K795" s="96" t="inlineStr">
        <is>
          <t>1880 CTG DUTY-FREE</t>
        </is>
      </c>
    </row>
    <row r="796">
      <c r="A796" s="16" t="inlineStr">
        <is>
          <t>Shanghai Airport Investment Corporation Limited</t>
        </is>
      </c>
      <c r="B796" s="89" t="n">
        <v>1</v>
      </c>
      <c r="C796" s="94" t="n">
        <v>0</v>
      </c>
      <c r="D796" s="95" t="n">
        <v>0</v>
      </c>
      <c r="E796" s="95" t="n">
        <v>8.199999999999999</v>
      </c>
      <c r="F796" s="95" t="n">
        <v>17.1</v>
      </c>
      <c r="G796" s="95" t="n">
        <v>9.300000000000001</v>
      </c>
      <c r="H796" s="95" t="n">
        <v>8.199999999999999</v>
      </c>
      <c r="I796" s="95" t="n">
        <v>17.1</v>
      </c>
      <c r="J796" s="95" t="n">
        <v>9.300000000000001</v>
      </c>
      <c r="K796" s="96" t="inlineStr">
        <is>
          <t>1880 CTG DUTY-FREE</t>
        </is>
      </c>
    </row>
    <row r="797">
      <c r="A797" s="16" t="inlineStr">
        <is>
          <t>Jumpcan International Co., Ltd</t>
        </is>
      </c>
      <c r="B797" s="89" t="n">
        <v>1</v>
      </c>
      <c r="C797" s="94" t="n">
        <v>0</v>
      </c>
      <c r="D797" s="95" t="n">
        <v>0</v>
      </c>
      <c r="E797" s="95" t="n">
        <v>0.3</v>
      </c>
      <c r="F797" s="95" t="n">
        <v>-1</v>
      </c>
      <c r="G797" s="95" t="n">
        <v>0</v>
      </c>
      <c r="H797" s="95" t="n">
        <v>0.3</v>
      </c>
      <c r="I797" s="95" t="n">
        <v>-1</v>
      </c>
      <c r="J797" s="95" t="n">
        <v>0</v>
      </c>
      <c r="K797" s="96" t="inlineStr">
        <is>
          <t>9886 DINGDANG HEALTH</t>
        </is>
      </c>
    </row>
    <row r="798">
      <c r="A798" s="16" t="inlineStr">
        <is>
          <t>Changzhou Jingce New Energy Tech Co., Ltd</t>
        </is>
      </c>
      <c r="B798" s="89" t="n">
        <v>1</v>
      </c>
      <c r="C798" s="94" t="n">
        <v>0</v>
      </c>
      <c r="D798" s="95" t="n">
        <v>0</v>
      </c>
      <c r="E798" s="95" t="n">
        <v>-2.6</v>
      </c>
      <c r="F798" s="95" t="n">
        <v>-37.8</v>
      </c>
      <c r="G798" s="95" t="n">
        <v>-45.8</v>
      </c>
      <c r="H798" s="95" t="n">
        <v>-2.6</v>
      </c>
      <c r="I798" s="95" t="n">
        <v>-37.8</v>
      </c>
      <c r="J798" s="95" t="n">
        <v>-45.8</v>
      </c>
      <c r="K798" s="96" t="inlineStr">
        <is>
          <t>3931 CALB</t>
        </is>
      </c>
    </row>
    <row r="799">
      <c r="A799" s="16" t="inlineStr">
        <is>
          <t>Hans Laser Technology Co., Limited</t>
        </is>
      </c>
      <c r="B799" s="89" t="n">
        <v>1</v>
      </c>
      <c r="C799" s="94" t="n">
        <v>0</v>
      </c>
      <c r="D799" s="95" t="n">
        <v>0</v>
      </c>
      <c r="E799" s="95" t="n">
        <v>-2.6</v>
      </c>
      <c r="F799" s="95" t="n">
        <v>-37.8</v>
      </c>
      <c r="G799" s="95" t="n">
        <v>-45.8</v>
      </c>
      <c r="H799" s="95" t="n">
        <v>-2.6</v>
      </c>
      <c r="I799" s="95" t="n">
        <v>-37.8</v>
      </c>
      <c r="J799" s="95" t="n">
        <v>-45.8</v>
      </c>
      <c r="K799" s="96" t="inlineStr">
        <is>
          <t>3931 CALB</t>
        </is>
      </c>
    </row>
    <row r="800">
      <c r="A800" s="16" t="inlineStr">
        <is>
          <t>Jiangmen New Energy</t>
        </is>
      </c>
      <c r="B800" s="89" t="n">
        <v>1</v>
      </c>
      <c r="C800" s="94" t="n">
        <v>0</v>
      </c>
      <c r="D800" s="95" t="n">
        <v>0</v>
      </c>
      <c r="E800" s="95" t="n">
        <v>-2.6</v>
      </c>
      <c r="F800" s="95" t="n">
        <v>-37.8</v>
      </c>
      <c r="G800" s="95" t="n">
        <v>-45.8</v>
      </c>
      <c r="H800" s="95" t="n">
        <v>-2.6</v>
      </c>
      <c r="I800" s="95" t="n">
        <v>-37.8</v>
      </c>
      <c r="J800" s="95" t="n">
        <v>-45.8</v>
      </c>
      <c r="K800" s="96" t="inlineStr">
        <is>
          <t>3931 CALB</t>
        </is>
      </c>
    </row>
    <row r="801">
      <c r="A801" s="16" t="inlineStr">
        <is>
          <t>Lv Lizhi</t>
        </is>
      </c>
      <c r="B801" s="89" t="n">
        <v>1</v>
      </c>
      <c r="C801" s="94" t="n">
        <v>0</v>
      </c>
      <c r="D801" s="95" t="n">
        <v>0</v>
      </c>
      <c r="E801" s="95" t="n">
        <v>-2.6</v>
      </c>
      <c r="F801" s="95" t="n">
        <v>-37.8</v>
      </c>
      <c r="G801" s="95" t="n">
        <v>-45.8</v>
      </c>
      <c r="H801" s="95" t="n">
        <v>-2.6</v>
      </c>
      <c r="I801" s="95" t="n">
        <v>-37.8</v>
      </c>
      <c r="J801" s="95" t="n">
        <v>-45.8</v>
      </c>
      <c r="K801" s="96" t="inlineStr">
        <is>
          <t>3931 CALB</t>
        </is>
      </c>
    </row>
    <row r="802">
      <c r="A802" s="16" t="inlineStr">
        <is>
          <t>Tianqi Lithium HK Co., Limited</t>
        </is>
      </c>
      <c r="B802" s="89" t="n">
        <v>1</v>
      </c>
      <c r="C802" s="94" t="n">
        <v>0</v>
      </c>
      <c r="D802" s="95" t="n">
        <v>0</v>
      </c>
      <c r="E802" s="95" t="n">
        <v>-2.6</v>
      </c>
      <c r="F802" s="95" t="n">
        <v>-37.8</v>
      </c>
      <c r="G802" s="95" t="n">
        <v>-45.8</v>
      </c>
      <c r="H802" s="95" t="n">
        <v>-2.6</v>
      </c>
      <c r="I802" s="95" t="n">
        <v>-37.8</v>
      </c>
      <c r="J802" s="95" t="n">
        <v>-45.8</v>
      </c>
      <c r="K802" s="96" t="inlineStr">
        <is>
          <t>3931 CALB</t>
        </is>
      </c>
    </row>
    <row r="803">
      <c r="A803" s="16" t="inlineStr">
        <is>
          <t>Tibet Nord Technology Co., Ltd</t>
        </is>
      </c>
      <c r="B803" s="89" t="n">
        <v>1</v>
      </c>
      <c r="C803" s="94" t="n">
        <v>0</v>
      </c>
      <c r="D803" s="95" t="n">
        <v>0</v>
      </c>
      <c r="E803" s="95" t="n">
        <v>-2.6</v>
      </c>
      <c r="F803" s="95" t="n">
        <v>-37.8</v>
      </c>
      <c r="G803" s="95" t="n">
        <v>-45.8</v>
      </c>
      <c r="H803" s="95" t="n">
        <v>-2.6</v>
      </c>
      <c r="I803" s="95" t="n">
        <v>-37.8</v>
      </c>
      <c r="J803" s="95" t="n">
        <v>-45.8</v>
      </c>
      <c r="K803" s="96" t="inlineStr">
        <is>
          <t>3931 CALB</t>
        </is>
      </c>
    </row>
    <row r="804">
      <c r="A804" s="16" t="inlineStr">
        <is>
          <t>TMA International PTE. LTD</t>
        </is>
      </c>
      <c r="B804" s="89" t="n">
        <v>1</v>
      </c>
      <c r="C804" s="94" t="n">
        <v>0</v>
      </c>
      <c r="D804" s="95" t="n">
        <v>0</v>
      </c>
      <c r="E804" s="95" t="n">
        <v>-2.6</v>
      </c>
      <c r="F804" s="95" t="n">
        <v>-37.8</v>
      </c>
      <c r="G804" s="95" t="n">
        <v>-45.8</v>
      </c>
      <c r="H804" s="95" t="n">
        <v>-2.6</v>
      </c>
      <c r="I804" s="95" t="n">
        <v>-37.8</v>
      </c>
      <c r="J804" s="95" t="n">
        <v>-45.8</v>
      </c>
      <c r="K804" s="96" t="inlineStr">
        <is>
          <t>3931 CALB</t>
        </is>
      </c>
    </row>
    <row r="805">
      <c r="A805" s="16" t="inlineStr">
        <is>
          <t>Wang Sing International Resources Limited</t>
        </is>
      </c>
      <c r="B805" s="89" t="n">
        <v>1</v>
      </c>
      <c r="C805" s="94" t="n">
        <v>0</v>
      </c>
      <c r="D805" s="95" t="n">
        <v>0</v>
      </c>
      <c r="E805" s="95" t="n">
        <v>-2.6</v>
      </c>
      <c r="F805" s="95" t="n">
        <v>-37.8</v>
      </c>
      <c r="G805" s="95" t="n">
        <v>-45.8</v>
      </c>
      <c r="H805" s="95" t="n">
        <v>-2.6</v>
      </c>
      <c r="I805" s="95" t="n">
        <v>-37.8</v>
      </c>
      <c r="J805" s="95" t="n">
        <v>-45.8</v>
      </c>
      <c r="K805" s="96" t="inlineStr">
        <is>
          <t>3931 CALB</t>
        </is>
      </c>
    </row>
    <row r="806">
      <c r="A806" s="16" t="inlineStr">
        <is>
          <t>XPeng Inc</t>
        </is>
      </c>
      <c r="B806" s="89" t="n">
        <v>1</v>
      </c>
      <c r="C806" s="94" t="n">
        <v>0</v>
      </c>
      <c r="D806" s="95" t="n">
        <v>0</v>
      </c>
      <c r="E806" s="95" t="n">
        <v>-2.6</v>
      </c>
      <c r="F806" s="95" t="n">
        <v>-37.8</v>
      </c>
      <c r="G806" s="95" t="n">
        <v>-45.8</v>
      </c>
      <c r="H806" s="95" t="n">
        <v>-2.6</v>
      </c>
      <c r="I806" s="95" t="n">
        <v>-37.8</v>
      </c>
      <c r="J806" s="95" t="n">
        <v>-45.8</v>
      </c>
      <c r="K806" s="96" t="inlineStr">
        <is>
          <t>3931 CALB</t>
        </is>
      </c>
    </row>
    <row r="807">
      <c r="A807" s="16" t="inlineStr">
        <is>
          <t>Zhenshi Group (HK) Heshi Composite Materials Co., Limited</t>
        </is>
      </c>
      <c r="B807" s="89" t="n">
        <v>1</v>
      </c>
      <c r="C807" s="94" t="n">
        <v>0</v>
      </c>
      <c r="D807" s="95" t="n">
        <v>0</v>
      </c>
      <c r="E807" s="95" t="n">
        <v>-2.6</v>
      </c>
      <c r="F807" s="95" t="n">
        <v>-37.8</v>
      </c>
      <c r="G807" s="95" t="n">
        <v>-45.8</v>
      </c>
      <c r="H807" s="95" t="n">
        <v>-2.6</v>
      </c>
      <c r="I807" s="95" t="n">
        <v>-37.8</v>
      </c>
      <c r="J807" s="95" t="n">
        <v>-45.8</v>
      </c>
      <c r="K807" s="96" t="inlineStr">
        <is>
          <t>3931 CALB</t>
        </is>
      </c>
    </row>
    <row r="808">
      <c r="A808" s="16" t="inlineStr">
        <is>
          <t>GEM Hong Kong International Co., Limited</t>
        </is>
      </c>
      <c r="B808" s="89" t="n">
        <v>1</v>
      </c>
      <c r="C808" s="94" t="n">
        <v>0</v>
      </c>
      <c r="D808" s="95" t="n">
        <v>0</v>
      </c>
      <c r="E808" s="95" t="n">
        <v>-3.7</v>
      </c>
      <c r="F808" s="95" t="n">
        <v>1.1</v>
      </c>
      <c r="G808" s="95" t="n">
        <v>-19.4</v>
      </c>
      <c r="H808" s="95" t="n">
        <v>-3.7</v>
      </c>
      <c r="I808" s="95" t="n">
        <v>1.1</v>
      </c>
      <c r="J808" s="95" t="n">
        <v>-19.4</v>
      </c>
      <c r="K808" s="96" t="inlineStr">
        <is>
          <t>2245 LYGEND RESOURCE</t>
        </is>
      </c>
    </row>
    <row r="809">
      <c r="A809" s="16" t="inlineStr">
        <is>
          <t>Hubei Ronbay Battery Triangle No. 1 Equity Investment Fund Partnership</t>
        </is>
      </c>
      <c r="B809" s="89" t="n">
        <v>1</v>
      </c>
      <c r="C809" s="94" t="n">
        <v>0</v>
      </c>
      <c r="D809" s="95" t="n">
        <v>0</v>
      </c>
      <c r="E809" s="95" t="n">
        <v>-3.7</v>
      </c>
      <c r="F809" s="95" t="n">
        <v>1.1</v>
      </c>
      <c r="G809" s="95" t="n">
        <v>-19.4</v>
      </c>
      <c r="H809" s="95" t="n">
        <v>-3.7</v>
      </c>
      <c r="I809" s="95" t="n">
        <v>1.1</v>
      </c>
      <c r="J809" s="95" t="n">
        <v>-19.4</v>
      </c>
      <c r="K809" s="96" t="inlineStr">
        <is>
          <t>2245 LYGEND RESOURCE</t>
        </is>
      </c>
    </row>
    <row r="810">
      <c r="A810" s="16" t="inlineStr">
        <is>
          <t>CL Kiwi Holding Ltd</t>
        </is>
      </c>
      <c r="B810" s="89" t="n">
        <v>1</v>
      </c>
      <c r="C810" s="94" t="n">
        <v>0</v>
      </c>
      <c r="D810" s="95" t="n">
        <v>0</v>
      </c>
      <c r="E810" s="95" t="n">
        <v>0</v>
      </c>
      <c r="F810" s="95" t="n">
        <v>-2.7</v>
      </c>
      <c r="G810" s="95" t="n">
        <v>-4.3</v>
      </c>
      <c r="H810" s="95" t="n">
        <v>0</v>
      </c>
      <c r="I810" s="95" t="n">
        <v>-2.7</v>
      </c>
      <c r="J810" s="95" t="n">
        <v>-4.3</v>
      </c>
      <c r="K810" s="96" t="inlineStr">
        <is>
          <t>2407 GAUSH MEDITECH</t>
        </is>
      </c>
    </row>
    <row r="811">
      <c r="A811" s="16" t="inlineStr">
        <is>
          <t>Fu Heliang</t>
        </is>
      </c>
      <c r="B811" s="89" t="n">
        <v>1</v>
      </c>
      <c r="C811" s="94" t="n">
        <v>0</v>
      </c>
      <c r="D811" s="95" t="n">
        <v>0</v>
      </c>
      <c r="E811" s="95" t="n">
        <v>-17.2</v>
      </c>
      <c r="F811" s="95" t="n">
        <v>-22</v>
      </c>
      <c r="G811" s="95" t="n">
        <v>-2.3</v>
      </c>
      <c r="H811" s="95" t="n">
        <v>-17.2</v>
      </c>
      <c r="I811" s="95" t="n">
        <v>-22</v>
      </c>
      <c r="J811" s="95" t="n">
        <v>-2.3</v>
      </c>
      <c r="K811" s="96" t="inlineStr">
        <is>
          <t>6955 BOAN BIOTECH-B</t>
        </is>
      </c>
    </row>
    <row r="812">
      <c r="A812" s="16" t="inlineStr">
        <is>
          <t>Sino Biopharmaceutical Limited</t>
        </is>
      </c>
      <c r="B812" s="89" t="n">
        <v>1</v>
      </c>
      <c r="C812" s="94" t="n">
        <v>0</v>
      </c>
      <c r="D812" s="95" t="n">
        <v>0</v>
      </c>
      <c r="E812" s="95" t="n">
        <v>-17.2</v>
      </c>
      <c r="F812" s="95" t="n">
        <v>-22</v>
      </c>
      <c r="G812" s="95" t="n">
        <v>-2.3</v>
      </c>
      <c r="H812" s="95" t="n">
        <v>-17.2</v>
      </c>
      <c r="I812" s="95" t="n">
        <v>-22</v>
      </c>
      <c r="J812" s="95" t="n">
        <v>-2.3</v>
      </c>
      <c r="K812" s="96" t="inlineStr">
        <is>
          <t>6955 BOAN BIOTECH-B</t>
        </is>
      </c>
    </row>
    <row r="813">
      <c r="A813" s="16" t="inlineStr">
        <is>
          <t>Astonish Investment Pte. Ltd</t>
        </is>
      </c>
      <c r="B813" s="89" t="n">
        <v>1</v>
      </c>
      <c r="C813" s="94" t="n">
        <v>0</v>
      </c>
      <c r="D813" s="95" t="n">
        <v>0</v>
      </c>
      <c r="E813" s="95" t="n">
        <v>0</v>
      </c>
      <c r="F813" s="95" t="n">
        <v>8.199999999999999</v>
      </c>
      <c r="G813" s="95" t="n">
        <v>-0.5</v>
      </c>
      <c r="H813" s="95" t="n">
        <v>0</v>
      </c>
      <c r="I813" s="95" t="n">
        <v>8.199999999999999</v>
      </c>
      <c r="J813" s="95" t="n">
        <v>-0.5</v>
      </c>
      <c r="K813" s="96" t="inlineStr">
        <is>
          <t>2402 SINOHYTEC</t>
        </is>
      </c>
    </row>
    <row r="814">
      <c r="A814" s="16" t="inlineStr">
        <is>
          <t>Jiang Gang International Investment Company Limited</t>
        </is>
      </c>
      <c r="B814" s="89" t="n">
        <v>1</v>
      </c>
      <c r="C814" s="94" t="n">
        <v>0</v>
      </c>
      <c r="D814" s="95" t="n">
        <v>0</v>
      </c>
      <c r="E814" s="95" t="n">
        <v>-19.7</v>
      </c>
      <c r="F814" s="95" t="n">
        <v>-22.2</v>
      </c>
      <c r="G814" s="95" t="n">
        <v>-26.9</v>
      </c>
      <c r="H814" s="95" t="n">
        <v>-19.7</v>
      </c>
      <c r="I814" s="95" t="n">
        <v>-22.2</v>
      </c>
      <c r="J814" s="95" t="n">
        <v>-26.9</v>
      </c>
      <c r="K814" s="96" t="inlineStr">
        <is>
          <t>2481 WISE LIVING TEC</t>
        </is>
      </c>
    </row>
    <row r="815">
      <c r="A815" s="16" t="inlineStr">
        <is>
          <t>Chengdu Puhua Kaizhi Biotechnology Co., Ltd</t>
        </is>
      </c>
      <c r="B815" s="89" t="n">
        <v>1</v>
      </c>
      <c r="C815" s="94" t="n">
        <v>0</v>
      </c>
      <c r="D815" s="95" t="n">
        <v>0</v>
      </c>
      <c r="E815" s="95" t="n">
        <v>-6.2</v>
      </c>
      <c r="F815" s="95" t="n">
        <v>-40.4</v>
      </c>
      <c r="G815" s="95" t="n">
        <v>-45.2</v>
      </c>
      <c r="H815" s="95" t="n">
        <v>-6.2</v>
      </c>
      <c r="I815" s="95" t="n">
        <v>-40.4</v>
      </c>
      <c r="J815" s="95" t="n">
        <v>-45.2</v>
      </c>
      <c r="K815" s="96" t="inlineStr">
        <is>
          <t>2496 YZYBIO-B</t>
        </is>
      </c>
    </row>
    <row r="816">
      <c r="A816" s="16" t="inlineStr">
        <is>
          <t>Wuhan Optics Valley Health Industry Investment Ltd</t>
        </is>
      </c>
      <c r="B816" s="89" t="n">
        <v>1</v>
      </c>
      <c r="C816" s="94" t="n">
        <v>0</v>
      </c>
      <c r="D816" s="95" t="n">
        <v>0</v>
      </c>
      <c r="E816" s="95" t="n">
        <v>-6.2</v>
      </c>
      <c r="F816" s="95" t="n">
        <v>-40.4</v>
      </c>
      <c r="G816" s="95" t="n">
        <v>-45.2</v>
      </c>
      <c r="H816" s="95" t="n">
        <v>-6.2</v>
      </c>
      <c r="I816" s="95" t="n">
        <v>-40.4</v>
      </c>
      <c r="J816" s="95" t="n">
        <v>-45.2</v>
      </c>
      <c r="K816" s="96" t="inlineStr">
        <is>
          <t>2496 YZYBIO-B</t>
        </is>
      </c>
    </row>
    <row r="817">
      <c r="A817" s="16" t="inlineStr">
        <is>
          <t>4399 Net Limited</t>
        </is>
      </c>
      <c r="B817" s="89" t="n">
        <v>1</v>
      </c>
      <c r="C817" s="94" t="n">
        <v>0</v>
      </c>
      <c r="D817" s="95" t="n">
        <v>0</v>
      </c>
      <c r="E817" s="95" t="n">
        <v>-3.9</v>
      </c>
      <c r="F817" s="95" t="n">
        <v>-14.3</v>
      </c>
      <c r="G817" s="95" t="n">
        <v>240.4</v>
      </c>
      <c r="H817" s="95" t="n">
        <v>-3.9</v>
      </c>
      <c r="I817" s="95" t="n">
        <v>-14.3</v>
      </c>
      <c r="J817" s="95" t="n">
        <v>240.4</v>
      </c>
      <c r="K817" s="96" t="inlineStr">
        <is>
          <t>9890 ZX INC</t>
        </is>
      </c>
    </row>
    <row r="818">
      <c r="A818" s="16" t="inlineStr">
        <is>
          <t>Aofei Data International Company Limited</t>
        </is>
      </c>
      <c r="B818" s="89" t="n">
        <v>1</v>
      </c>
      <c r="C818" s="94" t="n">
        <v>0</v>
      </c>
      <c r="D818" s="95" t="n">
        <v>0</v>
      </c>
      <c r="E818" s="95" t="n">
        <v>-3.9</v>
      </c>
      <c r="F818" s="95" t="n">
        <v>-14.3</v>
      </c>
      <c r="G818" s="95" t="n">
        <v>240.4</v>
      </c>
      <c r="H818" s="95" t="n">
        <v>-3.9</v>
      </c>
      <c r="I818" s="95" t="n">
        <v>-14.3</v>
      </c>
      <c r="J818" s="95" t="n">
        <v>240.4</v>
      </c>
      <c r="K818" s="96" t="inlineStr">
        <is>
          <t>9890 ZX INC</t>
        </is>
      </c>
    </row>
    <row r="819">
      <c r="A819" s="16" t="inlineStr">
        <is>
          <t>Hong Kong Longsin Co., Limited</t>
        </is>
      </c>
      <c r="B819" s="89" t="n">
        <v>1</v>
      </c>
      <c r="C819" s="94" t="n">
        <v>0</v>
      </c>
      <c r="D819" s="95" t="n">
        <v>0</v>
      </c>
      <c r="E819" s="95" t="n">
        <v>-3.9</v>
      </c>
      <c r="F819" s="95" t="n">
        <v>-14.3</v>
      </c>
      <c r="G819" s="95" t="n">
        <v>240.4</v>
      </c>
      <c r="H819" s="95" t="n">
        <v>-3.9</v>
      </c>
      <c r="I819" s="95" t="n">
        <v>-14.3</v>
      </c>
      <c r="J819" s="95" t="n">
        <v>240.4</v>
      </c>
      <c r="K819" s="96" t="inlineStr">
        <is>
          <t>9890 ZX INC</t>
        </is>
      </c>
    </row>
    <row r="820">
      <c r="A820" s="16" t="inlineStr">
        <is>
          <t>Shangrao High-speed Industrial Investment</t>
        </is>
      </c>
      <c r="B820" s="89" t="n">
        <v>1</v>
      </c>
      <c r="C820" s="94" t="n">
        <v>0</v>
      </c>
      <c r="D820" s="95" t="n">
        <v>0</v>
      </c>
      <c r="E820" s="95" t="n">
        <v>-3.9</v>
      </c>
      <c r="F820" s="95" t="n">
        <v>-14.3</v>
      </c>
      <c r="G820" s="95" t="n">
        <v>240.4</v>
      </c>
      <c r="H820" s="95" t="n">
        <v>-3.9</v>
      </c>
      <c r="I820" s="95" t="n">
        <v>-14.3</v>
      </c>
      <c r="J820" s="95" t="n">
        <v>240.4</v>
      </c>
      <c r="K820" s="96" t="inlineStr">
        <is>
          <t>9890 ZX INC</t>
        </is>
      </c>
    </row>
    <row r="821">
      <c r="A821" s="16" t="inlineStr">
        <is>
          <t>D1 SPV Jupiter (Hong Kong) Limited</t>
        </is>
      </c>
      <c r="B821" s="89" t="n">
        <v>1</v>
      </c>
      <c r="C821" s="94" t="n">
        <v>0</v>
      </c>
      <c r="D821" s="95" t="n">
        <v>0</v>
      </c>
      <c r="E821" s="95" t="n">
        <v>3.3</v>
      </c>
      <c r="F821" s="95" t="n">
        <v>-1.2</v>
      </c>
      <c r="G821" s="95" t="n">
        <v>34</v>
      </c>
      <c r="H821" s="95" t="n">
        <v>3.3</v>
      </c>
      <c r="I821" s="95" t="n">
        <v>-1.2</v>
      </c>
      <c r="J821" s="95" t="n">
        <v>34</v>
      </c>
      <c r="K821" s="96" t="inlineStr">
        <is>
          <t>1519 J&amp;T EXPRESS-W</t>
        </is>
      </c>
    </row>
    <row r="822">
      <c r="A822" s="16" t="inlineStr">
        <is>
          <t>Dahlia Investments Pte. Ltd</t>
        </is>
      </c>
      <c r="B822" s="89" t="n">
        <v>1</v>
      </c>
      <c r="C822" s="94" t="n">
        <v>0</v>
      </c>
      <c r="D822" s="95" t="n">
        <v>0</v>
      </c>
      <c r="E822" s="95" t="n">
        <v>3.3</v>
      </c>
      <c r="F822" s="95" t="n">
        <v>-1.2</v>
      </c>
      <c r="G822" s="95" t="n">
        <v>34</v>
      </c>
      <c r="H822" s="95" t="n">
        <v>3.3</v>
      </c>
      <c r="I822" s="95" t="n">
        <v>-1.2</v>
      </c>
      <c r="J822" s="95" t="n">
        <v>34</v>
      </c>
      <c r="K822" s="96" t="inlineStr">
        <is>
          <t>1519 J&amp;T EXPRESS-W</t>
        </is>
      </c>
    </row>
    <row r="823">
      <c r="A823" s="16" t="inlineStr">
        <is>
          <t>Hidden Hill SPV VIII</t>
        </is>
      </c>
      <c r="B823" s="89" t="n">
        <v>1</v>
      </c>
      <c r="C823" s="94" t="n">
        <v>0</v>
      </c>
      <c r="D823" s="95" t="n">
        <v>0</v>
      </c>
      <c r="E823" s="95" t="n">
        <v>3.3</v>
      </c>
      <c r="F823" s="95" t="n">
        <v>-1.2</v>
      </c>
      <c r="G823" s="95" t="n">
        <v>34</v>
      </c>
      <c r="H823" s="95" t="n">
        <v>3.3</v>
      </c>
      <c r="I823" s="95" t="n">
        <v>-1.2</v>
      </c>
      <c r="J823" s="95" t="n">
        <v>34</v>
      </c>
      <c r="K823" s="96" t="inlineStr">
        <is>
          <t>1519 J&amp;T EXPRESS-W</t>
        </is>
      </c>
    </row>
    <row r="824">
      <c r="A824" s="16" t="inlineStr">
        <is>
          <t>Jallion Global Limited</t>
        </is>
      </c>
      <c r="B824" s="89" t="n">
        <v>1</v>
      </c>
      <c r="C824" s="94" t="n">
        <v>0</v>
      </c>
      <c r="D824" s="95" t="n">
        <v>0</v>
      </c>
      <c r="E824" s="95" t="n">
        <v>3.3</v>
      </c>
      <c r="F824" s="95" t="n">
        <v>-1.2</v>
      </c>
      <c r="G824" s="95" t="n">
        <v>34</v>
      </c>
      <c r="H824" s="95" t="n">
        <v>3.3</v>
      </c>
      <c r="I824" s="95" t="n">
        <v>-1.2</v>
      </c>
      <c r="J824" s="95" t="n">
        <v>34</v>
      </c>
      <c r="K824" s="96" t="inlineStr">
        <is>
          <t>1519 J&amp;T EXPRESS-W</t>
        </is>
      </c>
    </row>
    <row r="825">
      <c r="A825" s="16" t="inlineStr">
        <is>
          <t>JNRY III HOLDINGS LIMITED</t>
        </is>
      </c>
      <c r="B825" s="89" t="n">
        <v>1</v>
      </c>
      <c r="C825" s="94" t="n">
        <v>0</v>
      </c>
      <c r="D825" s="95" t="n">
        <v>0</v>
      </c>
      <c r="E825" s="95" t="n">
        <v>3.3</v>
      </c>
      <c r="F825" s="95" t="n">
        <v>-1.2</v>
      </c>
      <c r="G825" s="95" t="n">
        <v>34</v>
      </c>
      <c r="H825" s="95" t="n">
        <v>3.3</v>
      </c>
      <c r="I825" s="95" t="n">
        <v>-1.2</v>
      </c>
      <c r="J825" s="95" t="n">
        <v>34</v>
      </c>
      <c r="K825" s="96" t="inlineStr">
        <is>
          <t>1519 J&amp;T EXPRESS-W</t>
        </is>
      </c>
    </row>
    <row r="826">
      <c r="A826" s="16" t="inlineStr">
        <is>
          <t>Joyous Tempinis Limited</t>
        </is>
      </c>
      <c r="B826" s="89" t="n">
        <v>1</v>
      </c>
      <c r="C826" s="94" t="n">
        <v>0</v>
      </c>
      <c r="D826" s="95" t="n">
        <v>0</v>
      </c>
      <c r="E826" s="95" t="n">
        <v>3.3</v>
      </c>
      <c r="F826" s="95" t="n">
        <v>-1.2</v>
      </c>
      <c r="G826" s="95" t="n">
        <v>34</v>
      </c>
      <c r="H826" s="95" t="n">
        <v>3.3</v>
      </c>
      <c r="I826" s="95" t="n">
        <v>-1.2</v>
      </c>
      <c r="J826" s="95" t="n">
        <v>34</v>
      </c>
      <c r="K826" s="96" t="inlineStr">
        <is>
          <t>1519 J&amp;T EXPRESS-W</t>
        </is>
      </c>
    </row>
    <row r="827">
      <c r="A827" s="16" t="inlineStr">
        <is>
          <t>Parallel Cluster Investment Limited</t>
        </is>
      </c>
      <c r="B827" s="89" t="n">
        <v>1</v>
      </c>
      <c r="C827" s="94" t="n">
        <v>0</v>
      </c>
      <c r="D827" s="95" t="n">
        <v>0</v>
      </c>
      <c r="E827" s="95" t="n">
        <v>3.3</v>
      </c>
      <c r="F827" s="95" t="n">
        <v>-1.2</v>
      </c>
      <c r="G827" s="95" t="n">
        <v>34</v>
      </c>
      <c r="H827" s="95" t="n">
        <v>3.3</v>
      </c>
      <c r="I827" s="95" t="n">
        <v>-1.2</v>
      </c>
      <c r="J827" s="95" t="n">
        <v>34</v>
      </c>
      <c r="K827" s="96" t="inlineStr">
        <is>
          <t>1519 J&amp;T EXPRESS-W</t>
        </is>
      </c>
    </row>
    <row r="828">
      <c r="A828" s="16" t="inlineStr">
        <is>
          <t>SC GGF III Holdco, Ltd</t>
        </is>
      </c>
      <c r="B828" s="89" t="n">
        <v>1</v>
      </c>
      <c r="C828" s="94" t="n">
        <v>0</v>
      </c>
      <c r="D828" s="95" t="n">
        <v>0</v>
      </c>
      <c r="E828" s="95" t="n">
        <v>3.3</v>
      </c>
      <c r="F828" s="95" t="n">
        <v>-1.2</v>
      </c>
      <c r="G828" s="95" t="n">
        <v>34</v>
      </c>
      <c r="H828" s="95" t="n">
        <v>3.3</v>
      </c>
      <c r="I828" s="95" t="n">
        <v>-1.2</v>
      </c>
      <c r="J828" s="95" t="n">
        <v>34</v>
      </c>
      <c r="K828" s="96" t="inlineStr">
        <is>
          <t>1519 J&amp;T EXPRESS-W</t>
        </is>
      </c>
    </row>
    <row r="829">
      <c r="A829" s="16" t="inlineStr">
        <is>
          <t>COFCO Capital Special Opportunity Fund 2 SP</t>
        </is>
      </c>
      <c r="B829" s="89" t="n">
        <v>1</v>
      </c>
      <c r="C829" s="94" t="n">
        <v>0</v>
      </c>
      <c r="D829" s="95" t="n">
        <v>0</v>
      </c>
      <c r="E829" s="95" t="n">
        <v>6.5</v>
      </c>
      <c r="F829" s="95" t="n">
        <v>22.9</v>
      </c>
      <c r="G829" s="95" t="n">
        <v>42.1</v>
      </c>
      <c r="H829" s="95" t="n">
        <v>6.5</v>
      </c>
      <c r="I829" s="95" t="n">
        <v>22.9</v>
      </c>
      <c r="J829" s="95" t="n">
        <v>42.1</v>
      </c>
      <c r="K829" s="96" t="inlineStr">
        <is>
          <t>2517 GUOQUAN</t>
        </is>
      </c>
    </row>
    <row r="830">
      <c r="A830" s="16" t="inlineStr">
        <is>
          <t>Jinding Capital Management (Shenzhen) Co., Ltd</t>
        </is>
      </c>
      <c r="B830" s="89" t="n">
        <v>1</v>
      </c>
      <c r="C830" s="94" t="n">
        <v>0</v>
      </c>
      <c r="D830" s="95" t="n">
        <v>0</v>
      </c>
      <c r="E830" s="95" t="n">
        <v>6.5</v>
      </c>
      <c r="F830" s="95" t="n">
        <v>22.9</v>
      </c>
      <c r="G830" s="95" t="n">
        <v>42.1</v>
      </c>
      <c r="H830" s="95" t="n">
        <v>6.5</v>
      </c>
      <c r="I830" s="95" t="n">
        <v>22.9</v>
      </c>
      <c r="J830" s="95" t="n">
        <v>42.1</v>
      </c>
      <c r="K830" s="96" t="inlineStr">
        <is>
          <t>2517 GUOQUAN</t>
        </is>
      </c>
    </row>
    <row r="831">
      <c r="A831" s="16" t="inlineStr">
        <is>
          <t>Profit Joy (Hong Kong) Limited</t>
        </is>
      </c>
      <c r="B831" s="89" t="n">
        <v>1</v>
      </c>
      <c r="C831" s="94" t="n">
        <v>0</v>
      </c>
      <c r="D831" s="95" t="n">
        <v>0</v>
      </c>
      <c r="E831" s="95" t="n">
        <v>6.5</v>
      </c>
      <c r="F831" s="95" t="n">
        <v>22.9</v>
      </c>
      <c r="G831" s="95" t="n">
        <v>42.1</v>
      </c>
      <c r="H831" s="95" t="n">
        <v>6.5</v>
      </c>
      <c r="I831" s="95" t="n">
        <v>22.9</v>
      </c>
      <c r="J831" s="95" t="n">
        <v>42.1</v>
      </c>
      <c r="K831" s="96" t="inlineStr">
        <is>
          <t>2517 GUOQUAN</t>
        </is>
      </c>
    </row>
    <row r="832">
      <c r="A832" s="16" t="inlineStr">
        <is>
          <t>Mingyang Smart Energy Group Co., Ltd</t>
        </is>
      </c>
      <c r="B832" s="89" t="n">
        <v>1</v>
      </c>
      <c r="C832" s="94" t="n">
        <v>0</v>
      </c>
      <c r="D832" s="95" t="n">
        <v>0</v>
      </c>
      <c r="E832" s="95" t="n">
        <v>-5.5</v>
      </c>
      <c r="F832" s="95" t="n">
        <v>-17.4</v>
      </c>
      <c r="G832" s="95" t="n">
        <v>-11.5</v>
      </c>
      <c r="H832" s="95" t="n">
        <v>-5.5</v>
      </c>
      <c r="I832" s="95" t="n">
        <v>-17.4</v>
      </c>
      <c r="J832" s="95" t="n">
        <v>-11.5</v>
      </c>
      <c r="K832" s="96" t="inlineStr">
        <is>
          <t>2520 SHANXI INSTALL</t>
        </is>
      </c>
    </row>
    <row r="833">
      <c r="A833" s="16" t="inlineStr">
        <is>
          <t>WU Chen</t>
        </is>
      </c>
      <c r="B833" s="89" t="n">
        <v>1</v>
      </c>
      <c r="C833" s="94" t="n">
        <v>0</v>
      </c>
      <c r="D833" s="95" t="n">
        <v>0</v>
      </c>
      <c r="E833" s="95" t="n">
        <v>-5.2</v>
      </c>
      <c r="F833" s="95" t="n">
        <v>1</v>
      </c>
      <c r="G833" s="95" t="n">
        <v>3.1</v>
      </c>
      <c r="H833" s="95" t="n">
        <v>-5.2</v>
      </c>
      <c r="I833" s="95" t="n">
        <v>1</v>
      </c>
      <c r="J833" s="95" t="n">
        <v>3.1</v>
      </c>
      <c r="K833" s="96" t="inlineStr">
        <is>
          <t>1497 YAN PALACE</t>
        </is>
      </c>
    </row>
    <row r="834">
      <c r="A834" s="16" t="inlineStr">
        <is>
          <t>Shenzhen Nanshan Strategic Emerging Industries Investment Co., Ltd</t>
        </is>
      </c>
      <c r="B834" s="89" t="n">
        <v>1</v>
      </c>
      <c r="C834" s="94" t="n">
        <v>0</v>
      </c>
      <c r="D834" s="95" t="n">
        <v>0</v>
      </c>
      <c r="E834" s="95" t="n">
        <v>0</v>
      </c>
      <c r="F834" s="95" t="n">
        <v>-9.300000000000001</v>
      </c>
      <c r="G834" s="95" t="n">
        <v>-1.2</v>
      </c>
      <c r="H834" s="95" t="n">
        <v>0</v>
      </c>
      <c r="I834" s="95" t="n">
        <v>-9.300000000000001</v>
      </c>
      <c r="J834" s="95" t="n">
        <v>-1.2</v>
      </c>
      <c r="K834" s="96" t="inlineStr">
        <is>
          <t>2498 ROBOSENSE</t>
        </is>
      </c>
    </row>
    <row r="835">
      <c r="A835" s="16" t="inlineStr">
        <is>
          <t>Changshu Southeast Industrial Investment Co., Ltd</t>
        </is>
      </c>
      <c r="B835" s="89" t="n">
        <v>1</v>
      </c>
      <c r="C835" s="94" t="n">
        <v>0</v>
      </c>
      <c r="D835" s="95" t="n">
        <v>0</v>
      </c>
      <c r="E835" s="95" t="n">
        <v>-10.4</v>
      </c>
      <c r="F835" s="95" t="n">
        <v>-9.6</v>
      </c>
      <c r="G835" s="95" t="n">
        <v>-30.2</v>
      </c>
      <c r="H835" s="95" t="n">
        <v>-10.4</v>
      </c>
      <c r="I835" s="95" t="n">
        <v>-9.6</v>
      </c>
      <c r="J835" s="95" t="n">
        <v>-30.2</v>
      </c>
      <c r="K835" s="96" t="inlineStr">
        <is>
          <t>2507 CIRRUS</t>
        </is>
      </c>
    </row>
    <row r="836">
      <c r="A836" s="16" t="inlineStr">
        <is>
          <t>Taicang High Tech Science and Innovation Development Co</t>
        </is>
      </c>
      <c r="B836" s="89" t="n">
        <v>1</v>
      </c>
      <c r="C836" s="94" t="n">
        <v>0</v>
      </c>
      <c r="D836" s="95" t="n">
        <v>0</v>
      </c>
      <c r="E836" s="95" t="n">
        <v>-10.4</v>
      </c>
      <c r="F836" s="95" t="n">
        <v>-9.6</v>
      </c>
      <c r="G836" s="95" t="n">
        <v>-30.2</v>
      </c>
      <c r="H836" s="95" t="n">
        <v>-10.4</v>
      </c>
      <c r="I836" s="95" t="n">
        <v>-9.6</v>
      </c>
      <c r="J836" s="95" t="n">
        <v>-30.2</v>
      </c>
      <c r="K836" s="96" t="inlineStr">
        <is>
          <t>2507 CIRRUS</t>
        </is>
      </c>
    </row>
    <row r="837">
      <c r="A837" s="16" t="inlineStr">
        <is>
          <t>Norges Bank</t>
        </is>
      </c>
      <c r="B837" s="89" t="n">
        <v>1</v>
      </c>
      <c r="C837" s="94" t="n">
        <v>0</v>
      </c>
      <c r="D837" s="95" t="n">
        <v>0</v>
      </c>
      <c r="E837" s="95" t="n">
        <v>-5</v>
      </c>
      <c r="F837" s="95" t="n">
        <v>-1.3</v>
      </c>
      <c r="G837" s="95" t="n">
        <v>10.9</v>
      </c>
      <c r="H837" s="95" t="n">
        <v>-5</v>
      </c>
      <c r="I837" s="95" t="n">
        <v>-1.3</v>
      </c>
      <c r="J837" s="95" t="n">
        <v>10.9</v>
      </c>
      <c r="K837" s="96" t="inlineStr">
        <is>
          <t>6936 SF HOLDING</t>
        </is>
      </c>
    </row>
    <row r="838">
      <c r="A838" s="16" t="inlineStr">
        <is>
          <t>International Mining Company Limited</t>
        </is>
      </c>
      <c r="B838" s="89" t="n">
        <v>1</v>
      </c>
      <c r="C838" s="94" t="n">
        <v>0</v>
      </c>
      <c r="D838" s="95" t="n">
        <v>0</v>
      </c>
      <c r="E838" s="95" t="n">
        <v>2</v>
      </c>
      <c r="F838" s="95" t="n">
        <v>25.5</v>
      </c>
      <c r="G838" s="95" t="n">
        <v>110.6</v>
      </c>
      <c r="H838" s="95" t="n">
        <v>2</v>
      </c>
      <c r="I838" s="95" t="n">
        <v>25.5</v>
      </c>
      <c r="J838" s="95" t="n">
        <v>110.6</v>
      </c>
      <c r="K838" s="96" t="inlineStr">
        <is>
          <t>6693 CHIFENG GOLD</t>
        </is>
      </c>
    </row>
    <row r="839">
      <c r="A839" s="16" t="inlineStr">
        <is>
          <t>Jefferies Hong Kong Limited</t>
        </is>
      </c>
      <c r="B839" s="89" t="n">
        <v>1</v>
      </c>
      <c r="C839" s="94" t="n">
        <v>0</v>
      </c>
      <c r="D839" s="95" t="n">
        <v>0</v>
      </c>
      <c r="E839" s="95" t="n">
        <v>-16.8</v>
      </c>
      <c r="F839" s="95" t="n">
        <v>-30.8</v>
      </c>
      <c r="G839" s="95" t="n">
        <v>-31</v>
      </c>
      <c r="H839" s="95" t="n">
        <v>-16.8</v>
      </c>
      <c r="I839" s="95" t="n">
        <v>-30.8</v>
      </c>
      <c r="J839" s="95" t="n">
        <v>-31</v>
      </c>
      <c r="K839" s="96" t="inlineStr">
        <is>
          <t>2561 VISEN PHARMA-B</t>
        </is>
      </c>
    </row>
    <row r="840">
      <c r="A840" s="16" t="inlineStr">
        <is>
          <t>Cosmic Clover Limited</t>
        </is>
      </c>
      <c r="B840" s="89" t="n">
        <v>1</v>
      </c>
      <c r="C840" s="94" t="n">
        <v>0</v>
      </c>
      <c r="D840" s="95" t="n">
        <v>0</v>
      </c>
      <c r="E840" s="95" t="n">
        <v>-16.8</v>
      </c>
      <c r="F840" s="95" t="n">
        <v>-30.8</v>
      </c>
      <c r="G840" s="95" t="n">
        <v>-31</v>
      </c>
      <c r="H840" s="95" t="n">
        <v>-16.8</v>
      </c>
      <c r="I840" s="95" t="n">
        <v>-30.8</v>
      </c>
      <c r="J840" s="95" t="n">
        <v>-31</v>
      </c>
      <c r="K840" s="96" t="inlineStr">
        <is>
          <t>2561 VISEN PHARMA-B</t>
        </is>
      </c>
    </row>
    <row r="841">
      <c r="A841" s="16" t="inlineStr">
        <is>
          <t>Logos Opportunities Fund II LP</t>
        </is>
      </c>
      <c r="B841" s="89" t="n">
        <v>1</v>
      </c>
      <c r="C841" s="94" t="n">
        <v>0</v>
      </c>
      <c r="D841" s="95" t="n">
        <v>0</v>
      </c>
      <c r="E841" s="95" t="n">
        <v>-16.8</v>
      </c>
      <c r="F841" s="95" t="n">
        <v>-30.8</v>
      </c>
      <c r="G841" s="95" t="n">
        <v>-31</v>
      </c>
      <c r="H841" s="95" t="n">
        <v>-16.8</v>
      </c>
      <c r="I841" s="95" t="n">
        <v>-30.8</v>
      </c>
      <c r="J841" s="95" t="n">
        <v>-31</v>
      </c>
      <c r="K841" s="96" t="inlineStr">
        <is>
          <t>2561 VISEN PHARMA-B</t>
        </is>
      </c>
    </row>
    <row r="842">
      <c r="A842" s="16" t="inlineStr">
        <is>
          <t>Xu Shihe (許世和)</t>
        </is>
      </c>
      <c r="B842" s="89" t="n">
        <v>1</v>
      </c>
      <c r="C842" s="94" t="n">
        <v>0</v>
      </c>
      <c r="D842" s="95" t="n">
        <v>0</v>
      </c>
      <c r="E842" s="95" t="n">
        <v>-14.4</v>
      </c>
      <c r="F842" s="95" t="n">
        <v>33.6</v>
      </c>
      <c r="G842" s="95" t="n">
        <v>11.2</v>
      </c>
      <c r="H842" s="95" t="n">
        <v>-14.4</v>
      </c>
      <c r="I842" s="95" t="n">
        <v>33.6</v>
      </c>
      <c r="J842" s="95" t="n">
        <v>11.2</v>
      </c>
      <c r="K842" s="96" t="inlineStr">
        <is>
          <t>2625 JIANGSU HORIZON</t>
        </is>
      </c>
    </row>
    <row r="843">
      <c r="A843" s="16" t="inlineStr">
        <is>
          <t>Yin Qin (印勤)</t>
        </is>
      </c>
      <c r="B843" s="89" t="n">
        <v>1</v>
      </c>
      <c r="C843" s="94" t="n">
        <v>0</v>
      </c>
      <c r="D843" s="95" t="n">
        <v>0</v>
      </c>
      <c r="E843" s="95" t="n">
        <v>-14.4</v>
      </c>
      <c r="F843" s="95" t="n">
        <v>33.6</v>
      </c>
      <c r="G843" s="95" t="n">
        <v>11.2</v>
      </c>
      <c r="H843" s="95" t="n">
        <v>-14.4</v>
      </c>
      <c r="I843" s="95" t="n">
        <v>33.6</v>
      </c>
      <c r="J843" s="95" t="n">
        <v>11.2</v>
      </c>
      <c r="K843" s="96" t="inlineStr">
        <is>
          <t>2625 JIANGSU HORIZON</t>
        </is>
      </c>
    </row>
    <row r="844">
      <c r="A844" s="16" t="inlineStr">
        <is>
          <t>Hu Qinghua (胡慶華)</t>
        </is>
      </c>
      <c r="B844" s="89" t="n">
        <v>1</v>
      </c>
      <c r="C844" s="94" t="n">
        <v>0</v>
      </c>
      <c r="D844" s="95" t="n">
        <v>0</v>
      </c>
      <c r="E844" s="95" t="n">
        <v>-14.4</v>
      </c>
      <c r="F844" s="95" t="n">
        <v>33.6</v>
      </c>
      <c r="G844" s="95" t="n">
        <v>11.2</v>
      </c>
      <c r="H844" s="95" t="n">
        <v>-14.4</v>
      </c>
      <c r="I844" s="95" t="n">
        <v>33.6</v>
      </c>
      <c r="J844" s="95" t="n">
        <v>11.2</v>
      </c>
      <c r="K844" s="96" t="inlineStr">
        <is>
          <t>2625 JIANGSU HORIZON</t>
        </is>
      </c>
    </row>
    <row r="845">
      <c r="A845" s="16" t="inlineStr">
        <is>
          <t>Zhu Zheng (朱政)</t>
        </is>
      </c>
      <c r="B845" s="89" t="n">
        <v>1</v>
      </c>
      <c r="C845" s="94" t="n">
        <v>0</v>
      </c>
      <c r="D845" s="95" t="n">
        <v>0</v>
      </c>
      <c r="E845" s="95" t="n">
        <v>-14.4</v>
      </c>
      <c r="F845" s="95" t="n">
        <v>33.6</v>
      </c>
      <c r="G845" s="95" t="n">
        <v>11.2</v>
      </c>
      <c r="H845" s="95" t="n">
        <v>-14.4</v>
      </c>
      <c r="I845" s="95" t="n">
        <v>33.6</v>
      </c>
      <c r="J845" s="95" t="n">
        <v>11.2</v>
      </c>
      <c r="K845" s="96" t="inlineStr">
        <is>
          <t>2625 JIANGSU HORIZON</t>
        </is>
      </c>
    </row>
    <row r="846">
      <c r="A846" s="16" t="inlineStr">
        <is>
          <t>Zhan Mingyu (詹明玉)</t>
        </is>
      </c>
      <c r="B846" s="89" t="n">
        <v>1</v>
      </c>
      <c r="C846" s="94" t="n">
        <v>0</v>
      </c>
      <c r="D846" s="95" t="n">
        <v>0</v>
      </c>
      <c r="E846" s="95" t="n">
        <v>-14.4</v>
      </c>
      <c r="F846" s="95" t="n">
        <v>33.6</v>
      </c>
      <c r="G846" s="95" t="n">
        <v>11.2</v>
      </c>
      <c r="H846" s="95" t="n">
        <v>-14.4</v>
      </c>
      <c r="I846" s="95" t="n">
        <v>33.6</v>
      </c>
      <c r="J846" s="95" t="n">
        <v>11.2</v>
      </c>
      <c r="K846" s="96" t="inlineStr">
        <is>
          <t>2625 JIANGSU HORIZON</t>
        </is>
      </c>
    </row>
    <row r="847">
      <c r="A847" s="16" t="inlineStr">
        <is>
          <t>Jiang Xianyue (江顯月)</t>
        </is>
      </c>
      <c r="B847" s="89" t="n">
        <v>1</v>
      </c>
      <c r="C847" s="94" t="n">
        <v>0</v>
      </c>
      <c r="D847" s="95" t="n">
        <v>0</v>
      </c>
      <c r="E847" s="95" t="n">
        <v>-14.4</v>
      </c>
      <c r="F847" s="95" t="n">
        <v>33.6</v>
      </c>
      <c r="G847" s="95" t="n">
        <v>11.2</v>
      </c>
      <c r="H847" s="95" t="n">
        <v>-14.4</v>
      </c>
      <c r="I847" s="95" t="n">
        <v>33.6</v>
      </c>
      <c r="J847" s="95" t="n">
        <v>11.2</v>
      </c>
      <c r="K847" s="96" t="inlineStr">
        <is>
          <t>2625 JIANGSU HORIZON</t>
        </is>
      </c>
    </row>
    <row r="848">
      <c r="A848" s="16" t="inlineStr">
        <is>
          <t>Yao Xinhua (姚新華)</t>
        </is>
      </c>
      <c r="B848" s="89" t="n">
        <v>1</v>
      </c>
      <c r="C848" s="94" t="n">
        <v>0</v>
      </c>
      <c r="D848" s="95" t="n">
        <v>0</v>
      </c>
      <c r="E848" s="95" t="n">
        <v>-14.4</v>
      </c>
      <c r="F848" s="95" t="n">
        <v>33.6</v>
      </c>
      <c r="G848" s="95" t="n">
        <v>11.2</v>
      </c>
      <c r="H848" s="95" t="n">
        <v>-14.4</v>
      </c>
      <c r="I848" s="95" t="n">
        <v>33.6</v>
      </c>
      <c r="J848" s="95" t="n">
        <v>11.2</v>
      </c>
      <c r="K848" s="96" t="inlineStr">
        <is>
          <t>2625 JIANGSU HORIZON</t>
        </is>
      </c>
    </row>
    <row r="849">
      <c r="A849" s="16" t="inlineStr">
        <is>
          <t>Guo Xia (郭霞)</t>
        </is>
      </c>
      <c r="B849" s="89" t="n">
        <v>1</v>
      </c>
      <c r="C849" s="94" t="n">
        <v>0</v>
      </c>
      <c r="D849" s="95" t="n">
        <v>0</v>
      </c>
      <c r="E849" s="95" t="n">
        <v>-14.4</v>
      </c>
      <c r="F849" s="95" t="n">
        <v>33.6</v>
      </c>
      <c r="G849" s="95" t="n">
        <v>11.2</v>
      </c>
      <c r="H849" s="95" t="n">
        <v>-14.4</v>
      </c>
      <c r="I849" s="95" t="n">
        <v>33.6</v>
      </c>
      <c r="J849" s="95" t="n">
        <v>11.2</v>
      </c>
      <c r="K849" s="96" t="inlineStr">
        <is>
          <t>2625 JIANGSU HORIZON</t>
        </is>
      </c>
    </row>
    <row r="850">
      <c r="A850" s="16" t="inlineStr">
        <is>
          <t>Lu Shouping (陸壽萍)</t>
        </is>
      </c>
      <c r="B850" s="89" t="n">
        <v>1</v>
      </c>
      <c r="C850" s="94" t="n">
        <v>0</v>
      </c>
      <c r="D850" s="95" t="n">
        <v>0</v>
      </c>
      <c r="E850" s="95" t="n">
        <v>-14.4</v>
      </c>
      <c r="F850" s="95" t="n">
        <v>33.6</v>
      </c>
      <c r="G850" s="95" t="n">
        <v>11.2</v>
      </c>
      <c r="H850" s="95" t="n">
        <v>-14.4</v>
      </c>
      <c r="I850" s="95" t="n">
        <v>33.6</v>
      </c>
      <c r="J850" s="95" t="n">
        <v>11.2</v>
      </c>
      <c r="K850" s="96" t="inlineStr">
        <is>
          <t>2625 JIANGSU HORIZON</t>
        </is>
      </c>
    </row>
    <row r="851">
      <c r="A851" s="16" t="inlineStr">
        <is>
          <t>Kan Chuanling (闞傳玲)</t>
        </is>
      </c>
      <c r="B851" s="89" t="n">
        <v>1</v>
      </c>
      <c r="C851" s="94" t="n">
        <v>0</v>
      </c>
      <c r="D851" s="95" t="n">
        <v>0</v>
      </c>
      <c r="E851" s="95" t="n">
        <v>-14.4</v>
      </c>
      <c r="F851" s="95" t="n">
        <v>33.6</v>
      </c>
      <c r="G851" s="95" t="n">
        <v>11.2</v>
      </c>
      <c r="H851" s="95" t="n">
        <v>-14.4</v>
      </c>
      <c r="I851" s="95" t="n">
        <v>33.6</v>
      </c>
      <c r="J851" s="95" t="n">
        <v>11.2</v>
      </c>
      <c r="K851" s="96" t="inlineStr">
        <is>
          <t>2625 JIANGSU HORIZON</t>
        </is>
      </c>
    </row>
    <row r="852">
      <c r="A852" s="16" t="inlineStr">
        <is>
          <t>Huang Haiyan (黃海燕)</t>
        </is>
      </c>
      <c r="B852" s="89" t="n">
        <v>1</v>
      </c>
      <c r="C852" s="94" t="n">
        <v>0</v>
      </c>
      <c r="D852" s="95" t="n">
        <v>0</v>
      </c>
      <c r="E852" s="95" t="n">
        <v>-14.4</v>
      </c>
      <c r="F852" s="95" t="n">
        <v>33.6</v>
      </c>
      <c r="G852" s="95" t="n">
        <v>11.2</v>
      </c>
      <c r="H852" s="95" t="n">
        <v>-14.4</v>
      </c>
      <c r="I852" s="95" t="n">
        <v>33.6</v>
      </c>
      <c r="J852" s="95" t="n">
        <v>11.2</v>
      </c>
      <c r="K852" s="96" t="inlineStr">
        <is>
          <t>2625 JIANGSU HORIZON</t>
        </is>
      </c>
    </row>
    <row r="853">
      <c r="A853" s="16" t="inlineStr">
        <is>
          <t>Zhen Yizuo (殷義左)</t>
        </is>
      </c>
      <c r="B853" s="89" t="n">
        <v>1</v>
      </c>
      <c r="C853" s="94" t="n">
        <v>0</v>
      </c>
      <c r="D853" s="95" t="n">
        <v>0</v>
      </c>
      <c r="E853" s="95" t="n">
        <v>-14.4</v>
      </c>
      <c r="F853" s="95" t="n">
        <v>33.6</v>
      </c>
      <c r="G853" s="95" t="n">
        <v>11.2</v>
      </c>
      <c r="H853" s="95" t="n">
        <v>-14.4</v>
      </c>
      <c r="I853" s="95" t="n">
        <v>33.6</v>
      </c>
      <c r="J853" s="95" t="n">
        <v>11.2</v>
      </c>
      <c r="K853" s="96" t="inlineStr">
        <is>
          <t>2625 JIANGSU HORIZON</t>
        </is>
      </c>
    </row>
    <row r="854">
      <c r="A854" s="16" t="inlineStr">
        <is>
          <t>Shen Zhigen (沈志艮)</t>
        </is>
      </c>
      <c r="B854" s="89" t="n">
        <v>1</v>
      </c>
      <c r="C854" s="94" t="n">
        <v>0</v>
      </c>
      <c r="D854" s="95" t="n">
        <v>0</v>
      </c>
      <c r="E854" s="95" t="n">
        <v>-14.4</v>
      </c>
      <c r="F854" s="95" t="n">
        <v>33.6</v>
      </c>
      <c r="G854" s="95" t="n">
        <v>11.2</v>
      </c>
      <c r="H854" s="95" t="n">
        <v>-14.4</v>
      </c>
      <c r="I854" s="95" t="n">
        <v>33.6</v>
      </c>
      <c r="J854" s="95" t="n">
        <v>11.2</v>
      </c>
      <c r="K854" s="96" t="inlineStr">
        <is>
          <t>2625 JIANGSU HORIZON</t>
        </is>
      </c>
    </row>
    <row r="855">
      <c r="A855" s="16" t="inlineStr">
        <is>
          <t>Xia Zhonglin (夏忠林)</t>
        </is>
      </c>
      <c r="B855" s="89" t="n">
        <v>1</v>
      </c>
      <c r="C855" s="94" t="n">
        <v>0</v>
      </c>
      <c r="D855" s="95" t="n">
        <v>0</v>
      </c>
      <c r="E855" s="95" t="n">
        <v>-14.4</v>
      </c>
      <c r="F855" s="95" t="n">
        <v>33.6</v>
      </c>
      <c r="G855" s="95" t="n">
        <v>11.2</v>
      </c>
      <c r="H855" s="95" t="n">
        <v>-14.4</v>
      </c>
      <c r="I855" s="95" t="n">
        <v>33.6</v>
      </c>
      <c r="J855" s="95" t="n">
        <v>11.2</v>
      </c>
      <c r="K855" s="96" t="inlineStr">
        <is>
          <t>2625 JIANGSU HORIZON</t>
        </is>
      </c>
    </row>
    <row r="856">
      <c r="A856" s="16" t="inlineStr">
        <is>
          <t>Lin Yuan</t>
        </is>
      </c>
      <c r="B856" s="89" t="n">
        <v>1</v>
      </c>
      <c r="C856" s="94" t="n">
        <v>0</v>
      </c>
      <c r="D856" s="95" t="n">
        <v>0</v>
      </c>
      <c r="E856" s="95" t="n">
        <v>-12.2</v>
      </c>
      <c r="F856" s="95" t="n">
        <v>-11.9</v>
      </c>
      <c r="G856" s="95" t="n">
        <v>-26.2</v>
      </c>
      <c r="H856" s="95" t="n">
        <v>-12.2</v>
      </c>
      <c r="I856" s="95" t="n">
        <v>-11.9</v>
      </c>
      <c r="J856" s="95" t="n">
        <v>-26.2</v>
      </c>
      <c r="K856" s="96" t="inlineStr">
        <is>
          <t>9927 SERES</t>
        </is>
      </c>
    </row>
    <row r="857">
      <c r="A857" s="16" t="inlineStr">
        <is>
          <t>Sanhua (Hong Kong)</t>
        </is>
      </c>
      <c r="B857" s="89" t="n">
        <v>1</v>
      </c>
      <c r="C857" s="94" t="n">
        <v>0</v>
      </c>
      <c r="D857" s="95" t="n">
        <v>0</v>
      </c>
      <c r="E857" s="95" t="n">
        <v>-12.2</v>
      </c>
      <c r="F857" s="95" t="n">
        <v>-11.9</v>
      </c>
      <c r="G857" s="95" t="n">
        <v>-26.2</v>
      </c>
      <c r="H857" s="95" t="n">
        <v>-12.2</v>
      </c>
      <c r="I857" s="95" t="n">
        <v>-11.9</v>
      </c>
      <c r="J857" s="95" t="n">
        <v>-26.2</v>
      </c>
      <c r="K857" s="96" t="inlineStr">
        <is>
          <t>9927 SERES</t>
        </is>
      </c>
    </row>
    <row r="858">
      <c r="A858" s="16" t="inlineStr">
        <is>
          <t>Zhink International</t>
        </is>
      </c>
      <c r="B858" s="89" t="n">
        <v>1</v>
      </c>
      <c r="C858" s="94" t="n">
        <v>0</v>
      </c>
      <c r="D858" s="95" t="n">
        <v>0</v>
      </c>
      <c r="E858" s="95" t="n">
        <v>-12.2</v>
      </c>
      <c r="F858" s="95" t="n">
        <v>-11.9</v>
      </c>
      <c r="G858" s="95" t="n">
        <v>-26.2</v>
      </c>
      <c r="H858" s="95" t="n">
        <v>-12.2</v>
      </c>
      <c r="I858" s="95" t="n">
        <v>-11.9</v>
      </c>
      <c r="J858" s="95" t="n">
        <v>-26.2</v>
      </c>
      <c r="K858" s="96" t="inlineStr">
        <is>
          <t>9927 SERES</t>
        </is>
      </c>
    </row>
    <row r="859">
      <c r="A859" s="16" t="inlineStr">
        <is>
          <t>Honour Goal Investments</t>
        </is>
      </c>
      <c r="B859" s="89" t="n">
        <v>1</v>
      </c>
      <c r="C859" s="94" t="n">
        <v>0</v>
      </c>
      <c r="D859" s="95" t="n">
        <v>0</v>
      </c>
      <c r="E859" s="95" t="n">
        <v>-12.2</v>
      </c>
      <c r="F859" s="95" t="n">
        <v>-11.9</v>
      </c>
      <c r="G859" s="95" t="n">
        <v>-26.2</v>
      </c>
      <c r="H859" s="95" t="n">
        <v>-12.2</v>
      </c>
      <c r="I859" s="95" t="n">
        <v>-11.9</v>
      </c>
      <c r="J859" s="95" t="n">
        <v>-26.2</v>
      </c>
      <c r="K859" s="96" t="inlineStr">
        <is>
          <t>9927 SERES</t>
        </is>
      </c>
    </row>
    <row r="860">
      <c r="A860" s="16" t="inlineStr">
        <is>
          <t>Hichain Logistics</t>
        </is>
      </c>
      <c r="B860" s="89" t="n">
        <v>1</v>
      </c>
      <c r="C860" s="94" t="n">
        <v>0</v>
      </c>
      <c r="D860" s="95" t="n">
        <v>0</v>
      </c>
      <c r="E860" s="95" t="n">
        <v>-12.2</v>
      </c>
      <c r="F860" s="95" t="n">
        <v>-11.9</v>
      </c>
      <c r="G860" s="95" t="n">
        <v>-26.2</v>
      </c>
      <c r="H860" s="95" t="n">
        <v>-12.2</v>
      </c>
      <c r="I860" s="95" t="n">
        <v>-11.9</v>
      </c>
      <c r="J860" s="95" t="n">
        <v>-26.2</v>
      </c>
      <c r="K860" s="96" t="inlineStr">
        <is>
          <t>9927 SERES</t>
        </is>
      </c>
    </row>
    <row r="861">
      <c r="A861" s="16" t="inlineStr">
        <is>
          <t>China Meidong</t>
        </is>
      </c>
      <c r="B861" s="89" t="n">
        <v>1</v>
      </c>
      <c r="C861" s="94" t="n">
        <v>0</v>
      </c>
      <c r="D861" s="95" t="n">
        <v>0</v>
      </c>
      <c r="E861" s="95" t="n">
        <v>-12.2</v>
      </c>
      <c r="F861" s="95" t="n">
        <v>-11.9</v>
      </c>
      <c r="G861" s="95" t="n">
        <v>-26.2</v>
      </c>
      <c r="H861" s="95" t="n">
        <v>-12.2</v>
      </c>
      <c r="I861" s="95" t="n">
        <v>-11.9</v>
      </c>
      <c r="J861" s="95" t="n">
        <v>-26.2</v>
      </c>
      <c r="K861" s="96" t="inlineStr">
        <is>
          <t>9927 SERES</t>
        </is>
      </c>
    </row>
    <row r="862">
      <c r="A862" s="16" t="inlineStr">
        <is>
          <t>CoreView</t>
        </is>
      </c>
      <c r="B862" s="89" t="n">
        <v>1</v>
      </c>
      <c r="C862" s="94" t="n">
        <v>0</v>
      </c>
      <c r="D862" s="95" t="n">
        <v>0</v>
      </c>
      <c r="E862" s="95" t="n">
        <v>-1.3</v>
      </c>
      <c r="F862" s="95" t="n">
        <v>-3.4</v>
      </c>
      <c r="G862" s="95" t="n">
        <v>-8.4</v>
      </c>
      <c r="H862" s="95" t="n">
        <v>-1.3</v>
      </c>
      <c r="I862" s="95" t="n">
        <v>-3.4</v>
      </c>
      <c r="J862" s="95" t="n">
        <v>-8.4</v>
      </c>
      <c r="K862" s="96" t="inlineStr">
        <is>
          <t>7618 JD INDUSTRIALS</t>
        </is>
      </c>
    </row>
    <row r="863">
      <c r="A863" s="16" t="inlineStr">
        <is>
          <t>Jupiter Global Master Fund Ltd.</t>
        </is>
      </c>
      <c r="B863" s="89" t="n">
        <v>1</v>
      </c>
      <c r="C863" s="94" t="n">
        <v>0</v>
      </c>
      <c r="D863" s="95" t="n">
        <v>0</v>
      </c>
      <c r="E863" s="95" t="n">
        <v>20.2</v>
      </c>
      <c r="F863" s="95" t="n">
        <v>-11.2</v>
      </c>
      <c r="G863" s="95" t="n">
        <v>-28</v>
      </c>
      <c r="H863" s="95" t="n">
        <v>20.2</v>
      </c>
      <c r="I863" s="95" t="n">
        <v>-11.2</v>
      </c>
      <c r="J863" s="95" t="n">
        <v>-28</v>
      </c>
      <c r="K863" s="96" t="inlineStr">
        <is>
          <t>0600 AXERA</t>
        </is>
      </c>
    </row>
    <row r="864">
      <c r="A864" s="16" t="inlineStr">
        <is>
          <t>NonaVerse (Hong Kong) Limited</t>
        </is>
      </c>
      <c r="B864" s="89" t="n">
        <v>1</v>
      </c>
      <c r="C864" s="94" t="n">
        <v>0</v>
      </c>
      <c r="D864" s="95" t="n">
        <v>0</v>
      </c>
      <c r="E864" s="95" t="n">
        <v>20.2</v>
      </c>
      <c r="F864" s="95" t="n">
        <v>-11.2</v>
      </c>
      <c r="G864" s="95" t="n">
        <v>-28</v>
      </c>
      <c r="H864" s="95" t="n">
        <v>20.2</v>
      </c>
      <c r="I864" s="95" t="n">
        <v>-11.2</v>
      </c>
      <c r="J864" s="95" t="n">
        <v>-28</v>
      </c>
      <c r="K864" s="96" t="inlineStr">
        <is>
          <t>0600 AXERA</t>
        </is>
      </c>
    </row>
    <row r="865">
      <c r="A865" s="16" t="inlineStr">
        <is>
          <t>Xin Ma Apparel International Limited</t>
        </is>
      </c>
      <c r="B865" s="89" t="n">
        <v>1</v>
      </c>
      <c r="C865" s="94" t="n">
        <v>0</v>
      </c>
      <c r="D865" s="95" t="n">
        <v>0</v>
      </c>
      <c r="E865" s="95" t="n">
        <v>20.2</v>
      </c>
      <c r="F865" s="95" t="n">
        <v>-11.2</v>
      </c>
      <c r="G865" s="95" t="n">
        <v>-28</v>
      </c>
      <c r="H865" s="95" t="n">
        <v>20.2</v>
      </c>
      <c r="I865" s="95" t="n">
        <v>-11.2</v>
      </c>
      <c r="J865" s="95" t="n">
        <v>-28</v>
      </c>
      <c r="K865" s="96" t="inlineStr">
        <is>
          <t>0600 AXERA</t>
        </is>
      </c>
    </row>
    <row r="866">
      <c r="A866" s="16" t="inlineStr">
        <is>
          <t>Desay SV Automotive Singapore Pte. Ltd</t>
        </is>
      </c>
      <c r="B866" s="89" t="n">
        <v>1</v>
      </c>
      <c r="C866" s="94" t="n">
        <v>0</v>
      </c>
      <c r="D866" s="95" t="n">
        <v>0</v>
      </c>
      <c r="E866" s="95" t="n">
        <v>20.2</v>
      </c>
      <c r="F866" s="95" t="n">
        <v>-11.2</v>
      </c>
      <c r="G866" s="95" t="n">
        <v>-28</v>
      </c>
      <c r="H866" s="95" t="n">
        <v>20.2</v>
      </c>
      <c r="I866" s="95" t="n">
        <v>-11.2</v>
      </c>
      <c r="J866" s="95" t="n">
        <v>-28</v>
      </c>
      <c r="K866" s="96" t="inlineStr">
        <is>
          <t>0600 AXERA</t>
        </is>
      </c>
    </row>
    <row r="867">
      <c r="A867" s="16" t="inlineStr">
        <is>
          <t>Offshore SP3</t>
        </is>
      </c>
      <c r="B867" s="89" t="n">
        <v>1</v>
      </c>
      <c r="C867" s="94" t="n">
        <v>0</v>
      </c>
      <c r="D867" s="95" t="n">
        <v>0</v>
      </c>
      <c r="E867" s="95" t="n">
        <v>0.6</v>
      </c>
      <c r="F867" s="95" t="n">
        <v>-9</v>
      </c>
      <c r="G867" s="95" t="n">
        <v>15.5</v>
      </c>
      <c r="H867" s="95" t="n">
        <v>0.6</v>
      </c>
      <c r="I867" s="95" t="n">
        <v>-9</v>
      </c>
      <c r="J867" s="95" t="n">
        <v>15.5</v>
      </c>
      <c r="K867" s="96" t="inlineStr">
        <is>
          <t>0470 WUXI LEAD</t>
        </is>
      </c>
    </row>
    <row r="868">
      <c r="A868" s="16" t="inlineStr">
        <is>
          <t>Marshall Wace Asia Limited</t>
        </is>
      </c>
      <c r="B868" s="89" t="n">
        <v>1</v>
      </c>
      <c r="C868" s="94" t="n">
        <v>0</v>
      </c>
      <c r="D868" s="95" t="n">
        <v>0</v>
      </c>
      <c r="E868" s="95" t="n">
        <v>-3.7</v>
      </c>
      <c r="F868" s="95" t="n">
        <v>-30.7</v>
      </c>
      <c r="G868" s="95" t="n"/>
      <c r="H868" s="95" t="n">
        <v>-3.7</v>
      </c>
      <c r="I868" s="95" t="n">
        <v>-30.7</v>
      </c>
      <c r="J868" s="95" t="n"/>
      <c r="K868" s="96" t="inlineStr">
        <is>
          <t>1081 DAJIN</t>
        </is>
      </c>
    </row>
    <row r="869">
      <c r="A869" s="16" t="inlineStr">
        <is>
          <t>GigaDevice Semiconductor (HK) Limited</t>
        </is>
      </c>
      <c r="B869" s="89" t="n">
        <v>1</v>
      </c>
      <c r="C869" s="94" t="n">
        <v>0</v>
      </c>
      <c r="D869" s="95" t="n">
        <v>0</v>
      </c>
      <c r="E869" s="95" t="n">
        <v>0.3</v>
      </c>
      <c r="F869" s="95" t="n">
        <v>-10.1</v>
      </c>
      <c r="G869" s="95" t="n"/>
      <c r="H869" s="95" t="n">
        <v>0.3</v>
      </c>
      <c r="I869" s="95" t="n">
        <v>-10.1</v>
      </c>
      <c r="J869" s="95" t="n"/>
      <c r="K869" s="96" t="inlineStr">
        <is>
          <t>6880 MOMENTA-W</t>
        </is>
      </c>
    </row>
    <row r="870">
      <c r="A870" s="16" t="inlineStr">
        <is>
          <t>Templeton Asset Management Ltd</t>
        </is>
      </c>
      <c r="B870" s="89" t="n">
        <v>1</v>
      </c>
      <c r="C870" s="94" t="n">
        <v>0</v>
      </c>
      <c r="D870" s="95" t="n">
        <v>0</v>
      </c>
      <c r="E870" s="95" t="n">
        <v>0.3</v>
      </c>
      <c r="F870" s="95" t="n">
        <v>-10.1</v>
      </c>
      <c r="G870" s="95" t="n"/>
      <c r="H870" s="95" t="n">
        <v>0.3</v>
      </c>
      <c r="I870" s="95" t="n">
        <v>-10.1</v>
      </c>
      <c r="J870" s="95" t="n"/>
      <c r="K870" s="96" t="inlineStr">
        <is>
          <t>6880 MOMENTA-W</t>
        </is>
      </c>
    </row>
    <row r="871">
      <c r="A871" s="16" t="inlineStr">
        <is>
          <t>Goertek (HongKong) Co., Limited</t>
        </is>
      </c>
      <c r="B871" s="89" t="n">
        <v>1</v>
      </c>
      <c r="C871" s="94" t="n">
        <v>0</v>
      </c>
      <c r="D871" s="95" t="n">
        <v>0</v>
      </c>
      <c r="E871" s="95" t="n">
        <v>-9.699999999999999</v>
      </c>
      <c r="F871" s="95" t="n">
        <v>-0.1</v>
      </c>
      <c r="G871" s="95" t="n"/>
      <c r="H871" s="95" t="n">
        <v>-9.699999999999999</v>
      </c>
      <c r="I871" s="95" t="n">
        <v>-0.1</v>
      </c>
      <c r="J871" s="95" t="n"/>
      <c r="K871" s="96" t="inlineStr">
        <is>
          <t>2249 NEXCHIP</t>
        </is>
      </c>
    </row>
    <row r="872">
      <c r="A872" s="16" t="inlineStr">
        <is>
          <t>Puxin Technology Limited</t>
        </is>
      </c>
      <c r="B872" s="89" t="n">
        <v>1</v>
      </c>
      <c r="C872" s="94" t="n">
        <v>0</v>
      </c>
      <c r="D872" s="95" t="n">
        <v>0</v>
      </c>
      <c r="E872" s="95" t="n">
        <v>-9.699999999999999</v>
      </c>
      <c r="F872" s="95" t="n">
        <v>-0.1</v>
      </c>
      <c r="G872" s="95" t="n"/>
      <c r="H872" s="95" t="n">
        <v>-9.699999999999999</v>
      </c>
      <c r="I872" s="95" t="n">
        <v>-0.1</v>
      </c>
      <c r="J872" s="95" t="n"/>
      <c r="K872" s="96" t="inlineStr">
        <is>
          <t>2249 NEXCHIP</t>
        </is>
      </c>
    </row>
    <row r="873">
      <c r="A873" s="16" t="inlineStr">
        <is>
          <t>Smartsens Technology (HK) Co., Limited</t>
        </is>
      </c>
      <c r="B873" s="89" t="n">
        <v>1</v>
      </c>
      <c r="C873" s="94" t="n">
        <v>0</v>
      </c>
      <c r="D873" s="95" t="n">
        <v>0</v>
      </c>
      <c r="E873" s="95" t="n">
        <v>-9.699999999999999</v>
      </c>
      <c r="F873" s="95" t="n">
        <v>-0.1</v>
      </c>
      <c r="G873" s="95" t="n"/>
      <c r="H873" s="95" t="n">
        <v>-9.699999999999999</v>
      </c>
      <c r="I873" s="95" t="n">
        <v>-0.1</v>
      </c>
      <c r="J873" s="95" t="n"/>
      <c r="K873" s="96" t="inlineStr">
        <is>
          <t>2249 NEXCHIP</t>
        </is>
      </c>
    </row>
    <row r="874">
      <c r="A874" s="16" t="inlineStr">
        <is>
          <t>Agora, Inc</t>
        </is>
      </c>
      <c r="B874" s="89" t="n">
        <v>1</v>
      </c>
      <c r="C874" s="94" t="n">
        <v>0</v>
      </c>
      <c r="D874" s="95" t="n">
        <v>-0.1</v>
      </c>
      <c r="E874" s="95" t="n">
        <v>2.7</v>
      </c>
      <c r="F874" s="95" t="n">
        <v>-19.1</v>
      </c>
      <c r="G874" s="95" t="n">
        <v>-22.3</v>
      </c>
      <c r="H874" s="95" t="n">
        <v>2.8</v>
      </c>
      <c r="I874" s="95" t="n">
        <v>-19</v>
      </c>
      <c r="J874" s="95" t="n">
        <v>-22.2</v>
      </c>
      <c r="K874" s="96" t="inlineStr">
        <is>
          <t>2167 TI CLOUD</t>
        </is>
      </c>
    </row>
    <row r="875">
      <c r="A875" s="16" t="inlineStr">
        <is>
          <t>Platinum Investment Management Limited</t>
        </is>
      </c>
      <c r="B875" s="89" t="n">
        <v>1</v>
      </c>
      <c r="C875" s="94" t="n">
        <v>0</v>
      </c>
      <c r="D875" s="95" t="n">
        <v>-0.1</v>
      </c>
      <c r="E875" s="95" t="n">
        <v>2.7</v>
      </c>
      <c r="F875" s="95" t="n">
        <v>-19.1</v>
      </c>
      <c r="G875" s="95" t="n">
        <v>-22.3</v>
      </c>
      <c r="H875" s="95" t="n">
        <v>2.8</v>
      </c>
      <c r="I875" s="95" t="n">
        <v>-19</v>
      </c>
      <c r="J875" s="95" t="n">
        <v>-22.2</v>
      </c>
      <c r="K875" s="96" t="inlineStr">
        <is>
          <t>2167 TI CLOUD</t>
        </is>
      </c>
    </row>
    <row r="876">
      <c r="A876" s="16" t="inlineStr">
        <is>
          <t>Chiyu International Capital Limited</t>
        </is>
      </c>
      <c r="B876" s="89" t="n">
        <v>1</v>
      </c>
      <c r="C876" s="94" t="n">
        <v>0</v>
      </c>
      <c r="D876" s="95" t="n">
        <v>-0.1</v>
      </c>
      <c r="E876" s="95" t="n">
        <v>-0.1</v>
      </c>
      <c r="F876" s="95" t="n">
        <v>-27.3</v>
      </c>
      <c r="G876" s="95" t="n">
        <v>-29.1</v>
      </c>
      <c r="H876" s="95" t="n">
        <v>0</v>
      </c>
      <c r="I876" s="95" t="n">
        <v>-27.2</v>
      </c>
      <c r="J876" s="95" t="n">
        <v>-29</v>
      </c>
      <c r="K876" s="96" t="inlineStr">
        <is>
          <t>2152 SUXIN SERVICES</t>
        </is>
      </c>
    </row>
    <row r="877">
      <c r="A877" s="16" t="inlineStr">
        <is>
          <t>Capital VIII</t>
        </is>
      </c>
      <c r="B877" s="89" t="n">
        <v>1</v>
      </c>
      <c r="C877" s="94" t="n">
        <v>0</v>
      </c>
      <c r="D877" s="95" t="n">
        <v>-0.1</v>
      </c>
      <c r="E877" s="95" t="n">
        <v>11.6</v>
      </c>
      <c r="F877" s="95" t="n">
        <v>26.5</v>
      </c>
      <c r="G877" s="95" t="n">
        <v>70.3</v>
      </c>
      <c r="H877" s="95" t="n">
        <v>11.8</v>
      </c>
      <c r="I877" s="95" t="n">
        <v>26.7</v>
      </c>
      <c r="J877" s="95" t="n">
        <v>70.59999999999999</v>
      </c>
      <c r="K877" s="96" t="inlineStr">
        <is>
          <t>2050 SANHUA</t>
        </is>
      </c>
    </row>
    <row r="878">
      <c r="A878" s="16" t="inlineStr">
        <is>
          <t>Guizhou New Industrialization Fund</t>
        </is>
      </c>
      <c r="B878" s="89" t="n">
        <v>1</v>
      </c>
      <c r="C878" s="94" t="n">
        <v>0</v>
      </c>
      <c r="D878" s="95" t="n">
        <v>-0.1</v>
      </c>
      <c r="E878" s="95" t="n">
        <v>-10.9</v>
      </c>
      <c r="F878" s="95" t="n">
        <v>-22.6</v>
      </c>
      <c r="G878" s="95" t="n">
        <v>2.5</v>
      </c>
      <c r="H878" s="95" t="n">
        <v>-10.8</v>
      </c>
      <c r="I878" s="95" t="n">
        <v>-22.6</v>
      </c>
      <c r="J878" s="95" t="n">
        <v>2.6</v>
      </c>
      <c r="K878" s="96" t="inlineStr">
        <is>
          <t>2579 CNGR</t>
        </is>
      </c>
    </row>
    <row r="879">
      <c r="A879" s="16" t="inlineStr">
        <is>
          <t>Baoda Investment</t>
        </is>
      </c>
      <c r="B879" s="89" t="n">
        <v>1</v>
      </c>
      <c r="C879" s="94" t="n">
        <v>0</v>
      </c>
      <c r="D879" s="95" t="n">
        <v>-0.1</v>
      </c>
      <c r="E879" s="95" t="n">
        <v>-10.9</v>
      </c>
      <c r="F879" s="95" t="n">
        <v>-22.6</v>
      </c>
      <c r="G879" s="95" t="n">
        <v>2.5</v>
      </c>
      <c r="H879" s="95" t="n">
        <v>-10.8</v>
      </c>
      <c r="I879" s="95" t="n">
        <v>-22.6</v>
      </c>
      <c r="J879" s="95" t="n">
        <v>2.6</v>
      </c>
      <c r="K879" s="96" t="inlineStr">
        <is>
          <t>2579 CNGR</t>
        </is>
      </c>
    </row>
    <row r="880">
      <c r="A880" s="16" t="inlineStr">
        <is>
          <t>Gaoyi Asset Management</t>
        </is>
      </c>
      <c r="B880" s="89" t="n">
        <v>1</v>
      </c>
      <c r="C880" s="94" t="n">
        <v>0</v>
      </c>
      <c r="D880" s="95" t="n">
        <v>-0.1</v>
      </c>
      <c r="E880" s="95" t="n">
        <v>-10.9</v>
      </c>
      <c r="F880" s="95" t="n">
        <v>-22.6</v>
      </c>
      <c r="G880" s="95" t="n">
        <v>2.5</v>
      </c>
      <c r="H880" s="95" t="n">
        <v>-10.8</v>
      </c>
      <c r="I880" s="95" t="n">
        <v>-22.6</v>
      </c>
      <c r="J880" s="95" t="n">
        <v>2.6</v>
      </c>
      <c r="K880" s="96" t="inlineStr">
        <is>
          <t>2579 CNGR</t>
        </is>
      </c>
    </row>
    <row r="881">
      <c r="A881" s="16" t="inlineStr">
        <is>
          <t>North Rock</t>
        </is>
      </c>
      <c r="B881" s="89" t="n">
        <v>1</v>
      </c>
      <c r="C881" s="94" t="n">
        <v>0</v>
      </c>
      <c r="D881" s="95" t="n">
        <v>-0.1</v>
      </c>
      <c r="E881" s="95" t="n">
        <v>-10.9</v>
      </c>
      <c r="F881" s="95" t="n">
        <v>-22.6</v>
      </c>
      <c r="G881" s="95" t="n">
        <v>2.5</v>
      </c>
      <c r="H881" s="95" t="n">
        <v>-10.8</v>
      </c>
      <c r="I881" s="95" t="n">
        <v>-22.6</v>
      </c>
      <c r="J881" s="95" t="n">
        <v>2.6</v>
      </c>
      <c r="K881" s="96" t="inlineStr">
        <is>
          <t>2579 CNGR</t>
        </is>
      </c>
    </row>
    <row r="882">
      <c r="A882" s="16" t="inlineStr">
        <is>
          <t>Hunan Xingxiang Industry Fund</t>
        </is>
      </c>
      <c r="B882" s="89" t="n">
        <v>1</v>
      </c>
      <c r="C882" s="94" t="n">
        <v>0</v>
      </c>
      <c r="D882" s="95" t="n">
        <v>-0.1</v>
      </c>
      <c r="E882" s="95" t="n">
        <v>-10.9</v>
      </c>
      <c r="F882" s="95" t="n">
        <v>-22.6</v>
      </c>
      <c r="G882" s="95" t="n">
        <v>2.5</v>
      </c>
      <c r="H882" s="95" t="n">
        <v>-10.8</v>
      </c>
      <c r="I882" s="95" t="n">
        <v>-22.6</v>
      </c>
      <c r="J882" s="95" t="n">
        <v>2.6</v>
      </c>
      <c r="K882" s="96" t="inlineStr">
        <is>
          <t>2579 CNGR</t>
        </is>
      </c>
    </row>
    <row r="883">
      <c r="A883" s="16" t="inlineStr">
        <is>
          <t>Space Z PTE. LTD</t>
        </is>
      </c>
      <c r="B883" s="89" t="n">
        <v>1</v>
      </c>
      <c r="C883" s="94" t="n">
        <v>0</v>
      </c>
      <c r="D883" s="95" t="n">
        <v>-0.1</v>
      </c>
      <c r="E883" s="95" t="n">
        <v>-14.2</v>
      </c>
      <c r="F883" s="95" t="n">
        <v>7.3</v>
      </c>
      <c r="G883" s="95" t="n">
        <v>-29.3</v>
      </c>
      <c r="H883" s="95" t="n">
        <v>-14.1</v>
      </c>
      <c r="I883" s="95" t="n">
        <v>7.5</v>
      </c>
      <c r="J883" s="95" t="n">
        <v>-29.2</v>
      </c>
      <c r="K883" s="96" t="inlineStr">
        <is>
          <t>3887 HASHKEY HLDGS</t>
        </is>
      </c>
    </row>
    <row r="884">
      <c r="A884" s="16" t="inlineStr">
        <is>
          <t>Epoch Vantage Limited</t>
        </is>
      </c>
      <c r="B884" s="89" t="n">
        <v>1</v>
      </c>
      <c r="C884" s="94" t="n">
        <v>0</v>
      </c>
      <c r="D884" s="95" t="n">
        <v>-0.1</v>
      </c>
      <c r="E884" s="95" t="n">
        <v>-14.2</v>
      </c>
      <c r="F884" s="95" t="n">
        <v>7.3</v>
      </c>
      <c r="G884" s="95" t="n">
        <v>-29.3</v>
      </c>
      <c r="H884" s="95" t="n">
        <v>-14.1</v>
      </c>
      <c r="I884" s="95" t="n">
        <v>7.5</v>
      </c>
      <c r="J884" s="95" t="n">
        <v>-29.2</v>
      </c>
      <c r="K884" s="96" t="inlineStr">
        <is>
          <t>3887 HASHKEY HLDGS</t>
        </is>
      </c>
    </row>
    <row r="885">
      <c r="A885" s="16" t="inlineStr">
        <is>
          <t>XChainX Limited</t>
        </is>
      </c>
      <c r="B885" s="89" t="n">
        <v>1</v>
      </c>
      <c r="C885" s="94" t="n">
        <v>0</v>
      </c>
      <c r="D885" s="95" t="n">
        <v>-0.1</v>
      </c>
      <c r="E885" s="95" t="n">
        <v>-14.2</v>
      </c>
      <c r="F885" s="95" t="n">
        <v>7.3</v>
      </c>
      <c r="G885" s="95" t="n">
        <v>-29.3</v>
      </c>
      <c r="H885" s="95" t="n">
        <v>-14.1</v>
      </c>
      <c r="I885" s="95" t="n">
        <v>7.5</v>
      </c>
      <c r="J885" s="95" t="n">
        <v>-29.2</v>
      </c>
      <c r="K885" s="96" t="inlineStr">
        <is>
          <t>3887 HASHKEY HLDGS</t>
        </is>
      </c>
    </row>
    <row r="886">
      <c r="A886" s="16" t="inlineStr">
        <is>
          <t>TDR Investment Inc</t>
        </is>
      </c>
      <c r="B886" s="89" t="n">
        <v>1</v>
      </c>
      <c r="C886" s="94" t="n">
        <v>0</v>
      </c>
      <c r="D886" s="95" t="n">
        <v>-0.1</v>
      </c>
      <c r="E886" s="95" t="n">
        <v>-14.2</v>
      </c>
      <c r="F886" s="95" t="n">
        <v>7.3</v>
      </c>
      <c r="G886" s="95" t="n">
        <v>-29.3</v>
      </c>
      <c r="H886" s="95" t="n">
        <v>-14.1</v>
      </c>
      <c r="I886" s="95" t="n">
        <v>7.5</v>
      </c>
      <c r="J886" s="95" t="n">
        <v>-29.2</v>
      </c>
      <c r="K886" s="96" t="inlineStr">
        <is>
          <t>3887 HASHKEY HLDGS</t>
        </is>
      </c>
    </row>
    <row r="887">
      <c r="A887" s="16" t="inlineStr">
        <is>
          <t>Tomars Limited</t>
        </is>
      </c>
      <c r="B887" s="89" t="n">
        <v>1</v>
      </c>
      <c r="C887" s="94" t="n">
        <v>0</v>
      </c>
      <c r="D887" s="95" t="n">
        <v>-0.1</v>
      </c>
      <c r="E887" s="95" t="n">
        <v>-14.2</v>
      </c>
      <c r="F887" s="95" t="n">
        <v>7.3</v>
      </c>
      <c r="G887" s="95" t="n">
        <v>-29.3</v>
      </c>
      <c r="H887" s="95" t="n">
        <v>-14.1</v>
      </c>
      <c r="I887" s="95" t="n">
        <v>7.5</v>
      </c>
      <c r="J887" s="95" t="n">
        <v>-29.2</v>
      </c>
      <c r="K887" s="96" t="inlineStr">
        <is>
          <t>3887 HASHKEY HLDGS</t>
        </is>
      </c>
    </row>
    <row r="888">
      <c r="A888" s="16" t="inlineStr">
        <is>
          <t>Glodon (Hongkong) Software Limited</t>
        </is>
      </c>
      <c r="B888" s="89" t="n">
        <v>1</v>
      </c>
      <c r="C888" s="94" t="n">
        <v>0</v>
      </c>
      <c r="D888" s="95" t="n">
        <v>-0.2</v>
      </c>
      <c r="E888" s="95" t="n">
        <v>-9.300000000000001</v>
      </c>
      <c r="F888" s="95" t="n">
        <v>-31.3</v>
      </c>
      <c r="G888" s="95" t="n">
        <v>-42.6</v>
      </c>
      <c r="H888" s="95" t="n">
        <v>-9.1</v>
      </c>
      <c r="I888" s="95" t="n">
        <v>-31.1</v>
      </c>
      <c r="J888" s="95" t="n">
        <v>-42.5</v>
      </c>
      <c r="K888" s="96" t="inlineStr">
        <is>
          <t>2210 BEIJING JIAYE</t>
        </is>
      </c>
    </row>
    <row r="889">
      <c r="A889" s="16" t="inlineStr">
        <is>
          <t>Xinhuanet Co., Ltd</t>
        </is>
      </c>
      <c r="B889" s="89" t="n">
        <v>1</v>
      </c>
      <c r="C889" s="94" t="n">
        <v>0</v>
      </c>
      <c r="D889" s="95" t="n">
        <v>-0.2</v>
      </c>
      <c r="E889" s="95" t="n">
        <v>-0.4</v>
      </c>
      <c r="F889" s="95" t="n">
        <v>-1</v>
      </c>
      <c r="G889" s="95" t="n">
        <v>-0.4</v>
      </c>
      <c r="H889" s="95" t="n">
        <v>-0.2</v>
      </c>
      <c r="I889" s="95" t="n">
        <v>-0.8</v>
      </c>
      <c r="J889" s="95" t="n">
        <v>-0.2</v>
      </c>
      <c r="K889" s="96" t="inlineStr">
        <is>
          <t>2172 MICROPORT NEURO</t>
        </is>
      </c>
    </row>
    <row r="890">
      <c r="A890" s="16" t="inlineStr">
        <is>
          <t>Epsomite Gem Investments Ltd</t>
        </is>
      </c>
      <c r="B890" s="89" t="n">
        <v>1</v>
      </c>
      <c r="C890" s="94" t="n">
        <v>0</v>
      </c>
      <c r="D890" s="95" t="n">
        <v>-0.5</v>
      </c>
      <c r="E890" s="95" t="n">
        <v>-6.9</v>
      </c>
      <c r="F890" s="95" t="n">
        <v>-13</v>
      </c>
      <c r="G890" s="95" t="n">
        <v>-31.9</v>
      </c>
      <c r="H890" s="95" t="n">
        <v>-6.5</v>
      </c>
      <c r="I890" s="95" t="n">
        <v>-12.6</v>
      </c>
      <c r="J890" s="95" t="n">
        <v>-31.6</v>
      </c>
      <c r="K890" s="96" t="inlineStr">
        <is>
          <t>2256 ABBISKO-B</t>
        </is>
      </c>
    </row>
    <row r="891">
      <c r="A891" s="16" t="inlineStr">
        <is>
          <t>Proterra Asia Food Fund 3 VCC</t>
        </is>
      </c>
      <c r="B891" s="89" t="n">
        <v>1</v>
      </c>
      <c r="C891" s="94" t="n">
        <v>0</v>
      </c>
      <c r="D891" s="95" t="n">
        <v>-0.5</v>
      </c>
      <c r="E891" s="95" t="n">
        <v>-5.8</v>
      </c>
      <c r="F891" s="95" t="n">
        <v>-23</v>
      </c>
      <c r="G891" s="95" t="n">
        <v>-47.8</v>
      </c>
      <c r="H891" s="95" t="n">
        <v>-5.3</v>
      </c>
      <c r="I891" s="95" t="n">
        <v>-22.6</v>
      </c>
      <c r="J891" s="95" t="n">
        <v>-47.6</v>
      </c>
      <c r="K891" s="96" t="inlineStr">
        <is>
          <t>2425 AUSTASIA GROUP</t>
        </is>
      </c>
    </row>
    <row r="892">
      <c r="A892" s="16" t="inlineStr">
        <is>
          <t>Well Alliance Investment Holdings Limited</t>
        </is>
      </c>
      <c r="B892" s="89" t="n">
        <v>1</v>
      </c>
      <c r="C892" s="94" t="n">
        <v>0</v>
      </c>
      <c r="D892" s="95" t="n">
        <v>-0.5</v>
      </c>
      <c r="E892" s="95" t="n">
        <v>-5.8</v>
      </c>
      <c r="F892" s="95" t="n">
        <v>-23</v>
      </c>
      <c r="G892" s="95" t="n">
        <v>-47.8</v>
      </c>
      <c r="H892" s="95" t="n">
        <v>-5.3</v>
      </c>
      <c r="I892" s="95" t="n">
        <v>-22.6</v>
      </c>
      <c r="J892" s="95" t="n">
        <v>-47.6</v>
      </c>
      <c r="K892" s="96" t="inlineStr">
        <is>
          <t>2425 AUSTASIA GROUP</t>
        </is>
      </c>
    </row>
    <row r="893">
      <c r="A893" s="16" t="inlineStr">
        <is>
          <t>58.com Holdings Inc</t>
        </is>
      </c>
      <c r="B893" s="89" t="n">
        <v>1</v>
      </c>
      <c r="C893" s="94" t="n">
        <v>0</v>
      </c>
      <c r="D893" s="95" t="n">
        <v>-1.1</v>
      </c>
      <c r="E893" s="95" t="n">
        <v>-1.1</v>
      </c>
      <c r="F893" s="95" t="n">
        <v>-3</v>
      </c>
      <c r="G893" s="95" t="n">
        <v>-0.8</v>
      </c>
      <c r="H893" s="95" t="n">
        <v>0</v>
      </c>
      <c r="I893" s="95" t="n">
        <v>-1.9</v>
      </c>
      <c r="J893" s="95" t="n">
        <v>0.3</v>
      </c>
      <c r="K893" s="96" t="inlineStr">
        <is>
          <t>2205 KANGQIAO SER</t>
        </is>
      </c>
    </row>
    <row r="894">
      <c r="A894" s="16" t="inlineStr">
        <is>
          <t>Autobio Group Co., Ltd</t>
        </is>
      </c>
      <c r="B894" s="89" t="n">
        <v>1</v>
      </c>
      <c r="C894" s="94" t="n">
        <v>0</v>
      </c>
      <c r="D894" s="95" t="n">
        <v>-1.1</v>
      </c>
      <c r="E894" s="95" t="n">
        <v>-1.1</v>
      </c>
      <c r="F894" s="95" t="n">
        <v>-3</v>
      </c>
      <c r="G894" s="95" t="n">
        <v>-0.8</v>
      </c>
      <c r="H894" s="95" t="n">
        <v>0</v>
      </c>
      <c r="I894" s="95" t="n">
        <v>-1.9</v>
      </c>
      <c r="J894" s="95" t="n">
        <v>0.3</v>
      </c>
      <c r="K894" s="96" t="inlineStr">
        <is>
          <t>2205 KANGQIAO SER</t>
        </is>
      </c>
    </row>
    <row r="895">
      <c r="A895" s="16" t="inlineStr">
        <is>
          <t>Mr. Dai Junan</t>
        </is>
      </c>
      <c r="B895" s="89" t="n">
        <v>1</v>
      </c>
      <c r="C895" s="94" t="n">
        <v>0</v>
      </c>
      <c r="D895" s="95" t="n">
        <v>-1.1</v>
      </c>
      <c r="E895" s="95" t="n">
        <v>-6.7</v>
      </c>
      <c r="F895" s="95" t="n">
        <v>-16.1</v>
      </c>
      <c r="G895" s="95" t="n">
        <v>-17.7</v>
      </c>
      <c r="H895" s="95" t="n">
        <v>-5.7</v>
      </c>
      <c r="I895" s="95" t="n">
        <v>-15.2</v>
      </c>
      <c r="J895" s="95" t="n">
        <v>-16.8</v>
      </c>
      <c r="K895" s="96" t="inlineStr">
        <is>
          <t>1187 COFOE MEDICAL</t>
        </is>
      </c>
    </row>
    <row r="896">
      <c r="A896" s="16" t="inlineStr">
        <is>
          <t>Mr. Huang Xuelin</t>
        </is>
      </c>
      <c r="B896" s="89" t="n">
        <v>1</v>
      </c>
      <c r="C896" s="94" t="n">
        <v>0</v>
      </c>
      <c r="D896" s="95" t="n">
        <v>-1.1</v>
      </c>
      <c r="E896" s="95" t="n">
        <v>-6.7</v>
      </c>
      <c r="F896" s="95" t="n">
        <v>-16.1</v>
      </c>
      <c r="G896" s="95" t="n">
        <v>-17.7</v>
      </c>
      <c r="H896" s="95" t="n">
        <v>-5.7</v>
      </c>
      <c r="I896" s="95" t="n">
        <v>-15.2</v>
      </c>
      <c r="J896" s="95" t="n">
        <v>-16.8</v>
      </c>
      <c r="K896" s="96" t="inlineStr">
        <is>
          <t>1187 COFOE MEDICAL</t>
        </is>
      </c>
    </row>
    <row r="897">
      <c r="A897" s="16" t="inlineStr">
        <is>
          <t>Ms. Lu Qinchao</t>
        </is>
      </c>
      <c r="B897" s="89" t="n">
        <v>1</v>
      </c>
      <c r="C897" s="94" t="n">
        <v>0</v>
      </c>
      <c r="D897" s="95" t="n">
        <v>-1.1</v>
      </c>
      <c r="E897" s="95" t="n">
        <v>-6.7</v>
      </c>
      <c r="F897" s="95" t="n">
        <v>-16.1</v>
      </c>
      <c r="G897" s="95" t="n">
        <v>-17.7</v>
      </c>
      <c r="H897" s="95" t="n">
        <v>-5.7</v>
      </c>
      <c r="I897" s="95" t="n">
        <v>-15.2</v>
      </c>
      <c r="J897" s="95" t="n">
        <v>-16.8</v>
      </c>
      <c r="K897" s="96" t="inlineStr">
        <is>
          <t>1187 COFOE MEDICAL</t>
        </is>
      </c>
    </row>
    <row r="898">
      <c r="A898" s="16" t="inlineStr">
        <is>
          <t>ODI TRUST LIMITED</t>
        </is>
      </c>
      <c r="B898" s="89" t="n">
        <v>1</v>
      </c>
      <c r="C898" s="94" t="n">
        <v>0</v>
      </c>
      <c r="D898" s="95" t="n">
        <v>-1.1</v>
      </c>
      <c r="E898" s="95" t="n">
        <v>-6.7</v>
      </c>
      <c r="F898" s="95" t="n">
        <v>-16.1</v>
      </c>
      <c r="G898" s="95" t="n">
        <v>-17.7</v>
      </c>
      <c r="H898" s="95" t="n">
        <v>-5.7</v>
      </c>
      <c r="I898" s="95" t="n">
        <v>-15.2</v>
      </c>
      <c r="J898" s="95" t="n">
        <v>-16.8</v>
      </c>
      <c r="K898" s="96" t="inlineStr">
        <is>
          <t>1187 COFOE MEDICAL</t>
        </is>
      </c>
    </row>
    <row r="899">
      <c r="A899" s="16" t="inlineStr">
        <is>
          <t>Sinohealth Technology Holdings Limited</t>
        </is>
      </c>
      <c r="B899" s="89" t="n">
        <v>1</v>
      </c>
      <c r="C899" s="94" t="n">
        <v>0</v>
      </c>
      <c r="D899" s="95" t="n">
        <v>-1.1</v>
      </c>
      <c r="E899" s="95" t="n">
        <v>-6.7</v>
      </c>
      <c r="F899" s="95" t="n">
        <v>-16.1</v>
      </c>
      <c r="G899" s="95" t="n">
        <v>-17.7</v>
      </c>
      <c r="H899" s="95" t="n">
        <v>-5.7</v>
      </c>
      <c r="I899" s="95" t="n">
        <v>-15.2</v>
      </c>
      <c r="J899" s="95" t="n">
        <v>-16.8</v>
      </c>
      <c r="K899" s="96" t="inlineStr">
        <is>
          <t>1187 COFOE MEDICAL</t>
        </is>
      </c>
    </row>
    <row r="900">
      <c r="A900" s="16" t="inlineStr">
        <is>
          <t>Dynamic Holding Co., Ltd</t>
        </is>
      </c>
      <c r="B900" s="89" t="n">
        <v>1</v>
      </c>
      <c r="C900" s="94" t="n">
        <v>0</v>
      </c>
      <c r="D900" s="95" t="n">
        <v>-1.8</v>
      </c>
      <c r="E900" s="95" t="n">
        <v>9.9</v>
      </c>
      <c r="F900" s="95" t="n">
        <v>2.6</v>
      </c>
      <c r="G900" s="95" t="n"/>
      <c r="H900" s="95" t="n">
        <v>11.9</v>
      </c>
      <c r="I900" s="95" t="n">
        <v>4.5</v>
      </c>
      <c r="J900" s="95" t="n"/>
      <c r="K900" s="96" t="inlineStr">
        <is>
          <t>1377 DTECH</t>
        </is>
      </c>
    </row>
    <row r="901">
      <c r="A901" s="16" t="inlineStr">
        <is>
          <t>IFUND SPC– Vision IX SP</t>
        </is>
      </c>
      <c r="B901" s="89" t="n">
        <v>1</v>
      </c>
      <c r="C901" s="94" t="n">
        <v>0</v>
      </c>
      <c r="D901" s="95" t="n">
        <v>-1.8</v>
      </c>
      <c r="E901" s="95" t="n">
        <v>9.9</v>
      </c>
      <c r="F901" s="95" t="n">
        <v>2.6</v>
      </c>
      <c r="G901" s="95" t="n"/>
      <c r="H901" s="95" t="n">
        <v>11.9</v>
      </c>
      <c r="I901" s="95" t="n">
        <v>4.5</v>
      </c>
      <c r="J901" s="95" t="n"/>
      <c r="K901" s="96" t="inlineStr">
        <is>
          <t>1377 DTECH</t>
        </is>
      </c>
    </row>
    <row r="902">
      <c r="A902" s="16" t="inlineStr">
        <is>
          <t>Crane Movement</t>
        </is>
      </c>
      <c r="B902" s="89" t="n">
        <v>1</v>
      </c>
      <c r="C902" s="94" t="n">
        <v>0</v>
      </c>
      <c r="D902" s="95" t="n">
        <v>-1.9</v>
      </c>
      <c r="E902" s="95" t="n">
        <v>0</v>
      </c>
      <c r="F902" s="95" t="n">
        <v>7.7</v>
      </c>
      <c r="G902" s="95" t="n">
        <v>3.4</v>
      </c>
      <c r="H902" s="95" t="n">
        <v>1.9</v>
      </c>
      <c r="I902" s="95" t="n">
        <v>9.800000000000001</v>
      </c>
      <c r="J902" s="95" t="n">
        <v>5.4</v>
      </c>
      <c r="K902" s="96" t="inlineStr">
        <is>
          <t>2510 TS LINES</t>
        </is>
      </c>
    </row>
    <row r="903">
      <c r="A903" s="16" t="inlineStr">
        <is>
          <t>HUNG Chi-Li</t>
        </is>
      </c>
      <c r="B903" s="89" t="n">
        <v>1</v>
      </c>
      <c r="C903" s="94" t="n">
        <v>0</v>
      </c>
      <c r="D903" s="95" t="n">
        <v>-1.9</v>
      </c>
      <c r="E903" s="95" t="n">
        <v>0</v>
      </c>
      <c r="F903" s="95" t="n">
        <v>7.7</v>
      </c>
      <c r="G903" s="95" t="n">
        <v>3.4</v>
      </c>
      <c r="H903" s="95" t="n">
        <v>1.9</v>
      </c>
      <c r="I903" s="95" t="n">
        <v>9.800000000000001</v>
      </c>
      <c r="J903" s="95" t="n">
        <v>5.4</v>
      </c>
      <c r="K903" s="96" t="inlineStr">
        <is>
          <t>2510 TS LINES</t>
        </is>
      </c>
    </row>
    <row r="904">
      <c r="A904" s="16" t="inlineStr">
        <is>
          <t>Indigo Rainbow Limited</t>
        </is>
      </c>
      <c r="B904" s="89" t="n">
        <v>1</v>
      </c>
      <c r="C904" s="94" t="n">
        <v>0</v>
      </c>
      <c r="D904" s="95" t="n">
        <v>-1.9</v>
      </c>
      <c r="E904" s="95" t="n">
        <v>0</v>
      </c>
      <c r="F904" s="95" t="n">
        <v>7.7</v>
      </c>
      <c r="G904" s="95" t="n">
        <v>3.4</v>
      </c>
      <c r="H904" s="95" t="n">
        <v>1.9</v>
      </c>
      <c r="I904" s="95" t="n">
        <v>9.800000000000001</v>
      </c>
      <c r="J904" s="95" t="n">
        <v>5.4</v>
      </c>
      <c r="K904" s="96" t="inlineStr">
        <is>
          <t>2510 TS LINES</t>
        </is>
      </c>
    </row>
    <row r="905">
      <c r="A905" s="16" t="inlineStr">
        <is>
          <t>Metro Shine Group Limited</t>
        </is>
      </c>
      <c r="B905" s="89" t="n">
        <v>1</v>
      </c>
      <c r="C905" s="94" t="n">
        <v>0</v>
      </c>
      <c r="D905" s="95" t="n">
        <v>-1.9</v>
      </c>
      <c r="E905" s="95" t="n">
        <v>0</v>
      </c>
      <c r="F905" s="95" t="n">
        <v>7.7</v>
      </c>
      <c r="G905" s="95" t="n">
        <v>3.4</v>
      </c>
      <c r="H905" s="95" t="n">
        <v>1.9</v>
      </c>
      <c r="I905" s="95" t="n">
        <v>9.800000000000001</v>
      </c>
      <c r="J905" s="95" t="n">
        <v>5.4</v>
      </c>
      <c r="K905" s="96" t="inlineStr">
        <is>
          <t>2510 TS LINES</t>
        </is>
      </c>
    </row>
    <row r="906">
      <c r="A906" s="16" t="inlineStr">
        <is>
          <t>WANG Yi-Fen</t>
        </is>
      </c>
      <c r="B906" s="89" t="n">
        <v>1</v>
      </c>
      <c r="C906" s="94" t="n">
        <v>0</v>
      </c>
      <c r="D906" s="95" t="n">
        <v>-1.9</v>
      </c>
      <c r="E906" s="95" t="n">
        <v>0</v>
      </c>
      <c r="F906" s="95" t="n">
        <v>7.7</v>
      </c>
      <c r="G906" s="95" t="n">
        <v>3.4</v>
      </c>
      <c r="H906" s="95" t="n">
        <v>1.9</v>
      </c>
      <c r="I906" s="95" t="n">
        <v>9.800000000000001</v>
      </c>
      <c r="J906" s="95" t="n">
        <v>5.4</v>
      </c>
      <c r="K906" s="96" t="inlineStr">
        <is>
          <t>2510 TS LINES</t>
        </is>
      </c>
    </row>
    <row r="907">
      <c r="A907" s="16" t="inlineStr">
        <is>
          <t>Worldwide Logistics Holding HK Limited</t>
        </is>
      </c>
      <c r="B907" s="89" t="n">
        <v>1</v>
      </c>
      <c r="C907" s="94" t="n">
        <v>0</v>
      </c>
      <c r="D907" s="95" t="n">
        <v>-1.9</v>
      </c>
      <c r="E907" s="95" t="n">
        <v>0</v>
      </c>
      <c r="F907" s="95" t="n">
        <v>7.7</v>
      </c>
      <c r="G907" s="95" t="n">
        <v>3.4</v>
      </c>
      <c r="H907" s="95" t="n">
        <v>1.9</v>
      </c>
      <c r="I907" s="95" t="n">
        <v>9.800000000000001</v>
      </c>
      <c r="J907" s="95" t="n">
        <v>5.4</v>
      </c>
      <c r="K907" s="96" t="inlineStr">
        <is>
          <t>2510 TS LINES</t>
        </is>
      </c>
    </row>
    <row r="908">
      <c r="A908" s="16" t="inlineStr">
        <is>
          <t>BCC Asia Aggregator, L.P</t>
        </is>
      </c>
      <c r="B908" s="89" t="n">
        <v>1</v>
      </c>
      <c r="C908" s="94" t="n">
        <v>0</v>
      </c>
      <c r="D908" s="95" t="n">
        <v>-2</v>
      </c>
      <c r="E908" s="95" t="n">
        <v>17.4</v>
      </c>
      <c r="F908" s="95" t="n">
        <v>6.1</v>
      </c>
      <c r="G908" s="95" t="n"/>
      <c r="H908" s="95" t="n">
        <v>19.9</v>
      </c>
      <c r="I908" s="95" t="n">
        <v>8.300000000000001</v>
      </c>
      <c r="J908" s="95" t="n"/>
      <c r="K908" s="96" t="inlineStr">
        <is>
          <t>3308 ZJ INNOLIGHT</t>
        </is>
      </c>
    </row>
    <row r="909">
      <c r="A909" s="16" t="inlineStr">
        <is>
          <t>Chow Tai Fook Enterprises Limited</t>
        </is>
      </c>
      <c r="B909" s="89" t="n">
        <v>1</v>
      </c>
      <c r="C909" s="94" t="n">
        <v>0</v>
      </c>
      <c r="D909" s="95" t="n">
        <v>-2</v>
      </c>
      <c r="E909" s="95" t="n">
        <v>17.4</v>
      </c>
      <c r="F909" s="95" t="n">
        <v>6.1</v>
      </c>
      <c r="G909" s="95" t="n"/>
      <c r="H909" s="95" t="n">
        <v>19.9</v>
      </c>
      <c r="I909" s="95" t="n">
        <v>8.300000000000001</v>
      </c>
      <c r="J909" s="95" t="n"/>
      <c r="K909" s="96" t="inlineStr">
        <is>
          <t>3308 ZJ INNOLIGHT</t>
        </is>
      </c>
    </row>
    <row r="910">
      <c r="A910" s="16" t="inlineStr">
        <is>
          <t>IDG Capital Project Fund Rhododendron L.P</t>
        </is>
      </c>
      <c r="B910" s="89" t="n">
        <v>1</v>
      </c>
      <c r="C910" s="94" t="n">
        <v>0</v>
      </c>
      <c r="D910" s="95" t="n">
        <v>-2</v>
      </c>
      <c r="E910" s="95" t="n">
        <v>17.4</v>
      </c>
      <c r="F910" s="95" t="n">
        <v>6.1</v>
      </c>
      <c r="G910" s="95" t="n"/>
      <c r="H910" s="95" t="n">
        <v>19.9</v>
      </c>
      <c r="I910" s="95" t="n">
        <v>8.300000000000001</v>
      </c>
      <c r="J910" s="95" t="n"/>
      <c r="K910" s="96" t="inlineStr">
        <is>
          <t>3308 ZJ INNOLIGHT</t>
        </is>
      </c>
    </row>
    <row r="911">
      <c r="A911" s="16" t="inlineStr">
        <is>
          <t>XINGTAI HOLDING COMPANY (HONG KONG) LIMITED</t>
        </is>
      </c>
      <c r="B911" s="89" t="n">
        <v>1</v>
      </c>
      <c r="C911" s="94" t="n">
        <v>0</v>
      </c>
      <c r="D911" s="95" t="n">
        <v>-2.1</v>
      </c>
      <c r="E911" s="95" t="n">
        <v>-1.4</v>
      </c>
      <c r="F911" s="95" t="n">
        <v>-4.5</v>
      </c>
      <c r="G911" s="95" t="n">
        <v>-6.9</v>
      </c>
      <c r="H911" s="95" t="n">
        <v>0.7</v>
      </c>
      <c r="I911" s="95" t="n">
        <v>-2.5</v>
      </c>
      <c r="J911" s="95" t="n">
        <v>-4.9</v>
      </c>
      <c r="K911" s="96" t="inlineStr">
        <is>
          <t>2482 LOGORY</t>
        </is>
      </c>
    </row>
    <row r="912">
      <c r="A912" s="16" t="inlineStr">
        <is>
          <t>NetEase, Inc</t>
        </is>
      </c>
      <c r="B912" s="89" t="n">
        <v>1</v>
      </c>
      <c r="C912" s="94" t="n">
        <v>0</v>
      </c>
      <c r="D912" s="95" t="n">
        <v>-2.5</v>
      </c>
      <c r="E912" s="95" t="n">
        <v>-2.7</v>
      </c>
      <c r="F912" s="95" t="n">
        <v>-27</v>
      </c>
      <c r="G912" s="95" t="n">
        <v>-55.1</v>
      </c>
      <c r="H912" s="95" t="n">
        <v>-0.2</v>
      </c>
      <c r="I912" s="95" t="n">
        <v>-25.2</v>
      </c>
      <c r="J912" s="95" t="n">
        <v>-54</v>
      </c>
      <c r="K912" s="96" t="inlineStr">
        <is>
          <t>9899 CLOUD VILLAGE</t>
        </is>
      </c>
    </row>
    <row r="913">
      <c r="A913" s="16" t="inlineStr">
        <is>
          <t>Orbis Investment Management Limited</t>
        </is>
      </c>
      <c r="B913" s="89" t="n">
        <v>1</v>
      </c>
      <c r="C913" s="94" t="n">
        <v>0</v>
      </c>
      <c r="D913" s="95" t="n">
        <v>-2.5</v>
      </c>
      <c r="E913" s="95" t="n">
        <v>-2.7</v>
      </c>
      <c r="F913" s="95" t="n">
        <v>-27</v>
      </c>
      <c r="G913" s="95" t="n">
        <v>-55.1</v>
      </c>
      <c r="H913" s="95" t="n">
        <v>-0.2</v>
      </c>
      <c r="I913" s="95" t="n">
        <v>-25.2</v>
      </c>
      <c r="J913" s="95" t="n">
        <v>-54</v>
      </c>
      <c r="K913" s="96" t="inlineStr">
        <is>
          <t>9899 CLOUD VILLAGE</t>
        </is>
      </c>
    </row>
    <row r="914">
      <c r="A914" s="16" t="inlineStr">
        <is>
          <t>Sony Music Entertainment</t>
        </is>
      </c>
      <c r="B914" s="89" t="n">
        <v>1</v>
      </c>
      <c r="C914" s="94" t="n">
        <v>0</v>
      </c>
      <c r="D914" s="95" t="n">
        <v>-2.5</v>
      </c>
      <c r="E914" s="95" t="n">
        <v>-2.7</v>
      </c>
      <c r="F914" s="95" t="n">
        <v>-27</v>
      </c>
      <c r="G914" s="95" t="n">
        <v>-55.1</v>
      </c>
      <c r="H914" s="95" t="n">
        <v>-0.2</v>
      </c>
      <c r="I914" s="95" t="n">
        <v>-25.2</v>
      </c>
      <c r="J914" s="95" t="n">
        <v>-54</v>
      </c>
      <c r="K914" s="96" t="inlineStr">
        <is>
          <t>9899 CLOUD VILLAGE</t>
        </is>
      </c>
    </row>
    <row r="915">
      <c r="A915" s="16" t="inlineStr">
        <is>
          <t>Oceanpine Capital Management Limited</t>
        </is>
      </c>
      <c r="B915" s="89" t="n">
        <v>1</v>
      </c>
      <c r="C915" s="94" t="n">
        <v>0</v>
      </c>
      <c r="D915" s="95" t="n">
        <v>-3</v>
      </c>
      <c r="E915" s="95" t="n">
        <v>-22.6</v>
      </c>
      <c r="F915" s="95" t="n">
        <v>-16.9</v>
      </c>
      <c r="G915" s="95" t="n">
        <v>-17.8</v>
      </c>
      <c r="H915" s="95" t="n">
        <v>-20.2</v>
      </c>
      <c r="I915" s="95" t="n">
        <v>-14.3</v>
      </c>
      <c r="J915" s="95" t="n">
        <v>-15.3</v>
      </c>
      <c r="K915" s="96" t="inlineStr">
        <is>
          <t>2197 CLOVER BIO-B</t>
        </is>
      </c>
    </row>
    <row r="916">
      <c r="A916" s="16" t="inlineStr">
        <is>
          <t>Rock Springs Capital Master Fund LP</t>
        </is>
      </c>
      <c r="B916" s="89" t="n">
        <v>1</v>
      </c>
      <c r="C916" s="94" t="n">
        <v>0</v>
      </c>
      <c r="D916" s="95" t="n">
        <v>-3</v>
      </c>
      <c r="E916" s="95" t="n">
        <v>-22.6</v>
      </c>
      <c r="F916" s="95" t="n">
        <v>-16.9</v>
      </c>
      <c r="G916" s="95" t="n">
        <v>-17.8</v>
      </c>
      <c r="H916" s="95" t="n">
        <v>-20.2</v>
      </c>
      <c r="I916" s="95" t="n">
        <v>-14.3</v>
      </c>
      <c r="J916" s="95" t="n">
        <v>-15.3</v>
      </c>
      <c r="K916" s="96" t="inlineStr">
        <is>
          <t>2197 CLOVER BIO-B</t>
        </is>
      </c>
    </row>
    <row r="917">
      <c r="A917" s="16" t="inlineStr">
        <is>
          <t>Toroa Master Fund</t>
        </is>
      </c>
      <c r="B917" s="89" t="n">
        <v>1</v>
      </c>
      <c r="C917" s="94" t="n">
        <v>0</v>
      </c>
      <c r="D917" s="95" t="n">
        <v>-3</v>
      </c>
      <c r="E917" s="95" t="n">
        <v>-22.6</v>
      </c>
      <c r="F917" s="95" t="n">
        <v>-16.9</v>
      </c>
      <c r="G917" s="95" t="n">
        <v>-17.8</v>
      </c>
      <c r="H917" s="95" t="n">
        <v>-20.2</v>
      </c>
      <c r="I917" s="95" t="n">
        <v>-14.3</v>
      </c>
      <c r="J917" s="95" t="n">
        <v>-15.3</v>
      </c>
      <c r="K917" s="96" t="inlineStr">
        <is>
          <t>2197 CLOVER BIO-B</t>
        </is>
      </c>
    </row>
    <row r="918">
      <c r="A918" s="16" t="inlineStr">
        <is>
          <t>Orinno Investment</t>
        </is>
      </c>
      <c r="B918" s="89" t="n">
        <v>1</v>
      </c>
      <c r="C918" s="94" t="n">
        <v>0</v>
      </c>
      <c r="D918" s="95" t="n">
        <v>-3</v>
      </c>
      <c r="E918" s="95" t="n">
        <v>8</v>
      </c>
      <c r="F918" s="95" t="n">
        <v>2.6</v>
      </c>
      <c r="G918" s="95" t="n">
        <v>-36.1</v>
      </c>
      <c r="H918" s="95" t="n">
        <v>11.3</v>
      </c>
      <c r="I918" s="95" t="n">
        <v>5.9</v>
      </c>
      <c r="J918" s="95" t="n">
        <v>-34.1</v>
      </c>
      <c r="K918" s="96" t="inlineStr">
        <is>
          <t>2416 EDIANYUN</t>
        </is>
      </c>
    </row>
    <row r="919">
      <c r="A919" s="16" t="inlineStr">
        <is>
          <t>Guangzhou Automobile Industry Group Co., Ltd</t>
        </is>
      </c>
      <c r="B919" s="89" t="n">
        <v>1</v>
      </c>
      <c r="C919" s="94" t="n">
        <v>0</v>
      </c>
      <c r="D919" s="95" t="n">
        <v>-3.1</v>
      </c>
      <c r="E919" s="95" t="n">
        <v>-20.6</v>
      </c>
      <c r="F919" s="95" t="n">
        <v>-16.6</v>
      </c>
      <c r="G919" s="95" t="n">
        <v>-34.6</v>
      </c>
      <c r="H919" s="95" t="n">
        <v>-18</v>
      </c>
      <c r="I919" s="95" t="n">
        <v>-13.9</v>
      </c>
      <c r="J919" s="95" t="n">
        <v>-32.5</v>
      </c>
      <c r="K919" s="96" t="inlineStr">
        <is>
          <t>9680 CHENQI TECH</t>
        </is>
      </c>
    </row>
    <row r="920">
      <c r="A920" s="16" t="inlineStr">
        <is>
          <t>Voyager Group Inc</t>
        </is>
      </c>
      <c r="B920" s="89" t="n">
        <v>1</v>
      </c>
      <c r="C920" s="94" t="n">
        <v>0</v>
      </c>
      <c r="D920" s="95" t="n">
        <v>-3.1</v>
      </c>
      <c r="E920" s="95" t="n">
        <v>-20.6</v>
      </c>
      <c r="F920" s="95" t="n">
        <v>-16.6</v>
      </c>
      <c r="G920" s="95" t="n">
        <v>-34.6</v>
      </c>
      <c r="H920" s="95" t="n">
        <v>-18</v>
      </c>
      <c r="I920" s="95" t="n">
        <v>-13.9</v>
      </c>
      <c r="J920" s="95" t="n">
        <v>-32.5</v>
      </c>
      <c r="K920" s="96" t="inlineStr">
        <is>
          <t>9680 CHENQI TECH</t>
        </is>
      </c>
    </row>
    <row r="921">
      <c r="A921" s="16" t="inlineStr">
        <is>
          <t>WeRide Inc</t>
        </is>
      </c>
      <c r="B921" s="89" t="n">
        <v>1</v>
      </c>
      <c r="C921" s="94" t="n">
        <v>0</v>
      </c>
      <c r="D921" s="95" t="n">
        <v>-3.1</v>
      </c>
      <c r="E921" s="95" t="n">
        <v>-20.6</v>
      </c>
      <c r="F921" s="95" t="n">
        <v>-16.6</v>
      </c>
      <c r="G921" s="95" t="n">
        <v>-34.6</v>
      </c>
      <c r="H921" s="95" t="n">
        <v>-18</v>
      </c>
      <c r="I921" s="95" t="n">
        <v>-13.9</v>
      </c>
      <c r="J921" s="95" t="n">
        <v>-32.5</v>
      </c>
      <c r="K921" s="96" t="inlineStr">
        <is>
          <t>9680 CHENQI TECH</t>
        </is>
      </c>
    </row>
    <row r="922">
      <c r="A922" s="16" t="inlineStr">
        <is>
          <t>Nanjing Jingkai Juzhi Investment L.P</t>
        </is>
      </c>
      <c r="B922" s="89" t="n">
        <v>1</v>
      </c>
      <c r="C922" s="94" t="n">
        <v>0</v>
      </c>
      <c r="D922" s="95" t="n">
        <v>-3.2</v>
      </c>
      <c r="E922" s="95" t="n">
        <v>1.3</v>
      </c>
      <c r="F922" s="95" t="n">
        <v>-5.3</v>
      </c>
      <c r="G922" s="95" t="n">
        <v>-69.7</v>
      </c>
      <c r="H922" s="95" t="n">
        <v>4.6</v>
      </c>
      <c r="I922" s="95" t="n">
        <v>-2.2</v>
      </c>
      <c r="J922" s="95" t="n">
        <v>-68.8</v>
      </c>
      <c r="K922" s="96" t="inlineStr">
        <is>
          <t>2438 MOBVOI</t>
        </is>
      </c>
    </row>
    <row r="923">
      <c r="A923" s="16" t="inlineStr">
        <is>
          <t>TradeGo FinTech Limited</t>
        </is>
      </c>
      <c r="B923" s="89" t="n">
        <v>1</v>
      </c>
      <c r="C923" s="94" t="n">
        <v>0</v>
      </c>
      <c r="D923" s="95" t="n">
        <v>-4.1</v>
      </c>
      <c r="E923" s="95" t="n">
        <v>3.6</v>
      </c>
      <c r="F923" s="95" t="n">
        <v>48</v>
      </c>
      <c r="G923" s="95" t="n">
        <v>89.59999999999999</v>
      </c>
      <c r="H923" s="95" t="n">
        <v>8</v>
      </c>
      <c r="I923" s="95" t="n">
        <v>54.2</v>
      </c>
      <c r="J923" s="95" t="n">
        <v>97.59999999999999</v>
      </c>
      <c r="K923" s="96" t="inlineStr">
        <is>
          <t>6610 FLOWING CLOUD</t>
        </is>
      </c>
    </row>
    <row r="924">
      <c r="A924" s="16" t="inlineStr">
        <is>
          <t>Hield International</t>
        </is>
      </c>
      <c r="B924" s="89" t="n">
        <v>1</v>
      </c>
      <c r="C924" s="94" t="n">
        <v>0</v>
      </c>
      <c r="D924" s="95" t="n">
        <v>-4.3</v>
      </c>
      <c r="E924" s="95" t="n">
        <v>-2.5</v>
      </c>
      <c r="F924" s="95" t="n">
        <v>20.8</v>
      </c>
      <c r="G924" s="95" t="n">
        <v>8.6</v>
      </c>
      <c r="H924" s="95" t="n">
        <v>1.9</v>
      </c>
      <c r="I924" s="95" t="n">
        <v>26.2</v>
      </c>
      <c r="J924" s="95" t="n">
        <v>13.5</v>
      </c>
      <c r="K924" s="96" t="inlineStr">
        <is>
          <t>2676 NOVOSENSE</t>
        </is>
      </c>
    </row>
    <row r="925">
      <c r="A925" s="16" t="inlineStr">
        <is>
          <t>Oriza Naxin</t>
        </is>
      </c>
      <c r="B925" s="89" t="n">
        <v>1</v>
      </c>
      <c r="C925" s="94" t="n">
        <v>0</v>
      </c>
      <c r="D925" s="95" t="n">
        <v>-4.3</v>
      </c>
      <c r="E925" s="95" t="n">
        <v>-2.5</v>
      </c>
      <c r="F925" s="95" t="n">
        <v>20.8</v>
      </c>
      <c r="G925" s="95" t="n">
        <v>8.6</v>
      </c>
      <c r="H925" s="95" t="n">
        <v>1.9</v>
      </c>
      <c r="I925" s="95" t="n">
        <v>26.2</v>
      </c>
      <c r="J925" s="95" t="n">
        <v>13.5</v>
      </c>
      <c r="K925" s="96" t="inlineStr">
        <is>
          <t>2676 NOVOSENSE</t>
        </is>
      </c>
    </row>
    <row r="926">
      <c r="A926" s="16" t="inlineStr">
        <is>
          <t>BYTEDANCE (HK) LIMITED</t>
        </is>
      </c>
      <c r="B926" s="89" t="n">
        <v>1</v>
      </c>
      <c r="C926" s="94" t="n">
        <v>0</v>
      </c>
      <c r="D926" s="95" t="n">
        <v>-4.5</v>
      </c>
      <c r="E926" s="95" t="n">
        <v>-1.9</v>
      </c>
      <c r="F926" s="95" t="n">
        <v>-19.4</v>
      </c>
      <c r="G926" s="95" t="n">
        <v>-13.6</v>
      </c>
      <c r="H926" s="95" t="n">
        <v>2.7</v>
      </c>
      <c r="I926" s="95" t="n">
        <v>-15.6</v>
      </c>
      <c r="J926" s="95" t="n">
        <v>-9.5</v>
      </c>
      <c r="K926" s="96" t="inlineStr">
        <is>
          <t>1948 UJU HOLDING</t>
        </is>
      </c>
    </row>
    <row r="927">
      <c r="A927" s="16" t="inlineStr">
        <is>
          <t>I-China Holdings Limited</t>
        </is>
      </c>
      <c r="B927" s="89" t="n">
        <v>1</v>
      </c>
      <c r="C927" s="94" t="n">
        <v>0</v>
      </c>
      <c r="D927" s="95" t="n">
        <v>-4.6</v>
      </c>
      <c r="E927" s="95" t="n">
        <v>-4.5</v>
      </c>
      <c r="F927" s="95" t="n">
        <v>-21.3</v>
      </c>
      <c r="G927" s="95" t="n">
        <v>-61.9</v>
      </c>
      <c r="H927" s="95" t="n">
        <v>0.2</v>
      </c>
      <c r="I927" s="95" t="n">
        <v>-17.5</v>
      </c>
      <c r="J927" s="95" t="n">
        <v>-60</v>
      </c>
      <c r="K927" s="96" t="inlineStr">
        <is>
          <t>6633 QINGCI GAMES</t>
        </is>
      </c>
    </row>
    <row r="928">
      <c r="A928" s="16" t="inlineStr">
        <is>
          <t>Qookka Entertainment Limited</t>
        </is>
      </c>
      <c r="B928" s="89" t="n">
        <v>1</v>
      </c>
      <c r="C928" s="94" t="n">
        <v>0</v>
      </c>
      <c r="D928" s="95" t="n">
        <v>-4.6</v>
      </c>
      <c r="E928" s="95" t="n">
        <v>-4.5</v>
      </c>
      <c r="F928" s="95" t="n">
        <v>-21.3</v>
      </c>
      <c r="G928" s="95" t="n">
        <v>-61.9</v>
      </c>
      <c r="H928" s="95" t="n">
        <v>0.2</v>
      </c>
      <c r="I928" s="95" t="n">
        <v>-17.5</v>
      </c>
      <c r="J928" s="95" t="n">
        <v>-60</v>
      </c>
      <c r="K928" s="96" t="inlineStr">
        <is>
          <t>6633 QINGCI GAMES</t>
        </is>
      </c>
    </row>
    <row r="929">
      <c r="A929" s="16" t="inlineStr">
        <is>
          <t>CYGG Holding Limited</t>
        </is>
      </c>
      <c r="B929" s="89" t="n">
        <v>1</v>
      </c>
      <c r="C929" s="94" t="n">
        <v>0</v>
      </c>
      <c r="D929" s="95" t="n">
        <v>-4.6</v>
      </c>
      <c r="E929" s="95" t="n">
        <v>22.3</v>
      </c>
      <c r="F929" s="95" t="n">
        <v>68.7</v>
      </c>
      <c r="G929" s="95" t="n">
        <v>-0.8</v>
      </c>
      <c r="H929" s="95" t="n">
        <v>28.3</v>
      </c>
      <c r="I929" s="95" t="n">
        <v>76.90000000000001</v>
      </c>
      <c r="J929" s="95" t="n">
        <v>4</v>
      </c>
      <c r="K929" s="96" t="inlineStr">
        <is>
          <t>1511 UISEE TECH</t>
        </is>
      </c>
    </row>
    <row r="930">
      <c r="A930" s="16" t="inlineStr">
        <is>
          <t>Starwin International A LPF</t>
        </is>
      </c>
      <c r="B930" s="89" t="n">
        <v>1</v>
      </c>
      <c r="C930" s="94" t="n">
        <v>0</v>
      </c>
      <c r="D930" s="95" t="n">
        <v>-4.6</v>
      </c>
      <c r="E930" s="95" t="n">
        <v>22.3</v>
      </c>
      <c r="F930" s="95" t="n">
        <v>68.7</v>
      </c>
      <c r="G930" s="95" t="n">
        <v>-0.8</v>
      </c>
      <c r="H930" s="95" t="n">
        <v>28.3</v>
      </c>
      <c r="I930" s="95" t="n">
        <v>76.90000000000001</v>
      </c>
      <c r="J930" s="95" t="n">
        <v>4</v>
      </c>
      <c r="K930" s="96" t="inlineStr">
        <is>
          <t>1511 UISEE TECH</t>
        </is>
      </c>
    </row>
    <row r="931">
      <c r="A931" s="16" t="inlineStr">
        <is>
          <t>Xiongan Autonomous Driving Limited</t>
        </is>
      </c>
      <c r="B931" s="89" t="n">
        <v>1</v>
      </c>
      <c r="C931" s="94" t="n">
        <v>0</v>
      </c>
      <c r="D931" s="95" t="n">
        <v>-4.6</v>
      </c>
      <c r="E931" s="95" t="n">
        <v>22.3</v>
      </c>
      <c r="F931" s="95" t="n">
        <v>68.7</v>
      </c>
      <c r="G931" s="95" t="n">
        <v>-0.8</v>
      </c>
      <c r="H931" s="95" t="n">
        <v>28.3</v>
      </c>
      <c r="I931" s="95" t="n">
        <v>76.90000000000001</v>
      </c>
      <c r="J931" s="95" t="n">
        <v>4</v>
      </c>
      <c r="K931" s="96" t="inlineStr">
        <is>
          <t>1511 UISEE TECH</t>
        </is>
      </c>
    </row>
    <row r="932">
      <c r="A932" s="16" t="inlineStr">
        <is>
          <t>GRANITE ASIA IX VCC</t>
        </is>
      </c>
      <c r="B932" s="89" t="n">
        <v>1</v>
      </c>
      <c r="C932" s="94" t="n">
        <v>0</v>
      </c>
      <c r="D932" s="95" t="n">
        <v>-4.6</v>
      </c>
      <c r="E932" s="95" t="n">
        <v>-5.1</v>
      </c>
      <c r="F932" s="95" t="n">
        <v>-37.2</v>
      </c>
      <c r="G932" s="95" t="n"/>
      <c r="H932" s="95" t="n">
        <v>-0.5</v>
      </c>
      <c r="I932" s="95" t="n">
        <v>-34.2</v>
      </c>
      <c r="J932" s="95" t="n"/>
      <c r="K932" s="96" t="inlineStr">
        <is>
          <t>1688 LINGYI ITECH</t>
        </is>
      </c>
    </row>
    <row r="933">
      <c r="A933" s="16" t="inlineStr">
        <is>
          <t>Honor Information Technology Limited</t>
        </is>
      </c>
      <c r="B933" s="89" t="n">
        <v>1</v>
      </c>
      <c r="C933" s="94" t="n">
        <v>0</v>
      </c>
      <c r="D933" s="95" t="n">
        <v>-4.6</v>
      </c>
      <c r="E933" s="95" t="n">
        <v>-5.1</v>
      </c>
      <c r="F933" s="95" t="n">
        <v>-37.2</v>
      </c>
      <c r="G933" s="95" t="n"/>
      <c r="H933" s="95" t="n">
        <v>-0.5</v>
      </c>
      <c r="I933" s="95" t="n">
        <v>-34.2</v>
      </c>
      <c r="J933" s="95" t="n"/>
      <c r="K933" s="96" t="inlineStr">
        <is>
          <t>1688 LINGYI ITECH</t>
        </is>
      </c>
    </row>
    <row r="934">
      <c r="A934" s="16" t="inlineStr">
        <is>
          <t>Kaide Global Investment Ltd</t>
        </is>
      </c>
      <c r="B934" s="89" t="n">
        <v>1</v>
      </c>
      <c r="C934" s="94" t="n">
        <v>0</v>
      </c>
      <c r="D934" s="95" t="n">
        <v>-4.6</v>
      </c>
      <c r="E934" s="95" t="n">
        <v>-5.1</v>
      </c>
      <c r="F934" s="95" t="n">
        <v>-37.2</v>
      </c>
      <c r="G934" s="95" t="n"/>
      <c r="H934" s="95" t="n">
        <v>-0.5</v>
      </c>
      <c r="I934" s="95" t="n">
        <v>-34.2</v>
      </c>
      <c r="J934" s="95" t="n"/>
      <c r="K934" s="96" t="inlineStr">
        <is>
          <t>1688 LINGYI ITECH</t>
        </is>
      </c>
    </row>
    <row r="935">
      <c r="A935" s="16" t="inlineStr">
        <is>
          <t>Qube Master Fund Ltd</t>
        </is>
      </c>
      <c r="B935" s="89" t="n">
        <v>1</v>
      </c>
      <c r="C935" s="94" t="n">
        <v>0</v>
      </c>
      <c r="D935" s="95" t="n">
        <v>-4.6</v>
      </c>
      <c r="E935" s="95" t="n">
        <v>-5.1</v>
      </c>
      <c r="F935" s="95" t="n">
        <v>-37.2</v>
      </c>
      <c r="G935" s="95" t="n"/>
      <c r="H935" s="95" t="n">
        <v>-0.5</v>
      </c>
      <c r="I935" s="95" t="n">
        <v>-34.2</v>
      </c>
      <c r="J935" s="95" t="n"/>
      <c r="K935" s="96" t="inlineStr">
        <is>
          <t>1688 LINGYI ITECH</t>
        </is>
      </c>
    </row>
    <row r="936">
      <c r="A936" s="16" t="inlineStr">
        <is>
          <t>Ti-Capital (HK) Pioneer Fund III</t>
        </is>
      </c>
      <c r="B936" s="89" t="n">
        <v>1</v>
      </c>
      <c r="C936" s="94" t="n">
        <v>0</v>
      </c>
      <c r="D936" s="95" t="n">
        <v>-4.6</v>
      </c>
      <c r="E936" s="95" t="n">
        <v>-5.1</v>
      </c>
      <c r="F936" s="95" t="n">
        <v>-37.2</v>
      </c>
      <c r="G936" s="95" t="n"/>
      <c r="H936" s="95" t="n">
        <v>-0.5</v>
      </c>
      <c r="I936" s="95" t="n">
        <v>-34.2</v>
      </c>
      <c r="J936" s="95" t="n"/>
      <c r="K936" s="96" t="inlineStr">
        <is>
          <t>1688 LINGYI ITECH</t>
        </is>
      </c>
    </row>
    <row r="937">
      <c r="A937" s="16" t="inlineStr">
        <is>
          <t>Hosen Capital</t>
        </is>
      </c>
      <c r="B937" s="89" t="n">
        <v>1</v>
      </c>
      <c r="C937" s="94" t="n">
        <v>0</v>
      </c>
      <c r="D937" s="95" t="n">
        <v>-5</v>
      </c>
      <c r="E937" s="95" t="n">
        <v>0.1</v>
      </c>
      <c r="F937" s="95" t="n">
        <v>0</v>
      </c>
      <c r="G937" s="95" t="n">
        <v>-2.6</v>
      </c>
      <c r="H937" s="95" t="n">
        <v>5.3</v>
      </c>
      <c r="I937" s="95" t="n">
        <v>5.3</v>
      </c>
      <c r="J937" s="95" t="n">
        <v>2.5</v>
      </c>
      <c r="K937" s="96" t="inlineStr">
        <is>
          <t>2648 ANJOY FOOD</t>
        </is>
      </c>
    </row>
    <row r="938">
      <c r="A938" s="16" t="inlineStr">
        <is>
          <t>FCP Domains</t>
        </is>
      </c>
      <c r="B938" s="89" t="n">
        <v>1</v>
      </c>
      <c r="C938" s="94" t="n">
        <v>0</v>
      </c>
      <c r="D938" s="95" t="n">
        <v>-5</v>
      </c>
      <c r="E938" s="95" t="n">
        <v>0.1</v>
      </c>
      <c r="F938" s="95" t="n">
        <v>0</v>
      </c>
      <c r="G938" s="95" t="n">
        <v>-2.6</v>
      </c>
      <c r="H938" s="95" t="n">
        <v>5.3</v>
      </c>
      <c r="I938" s="95" t="n">
        <v>5.3</v>
      </c>
      <c r="J938" s="95" t="n">
        <v>2.5</v>
      </c>
      <c r="K938" s="96" t="inlineStr">
        <is>
          <t>2648 ANJOY FOOD</t>
        </is>
      </c>
    </row>
    <row r="939">
      <c r="A939" s="16" t="inlineStr">
        <is>
          <t>NonaV erse</t>
        </is>
      </c>
      <c r="B939" s="89" t="n">
        <v>1</v>
      </c>
      <c r="C939" s="94" t="n">
        <v>0</v>
      </c>
      <c r="D939" s="95" t="n">
        <v>-5</v>
      </c>
      <c r="E939" s="95" t="n">
        <v>0.1</v>
      </c>
      <c r="F939" s="95" t="n">
        <v>0</v>
      </c>
      <c r="G939" s="95" t="n">
        <v>-2.6</v>
      </c>
      <c r="H939" s="95" t="n">
        <v>5.3</v>
      </c>
      <c r="I939" s="95" t="n">
        <v>5.3</v>
      </c>
      <c r="J939" s="95" t="n">
        <v>2.5</v>
      </c>
      <c r="K939" s="96" t="inlineStr">
        <is>
          <t>2648 ANJOY FOOD</t>
        </is>
      </c>
    </row>
    <row r="940">
      <c r="A940" s="16" t="inlineStr">
        <is>
          <t>Media Global Management Limited</t>
        </is>
      </c>
      <c r="B940" s="89" t="n">
        <v>1</v>
      </c>
      <c r="C940" s="94" t="n">
        <v>0</v>
      </c>
      <c r="D940" s="95" t="n">
        <v>-5.1</v>
      </c>
      <c r="E940" s="95" t="n">
        <v>-12.1</v>
      </c>
      <c r="F940" s="95" t="n">
        <v>-0.6</v>
      </c>
      <c r="G940" s="95" t="n">
        <v>8</v>
      </c>
      <c r="H940" s="95" t="n">
        <v>-7.4</v>
      </c>
      <c r="I940" s="95" t="n">
        <v>4.8</v>
      </c>
      <c r="J940" s="95" t="n">
        <v>13.8</v>
      </c>
      <c r="K940" s="96" t="inlineStr">
        <is>
          <t>9985 WEILONG</t>
        </is>
      </c>
    </row>
    <row r="941">
      <c r="A941" s="16" t="inlineStr">
        <is>
          <t>Prospect Bridge Value L.P</t>
        </is>
      </c>
      <c r="B941" s="89" t="n">
        <v>1</v>
      </c>
      <c r="C941" s="94" t="n">
        <v>0</v>
      </c>
      <c r="D941" s="95" t="n">
        <v>-5.1</v>
      </c>
      <c r="E941" s="95" t="n">
        <v>-12.1</v>
      </c>
      <c r="F941" s="95" t="n">
        <v>-0.6</v>
      </c>
      <c r="G941" s="95" t="n">
        <v>8</v>
      </c>
      <c r="H941" s="95" t="n">
        <v>-7.4</v>
      </c>
      <c r="I941" s="95" t="n">
        <v>4.8</v>
      </c>
      <c r="J941" s="95" t="n">
        <v>13.8</v>
      </c>
      <c r="K941" s="96" t="inlineStr">
        <is>
          <t>9985 WEILONG</t>
        </is>
      </c>
    </row>
    <row r="942">
      <c r="A942" s="16" t="inlineStr">
        <is>
          <t>Eastland</t>
        </is>
      </c>
      <c r="B942" s="89" t="n">
        <v>1</v>
      </c>
      <c r="C942" s="94" t="n">
        <v>0</v>
      </c>
      <c r="D942" s="95" t="n">
        <v>-5.3</v>
      </c>
      <c r="E942" s="95" t="n">
        <v>-3</v>
      </c>
      <c r="F942" s="95" t="n">
        <v>-7.9</v>
      </c>
      <c r="G942" s="95" t="n">
        <v>-6.3</v>
      </c>
      <c r="H942" s="95" t="n">
        <v>2.4</v>
      </c>
      <c r="I942" s="95" t="n">
        <v>-2.8</v>
      </c>
      <c r="J942" s="95" t="n">
        <v>-1.1</v>
      </c>
      <c r="K942" s="96" t="inlineStr">
        <is>
          <t>2385 READBOY</t>
        </is>
      </c>
    </row>
    <row r="943">
      <c r="A943" s="16" t="inlineStr">
        <is>
          <t>Gui Chunfang</t>
        </is>
      </c>
      <c r="B943" s="89" t="n">
        <v>1</v>
      </c>
      <c r="C943" s="94" t="n">
        <v>0</v>
      </c>
      <c r="D943" s="95" t="n">
        <v>-5.3</v>
      </c>
      <c r="E943" s="95" t="n">
        <v>-3</v>
      </c>
      <c r="F943" s="95" t="n">
        <v>-7.9</v>
      </c>
      <c r="G943" s="95" t="n">
        <v>-6.3</v>
      </c>
      <c r="H943" s="95" t="n">
        <v>2.4</v>
      </c>
      <c r="I943" s="95" t="n">
        <v>-2.8</v>
      </c>
      <c r="J943" s="95" t="n">
        <v>-1.1</v>
      </c>
      <c r="K943" s="96" t="inlineStr">
        <is>
          <t>2385 READBOY</t>
        </is>
      </c>
    </row>
    <row r="944">
      <c r="A944" s="16" t="inlineStr">
        <is>
          <t>Jin Tao</t>
        </is>
      </c>
      <c r="B944" s="89" t="n">
        <v>1</v>
      </c>
      <c r="C944" s="94" t="n">
        <v>0</v>
      </c>
      <c r="D944" s="95" t="n">
        <v>-5.3</v>
      </c>
      <c r="E944" s="95" t="n">
        <v>-3</v>
      </c>
      <c r="F944" s="95" t="n">
        <v>-7.9</v>
      </c>
      <c r="G944" s="95" t="n">
        <v>-6.3</v>
      </c>
      <c r="H944" s="95" t="n">
        <v>2.4</v>
      </c>
      <c r="I944" s="95" t="n">
        <v>-2.8</v>
      </c>
      <c r="J944" s="95" t="n">
        <v>-1.1</v>
      </c>
      <c r="K944" s="96" t="inlineStr">
        <is>
          <t>2385 READBOY</t>
        </is>
      </c>
    </row>
    <row r="945">
      <c r="A945" s="16" t="inlineStr">
        <is>
          <t>Tower Lead</t>
        </is>
      </c>
      <c r="B945" s="89" t="n">
        <v>1</v>
      </c>
      <c r="C945" s="94" t="n">
        <v>0</v>
      </c>
      <c r="D945" s="95" t="n">
        <v>-5.3</v>
      </c>
      <c r="E945" s="95" t="n">
        <v>-3</v>
      </c>
      <c r="F945" s="95" t="n">
        <v>-7.9</v>
      </c>
      <c r="G945" s="95" t="n">
        <v>-6.3</v>
      </c>
      <c r="H945" s="95" t="n">
        <v>2.4</v>
      </c>
      <c r="I945" s="95" t="n">
        <v>-2.8</v>
      </c>
      <c r="J945" s="95" t="n">
        <v>-1.1</v>
      </c>
      <c r="K945" s="96" t="inlineStr">
        <is>
          <t>2385 READBOY</t>
        </is>
      </c>
    </row>
    <row r="946">
      <c r="A946" s="16" t="inlineStr">
        <is>
          <t>Yang Xiaojie</t>
        </is>
      </c>
      <c r="B946" s="89" t="n">
        <v>1</v>
      </c>
      <c r="C946" s="94" t="n">
        <v>0</v>
      </c>
      <c r="D946" s="95" t="n">
        <v>-5.3</v>
      </c>
      <c r="E946" s="95" t="n">
        <v>-3</v>
      </c>
      <c r="F946" s="95" t="n">
        <v>-7.9</v>
      </c>
      <c r="G946" s="95" t="n">
        <v>-6.3</v>
      </c>
      <c r="H946" s="95" t="n">
        <v>2.4</v>
      </c>
      <c r="I946" s="95" t="n">
        <v>-2.8</v>
      </c>
      <c r="J946" s="95" t="n">
        <v>-1.1</v>
      </c>
      <c r="K946" s="96" t="inlineStr">
        <is>
          <t>2385 READBOY</t>
        </is>
      </c>
    </row>
    <row r="947">
      <c r="A947" s="16" t="inlineStr">
        <is>
          <t>Zheng Changping</t>
        </is>
      </c>
      <c r="B947" s="89" t="n">
        <v>1</v>
      </c>
      <c r="C947" s="94" t="n">
        <v>0</v>
      </c>
      <c r="D947" s="95" t="n">
        <v>-5.3</v>
      </c>
      <c r="E947" s="95" t="n">
        <v>-3</v>
      </c>
      <c r="F947" s="95" t="n">
        <v>-7.9</v>
      </c>
      <c r="G947" s="95" t="n">
        <v>-6.3</v>
      </c>
      <c r="H947" s="95" t="n">
        <v>2.4</v>
      </c>
      <c r="I947" s="95" t="n">
        <v>-2.8</v>
      </c>
      <c r="J947" s="95" t="n">
        <v>-1.1</v>
      </c>
      <c r="K947" s="96" t="inlineStr">
        <is>
          <t>2385 READBOY</t>
        </is>
      </c>
    </row>
    <row r="948">
      <c r="A948" s="16" t="inlineStr">
        <is>
          <t>Abax Asian Structured Private Credit Fund III, LP</t>
        </is>
      </c>
      <c r="B948" s="89" t="n">
        <v>1</v>
      </c>
      <c r="C948" s="94" t="n">
        <v>0</v>
      </c>
      <c r="D948" s="95" t="n">
        <v>-5.6</v>
      </c>
      <c r="E948" s="95" t="n">
        <v>-1.5</v>
      </c>
      <c r="F948" s="95" t="n">
        <v>-20.5</v>
      </c>
      <c r="G948" s="95" t="n">
        <v>-19.6</v>
      </c>
      <c r="H948" s="95" t="n">
        <v>4.3</v>
      </c>
      <c r="I948" s="95" t="n">
        <v>-15.8</v>
      </c>
      <c r="J948" s="95" t="n">
        <v>-14.8</v>
      </c>
      <c r="K948" s="96" t="inlineStr">
        <is>
          <t>6639 ARRAIL GROUP</t>
        </is>
      </c>
    </row>
    <row r="949">
      <c r="A949" s="16" t="inlineStr">
        <is>
          <t>Hony Goldstream Special Opportunity Fund I</t>
        </is>
      </c>
      <c r="B949" s="89" t="n">
        <v>1</v>
      </c>
      <c r="C949" s="94" t="n">
        <v>0</v>
      </c>
      <c r="D949" s="95" t="n">
        <v>-6</v>
      </c>
      <c r="E949" s="95" t="n">
        <v>-11.2</v>
      </c>
      <c r="F949" s="95" t="n">
        <v>-28</v>
      </c>
      <c r="G949" s="95" t="n">
        <v>-50.2</v>
      </c>
      <c r="H949" s="95" t="n">
        <v>-5.6</v>
      </c>
      <c r="I949" s="95" t="n">
        <v>-23.4</v>
      </c>
      <c r="J949" s="95" t="n">
        <v>-47.1</v>
      </c>
      <c r="K949" s="96" t="inlineStr">
        <is>
          <t>9600 NEWLINK TECH</t>
        </is>
      </c>
    </row>
    <row r="950">
      <c r="A950" s="16" t="inlineStr">
        <is>
          <t>Mr. Qi</t>
        </is>
      </c>
      <c r="B950" s="89" t="n">
        <v>1</v>
      </c>
      <c r="C950" s="94" t="n">
        <v>0</v>
      </c>
      <c r="D950" s="95" t="n">
        <v>-6.4</v>
      </c>
      <c r="E950" s="95" t="n">
        <v>-2.1</v>
      </c>
      <c r="F950" s="95" t="n">
        <v>45.1</v>
      </c>
      <c r="G950" s="95" t="n">
        <v>157</v>
      </c>
      <c r="H950" s="95" t="n">
        <v>4.6</v>
      </c>
      <c r="I950" s="95" t="n">
        <v>55.1</v>
      </c>
      <c r="J950" s="95" t="n">
        <v>174.7</v>
      </c>
      <c r="K950" s="96" t="inlineStr">
        <is>
          <t>1364 GUMING</t>
        </is>
      </c>
    </row>
    <row r="951">
      <c r="A951" s="16" t="inlineStr">
        <is>
          <t>Mr. Ruan</t>
        </is>
      </c>
      <c r="B951" s="89" t="n">
        <v>1</v>
      </c>
      <c r="C951" s="94" t="n">
        <v>0</v>
      </c>
      <c r="D951" s="95" t="n">
        <v>-6.4</v>
      </c>
      <c r="E951" s="95" t="n">
        <v>-2.1</v>
      </c>
      <c r="F951" s="95" t="n">
        <v>45.1</v>
      </c>
      <c r="G951" s="95" t="n">
        <v>157</v>
      </c>
      <c r="H951" s="95" t="n">
        <v>4.6</v>
      </c>
      <c r="I951" s="95" t="n">
        <v>55.1</v>
      </c>
      <c r="J951" s="95" t="n">
        <v>174.7</v>
      </c>
      <c r="K951" s="96" t="inlineStr">
        <is>
          <t>1364 GUMING</t>
        </is>
      </c>
    </row>
    <row r="952">
      <c r="A952" s="16" t="inlineStr">
        <is>
          <t>Intera Mining Investment Limited</t>
        </is>
      </c>
      <c r="B952" s="89" t="n">
        <v>1</v>
      </c>
      <c r="C952" s="94" t="n">
        <v>0</v>
      </c>
      <c r="D952" s="95" t="n">
        <v>-6.5</v>
      </c>
      <c r="E952" s="95" t="n">
        <v>-2.3</v>
      </c>
      <c r="F952" s="95" t="n">
        <v>-0.4</v>
      </c>
      <c r="G952" s="95" t="n"/>
      <c r="H952" s="95" t="n">
        <v>4.6</v>
      </c>
      <c r="I952" s="95" t="n">
        <v>6.6</v>
      </c>
      <c r="J952" s="95" t="n"/>
      <c r="K952" s="96" t="inlineStr">
        <is>
          <t>6228 MERDEKAGOLD-DRS</t>
        </is>
      </c>
    </row>
    <row r="953">
      <c r="A953" s="16" t="inlineStr">
        <is>
          <t>Mercuria Holdings (Singapore) Pte. Ltd</t>
        </is>
      </c>
      <c r="B953" s="89" t="n">
        <v>1</v>
      </c>
      <c r="C953" s="94" t="n">
        <v>0</v>
      </c>
      <c r="D953" s="95" t="n">
        <v>-6.5</v>
      </c>
      <c r="E953" s="95" t="n">
        <v>-2.3</v>
      </c>
      <c r="F953" s="95" t="n">
        <v>-0.4</v>
      </c>
      <c r="G953" s="95" t="n"/>
      <c r="H953" s="95" t="n">
        <v>4.6</v>
      </c>
      <c r="I953" s="95" t="n">
        <v>6.6</v>
      </c>
      <c r="J953" s="95" t="n"/>
      <c r="K953" s="96" t="inlineStr">
        <is>
          <t>6228 MERDEKAGOLD-DRS</t>
        </is>
      </c>
    </row>
    <row r="954">
      <c r="A954" s="16" t="inlineStr">
        <is>
          <t>Trafigura Group Pte. Ltd</t>
        </is>
      </c>
      <c r="B954" s="89" t="n">
        <v>1</v>
      </c>
      <c r="C954" s="94" t="n">
        <v>0</v>
      </c>
      <c r="D954" s="95" t="n">
        <v>-6.5</v>
      </c>
      <c r="E954" s="95" t="n">
        <v>-2.3</v>
      </c>
      <c r="F954" s="95" t="n">
        <v>-0.4</v>
      </c>
      <c r="G954" s="95" t="n"/>
      <c r="H954" s="95" t="n">
        <v>4.6</v>
      </c>
      <c r="I954" s="95" t="n">
        <v>6.6</v>
      </c>
      <c r="J954" s="95" t="n"/>
      <c r="K954" s="96" t="inlineStr">
        <is>
          <t>6228 MERDEKAGOLD-DRS</t>
        </is>
      </c>
    </row>
    <row r="955">
      <c r="A955" s="16" t="inlineStr">
        <is>
          <t>Wanguo Gold Group Limited</t>
        </is>
      </c>
      <c r="B955" s="89" t="n">
        <v>1</v>
      </c>
      <c r="C955" s="94" t="n">
        <v>0</v>
      </c>
      <c r="D955" s="95" t="n">
        <v>-6.5</v>
      </c>
      <c r="E955" s="95" t="n">
        <v>-2.3</v>
      </c>
      <c r="F955" s="95" t="n">
        <v>-0.4</v>
      </c>
      <c r="G955" s="95" t="n"/>
      <c r="H955" s="95" t="n">
        <v>4.6</v>
      </c>
      <c r="I955" s="95" t="n">
        <v>6.6</v>
      </c>
      <c r="J955" s="95" t="n"/>
      <c r="K955" s="96" t="inlineStr">
        <is>
          <t>6228 MERDEKAGOLD-DRS</t>
        </is>
      </c>
    </row>
    <row r="956">
      <c r="A956" s="16" t="inlineStr">
        <is>
          <t>Sanofi Foreign Participations B.V</t>
        </is>
      </c>
      <c r="B956" s="89" t="n">
        <v>1</v>
      </c>
      <c r="C956" s="94" t="n">
        <v>0</v>
      </c>
      <c r="D956" s="95" t="n">
        <v>-7.5</v>
      </c>
      <c r="E956" s="95" t="n">
        <v>-9.800000000000001</v>
      </c>
      <c r="F956" s="95" t="n">
        <v>-33.8</v>
      </c>
      <c r="G956" s="95" t="n">
        <v>-54.4</v>
      </c>
      <c r="H956" s="95" t="n">
        <v>-2.5</v>
      </c>
      <c r="I956" s="95" t="n">
        <v>-28.4</v>
      </c>
      <c r="J956" s="95" t="n">
        <v>-50.7</v>
      </c>
      <c r="K956" s="96" t="inlineStr">
        <is>
          <t>9955 CLOUDR</t>
        </is>
      </c>
    </row>
    <row r="957">
      <c r="A957" s="16" t="inlineStr">
        <is>
          <t>Tasly International Capital Limited</t>
        </is>
      </c>
      <c r="B957" s="89" t="n">
        <v>1</v>
      </c>
      <c r="C957" s="94" t="n">
        <v>0</v>
      </c>
      <c r="D957" s="95" t="n">
        <v>-7.5</v>
      </c>
      <c r="E957" s="95" t="n">
        <v>-9.800000000000001</v>
      </c>
      <c r="F957" s="95" t="n">
        <v>-33.8</v>
      </c>
      <c r="G957" s="95" t="n">
        <v>-54.4</v>
      </c>
      <c r="H957" s="95" t="n">
        <v>-2.5</v>
      </c>
      <c r="I957" s="95" t="n">
        <v>-28.4</v>
      </c>
      <c r="J957" s="95" t="n">
        <v>-50.7</v>
      </c>
      <c r="K957" s="96" t="inlineStr">
        <is>
          <t>9955 CLOUDR</t>
        </is>
      </c>
    </row>
    <row r="958">
      <c r="A958" s="16" t="inlineStr">
        <is>
          <t>DNCA Finance</t>
        </is>
      </c>
      <c r="B958" s="89" t="n">
        <v>1</v>
      </c>
      <c r="C958" s="94" t="n">
        <v>0</v>
      </c>
      <c r="D958" s="95" t="n">
        <v>-7.6</v>
      </c>
      <c r="E958" s="95" t="n">
        <v>-18</v>
      </c>
      <c r="F958" s="95" t="n">
        <v>-20.8</v>
      </c>
      <c r="G958" s="95" t="n">
        <v>-45.3</v>
      </c>
      <c r="H958" s="95" t="n">
        <v>-11.3</v>
      </c>
      <c r="I958" s="95" t="n">
        <v>-14.3</v>
      </c>
      <c r="J958" s="95" t="n">
        <v>-40.8</v>
      </c>
      <c r="K958" s="96" t="inlineStr">
        <is>
          <t>9960 KINDSTAR GLOBAL</t>
        </is>
      </c>
    </row>
    <row r="959">
      <c r="A959" s="16" t="inlineStr">
        <is>
          <t>Hangzhou High-tech Venture Capital Co., Ltd</t>
        </is>
      </c>
      <c r="B959" s="89" t="n">
        <v>1</v>
      </c>
      <c r="C959" s="94" t="n">
        <v>0</v>
      </c>
      <c r="D959" s="95" t="n">
        <v>-7.6</v>
      </c>
      <c r="E959" s="95" t="n">
        <v>-4.8</v>
      </c>
      <c r="F959" s="95" t="n">
        <v>-5.5</v>
      </c>
      <c r="G959" s="95" t="n">
        <v>-7</v>
      </c>
      <c r="H959" s="95" t="n">
        <v>3.1</v>
      </c>
      <c r="I959" s="95" t="n">
        <v>2.3</v>
      </c>
      <c r="J959" s="95" t="n">
        <v>0.6</v>
      </c>
      <c r="K959" s="96" t="inlineStr">
        <is>
          <t>2598 LIANLIAN</t>
        </is>
      </c>
    </row>
    <row r="960">
      <c r="A960" s="16" t="inlineStr">
        <is>
          <t>Zhongding Capital Fund VIII</t>
        </is>
      </c>
      <c r="B960" s="89" t="n">
        <v>1</v>
      </c>
      <c r="C960" s="94" t="n">
        <v>0</v>
      </c>
      <c r="D960" s="95" t="n">
        <v>-8</v>
      </c>
      <c r="E960" s="95" t="n">
        <v>-20.4</v>
      </c>
      <c r="F960" s="95" t="n">
        <v>-20.8</v>
      </c>
      <c r="G960" s="95" t="n">
        <v>-22.9</v>
      </c>
      <c r="H960" s="95" t="n">
        <v>-13.5</v>
      </c>
      <c r="I960" s="95" t="n">
        <v>-13.9</v>
      </c>
      <c r="J960" s="95" t="n">
        <v>-16.1</v>
      </c>
      <c r="K960" s="96" t="inlineStr">
        <is>
          <t>0699 JOYSON ELEC</t>
        </is>
      </c>
    </row>
    <row r="961">
      <c r="A961" s="16" t="inlineStr">
        <is>
          <t>Vandi (CCB International)</t>
        </is>
      </c>
      <c r="B961" s="89" t="n">
        <v>1</v>
      </c>
      <c r="C961" s="94" t="n">
        <v>0</v>
      </c>
      <c r="D961" s="95" t="n">
        <v>-8</v>
      </c>
      <c r="E961" s="95" t="n">
        <v>-20.4</v>
      </c>
      <c r="F961" s="95" t="n">
        <v>-20.8</v>
      </c>
      <c r="G961" s="95" t="n">
        <v>-22.9</v>
      </c>
      <c r="H961" s="95" t="n">
        <v>-13.5</v>
      </c>
      <c r="I961" s="95" t="n">
        <v>-13.9</v>
      </c>
      <c r="J961" s="95" t="n">
        <v>-16.1</v>
      </c>
      <c r="K961" s="96" t="inlineStr">
        <is>
          <t>0699 JOYSON ELEC</t>
        </is>
      </c>
    </row>
    <row r="962">
      <c r="A962" s="16" t="inlineStr">
        <is>
          <t>Fidelidade (Fosun)</t>
        </is>
      </c>
      <c r="B962" s="89" t="n">
        <v>1</v>
      </c>
      <c r="C962" s="94" t="n">
        <v>0</v>
      </c>
      <c r="D962" s="95" t="n">
        <v>-8</v>
      </c>
      <c r="E962" s="95" t="n">
        <v>-20.4</v>
      </c>
      <c r="F962" s="95" t="n">
        <v>-20.8</v>
      </c>
      <c r="G962" s="95" t="n">
        <v>-22.9</v>
      </c>
      <c r="H962" s="95" t="n">
        <v>-13.5</v>
      </c>
      <c r="I962" s="95" t="n">
        <v>-13.9</v>
      </c>
      <c r="J962" s="95" t="n">
        <v>-16.1</v>
      </c>
      <c r="K962" s="96" t="inlineStr">
        <is>
          <t>0699 JOYSON ELEC</t>
        </is>
      </c>
    </row>
    <row r="963">
      <c r="A963" s="16" t="inlineStr">
        <is>
          <t>Yanlord Investment Limited</t>
        </is>
      </c>
      <c r="B963" s="89" t="n">
        <v>1</v>
      </c>
      <c r="C963" s="94" t="n">
        <v>0</v>
      </c>
      <c r="D963" s="95" t="n">
        <v>-8.699999999999999</v>
      </c>
      <c r="E963" s="95" t="n">
        <v>5.8</v>
      </c>
      <c r="F963" s="95" t="n">
        <v>-13.9</v>
      </c>
      <c r="G963" s="95" t="n">
        <v>-13.3</v>
      </c>
      <c r="H963" s="95" t="n">
        <v>15.8</v>
      </c>
      <c r="I963" s="95" t="n">
        <v>-5.7</v>
      </c>
      <c r="J963" s="95" t="n">
        <v>-5.1</v>
      </c>
      <c r="K963" s="96" t="inlineStr">
        <is>
          <t>2153 TAT HONG EQUIP</t>
        </is>
      </c>
    </row>
    <row r="964">
      <c r="A964" s="16" t="inlineStr">
        <is>
          <t>Hello Inc</t>
        </is>
      </c>
      <c r="B964" s="89" t="n">
        <v>1</v>
      </c>
      <c r="C964" s="94" t="n">
        <v>0</v>
      </c>
      <c r="D964" s="95" t="n">
        <v>-9.300000000000001</v>
      </c>
      <c r="E964" s="95" t="n">
        <v>-6.9</v>
      </c>
      <c r="F964" s="95" t="n">
        <v>-19.9</v>
      </c>
      <c r="G964" s="95" t="n">
        <v>-52</v>
      </c>
      <c r="H964" s="95" t="n">
        <v>2.6</v>
      </c>
      <c r="I964" s="95" t="n">
        <v>-11.7</v>
      </c>
      <c r="J964" s="95" t="n">
        <v>-47.1</v>
      </c>
      <c r="K964" s="96" t="inlineStr">
        <is>
          <t>9699 SF INTRA-CITY</t>
        </is>
      </c>
    </row>
    <row r="965">
      <c r="A965" s="16" t="inlineStr">
        <is>
          <t>Taobao China Holding Limited</t>
        </is>
      </c>
      <c r="B965" s="89" t="n">
        <v>1</v>
      </c>
      <c r="C965" s="94" t="n">
        <v>0</v>
      </c>
      <c r="D965" s="95" t="n">
        <v>-9.300000000000001</v>
      </c>
      <c r="E965" s="95" t="n">
        <v>-6.9</v>
      </c>
      <c r="F965" s="95" t="n">
        <v>-19.9</v>
      </c>
      <c r="G965" s="95" t="n">
        <v>-52</v>
      </c>
      <c r="H965" s="95" t="n">
        <v>2.6</v>
      </c>
      <c r="I965" s="95" t="n">
        <v>-11.7</v>
      </c>
      <c r="J965" s="95" t="n">
        <v>-47.1</v>
      </c>
      <c r="K965" s="96" t="inlineStr">
        <is>
          <t>9699 SF INTRA-CITY</t>
        </is>
      </c>
    </row>
    <row r="966">
      <c r="A966" s="16" t="inlineStr">
        <is>
          <t>Qindao Gantong</t>
        </is>
      </c>
      <c r="B966" s="89" t="n">
        <v>1</v>
      </c>
      <c r="C966" s="94" t="n">
        <v>0</v>
      </c>
      <c r="D966" s="95" t="n">
        <v>-11.7</v>
      </c>
      <c r="E966" s="95" t="n">
        <v>-10.2</v>
      </c>
      <c r="F966" s="95" t="n">
        <v>-27.9</v>
      </c>
      <c r="G966" s="95" t="n">
        <v>-24.9</v>
      </c>
      <c r="H966" s="95" t="n">
        <v>1.7</v>
      </c>
      <c r="I966" s="95" t="n">
        <v>-18.3</v>
      </c>
      <c r="J966" s="95" t="n">
        <v>-14.9</v>
      </c>
      <c r="K966" s="96" t="inlineStr">
        <is>
          <t>0638 FIBOCOM</t>
        </is>
      </c>
    </row>
    <row r="967">
      <c r="A967" s="16" t="inlineStr">
        <is>
          <t>Genimous Investment</t>
        </is>
      </c>
      <c r="B967" s="89" t="n">
        <v>1</v>
      </c>
      <c r="C967" s="94" t="n">
        <v>0</v>
      </c>
      <c r="D967" s="95" t="n">
        <v>-11.7</v>
      </c>
      <c r="E967" s="95" t="n">
        <v>-10.2</v>
      </c>
      <c r="F967" s="95" t="n">
        <v>-27.9</v>
      </c>
      <c r="G967" s="95" t="n">
        <v>-24.9</v>
      </c>
      <c r="H967" s="95" t="n">
        <v>1.7</v>
      </c>
      <c r="I967" s="95" t="n">
        <v>-18.3</v>
      </c>
      <c r="J967" s="95" t="n">
        <v>-14.9</v>
      </c>
      <c r="K967" s="96" t="inlineStr">
        <is>
          <t>0638 FIBOCOM</t>
        </is>
      </c>
    </row>
    <row r="968">
      <c r="A968" s="16" t="inlineStr">
        <is>
          <t>Mr. Zhang Xiaolei</t>
        </is>
      </c>
      <c r="B968" s="89" t="n">
        <v>1</v>
      </c>
      <c r="C968" s="94" t="n">
        <v>0</v>
      </c>
      <c r="D968" s="95" t="n">
        <v>-11.7</v>
      </c>
      <c r="E968" s="95" t="n">
        <v>-10.2</v>
      </c>
      <c r="F968" s="95" t="n">
        <v>-27.9</v>
      </c>
      <c r="G968" s="95" t="n">
        <v>-24.9</v>
      </c>
      <c r="H968" s="95" t="n">
        <v>1.7</v>
      </c>
      <c r="I968" s="95" t="n">
        <v>-18.3</v>
      </c>
      <c r="J968" s="95" t="n">
        <v>-14.9</v>
      </c>
      <c r="K968" s="96" t="inlineStr">
        <is>
          <t>0638 FIBOCOM</t>
        </is>
      </c>
    </row>
    <row r="969">
      <c r="A969" s="16" t="inlineStr">
        <is>
          <t>GTINV</t>
        </is>
      </c>
      <c r="B969" s="89" t="n">
        <v>1</v>
      </c>
      <c r="C969" s="94" t="n">
        <v>0</v>
      </c>
      <c r="D969" s="95" t="n">
        <v>-11.7</v>
      </c>
      <c r="E969" s="95" t="n">
        <v>-10.2</v>
      </c>
      <c r="F969" s="95" t="n">
        <v>-27.9</v>
      </c>
      <c r="G969" s="95" t="n">
        <v>-24.9</v>
      </c>
      <c r="H969" s="95" t="n">
        <v>1.7</v>
      </c>
      <c r="I969" s="95" t="n">
        <v>-18.3</v>
      </c>
      <c r="J969" s="95" t="n">
        <v>-14.9</v>
      </c>
      <c r="K969" s="96" t="inlineStr">
        <is>
          <t>0638 FIBOCOM</t>
        </is>
      </c>
    </row>
    <row r="970">
      <c r="A970" s="16" t="inlineStr">
        <is>
          <t>Shunjie Investment</t>
        </is>
      </c>
      <c r="B970" s="89" t="n">
        <v>1</v>
      </c>
      <c r="C970" s="94" t="n">
        <v>0</v>
      </c>
      <c r="D970" s="95" t="n">
        <v>-11.9</v>
      </c>
      <c r="E970" s="95" t="n">
        <v>-18.5</v>
      </c>
      <c r="F970" s="95" t="n">
        <v>-16.1</v>
      </c>
      <c r="G970" s="95" t="n">
        <v>-31.8</v>
      </c>
      <c r="H970" s="95" t="n">
        <v>-7.5</v>
      </c>
      <c r="I970" s="95" t="n">
        <v>-4.8</v>
      </c>
      <c r="J970" s="95" t="n">
        <v>-22.6</v>
      </c>
      <c r="K970" s="96" t="inlineStr">
        <is>
          <t>2619 XJ ELECTRICS</t>
        </is>
      </c>
    </row>
    <row r="971">
      <c r="A971" s="16" t="inlineStr">
        <is>
          <t>Xinghuang Holdings</t>
        </is>
      </c>
      <c r="B971" s="89" t="n">
        <v>1</v>
      </c>
      <c r="C971" s="94" t="n">
        <v>0</v>
      </c>
      <c r="D971" s="95" t="n">
        <v>-11.9</v>
      </c>
      <c r="E971" s="95" t="n">
        <v>-18.5</v>
      </c>
      <c r="F971" s="95" t="n">
        <v>-16.1</v>
      </c>
      <c r="G971" s="95" t="n">
        <v>-31.8</v>
      </c>
      <c r="H971" s="95" t="n">
        <v>-7.5</v>
      </c>
      <c r="I971" s="95" t="n">
        <v>-4.8</v>
      </c>
      <c r="J971" s="95" t="n">
        <v>-22.6</v>
      </c>
      <c r="K971" s="96" t="inlineStr">
        <is>
          <t>2619 XJ ELECTRICS</t>
        </is>
      </c>
    </row>
    <row r="972">
      <c r="A972" s="16" t="inlineStr">
        <is>
          <t>Yunxing Technology</t>
        </is>
      </c>
      <c r="B972" s="89" t="n">
        <v>1</v>
      </c>
      <c r="C972" s="94" t="n">
        <v>0</v>
      </c>
      <c r="D972" s="95" t="n">
        <v>-11.9</v>
      </c>
      <c r="E972" s="95" t="n">
        <v>-18.5</v>
      </c>
      <c r="F972" s="95" t="n">
        <v>-16.1</v>
      </c>
      <c r="G972" s="95" t="n">
        <v>-31.8</v>
      </c>
      <c r="H972" s="95" t="n">
        <v>-7.5</v>
      </c>
      <c r="I972" s="95" t="n">
        <v>-4.8</v>
      </c>
      <c r="J972" s="95" t="n">
        <v>-22.6</v>
      </c>
      <c r="K972" s="96" t="inlineStr">
        <is>
          <t>2619 XJ ELECTRICS</t>
        </is>
      </c>
    </row>
    <row r="973">
      <c r="A973" s="16" t="inlineStr">
        <is>
          <t>Lucky Advent Limited</t>
        </is>
      </c>
      <c r="B973" s="89" t="n">
        <v>1</v>
      </c>
      <c r="C973" s="94" t="n">
        <v>0</v>
      </c>
      <c r="D973" s="95" t="n">
        <v>-12</v>
      </c>
      <c r="E973" s="95" t="n">
        <v>-9</v>
      </c>
      <c r="F973" s="95" t="n">
        <v>-23.7</v>
      </c>
      <c r="G973" s="95" t="n">
        <v>-38.3</v>
      </c>
      <c r="H973" s="95" t="n">
        <v>3.4</v>
      </c>
      <c r="I973" s="95" t="n">
        <v>-13.3</v>
      </c>
      <c r="J973" s="95" t="n">
        <v>-29.9</v>
      </c>
      <c r="K973" s="96" t="inlineStr">
        <is>
          <t>9982 CENTRALCHINA MT</t>
        </is>
      </c>
    </row>
    <row r="974">
      <c r="A974" s="16" t="inlineStr">
        <is>
          <t>Action Chain</t>
        </is>
      </c>
      <c r="B974" s="89" t="n">
        <v>1</v>
      </c>
      <c r="C974" s="94" t="n">
        <v>0</v>
      </c>
      <c r="D974" s="95" t="n">
        <v>-12.5</v>
      </c>
      <c r="E974" s="95" t="n">
        <v>-19.6</v>
      </c>
      <c r="F974" s="95" t="n">
        <v>-11.3</v>
      </c>
      <c r="G974" s="95" t="n">
        <v>3.2</v>
      </c>
      <c r="H974" s="95" t="n">
        <v>-8.1</v>
      </c>
      <c r="I974" s="95" t="n">
        <v>1.4</v>
      </c>
      <c r="J974" s="95" t="n">
        <v>18</v>
      </c>
      <c r="K974" s="96" t="inlineStr">
        <is>
          <t>6831 GREEN TEA GROUP</t>
        </is>
      </c>
    </row>
    <row r="975">
      <c r="A975" s="16" t="inlineStr">
        <is>
          <t>Chia Tai</t>
        </is>
      </c>
      <c r="B975" s="89" t="n">
        <v>1</v>
      </c>
      <c r="C975" s="94" t="n">
        <v>0</v>
      </c>
      <c r="D975" s="95" t="n">
        <v>-12.5</v>
      </c>
      <c r="E975" s="95" t="n">
        <v>-19.6</v>
      </c>
      <c r="F975" s="95" t="n">
        <v>-11.3</v>
      </c>
      <c r="G975" s="95" t="n">
        <v>3.2</v>
      </c>
      <c r="H975" s="95" t="n">
        <v>-8.1</v>
      </c>
      <c r="I975" s="95" t="n">
        <v>1.4</v>
      </c>
      <c r="J975" s="95" t="n">
        <v>18</v>
      </c>
      <c r="K975" s="96" t="inlineStr">
        <is>
          <t>6831 GREEN TEA GROUP</t>
        </is>
      </c>
    </row>
    <row r="976">
      <c r="A976" s="16" t="inlineStr">
        <is>
          <t>Grand Rejuvenation Premium Selection Fund SPC</t>
        </is>
      </c>
      <c r="B976" s="89" t="n">
        <v>1</v>
      </c>
      <c r="C976" s="94" t="n">
        <v>0</v>
      </c>
      <c r="D976" s="95" t="n">
        <v>-13.5</v>
      </c>
      <c r="E976" s="95" t="n">
        <v>-19.1</v>
      </c>
      <c r="F976" s="95" t="n">
        <v>-42.9</v>
      </c>
      <c r="G976" s="95" t="n">
        <v>-39.2</v>
      </c>
      <c r="H976" s="95" t="n">
        <v>-6.4</v>
      </c>
      <c r="I976" s="95" t="n">
        <v>-34</v>
      </c>
      <c r="J976" s="95" t="n">
        <v>-29.7</v>
      </c>
      <c r="K976" s="96" t="inlineStr">
        <is>
          <t>2150 NAYUKI</t>
        </is>
      </c>
    </row>
    <row r="977">
      <c r="A977" s="16" t="inlineStr">
        <is>
          <t>Xiangjiang Zhicheng (Hunan state fund)</t>
        </is>
      </c>
      <c r="B977" s="89" t="n">
        <v>1</v>
      </c>
      <c r="C977" s="94" t="n">
        <v>0</v>
      </c>
      <c r="D977" s="95" t="n">
        <v>-13.7</v>
      </c>
      <c r="E977" s="95" t="n">
        <v>-15.2</v>
      </c>
      <c r="F977" s="95" t="n">
        <v>-7.8</v>
      </c>
      <c r="G977" s="95" t="n">
        <v>-11.8</v>
      </c>
      <c r="H977" s="95" t="n">
        <v>-1.8</v>
      </c>
      <c r="I977" s="95" t="n">
        <v>6.8</v>
      </c>
      <c r="J977" s="95" t="n">
        <v>2.2</v>
      </c>
      <c r="K977" s="96" t="inlineStr">
        <is>
          <t>3881 CIDI</t>
        </is>
      </c>
    </row>
    <row r="978">
      <c r="A978" s="16" t="inlineStr">
        <is>
          <t>Zhijia No. 1 (Nanning Ruiyue LP)</t>
        </is>
      </c>
      <c r="B978" s="89" t="n">
        <v>1</v>
      </c>
      <c r="C978" s="94" t="n">
        <v>0</v>
      </c>
      <c r="D978" s="95" t="n">
        <v>-13.7</v>
      </c>
      <c r="E978" s="95" t="n">
        <v>-15.2</v>
      </c>
      <c r="F978" s="95" t="n">
        <v>-7.8</v>
      </c>
      <c r="G978" s="95" t="n">
        <v>-11.8</v>
      </c>
      <c r="H978" s="95" t="n">
        <v>-1.8</v>
      </c>
      <c r="I978" s="95" t="n">
        <v>6.8</v>
      </c>
      <c r="J978" s="95" t="n">
        <v>2.2</v>
      </c>
      <c r="K978" s="96" t="inlineStr">
        <is>
          <t>3881 CIDI</t>
        </is>
      </c>
    </row>
    <row r="979">
      <c r="A979" s="16" t="inlineStr">
        <is>
          <t>EVE Asia</t>
        </is>
      </c>
      <c r="B979" s="89" t="n">
        <v>1</v>
      </c>
      <c r="C979" s="94" t="n">
        <v>0</v>
      </c>
      <c r="D979" s="95" t="n">
        <v>-14.2</v>
      </c>
      <c r="E979" s="95" t="n">
        <v>-16.2</v>
      </c>
      <c r="F979" s="95" t="n">
        <v>-3.5</v>
      </c>
      <c r="G979" s="95" t="n">
        <v>25.2</v>
      </c>
      <c r="H979" s="95" t="n">
        <v>-2.4</v>
      </c>
      <c r="I979" s="95" t="n">
        <v>12.4</v>
      </c>
      <c r="J979" s="95" t="n">
        <v>45.8</v>
      </c>
      <c r="K979" s="96" t="inlineStr">
        <is>
          <t>2643 CAOCAO INC</t>
        </is>
      </c>
    </row>
    <row r="980">
      <c r="A980" s="16" t="inlineStr">
        <is>
          <t>RoboSense Hong Kong</t>
        </is>
      </c>
      <c r="B980" s="89" t="n">
        <v>1</v>
      </c>
      <c r="C980" s="94" t="n">
        <v>0</v>
      </c>
      <c r="D980" s="95" t="n">
        <v>-14.2</v>
      </c>
      <c r="E980" s="95" t="n">
        <v>-16.2</v>
      </c>
      <c r="F980" s="95" t="n">
        <v>-3.5</v>
      </c>
      <c r="G980" s="95" t="n">
        <v>25.2</v>
      </c>
      <c r="H980" s="95" t="n">
        <v>-2.4</v>
      </c>
      <c r="I980" s="95" t="n">
        <v>12.4</v>
      </c>
      <c r="J980" s="95" t="n">
        <v>45.8</v>
      </c>
      <c r="K980" s="96" t="inlineStr">
        <is>
          <t>2643 CAOCAO INC</t>
        </is>
      </c>
    </row>
    <row r="981">
      <c r="A981" s="16" t="inlineStr">
        <is>
          <t>Eurus Holdings SPC</t>
        </is>
      </c>
      <c r="B981" s="89" t="n">
        <v>1</v>
      </c>
      <c r="C981" s="94" t="n">
        <v>0</v>
      </c>
      <c r="D981" s="95" t="n">
        <v>-14.6</v>
      </c>
      <c r="E981" s="95" t="n">
        <v>21.9</v>
      </c>
      <c r="F981" s="95" t="n">
        <v>-42.2</v>
      </c>
      <c r="G981" s="95" t="n"/>
      <c r="H981" s="95" t="n">
        <v>42.7</v>
      </c>
      <c r="I981" s="95" t="n">
        <v>-32.3</v>
      </c>
      <c r="J981" s="95" t="n"/>
      <c r="K981" s="96" t="inlineStr">
        <is>
          <t>3952 LAIFUAL</t>
        </is>
      </c>
    </row>
    <row r="982">
      <c r="A982" s="16" t="inlineStr">
        <is>
          <t>CaaS Capital Master Fund LP</t>
        </is>
      </c>
      <c r="B982" s="89" t="n">
        <v>1</v>
      </c>
      <c r="C982" s="94" t="n">
        <v>0</v>
      </c>
      <c r="D982" s="95" t="n">
        <v>-14.8</v>
      </c>
      <c r="E982" s="95" t="n">
        <v>-32.1</v>
      </c>
      <c r="F982" s="95" t="n">
        <v>-20.9</v>
      </c>
      <c r="G982" s="95" t="n">
        <v>-52.4</v>
      </c>
      <c r="H982" s="95" t="n">
        <v>-20.4</v>
      </c>
      <c r="I982" s="95" t="n">
        <v>-7.3</v>
      </c>
      <c r="J982" s="95" t="n">
        <v>-44.1</v>
      </c>
      <c r="K982" s="96" t="inlineStr">
        <is>
          <t>6622 ZHAOKE OPHTH-B</t>
        </is>
      </c>
    </row>
    <row r="983">
      <c r="A983" s="16" t="inlineStr">
        <is>
          <t>Jennison Associates LLC</t>
        </is>
      </c>
      <c r="B983" s="89" t="n">
        <v>1</v>
      </c>
      <c r="C983" s="94" t="n">
        <v>0</v>
      </c>
      <c r="D983" s="95" t="n">
        <v>-14.8</v>
      </c>
      <c r="E983" s="95" t="n">
        <v>-32.1</v>
      </c>
      <c r="F983" s="95" t="n">
        <v>-20.9</v>
      </c>
      <c r="G983" s="95" t="n">
        <v>-52.4</v>
      </c>
      <c r="H983" s="95" t="n">
        <v>-20.4</v>
      </c>
      <c r="I983" s="95" t="n">
        <v>-7.3</v>
      </c>
      <c r="J983" s="95" t="n">
        <v>-44.1</v>
      </c>
      <c r="K983" s="96" t="inlineStr">
        <is>
          <t>6622 ZHAOKE OPHTH-B</t>
        </is>
      </c>
    </row>
    <row r="984">
      <c r="A984" s="16" t="inlineStr">
        <is>
          <t>Mass Ave Global, Inc</t>
        </is>
      </c>
      <c r="B984" s="89" t="n">
        <v>1</v>
      </c>
      <c r="C984" s="94" t="n">
        <v>0</v>
      </c>
      <c r="D984" s="95" t="n">
        <v>-14.8</v>
      </c>
      <c r="E984" s="95" t="n">
        <v>-32.1</v>
      </c>
      <c r="F984" s="95" t="n">
        <v>-20.9</v>
      </c>
      <c r="G984" s="95" t="n">
        <v>-52.4</v>
      </c>
      <c r="H984" s="95" t="n">
        <v>-20.4</v>
      </c>
      <c r="I984" s="95" t="n">
        <v>-7.3</v>
      </c>
      <c r="J984" s="95" t="n">
        <v>-44.1</v>
      </c>
      <c r="K984" s="96" t="inlineStr">
        <is>
          <t>6622 ZHAOKE OPHTH-B</t>
        </is>
      </c>
    </row>
    <row r="985">
      <c r="A985" s="16" t="inlineStr">
        <is>
          <t>VMS Zhaoke Investment Fund SP</t>
        </is>
      </c>
      <c r="B985" s="89" t="n">
        <v>1</v>
      </c>
      <c r="C985" s="94" t="n">
        <v>0</v>
      </c>
      <c r="D985" s="95" t="n">
        <v>-14.8</v>
      </c>
      <c r="E985" s="95" t="n">
        <v>-32.1</v>
      </c>
      <c r="F985" s="95" t="n">
        <v>-20.9</v>
      </c>
      <c r="G985" s="95" t="n">
        <v>-52.4</v>
      </c>
      <c r="H985" s="95" t="n">
        <v>-20.4</v>
      </c>
      <c r="I985" s="95" t="n">
        <v>-7.3</v>
      </c>
      <c r="J985" s="95" t="n">
        <v>-44.1</v>
      </c>
      <c r="K985" s="96" t="inlineStr">
        <is>
          <t>6622 ZHAOKE OPHTH-B</t>
        </is>
      </c>
    </row>
    <row r="986">
      <c r="A986" s="16" t="inlineStr">
        <is>
          <t>Accel Group Holdings Limited</t>
        </is>
      </c>
      <c r="B986" s="89" t="n">
        <v>1</v>
      </c>
      <c r="C986" s="94" t="n">
        <v>0</v>
      </c>
      <c r="D986" s="95" t="n">
        <v>-15.1</v>
      </c>
      <c r="E986" s="95" t="n">
        <v>-39.7</v>
      </c>
      <c r="F986" s="95" t="n">
        <v>-37</v>
      </c>
      <c r="G986" s="95" t="n">
        <v>-44.5</v>
      </c>
      <c r="H986" s="95" t="n">
        <v>-29</v>
      </c>
      <c r="I986" s="95" t="n">
        <v>-25.8</v>
      </c>
      <c r="J986" s="95" t="n">
        <v>-34.7</v>
      </c>
      <c r="K986" s="96" t="inlineStr">
        <is>
          <t>9639 WING LEE DEV</t>
        </is>
      </c>
    </row>
    <row r="987">
      <c r="A987" s="16" t="inlineStr">
        <is>
          <t>Cederberg Capital Limited</t>
        </is>
      </c>
      <c r="B987" s="89" t="n">
        <v>1</v>
      </c>
      <c r="C987" s="94" t="n">
        <v>0</v>
      </c>
      <c r="D987" s="95" t="n">
        <v>-16</v>
      </c>
      <c r="E987" s="95" t="n">
        <v>-23.1</v>
      </c>
      <c r="F987" s="95" t="n">
        <v>-35.1</v>
      </c>
      <c r="G987" s="95" t="n">
        <v>-40.6</v>
      </c>
      <c r="H987" s="95" t="n">
        <v>-8.4</v>
      </c>
      <c r="I987" s="95" t="n">
        <v>-22.6</v>
      </c>
      <c r="J987" s="95" t="n">
        <v>-29.2</v>
      </c>
      <c r="K987" s="96" t="inlineStr">
        <is>
          <t>6608 BAIRONG-W</t>
        </is>
      </c>
    </row>
    <row r="988">
      <c r="A988" s="16" t="inlineStr">
        <is>
          <t>Franchise Fund LP</t>
        </is>
      </c>
      <c r="B988" s="89" t="n">
        <v>1</v>
      </c>
      <c r="C988" s="94" t="n">
        <v>0</v>
      </c>
      <c r="D988" s="95" t="n">
        <v>-16</v>
      </c>
      <c r="E988" s="95" t="n">
        <v>-23.1</v>
      </c>
      <c r="F988" s="95" t="n">
        <v>-35.1</v>
      </c>
      <c r="G988" s="95" t="n">
        <v>-40.6</v>
      </c>
      <c r="H988" s="95" t="n">
        <v>-8.4</v>
      </c>
      <c r="I988" s="95" t="n">
        <v>-22.6</v>
      </c>
      <c r="J988" s="95" t="n">
        <v>-29.2</v>
      </c>
      <c r="K988" s="96" t="inlineStr">
        <is>
          <t>6608 BAIRONG-W</t>
        </is>
      </c>
    </row>
    <row r="989">
      <c r="A989" s="16" t="inlineStr">
        <is>
          <t>Deep Source Holdings Limited</t>
        </is>
      </c>
      <c r="B989" s="89" t="n">
        <v>1</v>
      </c>
      <c r="C989" s="94" t="n">
        <v>0</v>
      </c>
      <c r="D989" s="95" t="n">
        <v>-16</v>
      </c>
      <c r="E989" s="95" t="n">
        <v>-16.4</v>
      </c>
      <c r="F989" s="95" t="n">
        <v>-16.7</v>
      </c>
      <c r="G989" s="95" t="n">
        <v>8.300000000000001</v>
      </c>
      <c r="H989" s="95" t="n">
        <v>-0.5</v>
      </c>
      <c r="I989" s="95" t="n">
        <v>-0.8</v>
      </c>
      <c r="J989" s="95" t="n">
        <v>28.9</v>
      </c>
      <c r="K989" s="96" t="inlineStr">
        <is>
          <t>2715 ESTUN</t>
        </is>
      </c>
    </row>
    <row r="990">
      <c r="A990" s="16" t="inlineStr">
        <is>
          <t>Haitian Huayuan (Singapore) Pte. Ltd</t>
        </is>
      </c>
      <c r="B990" s="89" t="n">
        <v>1</v>
      </c>
      <c r="C990" s="94" t="n">
        <v>0</v>
      </c>
      <c r="D990" s="95" t="n">
        <v>-16</v>
      </c>
      <c r="E990" s="95" t="n">
        <v>-16.4</v>
      </c>
      <c r="F990" s="95" t="n">
        <v>-16.7</v>
      </c>
      <c r="G990" s="95" t="n">
        <v>8.300000000000001</v>
      </c>
      <c r="H990" s="95" t="n">
        <v>-0.5</v>
      </c>
      <c r="I990" s="95" t="n">
        <v>-0.8</v>
      </c>
      <c r="J990" s="95" t="n">
        <v>28.9</v>
      </c>
      <c r="K990" s="96" t="inlineStr">
        <is>
          <t>2715 ESTUN</t>
        </is>
      </c>
    </row>
    <row r="991">
      <c r="A991" s="16" t="inlineStr">
        <is>
          <t>Hengtong Optic-electric International Co., Limited</t>
        </is>
      </c>
      <c r="B991" s="89" t="n">
        <v>1</v>
      </c>
      <c r="C991" s="94" t="n">
        <v>0</v>
      </c>
      <c r="D991" s="95" t="n">
        <v>-16</v>
      </c>
      <c r="E991" s="95" t="n">
        <v>-16.4</v>
      </c>
      <c r="F991" s="95" t="n">
        <v>-16.7</v>
      </c>
      <c r="G991" s="95" t="n">
        <v>8.300000000000001</v>
      </c>
      <c r="H991" s="95" t="n">
        <v>-0.5</v>
      </c>
      <c r="I991" s="95" t="n">
        <v>-0.8</v>
      </c>
      <c r="J991" s="95" t="n">
        <v>28.9</v>
      </c>
      <c r="K991" s="96" t="inlineStr">
        <is>
          <t>2715 ESTUN</t>
        </is>
      </c>
    </row>
    <row r="992">
      <c r="A992" s="16" t="inlineStr">
        <is>
          <t>New Fortune Holdings Group Limited</t>
        </is>
      </c>
      <c r="B992" s="89" t="n">
        <v>1</v>
      </c>
      <c r="C992" s="94" t="n">
        <v>0</v>
      </c>
      <c r="D992" s="95" t="n">
        <v>-16</v>
      </c>
      <c r="E992" s="95" t="n">
        <v>-16.4</v>
      </c>
      <c r="F992" s="95" t="n">
        <v>-16.7</v>
      </c>
      <c r="G992" s="95" t="n">
        <v>8.300000000000001</v>
      </c>
      <c r="H992" s="95" t="n">
        <v>-0.5</v>
      </c>
      <c r="I992" s="95" t="n">
        <v>-0.8</v>
      </c>
      <c r="J992" s="95" t="n">
        <v>28.9</v>
      </c>
      <c r="K992" s="96" t="inlineStr">
        <is>
          <t>2715 ESTUN</t>
        </is>
      </c>
    </row>
    <row r="993">
      <c r="A993" s="16" t="inlineStr">
        <is>
          <t>CI Global Asset Management</t>
        </is>
      </c>
      <c r="B993" s="89" t="n">
        <v>1</v>
      </c>
      <c r="C993" s="94" t="n">
        <v>0</v>
      </c>
      <c r="D993" s="95" t="n">
        <v>-16.5</v>
      </c>
      <c r="E993" s="95" t="n">
        <v>-7.6</v>
      </c>
      <c r="F993" s="95" t="n">
        <v>-9.6</v>
      </c>
      <c r="G993" s="95" t="n">
        <v>-12.4</v>
      </c>
      <c r="H993" s="95" t="n">
        <v>10.6</v>
      </c>
      <c r="I993" s="95" t="n">
        <v>8.199999999999999</v>
      </c>
      <c r="J993" s="95" t="n">
        <v>4.8</v>
      </c>
      <c r="K993" s="96" t="inlineStr">
        <is>
          <t>2191 SF REIT</t>
        </is>
      </c>
    </row>
    <row r="994">
      <c r="A994" s="16" t="inlineStr">
        <is>
          <t>SINO-BLR Industrial Investment Fund, L.P</t>
        </is>
      </c>
      <c r="B994" s="89" t="n">
        <v>1</v>
      </c>
      <c r="C994" s="94" t="n">
        <v>0</v>
      </c>
      <c r="D994" s="95" t="n">
        <v>-16.6</v>
      </c>
      <c r="E994" s="95" t="n">
        <v>-19.2</v>
      </c>
      <c r="F994" s="95" t="n">
        <v>-11.5</v>
      </c>
      <c r="G994" s="95" t="n">
        <v>-35.1</v>
      </c>
      <c r="H994" s="95" t="n">
        <v>-3.2</v>
      </c>
      <c r="I994" s="95" t="n">
        <v>6</v>
      </c>
      <c r="J994" s="95" t="n">
        <v>-22.2</v>
      </c>
      <c r="K994" s="96" t="inlineStr">
        <is>
          <t>6680 JLMAG</t>
        </is>
      </c>
    </row>
    <row r="995">
      <c r="A995" s="16" t="inlineStr">
        <is>
          <t>HiTai</t>
        </is>
      </c>
      <c r="B995" s="89" t="n">
        <v>1</v>
      </c>
      <c r="C995" s="94" t="n">
        <v>0</v>
      </c>
      <c r="D995" s="95" t="n">
        <v>-18.2</v>
      </c>
      <c r="E995" s="95" t="n">
        <v>-33</v>
      </c>
      <c r="F995" s="95" t="n">
        <v>-39.5</v>
      </c>
      <c r="G995" s="95" t="n">
        <v>-41.8</v>
      </c>
      <c r="H995" s="95" t="n">
        <v>-18.1</v>
      </c>
      <c r="I995" s="95" t="n">
        <v>-26</v>
      </c>
      <c r="J995" s="95" t="n">
        <v>-28.9</v>
      </c>
      <c r="K995" s="96" t="inlineStr">
        <is>
          <t>2621 SHOUHUI GROUP</t>
        </is>
      </c>
    </row>
    <row r="996">
      <c r="A996" s="16" t="inlineStr">
        <is>
          <t>Lancang Green Resource Investment Co., Ltd</t>
        </is>
      </c>
      <c r="B996" s="89" t="n">
        <v>1</v>
      </c>
      <c r="C996" s="94" t="n">
        <v>0</v>
      </c>
      <c r="D996" s="95" t="n">
        <v>-18.7</v>
      </c>
      <c r="E996" s="95" t="n">
        <v>0</v>
      </c>
      <c r="F996" s="95" t="n">
        <v>-14.8</v>
      </c>
      <c r="G996" s="95" t="n">
        <v>2.8</v>
      </c>
      <c r="H996" s="95" t="n">
        <v>23</v>
      </c>
      <c r="I996" s="95" t="n">
        <v>4.8</v>
      </c>
      <c r="J996" s="95" t="n">
        <v>26.4</v>
      </c>
      <c r="K996" s="96" t="inlineStr">
        <is>
          <t>6911 LANCANG TEA</t>
        </is>
      </c>
    </row>
    <row r="997">
      <c r="A997" s="16" t="inlineStr">
        <is>
          <t>ROSY DAY INVESTMENTS LIMITED</t>
        </is>
      </c>
      <c r="B997" s="89" t="n">
        <v>1</v>
      </c>
      <c r="C997" s="94" t="n">
        <v>0</v>
      </c>
      <c r="D997" s="95" t="n">
        <v>-18.7</v>
      </c>
      <c r="E997" s="95" t="n">
        <v>0</v>
      </c>
      <c r="F997" s="95" t="n">
        <v>-14.8</v>
      </c>
      <c r="G997" s="95" t="n">
        <v>2.8</v>
      </c>
      <c r="H997" s="95" t="n">
        <v>23</v>
      </c>
      <c r="I997" s="95" t="n">
        <v>4.8</v>
      </c>
      <c r="J997" s="95" t="n">
        <v>26.4</v>
      </c>
      <c r="K997" s="96" t="inlineStr">
        <is>
          <t>6911 LANCANG TEA</t>
        </is>
      </c>
    </row>
    <row r="998">
      <c r="A998" s="16" t="inlineStr">
        <is>
          <t>Wang Chunyu</t>
        </is>
      </c>
      <c r="B998" s="89" t="n">
        <v>1</v>
      </c>
      <c r="C998" s="94" t="n">
        <v>0</v>
      </c>
      <c r="D998" s="95" t="n">
        <v>-18.7</v>
      </c>
      <c r="E998" s="95" t="n">
        <v>0</v>
      </c>
      <c r="F998" s="95" t="n">
        <v>-14.8</v>
      </c>
      <c r="G998" s="95" t="n">
        <v>2.8</v>
      </c>
      <c r="H998" s="95" t="n">
        <v>23</v>
      </c>
      <c r="I998" s="95" t="n">
        <v>4.8</v>
      </c>
      <c r="J998" s="95" t="n">
        <v>26.4</v>
      </c>
      <c r="K998" s="96" t="inlineStr">
        <is>
          <t>6911 LANCANG TEA</t>
        </is>
      </c>
    </row>
    <row r="999">
      <c r="A999" s="16" t="inlineStr">
        <is>
          <t>Beijing Yian Capital Management Co. Ltd</t>
        </is>
      </c>
      <c r="B999" s="89" t="n">
        <v>1</v>
      </c>
      <c r="C999" s="94" t="n">
        <v>0</v>
      </c>
      <c r="D999" s="95" t="n">
        <v>-18.7</v>
      </c>
      <c r="E999" s="95" t="n">
        <v>-13.2</v>
      </c>
      <c r="F999" s="95" t="n">
        <v>-3.2</v>
      </c>
      <c r="G999" s="95" t="n"/>
      <c r="H999" s="95" t="n">
        <v>6.7</v>
      </c>
      <c r="I999" s="95" t="n">
        <v>19.1</v>
      </c>
      <c r="J999" s="95" t="n"/>
      <c r="K999" s="96" t="inlineStr">
        <is>
          <t>6745 BEFAR GROUP</t>
        </is>
      </c>
    </row>
    <row r="1000">
      <c r="A1000" s="16" t="inlineStr">
        <is>
          <t>Hyperion Venture Capital Partners Limited</t>
        </is>
      </c>
      <c r="B1000" s="89" t="n">
        <v>1</v>
      </c>
      <c r="C1000" s="94" t="n">
        <v>0</v>
      </c>
      <c r="D1000" s="95" t="n">
        <v>-18.7</v>
      </c>
      <c r="E1000" s="95" t="n">
        <v>-13.2</v>
      </c>
      <c r="F1000" s="95" t="n">
        <v>-3.2</v>
      </c>
      <c r="G1000" s="95" t="n"/>
      <c r="H1000" s="95" t="n">
        <v>6.7</v>
      </c>
      <c r="I1000" s="95" t="n">
        <v>19.1</v>
      </c>
      <c r="J1000" s="95" t="n"/>
      <c r="K1000" s="96" t="inlineStr">
        <is>
          <t>6745 BEFAR GROUP</t>
        </is>
      </c>
    </row>
    <row r="1001">
      <c r="A1001" s="16" t="inlineStr">
        <is>
          <t>Luhua Daosheng Group Co., Ltd</t>
        </is>
      </c>
      <c r="B1001" s="89" t="n">
        <v>1</v>
      </c>
      <c r="C1001" s="94" t="n">
        <v>0</v>
      </c>
      <c r="D1001" s="95" t="n">
        <v>-18.7</v>
      </c>
      <c r="E1001" s="95" t="n">
        <v>-13.2</v>
      </c>
      <c r="F1001" s="95" t="n">
        <v>-3.2</v>
      </c>
      <c r="G1001" s="95" t="n"/>
      <c r="H1001" s="95" t="n">
        <v>6.7</v>
      </c>
      <c r="I1001" s="95" t="n">
        <v>19.1</v>
      </c>
      <c r="J1001" s="95" t="n"/>
      <c r="K1001" s="96" t="inlineStr">
        <is>
          <t>6745 BEFAR GROUP</t>
        </is>
      </c>
    </row>
    <row r="1002">
      <c r="A1002" s="16" t="inlineStr">
        <is>
          <t>Safewell Equipment Limited</t>
        </is>
      </c>
      <c r="B1002" s="89" t="n">
        <v>1</v>
      </c>
      <c r="C1002" s="94" t="n">
        <v>0</v>
      </c>
      <c r="D1002" s="95" t="n">
        <v>-18.7</v>
      </c>
      <c r="E1002" s="95" t="n">
        <v>-13.2</v>
      </c>
      <c r="F1002" s="95" t="n">
        <v>-3.2</v>
      </c>
      <c r="G1002" s="95" t="n"/>
      <c r="H1002" s="95" t="n">
        <v>6.7</v>
      </c>
      <c r="I1002" s="95" t="n">
        <v>19.1</v>
      </c>
      <c r="J1002" s="95" t="n"/>
      <c r="K1002" s="96" t="inlineStr">
        <is>
          <t>6745 BEFAR GROUP</t>
        </is>
      </c>
    </row>
    <row r="1003">
      <c r="A1003" s="16" t="inlineStr">
        <is>
          <t>Tianto Technology Limited</t>
        </is>
      </c>
      <c r="B1003" s="89" t="n">
        <v>1</v>
      </c>
      <c r="C1003" s="94" t="n">
        <v>0</v>
      </c>
      <c r="D1003" s="95" t="n">
        <v>-18.7</v>
      </c>
      <c r="E1003" s="95" t="n">
        <v>-13.2</v>
      </c>
      <c r="F1003" s="95" t="n">
        <v>-3.2</v>
      </c>
      <c r="G1003" s="95" t="n"/>
      <c r="H1003" s="95" t="n">
        <v>6.7</v>
      </c>
      <c r="I1003" s="95" t="n">
        <v>19.1</v>
      </c>
      <c r="J1003" s="95" t="n"/>
      <c r="K1003" s="96" t="inlineStr">
        <is>
          <t>6745 BEFAR GROUP</t>
        </is>
      </c>
    </row>
    <row r="1004">
      <c r="A1004" s="16" t="inlineStr">
        <is>
          <t>Emerging Markets Healthcare Partners LLC</t>
        </is>
      </c>
      <c r="B1004" s="89" t="n">
        <v>1</v>
      </c>
      <c r="C1004" s="94" t="n">
        <v>0</v>
      </c>
      <c r="D1004" s="95" t="n">
        <v>-19.8</v>
      </c>
      <c r="E1004" s="95" t="n">
        <v>-27.8</v>
      </c>
      <c r="F1004" s="95" t="n">
        <v>-39.6</v>
      </c>
      <c r="G1004" s="95" t="n">
        <v>-56.7</v>
      </c>
      <c r="H1004" s="95" t="n">
        <v>-10</v>
      </c>
      <c r="I1004" s="95" t="n">
        <v>-24.7</v>
      </c>
      <c r="J1004" s="95" t="n">
        <v>-46.1</v>
      </c>
      <c r="K1004" s="96" t="inlineStr">
        <is>
          <t>2216 BRONCUS-B</t>
        </is>
      </c>
    </row>
    <row r="1005">
      <c r="A1005" s="16" t="inlineStr">
        <is>
          <t>Summer Healthcare Fund, L.P</t>
        </is>
      </c>
      <c r="B1005" s="89" t="n">
        <v>1</v>
      </c>
      <c r="C1005" s="94" t="n">
        <v>0</v>
      </c>
      <c r="D1005" s="95" t="n">
        <v>-19.8</v>
      </c>
      <c r="E1005" s="95" t="n">
        <v>-27.8</v>
      </c>
      <c r="F1005" s="95" t="n">
        <v>-39.6</v>
      </c>
      <c r="G1005" s="95" t="n">
        <v>-56.7</v>
      </c>
      <c r="H1005" s="95" t="n">
        <v>-10</v>
      </c>
      <c r="I1005" s="95" t="n">
        <v>-24.7</v>
      </c>
      <c r="J1005" s="95" t="n">
        <v>-46.1</v>
      </c>
      <c r="K1005" s="96" t="inlineStr">
        <is>
          <t>2216 BRONCUS-B</t>
        </is>
      </c>
    </row>
    <row r="1006">
      <c r="A1006" s="16" t="inlineStr">
        <is>
          <t>Danube Bridge Shipping Limited</t>
        </is>
      </c>
      <c r="B1006" s="89" t="n">
        <v>1</v>
      </c>
      <c r="C1006" s="94" t="n">
        <v>0</v>
      </c>
      <c r="D1006" s="95" t="n">
        <v>-21.1</v>
      </c>
      <c r="E1006" s="95" t="n">
        <v>-7.7</v>
      </c>
      <c r="F1006" s="95" t="n">
        <v>-13.8</v>
      </c>
      <c r="G1006" s="95" t="n">
        <v>-5.8</v>
      </c>
      <c r="H1006" s="95" t="n">
        <v>17.1</v>
      </c>
      <c r="I1006" s="95" t="n">
        <v>9.300000000000001</v>
      </c>
      <c r="J1006" s="95" t="n">
        <v>19.4</v>
      </c>
      <c r="K1006" s="96" t="inlineStr">
        <is>
          <t>2409 SEACON</t>
        </is>
      </c>
    </row>
    <row r="1007">
      <c r="A1007" s="16" t="inlineStr">
        <is>
          <t>Guodian Shipping (Hong Kong) Company Limited</t>
        </is>
      </c>
      <c r="B1007" s="89" t="n">
        <v>1</v>
      </c>
      <c r="C1007" s="94" t="n">
        <v>0</v>
      </c>
      <c r="D1007" s="95" t="n">
        <v>-21.1</v>
      </c>
      <c r="E1007" s="95" t="n">
        <v>-7.7</v>
      </c>
      <c r="F1007" s="95" t="n">
        <v>-13.8</v>
      </c>
      <c r="G1007" s="95" t="n">
        <v>-5.8</v>
      </c>
      <c r="H1007" s="95" t="n">
        <v>17.1</v>
      </c>
      <c r="I1007" s="95" t="n">
        <v>9.300000000000001</v>
      </c>
      <c r="J1007" s="95" t="n">
        <v>19.4</v>
      </c>
      <c r="K1007" s="96" t="inlineStr">
        <is>
          <t>2409 SEACON</t>
        </is>
      </c>
    </row>
    <row r="1008">
      <c r="A1008" s="16" t="inlineStr">
        <is>
          <t>BYD Company Limited –</t>
        </is>
      </c>
      <c r="B1008" s="89" t="n">
        <v>1</v>
      </c>
      <c r="C1008" s="94" t="n">
        <v>0</v>
      </c>
      <c r="D1008" s="95" t="n">
        <v>-23</v>
      </c>
      <c r="E1008" s="95" t="n">
        <v>-21.5</v>
      </c>
      <c r="F1008" s="95" t="n">
        <v>-35.4</v>
      </c>
      <c r="G1008" s="95" t="n">
        <v>-36.2</v>
      </c>
      <c r="H1008" s="95" t="n">
        <v>1.9</v>
      </c>
      <c r="I1008" s="95" t="n">
        <v>-16.2</v>
      </c>
      <c r="J1008" s="95" t="n">
        <v>-17.2</v>
      </c>
      <c r="K1008" s="96" t="inlineStr">
        <is>
          <t>9609 HAIWEI ELEC</t>
        </is>
      </c>
    </row>
    <row r="1009">
      <c r="A1009" s="16" t="inlineStr">
        <is>
          <t>Kobayashi Pharmaceutical Co., Ltd</t>
        </is>
      </c>
      <c r="B1009" s="89" t="n">
        <v>1</v>
      </c>
      <c r="C1009" s="94" t="n">
        <v>0</v>
      </c>
      <c r="D1009" s="95" t="n">
        <v>-23.8</v>
      </c>
      <c r="E1009" s="95" t="n">
        <v>-29.1</v>
      </c>
      <c r="F1009" s="95" t="n">
        <v>-50.4</v>
      </c>
      <c r="G1009" s="95" t="n">
        <v>-57</v>
      </c>
      <c r="H1009" s="95" t="n">
        <v>-7</v>
      </c>
      <c r="I1009" s="95" t="n">
        <v>-35</v>
      </c>
      <c r="J1009" s="95" t="n">
        <v>-43.6</v>
      </c>
      <c r="K1009" s="96" t="inlineStr">
        <is>
          <t>2177 UNQ HOLDINGS</t>
        </is>
      </c>
    </row>
    <row r="1010">
      <c r="A1010" s="16" t="inlineStr">
        <is>
          <t>Unicharm Corporation</t>
        </is>
      </c>
      <c r="B1010" s="89" t="n">
        <v>1</v>
      </c>
      <c r="C1010" s="94" t="n">
        <v>0</v>
      </c>
      <c r="D1010" s="95" t="n">
        <v>-23.8</v>
      </c>
      <c r="E1010" s="95" t="n">
        <v>-29.1</v>
      </c>
      <c r="F1010" s="95" t="n">
        <v>-50.4</v>
      </c>
      <c r="G1010" s="95" t="n">
        <v>-57</v>
      </c>
      <c r="H1010" s="95" t="n">
        <v>-7</v>
      </c>
      <c r="I1010" s="95" t="n">
        <v>-35</v>
      </c>
      <c r="J1010" s="95" t="n">
        <v>-43.6</v>
      </c>
      <c r="K1010" s="96" t="inlineStr">
        <is>
          <t>2177 UNQ HOLDINGS</t>
        </is>
      </c>
    </row>
    <row r="1011">
      <c r="A1011" s="16" t="inlineStr">
        <is>
          <t>Shenzhen Futian Guiding Fund Investment Co., Ltd</t>
        </is>
      </c>
      <c r="B1011" s="89" t="n">
        <v>1</v>
      </c>
      <c r="C1011" s="94" t="n">
        <v>0</v>
      </c>
      <c r="D1011" s="95" t="n">
        <v>-24.9</v>
      </c>
      <c r="E1011" s="95" t="n">
        <v>-38.5</v>
      </c>
      <c r="F1011" s="95" t="n">
        <v>-13.8</v>
      </c>
      <c r="G1011" s="95" t="n">
        <v>-20.1</v>
      </c>
      <c r="H1011" s="95" t="n">
        <v>-18</v>
      </c>
      <c r="I1011" s="95" t="n">
        <v>14.7</v>
      </c>
      <c r="J1011" s="95" t="n">
        <v>6.3</v>
      </c>
      <c r="K1011" s="96" t="inlineStr">
        <is>
          <t>1973 TIAN TU CAPITAL</t>
        </is>
      </c>
    </row>
    <row r="1012">
      <c r="A1012" s="16" t="inlineStr">
        <is>
          <t>SVF II Zeal</t>
        </is>
      </c>
      <c r="B1012" s="89" t="n">
        <v>1</v>
      </c>
      <c r="C1012" s="94" t="n">
        <v>0</v>
      </c>
      <c r="D1012" s="95" t="n">
        <v>-25.5</v>
      </c>
      <c r="E1012" s="95" t="n">
        <v>-34.4</v>
      </c>
      <c r="F1012" s="95" t="n">
        <v>-46.8</v>
      </c>
      <c r="G1012" s="95" t="n">
        <v>-24.1</v>
      </c>
      <c r="H1012" s="95" t="n">
        <v>-11.9</v>
      </c>
      <c r="I1012" s="95" t="n">
        <v>-28.6</v>
      </c>
      <c r="J1012" s="95" t="n">
        <v>1.8</v>
      </c>
      <c r="K1012" s="96" t="inlineStr">
        <is>
          <t>2121 AINNOVATION</t>
        </is>
      </c>
    </row>
    <row r="1013">
      <c r="A1013" s="16" t="inlineStr">
        <is>
          <t>Jinan Huaiyin Urban Construction Investment Group Co., Ltd</t>
        </is>
      </c>
      <c r="B1013" s="89" t="n">
        <v>1</v>
      </c>
      <c r="C1013" s="94" t="n">
        <v>0</v>
      </c>
      <c r="D1013" s="95" t="n">
        <v>-25.9</v>
      </c>
      <c r="E1013" s="95" t="n">
        <v>-23.5</v>
      </c>
      <c r="F1013" s="95" t="n">
        <v>-25.9</v>
      </c>
      <c r="G1013" s="95" t="n">
        <v>-20</v>
      </c>
      <c r="H1013" s="95" t="n">
        <v>3.2</v>
      </c>
      <c r="I1013" s="95" t="n">
        <v>0</v>
      </c>
      <c r="J1013" s="95" t="n">
        <v>7.9</v>
      </c>
      <c r="K1013" s="96" t="inlineStr">
        <is>
          <t>2455 RUNHUA SERVICE</t>
        </is>
      </c>
    </row>
    <row r="1014">
      <c r="A1014" s="16" t="inlineStr">
        <is>
          <t>Yizekangrui</t>
        </is>
      </c>
      <c r="B1014" s="89" t="n">
        <v>1</v>
      </c>
      <c r="C1014" s="94" t="n">
        <v>0</v>
      </c>
      <c r="D1014" s="95" t="n">
        <v>-25.9</v>
      </c>
      <c r="E1014" s="95" t="n">
        <v>-37.8</v>
      </c>
      <c r="F1014" s="95" t="n">
        <v>-42.3</v>
      </c>
      <c r="G1014" s="95" t="n">
        <v>118</v>
      </c>
      <c r="H1014" s="95" t="n">
        <v>-16.1</v>
      </c>
      <c r="I1014" s="95" t="n">
        <v>-22.1</v>
      </c>
      <c r="J1014" s="95" t="n">
        <v>194.1</v>
      </c>
      <c r="K1014" s="96" t="inlineStr">
        <is>
          <t>2565 PEGBIO CO-B</t>
        </is>
      </c>
    </row>
    <row r="1015">
      <c r="A1015" s="16" t="inlineStr">
        <is>
          <t>Unlisted Shares in issue</t>
        </is>
      </c>
      <c r="B1015" s="89" t="n">
        <v>1</v>
      </c>
      <c r="C1015" s="94" t="n">
        <v>0</v>
      </c>
      <c r="D1015" s="95" t="n">
        <v>-25.9</v>
      </c>
      <c r="E1015" s="95" t="n">
        <v>-37.8</v>
      </c>
      <c r="F1015" s="95" t="n">
        <v>-42.3</v>
      </c>
      <c r="G1015" s="95" t="n">
        <v>118</v>
      </c>
      <c r="H1015" s="95" t="n">
        <v>-16.1</v>
      </c>
      <c r="I1015" s="95" t="n">
        <v>-22.1</v>
      </c>
      <c r="J1015" s="95" t="n">
        <v>194.1</v>
      </c>
      <c r="K1015" s="96" t="inlineStr">
        <is>
          <t>2565 PEGBIO CO-B</t>
        </is>
      </c>
    </row>
    <row r="1016">
      <c r="A1016" s="16" t="inlineStr">
        <is>
          <t>H Share to be converted from Unlisted Shares</t>
        </is>
      </c>
      <c r="B1016" s="89" t="n">
        <v>1</v>
      </c>
      <c r="C1016" s="94" t="n">
        <v>0</v>
      </c>
      <c r="D1016" s="95" t="n">
        <v>-25.9</v>
      </c>
      <c r="E1016" s="95" t="n">
        <v>-37.8</v>
      </c>
      <c r="F1016" s="95" t="n">
        <v>-42.3</v>
      </c>
      <c r="G1016" s="95" t="n">
        <v>118</v>
      </c>
      <c r="H1016" s="95" t="n">
        <v>-16.1</v>
      </c>
      <c r="I1016" s="95" t="n">
        <v>-22.1</v>
      </c>
      <c r="J1016" s="95" t="n">
        <v>194.1</v>
      </c>
      <c r="K1016" s="96" t="inlineStr">
        <is>
          <t>2565 PEGBIO CO-B</t>
        </is>
      </c>
    </row>
    <row r="1017">
      <c r="A1017" s="16" t="inlineStr">
        <is>
          <t>Daguan International Limited</t>
        </is>
      </c>
      <c r="B1017" s="89" t="n">
        <v>1</v>
      </c>
      <c r="C1017" s="94" t="n">
        <v>0</v>
      </c>
      <c r="D1017" s="95" t="n">
        <v>-26.1</v>
      </c>
      <c r="E1017" s="95" t="n">
        <v>-26.9</v>
      </c>
      <c r="F1017" s="95" t="n">
        <v>-37.9</v>
      </c>
      <c r="G1017" s="95" t="n">
        <v>-41</v>
      </c>
      <c r="H1017" s="95" t="n">
        <v>-1.1</v>
      </c>
      <c r="I1017" s="95" t="n">
        <v>-16</v>
      </c>
      <c r="J1017" s="95" t="n">
        <v>-20.2</v>
      </c>
      <c r="K1017" s="96" t="inlineStr">
        <is>
          <t>6669 ACOTEC-B</t>
        </is>
      </c>
    </row>
    <row r="1018">
      <c r="A1018" s="16" t="inlineStr">
        <is>
          <t>New Journey Hospital Group Ltd</t>
        </is>
      </c>
      <c r="B1018" s="89" t="n">
        <v>1</v>
      </c>
      <c r="C1018" s="94" t="n">
        <v>0</v>
      </c>
      <c r="D1018" s="95" t="n">
        <v>-26.1</v>
      </c>
      <c r="E1018" s="95" t="n">
        <v>-26.9</v>
      </c>
      <c r="F1018" s="95" t="n">
        <v>-37.9</v>
      </c>
      <c r="G1018" s="95" t="n">
        <v>-41</v>
      </c>
      <c r="H1018" s="95" t="n">
        <v>-1.1</v>
      </c>
      <c r="I1018" s="95" t="n">
        <v>-16</v>
      </c>
      <c r="J1018" s="95" t="n">
        <v>-20.2</v>
      </c>
      <c r="K1018" s="96" t="inlineStr">
        <is>
          <t>6669 ACOTEC-B</t>
        </is>
      </c>
    </row>
    <row r="1019">
      <c r="A1019" s="16" t="inlineStr">
        <is>
          <t>PRIMEONE LUCK LIMITED</t>
        </is>
      </c>
      <c r="B1019" s="89" t="n">
        <v>1</v>
      </c>
      <c r="C1019" s="94" t="n">
        <v>0</v>
      </c>
      <c r="D1019" s="95" t="n">
        <v>-26.1</v>
      </c>
      <c r="E1019" s="95" t="n">
        <v>-26.9</v>
      </c>
      <c r="F1019" s="95" t="n">
        <v>-37.9</v>
      </c>
      <c r="G1019" s="95" t="n">
        <v>-41</v>
      </c>
      <c r="H1019" s="95" t="n">
        <v>-1.1</v>
      </c>
      <c r="I1019" s="95" t="n">
        <v>-16</v>
      </c>
      <c r="J1019" s="95" t="n">
        <v>-20.2</v>
      </c>
      <c r="K1019" s="96" t="inlineStr">
        <is>
          <t>6669 ACOTEC-B</t>
        </is>
      </c>
    </row>
    <row r="1020">
      <c r="A1020" s="16" t="inlineStr">
        <is>
          <t>Belinda A. Termeer</t>
        </is>
      </c>
      <c r="B1020" s="89" t="n">
        <v>1</v>
      </c>
      <c r="C1020" s="94" t="n">
        <v>0</v>
      </c>
      <c r="D1020" s="95" t="n">
        <v>-26.9</v>
      </c>
      <c r="E1020" s="95" t="n">
        <v>-30.1</v>
      </c>
      <c r="F1020" s="95" t="n">
        <v>-32.8</v>
      </c>
      <c r="G1020" s="95" t="n">
        <v>-64.40000000000001</v>
      </c>
      <c r="H1020" s="95" t="n">
        <v>-4.4</v>
      </c>
      <c r="I1020" s="95" t="n">
        <v>-8.1</v>
      </c>
      <c r="J1020" s="95" t="n">
        <v>-51.2</v>
      </c>
      <c r="K1020" s="96" t="inlineStr">
        <is>
          <t>1228 CANBRIDGE-B</t>
        </is>
      </c>
    </row>
    <row r="1021">
      <c r="A1021" s="16" t="inlineStr">
        <is>
          <t>RA Capital Healthcare Fund, L.P</t>
        </is>
      </c>
      <c r="B1021" s="89" t="n">
        <v>1</v>
      </c>
      <c r="C1021" s="94" t="n">
        <v>0</v>
      </c>
      <c r="D1021" s="95" t="n">
        <v>-26.9</v>
      </c>
      <c r="E1021" s="95" t="n">
        <v>-30.1</v>
      </c>
      <c r="F1021" s="95" t="n">
        <v>-32.8</v>
      </c>
      <c r="G1021" s="95" t="n">
        <v>-64.40000000000001</v>
      </c>
      <c r="H1021" s="95" t="n">
        <v>-4.4</v>
      </c>
      <c r="I1021" s="95" t="n">
        <v>-8.1</v>
      </c>
      <c r="J1021" s="95" t="n">
        <v>-51.2</v>
      </c>
      <c r="K1021" s="96" t="inlineStr">
        <is>
          <t>1228 CANBRIDGE-B</t>
        </is>
      </c>
    </row>
    <row r="1022">
      <c r="A1022" s="16" t="inlineStr">
        <is>
          <t>Gardex Development Limited</t>
        </is>
      </c>
      <c r="B1022" s="89" t="n">
        <v>1</v>
      </c>
      <c r="C1022" s="94" t="n">
        <v>0</v>
      </c>
      <c r="D1022" s="95" t="n">
        <v>-27</v>
      </c>
      <c r="E1022" s="95" t="n">
        <v>-28</v>
      </c>
      <c r="F1022" s="95" t="n">
        <v>-23.6</v>
      </c>
      <c r="G1022" s="95" t="n">
        <v>-7.7</v>
      </c>
      <c r="H1022" s="95" t="n">
        <v>-1.5</v>
      </c>
      <c r="I1022" s="95" t="n">
        <v>4.6</v>
      </c>
      <c r="J1022" s="95" t="n">
        <v>26.4</v>
      </c>
      <c r="K1022" s="96" t="inlineStr">
        <is>
          <t>2533 BLACK SESAME</t>
        </is>
      </c>
    </row>
    <row r="1023">
      <c r="A1023" s="16" t="inlineStr">
        <is>
          <t>Joyson Electronic USA LLC</t>
        </is>
      </c>
      <c r="B1023" s="89" t="n">
        <v>1</v>
      </c>
      <c r="C1023" s="94" t="n">
        <v>0</v>
      </c>
      <c r="D1023" s="95" t="n">
        <v>-27</v>
      </c>
      <c r="E1023" s="95" t="n">
        <v>-28</v>
      </c>
      <c r="F1023" s="95" t="n">
        <v>-23.6</v>
      </c>
      <c r="G1023" s="95" t="n">
        <v>-7.7</v>
      </c>
      <c r="H1023" s="95" t="n">
        <v>-1.5</v>
      </c>
      <c r="I1023" s="95" t="n">
        <v>4.6</v>
      </c>
      <c r="J1023" s="95" t="n">
        <v>26.4</v>
      </c>
      <c r="K1023" s="96" t="inlineStr">
        <is>
          <t>2533 BLACK SESAME</t>
        </is>
      </c>
    </row>
    <row r="1024">
      <c r="A1024" s="16" t="inlineStr">
        <is>
          <t>ATNT Group Management Limited</t>
        </is>
      </c>
      <c r="B1024" s="89" t="n">
        <v>1</v>
      </c>
      <c r="C1024" s="94" t="n">
        <v>0</v>
      </c>
      <c r="D1024" s="95" t="n">
        <v>-27.1</v>
      </c>
      <c r="E1024" s="95" t="n">
        <v>-34.1</v>
      </c>
      <c r="F1024" s="95" t="n">
        <v>-41.2</v>
      </c>
      <c r="G1024" s="95" t="n">
        <v>-54.1</v>
      </c>
      <c r="H1024" s="95" t="n">
        <v>-9.699999999999999</v>
      </c>
      <c r="I1024" s="95" t="n">
        <v>-19.4</v>
      </c>
      <c r="J1024" s="95" t="n">
        <v>-37.1</v>
      </c>
      <c r="K1024" s="96" t="inlineStr">
        <is>
          <t>2350 MTT GROUP</t>
        </is>
      </c>
    </row>
    <row r="1025">
      <c r="A1025" s="16" t="inlineStr">
        <is>
          <t>EC InfoTech Limited</t>
        </is>
      </c>
      <c r="B1025" s="89" t="n">
        <v>1</v>
      </c>
      <c r="C1025" s="94" t="n">
        <v>0</v>
      </c>
      <c r="D1025" s="95" t="n">
        <v>-27.1</v>
      </c>
      <c r="E1025" s="95" t="n">
        <v>-34.1</v>
      </c>
      <c r="F1025" s="95" t="n">
        <v>-41.2</v>
      </c>
      <c r="G1025" s="95" t="n">
        <v>-54.1</v>
      </c>
      <c r="H1025" s="95" t="n">
        <v>-9.699999999999999</v>
      </c>
      <c r="I1025" s="95" t="n">
        <v>-19.4</v>
      </c>
      <c r="J1025" s="95" t="n">
        <v>-37.1</v>
      </c>
      <c r="K1025" s="96" t="inlineStr">
        <is>
          <t>2350 MTT GROUP</t>
        </is>
      </c>
    </row>
    <row r="1026">
      <c r="A1026" s="16" t="inlineStr">
        <is>
          <t>Mr. Hung Kwong Yee</t>
        </is>
      </c>
      <c r="B1026" s="89" t="n">
        <v>1</v>
      </c>
      <c r="C1026" s="94" t="n">
        <v>0</v>
      </c>
      <c r="D1026" s="95" t="n">
        <v>-27.1</v>
      </c>
      <c r="E1026" s="95" t="n">
        <v>-34.1</v>
      </c>
      <c r="F1026" s="95" t="n">
        <v>-41.2</v>
      </c>
      <c r="G1026" s="95" t="n">
        <v>-54.1</v>
      </c>
      <c r="H1026" s="95" t="n">
        <v>-9.699999999999999</v>
      </c>
      <c r="I1026" s="95" t="n">
        <v>-19.4</v>
      </c>
      <c r="J1026" s="95" t="n">
        <v>-37.1</v>
      </c>
      <c r="K1026" s="96" t="inlineStr">
        <is>
          <t>2350 MTT GROUP</t>
        </is>
      </c>
    </row>
    <row r="1027">
      <c r="A1027" s="16" t="inlineStr">
        <is>
          <t>Genesis M Co., Limited</t>
        </is>
      </c>
      <c r="B1027" s="89" t="n">
        <v>1</v>
      </c>
      <c r="C1027" s="94" t="n">
        <v>0</v>
      </c>
      <c r="D1027" s="95" t="n">
        <v>-27.5</v>
      </c>
      <c r="E1027" s="95" t="n">
        <v>-20.8</v>
      </c>
      <c r="F1027" s="95" t="n">
        <v>-28.3</v>
      </c>
      <c r="G1027" s="95" t="n">
        <v>-37.5</v>
      </c>
      <c r="H1027" s="95" t="n">
        <v>9.199999999999999</v>
      </c>
      <c r="I1027" s="95" t="n">
        <v>-1.1</v>
      </c>
      <c r="J1027" s="95" t="n">
        <v>-13.8</v>
      </c>
      <c r="K1027" s="96" t="inlineStr">
        <is>
          <t>2502 JINYUAN HCHEM</t>
        </is>
      </c>
    </row>
    <row r="1028">
      <c r="A1028" s="16" t="inlineStr">
        <is>
          <t>Max Success Group Holdings Limited</t>
        </is>
      </c>
      <c r="B1028" s="89" t="n">
        <v>1</v>
      </c>
      <c r="C1028" s="94" t="n">
        <v>0</v>
      </c>
      <c r="D1028" s="95" t="n">
        <v>-27.5</v>
      </c>
      <c r="E1028" s="95" t="n">
        <v>-20.8</v>
      </c>
      <c r="F1028" s="95" t="n">
        <v>-28.3</v>
      </c>
      <c r="G1028" s="95" t="n">
        <v>-37.5</v>
      </c>
      <c r="H1028" s="95" t="n">
        <v>9.199999999999999</v>
      </c>
      <c r="I1028" s="95" t="n">
        <v>-1.1</v>
      </c>
      <c r="J1028" s="95" t="n">
        <v>-13.8</v>
      </c>
      <c r="K1028" s="96" t="inlineStr">
        <is>
          <t>2502 JINYUAN HCHEM</t>
        </is>
      </c>
    </row>
    <row r="1029">
      <c r="A1029" s="16" t="inlineStr">
        <is>
          <t>Prosperity Steel United Singapore Pte. Ltd</t>
        </is>
      </c>
      <c r="B1029" s="89" t="n">
        <v>1</v>
      </c>
      <c r="C1029" s="94" t="n">
        <v>0</v>
      </c>
      <c r="D1029" s="95" t="n">
        <v>-27.5</v>
      </c>
      <c r="E1029" s="95" t="n">
        <v>-20.8</v>
      </c>
      <c r="F1029" s="95" t="n">
        <v>-28.3</v>
      </c>
      <c r="G1029" s="95" t="n">
        <v>-37.5</v>
      </c>
      <c r="H1029" s="95" t="n">
        <v>9.199999999999999</v>
      </c>
      <c r="I1029" s="95" t="n">
        <v>-1.1</v>
      </c>
      <c r="J1029" s="95" t="n">
        <v>-13.8</v>
      </c>
      <c r="K1029" s="96" t="inlineStr">
        <is>
          <t>2502 JINYUAN HCHEM</t>
        </is>
      </c>
    </row>
    <row r="1030">
      <c r="A1030" s="16" t="inlineStr">
        <is>
          <t>Zhongsheng Holdings Company Limited</t>
        </is>
      </c>
      <c r="B1030" s="89" t="n">
        <v>1</v>
      </c>
      <c r="C1030" s="94" t="n">
        <v>0</v>
      </c>
      <c r="D1030" s="95" t="n">
        <v>-27.5</v>
      </c>
      <c r="E1030" s="95" t="n">
        <v>-20.8</v>
      </c>
      <c r="F1030" s="95" t="n">
        <v>-28.3</v>
      </c>
      <c r="G1030" s="95" t="n">
        <v>-37.5</v>
      </c>
      <c r="H1030" s="95" t="n">
        <v>9.199999999999999</v>
      </c>
      <c r="I1030" s="95" t="n">
        <v>-1.1</v>
      </c>
      <c r="J1030" s="95" t="n">
        <v>-13.8</v>
      </c>
      <c r="K1030" s="96" t="inlineStr">
        <is>
          <t>2502 JINYUAN HCHEM</t>
        </is>
      </c>
    </row>
    <row r="1031">
      <c r="A1031" s="16" t="inlineStr">
        <is>
          <t>Qingcong Capital</t>
        </is>
      </c>
      <c r="B1031" s="89" t="n">
        <v>1</v>
      </c>
      <c r="C1031" s="94" t="n">
        <v>0</v>
      </c>
      <c r="D1031" s="95" t="n">
        <v>-27.8</v>
      </c>
      <c r="E1031" s="95" t="n">
        <v>-28.7</v>
      </c>
      <c r="F1031" s="95" t="n">
        <v>-37.2</v>
      </c>
      <c r="G1031" s="95" t="n">
        <v>-33.7</v>
      </c>
      <c r="H1031" s="95" t="n">
        <v>-1.2</v>
      </c>
      <c r="I1031" s="95" t="n">
        <v>-13</v>
      </c>
      <c r="J1031" s="95" t="n">
        <v>-8.1</v>
      </c>
      <c r="K1031" s="96" t="inlineStr">
        <is>
          <t>2408 XIAO NOODLES</t>
        </is>
      </c>
    </row>
    <row r="1032">
      <c r="A1032" s="16" t="inlineStr">
        <is>
          <t>Mr. Gao Defu</t>
        </is>
      </c>
      <c r="B1032" s="89" t="n">
        <v>1</v>
      </c>
      <c r="C1032" s="94" t="n">
        <v>0</v>
      </c>
      <c r="D1032" s="95" t="n">
        <v>-27.8</v>
      </c>
      <c r="E1032" s="95" t="n">
        <v>-28.7</v>
      </c>
      <c r="F1032" s="95" t="n">
        <v>-37.2</v>
      </c>
      <c r="G1032" s="95" t="n">
        <v>-33.7</v>
      </c>
      <c r="H1032" s="95" t="n">
        <v>-1.2</v>
      </c>
      <c r="I1032" s="95" t="n">
        <v>-13</v>
      </c>
      <c r="J1032" s="95" t="n">
        <v>-8.1</v>
      </c>
      <c r="K1032" s="96" t="inlineStr">
        <is>
          <t>2408 XIAO NOODLES</t>
        </is>
      </c>
    </row>
    <row r="1033">
      <c r="A1033" s="16" t="inlineStr">
        <is>
          <t>Hong Kong Shengying Investment Limited</t>
        </is>
      </c>
      <c r="B1033" s="89" t="n">
        <v>1</v>
      </c>
      <c r="C1033" s="94" t="n">
        <v>0</v>
      </c>
      <c r="D1033" s="95" t="n">
        <v>-27.8</v>
      </c>
      <c r="E1033" s="95" t="n">
        <v>-28.7</v>
      </c>
      <c r="F1033" s="95" t="n">
        <v>-37.2</v>
      </c>
      <c r="G1033" s="95" t="n">
        <v>-33.7</v>
      </c>
      <c r="H1033" s="95" t="n">
        <v>-1.2</v>
      </c>
      <c r="I1033" s="95" t="n">
        <v>-13</v>
      </c>
      <c r="J1033" s="95" t="n">
        <v>-8.1</v>
      </c>
      <c r="K1033" s="96" t="inlineStr">
        <is>
          <t>2408 XIAO NOODLES</t>
        </is>
      </c>
    </row>
    <row r="1034">
      <c r="A1034" s="16" t="inlineStr">
        <is>
          <t>Hai Di Lao Holdings Pte. Ltd</t>
        </is>
      </c>
      <c r="B1034" s="89" t="n">
        <v>1</v>
      </c>
      <c r="C1034" s="94" t="n">
        <v>0</v>
      </c>
      <c r="D1034" s="95" t="n">
        <v>-27.8</v>
      </c>
      <c r="E1034" s="95" t="n">
        <v>-28.7</v>
      </c>
      <c r="F1034" s="95" t="n">
        <v>-37.2</v>
      </c>
      <c r="G1034" s="95" t="n">
        <v>-33.7</v>
      </c>
      <c r="H1034" s="95" t="n">
        <v>-1.2</v>
      </c>
      <c r="I1034" s="95" t="n">
        <v>-13</v>
      </c>
      <c r="J1034" s="95" t="n">
        <v>-8.1</v>
      </c>
      <c r="K1034" s="96" t="inlineStr">
        <is>
          <t>2408 XIAO NOODLES</t>
        </is>
      </c>
    </row>
    <row r="1035">
      <c r="A1035" s="16" t="inlineStr">
        <is>
          <t>Pusheng Fund</t>
        </is>
      </c>
      <c r="B1035" s="89" t="n">
        <v>1</v>
      </c>
      <c r="C1035" s="94" t="n">
        <v>0</v>
      </c>
      <c r="D1035" s="95" t="n">
        <v>-27.8</v>
      </c>
      <c r="E1035" s="95" t="n">
        <v>-28.7</v>
      </c>
      <c r="F1035" s="95" t="n">
        <v>-37.2</v>
      </c>
      <c r="G1035" s="95" t="n">
        <v>-33.7</v>
      </c>
      <c r="H1035" s="95" t="n">
        <v>-1.2</v>
      </c>
      <c r="I1035" s="95" t="n">
        <v>-13</v>
      </c>
      <c r="J1035" s="95" t="n">
        <v>-8.1</v>
      </c>
      <c r="K1035" s="96" t="inlineStr">
        <is>
          <t>2408 XIAO NOODLES</t>
        </is>
      </c>
    </row>
    <row r="1036">
      <c r="A1036" s="16" t="inlineStr">
        <is>
          <t>HK Dongbin Joint Victory Development Co. Limited</t>
        </is>
      </c>
      <c r="B1036" s="89" t="n">
        <v>1</v>
      </c>
      <c r="C1036" s="94" t="n">
        <v>0</v>
      </c>
      <c r="D1036" s="95" t="n">
        <v>-29</v>
      </c>
      <c r="E1036" s="95" t="n">
        <v>-41.4</v>
      </c>
      <c r="F1036" s="95" t="n">
        <v>-44.7</v>
      </c>
      <c r="G1036" s="95" t="n">
        <v>-37</v>
      </c>
      <c r="H1036" s="95" t="n">
        <v>-17.4</v>
      </c>
      <c r="I1036" s="95" t="n">
        <v>-22.1</v>
      </c>
      <c r="J1036" s="95" t="n">
        <v>-11.2</v>
      </c>
      <c r="K1036" s="96" t="inlineStr">
        <is>
          <t>9930 HORIZON CD</t>
        </is>
      </c>
    </row>
    <row r="1037">
      <c r="A1037" s="16" t="inlineStr">
        <is>
          <t>LGMG International Limited</t>
        </is>
      </c>
      <c r="B1037" s="89" t="n">
        <v>1</v>
      </c>
      <c r="C1037" s="94" t="n">
        <v>0</v>
      </c>
      <c r="D1037" s="95" t="n">
        <v>-29</v>
      </c>
      <c r="E1037" s="95" t="n">
        <v>-41.4</v>
      </c>
      <c r="F1037" s="95" t="n">
        <v>-44.7</v>
      </c>
      <c r="G1037" s="95" t="n">
        <v>-37</v>
      </c>
      <c r="H1037" s="95" t="n">
        <v>-17.4</v>
      </c>
      <c r="I1037" s="95" t="n">
        <v>-22.1</v>
      </c>
      <c r="J1037" s="95" t="n">
        <v>-11.2</v>
      </c>
      <c r="K1037" s="96" t="inlineStr">
        <is>
          <t>9930 HORIZON CD</t>
        </is>
      </c>
    </row>
    <row r="1038">
      <c r="A1038" s="16" t="inlineStr">
        <is>
          <t>Shanghai Gold Ring Enterprise Group Co., Ltd</t>
        </is>
      </c>
      <c r="B1038" s="89" t="n">
        <v>1</v>
      </c>
      <c r="C1038" s="94" t="n">
        <v>0</v>
      </c>
      <c r="D1038" s="95" t="n">
        <v>-29</v>
      </c>
      <c r="E1038" s="95" t="n">
        <v>-41.4</v>
      </c>
      <c r="F1038" s="95" t="n">
        <v>-44.7</v>
      </c>
      <c r="G1038" s="95" t="n">
        <v>-37</v>
      </c>
      <c r="H1038" s="95" t="n">
        <v>-17.4</v>
      </c>
      <c r="I1038" s="95" t="n">
        <v>-22.1</v>
      </c>
      <c r="J1038" s="95" t="n">
        <v>-11.2</v>
      </c>
      <c r="K1038" s="96" t="inlineStr">
        <is>
          <t>9930 HORIZON CD</t>
        </is>
      </c>
    </row>
    <row r="1039">
      <c r="A1039" s="16" t="inlineStr">
        <is>
          <t>Shanghai Putuo Science and Technology Investment Co., Ltd</t>
        </is>
      </c>
      <c r="B1039" s="89" t="n">
        <v>1</v>
      </c>
      <c r="C1039" s="94" t="n">
        <v>0</v>
      </c>
      <c r="D1039" s="95" t="n">
        <v>-29</v>
      </c>
      <c r="E1039" s="95" t="n">
        <v>-41.4</v>
      </c>
      <c r="F1039" s="95" t="n">
        <v>-44.7</v>
      </c>
      <c r="G1039" s="95" t="n">
        <v>-37</v>
      </c>
      <c r="H1039" s="95" t="n">
        <v>-17.4</v>
      </c>
      <c r="I1039" s="95" t="n">
        <v>-22.1</v>
      </c>
      <c r="J1039" s="95" t="n">
        <v>-11.2</v>
      </c>
      <c r="K1039" s="96" t="inlineStr">
        <is>
          <t>9930 HORIZON CD</t>
        </is>
      </c>
    </row>
    <row r="1040">
      <c r="A1040" s="16" t="inlineStr">
        <is>
          <t>Xinheng Holding Limited</t>
        </is>
      </c>
      <c r="B1040" s="89" t="n">
        <v>1</v>
      </c>
      <c r="C1040" s="94" t="n">
        <v>0</v>
      </c>
      <c r="D1040" s="95" t="n">
        <v>-29</v>
      </c>
      <c r="E1040" s="95" t="n">
        <v>-41.4</v>
      </c>
      <c r="F1040" s="95" t="n">
        <v>-44.7</v>
      </c>
      <c r="G1040" s="95" t="n">
        <v>-37</v>
      </c>
      <c r="H1040" s="95" t="n">
        <v>-17.4</v>
      </c>
      <c r="I1040" s="95" t="n">
        <v>-22.1</v>
      </c>
      <c r="J1040" s="95" t="n">
        <v>-11.2</v>
      </c>
      <c r="K1040" s="96" t="inlineStr">
        <is>
          <t>9930 HORIZON CD</t>
        </is>
      </c>
    </row>
    <row r="1041">
      <c r="A1041" s="16" t="inlineStr">
        <is>
          <t>Tenancy Co., Limited</t>
        </is>
      </c>
      <c r="B1041" s="89" t="n">
        <v>1</v>
      </c>
      <c r="C1041" s="94" t="n">
        <v>0</v>
      </c>
      <c r="D1041" s="95" t="n">
        <v>-29.3</v>
      </c>
      <c r="E1041" s="95" t="n">
        <v>-30</v>
      </c>
      <c r="F1041" s="95" t="n">
        <v>-23.3</v>
      </c>
      <c r="G1041" s="95" t="n">
        <v>-16</v>
      </c>
      <c r="H1041" s="95" t="n">
        <v>-0.9</v>
      </c>
      <c r="I1041" s="95" t="n">
        <v>8.5</v>
      </c>
      <c r="J1041" s="95" t="n">
        <v>18.9</v>
      </c>
      <c r="K1041" s="96" t="inlineStr">
        <is>
          <t>2187 ZHIXIN GP HLDG</t>
        </is>
      </c>
    </row>
    <row r="1042">
      <c r="A1042" s="16" t="inlineStr">
        <is>
          <t>Wang Miao</t>
        </is>
      </c>
      <c r="B1042" s="89" t="n">
        <v>1</v>
      </c>
      <c r="C1042" s="94" t="n">
        <v>0</v>
      </c>
      <c r="D1042" s="95" t="n">
        <v>-29.3</v>
      </c>
      <c r="E1042" s="95" t="n">
        <v>-30</v>
      </c>
      <c r="F1042" s="95" t="n">
        <v>-23.3</v>
      </c>
      <c r="G1042" s="95" t="n">
        <v>-16</v>
      </c>
      <c r="H1042" s="95" t="n">
        <v>-0.9</v>
      </c>
      <c r="I1042" s="95" t="n">
        <v>8.5</v>
      </c>
      <c r="J1042" s="95" t="n">
        <v>18.9</v>
      </c>
      <c r="K1042" s="96" t="inlineStr">
        <is>
          <t>2187 ZHIXIN GP HLDG</t>
        </is>
      </c>
    </row>
    <row r="1043">
      <c r="A1043" s="16" t="inlineStr">
        <is>
          <t>Mr. Mao Xiangyu</t>
        </is>
      </c>
      <c r="B1043" s="89" t="n">
        <v>1</v>
      </c>
      <c r="C1043" s="94" t="n">
        <v>0</v>
      </c>
      <c r="D1043" s="95" t="n">
        <v>-30.2</v>
      </c>
      <c r="E1043" s="95" t="n">
        <v>-21.7</v>
      </c>
      <c r="F1043" s="95" t="n">
        <v>-17.8</v>
      </c>
      <c r="G1043" s="95" t="n">
        <v>-17.9</v>
      </c>
      <c r="H1043" s="95" t="n">
        <v>12.1</v>
      </c>
      <c r="I1043" s="95" t="n">
        <v>17.7</v>
      </c>
      <c r="J1043" s="95" t="n">
        <v>17.5</v>
      </c>
      <c r="K1043" s="96" t="inlineStr">
        <is>
          <t>2658 TIANYU SEMI</t>
        </is>
      </c>
    </row>
    <row r="1044">
      <c r="A1044" s="16" t="inlineStr">
        <is>
          <t>Kwok Tai East International Group Limited</t>
        </is>
      </c>
      <c r="B1044" s="89" t="n">
        <v>1</v>
      </c>
      <c r="C1044" s="94" t="n">
        <v>0</v>
      </c>
      <c r="D1044" s="95" t="n">
        <v>-33.5</v>
      </c>
      <c r="E1044" s="95" t="n">
        <v>-48.3</v>
      </c>
      <c r="F1044" s="95" t="n">
        <v>-62.2</v>
      </c>
      <c r="G1044" s="95" t="n">
        <v>-37.1</v>
      </c>
      <c r="H1044" s="95" t="n">
        <v>-22.2</v>
      </c>
      <c r="I1044" s="95" t="n">
        <v>-43.1</v>
      </c>
      <c r="J1044" s="95" t="n">
        <v>-5.3</v>
      </c>
      <c r="K1044" s="96" t="inlineStr">
        <is>
          <t>9863 LEAPMOTOR</t>
        </is>
      </c>
    </row>
    <row r="1045">
      <c r="A1045" s="16" t="inlineStr">
        <is>
          <t>ZhongBaoNew materials. Ltd</t>
        </is>
      </c>
      <c r="B1045" s="89" t="n">
        <v>1</v>
      </c>
      <c r="C1045" s="94" t="n">
        <v>0</v>
      </c>
      <c r="D1045" s="95" t="n">
        <v>-35.2</v>
      </c>
      <c r="E1045" s="95" t="n">
        <v>-36.2</v>
      </c>
      <c r="F1045" s="95" t="n">
        <v>-39</v>
      </c>
      <c r="G1045" s="95" t="n">
        <v>-50.5</v>
      </c>
      <c r="H1045" s="95" t="n">
        <v>-1.5</v>
      </c>
      <c r="I1045" s="95" t="n">
        <v>-5.9</v>
      </c>
      <c r="J1045" s="95" t="n">
        <v>-23.5</v>
      </c>
      <c r="K1045" s="96" t="inlineStr">
        <is>
          <t>2439 CH TREASURES NM</t>
        </is>
      </c>
    </row>
    <row r="1046">
      <c r="A1046" s="16" t="inlineStr">
        <is>
          <t>Jiu Rong Holdings Limited</t>
        </is>
      </c>
      <c r="B1046" s="89" t="n">
        <v>1</v>
      </c>
      <c r="C1046" s="94" t="n">
        <v>0</v>
      </c>
      <c r="D1046" s="95" t="n">
        <v>-36</v>
      </c>
      <c r="E1046" s="95" t="n">
        <v>-48</v>
      </c>
      <c r="F1046" s="95" t="n">
        <v>-50.4</v>
      </c>
      <c r="G1046" s="95" t="n">
        <v>-52.4</v>
      </c>
      <c r="H1046" s="95" t="n">
        <v>-18.8</v>
      </c>
      <c r="I1046" s="95" t="n">
        <v>-22.5</v>
      </c>
      <c r="J1046" s="95" t="n">
        <v>-25.6</v>
      </c>
      <c r="K1046" s="96" t="inlineStr">
        <is>
          <t>9608 SUNDY SERVICE</t>
        </is>
      </c>
    </row>
    <row r="1047">
      <c r="A1047" s="16" t="inlineStr">
        <is>
          <t>Yingke No.1 (Hongkong) Limited</t>
        </is>
      </c>
      <c r="B1047" s="89" t="n">
        <v>1</v>
      </c>
      <c r="C1047" s="94" t="n">
        <v>0</v>
      </c>
      <c r="D1047" s="95" t="n">
        <v>-36.9</v>
      </c>
      <c r="E1047" s="95" t="n">
        <v>1.8</v>
      </c>
      <c r="F1047" s="95" t="n">
        <v>94.09999999999999</v>
      </c>
      <c r="G1047" s="95" t="n">
        <v>149.1</v>
      </c>
      <c r="H1047" s="95" t="n">
        <v>61.4</v>
      </c>
      <c r="I1047" s="95" t="n">
        <v>207.7</v>
      </c>
      <c r="J1047" s="95" t="n">
        <v>294.9</v>
      </c>
      <c r="K1047" s="96" t="inlineStr">
        <is>
          <t>2632 NEW VISION CO</t>
        </is>
      </c>
    </row>
    <row r="1048">
      <c r="A1048" s="16" t="inlineStr">
        <is>
          <t>Purple Diamond Ltd</t>
        </is>
      </c>
      <c r="B1048" s="89" t="n">
        <v>1</v>
      </c>
      <c r="C1048" s="94" t="n">
        <v>0</v>
      </c>
      <c r="D1048" s="95" t="n">
        <v>-37.4</v>
      </c>
      <c r="E1048" s="95" t="n">
        <v>-44.3</v>
      </c>
      <c r="F1048" s="95" t="n">
        <v>-45.1</v>
      </c>
      <c r="G1048" s="95" t="n"/>
      <c r="H1048" s="95" t="n">
        <v>-11.1</v>
      </c>
      <c r="I1048" s="95" t="n">
        <v>-12.3</v>
      </c>
      <c r="J1048" s="95" t="n"/>
      <c r="K1048" s="96" t="inlineStr">
        <is>
          <t>0537 RIGOL</t>
        </is>
      </c>
    </row>
    <row r="1049">
      <c r="A1049" s="16" t="inlineStr">
        <is>
          <t>Heda Jinyuan (HK)</t>
        </is>
      </c>
      <c r="B1049" s="89" t="n">
        <v>1</v>
      </c>
      <c r="C1049" s="94" t="n">
        <v>0</v>
      </c>
      <c r="D1049" s="95" t="n">
        <v>-38.4</v>
      </c>
      <c r="E1049" s="95" t="n">
        <v>-35.4</v>
      </c>
      <c r="F1049" s="95" t="n">
        <v>-46.9</v>
      </c>
      <c r="G1049" s="95" t="n">
        <v>-47.4</v>
      </c>
      <c r="H1049" s="95" t="n">
        <v>5</v>
      </c>
      <c r="I1049" s="95" t="n">
        <v>-13.7</v>
      </c>
      <c r="J1049" s="95" t="n">
        <v>-14.6</v>
      </c>
      <c r="K1049" s="96" t="inlineStr">
        <is>
          <t>2566 JIUYUAN GENE</t>
        </is>
      </c>
    </row>
    <row r="1050">
      <c r="A1050" s="16" t="inlineStr">
        <is>
          <t>Delta Capital Hong Kong</t>
        </is>
      </c>
      <c r="B1050" s="89" t="n">
        <v>1</v>
      </c>
      <c r="C1050" s="94" t="n">
        <v>0</v>
      </c>
      <c r="D1050" s="95" t="n">
        <v>-38.4</v>
      </c>
      <c r="E1050" s="95" t="n">
        <v>-35.4</v>
      </c>
      <c r="F1050" s="95" t="n">
        <v>-46.9</v>
      </c>
      <c r="G1050" s="95" t="n">
        <v>-47.4</v>
      </c>
      <c r="H1050" s="95" t="n">
        <v>5</v>
      </c>
      <c r="I1050" s="95" t="n">
        <v>-13.7</v>
      </c>
      <c r="J1050" s="95" t="n">
        <v>-14.6</v>
      </c>
      <c r="K1050" s="96" t="inlineStr">
        <is>
          <t>2566 JIUYUAN GENE</t>
        </is>
      </c>
    </row>
    <row r="1051">
      <c r="A1051" s="16" t="inlineStr">
        <is>
          <t>Offering WSH</t>
        </is>
      </c>
      <c r="B1051" s="89" t="n">
        <v>1</v>
      </c>
      <c r="C1051" s="94" t="n">
        <v>0</v>
      </c>
      <c r="D1051" s="95" t="n">
        <v>-38.6</v>
      </c>
      <c r="E1051" s="95" t="n">
        <v>-42.6</v>
      </c>
      <c r="F1051" s="95" t="n">
        <v>-49.5</v>
      </c>
      <c r="G1051" s="95" t="n">
        <v>-55.4</v>
      </c>
      <c r="H1051" s="95" t="n">
        <v>-6.5</v>
      </c>
      <c r="I1051" s="95" t="n">
        <v>-17.7</v>
      </c>
      <c r="J1051" s="95" t="n">
        <v>-27.3</v>
      </c>
      <c r="K1051" s="96" t="inlineStr">
        <is>
          <t>2592 CLOUDBREAK-B</t>
        </is>
      </c>
    </row>
    <row r="1052">
      <c r="A1052" s="16" t="inlineStr">
        <is>
          <t>AIRPORT TECHNOLOGY CAPITAL (HONG KONG) CO., LIMITED</t>
        </is>
      </c>
      <c r="B1052" s="89" t="n">
        <v>1</v>
      </c>
      <c r="C1052" s="94" t="n">
        <v>0</v>
      </c>
      <c r="D1052" s="95" t="n">
        <v>-39.1</v>
      </c>
      <c r="E1052" s="95" t="n">
        <v>-44.7</v>
      </c>
      <c r="F1052" s="95" t="n">
        <v>-49.1</v>
      </c>
      <c r="G1052" s="95" t="n"/>
      <c r="H1052" s="95" t="n">
        <v>-9.300000000000001</v>
      </c>
      <c r="I1052" s="95" t="n">
        <v>-16.4</v>
      </c>
      <c r="J1052" s="95" t="n"/>
      <c r="K1052" s="96" t="inlineStr">
        <is>
          <t>2667 TONGRENTANGCARE</t>
        </is>
      </c>
    </row>
    <row r="1053">
      <c r="A1053" s="16" t="inlineStr">
        <is>
          <t>Ms. Dou</t>
        </is>
      </c>
      <c r="B1053" s="89" t="n">
        <v>1</v>
      </c>
      <c r="C1053" s="94" t="n">
        <v>0</v>
      </c>
      <c r="D1053" s="95" t="n">
        <v>-39.2</v>
      </c>
      <c r="E1053" s="95" t="n">
        <v>-39.2</v>
      </c>
      <c r="F1053" s="95" t="n">
        <v>-50</v>
      </c>
      <c r="G1053" s="95" t="n">
        <v>-52.4</v>
      </c>
      <c r="H1053" s="95" t="n">
        <v>0</v>
      </c>
      <c r="I1053" s="95" t="n">
        <v>-17.8</v>
      </c>
      <c r="J1053" s="95" t="n">
        <v>-21.7</v>
      </c>
      <c r="K1053" s="96" t="inlineStr">
        <is>
          <t>2515 TJCD</t>
        </is>
      </c>
    </row>
    <row r="1054">
      <c r="A1054" s="16" t="inlineStr">
        <is>
          <t>Arda (HK) Investment Co., Limited</t>
        </is>
      </c>
      <c r="B1054" s="89" t="n">
        <v>1</v>
      </c>
      <c r="C1054" s="94" t="n">
        <v>0</v>
      </c>
      <c r="D1054" s="95" t="n">
        <v>-40</v>
      </c>
      <c r="E1054" s="95" t="n">
        <v>-25</v>
      </c>
      <c r="F1054" s="95" t="n">
        <v>-15</v>
      </c>
      <c r="G1054" s="95" t="n">
        <v>-31</v>
      </c>
      <c r="H1054" s="95" t="n">
        <v>25</v>
      </c>
      <c r="I1054" s="95" t="n">
        <v>41.7</v>
      </c>
      <c r="J1054" s="95" t="n">
        <v>15</v>
      </c>
      <c r="K1054" s="96" t="inlineStr">
        <is>
          <t>2457 BUYANG INTL</t>
        </is>
      </c>
    </row>
    <row r="1055">
      <c r="A1055" s="16" t="inlineStr">
        <is>
          <t>INFO EXPERT SERVICES LIMITED</t>
        </is>
      </c>
      <c r="B1055" s="89" t="n">
        <v>1</v>
      </c>
      <c r="C1055" s="94" t="n">
        <v>0</v>
      </c>
      <c r="D1055" s="95" t="n">
        <v>-42.9</v>
      </c>
      <c r="E1055" s="95" t="n">
        <v>-51.3</v>
      </c>
      <c r="F1055" s="95" t="n">
        <v>-66.40000000000001</v>
      </c>
      <c r="G1055" s="95" t="n">
        <v>-70.2</v>
      </c>
      <c r="H1055" s="95" t="n">
        <v>-14.7</v>
      </c>
      <c r="I1055" s="95" t="n">
        <v>-41.2</v>
      </c>
      <c r="J1055" s="95" t="n">
        <v>-47.8</v>
      </c>
      <c r="K1055" s="96" t="inlineStr">
        <is>
          <t>9686 NEUSOFT XIKANG</t>
        </is>
      </c>
    </row>
    <row r="1056">
      <c r="A1056" s="16" t="inlineStr">
        <is>
          <t>YStem Holding Limited</t>
        </is>
      </c>
      <c r="B1056" s="89" t="n">
        <v>1</v>
      </c>
      <c r="C1056" s="94" t="n">
        <v>0</v>
      </c>
      <c r="D1056" s="95" t="n">
        <v>-46.2</v>
      </c>
      <c r="E1056" s="95" t="n">
        <v>-46.7</v>
      </c>
      <c r="F1056" s="95" t="n">
        <v>-47</v>
      </c>
      <c r="G1056" s="95" t="n">
        <v>-3.5</v>
      </c>
      <c r="H1056" s="95" t="n">
        <v>-0.8</v>
      </c>
      <c r="I1056" s="95" t="n">
        <v>-1.3</v>
      </c>
      <c r="J1056" s="95" t="n">
        <v>79.5</v>
      </c>
      <c r="K1056" s="96" t="inlineStr">
        <is>
          <t>3378 HANXBIO-B</t>
        </is>
      </c>
    </row>
    <row r="1057">
      <c r="A1057" s="16" t="inlineStr">
        <is>
          <t>Awaken Thunder Capital Limited</t>
        </is>
      </c>
      <c r="B1057" s="89" t="n">
        <v>1</v>
      </c>
      <c r="C1057" s="94" t="n">
        <v>0</v>
      </c>
      <c r="D1057" s="95" t="n">
        <v>-46.2</v>
      </c>
      <c r="E1057" s="95" t="n">
        <v>-46.7</v>
      </c>
      <c r="F1057" s="95" t="n">
        <v>-47</v>
      </c>
      <c r="G1057" s="95" t="n">
        <v>-3.5</v>
      </c>
      <c r="H1057" s="95" t="n">
        <v>-0.8</v>
      </c>
      <c r="I1057" s="95" t="n">
        <v>-1.3</v>
      </c>
      <c r="J1057" s="95" t="n">
        <v>79.5</v>
      </c>
      <c r="K1057" s="96" t="inlineStr">
        <is>
          <t>3378 HANXBIO-B</t>
        </is>
      </c>
    </row>
    <row r="1058">
      <c r="A1058" s="16" t="inlineStr">
        <is>
          <t>Betta Pharmaceuticals Co., Ltd</t>
        </is>
      </c>
      <c r="B1058" s="89" t="n">
        <v>1</v>
      </c>
      <c r="C1058" s="94" t="n">
        <v>0</v>
      </c>
      <c r="D1058" s="95" t="n">
        <v>-46.2</v>
      </c>
      <c r="E1058" s="95" t="n">
        <v>-46.7</v>
      </c>
      <c r="F1058" s="95" t="n">
        <v>-47</v>
      </c>
      <c r="G1058" s="95" t="n">
        <v>-3.5</v>
      </c>
      <c r="H1058" s="95" t="n">
        <v>-0.8</v>
      </c>
      <c r="I1058" s="95" t="n">
        <v>-1.3</v>
      </c>
      <c r="J1058" s="95" t="n">
        <v>79.5</v>
      </c>
      <c r="K1058" s="96" t="inlineStr">
        <is>
          <t>3378 HANXBIO-B</t>
        </is>
      </c>
    </row>
    <row r="1059">
      <c r="A1059" s="16" t="inlineStr">
        <is>
          <t>Lapam Capital HK Co., Limited</t>
        </is>
      </c>
      <c r="B1059" s="89" t="n">
        <v>1</v>
      </c>
      <c r="C1059" s="94" t="n">
        <v>0</v>
      </c>
      <c r="D1059" s="95" t="n">
        <v>-46.2</v>
      </c>
      <c r="E1059" s="95" t="n">
        <v>-46.7</v>
      </c>
      <c r="F1059" s="95" t="n">
        <v>-47</v>
      </c>
      <c r="G1059" s="95" t="n">
        <v>-3.5</v>
      </c>
      <c r="H1059" s="95" t="n">
        <v>-0.8</v>
      </c>
      <c r="I1059" s="95" t="n">
        <v>-1.3</v>
      </c>
      <c r="J1059" s="95" t="n">
        <v>79.5</v>
      </c>
      <c r="K1059" s="96" t="inlineStr">
        <is>
          <t>3378 HANXBIO-B</t>
        </is>
      </c>
    </row>
    <row r="1060">
      <c r="A1060" s="16" t="inlineStr">
        <is>
          <t>Xiao Jieyu</t>
        </is>
      </c>
      <c r="B1060" s="89" t="n">
        <v>1</v>
      </c>
      <c r="C1060" s="94" t="n">
        <v>0</v>
      </c>
      <c r="D1060" s="95" t="n">
        <v>-46.2</v>
      </c>
      <c r="E1060" s="95" t="n">
        <v>-46.7</v>
      </c>
      <c r="F1060" s="95" t="n">
        <v>-47</v>
      </c>
      <c r="G1060" s="95" t="n">
        <v>-3.5</v>
      </c>
      <c r="H1060" s="95" t="n">
        <v>-0.8</v>
      </c>
      <c r="I1060" s="95" t="n">
        <v>-1.3</v>
      </c>
      <c r="J1060" s="95" t="n">
        <v>79.5</v>
      </c>
      <c r="K1060" s="96" t="inlineStr">
        <is>
          <t>3378 HANXBIO-B</t>
        </is>
      </c>
    </row>
    <row r="1061">
      <c r="A1061" s="16" t="inlineStr">
        <is>
          <t>Liao Tong</t>
        </is>
      </c>
      <c r="B1061" s="89" t="n">
        <v>1</v>
      </c>
      <c r="C1061" s="94" t="n">
        <v>0</v>
      </c>
      <c r="D1061" s="95" t="n">
        <v>-46.2</v>
      </c>
      <c r="E1061" s="95" t="n">
        <v>-46.7</v>
      </c>
      <c r="F1061" s="95" t="n">
        <v>-47</v>
      </c>
      <c r="G1061" s="95" t="n">
        <v>-3.5</v>
      </c>
      <c r="H1061" s="95" t="n">
        <v>-0.8</v>
      </c>
      <c r="I1061" s="95" t="n">
        <v>-1.3</v>
      </c>
      <c r="J1061" s="95" t="n">
        <v>79.5</v>
      </c>
      <c r="K1061" s="96" t="inlineStr">
        <is>
          <t>3378 HANXBIO-B</t>
        </is>
      </c>
    </row>
    <row r="1062">
      <c r="A1062" s="16" t="inlineStr">
        <is>
          <t>Anhui Shengchang</t>
        </is>
      </c>
      <c r="B1062" s="89" t="n">
        <v>1</v>
      </c>
      <c r="C1062" s="94" t="n">
        <v>0</v>
      </c>
      <c r="D1062" s="95" t="n">
        <v>-47.7</v>
      </c>
      <c r="E1062" s="95" t="n">
        <v>-51.7</v>
      </c>
      <c r="F1062" s="95" t="n">
        <v>-54.7</v>
      </c>
      <c r="G1062" s="95" t="n">
        <v>-41.3</v>
      </c>
      <c r="H1062" s="95" t="n">
        <v>-7.6</v>
      </c>
      <c r="I1062" s="95" t="n">
        <v>-13.4</v>
      </c>
      <c r="J1062" s="95" t="n">
        <v>12.1</v>
      </c>
      <c r="K1062" s="96" t="inlineStr">
        <is>
          <t>2560 CONCH MAT TECH</t>
        </is>
      </c>
    </row>
    <row r="1063">
      <c r="A1063" s="16" t="inlineStr">
        <is>
          <t>Wuhu Artec</t>
        </is>
      </c>
      <c r="B1063" s="89" t="n">
        <v>1</v>
      </c>
      <c r="C1063" s="94" t="n">
        <v>0</v>
      </c>
      <c r="D1063" s="95" t="n">
        <v>-47.7</v>
      </c>
      <c r="E1063" s="95" t="n">
        <v>-51.7</v>
      </c>
      <c r="F1063" s="95" t="n">
        <v>-54.7</v>
      </c>
      <c r="G1063" s="95" t="n">
        <v>-41.3</v>
      </c>
      <c r="H1063" s="95" t="n">
        <v>-7.6</v>
      </c>
      <c r="I1063" s="95" t="n">
        <v>-13.4</v>
      </c>
      <c r="J1063" s="95" t="n">
        <v>12.1</v>
      </c>
      <c r="K1063" s="96" t="inlineStr">
        <is>
          <t>2560 CONCH MAT TECH</t>
        </is>
      </c>
    </row>
    <row r="1064">
      <c r="A1064" s="16" t="inlineStr">
        <is>
          <t>Guangdong Zongxing</t>
        </is>
      </c>
      <c r="B1064" s="89" t="n">
        <v>1</v>
      </c>
      <c r="C1064" s="94" t="n">
        <v>0</v>
      </c>
      <c r="D1064" s="95" t="n">
        <v>-47.7</v>
      </c>
      <c r="E1064" s="95" t="n">
        <v>-51.7</v>
      </c>
      <c r="F1064" s="95" t="n">
        <v>-54.7</v>
      </c>
      <c r="G1064" s="95" t="n">
        <v>-41.3</v>
      </c>
      <c r="H1064" s="95" t="n">
        <v>-7.6</v>
      </c>
      <c r="I1064" s="95" t="n">
        <v>-13.4</v>
      </c>
      <c r="J1064" s="95" t="n">
        <v>12.1</v>
      </c>
      <c r="K1064" s="96" t="inlineStr">
        <is>
          <t>2560 CONCH MAT TECH</t>
        </is>
      </c>
    </row>
    <row r="1065">
      <c r="A1065" s="16" t="inlineStr">
        <is>
          <t>Shenzhen Gaodeng</t>
        </is>
      </c>
      <c r="B1065" s="89" t="n">
        <v>1</v>
      </c>
      <c r="C1065" s="94" t="n">
        <v>0</v>
      </c>
      <c r="D1065" s="95" t="n">
        <v>-47.7</v>
      </c>
      <c r="E1065" s="95" t="n">
        <v>-51.7</v>
      </c>
      <c r="F1065" s="95" t="n">
        <v>-54.7</v>
      </c>
      <c r="G1065" s="95" t="n">
        <v>-41.3</v>
      </c>
      <c r="H1065" s="95" t="n">
        <v>-7.6</v>
      </c>
      <c r="I1065" s="95" t="n">
        <v>-13.4</v>
      </c>
      <c r="J1065" s="95" t="n">
        <v>12.1</v>
      </c>
      <c r="K1065" s="96" t="inlineStr">
        <is>
          <t>2560 CONCH MAT TECH</t>
        </is>
      </c>
    </row>
    <row r="1066">
      <c r="A1066" s="16" t="inlineStr">
        <is>
          <t>Jiantou International (Hong Kong) Co., Limited</t>
        </is>
      </c>
      <c r="B1066" s="89" t="n">
        <v>1</v>
      </c>
      <c r="C1066" s="94" t="n">
        <v>0</v>
      </c>
      <c r="D1066" s="95" t="n">
        <v>-49.2</v>
      </c>
      <c r="E1066" s="95" t="n">
        <v>-53.2</v>
      </c>
      <c r="F1066" s="95" t="n">
        <v>-62.3</v>
      </c>
      <c r="G1066" s="95" t="n">
        <v>-74.8</v>
      </c>
      <c r="H1066" s="95" t="n">
        <v>-7.9</v>
      </c>
      <c r="I1066" s="95" t="n">
        <v>-25.8</v>
      </c>
      <c r="J1066" s="95" t="n">
        <v>-50.5</v>
      </c>
      <c r="K1066" s="96" t="inlineStr">
        <is>
          <t>0664 TONGSHIFU</t>
        </is>
      </c>
    </row>
    <row r="1067">
      <c r="A1067" s="16" t="inlineStr">
        <is>
          <t>Heron Neutron Medical</t>
        </is>
      </c>
      <c r="B1067" s="89" t="n">
        <v>1</v>
      </c>
      <c r="C1067" s="94" t="n">
        <v>0</v>
      </c>
      <c r="D1067" s="95" t="n">
        <v>-49.5</v>
      </c>
      <c r="E1067" s="95" t="n">
        <v>-56</v>
      </c>
      <c r="F1067" s="95" t="n">
        <v>-56.2</v>
      </c>
      <c r="G1067" s="95" t="n">
        <v>-63.1</v>
      </c>
      <c r="H1067" s="95" t="n">
        <v>-12.9</v>
      </c>
      <c r="I1067" s="95" t="n">
        <v>-13.4</v>
      </c>
      <c r="J1067" s="95" t="n">
        <v>-26.9</v>
      </c>
      <c r="K1067" s="96" t="inlineStr">
        <is>
          <t>2581 BENQ HOLDING</t>
        </is>
      </c>
    </row>
    <row r="1068">
      <c r="A1068" s="16" t="inlineStr">
        <is>
          <t>Cowealth (China)</t>
        </is>
      </c>
      <c r="B1068" s="89" t="n">
        <v>1</v>
      </c>
      <c r="C1068" s="94" t="n">
        <v>0</v>
      </c>
      <c r="D1068" s="95" t="n">
        <v>-49.5</v>
      </c>
      <c r="E1068" s="95" t="n">
        <v>-56</v>
      </c>
      <c r="F1068" s="95" t="n">
        <v>-56.2</v>
      </c>
      <c r="G1068" s="95" t="n">
        <v>-63.1</v>
      </c>
      <c r="H1068" s="95" t="n">
        <v>-12.9</v>
      </c>
      <c r="I1068" s="95" t="n">
        <v>-13.4</v>
      </c>
      <c r="J1068" s="95" t="n">
        <v>-26.9</v>
      </c>
      <c r="K1068" s="96" t="inlineStr">
        <is>
          <t>2581 BENQ HOLDING</t>
        </is>
      </c>
    </row>
    <row r="1069">
      <c r="A1069" s="16" t="inlineStr">
        <is>
          <t>DFI Development Holdings Limited</t>
        </is>
      </c>
      <c r="B1069" s="89" t="n">
        <v>1</v>
      </c>
      <c r="C1069" s="94" t="n">
        <v>0</v>
      </c>
      <c r="D1069" s="95" t="n">
        <v>-54.3</v>
      </c>
      <c r="E1069" s="95" t="n">
        <v>-79.2</v>
      </c>
      <c r="F1069" s="95" t="n">
        <v>-80.2</v>
      </c>
      <c r="G1069" s="95" t="n">
        <v>-57</v>
      </c>
      <c r="H1069" s="95" t="n">
        <v>-54.4</v>
      </c>
      <c r="I1069" s="95" t="n">
        <v>-56.6</v>
      </c>
      <c r="J1069" s="95" t="n">
        <v>-5.8</v>
      </c>
      <c r="K1069" s="96" t="inlineStr">
        <is>
          <t>2586 DMALL</t>
        </is>
      </c>
    </row>
    <row r="1070">
      <c r="A1070" s="16" t="inlineStr">
        <is>
          <t>CAPRET (SG) PTE. LTD</t>
        </is>
      </c>
      <c r="B1070" s="89" t="n">
        <v>1</v>
      </c>
      <c r="C1070" s="94" t="n">
        <v>0</v>
      </c>
      <c r="D1070" s="95" t="n">
        <v>-54.3</v>
      </c>
      <c r="E1070" s="95" t="n">
        <v>-79.2</v>
      </c>
      <c r="F1070" s="95" t="n">
        <v>-80.2</v>
      </c>
      <c r="G1070" s="95" t="n">
        <v>-57</v>
      </c>
      <c r="H1070" s="95" t="n">
        <v>-54.4</v>
      </c>
      <c r="I1070" s="95" t="n">
        <v>-56.6</v>
      </c>
      <c r="J1070" s="95" t="n">
        <v>-5.8</v>
      </c>
      <c r="K1070" s="96" t="inlineStr">
        <is>
          <t>2586 DMALL</t>
        </is>
      </c>
    </row>
    <row r="1071">
      <c r="A1071" s="16" t="inlineStr">
        <is>
          <t>Odor Nice Limited</t>
        </is>
      </c>
      <c r="B1071" s="89" t="n">
        <v>1</v>
      </c>
      <c r="C1071" s="94" t="n">
        <v>0</v>
      </c>
      <c r="D1071" s="95" t="n">
        <v>-54.3</v>
      </c>
      <c r="E1071" s="95" t="n">
        <v>-79.2</v>
      </c>
      <c r="F1071" s="95" t="n">
        <v>-80.2</v>
      </c>
      <c r="G1071" s="95" t="n">
        <v>-57</v>
      </c>
      <c r="H1071" s="95" t="n">
        <v>-54.4</v>
      </c>
      <c r="I1071" s="95" t="n">
        <v>-56.6</v>
      </c>
      <c r="J1071" s="95" t="n">
        <v>-5.8</v>
      </c>
      <c r="K1071" s="96" t="inlineStr">
        <is>
          <t>2586 DMALL</t>
        </is>
      </c>
    </row>
    <row r="1072">
      <c r="A1072" s="16" t="inlineStr">
        <is>
          <t>Woseon Limited Partnership</t>
        </is>
      </c>
      <c r="B1072" s="89" t="n">
        <v>1</v>
      </c>
      <c r="C1072" s="94" t="n">
        <v>0</v>
      </c>
      <c r="D1072" s="95" t="n">
        <v>-56.7</v>
      </c>
      <c r="E1072" s="95" t="n">
        <v>-56.7</v>
      </c>
      <c r="F1072" s="95" t="n">
        <v>-62.5</v>
      </c>
      <c r="G1072" s="95" t="n">
        <v>-75.3</v>
      </c>
      <c r="H1072" s="95" t="n">
        <v>0</v>
      </c>
      <c r="I1072" s="95" t="n">
        <v>-13.4</v>
      </c>
      <c r="J1072" s="95" t="n">
        <v>-42.9</v>
      </c>
      <c r="K1072" s="96" t="inlineStr">
        <is>
          <t>2567 QINIU</t>
        </is>
      </c>
    </row>
    <row r="1073">
      <c r="A1073" s="16" t="inlineStr">
        <is>
          <t>Key Broad Future Limited</t>
        </is>
      </c>
      <c r="B1073" s="89" t="n">
        <v>1</v>
      </c>
      <c r="C1073" s="94" t="n">
        <v>0</v>
      </c>
      <c r="D1073" s="95" t="n">
        <v>-56.9</v>
      </c>
      <c r="E1073" s="95" t="n">
        <v>-56.1</v>
      </c>
      <c r="F1073" s="95" t="n">
        <v>-42.5</v>
      </c>
      <c r="G1073" s="95" t="n"/>
      <c r="H1073" s="95" t="n">
        <v>1.7</v>
      </c>
      <c r="I1073" s="95" t="n">
        <v>33.3</v>
      </c>
      <c r="J1073" s="95" t="n"/>
      <c r="K1073" s="96" t="inlineStr">
        <is>
          <t>6132 HJ SCIENCE-B</t>
        </is>
      </c>
    </row>
  </sheetData>
  <autoFilter ref="A4:K1073"/>
  <conditionalFormatting sqref="D5:D1073">
    <cfRule type="colorScale" priority="1">
      <colorScale>
        <cfvo type="num" val="-40"/>
        <cfvo type="num" val="0"/>
        <cfvo type="num" val="60"/>
        <color rgb="00F8696B"/>
        <color rgb="00FFFFFF"/>
        <color rgb="0063BE7B"/>
      </colorScale>
    </cfRule>
  </conditionalFormatting>
  <conditionalFormatting sqref="E5:E1073">
    <cfRule type="colorScale" priority="2">
      <colorScale>
        <cfvo type="num" val="-40"/>
        <cfvo type="num" val="0"/>
        <cfvo type="num" val="60"/>
        <color rgb="00F8696B"/>
        <color rgb="00FFFFFF"/>
        <color rgb="0063BE7B"/>
      </colorScale>
    </cfRule>
  </conditionalFormatting>
  <conditionalFormatting sqref="F5:F1073">
    <cfRule type="colorScale" priority="3">
      <colorScale>
        <cfvo type="num" val="-40"/>
        <cfvo type="num" val="0"/>
        <cfvo type="num" val="60"/>
        <color rgb="00F8696B"/>
        <color rgb="00FFFFFF"/>
        <color rgb="0063BE7B"/>
      </colorScale>
    </cfRule>
  </conditionalFormatting>
  <conditionalFormatting sqref="G5:G1073">
    <cfRule type="colorScale" priority="4">
      <colorScale>
        <cfvo type="num" val="-40"/>
        <cfvo type="num" val="0"/>
        <cfvo type="num" val="60"/>
        <color rgb="00F8696B"/>
        <color rgb="00FFFFFF"/>
        <color rgb="0063BE7B"/>
      </colorScale>
    </cfRule>
  </conditionalFormatting>
  <conditionalFormatting sqref="H5:H1073">
    <cfRule type="colorScale" priority="5">
      <colorScale>
        <cfvo type="num" val="-40"/>
        <cfvo type="num" val="0"/>
        <cfvo type="num" val="60"/>
        <color rgb="00F8696B"/>
        <color rgb="00FFFFFF"/>
        <color rgb="0063BE7B"/>
      </colorScale>
    </cfRule>
  </conditionalFormatting>
  <conditionalFormatting sqref="I5:I1073">
    <cfRule type="colorScale" priority="6">
      <colorScale>
        <cfvo type="num" val="-40"/>
        <cfvo type="num" val="0"/>
        <cfvo type="num" val="60"/>
        <color rgb="00F8696B"/>
        <color rgb="00FFFFFF"/>
        <color rgb="0063BE7B"/>
      </colorScale>
    </cfRule>
  </conditionalFormatting>
  <conditionalFormatting sqref="J5:J1073">
    <cfRule type="colorScale" priority="7">
      <colorScale>
        <cfvo type="num" val="-40"/>
        <cfvo type="num" val="0"/>
        <cfvo type="num" val="60"/>
        <color rgb="00F8696B"/>
        <color rgb="00FFFFFF"/>
        <color rgb="0063BE7B"/>
      </colorScale>
    </cfRule>
  </conditionalFormatting>
  <pageMargins left="0.75" right="0.75" top="1" bottom="1" header="0.5" footer="0.5"/>
</worksheet>
</file>

<file path=xl/worksheets/sheet6.xml><?xml version="1.0" encoding="utf-8"?>
<worksheet xmlns="http://schemas.openxmlformats.org/spreadsheetml/2006/main">
  <sheetPr>
    <tabColor rgb="00BFBFBF"/>
    <outlinePr summaryBelow="1" summaryRight="1"/>
    <pageSetUpPr/>
  </sheetPr>
  <dimension ref="A1:R69"/>
  <sheetViews>
    <sheetView workbookViewId="0">
      <pane xSplit="3" ySplit="4" topLeftCell="D5" activePane="bottomRight" state="frozen"/>
      <selection pane="topRight"/>
      <selection pane="bottomLeft"/>
      <selection pane="bottomRight" activeCell="A1" sqref="A1"/>
    </sheetView>
  </sheetViews>
  <sheetFormatPr baseColWidth="8" defaultRowHeight="15"/>
  <cols>
    <col width="40" customWidth="1" min="1" max="1"/>
    <col width="7" customWidth="1" min="2" max="2"/>
    <col width="9" customWidth="1" min="3" max="3"/>
    <col width="19" customWidth="1" min="4" max="4"/>
    <col width="20" customWidth="1" min="5" max="5"/>
    <col width="17" customWidth="1" min="6" max="6"/>
    <col width="12" customWidth="1" min="7" max="7"/>
    <col width="11" customWidth="1" min="8" max="8"/>
    <col width="11" customWidth="1" min="9" max="9"/>
    <col width="11" customWidth="1" min="10" max="10"/>
    <col width="13" customWidth="1" min="11" max="11"/>
    <col width="13" customWidth="1" min="12" max="12"/>
    <col width="13" customWidth="1" min="13" max="13"/>
    <col width="11" customWidth="1" min="14" max="14"/>
    <col width="12" customWidth="1" min="15" max="15"/>
    <col width="13" customWidth="1" min="16" max="16"/>
    <col width="18" customWidth="1" min="17" max="17"/>
    <col width="70" customWidth="1" min="18" max="18"/>
  </cols>
  <sheetData>
    <row r="1">
      <c r="A1" s="1" t="inlineStr">
        <is>
          <t>STABILISING-MANAGER LEAGUE — how deals each bank defended traded</t>
        </is>
      </c>
    </row>
    <row r="2">
      <c r="A2" s="2" t="inlineStr">
        <is>
          <t>One row per stabilising manager (grouped on the bank family, so 'Goldman Sachs (Asia) L.L.C.' and 'Goldman Sachs International' count once). The stabilising manager holds the greenshoe and the after-market bid, so this is a different question from the sponsor league: not who sold the deal, but who defended it. Averages are simple means. THE DAY-1 BLOCK splits the session the manager actually defended: 'open vs issue' is the pop (where it opened against the price the bank sold at), 'close vs issue' is the day-1 return, and 'open→close' is whether that open was HELD or given back — a negative there with a positive close means the bank spent the day supporting a fading stock. Ex-pop legs strip the pop (day-1 close→1w/1m/3m). Hit = share closing day-1 above offer. Shoe full/lapsed = of the deals whose outcome is known — a shoe exercised in full never needed support; a lapsed one was bought back in. READ THIS AS DEAL MIX, NOT A SKILL RANKING: the banks at the bottom lead the large international deals — bigger books, institutionally priced, less left on the table — while the top of the table sits on smaller HK retail-driven offerings where pops are structurally larger. A low median means 'defended a tightly-priced deal', not 'defended it badly'; compare a bank against deals of its own size and regime.</t>
        </is>
      </c>
    </row>
    <row r="3">
      <c r="D3" s="14" t="inlineStr">
        <is>
          <t>DAY 1 — the session the manager actually defended</t>
        </is>
      </c>
      <c r="H3" s="14" t="inlineStr">
        <is>
          <t>WITH POP — vs offer</t>
        </is>
      </c>
      <c r="K3" s="14" t="inlineStr">
        <is>
          <t>EX-POP — from day-1 close</t>
        </is>
      </c>
      <c r="N3" s="14" t="inlineStr">
        <is>
          <t>SHOE OUTCOME</t>
        </is>
      </c>
    </row>
    <row r="4">
      <c r="A4" s="12" t="inlineStr">
        <is>
          <t>Stabilising manager</t>
        </is>
      </c>
      <c r="B4" s="12" t="inlineStr">
        <is>
          <t>Deals</t>
        </is>
      </c>
      <c r="C4" s="12" t="inlineStr">
        <is>
          <t>Day-1 hit</t>
        </is>
      </c>
      <c r="D4" s="12" t="inlineStr">
        <is>
          <t>Day-1 open vs issue</t>
        </is>
      </c>
      <c r="E4" s="12" t="inlineStr">
        <is>
          <t>Day-1 close vs issue</t>
        </is>
      </c>
      <c r="F4" s="12" t="inlineStr">
        <is>
          <t>Day-1 open→close</t>
        </is>
      </c>
      <c r="G4" s="12" t="inlineStr">
        <is>
          <t>Day-1 known</t>
        </is>
      </c>
      <c r="H4" s="12" t="inlineStr">
        <is>
          <t>Avg 1w</t>
        </is>
      </c>
      <c r="I4" s="12" t="inlineStr">
        <is>
          <t>Avg 1m</t>
        </is>
      </c>
      <c r="J4" s="12" t="inlineStr">
        <is>
          <t>Avg 3m</t>
        </is>
      </c>
      <c r="K4" s="12" t="inlineStr">
        <is>
          <t>Avg 1w ex-pop</t>
        </is>
      </c>
      <c r="L4" s="12" t="inlineStr">
        <is>
          <t>Avg 1m ex-pop</t>
        </is>
      </c>
      <c r="M4" s="12" t="inlineStr">
        <is>
          <t>Avg 3m ex-pop</t>
        </is>
      </c>
      <c r="N4" s="12" t="inlineStr">
        <is>
          <t>Shoe full %</t>
        </is>
      </c>
      <c r="O4" s="12" t="inlineStr">
        <is>
          <t>Shoe lapsed %</t>
        </is>
      </c>
      <c r="P4" s="12" t="inlineStr">
        <is>
          <t>Outcome known</t>
        </is>
      </c>
      <c r="Q4" s="12" t="inlineStr">
        <is>
          <t>Avg deal size (HK$m)</t>
        </is>
      </c>
      <c r="R4" s="12" t="inlineStr">
        <is>
          <t>Their deals (code · name)</t>
        </is>
      </c>
    </row>
    <row r="5">
      <c r="A5" s="16" t="inlineStr">
        <is>
          <t>China International Capital Corporation Hong Kong Securities Limited</t>
        </is>
      </c>
      <c r="B5" s="89" t="n">
        <v>91</v>
      </c>
      <c r="C5" s="94" t="n">
        <v>60</v>
      </c>
      <c r="D5" s="95" t="n">
        <v>24.9</v>
      </c>
      <c r="E5" s="95" t="n">
        <v>29.1</v>
      </c>
      <c r="F5" s="95" t="n">
        <v>2.6</v>
      </c>
      <c r="G5" s="89" t="n">
        <v>91</v>
      </c>
      <c r="H5" s="95" t="n">
        <v>32.4</v>
      </c>
      <c r="I5" s="95" t="n">
        <v>35.9</v>
      </c>
      <c r="J5" s="95" t="n">
        <v>48.3</v>
      </c>
      <c r="K5" s="95" t="n">
        <v>2.5</v>
      </c>
      <c r="L5" s="95" t="n">
        <v>5.7</v>
      </c>
      <c r="M5" s="95" t="n">
        <v>17.5</v>
      </c>
      <c r="N5" s="94" t="n">
        <v>24</v>
      </c>
      <c r="O5" s="94" t="n">
        <v>39</v>
      </c>
      <c r="P5" s="89" t="n">
        <v>71</v>
      </c>
      <c r="Q5" s="97" t="n">
        <v>2610.8</v>
      </c>
      <c r="R5" s="96" t="inlineStr">
        <is>
          <t>2177 UNQ HOLDINGS; 9869 HELENS; 2210 BEIJING JIAYE; 9699 SF INTRA-CITY; 6633 QINGCI GAMES; 2257 SIRNAOMICS-B; 0020 SENSETIME-W; 9878 HUITONGDA NET; 2157 LEPU BIO-B; 2167 TI CLOUD; 2172 MICROPORT NEURO; 1880 CTG DUTY-FREE; 9886 DINGDANG HEALTH; 9877 JENSCARE-B; 2291 SCIENTECH; 2245 LYGEND RESOURCE; 2145 CHICMAX; 2425 AUSTASIA GROUP; 2469 FENBI; 9636 JF WEALTH; 2480 LUZHU BIOTECH-B; 2416 EDIANYUN; 2487 CUTIA-B; 9885 YSB; 3650 KEEP; 9890 ZX INC; 6682 FOURTH PARADIGM; 2517 GUOQUAN; 2149 BATELAB; 2598 LIANLIAN; 2555 CHABAIDAO; 2438 MOBVOI; 2559 DIDA INC; 2495 VOICECOMM; 2507 CIRRUS; 2533 BLACK SESAME; 0300 MIDEA GROUP; 2570 REFIRE; 1318 MAO GEPING; 2577 INNOSCIENCE; 6681 BRAINAURORA-B; 3677 ZENERGY; 1333 BRETON; 2621 SHOUHUI GROUP; 3288 HAITIAN FLAV; 2050 SANHUA; 9678 UNISOUND; 2631 SICC; 3858 JIAXIN INTL RES; 2580 AUX ELECTRIC; 2525 HESAI-W; 9973 CHERY AUTO; 2889 PATEO; 6687 JST GROUP; 2718 MININGLAMP-W; 9927 SERES; 0699 JOYSON ELEC; 2698 SOFTCARE; 2788 CHUANGXIN IND; 2685 QUANTGROUP; 9609 HAIWEI ELEC; 2676 NOVOSENSE; 3881 CIDI; 2635 NUOBIKAN; 2661 QINGSONG HEALTH; 6651 51WORLD; 6082 BIREN TECH; 2513 KNOWLEDGE ATLAS; 0100 MINIMAX-WP; 6938 RIBOLIFE-B; 0501 OMNIVISION; 3200 HANS CNC; 0600 AXERA; 3355 FS.COM; 1021 HUAYAN ROBOTICS; 3296 HUAQIN; 1879 XIZHI TECH-P; 3310 VIEWTRIX TECH; 3388 CREALITY; 6675 SENASIC; 6106 SEER TECH; 2272 KEYTOP PARKING; 1956 WENGE AI; 3661 SG MICRO; 9630 CFMEE; 2697 TH MEDICAL-B; 0668 ANKER; 2667 TONGRENTANGCARE; 6880 MOMENTA-W; 3752 ROKAE ROBOTICS; 2249 NEXCHIP</t>
        </is>
      </c>
    </row>
    <row r="6">
      <c r="A6" s="16" t="inlineStr">
        <is>
          <t>Morgan Stanley Asia Limited</t>
        </is>
      </c>
      <c r="B6" s="89" t="n">
        <v>39</v>
      </c>
      <c r="C6" s="94" t="n">
        <v>62</v>
      </c>
      <c r="D6" s="95" t="n">
        <v>20.3</v>
      </c>
      <c r="E6" s="95" t="n">
        <v>19.7</v>
      </c>
      <c r="F6" s="95" t="n">
        <v>-0.1</v>
      </c>
      <c r="G6" s="89" t="n">
        <v>39</v>
      </c>
      <c r="H6" s="95" t="n">
        <v>22.9</v>
      </c>
      <c r="I6" s="95" t="n">
        <v>19.2</v>
      </c>
      <c r="J6" s="95" t="n">
        <v>27.1</v>
      </c>
      <c r="K6" s="95" t="n">
        <v>0.3</v>
      </c>
      <c r="L6" s="95" t="n">
        <v>-1.6</v>
      </c>
      <c r="M6" s="95" t="n">
        <v>2.4</v>
      </c>
      <c r="N6" s="94" t="n">
        <v>31</v>
      </c>
      <c r="O6" s="94" t="n">
        <v>40</v>
      </c>
      <c r="P6" s="89" t="n">
        <v>35</v>
      </c>
      <c r="Q6" s="97" t="n">
        <v>4848.1</v>
      </c>
      <c r="R6" s="96" t="inlineStr">
        <is>
          <t>1024 KUAISHOU-W; 6601 CHEERWIN GP; 9626 BILIBILI-SW; 0013 HUTCHMED; 2190 ZYLOXTB-B; 2162 KEYMED BIO-B; 2137 BRII - B; 6669 ACOTEC-B; 2256 ABBISKO-B; 2279 YONGHE MEDICAL; 6639 ARRAIL GROUP; 2179 RECBIO-B; 2391 TUYA-W; 9955 CLOUDR; 9696 TIANQI LITHIUM; 9857 LINMON MEDIA; 9985 WEILONG; 0314 SIPAI HEALTH; 2411 PAGODA GP; 2373 BEAUTYFARM MED; 9669 BEISEN HOLDING; 9860 ADICON HOLDINGS; 1541 IMMUNEONCO-B; 1519 J&amp;T EXPRESS-W; 2268 WUXI XDC; 2576 TAIMEI TECH; 2561 VISEN PHARMA-B; 9606 DUALITYBIO-B; 1276 HENGRUI PHARMA; 1828 FWD; 2590 GEEKPLUS-W; 9887 LEADS BIOLABS-B; 2259 ZIJIN GOLD INTL; 2579 CNGR; 3696 INSILICO; 2675 EDGE MEDICAL-B; 9980 EASTROC; 2714 MUYUAN; 6809 MONTAGE TECH</t>
        </is>
      </c>
    </row>
    <row r="7">
      <c r="A7" s="16" t="inlineStr">
        <is>
          <t>Goldman Sachs</t>
        </is>
      </c>
      <c r="B7" s="89" t="n">
        <v>32</v>
      </c>
      <c r="C7" s="94" t="n">
        <v>41</v>
      </c>
      <c r="D7" s="95" t="n">
        <v>13.8</v>
      </c>
      <c r="E7" s="95" t="n">
        <v>12.2</v>
      </c>
      <c r="F7" s="95" t="n">
        <v>-1.4</v>
      </c>
      <c r="G7" s="89" t="n">
        <v>32</v>
      </c>
      <c r="H7" s="95" t="n">
        <v>12.7</v>
      </c>
      <c r="I7" s="95" t="n">
        <v>12.9</v>
      </c>
      <c r="J7" s="95" t="n">
        <v>10.1</v>
      </c>
      <c r="K7" s="95" t="n">
        <v>0.1</v>
      </c>
      <c r="L7" s="95" t="n">
        <v>-0.2</v>
      </c>
      <c r="M7" s="95" t="n">
        <v>-0.2</v>
      </c>
      <c r="N7" s="94" t="n">
        <v>21</v>
      </c>
      <c r="O7" s="94" t="n">
        <v>32</v>
      </c>
      <c r="P7" s="89" t="n">
        <v>28</v>
      </c>
      <c r="Q7" s="97" t="n">
        <v>5695.1</v>
      </c>
      <c r="R7" s="96" t="inlineStr">
        <is>
          <t>2158 YIDU TECH; 9959 LINKLOGIS–W; 6622 ZHAOKE OPHTH-B; 6699 ANGELALIGN; 2171 CARSGEN-B; 2192 MEDLIVE; 9960 KINDSTAR GLOBAL; 2015 LI AUTO-W; 6609 HEARTCARE-B; 2216 BRONCUS-B; 6628 TRANSCENTA-B; 2235 MICROTECH MED-B; 9898 WB-SW; 6821 ASYMCHEM; 6686 NOAH HOLDINGS-S; 2315 BIOCYTOGEN-B; 2602 ONEWO; 6660 AIM VACCINE; 2367 GIANT BIOGENE; 6979 ZJLD; 6990 SKB BIO-B; 9690 TUHU-W; 9660 HORIZONROBOT-W; 0325 BLOKS; 1364 GUMING; 2648 ANJOY FOOD; 2026 PONY-W; 1768 BUSYMING; 7630 IMPACT THERAP-B; 2475 LUXSHARE ICT; 3308 ZJ INNOLIGHT; 0625 SHEIN-W</t>
        </is>
      </c>
    </row>
    <row r="8">
      <c r="A8" s="16" t="inlineStr">
        <is>
          <t>CLSA Limited</t>
        </is>
      </c>
      <c r="B8" s="89" t="n">
        <v>25</v>
      </c>
      <c r="C8" s="94" t="n">
        <v>72</v>
      </c>
      <c r="D8" s="95" t="n">
        <v>50.3</v>
      </c>
      <c r="E8" s="95" t="n">
        <v>42.6</v>
      </c>
      <c r="F8" s="95" t="n">
        <v>-4.2</v>
      </c>
      <c r="G8" s="89" t="n">
        <v>25</v>
      </c>
      <c r="H8" s="95" t="n">
        <v>37.6</v>
      </c>
      <c r="I8" s="95" t="n">
        <v>38.1</v>
      </c>
      <c r="J8" s="95" t="n">
        <v>94.2</v>
      </c>
      <c r="K8" s="95" t="n">
        <v>-3</v>
      </c>
      <c r="L8" s="95" t="n">
        <v>-1.7</v>
      </c>
      <c r="M8" s="95" t="n">
        <v>29.3</v>
      </c>
      <c r="N8" s="94" t="n">
        <v>44</v>
      </c>
      <c r="O8" s="94" t="n">
        <v>33</v>
      </c>
      <c r="P8" s="89" t="n">
        <v>18</v>
      </c>
      <c r="Q8" s="97" t="n">
        <v>1870.2</v>
      </c>
      <c r="R8" s="96" t="inlineStr">
        <is>
          <t>2170 BASECARE-B; 2228 QUANTUMPH-P; 2431 MINIEYE; 6693 CHIFENG GOLD; 2589 AUNTEA JENNY; 2617 TRANSTHERA-B; 6603 IFBH; 2591 INNOGEN-B; 2595 GENFLEET-B; 6090 BUTONG GROUP; 2670 YUNJI; 6031 SANY HEAVY IND; 2630 VIGONVITA-B; 2658 TIANYU SEMI; 2396 B&amp;K CORP-B; 2691 NANHUA FUTURES; 2657 FOREST CABIN; 6656 SIGENERGY; 3277 GPIXEL; 7666 METIS TECHBIO-P; 6872 TENNOR THERAP-B; 6132 HJ SCIENCE-B; 6228 MERDEKAGOLD-DRS; 1770 DKE; 9615 MECH-MIND ROBOT</t>
        </is>
      </c>
    </row>
    <row r="9">
      <c r="A9" s="16" t="inlineStr">
        <is>
          <t>Huatai Financial Holdings</t>
        </is>
      </c>
      <c r="B9" s="89" t="n">
        <v>18</v>
      </c>
      <c r="C9" s="94" t="n">
        <v>33</v>
      </c>
      <c r="D9" s="95" t="n">
        <v>2.1</v>
      </c>
      <c r="E9" s="95" t="n">
        <v>-1</v>
      </c>
      <c r="F9" s="95" t="n">
        <v>-2.2</v>
      </c>
      <c r="G9" s="89" t="n">
        <v>18</v>
      </c>
      <c r="H9" s="95" t="n">
        <v>-1.3</v>
      </c>
      <c r="I9" s="95" t="n">
        <v>-11.6</v>
      </c>
      <c r="J9" s="95" t="n">
        <v>0.3</v>
      </c>
      <c r="K9" s="95" t="n">
        <v>-1.7</v>
      </c>
      <c r="L9" s="95" t="n">
        <v>-10.3</v>
      </c>
      <c r="M9" s="95" t="n">
        <v>2.4</v>
      </c>
      <c r="N9" s="94" t="n">
        <v>7</v>
      </c>
      <c r="O9" s="94" t="n">
        <v>67</v>
      </c>
      <c r="P9" s="89" t="n">
        <v>15</v>
      </c>
      <c r="Q9" s="97" t="n">
        <v>2345.8</v>
      </c>
      <c r="R9" s="96" t="inlineStr">
        <is>
          <t>2146 ROISERV; 2185 BIOHEART-B; 2297 RAINMED-B; 3931 CALB; 6963 SUNSHINE INS; 9930 HORIZON CD; 2271 ZHONGAN SERVICE; 1973 TIAN TU CAPITAL; 2519 AUGROUP; 2566 JIUYUAN GENE; 2506 XUNFEIHEALTH; 2610 NANSHAN AL INTL; 2865 DRINDA; 3636 JINXUN RESOURCE; 3986 GIGADEVICE; 2715 ESTUN; 1081 DAJIN; 1191 CREALIGHTS</t>
        </is>
      </c>
    </row>
    <row r="10">
      <c r="A10" s="16" t="inlineStr">
        <is>
          <t>Guotai Junan Securities</t>
        </is>
      </c>
      <c r="B10" s="89" t="n">
        <v>13</v>
      </c>
      <c r="C10" s="94" t="n">
        <v>54</v>
      </c>
      <c r="D10" s="95" t="n">
        <v>5.2</v>
      </c>
      <c r="E10" s="95" t="n">
        <v>8.9</v>
      </c>
      <c r="F10" s="95" t="n">
        <v>2.9</v>
      </c>
      <c r="G10" s="89" t="n">
        <v>13</v>
      </c>
      <c r="H10" s="95" t="n">
        <v>9.199999999999999</v>
      </c>
      <c r="I10" s="95" t="n">
        <v>14.1</v>
      </c>
      <c r="J10" s="95" t="n">
        <v>60.8</v>
      </c>
      <c r="K10" s="95" t="n">
        <v>1.2</v>
      </c>
      <c r="L10" s="95" t="n">
        <v>6.5</v>
      </c>
      <c r="M10" s="95" t="n">
        <v>54</v>
      </c>
      <c r="N10" s="94" t="n">
        <v>9</v>
      </c>
      <c r="O10" s="94" t="n">
        <v>36</v>
      </c>
      <c r="P10" s="89" t="n">
        <v>11</v>
      </c>
      <c r="Q10" s="97" t="n">
        <v>1262</v>
      </c>
      <c r="R10" s="96" t="inlineStr">
        <is>
          <t>2175 CH GENERAL EDU; 1948 UJU HOLDING; 2276 CONANT OPTICAL; 2352 DOWELL SERVICE; 2481 WISE LIVING TEC; 9880 UBTECH ROBOTICS; 2536 PALASINO; 2465 LOPAL TECH; 2432 DOBOT; 6166 CIG; 3317 XUNCE; 7688 TOPNC; 3223 INGENIC</t>
        </is>
      </c>
    </row>
    <row r="11">
      <c r="A11" s="16" t="inlineStr">
        <is>
          <t>China Securities</t>
        </is>
      </c>
      <c r="B11" s="89" t="n">
        <v>12</v>
      </c>
      <c r="C11" s="94" t="n">
        <v>50</v>
      </c>
      <c r="D11" s="95" t="n">
        <v>8.199999999999999</v>
      </c>
      <c r="E11" s="95" t="n">
        <v>18.3</v>
      </c>
      <c r="F11" s="95" t="n">
        <v>8.199999999999999</v>
      </c>
      <c r="G11" s="89" t="n">
        <v>12</v>
      </c>
      <c r="H11" s="95" t="n">
        <v>16.8</v>
      </c>
      <c r="I11" s="95" t="n">
        <v>23.5</v>
      </c>
      <c r="J11" s="95" t="n">
        <v>49.3</v>
      </c>
      <c r="K11" s="95" t="n">
        <v>-1.7</v>
      </c>
      <c r="L11" s="95" t="n">
        <v>-0.9</v>
      </c>
      <c r="M11" s="95" t="n">
        <v>13.9</v>
      </c>
      <c r="N11" s="94" t="n">
        <v>20</v>
      </c>
      <c r="O11" s="94" t="n">
        <v>20</v>
      </c>
      <c r="P11" s="89" t="n">
        <v>10</v>
      </c>
      <c r="Q11" s="97" t="n">
        <v>485.5</v>
      </c>
      <c r="R11" s="96" t="inlineStr">
        <is>
          <t>2125 STRAWBEAR ENT; 6667 MEGA GENOMICS; 2385 READBOY; 2418 DEEWIN; 1244 3D MEDICINES-B; 6698 STAR CM; 2306 YH ENT; 2496 YZYBIO-B; 6181 LAOPU GOLD; 2560 CONCH MAT TECH; 2543 DAHON TECH; 2649 ALSCO POOLING</t>
        </is>
      </c>
    </row>
    <row r="12">
      <c r="A12" s="16" t="inlineStr">
        <is>
          <t>Haitong International Securities Company Limited</t>
        </is>
      </c>
      <c r="B12" s="89" t="n">
        <v>11</v>
      </c>
      <c r="C12" s="94" t="n">
        <v>82</v>
      </c>
      <c r="D12" s="95" t="n">
        <v>24</v>
      </c>
      <c r="E12" s="95" t="n">
        <v>24</v>
      </c>
      <c r="F12" s="95" t="n">
        <v>1.2</v>
      </c>
      <c r="G12" s="89" t="n">
        <v>11</v>
      </c>
      <c r="H12" s="95" t="n">
        <v>12.4</v>
      </c>
      <c r="I12" s="95" t="n">
        <v>5.4</v>
      </c>
      <c r="J12" s="95" t="n">
        <v>4.1</v>
      </c>
      <c r="K12" s="95" t="n">
        <v>-6.2</v>
      </c>
      <c r="L12" s="95" t="n">
        <v>-8.9</v>
      </c>
      <c r="M12" s="95" t="n">
        <v>-10</v>
      </c>
      <c r="N12" s="94" t="n">
        <v>12</v>
      </c>
      <c r="O12" s="94" t="n">
        <v>62</v>
      </c>
      <c r="P12" s="89" t="n">
        <v>8</v>
      </c>
      <c r="Q12" s="97" t="n">
        <v>677</v>
      </c>
      <c r="R12" s="96" t="inlineStr">
        <is>
          <t>2219 CHAOJU EYE CARE; 1965 LANDSEA LIFE; 2436 LX TECHNOLOGY; 2482 LOGORY; 2499 FOLANGSI; 2502 JINYUAN HCHEM; 6657 BAIWANG CO; 2651 DAZHONG DENTAL; 1236 LDROBOT; 7687 EACON; 2261 NASN TECH</t>
        </is>
      </c>
    </row>
    <row r="13">
      <c r="A13" s="16" t="inlineStr">
        <is>
          <t>J.P. Morgan Securities</t>
        </is>
      </c>
      <c r="B13" s="89" t="n">
        <v>10</v>
      </c>
      <c r="C13" s="94" t="n">
        <v>20</v>
      </c>
      <c r="D13" s="95" t="n">
        <v>21.3</v>
      </c>
      <c r="E13" s="95" t="n">
        <v>14.5</v>
      </c>
      <c r="F13" s="95" t="n">
        <v>-5.1</v>
      </c>
      <c r="G13" s="89" t="n">
        <v>10</v>
      </c>
      <c r="H13" s="95" t="n">
        <v>22.2</v>
      </c>
      <c r="I13" s="95" t="n">
        <v>9.800000000000001</v>
      </c>
      <c r="J13" s="95" t="n">
        <v>-6.9</v>
      </c>
      <c r="K13" s="95" t="n">
        <v>-0.5</v>
      </c>
      <c r="L13" s="95" t="n">
        <v>-7</v>
      </c>
      <c r="M13" s="95" t="n">
        <v>-13.1</v>
      </c>
      <c r="N13" s="94" t="n">
        <v>11</v>
      </c>
      <c r="O13" s="94" t="n">
        <v>33</v>
      </c>
      <c r="P13" s="89" t="n">
        <v>9</v>
      </c>
      <c r="Q13" s="97" t="n">
        <v>6089</v>
      </c>
      <c r="R13" s="96" t="inlineStr">
        <is>
          <t>2150 NAYUKI; 9868 XPENG-W; 9863 LEAPMOTOR; 2498 ROBOSENSE; 2510 TS LINES; 6936 SF HOLDING; 3887 HASHKEY HLDGS; 0470 WUXI LEAD; 0068 MANYCORE TECH; 2476 VGT</t>
        </is>
      </c>
    </row>
    <row r="14">
      <c r="A14" s="16" t="inlineStr">
        <is>
          <t>CMB International Global Markets Limited</t>
        </is>
      </c>
      <c r="B14" s="89" t="n">
        <v>8</v>
      </c>
      <c r="C14" s="94" t="n">
        <v>50</v>
      </c>
      <c r="D14" s="95" t="n">
        <v>4.1</v>
      </c>
      <c r="E14" s="95" t="n">
        <v>5.8</v>
      </c>
      <c r="F14" s="95" t="n">
        <v>-0.2</v>
      </c>
      <c r="G14" s="89" t="n">
        <v>8</v>
      </c>
      <c r="H14" s="95" t="n">
        <v>-2.3</v>
      </c>
      <c r="I14" s="95" t="n">
        <v>2.3</v>
      </c>
      <c r="J14" s="95" t="n">
        <v>8</v>
      </c>
      <c r="K14" s="95" t="n">
        <v>-3.4</v>
      </c>
      <c r="L14" s="95" t="n">
        <v>-3.7</v>
      </c>
      <c r="M14" s="95" t="n">
        <v>0.5</v>
      </c>
      <c r="N14" s="94" t="n">
        <v>12</v>
      </c>
      <c r="O14" s="94" t="n">
        <v>62</v>
      </c>
      <c r="P14" s="89" t="n">
        <v>8</v>
      </c>
      <c r="Q14" s="97" t="n">
        <v>740.3</v>
      </c>
      <c r="R14" s="96" t="inlineStr">
        <is>
          <t>2325 YUNKANG GROUP; 2392 XUANWU CLOUD; 2505 EDA GROUP HLDGS; 2549 CAROTE LTD; 6831 GREEN TEA GROUP; 2408 XIAO NOODLES; 0664 TONGSHIFU; 3952 LAIFUAL</t>
        </is>
      </c>
    </row>
    <row r="15">
      <c r="A15" s="16" t="inlineStr">
        <is>
          <t>Merrill Lynch</t>
        </is>
      </c>
      <c r="B15" s="89" t="n">
        <v>8</v>
      </c>
      <c r="C15" s="94" t="n">
        <v>25</v>
      </c>
      <c r="D15" s="95" t="n">
        <v>5.9</v>
      </c>
      <c r="E15" s="95" t="n">
        <v>5.1</v>
      </c>
      <c r="F15" s="95" t="n">
        <v>-0.7</v>
      </c>
      <c r="G15" s="89" t="n">
        <v>8</v>
      </c>
      <c r="H15" s="95" t="n">
        <v>12</v>
      </c>
      <c r="I15" s="95" t="n">
        <v>14.6</v>
      </c>
      <c r="J15" s="95" t="n">
        <v>3.4</v>
      </c>
      <c r="K15" s="95" t="n">
        <v>4.9</v>
      </c>
      <c r="L15" s="95" t="n">
        <v>7</v>
      </c>
      <c r="M15" s="95" t="n">
        <v>-7</v>
      </c>
      <c r="N15" s="94" t="n">
        <v>17</v>
      </c>
      <c r="O15" s="94" t="n">
        <v>33</v>
      </c>
      <c r="P15" s="89" t="n">
        <v>6</v>
      </c>
      <c r="Q15" s="97" t="n">
        <v>7514</v>
      </c>
      <c r="R15" s="96" t="inlineStr">
        <is>
          <t>9888 BIDU-SW; 2618 JD LOGISTICS; 9899 CLOUD VILLAGE; 2273 GUSHENGTANG; 9896 MNSO; 1405 DPC DASH; 2097 MIXUE GROUP; 7618 JD INDUSTRIALS</t>
        </is>
      </c>
    </row>
    <row r="16">
      <c r="A16" s="16" t="inlineStr">
        <is>
          <t>UBS AG Hong Kong Branch</t>
        </is>
      </c>
      <c r="B16" s="89" t="n">
        <v>8</v>
      </c>
      <c r="C16" s="94" t="n">
        <v>50</v>
      </c>
      <c r="D16" s="95" t="n">
        <v>2.9</v>
      </c>
      <c r="E16" s="95" t="n">
        <v>-3.9</v>
      </c>
      <c r="F16" s="95" t="n">
        <v>-8.4</v>
      </c>
      <c r="G16" s="89" t="n">
        <v>8</v>
      </c>
      <c r="H16" s="95" t="n">
        <v>-19</v>
      </c>
      <c r="I16" s="95" t="n">
        <v>-25.2</v>
      </c>
      <c r="J16" s="95" t="n">
        <v>-18.2</v>
      </c>
      <c r="K16" s="95" t="n">
        <v>-18.8</v>
      </c>
      <c r="L16" s="95" t="n">
        <v>-26.5</v>
      </c>
      <c r="M16" s="95" t="n">
        <v>-15</v>
      </c>
      <c r="N16" s="94" t="n">
        <v>0</v>
      </c>
      <c r="O16" s="94" t="n">
        <v>60</v>
      </c>
      <c r="P16" s="89" t="n">
        <v>5</v>
      </c>
      <c r="Q16" s="97" t="n">
        <v>1406</v>
      </c>
      <c r="R16" s="96" t="inlineStr">
        <is>
          <t>0606 SCE CM; 2121 AINNOVATION; 2246 GOGOX; 6955 BOAN BIOTECH-B; 2460 CR BEVERAGE; 2586 DMALL; 0999 XIAOCAIYUAN; 2508 SAINT BELLA</t>
        </is>
      </c>
    </row>
    <row r="17">
      <c r="A17" s="16" t="inlineStr">
        <is>
          <t>CMBC Securities Company Limited</t>
        </is>
      </c>
      <c r="B17" s="89" t="n">
        <v>7</v>
      </c>
      <c r="C17" s="94" t="n">
        <v>86</v>
      </c>
      <c r="D17" s="95" t="n">
        <v>89.3</v>
      </c>
      <c r="E17" s="95" t="n">
        <v>90.5</v>
      </c>
      <c r="F17" s="95" t="n">
        <v>-3.4</v>
      </c>
      <c r="G17" s="89" t="n">
        <v>7</v>
      </c>
      <c r="H17" s="95" t="n">
        <v>83.09999999999999</v>
      </c>
      <c r="I17" s="95" t="n">
        <v>81.3</v>
      </c>
      <c r="J17" s="95" t="n">
        <v>32.7</v>
      </c>
      <c r="K17" s="95" t="n">
        <v>-2.6</v>
      </c>
      <c r="L17" s="95" t="n">
        <v>-5</v>
      </c>
      <c r="M17" s="95" t="n">
        <v>-8</v>
      </c>
      <c r="N17" s="94" t="n">
        <v>20</v>
      </c>
      <c r="O17" s="94" t="n">
        <v>60</v>
      </c>
      <c r="P17" s="89" t="n">
        <v>5</v>
      </c>
      <c r="Q17" s="97" t="n">
        <v>204.9</v>
      </c>
      <c r="R17" s="96" t="inlineStr">
        <is>
          <t>6939 MEGAIN; 2260 VANOV HOLDINGS; 2347 YOHO GROUP; 2422 REGO INTERACT; 2433 ZT HN GROUP; 2573 NEWTREND GROUP; 2672 BAIGE DIGITAL</t>
        </is>
      </c>
    </row>
    <row r="18">
      <c r="A18" s="16" t="inlineStr">
        <is>
          <t>CCB International Capital Limited</t>
        </is>
      </c>
      <c r="B18" s="89" t="n">
        <v>7</v>
      </c>
      <c r="C18" s="94" t="n">
        <v>43</v>
      </c>
      <c r="D18" s="95" t="n">
        <v>17.9</v>
      </c>
      <c r="E18" s="95" t="n">
        <v>15.2</v>
      </c>
      <c r="F18" s="95" t="n">
        <v>-2.9</v>
      </c>
      <c r="G18" s="89" t="n">
        <v>7</v>
      </c>
      <c r="H18" s="95" t="n">
        <v>14.3</v>
      </c>
      <c r="I18" s="95" t="n">
        <v>11.3</v>
      </c>
      <c r="J18" s="95" t="n">
        <v>4</v>
      </c>
      <c r="K18" s="95" t="n">
        <v>-0.5</v>
      </c>
      <c r="L18" s="95" t="n">
        <v>-2.7</v>
      </c>
      <c r="M18" s="95" t="n">
        <v>3.4</v>
      </c>
      <c r="N18" s="94" t="n">
        <v>0</v>
      </c>
      <c r="O18" s="94" t="n">
        <v>33</v>
      </c>
      <c r="P18" s="89" t="n">
        <v>6</v>
      </c>
      <c r="Q18" s="97" t="n">
        <v>898.7</v>
      </c>
      <c r="R18" s="96" t="inlineStr">
        <is>
          <t>6668 E-STAR CM; 2165 LING YUE SER GP; 2215 DEXIN SER GROUP; 2205 KANGQIAO SER; 6611 SANXUN GROUP; 2596 YIBIN BANK; 2335 MICOT PHARMA-B</t>
        </is>
      </c>
    </row>
    <row r="19">
      <c r="A19" s="16" t="inlineStr">
        <is>
          <t>Shenwan Hongyuan Securities</t>
        </is>
      </c>
      <c r="B19" s="89" t="n">
        <v>5</v>
      </c>
      <c r="C19" s="94" t="n">
        <v>40</v>
      </c>
      <c r="D19" s="95" t="n">
        <v>59.7</v>
      </c>
      <c r="E19" s="95" t="n">
        <v>52.7</v>
      </c>
      <c r="F19" s="95" t="n">
        <v>-8.4</v>
      </c>
      <c r="G19" s="89" t="n">
        <v>5</v>
      </c>
      <c r="H19" s="95" t="n">
        <v>51.6</v>
      </c>
      <c r="I19" s="95" t="n">
        <v>77.5</v>
      </c>
      <c r="J19" s="95" t="n">
        <v>122</v>
      </c>
      <c r="K19" s="95" t="n">
        <v>1.5</v>
      </c>
      <c r="L19" s="95" t="n">
        <v>15.6</v>
      </c>
      <c r="M19" s="95" t="n">
        <v>33.4</v>
      </c>
      <c r="N19" s="94" t="n">
        <v>0</v>
      </c>
      <c r="O19" s="94" t="n">
        <v>75</v>
      </c>
      <c r="P19" s="89" t="n">
        <v>4</v>
      </c>
      <c r="Q19" s="97" t="n">
        <v>401.2</v>
      </c>
      <c r="R19" s="96" t="inlineStr">
        <is>
          <t>2270 DESUN SERVICES; 6610 FLOWING CLOUD; 2567 QINIU; 2656 160 HEALTH; 2650 ZHIDA TECH</t>
        </is>
      </c>
    </row>
    <row r="20">
      <c r="A20" s="16" t="inlineStr">
        <is>
          <t>Yue Xiu Securities Company Limited</t>
        </is>
      </c>
      <c r="B20" s="89" t="n">
        <v>5</v>
      </c>
      <c r="C20" s="94" t="n">
        <v>80</v>
      </c>
      <c r="D20" s="95" t="n">
        <v>31.4</v>
      </c>
      <c r="E20" s="95" t="n">
        <v>25.8</v>
      </c>
      <c r="F20" s="95" t="n">
        <v>1</v>
      </c>
      <c r="G20" s="89" t="n">
        <v>5</v>
      </c>
      <c r="H20" s="95" t="n">
        <v>31.4</v>
      </c>
      <c r="I20" s="95" t="n">
        <v>51.5</v>
      </c>
      <c r="J20" s="95" t="n">
        <v>43.2</v>
      </c>
      <c r="K20" s="95" t="n">
        <v>3.7</v>
      </c>
      <c r="L20" s="95" t="n">
        <v>18.5</v>
      </c>
      <c r="M20" s="95" t="n">
        <v>11.7</v>
      </c>
      <c r="N20" s="94" t="n">
        <v>0</v>
      </c>
      <c r="O20" s="94" t="n">
        <v>75</v>
      </c>
      <c r="P20" s="89" t="n">
        <v>4</v>
      </c>
      <c r="Q20" s="97" t="n">
        <v>595</v>
      </c>
      <c r="R20" s="96" t="inlineStr">
        <is>
          <t>6626 YUEXIU SERVICES; 2459 SANERGY GROUP; 2569 SOFT INTL; 9881 RONGTA TECH; 2553 SHOUGANG LANZA</t>
        </is>
      </c>
    </row>
    <row r="21">
      <c r="A21" s="16" t="inlineStr">
        <is>
          <t>Sinolink Securities</t>
        </is>
      </c>
      <c r="B21" s="89" t="n">
        <v>4</v>
      </c>
      <c r="C21" s="94" t="n">
        <v>75</v>
      </c>
      <c r="D21" s="95" t="n">
        <v>37.7</v>
      </c>
      <c r="E21" s="95" t="n">
        <v>72.3</v>
      </c>
      <c r="F21" s="95" t="n">
        <v>15.8</v>
      </c>
      <c r="G21" s="89" t="n">
        <v>4</v>
      </c>
      <c r="H21" s="95" t="n">
        <v>131.2</v>
      </c>
      <c r="I21" s="95" t="n">
        <v>90.2</v>
      </c>
      <c r="J21" s="95" t="n">
        <v>129.5</v>
      </c>
      <c r="K21" s="95" t="n">
        <v>21.2</v>
      </c>
      <c r="L21" s="95" t="n">
        <v>11.5</v>
      </c>
      <c r="M21" s="95" t="n">
        <v>-6.9</v>
      </c>
      <c r="N21" s="94" t="n">
        <v>67</v>
      </c>
      <c r="O21" s="94" t="n">
        <v>33</v>
      </c>
      <c r="P21" s="89" t="n">
        <v>3</v>
      </c>
      <c r="Q21" s="97" t="n">
        <v>761.1</v>
      </c>
      <c r="R21" s="96" t="inlineStr">
        <is>
          <t>2155 MORIMATSU INTL; 2619 XJ ELECTRICS; 1779 LONGBIO-B; 9971 BASICSEMI</t>
        </is>
      </c>
    </row>
    <row r="22">
      <c r="A22" s="16" t="inlineStr">
        <is>
          <t>ABCI Securities Company Limited</t>
        </is>
      </c>
      <c r="B22" s="89" t="n">
        <v>4</v>
      </c>
      <c r="C22" s="94" t="n">
        <v>75</v>
      </c>
      <c r="D22" s="95" t="n">
        <v>8.699999999999999</v>
      </c>
      <c r="E22" s="95" t="n">
        <v>6.8</v>
      </c>
      <c r="F22" s="95" t="n">
        <v>-1.6</v>
      </c>
      <c r="G22" s="89" t="n">
        <v>4</v>
      </c>
      <c r="H22" s="95" t="n">
        <v>16.9</v>
      </c>
      <c r="I22" s="95" t="n">
        <v>11.4</v>
      </c>
      <c r="J22" s="95" t="n">
        <v>31.1</v>
      </c>
      <c r="K22" s="95" t="n">
        <v>5.6</v>
      </c>
      <c r="L22" s="95" t="n">
        <v>-1.4</v>
      </c>
      <c r="M22" s="95" t="n">
        <v>14.1</v>
      </c>
      <c r="N22" s="94" t="n">
        <v>25</v>
      </c>
      <c r="O22" s="94" t="n">
        <v>75</v>
      </c>
      <c r="P22" s="89" t="n">
        <v>4</v>
      </c>
      <c r="Q22" s="97" t="n">
        <v>2383.8</v>
      </c>
      <c r="R22" s="96" t="inlineStr">
        <is>
          <t>1490 CHESHI; 9889 DRCB; 2370 REDCO HEALTHY; 2376 LUSHANGSERVICES</t>
        </is>
      </c>
    </row>
    <row r="23">
      <c r="A23" s="16" t="inlineStr">
        <is>
          <t>Zhongtai International Securities Limited</t>
        </is>
      </c>
      <c r="B23" s="89" t="n">
        <v>4</v>
      </c>
      <c r="C23" s="94" t="n">
        <v>25</v>
      </c>
      <c r="D23" s="95" t="n">
        <v>0.2</v>
      </c>
      <c r="E23" s="95" t="n">
        <v>-21.2</v>
      </c>
      <c r="F23" s="95" t="n">
        <v>-19.2</v>
      </c>
      <c r="G23" s="89" t="n">
        <v>4</v>
      </c>
      <c r="H23" s="95" t="n">
        <v>-18</v>
      </c>
      <c r="I23" s="95" t="n">
        <v>-29.7</v>
      </c>
      <c r="J23" s="95" t="n">
        <v>-31.9</v>
      </c>
      <c r="K23" s="95" t="n">
        <v>6.9</v>
      </c>
      <c r="L23" s="95" t="n">
        <v>-3.5</v>
      </c>
      <c r="M23" s="95" t="n">
        <v>-7.3</v>
      </c>
      <c r="N23" s="94" t="n">
        <v>0</v>
      </c>
      <c r="O23" s="94" t="n">
        <v>100</v>
      </c>
      <c r="P23" s="89" t="n">
        <v>4</v>
      </c>
      <c r="Q23" s="97" t="n">
        <v>243.7</v>
      </c>
      <c r="R23" s="96" t="inlineStr">
        <is>
          <t>6696 MANY IDEA CLOUD; 2457 BUYANG INTL; 2455 RUNHUA SERVICE; 2409 SEACON</t>
        </is>
      </c>
    </row>
    <row r="24">
      <c r="A24" s="16" t="inlineStr">
        <is>
          <t>China Tonghai Securities Limited</t>
        </is>
      </c>
      <c r="B24" s="89" t="n">
        <v>3</v>
      </c>
      <c r="C24" s="94" t="n">
        <v>100</v>
      </c>
      <c r="D24" s="95" t="n">
        <v>9.699999999999999</v>
      </c>
      <c r="E24" s="95" t="n">
        <v>8.5</v>
      </c>
      <c r="F24" s="95" t="n">
        <v>-0.4</v>
      </c>
      <c r="G24" s="89" t="n">
        <v>3</v>
      </c>
      <c r="H24" s="95" t="n">
        <v>3.3</v>
      </c>
      <c r="I24" s="95" t="n">
        <v>4.4</v>
      </c>
      <c r="J24" s="95" t="n">
        <v>-0.1</v>
      </c>
      <c r="K24" s="95" t="n">
        <v>-4.9</v>
      </c>
      <c r="L24" s="95" t="n">
        <v>-3.9</v>
      </c>
      <c r="M24" s="95" t="n">
        <v>-7.6</v>
      </c>
      <c r="N24" s="94" t="n">
        <v>0</v>
      </c>
      <c r="O24" s="94" t="n">
        <v>100</v>
      </c>
      <c r="P24" s="89" t="n">
        <v>2</v>
      </c>
      <c r="Q24" s="97" t="n">
        <v>132.5</v>
      </c>
      <c r="R24" s="96" t="inlineStr">
        <is>
          <t>1855 ZONBONG ENVIRO; 1204 BOARDWARE INTEL; 1489 GC CONSTRUCTION</t>
        </is>
      </c>
    </row>
    <row r="25">
      <c r="A25" s="16" t="inlineStr">
        <is>
          <t>BOCOM International Securities</t>
        </is>
      </c>
      <c r="B25" s="89" t="n">
        <v>3</v>
      </c>
      <c r="C25" s="94" t="n">
        <v>33</v>
      </c>
      <c r="D25" s="95" t="n">
        <v>24.4</v>
      </c>
      <c r="E25" s="95" t="n">
        <v>6.5</v>
      </c>
      <c r="F25" s="95" t="n">
        <v>-10.2</v>
      </c>
      <c r="G25" s="89" t="n">
        <v>3</v>
      </c>
      <c r="H25" s="95" t="n">
        <v>3.8</v>
      </c>
      <c r="I25" s="95" t="n">
        <v>-16.8</v>
      </c>
      <c r="J25" s="95" t="n">
        <v>-19.4</v>
      </c>
      <c r="K25" s="95" t="n">
        <v>-1.5</v>
      </c>
      <c r="L25" s="95" t="n">
        <v>-20.5</v>
      </c>
      <c r="M25" s="95" t="n">
        <v>-22.2</v>
      </c>
      <c r="N25" s="94" t="n">
        <v>0</v>
      </c>
      <c r="O25" s="94" t="n">
        <v>33</v>
      </c>
      <c r="P25" s="89" t="n">
        <v>3</v>
      </c>
      <c r="Q25" s="97" t="n">
        <v>206.6</v>
      </c>
      <c r="R25" s="96" t="inlineStr">
        <is>
          <t>6661 HUZHOU GAS; 2152 SUXIN SERVICES; 2881 WUHAN YOUJI</t>
        </is>
      </c>
    </row>
    <row r="26">
      <c r="A26" s="16" t="inlineStr">
        <is>
          <t>GF Securities</t>
        </is>
      </c>
      <c r="B26" s="89" t="n">
        <v>3</v>
      </c>
      <c r="C26" s="94" t="n">
        <v>33</v>
      </c>
      <c r="D26" s="95" t="n">
        <v>-0.9</v>
      </c>
      <c r="E26" s="95" t="n">
        <v>1.9</v>
      </c>
      <c r="F26" s="95" t="n">
        <v>3.1</v>
      </c>
      <c r="G26" s="89" t="n">
        <v>3</v>
      </c>
      <c r="H26" s="95" t="n">
        <v>9.6</v>
      </c>
      <c r="I26" s="95" t="n">
        <v>42</v>
      </c>
      <c r="J26" s="95" t="n">
        <v>138</v>
      </c>
      <c r="K26" s="95" t="n">
        <v>5.8</v>
      </c>
      <c r="L26" s="95" t="n">
        <v>34.6</v>
      </c>
      <c r="M26" s="95" t="n">
        <v>117.9</v>
      </c>
      <c r="N26" s="94" t="n">
        <v>0</v>
      </c>
      <c r="O26" s="94" t="n">
        <v>67</v>
      </c>
      <c r="P26" s="89" t="n">
        <v>3</v>
      </c>
      <c r="Q26" s="97" t="n">
        <v>767.8</v>
      </c>
      <c r="R26" s="96" t="inlineStr">
        <is>
          <t>2405 POWERWIN TECH; 1497 YAN PALACE; 2643 CAOCAO INC</t>
        </is>
      </c>
    </row>
    <row r="27">
      <c r="A27" s="16" t="inlineStr">
        <is>
          <t>China Everbright Securities</t>
        </is>
      </c>
      <c r="B27" s="89" t="n">
        <v>3</v>
      </c>
      <c r="C27" s="94" t="n">
        <v>33</v>
      </c>
      <c r="D27" s="95" t="n">
        <v>-3.5</v>
      </c>
      <c r="E27" s="95" t="n">
        <v>-10.6</v>
      </c>
      <c r="F27" s="95" t="n">
        <v>-7.9</v>
      </c>
      <c r="G27" s="89" t="n">
        <v>3</v>
      </c>
      <c r="H27" s="95" t="n">
        <v>-18.4</v>
      </c>
      <c r="I27" s="95" t="n">
        <v>-23.4</v>
      </c>
      <c r="J27" s="95" t="n">
        <v>-34.8</v>
      </c>
      <c r="K27" s="95" t="n">
        <v>-8.1</v>
      </c>
      <c r="L27" s="95" t="n">
        <v>-15.8</v>
      </c>
      <c r="M27" s="95" t="n">
        <v>-28.4</v>
      </c>
      <c r="N27" s="94" t="n">
        <v>0</v>
      </c>
      <c r="O27" s="94" t="n">
        <v>100</v>
      </c>
      <c r="P27" s="89" t="n">
        <v>3</v>
      </c>
      <c r="Q27" s="97" t="n">
        <v>196.6</v>
      </c>
      <c r="R27" s="96" t="inlineStr">
        <is>
          <t>2250 SEMK HOLDINGS; 1406 CLARITY MEDICAL; 2450 HUAIBEI GD CO</t>
        </is>
      </c>
    </row>
    <row r="28">
      <c r="A28" s="16" t="inlineStr">
        <is>
          <t>Citigroup Global Markets Asia Limited</t>
        </is>
      </c>
      <c r="B28" s="89" t="n">
        <v>3</v>
      </c>
      <c r="C28" s="94" t="n">
        <v>67</v>
      </c>
      <c r="D28" s="95" t="n">
        <v>-9.6</v>
      </c>
      <c r="E28" s="95" t="n">
        <v>-12.5</v>
      </c>
      <c r="F28" s="95" t="n">
        <v>-3.1</v>
      </c>
      <c r="G28" s="89" t="n">
        <v>3</v>
      </c>
      <c r="H28" s="95" t="n">
        <v>-3.9</v>
      </c>
      <c r="I28" s="95" t="n">
        <v>1.9</v>
      </c>
      <c r="J28" s="95" t="n">
        <v>7.8</v>
      </c>
      <c r="K28" s="95" t="n">
        <v>8.6</v>
      </c>
      <c r="L28" s="95" t="n">
        <v>13.1</v>
      </c>
      <c r="M28" s="95" t="n">
        <v>27.8</v>
      </c>
      <c r="N28" s="94" t="n">
        <v>0</v>
      </c>
      <c r="O28" s="94" t="n">
        <v>100</v>
      </c>
      <c r="P28" s="89" t="n">
        <v>2</v>
      </c>
      <c r="Q28" s="97" t="n">
        <v>697.3</v>
      </c>
      <c r="R28" s="96" t="inlineStr">
        <is>
          <t>3660 360 DIGITECH-S; 6086 FANGZHOU JIANKE; 9611 LONGCHEER</t>
        </is>
      </c>
    </row>
    <row r="29">
      <c r="A29" s="16" t="inlineStr">
        <is>
          <t>Credit Suisse</t>
        </is>
      </c>
      <c r="B29" s="89" t="n">
        <v>3</v>
      </c>
      <c r="C29" s="94" t="n">
        <v>0</v>
      </c>
      <c r="D29" s="95" t="n">
        <v>-14</v>
      </c>
      <c r="E29" s="95" t="n">
        <v>-17.3</v>
      </c>
      <c r="F29" s="95" t="n">
        <v>-3.7</v>
      </c>
      <c r="G29" s="89" t="n">
        <v>3</v>
      </c>
      <c r="H29" s="95" t="n">
        <v>-11.6</v>
      </c>
      <c r="I29" s="95" t="n">
        <v>-24.3</v>
      </c>
      <c r="J29" s="95" t="n">
        <v>-24.8</v>
      </c>
      <c r="K29" s="95" t="n">
        <v>7.1</v>
      </c>
      <c r="L29" s="95" t="n">
        <v>-8.5</v>
      </c>
      <c r="M29" s="95" t="n">
        <v>-9</v>
      </c>
      <c r="N29" s="94" t="n">
        <v>0</v>
      </c>
      <c r="O29" s="94" t="n">
        <v>100</v>
      </c>
      <c r="P29" s="89" t="n">
        <v>3</v>
      </c>
      <c r="Q29" s="97" t="n">
        <v>2775.1</v>
      </c>
      <c r="R29" s="96" t="inlineStr">
        <is>
          <t>2191 SF REIT; 9858 YOURAN DAIRY; 2390 ZHIHU-W</t>
        </is>
      </c>
    </row>
    <row r="30">
      <c r="A30" s="16" t="inlineStr">
        <is>
          <t>Jefferies Hong Kong Limited</t>
        </is>
      </c>
      <c r="B30" s="89" t="n">
        <v>2</v>
      </c>
      <c r="C30" s="94" t="n">
        <v>50</v>
      </c>
      <c r="D30" s="95" t="n">
        <v>42</v>
      </c>
      <c r="E30" s="95" t="n">
        <v>39.5</v>
      </c>
      <c r="F30" s="95" t="n">
        <v>-6.8</v>
      </c>
      <c r="G30" s="89" t="n">
        <v>2</v>
      </c>
      <c r="H30" s="95" t="n">
        <v>-0.1</v>
      </c>
      <c r="I30" s="95" t="n">
        <v>-12.1</v>
      </c>
      <c r="J30" s="95" t="n">
        <v>-50</v>
      </c>
      <c r="K30" s="95" t="n">
        <v>-21.4</v>
      </c>
      <c r="L30" s="95" t="n">
        <v>-33.3</v>
      </c>
      <c r="M30" s="95" t="n">
        <v>-33.7</v>
      </c>
      <c r="N30" s="94" t="n">
        <v>50</v>
      </c>
      <c r="O30" s="94" t="n">
        <v>50</v>
      </c>
      <c r="P30" s="89" t="n">
        <v>2</v>
      </c>
      <c r="Q30" s="97" t="n">
        <v>773.9</v>
      </c>
      <c r="R30" s="96" t="inlineStr">
        <is>
          <t>2486 PLUS GP HOLDING; 9637 ALEBUND-B</t>
        </is>
      </c>
    </row>
    <row r="31">
      <c r="A31" s="16" t="inlineStr">
        <is>
          <t>Elstone Securities Limited</t>
        </is>
      </c>
      <c r="B31" s="89" t="n">
        <v>2</v>
      </c>
      <c r="C31" s="94" t="n">
        <v>50</v>
      </c>
      <c r="D31" s="95" t="n">
        <v>16.4</v>
      </c>
      <c r="E31" s="95" t="n">
        <v>2.5</v>
      </c>
      <c r="F31" s="95" t="n">
        <v>-15.1</v>
      </c>
      <c r="G31" s="89" t="n">
        <v>2</v>
      </c>
      <c r="H31" s="95" t="n">
        <v>7.2</v>
      </c>
      <c r="I31" s="95" t="n">
        <v>23</v>
      </c>
      <c r="J31" s="95" t="n">
        <v>103.3</v>
      </c>
      <c r="K31" s="95" t="n">
        <v>-1.8</v>
      </c>
      <c r="L31" s="95" t="n">
        <v>8.4</v>
      </c>
      <c r="M31" s="95" t="n">
        <v>64.40000000000001</v>
      </c>
      <c r="N31" s="94" t="n">
        <v>50</v>
      </c>
      <c r="O31" s="94" t="n">
        <v>50</v>
      </c>
      <c r="P31" s="89" t="n">
        <v>2</v>
      </c>
      <c r="Q31" s="97" t="n">
        <v>167.5</v>
      </c>
      <c r="R31" s="96" t="inlineStr">
        <is>
          <t>9608 SUNDY SERVICE; 2321 SWANGCHAICHUAN</t>
        </is>
      </c>
    </row>
    <row r="32">
      <c r="A32" s="16" t="inlineStr">
        <is>
          <t>Grand Moore Capital</t>
        </is>
      </c>
      <c r="B32" s="89" t="n">
        <v>2</v>
      </c>
      <c r="C32" s="94" t="n">
        <v>50</v>
      </c>
      <c r="D32" s="95" t="n">
        <v>26.6</v>
      </c>
      <c r="E32" s="95" t="n">
        <v>-3.3</v>
      </c>
      <c r="F32" s="95" t="n">
        <v>-23.7</v>
      </c>
      <c r="G32" s="89" t="n">
        <v>2</v>
      </c>
      <c r="H32" s="95" t="n">
        <v>-11.4</v>
      </c>
      <c r="I32" s="95" t="n">
        <v>-19.3</v>
      </c>
      <c r="J32" s="95" t="n">
        <v>-19.1</v>
      </c>
      <c r="K32" s="95" t="n">
        <v>-9.1</v>
      </c>
      <c r="L32" s="95" t="n">
        <v>-16.5</v>
      </c>
      <c r="M32" s="95" t="n">
        <v>-11.7</v>
      </c>
      <c r="N32" s="94" t="n">
        <v>0</v>
      </c>
      <c r="O32" s="94" t="n">
        <v>100</v>
      </c>
      <c r="P32" s="89" t="n">
        <v>2</v>
      </c>
      <c r="Q32" s="97" t="n">
        <v>111.7</v>
      </c>
      <c r="R32" s="96" t="inlineStr">
        <is>
          <t>2147 ZHENGWEI GROUP; 2516 FAR INTL</t>
        </is>
      </c>
    </row>
    <row r="33">
      <c r="A33" s="16" t="inlineStr">
        <is>
          <t>CEB International Capital Corporation Limited</t>
        </is>
      </c>
      <c r="B33" s="89" t="n">
        <v>2</v>
      </c>
      <c r="C33" s="94" t="n">
        <v>50</v>
      </c>
      <c r="D33" s="95" t="n">
        <v>2.2</v>
      </c>
      <c r="E33" s="95" t="n">
        <v>-5</v>
      </c>
      <c r="F33" s="95" t="n">
        <v>-7.1</v>
      </c>
      <c r="G33" s="89" t="n">
        <v>2</v>
      </c>
      <c r="H33" s="95" t="n">
        <v>-11.8</v>
      </c>
      <c r="I33" s="95" t="n">
        <v>21.6</v>
      </c>
      <c r="J33" s="95" t="n">
        <v>81.7</v>
      </c>
      <c r="K33" s="95" t="n">
        <v>-7.6</v>
      </c>
      <c r="L33" s="95" t="n">
        <v>29</v>
      </c>
      <c r="M33" s="95" t="n">
        <v>98.40000000000001</v>
      </c>
      <c r="N33" s="94" t="n">
        <v>0</v>
      </c>
      <c r="O33" s="94" t="n">
        <v>100</v>
      </c>
      <c r="P33" s="89" t="n">
        <v>2</v>
      </c>
      <c r="Q33" s="97" t="n">
        <v>279</v>
      </c>
      <c r="R33" s="96" t="inlineStr">
        <is>
          <t>1354 KINGFARPROPERTY; 2571 SAIMO</t>
        </is>
      </c>
    </row>
    <row r="34">
      <c r="A34" s="16" t="inlineStr">
        <is>
          <t>Chin a International Capital Corporation Hong Kong Securities Limited</t>
        </is>
      </c>
      <c r="B34" s="89" t="n">
        <v>2</v>
      </c>
      <c r="C34" s="94" t="n">
        <v>50</v>
      </c>
      <c r="D34" s="95" t="n">
        <v>-18.3</v>
      </c>
      <c r="E34" s="95" t="n">
        <v>-5.8</v>
      </c>
      <c r="F34" s="95" t="n">
        <v>18.1</v>
      </c>
      <c r="G34" s="89" t="n">
        <v>2</v>
      </c>
      <c r="H34" s="95" t="n">
        <v>-33.9</v>
      </c>
      <c r="I34" s="95" t="n">
        <v>13.7</v>
      </c>
      <c r="J34" s="95" t="n">
        <v>-15.2</v>
      </c>
      <c r="K34" s="95" t="n">
        <v>-31.7</v>
      </c>
      <c r="L34" s="95" t="n">
        <v>22.2</v>
      </c>
      <c r="M34" s="95" t="n">
        <v>-16.1</v>
      </c>
      <c r="N34" s="94" t="n">
        <v>0</v>
      </c>
      <c r="O34" s="94" t="n">
        <v>100</v>
      </c>
      <c r="P34" s="89" t="n">
        <v>1</v>
      </c>
      <c r="Q34" s="97" t="n">
        <v>506.8</v>
      </c>
      <c r="R34" s="96" t="inlineStr">
        <is>
          <t>2415 MEDSCI; 6915 JIANGXI BIO</t>
        </is>
      </c>
    </row>
    <row r="35">
      <c r="A35" s="16" t="inlineStr">
        <is>
          <t>BNP Paribas Securities</t>
        </is>
      </c>
      <c r="B35" s="89" t="n">
        <v>2</v>
      </c>
      <c r="C35" s="94" t="n">
        <v>0</v>
      </c>
      <c r="D35" s="95" t="n">
        <v>-10.2</v>
      </c>
      <c r="E35" s="95" t="n">
        <v>-8.5</v>
      </c>
      <c r="F35" s="95" t="n">
        <v>2.1</v>
      </c>
      <c r="G35" s="89" t="n">
        <v>2</v>
      </c>
      <c r="H35" s="95" t="n">
        <v>-10.7</v>
      </c>
      <c r="I35" s="95" t="n">
        <v>-6.7</v>
      </c>
      <c r="J35" s="95" t="n">
        <v>-31.3</v>
      </c>
      <c r="K35" s="95" t="n">
        <v>-3.9</v>
      </c>
      <c r="L35" s="95" t="n">
        <v>2.3</v>
      </c>
      <c r="M35" s="95" t="n">
        <v>-23.6</v>
      </c>
      <c r="N35" s="94" t="n">
        <v>0</v>
      </c>
      <c r="O35" s="94" t="n">
        <v>50</v>
      </c>
      <c r="P35" s="89" t="n">
        <v>2</v>
      </c>
      <c r="Q35" s="97" t="n">
        <v>466.6</v>
      </c>
      <c r="R35" s="96" t="inlineStr">
        <is>
          <t>6913 SCVE GROUP; 2361 SINOHEALTH HLDG</t>
        </is>
      </c>
    </row>
    <row r="36">
      <c r="A36" s="16" t="inlineStr">
        <is>
          <t>China PA Securities</t>
        </is>
      </c>
      <c r="B36" s="89" t="n">
        <v>2</v>
      </c>
      <c r="C36" s="94" t="n">
        <v>0</v>
      </c>
      <c r="D36" s="95" t="n">
        <v>-14.6</v>
      </c>
      <c r="E36" s="95" t="n">
        <v>-13.6</v>
      </c>
      <c r="F36" s="95" t="n">
        <v>0.6</v>
      </c>
      <c r="G36" s="89" t="n">
        <v>2</v>
      </c>
      <c r="H36" s="95" t="n">
        <v>-23.4</v>
      </c>
      <c r="I36" s="95" t="n">
        <v>-26.1</v>
      </c>
      <c r="J36" s="95" t="n">
        <v>-24.8</v>
      </c>
      <c r="K36" s="95" t="n">
        <v>-12.5</v>
      </c>
      <c r="L36" s="95" t="n">
        <v>-16.2</v>
      </c>
      <c r="M36" s="95" t="n">
        <v>-14.5</v>
      </c>
      <c r="N36" s="94" t="n">
        <v>0</v>
      </c>
      <c r="O36" s="94" t="n">
        <v>100</v>
      </c>
      <c r="P36" s="89" t="n">
        <v>1</v>
      </c>
      <c r="Q36" s="97" t="n">
        <v>161.7</v>
      </c>
      <c r="R36" s="96" t="inlineStr">
        <is>
          <t>2440 HOWKINGTECH; 2483 K CASH</t>
        </is>
      </c>
    </row>
    <row r="37">
      <c r="A37" s="16" t="inlineStr">
        <is>
          <t>Wealth Link Securities Limited</t>
        </is>
      </c>
      <c r="B37" s="89" t="n">
        <v>2</v>
      </c>
      <c r="C37" s="94" t="n">
        <v>50</v>
      </c>
      <c r="D37" s="95" t="n">
        <v>-19.5</v>
      </c>
      <c r="E37" s="95" t="n">
        <v>-14.2</v>
      </c>
      <c r="F37" s="95" t="n">
        <v>6.2</v>
      </c>
      <c r="G37" s="89" t="n">
        <v>2</v>
      </c>
      <c r="H37" s="95" t="n">
        <v>-24</v>
      </c>
      <c r="I37" s="95" t="n">
        <v>-30.1</v>
      </c>
      <c r="J37" s="95" t="n">
        <v>-39.6</v>
      </c>
      <c r="K37" s="95" t="n">
        <v>-9.5</v>
      </c>
      <c r="L37" s="95" t="n">
        <v>-16</v>
      </c>
      <c r="M37" s="95" t="n">
        <v>-28.4</v>
      </c>
      <c r="N37" s="94" t="n">
        <v>0</v>
      </c>
      <c r="O37" s="94" t="n">
        <v>100</v>
      </c>
      <c r="P37" s="89" t="n">
        <v>1</v>
      </c>
      <c r="Q37" s="97" t="n">
        <v>219.8</v>
      </c>
      <c r="R37" s="96" t="inlineStr">
        <is>
          <t>1643 MODERN CHI MED; 2439 CH TREASURES NM</t>
        </is>
      </c>
    </row>
    <row r="38">
      <c r="A38" s="16" t="inlineStr">
        <is>
          <t>China Industrial Securities International Capital Limited</t>
        </is>
      </c>
      <c r="B38" s="89" t="n">
        <v>2</v>
      </c>
      <c r="C38" s="94" t="n">
        <v>0</v>
      </c>
      <c r="D38" s="95" t="n">
        <v>-1.2</v>
      </c>
      <c r="E38" s="95" t="n">
        <v>-17.6</v>
      </c>
      <c r="F38" s="95" t="n">
        <v>-17.6</v>
      </c>
      <c r="G38" s="89" t="n">
        <v>2</v>
      </c>
      <c r="H38" s="95" t="n">
        <v>-23.4</v>
      </c>
      <c r="I38" s="95" t="n">
        <v>-30.5</v>
      </c>
      <c r="J38" s="95" t="n">
        <v>-49.1</v>
      </c>
      <c r="K38" s="95" t="n">
        <v>-7.3</v>
      </c>
      <c r="L38" s="95" t="n">
        <v>-12.9</v>
      </c>
      <c r="M38" s="95" t="n">
        <v>-35.5</v>
      </c>
      <c r="N38" s="94" t="n">
        <v>0</v>
      </c>
      <c r="O38" s="94" t="n">
        <v>100</v>
      </c>
      <c r="P38" s="89" t="n">
        <v>1</v>
      </c>
      <c r="Q38" s="97" t="n">
        <v>143.1</v>
      </c>
      <c r="R38" s="96" t="inlineStr">
        <is>
          <t>1407 JY GAS; 2695 IMPRESSION DHP</t>
        </is>
      </c>
    </row>
    <row r="39">
      <c r="A39" s="16" t="inlineStr">
        <is>
          <t>Innovax Securities</t>
        </is>
      </c>
      <c r="B39" s="89" t="n">
        <v>2</v>
      </c>
      <c r="C39" s="94" t="n">
        <v>0</v>
      </c>
      <c r="D39" s="95" t="n">
        <v>-1.8</v>
      </c>
      <c r="E39" s="95" t="n">
        <v>-20.7</v>
      </c>
      <c r="F39" s="95" t="n">
        <v>-18.2</v>
      </c>
      <c r="G39" s="89" t="n">
        <v>2</v>
      </c>
      <c r="H39" s="95" t="n">
        <v>-36.7</v>
      </c>
      <c r="I39" s="95" t="n">
        <v>-39</v>
      </c>
      <c r="J39" s="95" t="n">
        <v>-47.3</v>
      </c>
      <c r="K39" s="95" t="n">
        <v>-19.4</v>
      </c>
      <c r="L39" s="95" t="n">
        <v>-22.9</v>
      </c>
      <c r="M39" s="95" t="n">
        <v>-33.8</v>
      </c>
      <c r="N39" s="94" t="n">
        <v>0</v>
      </c>
      <c r="O39" s="94" t="n">
        <v>100</v>
      </c>
      <c r="P39" s="89" t="n">
        <v>2</v>
      </c>
      <c r="Q39" s="97" t="n">
        <v>122.8</v>
      </c>
      <c r="R39" s="96" t="inlineStr">
        <is>
          <t>2350 MTT GROUP; 1947 MEIHAO GROUP</t>
        </is>
      </c>
    </row>
    <row r="40">
      <c r="A40" s="16" t="inlineStr">
        <is>
          <t>Eddid Secu rities and Futures Limited</t>
        </is>
      </c>
      <c r="B40" s="89" t="n">
        <v>1</v>
      </c>
      <c r="C40" s="94" t="n">
        <v>100</v>
      </c>
      <c r="D40" s="95" t="n">
        <v>77</v>
      </c>
      <c r="E40" s="95" t="n">
        <v>164</v>
      </c>
      <c r="F40" s="95" t="n">
        <v>49.1</v>
      </c>
      <c r="G40" s="89" t="n">
        <v>1</v>
      </c>
      <c r="H40" s="95" t="n">
        <v>250</v>
      </c>
      <c r="I40" s="95" t="n">
        <v>230</v>
      </c>
      <c r="J40" s="95" t="n">
        <v>232</v>
      </c>
      <c r="K40" s="95" t="n">
        <v>32.6</v>
      </c>
      <c r="L40" s="95" t="n">
        <v>25</v>
      </c>
      <c r="M40" s="95" t="n">
        <v>25.8</v>
      </c>
      <c r="N40" s="94" t="n">
        <v>0</v>
      </c>
      <c r="O40" s="94" t="n">
        <v>100</v>
      </c>
      <c r="P40" s="89" t="n">
        <v>1</v>
      </c>
      <c r="Q40" s="97" t="n">
        <v>125</v>
      </c>
      <c r="R40" s="96" t="inlineStr">
        <is>
          <t>2477 WELLCELL HOLD</t>
        </is>
      </c>
    </row>
    <row r="41">
      <c r="A41" s="16" t="inlineStr">
        <is>
          <t>Zhongtai Intern ational Securities Limited</t>
        </is>
      </c>
      <c r="B41" s="89" t="n">
        <v>1</v>
      </c>
      <c r="C41" s="94" t="n">
        <v>100</v>
      </c>
      <c r="D41" s="95" t="n">
        <v>100</v>
      </c>
      <c r="E41" s="95" t="n">
        <v>162.5</v>
      </c>
      <c r="F41" s="95" t="n">
        <v>31.2</v>
      </c>
      <c r="G41" s="89" t="n">
        <v>1</v>
      </c>
      <c r="H41" s="95" t="n">
        <v>267.5</v>
      </c>
      <c r="I41" s="95" t="n">
        <v>1146.9</v>
      </c>
      <c r="J41" s="95" t="n"/>
      <c r="K41" s="95" t="n">
        <v>40</v>
      </c>
      <c r="L41" s="95" t="n">
        <v>375</v>
      </c>
      <c r="M41" s="95" t="n"/>
      <c r="N41" s="94" t="n">
        <v>0</v>
      </c>
      <c r="O41" s="94" t="n">
        <v>100</v>
      </c>
      <c r="P41" s="89" t="n">
        <v>1</v>
      </c>
      <c r="Q41" s="97" t="n">
        <v>200</v>
      </c>
      <c r="R41" s="96" t="inlineStr">
        <is>
          <t>2797 QIYUNSHAN FOOD</t>
        </is>
      </c>
    </row>
    <row r="42">
      <c r="A42" s="16" t="inlineStr">
        <is>
          <t>Lego Securities Lim ited</t>
        </is>
      </c>
      <c r="B42" s="89" t="n">
        <v>1</v>
      </c>
      <c r="C42" s="94" t="n">
        <v>100</v>
      </c>
      <c r="D42" s="95" t="n">
        <v>35.4</v>
      </c>
      <c r="E42" s="95" t="n">
        <v>143.1</v>
      </c>
      <c r="F42" s="95" t="n">
        <v>79.5</v>
      </c>
      <c r="G42" s="89" t="n">
        <v>1</v>
      </c>
      <c r="H42" s="95" t="n">
        <v>56.9</v>
      </c>
      <c r="I42" s="95" t="n">
        <v>176.9</v>
      </c>
      <c r="J42" s="95" t="n">
        <v>183.1</v>
      </c>
      <c r="K42" s="95" t="n">
        <v>-35.5</v>
      </c>
      <c r="L42" s="95" t="n">
        <v>13.9</v>
      </c>
      <c r="M42" s="95" t="n">
        <v>16.5</v>
      </c>
      <c r="N42" s="94" t="n">
        <v>0</v>
      </c>
      <c r="O42" s="94" t="n">
        <v>100</v>
      </c>
      <c r="P42" s="89" t="n">
        <v>1</v>
      </c>
      <c r="Q42" s="97" t="n">
        <v>130</v>
      </c>
      <c r="R42" s="96" t="inlineStr">
        <is>
          <t>2237 CHINA GRAPHITE</t>
        </is>
      </c>
    </row>
    <row r="43">
      <c r="A43" s="16" t="inlineStr">
        <is>
          <t>Yuen Meta</t>
        </is>
      </c>
      <c r="B43" s="89" t="n">
        <v>1</v>
      </c>
      <c r="C43" s="94" t="n">
        <v>100</v>
      </c>
      <c r="D43" s="95" t="n">
        <v>160</v>
      </c>
      <c r="E43" s="95" t="n">
        <v>136</v>
      </c>
      <c r="F43" s="95" t="n">
        <v>-9.199999999999999</v>
      </c>
      <c r="G43" s="89" t="n">
        <v>1</v>
      </c>
      <c r="H43" s="95" t="n">
        <v>156</v>
      </c>
      <c r="I43" s="95" t="n">
        <v>156</v>
      </c>
      <c r="J43" s="95" t="n">
        <v>132</v>
      </c>
      <c r="K43" s="95" t="n">
        <v>8.5</v>
      </c>
      <c r="L43" s="95" t="n">
        <v>8.5</v>
      </c>
      <c r="M43" s="95" t="n">
        <v>-1.7</v>
      </c>
      <c r="N43" s="94" t="n">
        <v>0</v>
      </c>
      <c r="O43" s="94" t="n">
        <v>100</v>
      </c>
      <c r="P43" s="89" t="n">
        <v>1</v>
      </c>
      <c r="Q43" s="97" t="n">
        <v>125</v>
      </c>
      <c r="R43" s="96" t="inlineStr">
        <is>
          <t>2535 WK GROUP</t>
        </is>
      </c>
    </row>
    <row r="44">
      <c r="A44" s="16" t="inlineStr">
        <is>
          <t>Livermore Holdings Limited</t>
        </is>
      </c>
      <c r="B44" s="89" t="n">
        <v>1</v>
      </c>
      <c r="C44" s="94" t="n">
        <v>100</v>
      </c>
      <c r="D44" s="95" t="n">
        <v>89</v>
      </c>
      <c r="E44" s="95" t="n">
        <v>117.9</v>
      </c>
      <c r="F44" s="95" t="n">
        <v>15.3</v>
      </c>
      <c r="G44" s="89" t="n">
        <v>1</v>
      </c>
      <c r="H44" s="95" t="n">
        <v>107.8</v>
      </c>
      <c r="I44" s="95" t="n">
        <v>222.4</v>
      </c>
      <c r="J44" s="95" t="n">
        <v>141.8</v>
      </c>
      <c r="K44" s="95" t="n">
        <v>-4.7</v>
      </c>
      <c r="L44" s="95" t="n">
        <v>48</v>
      </c>
      <c r="M44" s="95" t="n">
        <v>11</v>
      </c>
      <c r="N44" s="94" t="n">
        <v>100</v>
      </c>
      <c r="O44" s="94" t="n">
        <v>0</v>
      </c>
      <c r="P44" s="89" t="n">
        <v>1</v>
      </c>
      <c r="Q44" s="97" t="n">
        <v>782.5</v>
      </c>
      <c r="R44" s="96" t="inlineStr">
        <is>
          <t>2655 GUOXIA TECH</t>
        </is>
      </c>
    </row>
    <row r="45">
      <c r="A45" s="16" t="inlineStr">
        <is>
          <t>BOCI Asia Limited</t>
        </is>
      </c>
      <c r="B45" s="89" t="n">
        <v>1</v>
      </c>
      <c r="C45" s="94" t="n">
        <v>100</v>
      </c>
      <c r="D45" s="95" t="n">
        <v>46.5</v>
      </c>
      <c r="E45" s="95" t="n">
        <v>91.7</v>
      </c>
      <c r="F45" s="95" t="n">
        <v>30.8</v>
      </c>
      <c r="G45" s="89" t="n">
        <v>1</v>
      </c>
      <c r="H45" s="95" t="n">
        <v>191</v>
      </c>
      <c r="I45" s="95" t="n">
        <v>200</v>
      </c>
      <c r="J45" s="95" t="n">
        <v>223.8</v>
      </c>
      <c r="K45" s="95" t="n">
        <v>51.8</v>
      </c>
      <c r="L45" s="95" t="n">
        <v>56.5</v>
      </c>
      <c r="M45" s="95" t="n">
        <v>68.90000000000001</v>
      </c>
      <c r="N45" s="94" t="n"/>
      <c r="O45" s="94" t="n"/>
      <c r="P45" s="89" t="n">
        <v>0</v>
      </c>
      <c r="Q45" s="97" t="n">
        <v>85.90000000000001</v>
      </c>
      <c r="R45" s="96" t="inlineStr">
        <is>
          <t>2550 EASOU TECH</t>
        </is>
      </c>
    </row>
    <row r="46">
      <c r="A46" s="16" t="inlineStr">
        <is>
          <t>CL SA Limited</t>
        </is>
      </c>
      <c r="B46" s="89" t="n">
        <v>1</v>
      </c>
      <c r="C46" s="94" t="n">
        <v>100</v>
      </c>
      <c r="D46" s="95" t="n">
        <v>36.4</v>
      </c>
      <c r="E46" s="95" t="n">
        <v>51</v>
      </c>
      <c r="F46" s="95" t="n">
        <v>10.7</v>
      </c>
      <c r="G46" s="89" t="n">
        <v>1</v>
      </c>
      <c r="H46" s="95" t="n">
        <v>4</v>
      </c>
      <c r="I46" s="95" t="n">
        <v>-22.7</v>
      </c>
      <c r="J46" s="95" t="n"/>
      <c r="K46" s="95" t="n">
        <v>-31.1</v>
      </c>
      <c r="L46" s="95" t="n">
        <v>-48.8</v>
      </c>
      <c r="M46" s="95" t="n"/>
      <c r="N46" s="94" t="n">
        <v>0</v>
      </c>
      <c r="O46" s="94" t="n">
        <v>100</v>
      </c>
      <c r="P46" s="89" t="n">
        <v>1</v>
      </c>
      <c r="Q46" s="97" t="n">
        <v>1233.1</v>
      </c>
      <c r="R46" s="96" t="inlineStr">
        <is>
          <t>6715 XUNLONG SCITECH</t>
        </is>
      </c>
    </row>
    <row r="47">
      <c r="A47" s="16" t="inlineStr">
        <is>
          <t>Quam Securities Limited</t>
        </is>
      </c>
      <c r="B47" s="89" t="n">
        <v>1</v>
      </c>
      <c r="C47" s="94" t="n">
        <v>100</v>
      </c>
      <c r="D47" s="95" t="n">
        <v>4.2</v>
      </c>
      <c r="E47" s="95" t="n">
        <v>38.1</v>
      </c>
      <c r="F47" s="95" t="n">
        <v>32.5</v>
      </c>
      <c r="G47" s="89" t="n">
        <v>1</v>
      </c>
      <c r="H47" s="95" t="n">
        <v>14.4</v>
      </c>
      <c r="I47" s="95" t="n">
        <v>11.9</v>
      </c>
      <c r="J47" s="95" t="n">
        <v>-2.5</v>
      </c>
      <c r="K47" s="95" t="n">
        <v>-17.2</v>
      </c>
      <c r="L47" s="95" t="n">
        <v>-19</v>
      </c>
      <c r="M47" s="95" t="n">
        <v>-29.4</v>
      </c>
      <c r="N47" s="94" t="n"/>
      <c r="O47" s="94" t="n"/>
      <c r="P47" s="89" t="n">
        <v>0</v>
      </c>
      <c r="Q47" s="97" t="n">
        <v>147.5</v>
      </c>
      <c r="R47" s="96" t="inlineStr">
        <is>
          <t>2501 MAIYUE TECH</t>
        </is>
      </c>
    </row>
    <row r="48">
      <c r="A48" s="16" t="inlineStr">
        <is>
          <t>Stabilisin g Manager</t>
        </is>
      </c>
      <c r="B48" s="89" t="n">
        <v>1</v>
      </c>
      <c r="C48" s="94" t="n">
        <v>100</v>
      </c>
      <c r="D48" s="95" t="n">
        <v>19.6</v>
      </c>
      <c r="E48" s="95" t="n">
        <v>26.8</v>
      </c>
      <c r="F48" s="95" t="n">
        <v>6</v>
      </c>
      <c r="G48" s="89" t="n">
        <v>1</v>
      </c>
      <c r="H48" s="95" t="n">
        <v>1.8</v>
      </c>
      <c r="I48" s="95" t="n">
        <v>8.9</v>
      </c>
      <c r="J48" s="95" t="n">
        <v>16.1</v>
      </c>
      <c r="K48" s="95" t="n">
        <v>-19.7</v>
      </c>
      <c r="L48" s="95" t="n">
        <v>-14.1</v>
      </c>
      <c r="M48" s="95" t="n">
        <v>-8.4</v>
      </c>
      <c r="N48" s="94" t="n"/>
      <c r="O48" s="94" t="n"/>
      <c r="P48" s="89" t="n">
        <v>0</v>
      </c>
      <c r="Q48" s="97" t="n">
        <v>140</v>
      </c>
      <c r="R48" s="96" t="inlineStr">
        <is>
          <t>1473 PANGAEA CONNECT</t>
        </is>
      </c>
    </row>
    <row r="49">
      <c r="A49" s="16" t="inlineStr">
        <is>
          <t>Macquarie</t>
        </is>
      </c>
      <c r="B49" s="89" t="n">
        <v>1</v>
      </c>
      <c r="C49" s="94" t="n">
        <v>100</v>
      </c>
      <c r="D49" s="95" t="n">
        <v>34.1</v>
      </c>
      <c r="E49" s="95" t="n">
        <v>25</v>
      </c>
      <c r="F49" s="95" t="n">
        <v>-6.8</v>
      </c>
      <c r="G49" s="89" t="n">
        <v>1</v>
      </c>
      <c r="H49" s="95" t="n">
        <v>89.5</v>
      </c>
      <c r="I49" s="95" t="n">
        <v>63.4</v>
      </c>
      <c r="J49" s="95" t="n">
        <v>57.3</v>
      </c>
      <c r="K49" s="95" t="n">
        <v>51.6</v>
      </c>
      <c r="L49" s="95" t="n">
        <v>30.7</v>
      </c>
      <c r="M49" s="95" t="n">
        <v>25.8</v>
      </c>
      <c r="N49" s="94" t="n">
        <v>100</v>
      </c>
      <c r="O49" s="94" t="n">
        <v>0</v>
      </c>
      <c r="P49" s="89" t="n">
        <v>1</v>
      </c>
      <c r="Q49" s="97" t="n">
        <v>660</v>
      </c>
      <c r="R49" s="96" t="inlineStr">
        <is>
          <t>6909 BETTERLIFE HLDG</t>
        </is>
      </c>
    </row>
    <row r="50">
      <c r="A50" s="16" t="inlineStr">
        <is>
          <t>Bradbury Securities Limited</t>
        </is>
      </c>
      <c r="B50" s="89" t="n">
        <v>1</v>
      </c>
      <c r="C50" s="94" t="n">
        <v>100</v>
      </c>
      <c r="D50" s="95" t="n">
        <v>35.3</v>
      </c>
      <c r="E50" s="95" t="n">
        <v>23.8</v>
      </c>
      <c r="F50" s="95" t="n">
        <v>-8.5</v>
      </c>
      <c r="G50" s="89" t="n">
        <v>1</v>
      </c>
      <c r="H50" s="95" t="n">
        <v>67.09999999999999</v>
      </c>
      <c r="I50" s="95" t="n">
        <v>34.4</v>
      </c>
      <c r="J50" s="95" t="n">
        <v>102.3</v>
      </c>
      <c r="K50" s="95" t="n">
        <v>35</v>
      </c>
      <c r="L50" s="95" t="n">
        <v>8.6</v>
      </c>
      <c r="M50" s="95" t="n">
        <v>63.5</v>
      </c>
      <c r="N50" s="94" t="n">
        <v>0</v>
      </c>
      <c r="O50" s="94" t="n">
        <v>0</v>
      </c>
      <c r="P50" s="89" t="n">
        <v>1</v>
      </c>
      <c r="Q50" s="97" t="n">
        <v>245.2</v>
      </c>
      <c r="R50" s="96" t="inlineStr">
        <is>
          <t>6683 STARPLUS LEGEND</t>
        </is>
      </c>
    </row>
    <row r="51">
      <c r="A51" s="16" t="inlineStr">
        <is>
          <t>Essence International Securities</t>
        </is>
      </c>
      <c r="B51" s="89" t="n">
        <v>1</v>
      </c>
      <c r="C51" s="94" t="n">
        <v>100</v>
      </c>
      <c r="D51" s="95" t="n">
        <v>26.1</v>
      </c>
      <c r="E51" s="95" t="n">
        <v>13.8</v>
      </c>
      <c r="F51" s="95" t="n">
        <v>-9.800000000000001</v>
      </c>
      <c r="G51" s="89" t="n">
        <v>1</v>
      </c>
      <c r="H51" s="95" t="n">
        <v>26.5</v>
      </c>
      <c r="I51" s="95" t="n">
        <v>93.8</v>
      </c>
      <c r="J51" s="95" t="n">
        <v>61.5</v>
      </c>
      <c r="K51" s="95" t="n">
        <v>11.1</v>
      </c>
      <c r="L51" s="95" t="n">
        <v>70.3</v>
      </c>
      <c r="M51" s="95" t="n">
        <v>41.9</v>
      </c>
      <c r="N51" s="94" t="n">
        <v>0</v>
      </c>
      <c r="O51" s="94" t="n">
        <v>0</v>
      </c>
      <c r="P51" s="89" t="n">
        <v>1</v>
      </c>
      <c r="Q51" s="97" t="n">
        <v>944.7</v>
      </c>
      <c r="R51" s="96" t="inlineStr">
        <is>
          <t>6616 GLOBAL NEW MAT</t>
        </is>
      </c>
    </row>
    <row r="52">
      <c r="A52" s="16" t="inlineStr">
        <is>
          <t>C LSA Limited</t>
        </is>
      </c>
      <c r="B52" s="89" t="n">
        <v>1</v>
      </c>
      <c r="C52" s="94" t="n">
        <v>100</v>
      </c>
      <c r="D52" s="95" t="n">
        <v>3.9</v>
      </c>
      <c r="E52" s="95" t="n">
        <v>9.1</v>
      </c>
      <c r="F52" s="95" t="n">
        <v>5.1</v>
      </c>
      <c r="G52" s="89" t="n">
        <v>1</v>
      </c>
      <c r="H52" s="95" t="n">
        <v>6.4</v>
      </c>
      <c r="I52" s="95" t="n">
        <v>16.1</v>
      </c>
      <c r="J52" s="95" t="n">
        <v>76.8</v>
      </c>
      <c r="K52" s="95" t="n">
        <v>-2.5</v>
      </c>
      <c r="L52" s="95" t="n">
        <v>6.3</v>
      </c>
      <c r="M52" s="95" t="n">
        <v>62</v>
      </c>
      <c r="N52" s="94" t="n">
        <v>100</v>
      </c>
      <c r="O52" s="94" t="n">
        <v>0</v>
      </c>
      <c r="P52" s="89" t="n">
        <v>1</v>
      </c>
      <c r="Q52" s="97" t="n">
        <v>4767.8</v>
      </c>
      <c r="R52" s="96" t="inlineStr">
        <is>
          <t>6613 LENS</t>
        </is>
      </c>
    </row>
    <row r="53">
      <c r="A53" s="16" t="inlineStr">
        <is>
          <t>UOB Kay Hian</t>
        </is>
      </c>
      <c r="B53" s="89" t="n">
        <v>1</v>
      </c>
      <c r="C53" s="94" t="n">
        <v>100</v>
      </c>
      <c r="D53" s="95" t="n">
        <v>47.3</v>
      </c>
      <c r="E53" s="95" t="n">
        <v>5.5</v>
      </c>
      <c r="F53" s="95" t="n">
        <v>-28.4</v>
      </c>
      <c r="G53" s="89" t="n">
        <v>1</v>
      </c>
      <c r="H53" s="95" t="n">
        <v>-7.6</v>
      </c>
      <c r="I53" s="95" t="n">
        <v>-20.1</v>
      </c>
      <c r="J53" s="95" t="n">
        <v>-56.1</v>
      </c>
      <c r="K53" s="95" t="n">
        <v>-12.4</v>
      </c>
      <c r="L53" s="95" t="n">
        <v>-24.3</v>
      </c>
      <c r="M53" s="95" t="n">
        <v>-58.4</v>
      </c>
      <c r="N53" s="94" t="n">
        <v>0</v>
      </c>
      <c r="O53" s="94" t="n">
        <v>0</v>
      </c>
      <c r="P53" s="89" t="n">
        <v>1</v>
      </c>
      <c r="Q53" s="97" t="n">
        <v>91</v>
      </c>
      <c r="R53" s="96" t="inlineStr">
        <is>
          <t>2209 YESASIA HLDGS</t>
        </is>
      </c>
    </row>
    <row r="54">
      <c r="A54" s="16" t="inlineStr">
        <is>
          <t>China Galaxy International Securities</t>
        </is>
      </c>
      <c r="B54" s="89" t="n">
        <v>1</v>
      </c>
      <c r="C54" s="94" t="n">
        <v>100</v>
      </c>
      <c r="D54" s="95" t="n">
        <v>0</v>
      </c>
      <c r="E54" s="95" t="n">
        <v>4.7</v>
      </c>
      <c r="F54" s="95" t="n">
        <v>4.7</v>
      </c>
      <c r="G54" s="89" t="n">
        <v>1</v>
      </c>
      <c r="H54" s="95" t="n">
        <v>-2.3</v>
      </c>
      <c r="I54" s="95" t="n">
        <v>6.7</v>
      </c>
      <c r="J54" s="95" t="n"/>
      <c r="K54" s="95" t="n">
        <v>-6.7</v>
      </c>
      <c r="L54" s="95" t="n">
        <v>1.9</v>
      </c>
      <c r="M54" s="95" t="n"/>
      <c r="N54" s="94" t="n">
        <v>0</v>
      </c>
      <c r="O54" s="94" t="n">
        <v>0</v>
      </c>
      <c r="P54" s="89" t="n">
        <v>1</v>
      </c>
      <c r="Q54" s="97" t="n">
        <v>7157.8</v>
      </c>
      <c r="R54" s="96" t="inlineStr">
        <is>
          <t>6951 CCTC</t>
        </is>
      </c>
    </row>
    <row r="55">
      <c r="A55" s="16" t="inlineStr">
        <is>
          <t>Dakin Securities Limited</t>
        </is>
      </c>
      <c r="B55" s="89" t="n">
        <v>1</v>
      </c>
      <c r="C55" s="94" t="n">
        <v>100</v>
      </c>
      <c r="D55" s="95" t="n">
        <v>5</v>
      </c>
      <c r="E55" s="95" t="n">
        <v>3.8</v>
      </c>
      <c r="F55" s="95" t="n">
        <v>-1.2</v>
      </c>
      <c r="G55" s="89" t="n">
        <v>1</v>
      </c>
      <c r="H55" s="95" t="n">
        <v>25</v>
      </c>
      <c r="I55" s="95" t="n">
        <v>60</v>
      </c>
      <c r="J55" s="95" t="n">
        <v>22.5</v>
      </c>
      <c r="K55" s="95" t="n">
        <v>20.5</v>
      </c>
      <c r="L55" s="95" t="n">
        <v>54.2</v>
      </c>
      <c r="M55" s="95" t="n">
        <v>18.1</v>
      </c>
      <c r="N55" s="94" t="n"/>
      <c r="O55" s="94" t="n"/>
      <c r="P55" s="89" t="n">
        <v>0</v>
      </c>
      <c r="Q55" s="97" t="n">
        <v>126</v>
      </c>
      <c r="R55" s="96" t="inlineStr">
        <is>
          <t>1440 DEYUN HOLDING</t>
        </is>
      </c>
    </row>
    <row r="56">
      <c r="A56" s="16" t="inlineStr">
        <is>
          <t>Guoyuan Securities Brokerage</t>
        </is>
      </c>
      <c r="B56" s="89" t="n">
        <v>1</v>
      </c>
      <c r="C56" s="94" t="n">
        <v>100</v>
      </c>
      <c r="D56" s="95" t="n">
        <v>27.4</v>
      </c>
      <c r="E56" s="95" t="n">
        <v>2.2</v>
      </c>
      <c r="F56" s="95" t="n">
        <v>-19.8</v>
      </c>
      <c r="G56" s="89" t="n">
        <v>1</v>
      </c>
      <c r="H56" s="95" t="n">
        <v>-11.5</v>
      </c>
      <c r="I56" s="95" t="n">
        <v>-41.1</v>
      </c>
      <c r="J56" s="95" t="n">
        <v>-39</v>
      </c>
      <c r="K56" s="95" t="n">
        <v>-13.4</v>
      </c>
      <c r="L56" s="95" t="n">
        <v>-42.4</v>
      </c>
      <c r="M56" s="95" t="n">
        <v>-40.4</v>
      </c>
      <c r="N56" s="94" t="n">
        <v>0</v>
      </c>
      <c r="O56" s="94" t="n">
        <v>100</v>
      </c>
      <c r="P56" s="89" t="n">
        <v>1</v>
      </c>
      <c r="Q56" s="97" t="n">
        <v>177.4</v>
      </c>
      <c r="R56" s="96" t="inlineStr">
        <is>
          <t>2693 JINYAN KAOLIN</t>
        </is>
      </c>
    </row>
    <row r="57">
      <c r="A57" s="16" t="inlineStr">
        <is>
          <t>DBS Asia Capital Limited</t>
        </is>
      </c>
      <c r="B57" s="89" t="n">
        <v>1</v>
      </c>
      <c r="C57" s="94" t="n">
        <v>100</v>
      </c>
      <c r="D57" s="95" t="n">
        <v>7.2</v>
      </c>
      <c r="E57" s="95" t="n">
        <v>0.2</v>
      </c>
      <c r="F57" s="95" t="n">
        <v>-6.5</v>
      </c>
      <c r="G57" s="89" t="n">
        <v>1</v>
      </c>
      <c r="H57" s="95" t="n">
        <v>-0.4</v>
      </c>
      <c r="I57" s="95" t="n">
        <v>-0.4</v>
      </c>
      <c r="J57" s="95" t="n">
        <v>47.6</v>
      </c>
      <c r="K57" s="95" t="n">
        <v>-0.6</v>
      </c>
      <c r="L57" s="95" t="n">
        <v>-0.6</v>
      </c>
      <c r="M57" s="95" t="n">
        <v>47.3</v>
      </c>
      <c r="N57" s="94" t="n">
        <v>0</v>
      </c>
      <c r="O57" s="94" t="n">
        <v>100</v>
      </c>
      <c r="P57" s="89" t="n">
        <v>1</v>
      </c>
      <c r="Q57" s="97" t="n">
        <v>412.5</v>
      </c>
      <c r="R57" s="96" t="inlineStr">
        <is>
          <t>2597 XUNZHONG</t>
        </is>
      </c>
    </row>
    <row r="58">
      <c r="A58" s="16" t="inlineStr">
        <is>
          <t>Guotai Juna n Securities</t>
        </is>
      </c>
      <c r="B58" s="89" t="n">
        <v>1</v>
      </c>
      <c r="C58" s="94" t="n">
        <v>0</v>
      </c>
      <c r="D58" s="95" t="n">
        <v>0</v>
      </c>
      <c r="E58" s="95" t="n">
        <v>0</v>
      </c>
      <c r="F58" s="95" t="n">
        <v>0</v>
      </c>
      <c r="G58" s="89" t="n">
        <v>1</v>
      </c>
      <c r="H58" s="95" t="n">
        <v>0</v>
      </c>
      <c r="I58" s="95" t="n">
        <v>8.199999999999999</v>
      </c>
      <c r="J58" s="95" t="n">
        <v>-0.5</v>
      </c>
      <c r="K58" s="95" t="n">
        <v>0</v>
      </c>
      <c r="L58" s="95" t="n">
        <v>8.199999999999999</v>
      </c>
      <c r="M58" s="95" t="n">
        <v>-0.5</v>
      </c>
      <c r="N58" s="94" t="n">
        <v>0</v>
      </c>
      <c r="O58" s="94" t="n">
        <v>0</v>
      </c>
      <c r="P58" s="89" t="n">
        <v>1</v>
      </c>
      <c r="Q58" s="97" t="n">
        <v>1057.7</v>
      </c>
      <c r="R58" s="96" t="inlineStr">
        <is>
          <t>2402 SINOHYTEC</t>
        </is>
      </c>
    </row>
    <row r="59">
      <c r="A59" s="16" t="inlineStr">
        <is>
          <t>Shanxi Securities International Limited</t>
        </is>
      </c>
      <c r="B59" s="89" t="n">
        <v>1</v>
      </c>
      <c r="C59" s="94" t="n">
        <v>0</v>
      </c>
      <c r="D59" s="95" t="n">
        <v>0</v>
      </c>
      <c r="E59" s="95" t="n">
        <v>0</v>
      </c>
      <c r="F59" s="95" t="n">
        <v>0</v>
      </c>
      <c r="G59" s="89" t="n">
        <v>1</v>
      </c>
      <c r="H59" s="95" t="n">
        <v>-5.5</v>
      </c>
      <c r="I59" s="95" t="n">
        <v>-17.4</v>
      </c>
      <c r="J59" s="95" t="n">
        <v>-11.5</v>
      </c>
      <c r="K59" s="95" t="n">
        <v>-5.5</v>
      </c>
      <c r="L59" s="95" t="n">
        <v>-17.4</v>
      </c>
      <c r="M59" s="95" t="n">
        <v>-11.5</v>
      </c>
      <c r="N59" s="94" t="n">
        <v>0</v>
      </c>
      <c r="O59" s="94" t="n">
        <v>0</v>
      </c>
      <c r="P59" s="89" t="n">
        <v>1</v>
      </c>
      <c r="Q59" s="97" t="n">
        <v>726.7</v>
      </c>
      <c r="R59" s="96" t="inlineStr">
        <is>
          <t>2520 SHANXI INSTALL</t>
        </is>
      </c>
    </row>
    <row r="60">
      <c r="A60" s="16" t="inlineStr">
        <is>
          <t>Red Solar Capital Limited</t>
        </is>
      </c>
      <c r="B60" s="89" t="n">
        <v>1</v>
      </c>
      <c r="C60" s="94" t="n">
        <v>0</v>
      </c>
      <c r="D60" s="95" t="n">
        <v>37.6</v>
      </c>
      <c r="E60" s="95" t="n">
        <v>0</v>
      </c>
      <c r="F60" s="95" t="n">
        <v>-27.3</v>
      </c>
      <c r="G60" s="89" t="n">
        <v>1</v>
      </c>
      <c r="H60" s="95" t="n">
        <v>-14.4</v>
      </c>
      <c r="I60" s="95" t="n">
        <v>33.6</v>
      </c>
      <c r="J60" s="95" t="n">
        <v>11.2</v>
      </c>
      <c r="K60" s="95" t="n">
        <v>-14.4</v>
      </c>
      <c r="L60" s="95" t="n">
        <v>33.6</v>
      </c>
      <c r="M60" s="95" t="n">
        <v>11.2</v>
      </c>
      <c r="N60" s="94" t="n"/>
      <c r="O60" s="94" t="n"/>
      <c r="P60" s="89" t="n">
        <v>0</v>
      </c>
      <c r="Q60" s="97" t="n">
        <v>133.9</v>
      </c>
      <c r="R60" s="96" t="inlineStr">
        <is>
          <t>2625 JIANGSU HORIZON</t>
        </is>
      </c>
    </row>
    <row r="61">
      <c r="A61" s="16" t="inlineStr">
        <is>
          <t>Mont Avenir Capital Limited</t>
        </is>
      </c>
      <c r="B61" s="89" t="n">
        <v>1</v>
      </c>
      <c r="C61" s="94" t="n">
        <v>0</v>
      </c>
      <c r="D61" s="95" t="n">
        <v>-5.5</v>
      </c>
      <c r="E61" s="95" t="n">
        <v>-6</v>
      </c>
      <c r="F61" s="95" t="n">
        <v>-0.5</v>
      </c>
      <c r="G61" s="89" t="n">
        <v>1</v>
      </c>
      <c r="H61" s="95" t="n">
        <v>-11.2</v>
      </c>
      <c r="I61" s="95" t="n">
        <v>-28</v>
      </c>
      <c r="J61" s="95" t="n">
        <v>-50.2</v>
      </c>
      <c r="K61" s="95" t="n">
        <v>-5.6</v>
      </c>
      <c r="L61" s="95" t="n">
        <v>-23.4</v>
      </c>
      <c r="M61" s="95" t="n">
        <v>-47.1</v>
      </c>
      <c r="N61" s="94" t="n">
        <v>0</v>
      </c>
      <c r="O61" s="94" t="n">
        <v>100</v>
      </c>
      <c r="P61" s="89" t="n">
        <v>1</v>
      </c>
      <c r="Q61" s="97" t="n">
        <v>872</v>
      </c>
      <c r="R61" s="96" t="inlineStr">
        <is>
          <t>9600 NEWLINK TECH</t>
        </is>
      </c>
    </row>
    <row r="62">
      <c r="A62" s="16" t="inlineStr">
        <is>
          <t>Fortune</t>
        </is>
      </c>
      <c r="B62" s="89" t="n">
        <v>1</v>
      </c>
      <c r="C62" s="94" t="n">
        <v>0</v>
      </c>
      <c r="D62" s="95" t="n">
        <v>-19.1</v>
      </c>
      <c r="E62" s="95" t="n">
        <v>-8.699999999999999</v>
      </c>
      <c r="F62" s="95" t="n">
        <v>12.9</v>
      </c>
      <c r="G62" s="89" t="n">
        <v>1</v>
      </c>
      <c r="H62" s="95" t="n">
        <v>5.8</v>
      </c>
      <c r="I62" s="95" t="n">
        <v>-13.9</v>
      </c>
      <c r="J62" s="95" t="n">
        <v>-13.3</v>
      </c>
      <c r="K62" s="95" t="n">
        <v>15.8</v>
      </c>
      <c r="L62" s="95" t="n">
        <v>-5.7</v>
      </c>
      <c r="M62" s="95" t="n">
        <v>-5.1</v>
      </c>
      <c r="N62" s="94" t="n">
        <v>0</v>
      </c>
      <c r="O62" s="94" t="n">
        <v>100</v>
      </c>
      <c r="P62" s="89" t="n">
        <v>1</v>
      </c>
      <c r="Q62" s="97" t="n">
        <v>644.8</v>
      </c>
      <c r="R62" s="96" t="inlineStr">
        <is>
          <t>2153 TAT HONG EQUIP</t>
        </is>
      </c>
    </row>
    <row r="63">
      <c r="A63" s="16" t="inlineStr">
        <is>
          <t>First Shanghai Securities Limited</t>
        </is>
      </c>
      <c r="B63" s="89" t="n">
        <v>1</v>
      </c>
      <c r="C63" s="94" t="n">
        <v>0</v>
      </c>
      <c r="D63" s="95" t="n">
        <v>2</v>
      </c>
      <c r="E63" s="95" t="n">
        <v>-10.8</v>
      </c>
      <c r="F63" s="95" t="n">
        <v>-12.5</v>
      </c>
      <c r="G63" s="89" t="n">
        <v>1</v>
      </c>
      <c r="H63" s="95" t="n">
        <v>-3.9</v>
      </c>
      <c r="I63" s="95" t="n">
        <v>-10.8</v>
      </c>
      <c r="J63" s="95" t="n">
        <v>-17.6</v>
      </c>
      <c r="K63" s="95" t="n">
        <v>7.7</v>
      </c>
      <c r="L63" s="95" t="n">
        <v>0</v>
      </c>
      <c r="M63" s="95" t="n">
        <v>-7.7</v>
      </c>
      <c r="N63" s="94" t="n">
        <v>0</v>
      </c>
      <c r="O63" s="94" t="n">
        <v>100</v>
      </c>
      <c r="P63" s="89" t="n">
        <v>1</v>
      </c>
      <c r="Q63" s="97" t="n">
        <v>255</v>
      </c>
      <c r="R63" s="96" t="inlineStr">
        <is>
          <t>2265 HC ENV TECH</t>
        </is>
      </c>
    </row>
    <row r="64">
      <c r="A64" s="16" t="inlineStr">
        <is>
          <t>BN P Paribas Securities</t>
        </is>
      </c>
      <c r="B64" s="89" t="n">
        <v>1</v>
      </c>
      <c r="C64" s="94" t="n">
        <v>0</v>
      </c>
      <c r="D64" s="95" t="n">
        <v>-16.7</v>
      </c>
      <c r="E64" s="95" t="n">
        <v>-12</v>
      </c>
      <c r="F64" s="95" t="n">
        <v>5.6</v>
      </c>
      <c r="G64" s="89" t="n">
        <v>1</v>
      </c>
      <c r="H64" s="95" t="n">
        <v>-9</v>
      </c>
      <c r="I64" s="95" t="n">
        <v>-23.7</v>
      </c>
      <c r="J64" s="95" t="n">
        <v>-38.3</v>
      </c>
      <c r="K64" s="95" t="n">
        <v>3.4</v>
      </c>
      <c r="L64" s="95" t="n">
        <v>-13.3</v>
      </c>
      <c r="M64" s="95" t="n">
        <v>-29.9</v>
      </c>
      <c r="N64" s="94" t="n">
        <v>0</v>
      </c>
      <c r="O64" s="94" t="n">
        <v>100</v>
      </c>
      <c r="P64" s="89" t="n">
        <v>1</v>
      </c>
      <c r="Q64" s="97" t="n">
        <v>984.5</v>
      </c>
      <c r="R64" s="96" t="inlineStr">
        <is>
          <t>9982 CENTRALCHINA MT</t>
        </is>
      </c>
    </row>
    <row r="65">
      <c r="A65" s="16" t="inlineStr">
        <is>
          <t>Alpha Financial Group Limited</t>
        </is>
      </c>
      <c r="B65" s="89" t="n">
        <v>1</v>
      </c>
      <c r="C65" s="94" t="n">
        <v>0</v>
      </c>
      <c r="D65" s="95" t="n">
        <v>15</v>
      </c>
      <c r="E65" s="95" t="n">
        <v>-12.5</v>
      </c>
      <c r="F65" s="95" t="n">
        <v>-23.9</v>
      </c>
      <c r="G65" s="89" t="n">
        <v>1</v>
      </c>
      <c r="H65" s="95" t="n">
        <v>-31.2</v>
      </c>
      <c r="I65" s="95" t="n">
        <v>-42</v>
      </c>
      <c r="J65" s="95" t="n">
        <v>-55</v>
      </c>
      <c r="K65" s="95" t="n">
        <v>-21.4</v>
      </c>
      <c r="L65" s="95" t="n">
        <v>-33.7</v>
      </c>
      <c r="M65" s="95" t="n">
        <v>-48.6</v>
      </c>
      <c r="N65" s="94" t="n"/>
      <c r="O65" s="94" t="n"/>
      <c r="P65" s="89" t="n">
        <v>0</v>
      </c>
      <c r="Q65" s="97" t="n">
        <v>125</v>
      </c>
      <c r="R65" s="96" t="inlineStr">
        <is>
          <t>2129 LEGION CONSO</t>
        </is>
      </c>
    </row>
    <row r="66">
      <c r="A66" s="16" t="inlineStr">
        <is>
          <t>Space Securities Limited</t>
        </is>
      </c>
      <c r="B66" s="89" t="n">
        <v>1</v>
      </c>
      <c r="C66" s="94" t="n">
        <v>0</v>
      </c>
      <c r="D66" s="95" t="n">
        <v>-5.6</v>
      </c>
      <c r="E66" s="95" t="n">
        <v>-22.2</v>
      </c>
      <c r="F66" s="95" t="n">
        <v>-17.6</v>
      </c>
      <c r="G66" s="89" t="n">
        <v>1</v>
      </c>
      <c r="H66" s="95" t="n">
        <v>-29.6</v>
      </c>
      <c r="I66" s="95" t="n">
        <v>-38</v>
      </c>
      <c r="J66" s="95" t="n">
        <v>-40.7</v>
      </c>
      <c r="K66" s="95" t="n">
        <v>-9.5</v>
      </c>
      <c r="L66" s="95" t="n">
        <v>-20.2</v>
      </c>
      <c r="M66" s="95" t="n">
        <v>-23.8</v>
      </c>
      <c r="N66" s="94" t="n"/>
      <c r="O66" s="94" t="n"/>
      <c r="P66" s="89" t="n">
        <v>0</v>
      </c>
      <c r="Q66" s="97" t="n">
        <v>135</v>
      </c>
      <c r="R66" s="96" t="inlineStr">
        <is>
          <t>1413 KWONG LUEN ENG</t>
        </is>
      </c>
    </row>
    <row r="67">
      <c r="A67" s="16" t="inlineStr">
        <is>
          <t>Head &amp; Shoulders Securities Limited</t>
        </is>
      </c>
      <c r="B67" s="89" t="n">
        <v>1</v>
      </c>
      <c r="C67" s="94" t="n">
        <v>0</v>
      </c>
      <c r="D67" s="95" t="n">
        <v>-32</v>
      </c>
      <c r="E67" s="95" t="n">
        <v>-23.4</v>
      </c>
      <c r="F67" s="95" t="n">
        <v>12.6</v>
      </c>
      <c r="G67" s="89" t="n">
        <v>1</v>
      </c>
      <c r="H67" s="95" t="n">
        <v>20.3</v>
      </c>
      <c r="I67" s="95" t="n">
        <v>26.6</v>
      </c>
      <c r="J67" s="95" t="n">
        <v>-21.1</v>
      </c>
      <c r="K67" s="95" t="n">
        <v>57.1</v>
      </c>
      <c r="L67" s="95" t="n">
        <v>65.3</v>
      </c>
      <c r="M67" s="95" t="n">
        <v>3.1</v>
      </c>
      <c r="N67" s="94" t="n">
        <v>0</v>
      </c>
      <c r="O67" s="94" t="n">
        <v>100</v>
      </c>
      <c r="P67" s="89" t="n">
        <v>1</v>
      </c>
      <c r="Q67" s="97" t="n">
        <v>130.6</v>
      </c>
      <c r="R67" s="96" t="inlineStr">
        <is>
          <t>2442 EASY SMART GP</t>
        </is>
      </c>
    </row>
    <row r="68">
      <c r="A68" s="16" t="inlineStr">
        <is>
          <t>First Fidelity Capi tal</t>
        </is>
      </c>
      <c r="B68" s="89" t="n">
        <v>1</v>
      </c>
      <c r="C68" s="94" t="n">
        <v>0</v>
      </c>
      <c r="D68" s="95" t="n">
        <v>-8</v>
      </c>
      <c r="E68" s="95" t="n">
        <v>-26.7</v>
      </c>
      <c r="F68" s="95" t="n">
        <v>-20.3</v>
      </c>
      <c r="G68" s="89" t="n">
        <v>1</v>
      </c>
      <c r="H68" s="95" t="n">
        <v>-34.7</v>
      </c>
      <c r="I68" s="95" t="n">
        <v>-40</v>
      </c>
      <c r="J68" s="95" t="n">
        <v>-46.7</v>
      </c>
      <c r="K68" s="95" t="n">
        <v>-10.9</v>
      </c>
      <c r="L68" s="95" t="n">
        <v>-18.2</v>
      </c>
      <c r="M68" s="95" t="n">
        <v>-27.3</v>
      </c>
      <c r="N68" s="94" t="n"/>
      <c r="O68" s="94" t="n"/>
      <c r="P68" s="89" t="n">
        <v>0</v>
      </c>
      <c r="Q68" s="97" t="n">
        <v>148.5</v>
      </c>
      <c r="R68" s="96" t="inlineStr">
        <is>
          <t>1927 JIUJIUWANG</t>
        </is>
      </c>
    </row>
    <row r="69">
      <c r="A69" s="16" t="inlineStr">
        <is>
          <t>Zhongtai Internati onal Securities Limited</t>
        </is>
      </c>
      <c r="B69" s="89" t="n">
        <v>1</v>
      </c>
      <c r="C69" s="94" t="n">
        <v>0</v>
      </c>
      <c r="D69" s="95" t="n">
        <v>-39.2</v>
      </c>
      <c r="E69" s="95" t="n">
        <v>-46.4</v>
      </c>
      <c r="F69" s="95" t="n">
        <v>-11.8</v>
      </c>
      <c r="G69" s="89" t="n">
        <v>1</v>
      </c>
      <c r="H69" s="95" t="n">
        <v>-63.6</v>
      </c>
      <c r="I69" s="95" t="n">
        <v>-65.59999999999999</v>
      </c>
      <c r="J69" s="95" t="n">
        <v>-68.40000000000001</v>
      </c>
      <c r="K69" s="95" t="n">
        <v>-32.1</v>
      </c>
      <c r="L69" s="95" t="n">
        <v>-35.8</v>
      </c>
      <c r="M69" s="95" t="n">
        <v>-41</v>
      </c>
      <c r="N69" s="94" t="n">
        <v>0</v>
      </c>
      <c r="O69" s="94" t="n">
        <v>100</v>
      </c>
      <c r="P69" s="89" t="n">
        <v>1</v>
      </c>
      <c r="Q69" s="97" t="n">
        <v>200</v>
      </c>
      <c r="R69" s="96" t="inlineStr">
        <is>
          <t>2545 ZHONGGAN COMM</t>
        </is>
      </c>
    </row>
  </sheetData>
  <autoFilter ref="A4:R69"/>
  <conditionalFormatting sqref="D5:D69">
    <cfRule type="colorScale" priority="1">
      <colorScale>
        <cfvo type="num" val="-40"/>
        <cfvo type="num" val="0"/>
        <cfvo type="num" val="60"/>
        <color rgb="00F8696B"/>
        <color rgb="00FFFFFF"/>
        <color rgb="0063BE7B"/>
      </colorScale>
    </cfRule>
  </conditionalFormatting>
  <conditionalFormatting sqref="E5:E69">
    <cfRule type="colorScale" priority="2">
      <colorScale>
        <cfvo type="num" val="-40"/>
        <cfvo type="num" val="0"/>
        <cfvo type="num" val="60"/>
        <color rgb="00F8696B"/>
        <color rgb="00FFFFFF"/>
        <color rgb="0063BE7B"/>
      </colorScale>
    </cfRule>
  </conditionalFormatting>
  <conditionalFormatting sqref="F5:F69">
    <cfRule type="colorScale" priority="3">
      <colorScale>
        <cfvo type="num" val="-40"/>
        <cfvo type="num" val="0"/>
        <cfvo type="num" val="60"/>
        <color rgb="00F8696B"/>
        <color rgb="00FFFFFF"/>
        <color rgb="0063BE7B"/>
      </colorScale>
    </cfRule>
  </conditionalFormatting>
  <conditionalFormatting sqref="H5:H69">
    <cfRule type="colorScale" priority="4">
      <colorScale>
        <cfvo type="num" val="-40"/>
        <cfvo type="num" val="0"/>
        <cfvo type="num" val="60"/>
        <color rgb="00F8696B"/>
        <color rgb="00FFFFFF"/>
        <color rgb="0063BE7B"/>
      </colorScale>
    </cfRule>
  </conditionalFormatting>
  <conditionalFormatting sqref="I5:I69">
    <cfRule type="colorScale" priority="5">
      <colorScale>
        <cfvo type="num" val="-40"/>
        <cfvo type="num" val="0"/>
        <cfvo type="num" val="60"/>
        <color rgb="00F8696B"/>
        <color rgb="00FFFFFF"/>
        <color rgb="0063BE7B"/>
      </colorScale>
    </cfRule>
  </conditionalFormatting>
  <conditionalFormatting sqref="J5:J69">
    <cfRule type="colorScale" priority="6">
      <colorScale>
        <cfvo type="num" val="-40"/>
        <cfvo type="num" val="0"/>
        <cfvo type="num" val="60"/>
        <color rgb="00F8696B"/>
        <color rgb="00FFFFFF"/>
        <color rgb="0063BE7B"/>
      </colorScale>
    </cfRule>
  </conditionalFormatting>
  <conditionalFormatting sqref="K5:K69">
    <cfRule type="colorScale" priority="7">
      <colorScale>
        <cfvo type="num" val="-40"/>
        <cfvo type="num" val="0"/>
        <cfvo type="num" val="60"/>
        <color rgb="00F8696B"/>
        <color rgb="00FFFFFF"/>
        <color rgb="0063BE7B"/>
      </colorScale>
    </cfRule>
  </conditionalFormatting>
  <conditionalFormatting sqref="L5:L69">
    <cfRule type="colorScale" priority="8">
      <colorScale>
        <cfvo type="num" val="-40"/>
        <cfvo type="num" val="0"/>
        <cfvo type="num" val="60"/>
        <color rgb="00F8696B"/>
        <color rgb="00FFFFFF"/>
        <color rgb="0063BE7B"/>
      </colorScale>
    </cfRule>
  </conditionalFormatting>
  <conditionalFormatting sqref="M5:M69">
    <cfRule type="colorScale" priority="9">
      <colorScale>
        <cfvo type="num" val="-40"/>
        <cfvo type="num" val="0"/>
        <cfvo type="num" val="60"/>
        <color rgb="00F8696B"/>
        <color rgb="00FFFFFF"/>
        <color rgb="0063BE7B"/>
      </colorScale>
    </cfRule>
  </conditionalFormatting>
  <pageMargins left="0.75" right="0.75" top="1" bottom="1" header="0.5" footer="0.5"/>
</worksheet>
</file>

<file path=xl/worksheets/sheet7.xml><?xml version="1.0" encoding="utf-8"?>
<worksheet xmlns="http://schemas.openxmlformats.org/spreadsheetml/2006/main">
  <sheetPr>
    <tabColor rgb="00BFBFBF"/>
    <outlinePr summaryBelow="1" summaryRight="1"/>
    <pageSetUpPr/>
  </sheetPr>
  <dimension ref="A1:H160"/>
  <sheetViews>
    <sheetView workbookViewId="0">
      <pane ySplit="4" topLeftCell="A5" activePane="bottomLeft" state="frozen"/>
      <selection pane="bottomLeft" activeCell="A1" sqref="A1"/>
    </sheetView>
  </sheetViews>
  <sheetFormatPr baseColWidth="8" defaultRowHeight="15"/>
  <cols>
    <col width="8" customWidth="1" min="1" max="1"/>
    <col width="24" customWidth="1" min="2" max="2"/>
    <col width="15" customWidth="1" min="3" max="3"/>
    <col width="15" customWidth="1" min="4" max="4"/>
    <col width="17" customWidth="1" min="5" max="5"/>
    <col width="17" customWidth="1" min="6" max="6"/>
    <col width="26" customWidth="1" min="7" max="7"/>
    <col width="78" customWidth="1" min="8" max="8"/>
  </cols>
  <sheetData>
    <row r="1">
      <c r="A1" s="1" t="inlineStr">
        <is>
          <t>VERIFY ON THE TERMINAL — every value the v20/v21 audits changed</t>
        </is>
      </c>
    </row>
    <row r="2">
      <c r="A2" s="2" t="inlineStr">
        <is>
          <t>Open on Bloomberg and let the BDP/BDH columns resolve. VERDICT says MATCH when Bloomberg agrees, CHECK when it does not — with both numbers side by side. Off-terminal every Bloomberg cell reads 'run on terminal', never an error. Grey rows = mnemonic still AWAITING first-use verification.</t>
        </is>
      </c>
    </row>
    <row r="3"/>
    <row r="4">
      <c r="A4" s="14" t="inlineStr">
        <is>
          <t>A · LISTING DATE + DAY-1 CLOSE  (90 deals — the stored date was the allotment-announcement day, usually a Saturday)</t>
        </is>
      </c>
    </row>
    <row r="5">
      <c r="A5" s="12" t="inlineStr">
        <is>
          <t>Code</t>
        </is>
      </c>
      <c r="B5" s="12" t="inlineStr">
        <is>
          <t>Name</t>
        </is>
      </c>
      <c r="C5" s="12" t="inlineStr">
        <is>
          <t>Our listing date</t>
        </is>
      </c>
      <c r="D5" s="12" t="inlineStr">
        <is>
          <t>Our day-1 close</t>
        </is>
      </c>
      <c r="E5" s="12" t="inlineStr">
        <is>
          <t>Our day-1 %</t>
        </is>
      </c>
      <c r="F5" s="12" t="inlineStr">
        <is>
          <t>BBG close that day</t>
        </is>
      </c>
      <c r="G5" s="12" t="inlineStr">
        <is>
          <t>VERDICT</t>
        </is>
      </c>
      <c r="H5" s="12" t="inlineStr">
        <is>
          <t>What we relied on</t>
        </is>
      </c>
    </row>
    <row r="6">
      <c r="A6" s="91" t="inlineStr">
        <is>
          <t>9608</t>
        </is>
      </c>
      <c r="B6" s="16" t="inlineStr">
        <is>
          <t>SUNDY SERVICE</t>
        </is>
      </c>
      <c r="C6" s="98" t="inlineStr">
        <is>
          <t>2021-01-18</t>
        </is>
      </c>
      <c r="D6" s="99" t="n">
        <v>0.16</v>
      </c>
      <c r="E6" s="95" t="n">
        <v>-36</v>
      </c>
      <c r="F6" s="40">
        <f>IFERROR(BDH(TEXT(N($A6),"0")&amp;" HK Equity","PX_LAST",$C6,$C6),"run on terminal")</f>
        <v/>
      </c>
      <c r="G6" s="10">
        <f>IF(NOT(ISNUMBER($F6)),"run on terminal",IF(ABS($F6/($D6)-1)&lt;0.005,"MATCH","CHECK — BBG "&amp;TEXT($F6,"0.000")))</f>
        <v/>
      </c>
      <c r="H6" s="96" t="inlineStr">
        <is>
          <t>AAStocks listing date (was 2021-01-16); close from the local kline session list</t>
        </is>
      </c>
    </row>
    <row r="7">
      <c r="A7" s="91" t="inlineStr">
        <is>
          <t>2170</t>
        </is>
      </c>
      <c r="B7" s="16" t="inlineStr">
        <is>
          <t>BASECARE-B</t>
        </is>
      </c>
      <c r="C7" s="98" t="inlineStr">
        <is>
          <t>2021-02-08</t>
        </is>
      </c>
      <c r="D7" s="99" t="n">
        <v>27.699</v>
      </c>
      <c r="E7" s="95" t="n">
        <v>1.24</v>
      </c>
      <c r="F7" s="40">
        <f>IFERROR(BDH(TEXT(N($A7),"0")&amp;" HK Equity","PX_LAST",$C7,$C7),"run on terminal")</f>
        <v/>
      </c>
      <c r="G7" s="10">
        <f>IF(NOT(ISNUMBER($F7)),"run on terminal",IF(ABS($F7/($D7)-1)&lt;0.005,"MATCH","CHECK — BBG "&amp;TEXT($F7,"0.000")))</f>
        <v/>
      </c>
      <c r="H7" s="96" t="inlineStr">
        <is>
          <t>AAStocks listing date (was 2021-02-06); close from the local kline session list</t>
        </is>
      </c>
    </row>
    <row r="8">
      <c r="A8" s="91" t="inlineStr">
        <is>
          <t>2518</t>
        </is>
      </c>
      <c r="B8" s="16" t="inlineStr">
        <is>
          <t>AUTOHOME-S</t>
        </is>
      </c>
      <c r="C8" s="98" t="inlineStr">
        <is>
          <t>2021-03-15</t>
        </is>
      </c>
      <c r="D8" s="99" t="n">
        <v>180.002</v>
      </c>
      <c r="E8" s="95" t="n">
        <v>2.1</v>
      </c>
      <c r="F8" s="40">
        <f>IFERROR(BDH(TEXT(N($A8),"0")&amp;" HK Equity","PX_LAST",$C8,$C8),"run on terminal")</f>
        <v/>
      </c>
      <c r="G8" s="10">
        <f>IF(NOT(ISNUMBER($F8)),"run on terminal",IF(ABS($F8/($D8)-1)&lt;0.005,"MATCH","CHECK — BBG "&amp;TEXT($F8,"0.000")))</f>
        <v/>
      </c>
      <c r="H8" s="96" t="inlineStr">
        <is>
          <t>AAStocks listing date (was 2021-03-13); close from the local kline session list</t>
        </is>
      </c>
    </row>
    <row r="9">
      <c r="A9" s="91" t="inlineStr">
        <is>
          <t>9626</t>
        </is>
      </c>
      <c r="B9" s="16" t="inlineStr">
        <is>
          <t>BILIBILI-SW</t>
        </is>
      </c>
      <c r="C9" s="98" t="inlineStr">
        <is>
          <t>2021-03-29</t>
        </is>
      </c>
      <c r="D9" s="99" t="n">
        <v>800.001</v>
      </c>
      <c r="E9" s="95" t="n">
        <v>-0.99</v>
      </c>
      <c r="F9" s="40">
        <f>IFERROR(BDH(TEXT(N($A9),"0")&amp;" HK Equity","PX_LAST",$C9,$C9),"run on terminal")</f>
        <v/>
      </c>
      <c r="G9" s="10">
        <f>IF(NOT(ISNUMBER($F9)),"run on terminal",IF(ABS($F9/($D9)-1)&lt;0.005,"MATCH","CHECK — BBG "&amp;TEXT($F9,"0.000")))</f>
        <v/>
      </c>
      <c r="H9" s="96" t="inlineStr">
        <is>
          <t>AAStocks listing date (was 2021-03-27); close from the local kline session list</t>
        </is>
      </c>
    </row>
    <row r="10">
      <c r="A10" s="91" t="inlineStr">
        <is>
          <t>9961</t>
        </is>
      </c>
      <c r="B10" s="16" t="inlineStr">
        <is>
          <t>TRIP.COM-S</t>
        </is>
      </c>
      <c r="C10" s="98" t="inlineStr">
        <is>
          <t>2021-04-19</t>
        </is>
      </c>
      <c r="D10" s="99" t="n">
        <v>280.194</v>
      </c>
      <c r="E10" s="95" t="n">
        <v>4.55</v>
      </c>
      <c r="F10" s="40">
        <f>IFERROR(BDH(TEXT(N($A10),"0")&amp;" HK Equity","PX_LAST",$C10,$C10),"run on terminal")</f>
        <v/>
      </c>
      <c r="G10" s="10">
        <f>IF(NOT(ISNUMBER($F10)),"run on terminal",IF(ABS($F10/($D10)-1)&lt;0.005,"MATCH","CHECK — BBG "&amp;TEXT($F10,"0.000")))</f>
        <v/>
      </c>
      <c r="H10" s="96" t="inlineStr">
        <is>
          <t>AAStocks listing date (was 2021-04-17); close from the local kline session list</t>
        </is>
      </c>
    </row>
    <row r="11">
      <c r="A11" s="91" t="inlineStr">
        <is>
          <t>2191</t>
        </is>
      </c>
      <c r="B11" s="16" t="inlineStr">
        <is>
          <t>SF REIT</t>
        </is>
      </c>
      <c r="C11" s="98" t="inlineStr">
        <is>
          <t>2021-05-17</t>
        </is>
      </c>
      <c r="D11" s="99" t="n">
        <v>4.16</v>
      </c>
      <c r="E11" s="95" t="n">
        <v>-16.47</v>
      </c>
      <c r="F11" s="40">
        <f>IFERROR(BDH(TEXT(N($A11),"0")&amp;" HK Equity","PX_LAST",$C11,$C11),"run on terminal")</f>
        <v/>
      </c>
      <c r="G11" s="10">
        <f>IF(NOT(ISNUMBER($F11)),"run on terminal",IF(ABS($F11/($D11)-1)&lt;0.005,"MATCH","CHECK — BBG "&amp;TEXT($F11,"0.000")))</f>
        <v/>
      </c>
      <c r="H11" s="96" t="inlineStr">
        <is>
          <t>AAStocks listing date (was 2021-05-15); close from the local kline session list</t>
        </is>
      </c>
    </row>
    <row r="12">
      <c r="A12" s="91" t="inlineStr">
        <is>
          <t>9982</t>
        </is>
      </c>
      <c r="B12" s="16" t="inlineStr">
        <is>
          <t>CENTRALCHINA MT</t>
        </is>
      </c>
      <c r="C12" s="98" t="inlineStr">
        <is>
          <t>2021-05-31</t>
        </is>
      </c>
      <c r="D12" s="99" t="n">
        <v>2.64</v>
      </c>
      <c r="E12" s="95" t="n">
        <v>-12</v>
      </c>
      <c r="F12" s="40">
        <f>IFERROR(BDH(TEXT(N($A12),"0")&amp;" HK Equity","PX_LAST",$C12,$C12),"run on terminal")</f>
        <v/>
      </c>
      <c r="G12" s="10">
        <f>IF(NOT(ISNUMBER($F12)),"run on terminal",IF(ABS($F12/($D12)-1)&lt;0.005,"MATCH","CHECK — BBG "&amp;TEXT($F12,"0.000")))</f>
        <v/>
      </c>
      <c r="H12" s="96" t="inlineStr">
        <is>
          <t>AAStocks listing date (was 2021-05-29); close from the local kline session list</t>
        </is>
      </c>
    </row>
    <row r="13">
      <c r="A13" s="91" t="inlineStr">
        <is>
          <t>2155</t>
        </is>
      </c>
      <c r="B13" s="16" t="inlineStr">
        <is>
          <t>MORIMATSU INTL</t>
        </is>
      </c>
      <c r="C13" s="98" t="inlineStr">
        <is>
          <t>2021-06-28</t>
        </is>
      </c>
      <c r="D13" s="99" t="n">
        <v>8.9</v>
      </c>
      <c r="E13" s="95" t="n">
        <v>258.87</v>
      </c>
      <c r="F13" s="40">
        <f>IFERROR(BDH(TEXT(N($A13),"0")&amp;" HK Equity","PX_LAST",$C13,$C13),"run on terminal")</f>
        <v/>
      </c>
      <c r="G13" s="10">
        <f>IF(NOT(ISNUMBER($F13)),"run on terminal",IF(ABS($F13/($D13)-1)&lt;0.005,"MATCH","CHECK — BBG "&amp;TEXT($F13,"0.000")))</f>
        <v/>
      </c>
      <c r="H13" s="96" t="inlineStr">
        <is>
          <t>AAStocks listing date (was 2021-06-26); close from the local kline session list</t>
        </is>
      </c>
    </row>
    <row r="14">
      <c r="A14" s="91" t="inlineStr">
        <is>
          <t>6626</t>
        </is>
      </c>
      <c r="B14" s="16" t="inlineStr">
        <is>
          <t>YUEXIU SERVICES</t>
        </is>
      </c>
      <c r="C14" s="98" t="inlineStr">
        <is>
          <t>2021-06-28</t>
        </is>
      </c>
      <c r="D14" s="99" t="n">
        <v>4.88</v>
      </c>
      <c r="E14" s="95" t="n">
        <v>0</v>
      </c>
      <c r="F14" s="40">
        <f>IFERROR(BDH(TEXT(N($A14),"0")&amp;" HK Equity","PX_LAST",$C14,$C14),"run on terminal")</f>
        <v/>
      </c>
      <c r="G14" s="10">
        <f>IF(NOT(ISNUMBER($F14)),"run on terminal",IF(ABS($F14/($D14)-1)&lt;0.005,"MATCH","CHECK — BBG "&amp;TEXT($F14,"0.000")))</f>
        <v/>
      </c>
      <c r="H14" s="96" t="inlineStr">
        <is>
          <t>AAStocks listing date (was 2021-06-26); close from the local kline session list</t>
        </is>
      </c>
    </row>
    <row r="15">
      <c r="A15" s="91" t="inlineStr">
        <is>
          <t>0606</t>
        </is>
      </c>
      <c r="B15" s="16" t="inlineStr">
        <is>
          <t>SCE CM</t>
        </is>
      </c>
      <c r="C15" s="98" t="inlineStr">
        <is>
          <t>2021-07-02</t>
        </is>
      </c>
      <c r="D15" s="99" t="n">
        <v>4</v>
      </c>
      <c r="E15" s="95" t="n">
        <v>8.109999999999999</v>
      </c>
      <c r="F15" s="40">
        <f>IFERROR(BDH(TEXT(N($A15),"0")&amp;" HK Equity","PX_LAST",$C15,$C15),"run on terminal")</f>
        <v/>
      </c>
      <c r="G15" s="10">
        <f>IF(NOT(ISNUMBER($F15)),"run on terminal",IF(ABS($F15/($D15)-1)&lt;0.005,"MATCH","CHECK — BBG "&amp;TEXT($F15,"0.000")))</f>
        <v/>
      </c>
      <c r="H15" s="96" t="inlineStr">
        <is>
          <t>AAStocks listing date (was 2021-07-01); close from the local kline session list</t>
        </is>
      </c>
    </row>
    <row r="16">
      <c r="A16" s="91" t="inlineStr">
        <is>
          <t>2190</t>
        </is>
      </c>
      <c r="B16" s="16" t="inlineStr">
        <is>
          <t>ZYLOXTB-B</t>
        </is>
      </c>
      <c r="C16" s="98" t="inlineStr">
        <is>
          <t>2021-07-05</t>
        </is>
      </c>
      <c r="D16" s="99" t="n">
        <v>60.002</v>
      </c>
      <c r="E16" s="95" t="n">
        <v>40.52</v>
      </c>
      <c r="F16" s="40">
        <f>IFERROR(BDH(TEXT(N($A16),"0")&amp;" HK Equity","PX_LAST",$C16,$C16),"run on terminal")</f>
        <v/>
      </c>
      <c r="G16" s="10">
        <f>IF(NOT(ISNUMBER($F16)),"run on terminal",IF(ABS($F16/($D16)-1)&lt;0.005,"MATCH","CHECK — BBG "&amp;TEXT($F16,"0.000")))</f>
        <v/>
      </c>
      <c r="H16" s="96" t="inlineStr">
        <is>
          <t>AAStocks listing date (was 2021-07-03); close from the local kline session list</t>
        </is>
      </c>
    </row>
    <row r="17">
      <c r="A17" s="91" t="inlineStr">
        <is>
          <t>2165</t>
        </is>
      </c>
      <c r="B17" s="16" t="inlineStr">
        <is>
          <t>LING YUE SER GP</t>
        </is>
      </c>
      <c r="C17" s="98" t="inlineStr">
        <is>
          <t>2021-07-12</t>
        </is>
      </c>
      <c r="D17" s="99" t="n">
        <v>4.19</v>
      </c>
      <c r="E17" s="95" t="n">
        <v>0</v>
      </c>
      <c r="F17" s="40">
        <f>IFERROR(BDH(TEXT(N($A17),"0")&amp;" HK Equity","PX_LAST",$C17,$C17),"run on terminal")</f>
        <v/>
      </c>
      <c r="G17" s="10">
        <f>IF(NOT(ISNUMBER($F17)),"run on terminal",IF(ABS($F17/($D17)-1)&lt;0.005,"MATCH","CHECK — BBG "&amp;TEXT($F17,"0.000")))</f>
        <v/>
      </c>
      <c r="H17" s="96" t="inlineStr">
        <is>
          <t>AAStocks listing date (was 2021-07-10); close from the local kline session list</t>
        </is>
      </c>
    </row>
    <row r="18">
      <c r="A18" s="91" t="inlineStr">
        <is>
          <t>2177</t>
        </is>
      </c>
      <c r="B18" s="16" t="inlineStr">
        <is>
          <t>UNQ HOLDINGS</t>
        </is>
      </c>
      <c r="C18" s="98" t="inlineStr">
        <is>
          <t>2021-07-12</t>
        </is>
      </c>
      <c r="D18" s="99" t="n">
        <v>9.039999999999999</v>
      </c>
      <c r="E18" s="95" t="n">
        <v>-23.78</v>
      </c>
      <c r="F18" s="40">
        <f>IFERROR(BDH(TEXT(N($A18),"0")&amp;" HK Equity","PX_LAST",$C18,$C18),"run on terminal")</f>
        <v/>
      </c>
      <c r="G18" s="10">
        <f>IF(NOT(ISNUMBER($F18)),"run on terminal",IF(ABS($F18/($D18)-1)&lt;0.005,"MATCH","CHECK — BBG "&amp;TEXT($F18,"0.000")))</f>
        <v/>
      </c>
      <c r="H18" s="96" t="inlineStr">
        <is>
          <t>AAStocks listing date (was 2021-07-10); close from the local kline session list</t>
        </is>
      </c>
    </row>
    <row r="19">
      <c r="A19" s="91" t="inlineStr">
        <is>
          <t>6611</t>
        </is>
      </c>
      <c r="B19" s="16" t="inlineStr">
        <is>
          <t>SANXUN GROUP</t>
        </is>
      </c>
      <c r="C19" s="98" t="inlineStr">
        <is>
          <t>2021-07-19</t>
        </is>
      </c>
      <c r="D19" s="99" t="n">
        <v>4.75</v>
      </c>
      <c r="E19" s="95" t="n">
        <v>0</v>
      </c>
      <c r="F19" s="40">
        <f>IFERROR(BDH(TEXT(N($A19),"0")&amp;" HK Equity","PX_LAST",$C19,$C19),"run on terminal")</f>
        <v/>
      </c>
      <c r="G19" s="10">
        <f>IF(NOT(ISNUMBER($F19)),"run on terminal",IF(ABS($F19/($D19)-1)&lt;0.005,"MATCH","CHECK — BBG "&amp;TEXT($F19,"0.000")))</f>
        <v/>
      </c>
      <c r="H19" s="96" t="inlineStr">
        <is>
          <t>AAStocks listing date (was 2021-07-17); close from the local kline session list</t>
        </is>
      </c>
    </row>
    <row r="20">
      <c r="A20" s="91" t="inlineStr">
        <is>
          <t>2378</t>
        </is>
      </c>
      <c r="B20" s="16" t="inlineStr">
        <is>
          <t>PRU</t>
        </is>
      </c>
      <c r="C20" s="98" t="inlineStr">
        <is>
          <t>2021-10-04</t>
        </is>
      </c>
      <c r="D20" s="99" t="n">
        <v>150.602</v>
      </c>
      <c r="E20" s="95" t="n">
        <v>4.73</v>
      </c>
      <c r="F20" s="40">
        <f>IFERROR(BDH(TEXT(N($A20),"0")&amp;" HK Equity","PX_LAST",$C20,$C20),"run on terminal")</f>
        <v/>
      </c>
      <c r="G20" s="10">
        <f>IF(NOT(ISNUMBER($F20)),"run on terminal",IF(ABS($F20/($D20)-1)&lt;0.005,"MATCH","CHECK — BBG "&amp;TEXT($F20,"0.000")))</f>
        <v/>
      </c>
      <c r="H20" s="96" t="inlineStr">
        <is>
          <t>AAStocks listing date (was 2021-10-01); close from the local kline session list</t>
        </is>
      </c>
    </row>
    <row r="21">
      <c r="A21" s="91" t="inlineStr">
        <is>
          <t>1948</t>
        </is>
      </c>
      <c r="B21" s="16" t="inlineStr">
        <is>
          <t>UJU HOLDING</t>
        </is>
      </c>
      <c r="C21" s="98" t="inlineStr">
        <is>
          <t>2021-11-08</t>
        </is>
      </c>
      <c r="D21" s="99" t="n">
        <v>6.4</v>
      </c>
      <c r="E21" s="95" t="n">
        <v>-4.48</v>
      </c>
      <c r="F21" s="40">
        <f>IFERROR(BDH(TEXT(N($A21),"0")&amp;" HK Equity","PX_LAST",$C21,$C21),"run on terminal")</f>
        <v/>
      </c>
      <c r="G21" s="10">
        <f>IF(NOT(ISNUMBER($F21)),"run on terminal",IF(ABS($F21/($D21)-1)&lt;0.005,"MATCH","CHECK — BBG "&amp;TEXT($F21,"0.000")))</f>
        <v/>
      </c>
      <c r="H21" s="96" t="inlineStr">
        <is>
          <t>AAStocks listing date (was 2021-11-06); close from the local kline session list</t>
        </is>
      </c>
    </row>
    <row r="22">
      <c r="A22" s="91" t="inlineStr">
        <is>
          <t>2279</t>
        </is>
      </c>
      <c r="B22" s="16" t="inlineStr">
        <is>
          <t>YONGHE MEDICAL</t>
        </is>
      </c>
      <c r="C22" s="98" t="inlineStr">
        <is>
          <t>2021-12-13</t>
        </is>
      </c>
      <c r="D22" s="99" t="n">
        <v>16.599</v>
      </c>
      <c r="E22" s="95" t="n">
        <v>5.06</v>
      </c>
      <c r="F22" s="40">
        <f>IFERROR(BDH(TEXT(N($A22),"0")&amp;" HK Equity","PX_LAST",$C22,$C22),"run on terminal")</f>
        <v/>
      </c>
      <c r="G22" s="10">
        <f>IF(NOT(ISNUMBER($F22)),"run on terminal",IF(ABS($F22/($D22)-1)&lt;0.005,"MATCH","CHECK — BBG "&amp;TEXT($F22,"0.000")))</f>
        <v/>
      </c>
      <c r="H22" s="96" t="inlineStr">
        <is>
          <t>AAStocks listing date (was 2021-12-11); close from the local kline session list</t>
        </is>
      </c>
    </row>
    <row r="23">
      <c r="A23" s="91" t="inlineStr">
        <is>
          <t>2250</t>
        </is>
      </c>
      <c r="B23" s="16" t="inlineStr">
        <is>
          <t>SEMK HOLDINGS</t>
        </is>
      </c>
      <c r="C23" s="98" t="inlineStr">
        <is>
          <t>2022-01-17</t>
        </is>
      </c>
      <c r="D23" s="99" t="n">
        <v>2.39</v>
      </c>
      <c r="E23" s="95" t="n">
        <v>16.59</v>
      </c>
      <c r="F23" s="40">
        <f>IFERROR(BDH(TEXT(N($A23),"0")&amp;" HK Equity","PX_LAST",$C23,$C23),"run on terminal")</f>
        <v/>
      </c>
      <c r="G23" s="10">
        <f>IF(NOT(ISNUMBER($F23)),"run on terminal",IF(ABS($F23/($D23)-1)&lt;0.005,"MATCH","CHECK — BBG "&amp;TEXT($F23,"0.000")))</f>
        <v/>
      </c>
      <c r="H23" s="96" t="inlineStr">
        <is>
          <t>AAStocks listing date (was 2022-01-15); close from the local kline session list</t>
        </is>
      </c>
    </row>
    <row r="24">
      <c r="A24" s="91" t="inlineStr">
        <is>
          <t>2237</t>
        </is>
      </c>
      <c r="B24" s="16" t="inlineStr">
        <is>
          <t>CHINA GRAPHITE</t>
        </is>
      </c>
      <c r="C24" s="98" t="inlineStr">
        <is>
          <t>2022-07-18</t>
        </is>
      </c>
      <c r="D24" s="99" t="n">
        <v>0.79</v>
      </c>
      <c r="E24" s="95" t="n">
        <v>143.08</v>
      </c>
      <c r="F24" s="40">
        <f>IFERROR(BDH(TEXT(N($A24),"0")&amp;" HK Equity","PX_LAST",$C24,$C24),"run on terminal")</f>
        <v/>
      </c>
      <c r="G24" s="10">
        <f>IF(NOT(ISNUMBER($F24)),"run on terminal",IF(ABS($F24/($D24)-1)&lt;0.005,"MATCH","CHECK — BBG "&amp;TEXT($F24,"0.000")))</f>
        <v/>
      </c>
      <c r="H24" s="96" t="inlineStr">
        <is>
          <t>AAStocks listing date (was 2022-07-16); close from the local kline session list</t>
        </is>
      </c>
    </row>
    <row r="25">
      <c r="A25" s="91" t="inlineStr">
        <is>
          <t>2350</t>
        </is>
      </c>
      <c r="B25" s="16" t="inlineStr">
        <is>
          <t>MTT GROUP</t>
        </is>
      </c>
      <c r="C25" s="98" t="inlineStr">
        <is>
          <t>2022-09-26</t>
        </is>
      </c>
      <c r="D25" s="99" t="n">
        <v>0.62</v>
      </c>
      <c r="E25" s="95" t="n">
        <v>-27.06</v>
      </c>
      <c r="F25" s="40">
        <f>IFERROR(BDH(TEXT(N($A25),"0")&amp;" HK Equity","PX_LAST",$C25,$C25),"run on terminal")</f>
        <v/>
      </c>
      <c r="G25" s="10">
        <f>IF(NOT(ISNUMBER($F25)),"run on terminal",IF(ABS($F25/($D25/1.246)-1)&lt;0.005,"MATCH","CHECK — BBG "&amp;TEXT($F25,"0.000")))</f>
        <v/>
      </c>
      <c r="H25" s="96" t="inlineStr">
        <is>
          <t>AAStocks listing date (was 2022-09-24); close from the local kline session list; BBG basis = raw ÷ 1.246 (later corporate actions back-adjust its history)</t>
        </is>
      </c>
    </row>
    <row r="26">
      <c r="A26" s="91" t="inlineStr">
        <is>
          <t>9877</t>
        </is>
      </c>
      <c r="B26" s="16" t="inlineStr">
        <is>
          <t>JENSCARE-B</t>
        </is>
      </c>
      <c r="C26" s="98" t="inlineStr">
        <is>
          <t>2022-10-10</t>
        </is>
      </c>
      <c r="D26" s="99" t="n">
        <v>28.25</v>
      </c>
      <c r="E26" s="95" t="n">
        <v>1.62</v>
      </c>
      <c r="F26" s="40">
        <f>IFERROR(BDH(TEXT(N($A26),"0")&amp;" HK Equity","PX_LAST",$C26,$C26),"run on terminal")</f>
        <v/>
      </c>
      <c r="G26" s="10">
        <f>IF(NOT(ISNUMBER($F26)),"run on terminal",IF(ABS($F26/($D26)-1)&lt;0.005,"MATCH","CHECK — BBG "&amp;TEXT($F26,"0.000")))</f>
        <v/>
      </c>
      <c r="H26" s="96" t="inlineStr">
        <is>
          <t>AAStocks listing date (was 2022-10-08); close from the local kline session list</t>
        </is>
      </c>
    </row>
    <row r="27">
      <c r="A27" s="91" t="inlineStr">
        <is>
          <t>1489</t>
        </is>
      </c>
      <c r="B27" s="16" t="inlineStr">
        <is>
          <t>GC CONSTRUCTION</t>
        </is>
      </c>
      <c r="C27" s="98" t="inlineStr">
        <is>
          <t>2022-10-10</t>
        </is>
      </c>
      <c r="D27" s="99" t="n">
        <v>0.55</v>
      </c>
      <c r="E27" s="95" t="n">
        <v>10</v>
      </c>
      <c r="F27" s="40">
        <f>IFERROR(BDH(TEXT(N($A27),"0")&amp;" HK Equity","PX_LAST",$C27,$C27),"run on terminal")</f>
        <v/>
      </c>
      <c r="G27" s="10">
        <f>IF(NOT(ISNUMBER($F27)),"run on terminal",IF(ABS($F27/($D27)-1)&lt;0.005,"MATCH","CHECK — BBG "&amp;TEXT($F27,"0.000")))</f>
        <v/>
      </c>
      <c r="H27" s="96" t="inlineStr">
        <is>
          <t>AAStocks listing date (was 2022-10-08); close from the local kline session list</t>
        </is>
      </c>
    </row>
    <row r="28">
      <c r="A28" s="91" t="inlineStr">
        <is>
          <t>2422</t>
        </is>
      </c>
      <c r="B28" s="16" t="inlineStr">
        <is>
          <t>REGO INTERACT</t>
        </is>
      </c>
      <c r="C28" s="98" t="inlineStr">
        <is>
          <t>2022-10-17</t>
        </is>
      </c>
      <c r="D28" s="99" t="n">
        <v>1.35</v>
      </c>
      <c r="E28" s="95" t="n">
        <v>110.94</v>
      </c>
      <c r="F28" s="40">
        <f>IFERROR(BDH(TEXT(N($A28),"0")&amp;" HK Equity","PX_LAST",$C28,$C28),"run on terminal")</f>
        <v/>
      </c>
      <c r="G28" s="10">
        <f>IF(NOT(ISNUMBER($F28)),"run on terminal",IF(ABS($F28/($D28/1.1936)-1)&lt;0.005,"MATCH","CHECK — BBG "&amp;TEXT($F28,"0.000")))</f>
        <v/>
      </c>
      <c r="H28" s="96" t="inlineStr">
        <is>
          <t>AAStocks listing date (was 2022-10-15); close from the local kline session list; BBG basis = raw ÷ 1.1936 (later corporate actions back-adjust its history)</t>
        </is>
      </c>
    </row>
    <row r="29">
      <c r="A29" s="91" t="inlineStr">
        <is>
          <t>2407</t>
        </is>
      </c>
      <c r="B29" s="16" t="inlineStr">
        <is>
          <t>GAUSH MEDITECH</t>
        </is>
      </c>
      <c r="C29" s="98" t="inlineStr">
        <is>
          <t>2022-12-12</t>
        </is>
      </c>
      <c r="D29" s="99" t="n">
        <v>51.4</v>
      </c>
      <c r="E29" s="95" t="n">
        <v>0</v>
      </c>
      <c r="F29" s="40">
        <f>IFERROR(BDH(TEXT(N($A29),"0")&amp;" HK Equity","PX_LAST",$C29,$C29),"run on terminal")</f>
        <v/>
      </c>
      <c r="G29" s="10">
        <f>IF(NOT(ISNUMBER($F29)),"run on terminal",IF(ABS($F29/($D29)-1)&lt;0.005,"MATCH","CHECK — BBG "&amp;TEXT($F29,"0.000")))</f>
        <v/>
      </c>
      <c r="H29" s="96" t="inlineStr">
        <is>
          <t>AAStocks listing date (was 2022-12-10); close from the local kline session list</t>
        </is>
      </c>
    </row>
    <row r="30">
      <c r="A30" s="91" t="inlineStr">
        <is>
          <t>2440</t>
        </is>
      </c>
      <c r="B30" s="16" t="inlineStr">
        <is>
          <t>HOWKINGTECH</t>
        </is>
      </c>
      <c r="C30" s="98" t="inlineStr">
        <is>
          <t>2022-12-12</t>
        </is>
      </c>
      <c r="D30" s="99" t="n">
        <v>2</v>
      </c>
      <c r="E30" s="95" t="n">
        <v>-26.74</v>
      </c>
      <c r="F30" s="40">
        <f>IFERROR(BDH(TEXT(N($A30),"0")&amp;" HK Equity","PX_LAST",$C30,$C30),"run on terminal")</f>
        <v/>
      </c>
      <c r="G30" s="10">
        <f>IF(NOT(ISNUMBER($F30)),"run on terminal",IF(ABS($F30/($D30/1.22414)-1)&lt;0.005,"MATCH","CHECK — BBG "&amp;TEXT($F30,"0.000")))</f>
        <v/>
      </c>
      <c r="H30" s="96" t="inlineStr">
        <is>
          <t>AAStocks listing date (was 2022-12-10); close from the local kline session list; BBG basis = raw ÷ 1.22414 (later corporate actions back-adjust its history)</t>
        </is>
      </c>
    </row>
    <row r="31">
      <c r="A31" s="91" t="inlineStr">
        <is>
          <t>2469</t>
        </is>
      </c>
      <c r="B31" s="16" t="inlineStr">
        <is>
          <t>FENBI</t>
        </is>
      </c>
      <c r="C31" s="98" t="inlineStr">
        <is>
          <t>2023-01-09</t>
        </is>
      </c>
      <c r="D31" s="99" t="n">
        <v>11.1</v>
      </c>
      <c r="E31" s="95" t="n">
        <v>12.12</v>
      </c>
      <c r="F31" s="40">
        <f>IFERROR(BDH(TEXT(N($A31),"0")&amp;" HK Equity","PX_LAST",$C31,$C31),"run on terminal")</f>
        <v/>
      </c>
      <c r="G31" s="10">
        <f>IF(NOT(ISNUMBER($F31)),"run on terminal",IF(ABS($F31/($D31)-1)&lt;0.005,"MATCH","CHECK — BBG "&amp;TEXT($F31,"0.000")))</f>
        <v/>
      </c>
      <c r="H31" s="96" t="inlineStr">
        <is>
          <t>AAStocks listing date (was 2023-01-07); close from the local kline session list</t>
        </is>
      </c>
    </row>
    <row r="32">
      <c r="A32" s="91" t="inlineStr">
        <is>
          <t>2411</t>
        </is>
      </c>
      <c r="B32" s="16" t="inlineStr">
        <is>
          <t>PAGODA GP</t>
        </is>
      </c>
      <c r="C32" s="98" t="inlineStr">
        <is>
          <t>2023-01-16</t>
        </is>
      </c>
      <c r="D32" s="99" t="n">
        <v>6</v>
      </c>
      <c r="E32" s="95" t="n">
        <v>7.14</v>
      </c>
      <c r="F32" s="40">
        <f>IFERROR(BDH(TEXT(N($A32),"0")&amp;" HK Equity","PX_LAST",$C32,$C32),"run on terminal")</f>
        <v/>
      </c>
      <c r="G32" s="10">
        <f>IF(NOT(ISNUMBER($F32)),"run on terminal",IF(ABS($F32/($D32)-1)&lt;0.005,"MATCH","CHECK — BBG "&amp;TEXT($F32,"0.000")))</f>
        <v/>
      </c>
      <c r="H32" s="96" t="inlineStr">
        <is>
          <t>AAStocks listing date (was 2023-01-14); close from the local kline session list</t>
        </is>
      </c>
    </row>
    <row r="33">
      <c r="A33" s="91" t="inlineStr">
        <is>
          <t>2373</t>
        </is>
      </c>
      <c r="B33" s="16" t="inlineStr">
        <is>
          <t>BEAUTYFARM MED</t>
        </is>
      </c>
      <c r="C33" s="98" t="inlineStr">
        <is>
          <t>2023-01-16</t>
        </is>
      </c>
      <c r="D33" s="99" t="n">
        <v>29.65</v>
      </c>
      <c r="E33" s="95" t="n">
        <v>53.47</v>
      </c>
      <c r="F33" s="40">
        <f>IFERROR(BDH(TEXT(N($A33),"0")&amp;" HK Equity","PX_LAST",$C33,$C33),"run on terminal")</f>
        <v/>
      </c>
      <c r="G33" s="10">
        <f>IF(NOT(ISNUMBER($F33)),"run on terminal",IF(ABS($F33/($D33)-1)&lt;0.005,"MATCH","CHECK — BBG "&amp;TEXT($F33,"0.000")))</f>
        <v/>
      </c>
      <c r="H33" s="96" t="inlineStr">
        <is>
          <t>AAStocks listing date (was 2023-01-14); close from the local kline session list</t>
        </is>
      </c>
    </row>
    <row r="34">
      <c r="A34" s="91" t="inlineStr">
        <is>
          <t>2458</t>
        </is>
      </c>
      <c r="B34" s="16" t="inlineStr">
        <is>
          <t>GALA TECH HOLD</t>
        </is>
      </c>
      <c r="C34" s="98" t="inlineStr">
        <is>
          <t>2023-01-16</t>
        </is>
      </c>
      <c r="D34" s="99" t="n">
        <v>5.75</v>
      </c>
      <c r="E34" s="95" t="n">
        <v>-11.54</v>
      </c>
      <c r="F34" s="40">
        <f>IFERROR(BDH(TEXT(N($A34),"0")&amp;" HK Equity","PX_LAST",$C34,$C34),"run on terminal")</f>
        <v/>
      </c>
      <c r="G34" s="10">
        <f>IF(NOT(ISNUMBER($F34)),"run on terminal",IF(ABS($F34/($D34)-1)&lt;0.005,"MATCH","CHECK — BBG "&amp;TEXT($F34,"0.000")))</f>
        <v/>
      </c>
      <c r="H34" s="96" t="inlineStr">
        <is>
          <t>AAStocks listing date (was 2023-01-14); close from the local kline session list</t>
        </is>
      </c>
    </row>
    <row r="35">
      <c r="A35" s="91" t="inlineStr">
        <is>
          <t>2480</t>
        </is>
      </c>
      <c r="B35" s="16" t="inlineStr">
        <is>
          <t>LUZHU BIOTECH-B</t>
        </is>
      </c>
      <c r="C35" s="98" t="inlineStr">
        <is>
          <t>2023-05-08</t>
        </is>
      </c>
      <c r="D35" s="99" t="n">
        <v>21.999</v>
      </c>
      <c r="E35" s="95" t="n">
        <v>-32.93</v>
      </c>
      <c r="F35" s="40">
        <f>IFERROR(BDH(TEXT(N($A35),"0")&amp;" HK Equity","PX_LAST",$C35,$C35),"run on terminal")</f>
        <v/>
      </c>
      <c r="G35" s="10">
        <f>IF(NOT(ISNUMBER($F35)),"run on terminal",IF(ABS($F35/($D35)-1)&lt;0.005,"MATCH","CHECK — BBG "&amp;TEXT($F35,"0.000")))</f>
        <v/>
      </c>
      <c r="H35" s="96" t="inlineStr">
        <is>
          <t>AAStocks listing date (was 2023-05-06); close from the local kline session list</t>
        </is>
      </c>
    </row>
    <row r="36">
      <c r="A36" s="91" t="inlineStr">
        <is>
          <t>2487</t>
        </is>
      </c>
      <c r="B36" s="16" t="inlineStr">
        <is>
          <t>CUTIA-B</t>
        </is>
      </c>
      <c r="C36" s="98" t="inlineStr">
        <is>
          <t>2023-06-12</t>
        </is>
      </c>
      <c r="D36" s="99" t="n">
        <v>21.951</v>
      </c>
      <c r="E36" s="95" t="n">
        <v>0.46</v>
      </c>
      <c r="F36" s="40">
        <f>IFERROR(BDH(TEXT(N($A36),"0")&amp;" HK Equity","PX_LAST",$C36,$C36),"run on terminal")</f>
        <v/>
      </c>
      <c r="G36" s="10">
        <f>IF(NOT(ISNUMBER($F36)),"run on terminal",IF(ABS($F36/($D36)-1)&lt;0.005,"MATCH","CHECK — BBG "&amp;TEXT($F36,"0.000")))</f>
        <v/>
      </c>
      <c r="H36" s="96" t="inlineStr">
        <is>
          <t>AAStocks listing date (was 2023-06-10); close from the local kline session list</t>
        </is>
      </c>
    </row>
    <row r="37">
      <c r="A37" s="91" t="inlineStr">
        <is>
          <t>2481</t>
        </is>
      </c>
      <c r="B37" s="16" t="inlineStr">
        <is>
          <t>WISE LIVING TEC</t>
        </is>
      </c>
      <c r="C37" s="98" t="inlineStr">
        <is>
          <t>2023-07-10</t>
        </is>
      </c>
      <c r="D37" s="99" t="n">
        <v>3.6</v>
      </c>
      <c r="E37" s="95" t="n">
        <v>0</v>
      </c>
      <c r="F37" s="40">
        <f>IFERROR(BDH(TEXT(N($A37),"0")&amp;" HK Equity","PX_LAST",$C37,$C37),"run on terminal")</f>
        <v/>
      </c>
      <c r="G37" s="10">
        <f>IF(NOT(ISNUMBER($F37)),"run on terminal",IF(ABS($F37/($D37)-1)&lt;0.005,"MATCH","CHECK — BBG "&amp;TEXT($F37,"0.000")))</f>
        <v/>
      </c>
      <c r="H37" s="96" t="inlineStr">
        <is>
          <t>AAStocks listing date (was 2023-07-08); close from the local kline session list</t>
        </is>
      </c>
    </row>
    <row r="38">
      <c r="A38" s="91" t="inlineStr">
        <is>
          <t>1284</t>
        </is>
      </c>
      <c r="B38" s="16" t="inlineStr">
        <is>
          <t>NEW MEDIA LAB</t>
        </is>
      </c>
      <c r="C38" s="98" t="inlineStr">
        <is>
          <t>2023-07-18</t>
        </is>
      </c>
      <c r="D38" s="99" t="n">
        <v>0.93</v>
      </c>
      <c r="E38" s="95" t="n">
        <v>1.09</v>
      </c>
      <c r="F38" s="40">
        <f>IFERROR(BDH(TEXT(N($A38),"0")&amp;" HK Equity","PX_LAST",$C38,$C38),"run on terminal")</f>
        <v/>
      </c>
      <c r="G38" s="10">
        <f>IF(NOT(ISNUMBER($F38)),"run on terminal",IF(ABS($F38/($D38)-1)&lt;0.005,"MATCH","CHECK — BBG "&amp;TEXT($F38,"0.000")))</f>
        <v/>
      </c>
      <c r="H38" s="96" t="inlineStr">
        <is>
          <t>AAStocks listing date (was 2023-07-15); close from the local kline session list</t>
        </is>
      </c>
    </row>
    <row r="39">
      <c r="A39" s="91" t="inlineStr">
        <is>
          <t>2496</t>
        </is>
      </c>
      <c r="B39" s="16" t="inlineStr">
        <is>
          <t>YZYBIO-B</t>
        </is>
      </c>
      <c r="C39" s="98" t="inlineStr">
        <is>
          <t>2023-09-25</t>
        </is>
      </c>
      <c r="D39" s="99" t="n">
        <v>16</v>
      </c>
      <c r="E39" s="95" t="n">
        <v>0</v>
      </c>
      <c r="F39" s="40">
        <f>IFERROR(BDH(TEXT(N($A39),"0")&amp;" HK Equity","PX_LAST",$C39,$C39),"run on terminal")</f>
        <v/>
      </c>
      <c r="G39" s="10">
        <f>IF(NOT(ISNUMBER($F39)),"run on terminal",IF(ABS($F39/($D39)-1)&lt;0.005,"MATCH","CHECK — BBG "&amp;TEXT($F39,"0.000")))</f>
        <v/>
      </c>
      <c r="H39" s="96" t="inlineStr">
        <is>
          <t>AAStocks listing date (was 2023-09-23); close from the local kline session list</t>
        </is>
      </c>
    </row>
    <row r="40">
      <c r="A40" s="91" t="inlineStr">
        <is>
          <t>2490</t>
        </is>
      </c>
      <c r="B40" s="16" t="inlineStr">
        <is>
          <t>LC LOGISTICS</t>
        </is>
      </c>
      <c r="C40" s="98" t="inlineStr">
        <is>
          <t>2023-09-25</t>
        </is>
      </c>
      <c r="D40" s="99" t="n">
        <v>5.1</v>
      </c>
      <c r="E40" s="95" t="n">
        <v>-0.58</v>
      </c>
      <c r="F40" s="40">
        <f>IFERROR(BDH(TEXT(N($A40),"0")&amp;" HK Equity","PX_LAST",$C40,$C40),"run on terminal")</f>
        <v/>
      </c>
      <c r="G40" s="10">
        <f>IF(NOT(ISNUMBER($F40)),"run on terminal",IF(ABS($F40/($D40/2.0)-1)&lt;0.005,"MATCH","CHECK — BBG "&amp;TEXT($F40,"0.000")))</f>
        <v/>
      </c>
      <c r="H40" s="96" t="inlineStr">
        <is>
          <t>AAStocks listing date (was 2023-09-23); close from the local kline session list; BBG basis = raw ÷ 2 (later corporate actions back-adjust its history)</t>
        </is>
      </c>
    </row>
    <row r="41">
      <c r="A41" s="91" t="inlineStr">
        <is>
          <t>0666</t>
        </is>
      </c>
      <c r="B41" s="16" t="inlineStr">
        <is>
          <t>REPT BATTERO</t>
        </is>
      </c>
      <c r="C41" s="98" t="inlineStr">
        <is>
          <t>2023-12-18</t>
        </is>
      </c>
      <c r="D41" s="99" t="n">
        <v>18.779</v>
      </c>
      <c r="E41" s="95" t="n">
        <v>2.62</v>
      </c>
      <c r="F41" s="40">
        <f>IFERROR(BDH(TEXT(N($A41),"0")&amp;" HK Equity","PX_LAST",$C41,$C41),"run on terminal")</f>
        <v/>
      </c>
      <c r="G41" s="10">
        <f>IF(NOT(ISNUMBER($F41)),"run on terminal",IF(ABS($F41/($D41)-1)&lt;0.005,"MATCH","CHECK — BBG "&amp;TEXT($F41,"0.000")))</f>
        <v/>
      </c>
      <c r="H41" s="96" t="inlineStr">
        <is>
          <t>AAStocks listing date (was 2023-12-16); close from the local kline session list</t>
        </is>
      </c>
    </row>
    <row r="42">
      <c r="A42" s="91" t="inlineStr">
        <is>
          <t>2556</t>
        </is>
      </c>
      <c r="B42" s="16" t="inlineStr">
        <is>
          <t>MARKETINGFORCE</t>
        </is>
      </c>
      <c r="C42" s="98" t="inlineStr">
        <is>
          <t>2024-05-16</t>
        </is>
      </c>
      <c r="D42" s="99" t="n">
        <v>51.649</v>
      </c>
      <c r="E42" s="95" t="n">
        <v>18.46</v>
      </c>
      <c r="F42" s="40">
        <f>IFERROR(BDH(TEXT(N($A42),"0")&amp;" HK Equity","PX_LAST",$C42,$C42),"run on terminal")</f>
        <v/>
      </c>
      <c r="G42" s="10">
        <f>IF(NOT(ISNUMBER($F42)),"run on terminal",IF(ABS($F42/($D42)-1)&lt;0.005,"MATCH","CHECK — BBG "&amp;TEXT($F42,"0.000")))</f>
        <v/>
      </c>
      <c r="H42" s="96" t="inlineStr">
        <is>
          <t>AAStocks listing date (was 2024-05-15); close from the local kline session list</t>
        </is>
      </c>
    </row>
    <row r="43">
      <c r="A43" s="91" t="inlineStr">
        <is>
          <t>0917</t>
        </is>
      </c>
      <c r="B43" s="16" t="inlineStr">
        <is>
          <t>QUNABOX GROUP</t>
        </is>
      </c>
      <c r="C43" s="98" t="inlineStr">
        <is>
          <t>2024-05-27</t>
        </is>
      </c>
      <c r="D43" s="99" t="n">
        <v>35</v>
      </c>
      <c r="E43" s="95" t="n">
        <v>40</v>
      </c>
      <c r="F43" s="40">
        <f>IFERROR(BDH(TEXT(N($A43),"0")&amp;" HK Equity","PX_LAST",$C43,$C43),"run on terminal")</f>
        <v/>
      </c>
      <c r="G43" s="10">
        <f>IF(NOT(ISNUMBER($F43)),"run on terminal",IF(ABS($F43/($D43)-1)&lt;0.005,"MATCH","CHECK — BBG "&amp;TEXT($F43,"0.000")))</f>
        <v/>
      </c>
      <c r="H43" s="96" t="inlineStr">
        <is>
          <t>AAStocks listing date (was 2024-05-25); close from the local kline session list</t>
        </is>
      </c>
    </row>
    <row r="44">
      <c r="A44" s="91" t="inlineStr">
        <is>
          <t>2531</t>
        </is>
      </c>
      <c r="B44" s="16" t="inlineStr">
        <is>
          <t>CARLINK TECH</t>
        </is>
      </c>
      <c r="C44" s="98" t="inlineStr">
        <is>
          <t>2024-07-15</t>
        </is>
      </c>
      <c r="D44" s="99" t="n">
        <v>4.8</v>
      </c>
      <c r="E44" s="95" t="n">
        <v>2.13</v>
      </c>
      <c r="F44" s="40">
        <f>IFERROR(BDH(TEXT(N($A44),"0")&amp;" HK Equity","PX_LAST",$C44,$C44),"run on terminal")</f>
        <v/>
      </c>
      <c r="G44" s="10">
        <f>IF(NOT(ISNUMBER($F44)),"run on terminal",IF(ABS($F44/($D44)-1)&lt;0.005,"MATCH","CHECK — BBG "&amp;TEXT($F44,"0.000")))</f>
        <v/>
      </c>
      <c r="H44" s="96" t="inlineStr">
        <is>
          <t>AAStocks listing date (was 2024-07-13); close from the local kline session list</t>
        </is>
      </c>
    </row>
    <row r="45">
      <c r="A45" s="91" t="inlineStr">
        <is>
          <t>2549</t>
        </is>
      </c>
      <c r="B45" s="16" t="inlineStr">
        <is>
          <t>CAROTE LTD</t>
        </is>
      </c>
      <c r="C45" s="98" t="inlineStr">
        <is>
          <t>2024-10-02</t>
        </is>
      </c>
      <c r="D45" s="99" t="n">
        <v>9.15</v>
      </c>
      <c r="E45" s="95" t="n">
        <v>58.3</v>
      </c>
      <c r="F45" s="40">
        <f>IFERROR(BDH(TEXT(N($A45),"0")&amp;" HK Equity","PX_LAST",$C45,$C45),"run on terminal")</f>
        <v/>
      </c>
      <c r="G45" s="10">
        <f>IF(NOT(ISNUMBER($F45)),"run on terminal",IF(ABS($F45/($D45)-1)&lt;0.005,"MATCH","CHECK — BBG "&amp;TEXT($F45,"0.000")))</f>
        <v/>
      </c>
      <c r="H45" s="96" t="inlineStr">
        <is>
          <t>AAStocks listing date (was 2024-10-01); close from the local kline session list</t>
        </is>
      </c>
    </row>
    <row r="46">
      <c r="A46" s="91" t="inlineStr">
        <is>
          <t>2432</t>
        </is>
      </c>
      <c r="B46" s="16" t="inlineStr">
        <is>
          <t>DOBOT</t>
        </is>
      </c>
      <c r="C46" s="98" t="inlineStr">
        <is>
          <t>2024-12-23</t>
        </is>
      </c>
      <c r="D46" s="99" t="n">
        <v>18.939</v>
      </c>
      <c r="E46" s="95" t="n">
        <v>0.74</v>
      </c>
      <c r="F46" s="40">
        <f>IFERROR(BDH(TEXT(N($A46),"0")&amp;" HK Equity","PX_LAST",$C46,$C46),"run on terminal")</f>
        <v/>
      </c>
      <c r="G46" s="10">
        <f>IF(NOT(ISNUMBER($F46)),"run on terminal",IF(ABS($F46/($D46)-1)&lt;0.005,"MATCH","CHECK — BBG "&amp;TEXT($F46,"0.000")))</f>
        <v/>
      </c>
      <c r="H46" s="96" t="inlineStr">
        <is>
          <t>AAStocks listing date (was 2024-12-21); close from the local kline session list</t>
        </is>
      </c>
    </row>
    <row r="47">
      <c r="A47" s="91" t="inlineStr">
        <is>
          <t>2431</t>
        </is>
      </c>
      <c r="B47" s="16" t="inlineStr">
        <is>
          <t>MINIEYE</t>
        </is>
      </c>
      <c r="C47" s="98" t="inlineStr">
        <is>
          <t>2024-12-27</t>
        </is>
      </c>
      <c r="D47" s="99" t="n">
        <v>19.4</v>
      </c>
      <c r="E47" s="95" t="n">
        <v>14.12</v>
      </c>
      <c r="F47" s="40">
        <f>IFERROR(BDH(TEXT(N($A47),"0")&amp;" HK Equity","PX_LAST",$C47,$C47),"run on terminal")</f>
        <v/>
      </c>
      <c r="G47" s="10">
        <f>IF(NOT(ISNUMBER($F47)),"run on terminal",IF(ABS($F47/($D47)-1)&lt;0.005,"MATCH","CHECK — BBG "&amp;TEXT($F47,"0.000")))</f>
        <v/>
      </c>
      <c r="H47" s="96" t="inlineStr">
        <is>
          <t>AAStocks listing date (was 2024-12-25); close from the local kline session list</t>
        </is>
      </c>
    </row>
    <row r="48">
      <c r="A48" s="91" t="inlineStr">
        <is>
          <t>2587</t>
        </is>
      </c>
      <c r="B48" s="16" t="inlineStr">
        <is>
          <t>HEALTHYWAY INC</t>
        </is>
      </c>
      <c r="C48" s="98" t="inlineStr">
        <is>
          <t>2024-12-30</t>
        </is>
      </c>
      <c r="D48" s="99" t="n">
        <v>10.66</v>
      </c>
      <c r="E48" s="95" t="n">
        <v>36.67</v>
      </c>
      <c r="F48" s="40">
        <f>IFERROR(BDH(TEXT(N($A48),"0")&amp;" HK Equity","PX_LAST",$C48,$C48),"run on terminal")</f>
        <v/>
      </c>
      <c r="G48" s="10">
        <f>IF(NOT(ISNUMBER($F48)),"run on terminal",IF(ABS($F48/($D48)-1)&lt;0.005,"MATCH","CHECK — BBG "&amp;TEXT($F48,"0.000")))</f>
        <v/>
      </c>
      <c r="H48" s="96" t="inlineStr">
        <is>
          <t>AAStocks listing date (was 2024-12-28); close from the local kline session list</t>
        </is>
      </c>
    </row>
    <row r="49">
      <c r="A49" s="91" t="inlineStr">
        <is>
          <t>2577</t>
        </is>
      </c>
      <c r="B49" s="16" t="inlineStr">
        <is>
          <t>INNOSCIENCE</t>
        </is>
      </c>
      <c r="C49" s="98" t="inlineStr">
        <is>
          <t>2024-12-30</t>
        </is>
      </c>
      <c r="D49" s="99" t="n">
        <v>30.999</v>
      </c>
      <c r="E49" s="95" t="n">
        <v>0.45</v>
      </c>
      <c r="F49" s="40">
        <f>IFERROR(BDH(TEXT(N($A49),"0")&amp;" HK Equity","PX_LAST",$C49,$C49),"run on terminal")</f>
        <v/>
      </c>
      <c r="G49" s="10">
        <f>IF(NOT(ISNUMBER($F49)),"run on terminal",IF(ABS($F49/($D49)-1)&lt;0.005,"MATCH","CHECK — BBG "&amp;TEXT($F49,"0.000")))</f>
        <v/>
      </c>
      <c r="H49" s="96" t="inlineStr">
        <is>
          <t>AAStocks listing date (was 2024-12-28); close from the local kline session list</t>
        </is>
      </c>
    </row>
    <row r="50">
      <c r="A50" s="91" t="inlineStr">
        <is>
          <t>2506</t>
        </is>
      </c>
      <c r="B50" s="16" t="inlineStr">
        <is>
          <t>XUNFEIHEALTH</t>
        </is>
      </c>
      <c r="C50" s="98" t="inlineStr">
        <is>
          <t>2024-12-30</t>
        </is>
      </c>
      <c r="D50" s="99" t="n">
        <v>86.998</v>
      </c>
      <c r="E50" s="95" t="n">
        <v>5.07</v>
      </c>
      <c r="F50" s="40">
        <f>IFERROR(BDH(TEXT(N($A50),"0")&amp;" HK Equity","PX_LAST",$C50,$C50),"run on terminal")</f>
        <v/>
      </c>
      <c r="G50" s="10">
        <f>IF(NOT(ISNUMBER($F50)),"run on terminal",IF(ABS($F50/($D50)-1)&lt;0.005,"MATCH","CHECK — BBG "&amp;TEXT($F50,"0.000")))</f>
        <v/>
      </c>
      <c r="H50" s="96" t="inlineStr">
        <is>
          <t>AAStocks listing date (was 2024-12-28); close from the local kline session list</t>
        </is>
      </c>
    </row>
    <row r="51">
      <c r="A51" s="91" t="inlineStr">
        <is>
          <t>2596</t>
        </is>
      </c>
      <c r="B51" s="16" t="inlineStr">
        <is>
          <t>YIBIN BANK</t>
        </is>
      </c>
      <c r="C51" s="98" t="inlineStr">
        <is>
          <t>2025-01-13</t>
        </is>
      </c>
      <c r="D51" s="99" t="n">
        <v>2.61</v>
      </c>
      <c r="E51" s="95" t="n">
        <v>0.77</v>
      </c>
      <c r="F51" s="40">
        <f>IFERROR(BDH(TEXT(N($A51),"0")&amp;" HK Equity","PX_LAST",$C51,$C51),"run on terminal")</f>
        <v/>
      </c>
      <c r="G51" s="10">
        <f>IF(NOT(ISNUMBER($F51)),"run on terminal",IF(ABS($F51/($D51)-1)&lt;0.005,"MATCH","CHECK — BBG "&amp;TEXT($F51,"0.000")))</f>
        <v/>
      </c>
      <c r="H51" s="96" t="inlineStr">
        <is>
          <t>AAStocks listing date (was 2025-01-11); close from the local kline session list</t>
        </is>
      </c>
    </row>
    <row r="52">
      <c r="A52" s="91" t="inlineStr">
        <is>
          <t>2097</t>
        </is>
      </c>
      <c r="B52" s="16" t="inlineStr">
        <is>
          <t>MIXUE GROUP</t>
        </is>
      </c>
      <c r="C52" s="98" t="inlineStr">
        <is>
          <t>2025-03-03</t>
        </is>
      </c>
      <c r="D52" s="99" t="n">
        <v>290</v>
      </c>
      <c r="E52" s="95" t="n">
        <v>43.21</v>
      </c>
      <c r="F52" s="40">
        <f>IFERROR(BDH(TEXT(N($A52),"0")&amp;" HK Equity","PX_LAST",$C52,$C52),"run on terminal")</f>
        <v/>
      </c>
      <c r="G52" s="10">
        <f>IF(NOT(ISNUMBER($F52)),"run on terminal",IF(ABS($F52/($D52)-1)&lt;0.005,"MATCH","CHECK — BBG "&amp;TEXT($F52,"0.000")))</f>
        <v/>
      </c>
      <c r="H52" s="96" t="inlineStr">
        <is>
          <t>AAStocks listing date (was 2025-03-01); close from the local kline session list</t>
        </is>
      </c>
    </row>
    <row r="53">
      <c r="A53" s="91" t="inlineStr">
        <is>
          <t>6693</t>
        </is>
      </c>
      <c r="B53" s="16" t="inlineStr">
        <is>
          <t>CHIFENG GOLD</t>
        </is>
      </c>
      <c r="C53" s="98" t="inlineStr">
        <is>
          <t>2025-03-10</t>
        </is>
      </c>
      <c r="D53" s="99" t="n">
        <v>13.72</v>
      </c>
      <c r="E53" s="95" t="n">
        <v>0</v>
      </c>
      <c r="F53" s="40">
        <f>IFERROR(BDH(TEXT(N($A53),"0")&amp;" HK Equity","PX_LAST",$C53,$C53),"run on terminal")</f>
        <v/>
      </c>
      <c r="G53" s="10">
        <f>IF(NOT(ISNUMBER($F53)),"run on terminal",IF(ABS($F53/($D53)-1)&lt;0.005,"MATCH","CHECK — BBG "&amp;TEXT($F53,"0.000")))</f>
        <v/>
      </c>
      <c r="H53" s="96" t="inlineStr">
        <is>
          <t>AAStocks listing date (was 2025-03-08); close from the local kline session list</t>
        </is>
      </c>
    </row>
    <row r="54">
      <c r="A54" s="91" t="inlineStr">
        <is>
          <t>2625</t>
        </is>
      </c>
      <c r="B54" s="16" t="inlineStr">
        <is>
          <t>JIANGSU HORIZON</t>
        </is>
      </c>
      <c r="C54" s="98" t="inlineStr">
        <is>
          <t>2025-03-31</t>
        </is>
      </c>
      <c r="D54" s="99" t="n">
        <v>2.5</v>
      </c>
      <c r="E54" s="95" t="n">
        <v>0</v>
      </c>
      <c r="F54" s="40">
        <f>IFERROR(BDH(TEXT(N($A54),"0")&amp;" HK Equity","PX_LAST",$C54,$C54),"run on terminal")</f>
        <v/>
      </c>
      <c r="G54" s="10">
        <f>IF(NOT(ISNUMBER($F54)),"run on terminal",IF(ABS($F54/($D54)-1)&lt;0.005,"MATCH","CHECK — BBG "&amp;TEXT($F54,"0.000")))</f>
        <v/>
      </c>
      <c r="H54" s="96" t="inlineStr">
        <is>
          <t>AAStocks listing date (was 2025-03-29); close from the local kline session list</t>
        </is>
      </c>
    </row>
    <row r="55">
      <c r="A55" s="91" t="inlineStr">
        <is>
          <t>3677</t>
        </is>
      </c>
      <c r="B55" s="16" t="inlineStr">
        <is>
          <t>ZENERGY</t>
        </is>
      </c>
      <c r="C55" s="98" t="inlineStr">
        <is>
          <t>2025-04-14</t>
        </is>
      </c>
      <c r="D55" s="99" t="n">
        <v>8.390000000000001</v>
      </c>
      <c r="E55" s="95" t="n">
        <v>1.45</v>
      </c>
      <c r="F55" s="40">
        <f>IFERROR(BDH(TEXT(N($A55),"0")&amp;" HK Equity","PX_LAST",$C55,$C55),"run on terminal")</f>
        <v/>
      </c>
      <c r="G55" s="10">
        <f>IF(NOT(ISNUMBER($F55)),"run on terminal",IF(ABS($F55/($D55)-1)&lt;0.005,"MATCH","CHECK — BBG "&amp;TEXT($F55,"0.000")))</f>
        <v/>
      </c>
      <c r="H55" s="96" t="inlineStr">
        <is>
          <t>AAStocks listing date (was 2025-04-12); close from the local kline session list</t>
        </is>
      </c>
    </row>
    <row r="56">
      <c r="A56" s="91" t="inlineStr">
        <is>
          <t>2609</t>
        </is>
      </c>
      <c r="B56" s="16" t="inlineStr">
        <is>
          <t>BAYZED HEALTH</t>
        </is>
      </c>
      <c r="C56" s="98" t="inlineStr">
        <is>
          <t>2025-06-23</t>
        </is>
      </c>
      <c r="D56" s="99" t="n">
        <v>6</v>
      </c>
      <c r="E56" s="95" t="n">
        <v>42.18</v>
      </c>
      <c r="F56" s="40">
        <f>IFERROR(BDH(TEXT(N($A56),"0")&amp;" HK Equity","PX_LAST",$C56,$C56),"run on terminal")</f>
        <v/>
      </c>
      <c r="G56" s="10">
        <f>IF(NOT(ISNUMBER($F56)),"run on terminal",IF(ABS($F56/($D56)-1)&lt;0.005,"MATCH","CHECK — BBG "&amp;TEXT($F56,"0.000")))</f>
        <v/>
      </c>
      <c r="H56" s="96" t="inlineStr">
        <is>
          <t>AAStocks listing date (was 2025-06-21); close from the local kline session list</t>
        </is>
      </c>
    </row>
    <row r="57">
      <c r="A57" s="91" t="inlineStr">
        <is>
          <t>2050</t>
        </is>
      </c>
      <c r="B57" s="16" t="inlineStr">
        <is>
          <t>SANHUA</t>
        </is>
      </c>
      <c r="C57" s="98" t="inlineStr">
        <is>
          <t>2025-06-23</t>
        </is>
      </c>
      <c r="D57" s="99" t="n">
        <v>22.501</v>
      </c>
      <c r="E57" s="95" t="n">
        <v>-0.13</v>
      </c>
      <c r="F57" s="40">
        <f>IFERROR(BDH(TEXT(N($A57),"0")&amp;" HK Equity","PX_LAST",$C57,$C57),"run on terminal")</f>
        <v/>
      </c>
      <c r="G57" s="10">
        <f>IF(NOT(ISNUMBER($F57)),"run on terminal",IF(ABS($F57/($D57)-1)&lt;0.005,"MATCH","CHECK — BBG "&amp;TEXT($F57,"0.000")))</f>
        <v/>
      </c>
      <c r="H57" s="96" t="inlineStr">
        <is>
          <t>AAStocks listing date (was 2025-06-21); close from the local kline session list</t>
        </is>
      </c>
    </row>
    <row r="58">
      <c r="A58" s="91" t="inlineStr">
        <is>
          <t>2617</t>
        </is>
      </c>
      <c r="B58" s="16" t="inlineStr">
        <is>
          <t>TRANSTHERA-B</t>
        </is>
      </c>
      <c r="C58" s="98" t="inlineStr">
        <is>
          <t>2025-06-23</t>
        </is>
      </c>
      <c r="D58" s="99" t="n">
        <v>23.5</v>
      </c>
      <c r="E58" s="95" t="n">
        <v>78.70999999999999</v>
      </c>
      <c r="F58" s="40">
        <f>IFERROR(BDH(TEXT(N($A58),"0")&amp;" HK Equity","PX_LAST",$C58,$C58),"run on terminal")</f>
        <v/>
      </c>
      <c r="G58" s="10">
        <f>IF(NOT(ISNUMBER($F58)),"run on terminal",IF(ABS($F58/($D58)-1)&lt;0.005,"MATCH","CHECK — BBG "&amp;TEXT($F58,"0.000")))</f>
        <v/>
      </c>
      <c r="H58" s="96" t="inlineStr">
        <is>
          <t>AAStocks listing date (was 2025-06-21); close from the local kline session list</t>
        </is>
      </c>
    </row>
    <row r="59">
      <c r="A59" s="91" t="inlineStr">
        <is>
          <t>6883</t>
        </is>
      </c>
      <c r="B59" s="16" t="inlineStr">
        <is>
          <t>ETERNAL BEAUTY</t>
        </is>
      </c>
      <c r="C59" s="98" t="inlineStr">
        <is>
          <t>2025-06-26</t>
        </is>
      </c>
      <c r="D59" s="99" t="n">
        <v>2.4</v>
      </c>
      <c r="E59" s="95" t="n">
        <v>-16.67</v>
      </c>
      <c r="F59" s="40">
        <f>IFERROR(BDH(TEXT(N($A59),"0")&amp;" HK Equity","PX_LAST",$C59,$C59),"run on terminal")</f>
        <v/>
      </c>
      <c r="G59" s="10">
        <f>IF(NOT(ISNUMBER($F59)),"run on terminal",IF(ABS($F59/($D59)-1)&lt;0.005,"MATCH","CHECK — BBG "&amp;TEXT($F59,"0.000")))</f>
        <v/>
      </c>
      <c r="H59" s="96" t="inlineStr">
        <is>
          <t>AAStocks listing date (was 2025-06-27); close from the local kline session list</t>
        </is>
      </c>
    </row>
    <row r="60">
      <c r="A60" s="91" t="inlineStr">
        <is>
          <t>9678</t>
        </is>
      </c>
      <c r="B60" s="16" t="inlineStr">
        <is>
          <t>UNISOUND</t>
        </is>
      </c>
      <c r="C60" s="98" t="inlineStr">
        <is>
          <t>2025-06-30</t>
        </is>
      </c>
      <c r="D60" s="99" t="n">
        <v>296.409</v>
      </c>
      <c r="E60" s="95" t="n">
        <v>44.59</v>
      </c>
      <c r="F60" s="40">
        <f>IFERROR(BDH(TEXT(N($A60),"0")&amp;" HK Equity","PX_LAST",$C60,$C60),"run on terminal")</f>
        <v/>
      </c>
      <c r="G60" s="10">
        <f>IF(NOT(ISNUMBER($F60)),"run on terminal",IF(ABS($F60/($D60)-1)&lt;0.005,"MATCH","CHECK — BBG "&amp;TEXT($F60,"0.000")))</f>
        <v/>
      </c>
      <c r="H60" s="96" t="inlineStr">
        <is>
          <t>AAStocks listing date (was 2025-06-28); close from the local kline session list</t>
        </is>
      </c>
    </row>
    <row r="61">
      <c r="A61" s="91" t="inlineStr">
        <is>
          <t>3880</t>
        </is>
      </c>
      <c r="B61" s="16" t="inlineStr">
        <is>
          <t>MEDTIDE</t>
        </is>
      </c>
      <c r="C61" s="98" t="inlineStr">
        <is>
          <t>2025-06-30</t>
        </is>
      </c>
      <c r="D61" s="99" t="n">
        <v>30.799</v>
      </c>
      <c r="E61" s="95" t="n">
        <v>0.65</v>
      </c>
      <c r="F61" s="40">
        <f>IFERROR(BDH(TEXT(N($A61),"0")&amp;" HK Equity","PX_LAST",$C61,$C61),"run on terminal")</f>
        <v/>
      </c>
      <c r="G61" s="10">
        <f>IF(NOT(ISNUMBER($F61)),"run on terminal",IF(ABS($F61/($D61)-1)&lt;0.005,"MATCH","CHECK — BBG "&amp;TEXT($F61,"0.000")))</f>
        <v/>
      </c>
      <c r="H61" s="96" t="inlineStr">
        <is>
          <t>AAStocks listing date (was 2025-06-28); close from the local kline session list</t>
        </is>
      </c>
    </row>
    <row r="62">
      <c r="A62" s="91" t="inlineStr">
        <is>
          <t>6603</t>
        </is>
      </c>
      <c r="B62" s="16" t="inlineStr">
        <is>
          <t>IFBH</t>
        </is>
      </c>
      <c r="C62" s="98" t="inlineStr">
        <is>
          <t>2025-06-30</t>
        </is>
      </c>
      <c r="D62" s="99" t="n">
        <v>39.501</v>
      </c>
      <c r="E62" s="95" t="n">
        <v>42.09</v>
      </c>
      <c r="F62" s="40">
        <f>IFERROR(BDH(TEXT(N($A62),"0")&amp;" HK Equity","PX_LAST",$C62,$C62),"run on terminal")</f>
        <v/>
      </c>
      <c r="G62" s="10">
        <f>IF(NOT(ISNUMBER($F62)),"run on terminal",IF(ABS($F62/($D62)-1)&lt;0.005,"MATCH","CHECK — BBG "&amp;TEXT($F62,"0.000")))</f>
        <v/>
      </c>
      <c r="H62" s="96" t="inlineStr">
        <is>
          <t>AAStocks listing date (was 2025-06-28); close from the local kline session list</t>
        </is>
      </c>
    </row>
    <row r="63">
      <c r="A63" s="91" t="inlineStr">
        <is>
          <t>1828</t>
        </is>
      </c>
      <c r="B63" s="16" t="inlineStr">
        <is>
          <t>FWD</t>
        </is>
      </c>
      <c r="C63" s="98" t="inlineStr">
        <is>
          <t>2025-07-07</t>
        </is>
      </c>
      <c r="D63" s="99" t="n">
        <v>38.399</v>
      </c>
      <c r="E63" s="95" t="n">
        <v>1.05</v>
      </c>
      <c r="F63" s="40">
        <f>IFERROR(BDH(TEXT(N($A63),"0")&amp;" HK Equity","PX_LAST",$C63,$C63),"run on terminal")</f>
        <v/>
      </c>
      <c r="G63" s="10">
        <f>IF(NOT(ISNUMBER($F63)),"run on terminal",IF(ABS($F63/($D63)-1)&lt;0.005,"MATCH","CHECK — BBG "&amp;TEXT($F63,"0.000")))</f>
        <v/>
      </c>
      <c r="H63" s="96" t="inlineStr">
        <is>
          <t>AAStocks listing date (was 2025-07-05); close from the local kline session list</t>
        </is>
      </c>
    </row>
    <row r="64">
      <c r="A64" s="91" t="inlineStr">
        <is>
          <t>2627</t>
        </is>
      </c>
      <c r="B64" s="16" t="inlineStr">
        <is>
          <t>AB&amp;B BIO-TECH-B</t>
        </is>
      </c>
      <c r="C64" s="98" t="inlineStr">
        <is>
          <t>2025-08-11</t>
        </is>
      </c>
      <c r="D64" s="99" t="n">
        <v>33.279</v>
      </c>
      <c r="E64" s="95" t="n">
        <v>157.98</v>
      </c>
      <c r="F64" s="40">
        <f>IFERROR(BDH(TEXT(N($A64),"0")&amp;" HK Equity","PX_LAST",$C64,$C64),"run on terminal")</f>
        <v/>
      </c>
      <c r="G64" s="10">
        <f>IF(NOT(ISNUMBER($F64)),"run on terminal",IF(ABS($F64/($D64)-1)&lt;0.005,"MATCH","CHECK — BBG "&amp;TEXT($F64,"0.000")))</f>
        <v/>
      </c>
      <c r="H64" s="96" t="inlineStr">
        <is>
          <t>AAStocks listing date (was 2025-08-09); close from the local kline session list</t>
        </is>
      </c>
    </row>
    <row r="65">
      <c r="A65" s="91" t="inlineStr">
        <is>
          <t>2652</t>
        </is>
      </c>
      <c r="B65" s="16" t="inlineStr">
        <is>
          <t>CF PHARMTECH</t>
        </is>
      </c>
      <c r="C65" s="98" t="inlineStr">
        <is>
          <t>2025-10-08</t>
        </is>
      </c>
      <c r="D65" s="99" t="n">
        <v>38.5</v>
      </c>
      <c r="E65" s="95" t="n">
        <v>161.02</v>
      </c>
      <c r="F65" s="40">
        <f>IFERROR(BDH(TEXT(N($A65),"0")&amp;" HK Equity","PX_LAST",$C65,$C65),"run on terminal")</f>
        <v/>
      </c>
      <c r="G65" s="10">
        <f>IF(NOT(ISNUMBER($F65)),"run on terminal",IF(ABS($F65/($D65)-1)&lt;0.005,"MATCH","CHECK — BBG "&amp;TEXT($F65,"0.000")))</f>
        <v/>
      </c>
      <c r="H65" s="96" t="inlineStr">
        <is>
          <t>AAStocks listing date (was 2025-10-07); close from the local kline session list</t>
        </is>
      </c>
    </row>
    <row r="66">
      <c r="A66" s="91" t="inlineStr">
        <is>
          <t>2637</t>
        </is>
      </c>
      <c r="B66" s="16" t="inlineStr">
        <is>
          <t>HAIXI PHARMA</t>
        </is>
      </c>
      <c r="C66" s="98" t="inlineStr">
        <is>
          <t>2025-10-20</t>
        </is>
      </c>
      <c r="D66" s="99" t="n">
        <v>104.198</v>
      </c>
      <c r="E66" s="95" t="n">
        <v>20.6</v>
      </c>
      <c r="F66" s="40">
        <f>IFERROR(BDH(TEXT(N($A66),"0")&amp;" HK Equity","PX_LAST",$C66,$C66),"run on terminal")</f>
        <v/>
      </c>
      <c r="G66" s="10">
        <f>IF(NOT(ISNUMBER($F66)),"run on terminal",IF(ABS($F66/($D66)-1)&lt;0.005,"MATCH","CHECK — BBG "&amp;TEXT($F66,"0.000")))</f>
        <v/>
      </c>
      <c r="H66" s="96" t="inlineStr">
        <is>
          <t>AAStocks listing date (was 2025-10-18); close from the local kline session list</t>
        </is>
      </c>
    </row>
    <row r="67">
      <c r="A67" s="91" t="inlineStr">
        <is>
          <t>2718</t>
        </is>
      </c>
      <c r="B67" s="16" t="inlineStr">
        <is>
          <t>MININGLAMP-W</t>
        </is>
      </c>
      <c r="C67" s="98" t="inlineStr">
        <is>
          <t>2025-11-03</t>
        </is>
      </c>
      <c r="D67" s="99" t="n">
        <v>290.601</v>
      </c>
      <c r="E67" s="95" t="n">
        <v>106.1</v>
      </c>
      <c r="F67" s="40">
        <f>IFERROR(BDH(TEXT(N($A67),"0")&amp;" HK Equity","PX_LAST",$C67,$C67),"run on terminal")</f>
        <v/>
      </c>
      <c r="G67" s="10">
        <f>IF(NOT(ISNUMBER($F67)),"run on terminal",IF(ABS($F67/($D67)-1)&lt;0.005,"MATCH","CHECK — BBG "&amp;TEXT($F67,"0.000")))</f>
        <v/>
      </c>
      <c r="H67" s="96" t="inlineStr">
        <is>
          <t>AAStocks listing date (was 2025-11-01); close from the local kline session list</t>
        </is>
      </c>
    </row>
    <row r="68">
      <c r="A68" s="91" t="inlineStr">
        <is>
          <t>2698</t>
        </is>
      </c>
      <c r="B68" s="16" t="inlineStr">
        <is>
          <t>SOFTCARE</t>
        </is>
      </c>
      <c r="C68" s="98" t="inlineStr">
        <is>
          <t>2025-11-10</t>
        </is>
      </c>
      <c r="D68" s="99" t="n">
        <v>32.999</v>
      </c>
      <c r="E68" s="95" t="n">
        <v>25.95</v>
      </c>
      <c r="F68" s="40">
        <f>IFERROR(BDH(TEXT(N($A68),"0")&amp;" HK Equity","PX_LAST",$C68,$C68),"run on terminal")</f>
        <v/>
      </c>
      <c r="G68" s="10">
        <f>IF(NOT(ISNUMBER($F68)),"run on terminal",IF(ABS($F68/($D68)-1)&lt;0.005,"MATCH","CHECK — BBG "&amp;TEXT($F68,"0.000")))</f>
        <v/>
      </c>
      <c r="H68" s="96" t="inlineStr">
        <is>
          <t>AAStocks listing date (was 2025-11-08); close from the local kline session list</t>
        </is>
      </c>
    </row>
    <row r="69">
      <c r="A69" s="91" t="inlineStr">
        <is>
          <t>2788</t>
        </is>
      </c>
      <c r="B69" s="16" t="inlineStr">
        <is>
          <t>CHUANGXIN IND</t>
        </is>
      </c>
      <c r="C69" s="98" t="inlineStr">
        <is>
          <t>2025-11-24</t>
        </is>
      </c>
      <c r="D69" s="99" t="n">
        <v>14.59</v>
      </c>
      <c r="E69" s="95" t="n">
        <v>32.76</v>
      </c>
      <c r="F69" s="40">
        <f>IFERROR(BDH(TEXT(N($A69),"0")&amp;" HK Equity","PX_LAST",$C69,$C69),"run on terminal")</f>
        <v/>
      </c>
      <c r="G69" s="10">
        <f>IF(NOT(ISNUMBER($F69)),"run on terminal",IF(ABS($F69/($D69)-1)&lt;0.005,"MATCH","CHECK — BBG "&amp;TEXT($F69,"0.000")))</f>
        <v/>
      </c>
      <c r="H69" s="96" t="inlineStr">
        <is>
          <t>AAStocks listing date (was 2025-11-22); close from the local kline session list</t>
        </is>
      </c>
    </row>
    <row r="70">
      <c r="A70" s="91" t="inlineStr">
        <is>
          <t>2676</t>
        </is>
      </c>
      <c r="B70" s="16" t="inlineStr">
        <is>
          <t>NOVOSENSE</t>
        </is>
      </c>
      <c r="C70" s="98" t="inlineStr">
        <is>
          <t>2025-12-08</t>
        </is>
      </c>
      <c r="D70" s="99" t="n">
        <v>111</v>
      </c>
      <c r="E70" s="95" t="n">
        <v>-4.31</v>
      </c>
      <c r="F70" s="40">
        <f>IFERROR(BDH(TEXT(N($A70),"0")&amp;" HK Equity","PX_LAST",$C70,$C70),"run on terminal")</f>
        <v/>
      </c>
      <c r="G70" s="10">
        <f>IF(NOT(ISNUMBER($F70)),"run on terminal",IF(ABS($F70/($D70)-1)&lt;0.005,"MATCH","CHECK — BBG "&amp;TEXT($F70,"0.000")))</f>
        <v/>
      </c>
      <c r="H70" s="96" t="inlineStr">
        <is>
          <t>AAStocks listing date (was 2025-12-06); close from the local kline session list</t>
        </is>
      </c>
    </row>
    <row r="71">
      <c r="A71" s="91" t="inlineStr">
        <is>
          <t>2687</t>
        </is>
      </c>
      <c r="B71" s="16" t="inlineStr">
        <is>
          <t>ABLE DIGITAL</t>
        </is>
      </c>
      <c r="C71" s="98" t="inlineStr">
        <is>
          <t>2025-12-08</t>
        </is>
      </c>
      <c r="D71" s="99" t="n">
        <v>126.401</v>
      </c>
      <c r="E71" s="95" t="n">
        <v>87.26000000000001</v>
      </c>
      <c r="F71" s="40">
        <f>IFERROR(BDH(TEXT(N($A71),"0")&amp;" HK Equity","PX_LAST",$C71,$C71),"run on terminal")</f>
        <v/>
      </c>
      <c r="G71" s="10">
        <f>IF(NOT(ISNUMBER($F71)),"run on terminal",IF(ABS($F71/($D71)-1)&lt;0.005,"MATCH","CHECK — BBG "&amp;TEXT($F71,"0.000")))</f>
        <v/>
      </c>
      <c r="H71" s="96" t="inlineStr">
        <is>
          <t>AAStocks listing date (was 2025-12-06); close from the local kline session list</t>
        </is>
      </c>
    </row>
    <row r="72">
      <c r="A72" s="91" t="inlineStr">
        <is>
          <t>2695</t>
        </is>
      </c>
      <c r="B72" s="16" t="inlineStr">
        <is>
          <t>IMPRESSION DHP</t>
        </is>
      </c>
      <c r="C72" s="98" t="inlineStr">
        <is>
          <t>2025-12-22</t>
        </is>
      </c>
      <c r="D72" s="99" t="n">
        <v>2.33</v>
      </c>
      <c r="E72" s="95" t="n">
        <v>-35.28</v>
      </c>
      <c r="F72" s="40">
        <f>IFERROR(BDH(TEXT(N($A72),"0")&amp;" HK Equity","PX_LAST",$C72,$C72),"run on terminal")</f>
        <v/>
      </c>
      <c r="G72" s="10">
        <f>IF(NOT(ISNUMBER($F72)),"run on terminal",IF(ABS($F72/($D72)-1)&lt;0.005,"MATCH","CHECK — BBG "&amp;TEXT($F72,"0.000")))</f>
        <v/>
      </c>
      <c r="H72" s="96" t="inlineStr">
        <is>
          <t>AAStocks listing date (was 2025-12-20); close from the local kline session list</t>
        </is>
      </c>
    </row>
    <row r="73">
      <c r="A73" s="91" t="inlineStr">
        <is>
          <t>2396</t>
        </is>
      </c>
      <c r="B73" s="16" t="inlineStr">
        <is>
          <t>B&amp;K CORP-B</t>
        </is>
      </c>
      <c r="C73" s="98" t="inlineStr">
        <is>
          <t>2025-12-22</t>
        </is>
      </c>
      <c r="D73" s="99" t="n">
        <v>27</v>
      </c>
      <c r="E73" s="95" t="n">
        <v>-29.32</v>
      </c>
      <c r="F73" s="40">
        <f>IFERROR(BDH(TEXT(N($A73),"0")&amp;" HK Equity","PX_LAST",$C73,$C73),"run on terminal")</f>
        <v/>
      </c>
      <c r="G73" s="10">
        <f>IF(NOT(ISNUMBER($F73)),"run on terminal",IF(ABS($F73/($D73)-1)&lt;0.005,"MATCH","CHECK — BBG "&amp;TEXT($F73,"0.000")))</f>
        <v/>
      </c>
      <c r="H73" s="96" t="inlineStr">
        <is>
          <t>AAStocks listing date (was 2025-12-20); close from the local kline session list</t>
        </is>
      </c>
    </row>
    <row r="74">
      <c r="A74" s="91" t="inlineStr">
        <is>
          <t>2581</t>
        </is>
      </c>
      <c r="B74" s="16" t="inlineStr">
        <is>
          <t>BENQ HOLDING</t>
        </is>
      </c>
      <c r="C74" s="98" t="inlineStr">
        <is>
          <t>2025-12-22</t>
        </is>
      </c>
      <c r="D74" s="99" t="n">
        <v>4.72</v>
      </c>
      <c r="E74" s="95" t="n">
        <v>-49.46</v>
      </c>
      <c r="F74" s="40">
        <f>IFERROR(BDH(TEXT(N($A74),"0")&amp;" HK Equity","PX_LAST",$C74,$C74),"run on terminal")</f>
        <v/>
      </c>
      <c r="G74" s="10">
        <f>IF(NOT(ISNUMBER($F74)),"run on terminal",IF(ABS($F74/($D74)-1)&lt;0.005,"MATCH","CHECK — BBG "&amp;TEXT($F74,"0.000")))</f>
        <v/>
      </c>
      <c r="H74" s="96" t="inlineStr">
        <is>
          <t>AAStocks listing date (was 2025-12-20); close from the local kline session list</t>
        </is>
      </c>
    </row>
    <row r="75">
      <c r="A75" s="91" t="inlineStr">
        <is>
          <t>2691</t>
        </is>
      </c>
      <c r="B75" s="16" t="inlineStr">
        <is>
          <t>NANHUA FUTURES</t>
        </is>
      </c>
      <c r="C75" s="98" t="inlineStr">
        <is>
          <t>2025-12-22</t>
        </is>
      </c>
      <c r="D75" s="99" t="n">
        <v>9.1</v>
      </c>
      <c r="E75" s="95" t="n">
        <v>-24.17</v>
      </c>
      <c r="F75" s="40">
        <f>IFERROR(BDH(TEXT(N($A75),"0")&amp;" HK Equity","PX_LAST",$C75,$C75),"run on terminal")</f>
        <v/>
      </c>
      <c r="G75" s="10">
        <f>IF(NOT(ISNUMBER($F75)),"run on terminal",IF(ABS($F75/($D75/1.45)-1)&lt;0.005,"MATCH","CHECK — BBG "&amp;TEXT($F75,"0.000")))</f>
        <v/>
      </c>
      <c r="H75" s="96" t="inlineStr">
        <is>
          <t>AAStocks listing date (was 2025-12-20); close from the local kline session list; BBG basis = raw ÷ 1.45 (later corporate actions back-adjust its history)</t>
        </is>
      </c>
    </row>
    <row r="76">
      <c r="A76" s="91" t="inlineStr">
        <is>
          <t>6082</t>
        </is>
      </c>
      <c r="B76" s="16" t="inlineStr">
        <is>
          <t>BIREN TECH</t>
        </is>
      </c>
      <c r="C76" s="98" t="inlineStr">
        <is>
          <t>2026-01-02</t>
        </is>
      </c>
      <c r="D76" s="99" t="n">
        <v>34.461</v>
      </c>
      <c r="E76" s="95" t="n">
        <v>75.81999999999999</v>
      </c>
      <c r="F76" s="40">
        <f>IFERROR(BDH(TEXT(N($A76),"0")&amp;" HK Equity","PX_LAST",$C76,$C76),"run on terminal")</f>
        <v/>
      </c>
      <c r="G76" s="10">
        <f>IF(NOT(ISNUMBER($F76)),"run on terminal",IF(ABS($F76/($D76)-1)&lt;0.005,"MATCH","CHECK — BBG "&amp;TEXT($F76,"0.000")))</f>
        <v/>
      </c>
      <c r="H76" s="96" t="inlineStr">
        <is>
          <t>AAStocks listing date (was 2026-01-01); close from the local kline session list</t>
        </is>
      </c>
    </row>
    <row r="77">
      <c r="A77" s="91" t="inlineStr">
        <is>
          <t>0501</t>
        </is>
      </c>
      <c r="B77" s="16" t="inlineStr">
        <is>
          <t>OMNIVISION</t>
        </is>
      </c>
      <c r="C77" s="98" t="inlineStr">
        <is>
          <t>2026-01-12</t>
        </is>
      </c>
      <c r="D77" s="99" t="n">
        <v>121.799</v>
      </c>
      <c r="E77" s="95" t="n">
        <v>16.22</v>
      </c>
      <c r="F77" s="40">
        <f>IFERROR(BDH(TEXT(N($A77),"0")&amp;" HK Equity","PX_LAST",$C77,$C77),"run on terminal")</f>
        <v/>
      </c>
      <c r="G77" s="10">
        <f>IF(NOT(ISNUMBER($F77)),"run on terminal",IF(ABS($F77/($D77)-1)&lt;0.005,"MATCH","CHECK — BBG "&amp;TEXT($F77,"0.000")))</f>
        <v/>
      </c>
      <c r="H77" s="96" t="inlineStr">
        <is>
          <t>AAStocks listing date (was 2026-01-10); close from the local kline session list</t>
        </is>
      </c>
    </row>
    <row r="78">
      <c r="A78" s="91" t="inlineStr">
        <is>
          <t>6809</t>
        </is>
      </c>
      <c r="B78" s="16" t="inlineStr">
        <is>
          <t>MONTAGE TECH</t>
        </is>
      </c>
      <c r="C78" s="98" t="inlineStr">
        <is>
          <t>2026-02-09</t>
        </is>
      </c>
      <c r="D78" s="99" t="n">
        <v>175</v>
      </c>
      <c r="E78" s="95" t="n">
        <v>63.72</v>
      </c>
      <c r="F78" s="40">
        <f>IFERROR(BDH(TEXT(N($A78),"0")&amp;" HK Equity","PX_LAST",$C78,$C78),"run on terminal")</f>
        <v/>
      </c>
      <c r="G78" s="10">
        <f>IF(NOT(ISNUMBER($F78)),"run on terminal",IF(ABS($F78/($D78)-1)&lt;0.005,"MATCH","CHECK — BBG "&amp;TEXT($F78,"0.000")))</f>
        <v/>
      </c>
      <c r="H78" s="96" t="inlineStr">
        <is>
          <t>AAStocks listing date (was 2026-02-07); close from the local kline session list</t>
        </is>
      </c>
    </row>
    <row r="79">
      <c r="A79" s="91" t="inlineStr">
        <is>
          <t>2715</t>
        </is>
      </c>
      <c r="B79" s="16" t="inlineStr">
        <is>
          <t>ESTUN</t>
        </is>
      </c>
      <c r="C79" s="98" t="inlineStr">
        <is>
          <t>2026-03-09</t>
        </is>
      </c>
      <c r="D79" s="99" t="n">
        <v>12.899</v>
      </c>
      <c r="E79" s="95" t="n">
        <v>-16.02</v>
      </c>
      <c r="F79" s="40">
        <f>IFERROR(BDH(TEXT(N($A79),"0")&amp;" HK Equity","PX_LAST",$C79,$C79),"run on terminal")</f>
        <v/>
      </c>
      <c r="G79" s="10">
        <f>IF(NOT(ISNUMBER($F79)),"run on terminal",IF(ABS($F79/($D79)-1)&lt;0.005,"MATCH","CHECK — BBG "&amp;TEXT($F79,"0.000")))</f>
        <v/>
      </c>
      <c r="H79" s="96" t="inlineStr">
        <is>
          <t>AAStocks listing date (was 2026-03-07); close from the local kline session list</t>
        </is>
      </c>
    </row>
    <row r="80">
      <c r="A80" s="91" t="inlineStr">
        <is>
          <t>2649</t>
        </is>
      </c>
      <c r="B80" s="16" t="inlineStr">
        <is>
          <t>ALSCO POOLING</t>
        </is>
      </c>
      <c r="C80" s="98" t="inlineStr">
        <is>
          <t>2026-03-09</t>
        </is>
      </c>
      <c r="D80" s="99" t="n">
        <v>6.2</v>
      </c>
      <c r="E80" s="95" t="n">
        <v>-43.64</v>
      </c>
      <c r="F80" s="40">
        <f>IFERROR(BDH(TEXT(N($A80),"0")&amp;" HK Equity","PX_LAST",$C80,$C80),"run on terminal")</f>
        <v/>
      </c>
      <c r="G80" s="10">
        <f>IF(NOT(ISNUMBER($F80)),"run on terminal",IF(ABS($F80/($D80)-1)&lt;0.005,"MATCH","CHECK — BBG "&amp;TEXT($F80,"0.000")))</f>
        <v/>
      </c>
      <c r="H80" s="96" t="inlineStr">
        <is>
          <t>AAStocks listing date (was 2026-03-07); close from the local kline session list</t>
        </is>
      </c>
    </row>
    <row r="81">
      <c r="A81" s="91" t="inlineStr">
        <is>
          <t>2692</t>
        </is>
      </c>
      <c r="B81" s="16" t="inlineStr">
        <is>
          <t>ZHAOWEI</t>
        </is>
      </c>
      <c r="C81" s="98" t="inlineStr">
        <is>
          <t>2026-03-09</t>
        </is>
      </c>
      <c r="D81" s="99" t="n">
        <v>72.998</v>
      </c>
      <c r="E81" s="95" t="n">
        <v>2.41</v>
      </c>
      <c r="F81" s="40">
        <f>IFERROR(BDH(TEXT(N($A81),"0")&amp;" HK Equity","PX_LAST",$C81,$C81),"run on terminal")</f>
        <v/>
      </c>
      <c r="G81" s="10">
        <f>IF(NOT(ISNUMBER($F81)),"run on terminal",IF(ABS($F81/($D81)-1)&lt;0.005,"MATCH","CHECK — BBG "&amp;TEXT($F81,"0.000")))</f>
        <v/>
      </c>
      <c r="H81" s="96" t="inlineStr">
        <is>
          <t>AAStocks listing date (was 2026-03-07); close from the local kline session list</t>
        </is>
      </c>
    </row>
    <row r="82">
      <c r="A82" s="91" t="inlineStr">
        <is>
          <t>2701</t>
        </is>
      </c>
      <c r="B82" s="16" t="inlineStr">
        <is>
          <t>NSING TECH</t>
        </is>
      </c>
      <c r="C82" s="98" t="inlineStr">
        <is>
          <t>2026-03-23</t>
        </is>
      </c>
      <c r="D82" s="99" t="n">
        <v>11.25</v>
      </c>
      <c r="E82" s="95" t="n">
        <v>4.17</v>
      </c>
      <c r="F82" s="40">
        <f>IFERROR(BDH(TEXT(N($A82),"0")&amp;" HK Equity","PX_LAST",$C82,$C82),"run on terminal")</f>
        <v/>
      </c>
      <c r="G82" s="10">
        <f>IF(NOT(ISNUMBER($F82)),"run on terminal",IF(ABS($F82/($D82)-1)&lt;0.005,"MATCH","CHECK — BBG "&amp;TEXT($F82,"0.000")))</f>
        <v/>
      </c>
      <c r="H82" s="96" t="inlineStr">
        <is>
          <t>AAStocks listing date (was 2026-03-21); close from the local kline session list</t>
        </is>
      </c>
    </row>
    <row r="83">
      <c r="A83" s="91" t="inlineStr">
        <is>
          <t>3355</t>
        </is>
      </c>
      <c r="B83" s="16" t="inlineStr">
        <is>
          <t>FS.COM</t>
        </is>
      </c>
      <c r="C83" s="98" t="inlineStr">
        <is>
          <t>2026-03-23</t>
        </is>
      </c>
      <c r="D83" s="99" t="n">
        <v>47.199</v>
      </c>
      <c r="E83" s="95" t="n">
        <v>13.46</v>
      </c>
      <c r="F83" s="40">
        <f>IFERROR(BDH(TEXT(N($A83),"0")&amp;" HK Equity","PX_LAST",$C83,$C83),"run on terminal")</f>
        <v/>
      </c>
      <c r="G83" s="10">
        <f>IF(NOT(ISNUMBER($F83)),"run on terminal",IF(ABS($F83/($D83)-1)&lt;0.005,"MATCH","CHECK — BBG "&amp;TEXT($F83,"0.000")))</f>
        <v/>
      </c>
      <c r="H83" s="96" t="inlineStr">
        <is>
          <t>AAStocks listing date (was 2026-03-21); close from the local kline session list</t>
        </is>
      </c>
    </row>
    <row r="84">
      <c r="A84" s="91" t="inlineStr">
        <is>
          <t>2726</t>
        </is>
      </c>
      <c r="B84" s="16" t="inlineStr">
        <is>
          <t>EPIWORLD</t>
        </is>
      </c>
      <c r="C84" s="98" t="inlineStr">
        <is>
          <t>2026-03-30</t>
        </is>
      </c>
      <c r="D84" s="99" t="n">
        <v>102.997</v>
      </c>
      <c r="E84" s="95" t="n">
        <v>35.06</v>
      </c>
      <c r="F84" s="40">
        <f>IFERROR(BDH(TEXT(N($A84),"0")&amp;" HK Equity","PX_LAST",$C84,$C84),"run on terminal")</f>
        <v/>
      </c>
      <c r="G84" s="10">
        <f>IF(NOT(ISNUMBER($F84)),"run on terminal",IF(ABS($F84/($D84)-1)&lt;0.005,"MATCH","CHECK — BBG "&amp;TEXT($F84,"0.000")))</f>
        <v/>
      </c>
      <c r="H84" s="96" t="inlineStr">
        <is>
          <t>AAStocks listing date (was 2026-03-28); close from the local kline session list</t>
        </is>
      </c>
    </row>
    <row r="85">
      <c r="A85" s="91" t="inlineStr">
        <is>
          <t>2526</t>
        </is>
      </c>
      <c r="B85" s="16" t="inlineStr">
        <is>
          <t>DIAGENS-B</t>
        </is>
      </c>
      <c r="C85" s="98" t="inlineStr">
        <is>
          <t>2026-03-30</t>
        </is>
      </c>
      <c r="D85" s="99" t="n">
        <v>209.603</v>
      </c>
      <c r="E85" s="95" t="n">
        <v>111.72</v>
      </c>
      <c r="F85" s="40">
        <f>IFERROR(BDH(TEXT(N($A85),"0")&amp;" HK Equity","PX_LAST",$C85,$C85),"run on terminal")</f>
        <v/>
      </c>
      <c r="G85" s="10">
        <f>IF(NOT(ISNUMBER($F85)),"run on terminal",IF(ABS($F85/($D85)-1)&lt;0.005,"MATCH","CHECK — BBG "&amp;TEXT($F85,"0.000")))</f>
        <v/>
      </c>
      <c r="H85" s="96" t="inlineStr">
        <is>
          <t>AAStocks listing date (was 2026-03-28); close from the local kline session list</t>
        </is>
      </c>
    </row>
    <row r="86">
      <c r="A86" s="91" t="inlineStr">
        <is>
          <t>6636</t>
        </is>
      </c>
      <c r="B86" s="16" t="inlineStr">
        <is>
          <t>EXTREME VISION</t>
        </is>
      </c>
      <c r="C86" s="98" t="inlineStr">
        <is>
          <t>2026-03-30</t>
        </is>
      </c>
      <c r="D86" s="99" t="n">
        <v>100</v>
      </c>
      <c r="E86" s="95" t="n">
        <v>150</v>
      </c>
      <c r="F86" s="40">
        <f>IFERROR(BDH(TEXT(N($A86),"0")&amp;" HK Equity","PX_LAST",$C86,$C86),"run on terminal")</f>
        <v/>
      </c>
      <c r="G86" s="10">
        <f>IF(NOT(ISNUMBER($F86)),"run on terminal",IF(ABS($F86/($D86)-1)&lt;0.005,"MATCH","CHECK — BBG "&amp;TEXT($F86,"0.000")))</f>
        <v/>
      </c>
      <c r="H86" s="96" t="inlineStr">
        <is>
          <t>AAStocks listing date (was 2026-03-28); close from the local kline session list</t>
        </is>
      </c>
    </row>
    <row r="87">
      <c r="A87" s="91" t="inlineStr">
        <is>
          <t>1021</t>
        </is>
      </c>
      <c r="B87" s="16" t="inlineStr">
        <is>
          <t>HUAYAN ROBOTICS</t>
        </is>
      </c>
      <c r="C87" s="98" t="inlineStr">
        <is>
          <t>2026-03-30</t>
        </is>
      </c>
      <c r="D87" s="99" t="n">
        <v>18.401</v>
      </c>
      <c r="E87" s="95" t="n">
        <v>8.24</v>
      </c>
      <c r="F87" s="40">
        <f>IFERROR(BDH(TEXT(N($A87),"0")&amp;" HK Equity","PX_LAST",$C87,$C87),"run on terminal")</f>
        <v/>
      </c>
      <c r="G87" s="10">
        <f>IF(NOT(ISNUMBER($F87)),"run on terminal",IF(ABS($F87/($D87)-1)&lt;0.005,"MATCH","CHECK — BBG "&amp;TEXT($F87,"0.000")))</f>
        <v/>
      </c>
      <c r="H87" s="96" t="inlineStr">
        <is>
          <t>AAStocks listing date (was 2026-03-28); close from the local kline session list</t>
        </is>
      </c>
    </row>
    <row r="88">
      <c r="A88" s="91" t="inlineStr">
        <is>
          <t>1236</t>
        </is>
      </c>
      <c r="B88" s="16" t="inlineStr">
        <is>
          <t>LDROBOT</t>
        </is>
      </c>
      <c r="C88" s="98" t="inlineStr">
        <is>
          <t>2026-05-11</t>
        </is>
      </c>
      <c r="D88" s="99" t="n">
        <v>60.001</v>
      </c>
      <c r="E88" s="95" t="n">
        <v>127.62</v>
      </c>
      <c r="F88" s="40">
        <f>IFERROR(BDH(TEXT(N($A88),"0")&amp;" HK Equity","PX_LAST",$C88,$C88),"run on terminal")</f>
        <v/>
      </c>
      <c r="G88" s="10">
        <f>IF(NOT(ISNUMBER($F88)),"run on terminal",IF(ABS($F88/($D88)-1)&lt;0.005,"MATCH","CHECK — BBG "&amp;TEXT($F88,"0.000")))</f>
        <v/>
      </c>
      <c r="H88" s="96" t="inlineStr">
        <is>
          <t>AAStocks listing date (was 2026-05-09); close from the local kline session list</t>
        </is>
      </c>
    </row>
    <row r="89">
      <c r="A89" s="91" t="inlineStr">
        <is>
          <t>6871</t>
        </is>
      </c>
      <c r="B89" s="16" t="inlineStr">
        <is>
          <t>ROBOTPHOENIX</t>
        </is>
      </c>
      <c r="C89" s="98" t="inlineStr">
        <is>
          <t>2026-05-18</t>
        </is>
      </c>
      <c r="D89" s="99" t="n">
        <v>53.75</v>
      </c>
      <c r="E89" s="95" t="n">
        <v>76.23</v>
      </c>
      <c r="F89" s="40">
        <f>IFERROR(BDH(TEXT(N($A89),"0")&amp;" HK Equity","PX_LAST",$C89,$C89),"run on terminal")</f>
        <v/>
      </c>
      <c r="G89" s="10">
        <f>IF(NOT(ISNUMBER($F89)),"run on terminal",IF(ABS($F89/($D89)-1)&lt;0.005,"MATCH","CHECK — BBG "&amp;TEXT($F89,"0.000")))</f>
        <v/>
      </c>
      <c r="H89" s="96" t="inlineStr">
        <is>
          <t>AAStocks listing date (was 2026-05-16); close from the local kline session list</t>
        </is>
      </c>
    </row>
    <row r="90">
      <c r="A90" s="91" t="inlineStr">
        <is>
          <t>6658</t>
        </is>
      </c>
      <c r="B90" s="16" t="inlineStr">
        <is>
          <t>LIULIUMEI</t>
        </is>
      </c>
      <c r="C90" s="98" t="inlineStr">
        <is>
          <t>2026-06-15</t>
        </is>
      </c>
      <c r="D90" s="99" t="n">
        <v>127.999</v>
      </c>
      <c r="E90" s="95" t="n">
        <v>193.71</v>
      </c>
      <c r="F90" s="40">
        <f>IFERROR(BDH(TEXT(N($A90),"0")&amp;" HK Equity","PX_LAST",$C90,$C90),"run on terminal")</f>
        <v/>
      </c>
      <c r="G90" s="10">
        <f>IF(NOT(ISNUMBER($F90)),"run on terminal",IF(ABS($F90/($D90)-1)&lt;0.005,"MATCH","CHECK — BBG "&amp;TEXT($F90,"0.000")))</f>
        <v/>
      </c>
      <c r="H90" s="96" t="inlineStr">
        <is>
          <t>AAStocks listing date (was 2026-06-13); close from the local kline session list</t>
        </is>
      </c>
    </row>
    <row r="91">
      <c r="A91" s="91" t="inlineStr">
        <is>
          <t>1392</t>
        </is>
      </c>
      <c r="B91" s="16" t="inlineStr">
        <is>
          <t>HQVT</t>
        </is>
      </c>
      <c r="C91" s="98" t="inlineStr">
        <is>
          <t>2026-06-22</t>
        </is>
      </c>
      <c r="D91" s="99" t="n">
        <v>26.7</v>
      </c>
      <c r="E91" s="95" t="n">
        <v>270.83</v>
      </c>
      <c r="F91" s="40">
        <f>IFERROR(BDH(TEXT(N($A91),"0")&amp;" HK Equity","PX_LAST",$C91,$C91),"run on terminal")</f>
        <v/>
      </c>
      <c r="G91" s="10">
        <f>IF(NOT(ISNUMBER($F91)),"run on terminal",IF(ABS($F91/($D91)-1)&lt;0.005,"MATCH","CHECK — BBG "&amp;TEXT($F91,"0.000")))</f>
        <v/>
      </c>
      <c r="H91" s="96" t="inlineStr">
        <is>
          <t>AAStocks listing date (was 2026-06-19); close from the local kline session list</t>
        </is>
      </c>
    </row>
    <row r="92">
      <c r="A92" s="91" t="inlineStr">
        <is>
          <t>2672</t>
        </is>
      </c>
      <c r="B92" s="16" t="inlineStr">
        <is>
          <t>BAIGE DIGITAL</t>
        </is>
      </c>
      <c r="C92" s="98" t="inlineStr">
        <is>
          <t>2026-06-29</t>
        </is>
      </c>
      <c r="D92" s="99" t="n">
        <v>73</v>
      </c>
      <c r="E92" s="95" t="n">
        <v>367.95</v>
      </c>
      <c r="F92" s="40">
        <f>IFERROR(BDH(TEXT(N($A92),"0")&amp;" HK Equity","PX_LAST",$C92,$C92),"run on terminal")</f>
        <v/>
      </c>
      <c r="G92" s="10">
        <f>IF(NOT(ISNUMBER($F92)),"run on terminal",IF(ABS($F92/($D92)-1)&lt;0.005,"MATCH","CHECK — BBG "&amp;TEXT($F92,"0.000")))</f>
        <v/>
      </c>
      <c r="H92" s="96" t="inlineStr">
        <is>
          <t>AAStocks listing date (was 2026-06-27); close from the local kline session list</t>
        </is>
      </c>
    </row>
    <row r="93">
      <c r="A93" s="91" t="inlineStr">
        <is>
          <t>1191</t>
        </is>
      </c>
      <c r="B93" s="16" t="inlineStr">
        <is>
          <t>CREALIGHTS</t>
        </is>
      </c>
      <c r="C93" s="98" t="inlineStr">
        <is>
          <t>2026-06-29</t>
        </is>
      </c>
      <c r="D93" s="99" t="n">
        <v>165.004</v>
      </c>
      <c r="E93" s="95" t="n">
        <v>44.74</v>
      </c>
      <c r="F93" s="40">
        <f>IFERROR(BDH(TEXT(N($A93),"0")&amp;" HK Equity","PX_LAST",$C93,$C93),"run on terminal")</f>
        <v/>
      </c>
      <c r="G93" s="10">
        <f>IF(NOT(ISNUMBER($F93)),"run on terminal",IF(ABS($F93/($D93)-1)&lt;0.005,"MATCH","CHECK — BBG "&amp;TEXT($F93,"0.000")))</f>
        <v/>
      </c>
      <c r="H93" s="96" t="inlineStr">
        <is>
          <t>AAStocks listing date (was 2026-06-27); close from the local kline session list</t>
        </is>
      </c>
    </row>
    <row r="94">
      <c r="A94" s="91" t="inlineStr">
        <is>
          <t>9637</t>
        </is>
      </c>
      <c r="B94" s="16" t="inlineStr">
        <is>
          <t>ALEBUND-B</t>
        </is>
      </c>
      <c r="C94" s="98" t="inlineStr">
        <is>
          <t>2026-06-29</t>
        </is>
      </c>
      <c r="D94" s="99" t="n">
        <v>46</v>
      </c>
      <c r="E94" s="95" t="n">
        <v>103.54</v>
      </c>
      <c r="F94" s="40">
        <f>IFERROR(BDH(TEXT(N($A94),"0")&amp;" HK Equity","PX_LAST",$C94,$C94),"run on terminal")</f>
        <v/>
      </c>
      <c r="G94" s="10">
        <f>IF(NOT(ISNUMBER($F94)),"run on terminal",IF(ABS($F94/($D94)-1)&lt;0.005,"MATCH","CHECK — BBG "&amp;TEXT($F94,"0.000")))</f>
        <v/>
      </c>
      <c r="H94" s="96" t="inlineStr">
        <is>
          <t>AAStocks listing date (was 2026-06-27); close from the local kline session list</t>
        </is>
      </c>
    </row>
    <row r="95">
      <c r="A95" s="91" t="inlineStr">
        <is>
          <t>0668</t>
        </is>
      </c>
      <c r="B95" s="16" t="inlineStr">
        <is>
          <t>ANKER</t>
        </is>
      </c>
      <c r="C95" s="98" t="inlineStr">
        <is>
          <t>2026-07-02</t>
        </is>
      </c>
      <c r="D95" s="99" t="n">
        <v>114.903</v>
      </c>
      <c r="E95" s="95" t="n">
        <v>15.69</v>
      </c>
      <c r="F95" s="40">
        <f>IFERROR(BDH(TEXT(N($A95),"0")&amp;" HK Equity","PX_LAST",$C95,$C95),"run on terminal")</f>
        <v/>
      </c>
      <c r="G95" s="10">
        <f>IF(NOT(ISNUMBER($F95)),"run on terminal",IF(ABS($F95/($D95)-1)&lt;0.005,"MATCH","CHECK — BBG "&amp;TEXT($F95,"0.000")))</f>
        <v/>
      </c>
      <c r="H95" s="96" t="inlineStr">
        <is>
          <t>AAStocks listing date (was 2026-07-01); close from the local kline session list</t>
        </is>
      </c>
    </row>
    <row r="96"/>
    <row r="97">
      <c r="A97" s="14" t="inlineStr">
        <is>
          <t>B · OFFER PRICE  (11 deals — the filing parse had returned the MAXIMUM offer price, or a figure that was not a price at all)</t>
        </is>
      </c>
    </row>
    <row r="98">
      <c r="A98" s="12" t="inlineStr">
        <is>
          <t>Code</t>
        </is>
      </c>
      <c r="B98" s="12" t="inlineStr">
        <is>
          <t>Name</t>
        </is>
      </c>
      <c r="C98" s="12" t="inlineStr">
        <is>
          <t>Our offer price</t>
        </is>
      </c>
      <c r="D98" s="12" t="inlineStr"/>
      <c r="E98" s="12" t="inlineStr"/>
      <c r="F98" s="12" t="inlineStr">
        <is>
          <t>BBG offer price</t>
        </is>
      </c>
      <c r="G98" s="12" t="inlineStr">
        <is>
          <t>VERDICT</t>
        </is>
      </c>
      <c r="H98" s="12" t="inlineStr">
        <is>
          <t>What we relied on</t>
        </is>
      </c>
    </row>
    <row r="99">
      <c r="A99" s="91" t="inlineStr">
        <is>
          <t>2672</t>
        </is>
      </c>
      <c r="B99" s="16" t="inlineStr">
        <is>
          <t>BAIGE DIGITAL</t>
        </is>
      </c>
      <c r="C99" s="99" t="n">
        <v>15.6</v>
      </c>
      <c r="F99" s="96" t="inlineStr">
        <is>
          <t>no BDP field (EQY_INIT_PO_SH_PRC rejected on the desk terminal 2026-08-26) — check the DES/IPO screen</t>
        </is>
      </c>
      <c r="G99" s="10">
        <f>IF(ISNUMBER($F99),IF(ABS($F99/$C99-1)&lt;0.005,"MATCH","CHECK"),"verified via section A: the day-1 close matched Bloomberg and the day-1 % is consistent only with this price")</f>
        <v/>
      </c>
      <c r="H99" s="96" t="inlineStr">
        <is>
          <t xml:space="preserve">OFFER PRICE: 10jqka 2026-06-29 + ifeng: 发行价15.6港元, 收报73港元 首日+367.95%, 全球发售3334.44万股, 募资总额5.2亿港元. The parse's 54,382,183 was the LISTING EXPENSES line </t>
        </is>
      </c>
    </row>
    <row r="100">
      <c r="A100" s="91" t="inlineStr">
        <is>
          <t>2525</t>
        </is>
      </c>
      <c r="B100" s="16" t="inlineStr">
        <is>
          <t>HESAI-W</t>
        </is>
      </c>
      <c r="C100" s="99" t="n">
        <v>212.8</v>
      </c>
      <c r="F100" s="96" t="inlineStr">
        <is>
          <t>no BDP field (EQY_INIT_PO_SH_PRC rejected on the desk terminal 2026-08-26) — check the DES/IPO screen</t>
        </is>
      </c>
      <c r="G100" s="10">
        <f>IF(ISNUMBER($F100),IF(ABS($F100/$C100-1)&lt;0.005,"MATCH","CHECK"),"verified via section A: the day-1 close matched Bloomberg and the day-1 % is consistent only with this price")</f>
        <v/>
      </c>
      <c r="H100" s="96" t="inlineStr">
        <is>
          <t>OFFER PRICE: STCN + HKEX allotment 2025-09-15 (2025091501458.pdf): 发行价212.80港元, 收报234港元 +9.96%, 19,550,000 offer shares incl. fully-exercised offer-si</t>
        </is>
      </c>
    </row>
    <row r="101">
      <c r="A101" s="91" t="inlineStr">
        <is>
          <t>2026</t>
        </is>
      </c>
      <c r="B101" s="16" t="inlineStr">
        <is>
          <t>PONY-W</t>
        </is>
      </c>
      <c r="C101" s="99" t="n">
        <v>139</v>
      </c>
      <c r="F101" s="96" t="inlineStr">
        <is>
          <t>no BDP field (EQY_INIT_PO_SH_PRC rejected on the desk terminal 2026-08-26) — check the DES/IPO screen</t>
        </is>
      </c>
      <c r="G101" s="10">
        <f>IF(ISNUMBER($F101),IF(ABS($F101/$C101-1)&lt;0.005,"MATCH","CHECK"),"verified via section A: the day-1 close matched Bloomberg and the day-1 % is consistent only with this price")</f>
        <v/>
      </c>
      <c r="H101" s="96" t="inlineStr">
        <is>
          <t>OFFER PRICE: Sina 2025-11-04 pricing + 2025-11-06 debut: 每股139.00港元 (22.8% below the HK$180 max), 收报126.10港元 -9.28%, 48,249,000 shares incl. full offe</t>
        </is>
      </c>
    </row>
    <row r="102">
      <c r="A102" s="91" t="inlineStr">
        <is>
          <t>6656</t>
        </is>
      </c>
      <c r="B102" s="16" t="inlineStr">
        <is>
          <t>SIGENERGY</t>
        </is>
      </c>
      <c r="C102" s="99" t="n">
        <v>324.2</v>
      </c>
      <c r="F102" s="96" t="inlineStr">
        <is>
          <t>no BDP field (EQY_INIT_PO_SH_PRC rejected on the desk terminal 2026-08-26) — check the DES/IPO screen</t>
        </is>
      </c>
      <c r="G102" s="10">
        <f>IF(ISNUMBER($F102),IF(ABS($F102/$C102-1)&lt;0.005,"MATCH","CHECK"),"verified via section A: the day-1 close matched Bloomberg and the day-1 % is consistent only with this price")</f>
        <v/>
      </c>
      <c r="H102" s="96" t="inlineStr">
        <is>
          <t>OFFER PRICE: AAStocks debut report: opened HK$581 (+79.2%) from listing price HK$324.20, closed HK$659.5 +103.4%; 13,573,900 H shares, gross ≈HK$4.4bn</t>
        </is>
      </c>
    </row>
    <row r="103">
      <c r="A103" s="91" t="inlineStr">
        <is>
          <t>9630</t>
        </is>
      </c>
      <c r="B103" s="16" t="inlineStr">
        <is>
          <t>CFMEE</t>
        </is>
      </c>
      <c r="C103" s="99" t="n">
        <v>252.73</v>
      </c>
      <c r="F103" s="96" t="inlineStr">
        <is>
          <t>no BDP field (EQY_INIT_PO_SH_PRC rejected on the desk terminal 2026-08-26) — check the DES/IPO screen</t>
        </is>
      </c>
      <c r="G103" s="10">
        <f>IF(ISNUMBER($F103),IF(ABS($F103/$C103-1)&lt;0.005,"MATCH","CHECK"),"verified via section A: the day-1 close matched Bloomberg and the day-1 % is consistent only with this price")</f>
        <v/>
      </c>
      <c r="H103" s="96" t="inlineStr">
        <is>
          <t>OFFER PRICE: Sina 2026-06-26: 发行价252.73港元 (top of range), 收报515.00港元 +103.77%, 发行1283.865万股, 募资总额32.45亿港元. NOT the midday 445.8 snapshot.</t>
        </is>
      </c>
    </row>
    <row r="104">
      <c r="A104" s="91" t="inlineStr">
        <is>
          <t>6090</t>
        </is>
      </c>
      <c r="B104" s="16" t="inlineStr">
        <is>
          <t>BUTONG GROUP</t>
        </is>
      </c>
      <c r="C104" s="99" t="n">
        <v>71.2</v>
      </c>
      <c r="F104" s="96" t="inlineStr">
        <is>
          <t>no BDP field (EQY_INIT_PO_SH_PRC rejected on the desk terminal 2026-08-26) — check the DES/IPO screen</t>
        </is>
      </c>
      <c r="G104" s="10">
        <f>IF(ISNUMBER($F104),IF(ABS($F104/$C104-1)&lt;0.005,"MATCH","CHECK"),"verified via section A: the day-1 close matched Bloomberg and the day-1 % is consistent only with this price")</f>
        <v/>
      </c>
      <c r="H104" s="96" t="inlineStr">
        <is>
          <t>OFFER PRICE: Sina 2025-09-23: 发售价每股71.20港元 (top of the 62.01-71.20 range), 收报102.50港元 +43.96%, 全球发售1098.09万股.</t>
        </is>
      </c>
    </row>
    <row r="105">
      <c r="A105" s="91" t="inlineStr">
        <is>
          <t>3223</t>
        </is>
      </c>
      <c r="B105" s="16" t="inlineStr">
        <is>
          <t>INGENIC</t>
        </is>
      </c>
      <c r="C105" s="99" t="n">
        <v>100</v>
      </c>
      <c r="F105" s="96" t="inlineStr">
        <is>
          <t>no BDP field (EQY_INIT_PO_SH_PRC rejected on the desk terminal 2026-08-26) — check the DES/IPO screen</t>
        </is>
      </c>
      <c r="G105" s="10">
        <f>IF(ISNUMBER($F105),IF(ABS($F105/$C105-1)&lt;0.005,"MATCH","CHECK"),"verified via section A: the day-1 close matched Bloomberg and the day-1 % is consistent only with this price")</f>
        <v/>
      </c>
      <c r="H105" s="96" t="inlineStr">
        <is>
          <t>Ingenic FY2025 A-share AR (300223.SZ, 2026-03-28): revenue RMB4,741m, attributable NI RMB376m; x1.10 to HKD. Listed 2026-08-25 — trailing basis for th</t>
        </is>
      </c>
    </row>
    <row r="106">
      <c r="A106" s="91" t="inlineStr">
        <is>
          <t>9615</t>
        </is>
      </c>
      <c r="B106" s="16" t="inlineStr">
        <is>
          <t>MECH-MIND ROBOT</t>
        </is>
      </c>
      <c r="C106" s="99" t="n">
        <v>101.7</v>
      </c>
      <c r="F106" s="96" t="inlineStr">
        <is>
          <t>no BDP field (EQY_INIT_PO_SH_PRC rejected on the desk terminal 2026-08-26) — check the DES/IPO screen</t>
        </is>
      </c>
      <c r="G106" s="10">
        <f>IF(ISNUMBER($F106),IF(ABS($F106/$C106-1)&lt;0.005,"MATCH","CHECK"),"verified via section A: the day-1 close matched Bloomberg and the day-1 % is consistent only with this price")</f>
        <v/>
      </c>
      <c r="H106" s="96" t="inlineStr">
        <is>
          <t>HKEX allotment results 2026-08-31 (2026083102433.pdf): final offer price HK$101.70 = the CAP (range HK$95.30-101.70, 'Offer Price adjustment exercised</t>
        </is>
      </c>
    </row>
    <row r="107">
      <c r="A107" s="91" t="inlineStr">
        <is>
          <t>0625</t>
        </is>
      </c>
      <c r="B107" s="16" t="inlineStr">
        <is>
          <t>SHEIN-W</t>
        </is>
      </c>
      <c r="C107" s="99" t="n">
        <v>48.56</v>
      </c>
      <c r="F107" s="96" t="inlineStr">
        <is>
          <t>no BDP field (EQY_INIT_PO_SH_PRC rejected on the desk terminal 2026-08-26) — check the DES/IPO screen</t>
        </is>
      </c>
      <c r="G107" s="10">
        <f>IF(ISNUMBER($F107),IF(ABS($F107/$C107-1)&lt;0.005,"MATCH","CHECK"),"verified via section A: the day-1 close matched Bloomberg and the day-1 % is consistent only with this price")</f>
        <v/>
      </c>
      <c r="H107" s="96" t="inlineStr">
        <is>
          <t>HKEX allotment results 2026-08-31 (2026083102409.pdf): final offer price HK$48.56 against a HK$47.60-49.50 range (max HK$49.50) — priced 1.9% below th</t>
        </is>
      </c>
    </row>
    <row r="108">
      <c r="A108" s="91" t="inlineStr">
        <is>
          <t>2392</t>
        </is>
      </c>
      <c r="B108" s="16" t="inlineStr">
        <is>
          <t>XUANWU CLOUD</t>
        </is>
      </c>
      <c r="C108" s="99" t="n">
        <v>6.24</v>
      </c>
      <c r="F108" s="96" t="inlineStr">
        <is>
          <t>no BDP field (EQY_INIT_PO_SH_PRC rejected on the desk terminal 2026-08-26) — check the DES/IPO screen</t>
        </is>
      </c>
      <c r="G108" s="10">
        <f>IF(ISNUMBER($F108),IF(ABS($F108/$C108-1)&lt;0.005,"MATCH","CHECK"),"verified via section A: the day-1 close matched Bloomberg and the day-1 % is consistent only with this price")</f>
        <v/>
      </c>
      <c r="H108" s="96" t="inlineStr">
        <is>
          <t xml:space="preserve">filing parse returned 6.91 = EXACTLY the stated Maximum Offer Price (the known bad-anchor line, wrong 6/6 in the v20 price research). AAStocks prints </t>
        </is>
      </c>
    </row>
    <row r="109">
      <c r="A109" s="91" t="inlineStr">
        <is>
          <t>9877</t>
        </is>
      </c>
      <c r="B109" s="16" t="inlineStr">
        <is>
          <t>JENSCARE-B</t>
        </is>
      </c>
      <c r="C109" s="99" t="n">
        <v>27.8</v>
      </c>
      <c r="F109" s="96" t="inlineStr">
        <is>
          <t>no BDP field (EQY_INIT_PO_SH_PRC rejected on the desk terminal 2026-08-26) — check the DES/IPO screen</t>
        </is>
      </c>
      <c r="G109" s="10">
        <f>IF(ISNUMBER($F109),IF(ABS($F109/$C109-1)&lt;0.005,"MATCH","CHECK"),"verified via section A: the day-1 close matched Bloomberg and the day-1 % is consistent only with this price")</f>
        <v/>
      </c>
      <c r="H109" s="96" t="inlineStr">
        <is>
          <t>filing parse returned 28.80 = EXACTLY the stated Maximum Offer Price. AAStocks prints 27.80, and the ingested day-1 (+1.62%) matches 28.25/27.80-1 exa</t>
        </is>
      </c>
    </row>
    <row r="110"/>
    <row r="111">
      <c r="A111" s="14" t="inlineStr">
        <is>
          <t>C · CORPORATE ACTIONS  (29 deals — Bloomberg's history is ADJUSTED, ours is raw-plus-correction, so our day-1 close divided by the cumulative factor must equal Bloomberg's print for that day)</t>
        </is>
      </c>
    </row>
    <row r="112">
      <c r="A112" s="12" t="inlineStr">
        <is>
          <t>Code</t>
        </is>
      </c>
      <c r="B112" s="12" t="inlineStr">
        <is>
          <t>Name</t>
        </is>
      </c>
      <c r="C112" s="12" t="inlineStr">
        <is>
          <t>Listing date</t>
        </is>
      </c>
      <c r="D112" s="12" t="inlineStr">
        <is>
          <t>Our day-1 close</t>
        </is>
      </c>
      <c r="E112" s="12" t="inlineStr">
        <is>
          <t>÷ factor = expected</t>
        </is>
      </c>
      <c r="F112" s="12" t="inlineStr">
        <is>
          <t>BBG close that day</t>
        </is>
      </c>
      <c r="G112" s="12" t="inlineStr">
        <is>
          <t>VERDICT</t>
        </is>
      </c>
      <c r="H112" s="12" t="inlineStr">
        <is>
          <t>Action applied</t>
        </is>
      </c>
    </row>
    <row r="113">
      <c r="A113" s="91" t="inlineStr">
        <is>
          <t>1413</t>
        </is>
      </c>
      <c r="B113" s="16" t="inlineStr">
        <is>
          <t>KWONG LUEN ENG</t>
        </is>
      </c>
      <c r="C113" s="98" t="inlineStr">
        <is>
          <t>2021-03-11</t>
        </is>
      </c>
      <c r="D113" s="99" t="n">
        <v>0.42</v>
      </c>
      <c r="E113" s="40">
        <f>IFERROR($D113/0.2,"")</f>
        <v/>
      </c>
      <c r="F113" s="40">
        <f>IFERROR(BDH(TEXT(N($A113),"0")&amp;" HK Equity","PX_LAST",$C113,$C113),"run on terminal")</f>
        <v/>
      </c>
      <c r="G113" s="10">
        <f>IF(NOT(ISNUMBER($F113)),"run on terminal",IF(ABS($F113/$E113-1)&lt;0.02,"MATCH","CHECK — BBG "&amp;TEXT($F113,"0.000")))</f>
        <v/>
      </c>
      <c r="H113" s="96" t="inlineStr">
        <is>
          <t>2025-12-16 x0.2  (BBG basis x0.2)</t>
        </is>
      </c>
    </row>
    <row r="114">
      <c r="A114" s="91" t="inlineStr">
        <is>
          <t>1855</t>
        </is>
      </c>
      <c r="B114" s="16" t="inlineStr">
        <is>
          <t>ZONBONG ENVIRO</t>
        </is>
      </c>
      <c r="C114" s="98" t="inlineStr">
        <is>
          <t>2021-01-06</t>
        </is>
      </c>
      <c r="D114" s="99" t="n">
        <v>2.05</v>
      </c>
      <c r="E114" s="40">
        <f>IFERROR($D114/3.0,"")</f>
        <v/>
      </c>
      <c r="F114" s="40">
        <f>IFERROR(BDH(TEXT(N($A114),"0")&amp;" HK Equity","PX_LAST",$C114,$C114),"run on terminal")</f>
        <v/>
      </c>
      <c r="G114" s="10">
        <f>IF(NOT(ISNUMBER($F114)),"run on terminal",IF(ABS($F114/$E114-1)&lt;0.02,"MATCH","CHECK — BBG "&amp;TEXT($F114,"0.000")))</f>
        <v/>
      </c>
      <c r="H114" s="96" t="inlineStr">
        <is>
          <t>2024-08-01 x3  (BBG basis x3)</t>
        </is>
      </c>
    </row>
    <row r="115">
      <c r="A115" s="91" t="inlineStr">
        <is>
          <t>2147</t>
        </is>
      </c>
      <c r="B115" s="16" t="inlineStr">
        <is>
          <t>ZHENGWEI GROUP</t>
        </is>
      </c>
      <c r="C115" s="98" t="inlineStr">
        <is>
          <t>2023-01-13</t>
        </is>
      </c>
      <c r="D115" s="99" t="n">
        <v>0.5600000000000001</v>
      </c>
      <c r="E115" s="40">
        <f>IFERROR($D115/0.05,"")</f>
        <v/>
      </c>
      <c r="F115" s="40">
        <f>IFERROR(BDH(TEXT(N($A115),"0")&amp;" HK Equity","PX_LAST",$C115,$C115),"run on terminal")</f>
        <v/>
      </c>
      <c r="G115" s="10">
        <f>IF(NOT(ISNUMBER($F115)),"run on terminal",IF(ABS($F115/$E115-1)&lt;0.02,"MATCH","CHECK — BBG "&amp;TEXT($F115,"0.000")))</f>
        <v/>
      </c>
      <c r="H115" s="96" t="inlineStr">
        <is>
          <t>2025-12-30 x0.05  (BBG basis x0.05)</t>
        </is>
      </c>
    </row>
    <row r="116">
      <c r="A116" s="91" t="inlineStr">
        <is>
          <t>2160</t>
        </is>
      </c>
      <c r="B116" s="16" t="inlineStr">
        <is>
          <t>CARDIOFLOW-B</t>
        </is>
      </c>
      <c r="C116" s="98" t="inlineStr">
        <is>
          <t>2021-02-04</t>
        </is>
      </c>
      <c r="D116" s="99" t="n">
        <v>18.82</v>
      </c>
      <c r="E116" s="40">
        <f>IFERROR($D116/0.2,"")</f>
        <v/>
      </c>
      <c r="F116" s="40">
        <f>IFERROR(BDH(TEXT(N($A116),"0")&amp;" HK Equity","PX_LAST",$C116,$C116),"run on terminal")</f>
        <v/>
      </c>
      <c r="G116" s="10">
        <f>IF(NOT(ISNUMBER($F116)),"run on terminal",IF(ABS($F116/$E116-1)&lt;0.02,"MATCH","CHECK — BBG "&amp;TEXT($F116,"0.000")))</f>
        <v/>
      </c>
      <c r="H116" s="96" t="inlineStr">
        <is>
          <t>2026-02-24 x0.2  (BBG basis x0.2)</t>
        </is>
      </c>
    </row>
    <row r="117">
      <c r="A117" s="91" t="inlineStr">
        <is>
          <t>2195</t>
        </is>
      </c>
      <c r="B117" s="16" t="inlineStr">
        <is>
          <t>UNITY ENT</t>
        </is>
      </c>
      <c r="C117" s="98" t="inlineStr">
        <is>
          <t>2021-03-31</t>
        </is>
      </c>
      <c r="D117" s="99" t="n">
        <v>0.33</v>
      </c>
      <c r="E117" s="40">
        <f>IFERROR($D117/0.1,"")</f>
        <v/>
      </c>
      <c r="F117" s="40">
        <f>IFERROR(BDH(TEXT(N($A117),"0")&amp;" HK Equity","PX_LAST",$C117,$C117),"run on terminal")</f>
        <v/>
      </c>
      <c r="G117" s="10">
        <f>IF(NOT(ISNUMBER($F117)),"run on terminal",IF(ABS($F117/$E117-1)&lt;0.02,"MATCH","CHECK — BBG "&amp;TEXT($F117,"0.000")))</f>
        <v/>
      </c>
      <c r="H117" s="96" t="inlineStr">
        <is>
          <t>2025-10-30 x0.1  (BBG basis x0.1)</t>
        </is>
      </c>
    </row>
    <row r="118">
      <c r="A118" s="91" t="inlineStr">
        <is>
          <t>2246</t>
        </is>
      </c>
      <c r="B118" s="16" t="inlineStr">
        <is>
          <t>GOGOX</t>
        </is>
      </c>
      <c r="C118" s="98" t="inlineStr">
        <is>
          <t>2022-06-24</t>
        </is>
      </c>
      <c r="D118" s="99" t="n">
        <v>16.721</v>
      </c>
      <c r="E118" s="40">
        <f>IFERROR($D118/0.1,"")</f>
        <v/>
      </c>
      <c r="F118" s="40">
        <f>IFERROR(BDH(TEXT(N($A118),"0")&amp;" HK Equity","PX_LAST",$C118,$C118),"run on terminal")</f>
        <v/>
      </c>
      <c r="G118" s="10">
        <f>IF(NOT(ISNUMBER($F118)),"run on terminal",IF(ABS($F118/$E118-1)&lt;0.02,"MATCH","CHECK — BBG "&amp;TEXT($F118,"0.000")))</f>
        <v/>
      </c>
      <c r="H118" s="96" t="inlineStr">
        <is>
          <t>2025-04-25 x0.1  (BBG basis x0.1)</t>
        </is>
      </c>
    </row>
    <row r="119">
      <c r="A119" s="91" t="inlineStr">
        <is>
          <t>2350</t>
        </is>
      </c>
      <c r="B119" s="16" t="inlineStr">
        <is>
          <t>MTT GROUP</t>
        </is>
      </c>
      <c r="C119" s="98" t="inlineStr">
        <is>
          <t>2022-09-26</t>
        </is>
      </c>
      <c r="D119" s="99" t="n">
        <v>0.62</v>
      </c>
      <c r="E119" s="40">
        <f>IFERROR($D119/1.246,"")</f>
        <v/>
      </c>
      <c r="F119" s="40">
        <f>IFERROR(BDH(TEXT(N($A119),"0")&amp;" HK Equity","PX_LAST",$C119,$C119),"run on terminal")</f>
        <v/>
      </c>
      <c r="G119" s="10">
        <f>IF(NOT(ISNUMBER($F119)),"run on terminal",IF(ABS($F119/$E119-1)&lt;0.02,"MATCH","CHECK — BBG "&amp;TEXT($F119,"0.000")))</f>
        <v/>
      </c>
      <c r="H119" s="96" t="inlineStr">
        <is>
          <t>2026-06-15 rights 2-for-5 @ HK$0.275 (BBG-only x1.246)  (BBG basis x1.246)</t>
        </is>
      </c>
    </row>
    <row r="120">
      <c r="A120" s="91" t="inlineStr">
        <is>
          <t>2402</t>
        </is>
      </c>
      <c r="B120" s="16" t="inlineStr">
        <is>
          <t>SINOHYTEC</t>
        </is>
      </c>
      <c r="C120" s="98" t="inlineStr">
        <is>
          <t>2023-01-12</t>
        </is>
      </c>
      <c r="D120" s="99" t="n">
        <v>60</v>
      </c>
      <c r="E120" s="40">
        <f>IFERROR($D120/1.9599999999999997,"")</f>
        <v/>
      </c>
      <c r="F120" s="40">
        <f>IFERROR(BDH(TEXT(N($A120),"0")&amp;" HK Equity","PX_LAST",$C120,$C120),"run on terminal")</f>
        <v/>
      </c>
      <c r="G120" s="10">
        <f>IF(NOT(ISNUMBER($F120)),"run on terminal",IF(ABS($F120/$E120-1)&lt;0.02,"MATCH","CHECK — BBG "&amp;TEXT($F120,"0.000")))</f>
        <v/>
      </c>
      <c r="H120" s="96" t="inlineStr">
        <is>
          <t>2023-06-21 x1.4; 2024-07-04 x1.4  (BBG basis x1.96)</t>
        </is>
      </c>
    </row>
    <row r="121">
      <c r="A121" s="91" t="inlineStr">
        <is>
          <t>2422</t>
        </is>
      </c>
      <c r="B121" s="16" t="inlineStr">
        <is>
          <t>REGO INTERACT</t>
        </is>
      </c>
      <c r="C121" s="98" t="inlineStr">
        <is>
          <t>2022-10-17</t>
        </is>
      </c>
      <c r="D121" s="99" t="n">
        <v>1.35</v>
      </c>
      <c r="E121" s="40">
        <f>IFERROR($D121/1.1936,"")</f>
        <v/>
      </c>
      <c r="F121" s="40">
        <f>IFERROR(BDH(TEXT(N($A121),"0")&amp;" HK Equity","PX_LAST",$C121,$C121),"run on terminal")</f>
        <v/>
      </c>
      <c r="G121" s="10">
        <f>IF(NOT(ISNUMBER($F121)),"run on terminal",IF(ABS($F121/$E121-1)&lt;0.02,"MATCH","CHECK — BBG "&amp;TEXT($F121,"0.000")))</f>
        <v/>
      </c>
      <c r="H121" s="96" t="inlineStr">
        <is>
          <t>2022-11 UNVERIFIED entitlement-class adjustment (BBG-only x1.1936)  (BBG basis x1.1936)</t>
        </is>
      </c>
    </row>
    <row r="122">
      <c r="A122" s="91" t="inlineStr">
        <is>
          <t>2440</t>
        </is>
      </c>
      <c r="B122" s="16" t="inlineStr">
        <is>
          <t>HOWKINGTECH</t>
        </is>
      </c>
      <c r="C122" s="98" t="inlineStr">
        <is>
          <t>2022-12-12</t>
        </is>
      </c>
      <c r="D122" s="99" t="n">
        <v>2</v>
      </c>
      <c r="E122" s="40">
        <f>IFERROR($D122/1.22414,"")</f>
        <v/>
      </c>
      <c r="F122" s="40">
        <f>IFERROR(BDH(TEXT(N($A122),"0")&amp;" HK Equity","PX_LAST",$C122,$C122),"run on terminal")</f>
        <v/>
      </c>
      <c r="G122" s="10">
        <f>IF(NOT(ISNUMBER($F122)),"run on terminal",IF(ABS($F122/$E122-1)&lt;0.02,"MATCH","CHECK — BBG "&amp;TEXT($F122,"0.000")))</f>
        <v/>
      </c>
      <c r="H122" s="96" t="inlineStr">
        <is>
          <t>2025-06-24 rights 1-for-2 @ HK$1.262 (now MemeStrategy) (BBG-only x1.22414)  (BBG basis x1.22414)</t>
        </is>
      </c>
    </row>
    <row r="123">
      <c r="A123" s="91" t="inlineStr">
        <is>
          <t>2459</t>
        </is>
      </c>
      <c r="B123" s="16" t="inlineStr">
        <is>
          <t>SANERGY GROUP</t>
        </is>
      </c>
      <c r="C123" s="98" t="inlineStr">
        <is>
          <t>2023-01-17</t>
        </is>
      </c>
      <c r="D123" s="99" t="n">
        <v>1.78</v>
      </c>
      <c r="E123" s="40">
        <f>IFERROR($D123/0.1195431,"")</f>
        <v/>
      </c>
      <c r="F123" s="40">
        <f>IFERROR(BDH(TEXT(N($A123),"0")&amp;" HK Equity","PX_LAST",$C123,$C123),"run on terminal")</f>
        <v/>
      </c>
      <c r="G123" s="10">
        <f>IF(NOT(ISNUMBER($F123)),"run on terminal",IF(ABS($F123/$E123-1)&lt;0.02,"MATCH","CHECK — BBG "&amp;TEXT($F123,"0.000")))</f>
        <v/>
      </c>
      <c r="H123" s="96" t="inlineStr">
        <is>
          <t>2026-05-14 x0.1; 2025-07-16 rights 1-for-2 @ HK$0.08 (pre-consolidation) (BBG-only x1.19543)  (BBG basis x0.119543)</t>
        </is>
      </c>
    </row>
    <row r="124">
      <c r="A124" s="91" t="inlineStr">
        <is>
          <t>2473</t>
        </is>
      </c>
      <c r="B124" s="16" t="inlineStr">
        <is>
          <t>XXF</t>
        </is>
      </c>
      <c r="C124" s="98" t="inlineStr">
        <is>
          <t>2023-11-09</t>
        </is>
      </c>
      <c r="D124" s="99" t="n">
        <v>1.64</v>
      </c>
      <c r="E124" s="40">
        <f>IFERROR($D124/3.0,"")</f>
        <v/>
      </c>
      <c r="F124" s="40">
        <f>IFERROR(BDH(TEXT(N($A124),"0")&amp;" HK Equity","PX_LAST",$C124,$C124),"run on terminal")</f>
        <v/>
      </c>
      <c r="G124" s="10">
        <f>IF(NOT(ISNUMBER($F124)),"run on terminal",IF(ABS($F124/$E124-1)&lt;0.02,"MATCH","CHECK — BBG "&amp;TEXT($F124,"0.000")))</f>
        <v/>
      </c>
      <c r="H124" s="96" t="inlineStr">
        <is>
          <t>2024-12-06 x3  (BBG basis x3)</t>
        </is>
      </c>
    </row>
    <row r="125">
      <c r="A125" s="91" t="inlineStr">
        <is>
          <t>2477</t>
        </is>
      </c>
      <c r="B125" s="16" t="inlineStr">
        <is>
          <t>WELLCELL HOLD</t>
        </is>
      </c>
      <c r="C125" s="98" t="inlineStr">
        <is>
          <t>2024-01-12</t>
        </is>
      </c>
      <c r="D125" s="99" t="n">
        <v>2.64</v>
      </c>
      <c r="E125" s="40">
        <f>IFERROR($D125/8.0,"")</f>
        <v/>
      </c>
      <c r="F125" s="40">
        <f>IFERROR(BDH(TEXT(N($A125),"0")&amp;" HK Equity","PX_LAST",$C125,$C125),"run on terminal")</f>
        <v/>
      </c>
      <c r="G125" s="10">
        <f>IF(NOT(ISNUMBER($F125)),"run on terminal",IF(ABS($F125/$E125-1)&lt;0.02,"MATCH","CHECK — BBG "&amp;TEXT($F125,"0.000")))</f>
        <v/>
      </c>
      <c r="H125" s="96" t="inlineStr">
        <is>
          <t>2025-03-31 x2; 2026-04-21 x4  (BBG basis x8)</t>
        </is>
      </c>
    </row>
    <row r="126">
      <c r="A126" s="91" t="inlineStr">
        <is>
          <t>2490</t>
        </is>
      </c>
      <c r="B126" s="16" t="inlineStr">
        <is>
          <t>LC LOGISTICS</t>
        </is>
      </c>
      <c r="C126" s="98" t="inlineStr">
        <is>
          <t>2023-09-25</t>
        </is>
      </c>
      <c r="D126" s="99" t="n">
        <v>5.1</v>
      </c>
      <c r="E126" s="40">
        <f>IFERROR($D126/2.0,"")</f>
        <v/>
      </c>
      <c r="F126" s="40">
        <f>IFERROR(BDH(TEXT(N($A126),"0")&amp;" HK Equity","PX_LAST",$C126,$C126),"run on terminal")</f>
        <v/>
      </c>
      <c r="G126" s="10">
        <f>IF(NOT(ISNUMBER($F126)),"run on terminal",IF(ABS($F126/$E126-1)&lt;0.02,"MATCH","CHECK — BBG "&amp;TEXT($F126,"0.000")))</f>
        <v/>
      </c>
      <c r="H126" s="96" t="inlineStr">
        <is>
          <t>2025-07-28 x2  (BBG basis x2)</t>
        </is>
      </c>
    </row>
    <row r="127">
      <c r="A127" s="91" t="inlineStr">
        <is>
          <t>2525</t>
        </is>
      </c>
      <c r="B127" s="16" t="inlineStr">
        <is>
          <t>HESAI-W</t>
        </is>
      </c>
      <c r="C127" s="98" t="inlineStr">
        <is>
          <t>2025-09-16</t>
        </is>
      </c>
      <c r="D127" s="99" t="n">
        <v>233.995</v>
      </c>
      <c r="E127" s="40">
        <f>IFERROR($D127/8.0,"")</f>
        <v/>
      </c>
      <c r="F127" s="40">
        <f>IFERROR(BDH(TEXT(N($A127),"0")&amp;" HK Equity","PX_LAST",$C127,$C127),"run on terminal")</f>
        <v/>
      </c>
      <c r="G127" s="10">
        <f>IF(NOT(ISNUMBER($F127)),"run on terminal",IF(ABS($F127/$E127-1)&lt;0.02,"MATCH","CHECK — BBG "&amp;TEXT($F127,"0.000")))</f>
        <v/>
      </c>
      <c r="H127" s="96" t="inlineStr">
        <is>
          <t>2026-07-10 x8  (BBG basis x8)</t>
        </is>
      </c>
    </row>
    <row r="128">
      <c r="A128" s="91" t="inlineStr">
        <is>
          <t>2635</t>
        </is>
      </c>
      <c r="B128" s="16" t="inlineStr">
        <is>
          <t>NUOBIKAN</t>
        </is>
      </c>
      <c r="C128" s="98" t="inlineStr">
        <is>
          <t>2025-12-23</t>
        </is>
      </c>
      <c r="D128" s="99" t="n">
        <v>371</v>
      </c>
      <c r="E128" s="40">
        <f>IFERROR($D128/10.0,"")</f>
        <v/>
      </c>
      <c r="F128" s="40">
        <f>IFERROR(BDH(TEXT(N($A128),"0")&amp;" HK Equity","PX_LAST",$C128,$C128),"run on terminal")</f>
        <v/>
      </c>
      <c r="G128" s="10">
        <f>IF(NOT(ISNUMBER($F128)),"run on terminal",IF(ABS($F128/$E128-1)&lt;0.02,"MATCH","CHECK — BBG "&amp;TEXT($F128,"0.000")))</f>
        <v/>
      </c>
      <c r="H128" s="96" t="inlineStr">
        <is>
          <t>2026-03-11 x10  (BBG basis x10)</t>
        </is>
      </c>
    </row>
    <row r="129">
      <c r="A129" s="91" t="inlineStr">
        <is>
          <t>2650</t>
        </is>
      </c>
      <c r="B129" s="16" t="inlineStr">
        <is>
          <t>ZHIDA TECH</t>
        </is>
      </c>
      <c r="C129" s="98" t="inlineStr">
        <is>
          <t>2025-10-10</t>
        </is>
      </c>
      <c r="D129" s="99" t="n">
        <v>195.5</v>
      </c>
      <c r="E129" s="40">
        <f>IFERROR($D129/5.0,"")</f>
        <v/>
      </c>
      <c r="F129" s="40">
        <f>IFERROR(BDH(TEXT(N($A129),"0")&amp;" HK Equity","PX_LAST",$C129,$C129),"run on terminal")</f>
        <v/>
      </c>
      <c r="G129" s="10">
        <f>IF(NOT(ISNUMBER($F129)),"run on terminal",IF(ABS($F129/$E129-1)&lt;0.02,"MATCH","CHECK — BBG "&amp;TEXT($F129,"0.000")))</f>
        <v/>
      </c>
      <c r="H129" s="96" t="inlineStr">
        <is>
          <t>2026-03-03 x5  (BBG basis x5)</t>
        </is>
      </c>
    </row>
    <row r="130">
      <c r="A130" s="91" t="inlineStr">
        <is>
          <t>2691</t>
        </is>
      </c>
      <c r="B130" s="16" t="inlineStr">
        <is>
          <t>NANHUA FUTURES</t>
        </is>
      </c>
      <c r="C130" s="98" t="inlineStr">
        <is>
          <t>2025-12-22</t>
        </is>
      </c>
      <c r="D130" s="99" t="n">
        <v>9.1</v>
      </c>
      <c r="E130" s="40">
        <f>IFERROR($D130/1.45,"")</f>
        <v/>
      </c>
      <c r="F130" s="40">
        <f>IFERROR(BDH(TEXT(N($A130),"0")&amp;" HK Equity","PX_LAST",$C130,$C130),"run on terminal")</f>
        <v/>
      </c>
      <c r="G130" s="10">
        <f>IF(NOT(ISNUMBER($F130)),"run on terminal",IF(ABS($F130/$E130-1)&lt;0.02,"MATCH","CHECK — BBG "&amp;TEXT($F130,"0.000")))</f>
        <v/>
      </c>
      <c r="H130" s="96" t="inlineStr">
        <is>
          <t>2026-06-17 x1.45  (BBG basis x1.45)</t>
        </is>
      </c>
    </row>
    <row r="131">
      <c r="A131" s="91" t="inlineStr">
        <is>
          <t>2768</t>
        </is>
      </c>
      <c r="B131" s="16" t="inlineStr">
        <is>
          <t>GON TECHNOLOGY</t>
        </is>
      </c>
      <c r="C131" s="98" t="inlineStr">
        <is>
          <t>2026-02-04</t>
        </is>
      </c>
      <c r="D131" s="99" t="n">
        <v>40.162</v>
      </c>
      <c r="E131" s="40">
        <f>IFERROR($D131/1.48,"")</f>
        <v/>
      </c>
      <c r="F131" s="40">
        <f>IFERROR(BDH(TEXT(N($A131),"0")&amp;" HK Equity","PX_LAST",$C131,$C131),"run on terminal")</f>
        <v/>
      </c>
      <c r="G131" s="10">
        <f>IF(NOT(ISNUMBER($F131)),"run on terminal",IF(ABS($F131/$E131-1)&lt;0.02,"MATCH","CHECK — BBG "&amp;TEXT($F131,"0.000")))</f>
        <v/>
      </c>
      <c r="H131" s="96" t="inlineStr">
        <is>
          <t>2026-06-17 x1.48  (BBG basis x1.48)</t>
        </is>
      </c>
    </row>
    <row r="132">
      <c r="A132" s="91" t="inlineStr">
        <is>
          <t>3296</t>
        </is>
      </c>
      <c r="B132" s="16" t="inlineStr">
        <is>
          <t>HUAQIN</t>
        </is>
      </c>
      <c r="C132" s="98" t="inlineStr">
        <is>
          <t>2026-04-23</t>
        </is>
      </c>
      <c r="D132" s="99" t="n">
        <v>88.003</v>
      </c>
      <c r="E132" s="40">
        <f>IFERROR($D132/1.4,"")</f>
        <v/>
      </c>
      <c r="F132" s="40">
        <f>IFERROR(BDH(TEXT(N($A132),"0")&amp;" HK Equity","PX_LAST",$C132,$C132),"run on terminal")</f>
        <v/>
      </c>
      <c r="G132" s="10">
        <f>IF(NOT(ISNUMBER($F132)),"run on terminal",IF(ABS($F132/$E132-1)&lt;0.02,"MATCH","CHECK — BBG "&amp;TEXT($F132,"0.000")))</f>
        <v/>
      </c>
      <c r="H132" s="96" t="inlineStr">
        <is>
          <t>2026-05-22 x1.4  (BBG basis x1.4)</t>
        </is>
      </c>
    </row>
    <row r="133">
      <c r="A133" s="91" t="inlineStr">
        <is>
          <t>3881</t>
        </is>
      </c>
      <c r="B133" s="16" t="inlineStr">
        <is>
          <t>CIDI</t>
        </is>
      </c>
      <c r="C133" s="98" t="inlineStr">
        <is>
          <t>2025-12-19</t>
        </is>
      </c>
      <c r="D133" s="99" t="n">
        <v>226.995</v>
      </c>
      <c r="E133" s="40">
        <f>IFERROR($D133/10.0,"")</f>
        <v/>
      </c>
      <c r="F133" s="40">
        <f>IFERROR(BDH(TEXT(N($A133),"0")&amp;" HK Equity","PX_LAST",$C133,$C133),"run on terminal")</f>
        <v/>
      </c>
      <c r="G133" s="10">
        <f>IF(NOT(ISNUMBER($F133)),"run on terminal",IF(ABS($F133/$E133-1)&lt;0.02,"MATCH","CHECK — BBG "&amp;TEXT($F133,"0.000")))</f>
        <v/>
      </c>
      <c r="H133" s="96" t="inlineStr">
        <is>
          <t>2026-03-02 x10  (BBG basis x10)</t>
        </is>
      </c>
    </row>
    <row r="134">
      <c r="A134" s="91" t="inlineStr">
        <is>
          <t>6127</t>
        </is>
      </c>
      <c r="B134" s="16" t="inlineStr">
        <is>
          <t>JOINN</t>
        </is>
      </c>
      <c r="C134" s="98" t="inlineStr">
        <is>
          <t>2021-02-26</t>
        </is>
      </c>
      <c r="D134" s="99" t="n">
        <v>137.999</v>
      </c>
      <c r="E134" s="40">
        <f>IFERROR($D134/2.7439999999999993,"")</f>
        <v/>
      </c>
      <c r="F134" s="40">
        <f>IFERROR(BDH(TEXT(N($A134),"0")&amp;" HK Equity","PX_LAST",$C134,$C134),"run on terminal")</f>
        <v/>
      </c>
      <c r="G134" s="10">
        <f>IF(NOT(ISNUMBER($F134)),"run on terminal",IF(ABS($F134/$E134-1)&lt;0.02,"MATCH","CHECK — BBG "&amp;TEXT($F134,"0.000")))</f>
        <v/>
      </c>
      <c r="H134" s="96" t="inlineStr">
        <is>
          <t>2021-06-23 x1.4; 2022-07-28 x1.4; 2023-06-20 x1.4  (BBG basis x2.744)</t>
        </is>
      </c>
    </row>
    <row r="135">
      <c r="A135" s="91" t="inlineStr">
        <is>
          <t>6610</t>
        </is>
      </c>
      <c r="B135" s="16" t="inlineStr">
        <is>
          <t>FLOWING CLOUD</t>
        </is>
      </c>
      <c r="C135" s="98" t="inlineStr">
        <is>
          <t>2022-10-18</t>
        </is>
      </c>
      <c r="D135" s="99" t="n">
        <v>2.12</v>
      </c>
      <c r="E135" s="40">
        <f>IFERROR($D135/0.05,"")</f>
        <v/>
      </c>
      <c r="F135" s="40">
        <f>IFERROR(BDH(TEXT(N($A135),"0")&amp;" HK Equity","PX_LAST",$C135,$C135),"run on terminal")</f>
        <v/>
      </c>
      <c r="G135" s="10">
        <f>IF(NOT(ISNUMBER($F135)),"run on terminal",IF(ABS($F135/$E135-1)&lt;0.02,"MATCH","CHECK — BBG "&amp;TEXT($F135,"0.000")))</f>
        <v/>
      </c>
      <c r="H135" s="96" t="inlineStr">
        <is>
          <t>2025-12-05 x0.05  (BBG basis x0.05)</t>
        </is>
      </c>
    </row>
    <row r="136">
      <c r="A136" s="91" t="inlineStr">
        <is>
          <t>6680</t>
        </is>
      </c>
      <c r="B136" s="16" t="inlineStr">
        <is>
          <t>JLMAG</t>
        </is>
      </c>
      <c r="C136" s="98" t="inlineStr">
        <is>
          <t>2022-01-14</t>
        </is>
      </c>
      <c r="D136" s="99" t="n">
        <v>28.199</v>
      </c>
      <c r="E136" s="40">
        <f>IFERROR($D136/1.6,"")</f>
        <v/>
      </c>
      <c r="F136" s="40">
        <f>IFERROR(BDH(TEXT(N($A136),"0")&amp;" HK Equity","PX_LAST",$C136,$C136),"run on terminal")</f>
        <v/>
      </c>
      <c r="G136" s="10">
        <f>IF(NOT(ISNUMBER($F136)),"run on terminal",IF(ABS($F136/$E136-1)&lt;0.02,"MATCH","CHECK — BBG "&amp;TEXT($F136,"0.000")))</f>
        <v/>
      </c>
      <c r="H136" s="96" t="inlineStr">
        <is>
          <t>2023-06-26 x1.6  (BBG basis x1.6)</t>
        </is>
      </c>
    </row>
    <row r="137">
      <c r="A137" s="91" t="inlineStr">
        <is>
          <t>6686</t>
        </is>
      </c>
      <c r="B137" s="16" t="inlineStr">
        <is>
          <t>NOAH HOLDINGS-S</t>
        </is>
      </c>
      <c r="C137" s="98" t="inlineStr">
        <is>
          <t>2022-07-13</t>
        </is>
      </c>
      <c r="D137" s="99" t="n">
        <v>279.006</v>
      </c>
      <c r="E137" s="40">
        <f>IFERROR($D137/10.0,"")</f>
        <v/>
      </c>
      <c r="F137" s="40">
        <f>IFERROR(BDH(TEXT(N($A137),"0")&amp;" HK Equity","PX_LAST",$C137,$C137),"run on terminal")</f>
        <v/>
      </c>
      <c r="G137" s="10">
        <f>IF(NOT(ISNUMBER($F137)),"run on terminal",IF(ABS($F137/$E137-1)&lt;0.02,"MATCH","CHECK — BBG "&amp;TEXT($F137,"0.000")))</f>
        <v/>
      </c>
      <c r="H137" s="96" t="inlineStr">
        <is>
          <t>2023-10-30 x10  (BBG basis x10)</t>
        </is>
      </c>
    </row>
    <row r="138">
      <c r="A138" s="91" t="inlineStr">
        <is>
          <t>6696</t>
        </is>
      </c>
      <c r="B138" s="16" t="inlineStr">
        <is>
          <t>MANY IDEA CLOUD</t>
        </is>
      </c>
      <c r="C138" s="98" t="inlineStr">
        <is>
          <t>2022-11-09</t>
        </is>
      </c>
      <c r="D138" s="99" t="n">
        <v>2</v>
      </c>
      <c r="E138" s="40">
        <f>IFERROR($D138/0.06211222837500001,"")</f>
        <v/>
      </c>
      <c r="F138" s="40">
        <f>IFERROR(BDH(TEXT(N($A138),"0")&amp;" HK Equity","PX_LAST",$C138,$C138),"run on terminal")</f>
        <v/>
      </c>
      <c r="G138" s="10">
        <f>IF(NOT(ISNUMBER($F138)),"run on terminal",IF(ABS($F138/$E138-1)&lt;0.02,"MATCH","CHECK — BBG "&amp;TEXT($F138,"0.000")))</f>
        <v/>
      </c>
      <c r="H138" s="96" t="inlineStr">
        <is>
          <t>2025-02-12 x0.05; 2024-03-12 open offer 1-for-2 @ HK$0.15 (BBG-only x1.13235); 2025-11-26 rights 6-for-1 @ HK$0.4753 (post-consolidation) (BBG-only x1.09705)  (BBG basis x0.0621122)</t>
        </is>
      </c>
    </row>
    <row r="139">
      <c r="A139" s="91" t="inlineStr">
        <is>
          <t>6821</t>
        </is>
      </c>
      <c r="B139" s="16" t="inlineStr">
        <is>
          <t>ASYMCHEM</t>
        </is>
      </c>
      <c r="C139" s="98" t="inlineStr">
        <is>
          <t>2021-12-10</t>
        </is>
      </c>
      <c r="D139" s="99" t="n">
        <v>369.997</v>
      </c>
      <c r="E139" s="40">
        <f>IFERROR($D139/1.4,"")</f>
        <v/>
      </c>
      <c r="F139" s="40">
        <f>IFERROR(BDH(TEXT(N($A139),"0")&amp;" HK Equity","PX_LAST",$C139,$C139),"run on terminal")</f>
        <v/>
      </c>
      <c r="G139" s="10">
        <f>IF(NOT(ISNUMBER($F139)),"run on terminal",IF(ABS($F139/$E139-1)&lt;0.02,"MATCH","CHECK — BBG "&amp;TEXT($F139,"0.000")))</f>
        <v/>
      </c>
      <c r="H139" s="96" t="inlineStr">
        <is>
          <t>2022-07-11 x1.4  (BBG basis x1.4)</t>
        </is>
      </c>
    </row>
    <row r="140">
      <c r="A140" s="91" t="inlineStr">
        <is>
          <t>6911</t>
        </is>
      </c>
      <c r="B140" s="16" t="inlineStr">
        <is>
          <t>LANCANG TEA</t>
        </is>
      </c>
      <c r="C140" s="98" t="inlineStr">
        <is>
          <t>2023-12-22</t>
        </is>
      </c>
      <c r="D140" s="99" t="n">
        <v>8.699999999999999</v>
      </c>
      <c r="E140" s="40">
        <f>IFERROR($D140/1.5,"")</f>
        <v/>
      </c>
      <c r="F140" s="40">
        <f>IFERROR(BDH(TEXT(N($A140),"0")&amp;" HK Equity","PX_LAST",$C140,$C140),"run on terminal")</f>
        <v/>
      </c>
      <c r="G140" s="10">
        <f>IF(NOT(ISNUMBER($F140)),"run on terminal",IF(ABS($F140/$E140-1)&lt;0.02,"MATCH","CHECK — BBG "&amp;TEXT($F140,"0.000")))</f>
        <v/>
      </c>
      <c r="H140" s="96" t="inlineStr">
        <is>
          <t>2024-06-11 x1.5  (BBG basis x1.5)</t>
        </is>
      </c>
    </row>
    <row r="141">
      <c r="A141" s="91" t="inlineStr">
        <is>
          <t>9980</t>
        </is>
      </c>
      <c r="B141" s="16" t="inlineStr">
        <is>
          <t>EASTROC</t>
        </is>
      </c>
      <c r="C141" s="98" t="inlineStr">
        <is>
          <t>2026-02-03</t>
        </is>
      </c>
      <c r="D141" s="99" t="n">
        <v>251.794</v>
      </c>
      <c r="E141" s="40">
        <f>IFERROR($D141/1.3,"")</f>
        <v/>
      </c>
      <c r="F141" s="40">
        <f>IFERROR(BDH(TEXT(N($A141),"0")&amp;" HK Equity","PX_LAST",$C141,$C141),"run on terminal")</f>
        <v/>
      </c>
      <c r="G141" s="10">
        <f>IF(NOT(ISNUMBER($F141)),"run on terminal",IF(ABS($F141/$E141-1)&lt;0.02,"MATCH","CHECK — BBG "&amp;TEXT($F141,"0.000")))</f>
        <v/>
      </c>
      <c r="H141" s="96" t="inlineStr">
        <is>
          <t>2026-05-05 x1.3  (BBG basis x1.3)</t>
        </is>
      </c>
    </row>
    <row r="142"/>
    <row r="143">
      <c r="A143" s="14" t="inlineStr">
        <is>
          <t>D · DEAL SIZE  (16 deals — the stated gross was smaller than the deal's own net proceeds, which cannot happen)</t>
        </is>
      </c>
    </row>
    <row r="144">
      <c r="A144" s="12" t="inlineStr">
        <is>
          <t>Code</t>
        </is>
      </c>
      <c r="B144" s="12" t="inlineStr">
        <is>
          <t>Name</t>
        </is>
      </c>
      <c r="C144" s="12" t="inlineStr">
        <is>
          <t>Our deal size (HK$m)</t>
        </is>
      </c>
      <c r="D144" s="12" t="inlineStr">
        <is>
          <t>Basis</t>
        </is>
      </c>
      <c r="E144" s="12" t="inlineStr"/>
      <c r="F144" s="12" t="inlineStr">
        <is>
          <t>BBG offering size</t>
        </is>
      </c>
      <c r="G144" s="12" t="inlineStr">
        <is>
          <t>VERDICT</t>
        </is>
      </c>
      <c r="H144" s="12" t="inlineStr">
        <is>
          <t>What we relied on</t>
        </is>
      </c>
    </row>
    <row r="145">
      <c r="A145" s="91" t="inlineStr">
        <is>
          <t>2209</t>
        </is>
      </c>
      <c r="B145" s="16" t="inlineStr">
        <is>
          <t>YESASIA HLDGS</t>
        </is>
      </c>
      <c r="C145" s="97" t="n">
        <v>91</v>
      </c>
      <c r="D145" s="96" t="inlineStr">
        <is>
          <t>net proceeds</t>
        </is>
      </c>
      <c r="F145" s="96" t="inlineStr">
        <is>
          <t>no BDP field for offering size (EQUITY_OFFERINGS is a BDS order-book function) — check CACS / the IPO screen</t>
        </is>
      </c>
      <c r="G145" s="10" t="inlineStr">
        <is>
          <t>"check on CACS — the stated gross was arithmetically impossible (below net), so the rebuilt figure is shares x price or net proceeds"</t>
        </is>
      </c>
      <c r="H145" s="96" t="inlineStr">
        <is>
          <t>stated gross HK$4.5m rejected — below the deal's own net proceeds HK$91.0m, which cannot happen</t>
        </is>
      </c>
    </row>
    <row r="146">
      <c r="A146" s="91" t="inlineStr">
        <is>
          <t>2235</t>
        </is>
      </c>
      <c r="B146" s="16" t="inlineStr">
        <is>
          <t>MICROTECH MED-B</t>
        </is>
      </c>
      <c r="C146" s="97" t="n">
        <v>1937.6</v>
      </c>
      <c r="D146" s="96" t="inlineStr">
        <is>
          <t>gross (price x shares)</t>
        </is>
      </c>
      <c r="F146" s="96" t="inlineStr">
        <is>
          <t>no BDP field for offering size (EQUITY_OFFERINGS is a BDS order-book function) — check CACS / the IPO screen</t>
        </is>
      </c>
      <c r="G146" s="10" t="inlineStr">
        <is>
          <t>"check on CACS — the stated gross was arithmetically impossible (below net), so the rebuilt figure is shares x price or net proceeds"</t>
        </is>
      </c>
      <c r="H146" s="96" t="inlineStr">
        <is>
          <t>stated gross HK$75.7m rejected — below the deal's own net proceeds HK$1,815.1m, which cannot happen</t>
        </is>
      </c>
    </row>
    <row r="147">
      <c r="A147" s="91" t="inlineStr">
        <is>
          <t>2185</t>
        </is>
      </c>
      <c r="B147" s="16" t="inlineStr">
        <is>
          <t>BIOHEART-B</t>
        </is>
      </c>
      <c r="C147" s="97" t="n">
        <v>508.7</v>
      </c>
      <c r="D147" s="96" t="inlineStr">
        <is>
          <t>gross (price x shares)</t>
        </is>
      </c>
      <c r="F147" s="96" t="inlineStr">
        <is>
          <t>no BDP field for offering size (EQUITY_OFFERINGS is a BDS order-book function) — check CACS / the IPO screen</t>
        </is>
      </c>
      <c r="G147" s="10" t="inlineStr">
        <is>
          <t>"check on CACS — the stated gross was arithmetically impossible (below net), so the rebuilt figure is shares x price or net proceeds"</t>
        </is>
      </c>
      <c r="H147" s="96" t="inlineStr">
        <is>
          <t>stated gross HK$26.5m rejected — below the deal's own net proceeds HK$441.7m, which cannot happen</t>
        </is>
      </c>
    </row>
    <row r="148">
      <c r="A148" s="91" t="inlineStr">
        <is>
          <t>2157</t>
        </is>
      </c>
      <c r="B148" s="16" t="inlineStr">
        <is>
          <t>LEPU BIO-B</t>
        </is>
      </c>
      <c r="C148" s="97" t="n">
        <v>904.6</v>
      </c>
      <c r="D148" s="96" t="inlineStr">
        <is>
          <t>gross (price x shares)</t>
        </is>
      </c>
      <c r="F148" s="96" t="inlineStr">
        <is>
          <t>no BDP field for offering size (EQUITY_OFFERINGS is a BDS order-book function) — check CACS / the IPO screen</t>
        </is>
      </c>
      <c r="G148" s="10" t="inlineStr">
        <is>
          <t>"check on CACS — the stated gross was arithmetically impossible (below net), so the rebuilt figure is shares x price or net proceeds"</t>
        </is>
      </c>
      <c r="H148" s="96" t="inlineStr">
        <is>
          <t>stated gross HK$36.2m rejected — below the deal's own net proceeds HK$804.2m, which cannot happen</t>
        </is>
      </c>
    </row>
    <row r="149">
      <c r="A149" s="91" t="inlineStr">
        <is>
          <t>2179</t>
        </is>
      </c>
      <c r="B149" s="16" t="inlineStr">
        <is>
          <t>RECBIO-B</t>
        </is>
      </c>
      <c r="C149" s="97" t="n">
        <v>672.4</v>
      </c>
      <c r="D149" s="96" t="inlineStr">
        <is>
          <t>net proceeds</t>
        </is>
      </c>
      <c r="F149" s="96" t="inlineStr">
        <is>
          <t>no BDP field for offering size (EQUITY_OFFERINGS is a BDS order-book function) — check CACS / the IPO screen</t>
        </is>
      </c>
      <c r="G149" s="10" t="inlineStr">
        <is>
          <t>"check on CACS — the stated gross was arithmetically impossible (below net), so the rebuilt figure is shares x price or net proceeds"</t>
        </is>
      </c>
      <c r="H149" s="96" t="inlineStr">
        <is>
          <t>stated gross HK$32.5m rejected — below the deal's own net proceeds HK$672.4m, which cannot happen</t>
        </is>
      </c>
    </row>
    <row r="150">
      <c r="A150" s="91" t="inlineStr">
        <is>
          <t>2315</t>
        </is>
      </c>
      <c r="B150" s="16" t="inlineStr">
        <is>
          <t>BIOCYTOGEN-B</t>
        </is>
      </c>
      <c r="C150" s="97" t="n">
        <v>548.7</v>
      </c>
      <c r="D150" s="96" t="inlineStr">
        <is>
          <t>gross (price x shares)</t>
        </is>
      </c>
      <c r="F150" s="96" t="inlineStr">
        <is>
          <t>no BDP field for offering size (EQUITY_OFFERINGS is a BDS order-book function) — check CACS / the IPO screen</t>
        </is>
      </c>
      <c r="G150" s="10" t="inlineStr">
        <is>
          <t>"check on CACS — the stated gross was arithmetically impossible (below net), so the rebuilt figure is shares x price or net proceeds"</t>
        </is>
      </c>
      <c r="H150" s="96" t="inlineStr">
        <is>
          <t>stated gross HK$16.9m rejected — below the deal's own net proceeds HK$471.1m, which cannot happen</t>
        </is>
      </c>
    </row>
    <row r="151">
      <c r="A151" s="91" t="inlineStr">
        <is>
          <t>6979</t>
        </is>
      </c>
      <c r="B151" s="16" t="inlineStr">
        <is>
          <t>ZJLD</t>
        </is>
      </c>
      <c r="C151" s="97" t="n">
        <v>5309.4</v>
      </c>
      <c r="D151" s="96" t="inlineStr">
        <is>
          <t>gross (price x shares)</t>
        </is>
      </c>
      <c r="F151" s="96" t="inlineStr">
        <is>
          <t>no BDP field for offering size (EQUITY_OFFERINGS is a BDS order-book function) — check CACS / the IPO screen</t>
        </is>
      </c>
      <c r="G151" s="10" t="inlineStr">
        <is>
          <t>"check on CACS — the stated gross was arithmetically impossible (below net), so the rebuilt figure is shares x price or net proceeds"</t>
        </is>
      </c>
      <c r="H151" s="96" t="inlineStr">
        <is>
          <t>stated gross HK$795.0m rejected — below the deal's own net proceeds HK$4,990.0m, which cannot happen</t>
        </is>
      </c>
    </row>
    <row r="152">
      <c r="A152" s="91" t="inlineStr">
        <is>
          <t>2415</t>
        </is>
      </c>
      <c r="B152" s="16" t="inlineStr">
        <is>
          <t>MEDSCI</t>
        </is>
      </c>
      <c r="C152" s="97" t="n">
        <v>607.8</v>
      </c>
      <c r="D152" s="96" t="inlineStr">
        <is>
          <t>gross (price x shares)</t>
        </is>
      </c>
      <c r="F152" s="96" t="inlineStr">
        <is>
          <t>no BDP field for offering size (EQUITY_OFFERINGS is a BDS order-book function) — check CACS / the IPO screen</t>
        </is>
      </c>
      <c r="G152" s="10" t="inlineStr">
        <is>
          <t>"check on CACS — the stated gross was arithmetically impossible (below net), so the rebuilt figure is shares x price or net proceeds"</t>
        </is>
      </c>
      <c r="H152" s="96" t="inlineStr">
        <is>
          <t>stated gross HK$18.2m rejected — below the deal's own net proceeds HK$538.2m, which cannot happen</t>
        </is>
      </c>
    </row>
    <row r="153">
      <c r="A153" s="91" t="inlineStr">
        <is>
          <t>2487</t>
        </is>
      </c>
      <c r="B153" s="16" t="inlineStr">
        <is>
          <t>CUTIA-B</t>
        </is>
      </c>
      <c r="C153" s="97" t="n">
        <v>465</v>
      </c>
      <c r="D153" s="96" t="inlineStr">
        <is>
          <t>gross (price x shares)</t>
        </is>
      </c>
      <c r="F153" s="96" t="inlineStr">
        <is>
          <t>no BDP field for offering size (EQUITY_OFFERINGS is a BDS order-book function) — check CACS / the IPO screen</t>
        </is>
      </c>
      <c r="G153" s="10" t="inlineStr">
        <is>
          <t>"check on CACS — the stated gross was arithmetically impossible (below net), so the rebuilt figure is shares x price or net proceeds"</t>
        </is>
      </c>
      <c r="H153" s="96" t="inlineStr">
        <is>
          <t>stated gross HK$23.9m rejected — below the deal's own net proceeds HK$392.7m, which cannot happen</t>
        </is>
      </c>
    </row>
    <row r="154">
      <c r="A154" s="91" t="inlineStr">
        <is>
          <t>6990</t>
        </is>
      </c>
      <c r="B154" s="16" t="inlineStr">
        <is>
          <t>SKB BIO-B</t>
        </is>
      </c>
      <c r="C154" s="97" t="n">
        <v>1360.2</v>
      </c>
      <c r="D154" s="96" t="inlineStr">
        <is>
          <t>gross (price x shares)</t>
        </is>
      </c>
      <c r="F154" s="96" t="inlineStr">
        <is>
          <t>no BDP field for offering size (EQUITY_OFFERINGS is a BDS order-book function) — check CACS / the IPO screen</t>
        </is>
      </c>
      <c r="G154" s="10" t="inlineStr">
        <is>
          <t>"check on CACS — the stated gross was arithmetically impossible (below net), so the rebuilt figure is shares x price or net proceeds"</t>
        </is>
      </c>
      <c r="H154" s="96" t="inlineStr">
        <is>
          <t>stated gross HK$54.5m rejected — below the deal's own net proceeds HK$1,258.9m, which cannot happen</t>
        </is>
      </c>
    </row>
    <row r="155">
      <c r="A155" s="91" t="inlineStr">
        <is>
          <t>2490</t>
        </is>
      </c>
      <c r="B155" s="16" t="inlineStr">
        <is>
          <t>LC LOGISTICS</t>
        </is>
      </c>
      <c r="C155" s="97" t="n">
        <v>145.6</v>
      </c>
      <c r="D155" s="96" t="inlineStr">
        <is>
          <t>gross (price x shares)</t>
        </is>
      </c>
      <c r="F155" s="96" t="inlineStr">
        <is>
          <t>no BDP field for offering size (EQUITY_OFFERINGS is a BDS order-book function) — check CACS / the IPO screen</t>
        </is>
      </c>
      <c r="G155" s="10" t="inlineStr">
        <is>
          <t>"check on CACS — the stated gross was arithmetically impossible (below net), so the rebuilt figure is shares x price or net proceeds"</t>
        </is>
      </c>
      <c r="H155" s="96" t="inlineStr">
        <is>
          <t>stated gross HK$5.9m rejected — below the deal's own net proceeds HK$83.5m, which cannot happen</t>
        </is>
      </c>
    </row>
    <row r="156">
      <c r="A156" s="91" t="inlineStr">
        <is>
          <t>9686</t>
        </is>
      </c>
      <c r="B156" s="16" t="inlineStr">
        <is>
          <t>NEUSOFT XIKANG</t>
        </is>
      </c>
      <c r="C156" s="97" t="n">
        <v>636.9</v>
      </c>
      <c r="D156" s="96" t="inlineStr">
        <is>
          <t>gross (price x shares)</t>
        </is>
      </c>
      <c r="F156" s="96" t="inlineStr">
        <is>
          <t>no BDP field for offering size (EQUITY_OFFERINGS is a BDS order-book function) — check CACS / the IPO screen</t>
        </is>
      </c>
      <c r="G156" s="10" t="inlineStr">
        <is>
          <t>"check on CACS — the stated gross was arithmetically impossible (below net), so the rebuilt figure is shares x price or net proceeds"</t>
        </is>
      </c>
      <c r="H156" s="96" t="inlineStr">
        <is>
          <t>stated gross HK$21.6m rejected — below the deal's own net proceeds HK$554.5m, which cannot happen</t>
        </is>
      </c>
    </row>
    <row r="157">
      <c r="A157" s="91" t="inlineStr">
        <is>
          <t>9890</t>
        </is>
      </c>
      <c r="B157" s="16" t="inlineStr">
        <is>
          <t>ZX INC</t>
        </is>
      </c>
      <c r="C157" s="97" t="n">
        <v>265.7</v>
      </c>
      <c r="D157" s="96" t="inlineStr">
        <is>
          <t>gross (price x shares)</t>
        </is>
      </c>
      <c r="F157" s="96" t="inlineStr">
        <is>
          <t>no BDP field for offering size (EQUITY_OFFERINGS is a BDS order-book function) — check CACS / the IPO screen</t>
        </is>
      </c>
      <c r="G157" s="10" t="inlineStr">
        <is>
          <t>"check on CACS — the stated gross was arithmetically impossible (below net), so the rebuilt figure is shares x price or net proceeds"</t>
        </is>
      </c>
      <c r="H157" s="96" t="inlineStr">
        <is>
          <t>stated gross HK$29.5m rejected — below the deal's own net proceeds HK$138.1m, which cannot happen</t>
        </is>
      </c>
    </row>
    <row r="158">
      <c r="A158" s="91" t="inlineStr">
        <is>
          <t>2451</t>
        </is>
      </c>
      <c r="B158" s="16" t="inlineStr">
        <is>
          <t>LUYUAN GP HLDG</t>
        </is>
      </c>
      <c r="C158" s="97" t="n">
        <v>786.1</v>
      </c>
      <c r="D158" s="96" t="inlineStr">
        <is>
          <t>gross (price x shares)</t>
        </is>
      </c>
      <c r="F158" s="96" t="inlineStr">
        <is>
          <t>no BDP field for offering size (EQUITY_OFFERINGS is a BDS order-book function) — check CACS / the IPO screen</t>
        </is>
      </c>
      <c r="G158" s="10" t="inlineStr">
        <is>
          <t>"check on CACS — the stated gross was arithmetically impossible (below net), so the rebuilt figure is shares x price or net proceeds"</t>
        </is>
      </c>
      <c r="H158" s="96" t="inlineStr">
        <is>
          <t>stated gross HK$31.5m rejected — below the deal's own net proceeds HK$706.4m, which cannot happen</t>
        </is>
      </c>
    </row>
    <row r="159">
      <c r="A159" s="91" t="inlineStr">
        <is>
          <t>2517</t>
        </is>
      </c>
      <c r="B159" s="16" t="inlineStr">
        <is>
          <t>GUOQUAN</t>
        </is>
      </c>
      <c r="C159" s="97" t="n">
        <v>411.4</v>
      </c>
      <c r="D159" s="96" t="inlineStr">
        <is>
          <t>gross (price x shares)</t>
        </is>
      </c>
      <c r="F159" s="96" t="inlineStr">
        <is>
          <t>no BDP field for offering size (EQUITY_OFFERINGS is a BDS order-book function) — check CACS / the IPO screen</t>
        </is>
      </c>
      <c r="G159" s="10" t="inlineStr">
        <is>
          <t>"check on CACS — the stated gross was arithmetically impossible (below net), so the rebuilt figure is shares x price or net proceeds"</t>
        </is>
      </c>
      <c r="H159" s="96" t="inlineStr">
        <is>
          <t>stated gross HK$16.5m rejected — below the deal's own net proceeds HK$356.5m, which cannot happen</t>
        </is>
      </c>
    </row>
    <row r="160">
      <c r="A160" s="91" t="inlineStr">
        <is>
          <t>1111</t>
        </is>
      </c>
      <c r="B160" s="16" t="inlineStr">
        <is>
          <t>HUASHI GROUP</t>
        </is>
      </c>
      <c r="C160" s="97" t="n">
        <v>130</v>
      </c>
      <c r="D160" s="96" t="inlineStr">
        <is>
          <t>gross (price x shares)</t>
        </is>
      </c>
      <c r="F160" s="96" t="inlineStr">
        <is>
          <t>no BDP field for offering size (EQUITY_OFFERINGS is a BDS order-book function) — check CACS / the IPO screen</t>
        </is>
      </c>
      <c r="G160" s="10" t="inlineStr">
        <is>
          <t>"check on CACS — the stated gross was arithmetically impossible (below net), so the rebuilt figure is shares x price or net proceeds"</t>
        </is>
      </c>
      <c r="H160" s="96" t="inlineStr">
        <is>
          <t>stated gross HK$7.8m rejected — below the deal's own net proceeds HK$72.1m, which cannot happen</t>
        </is>
      </c>
    </row>
  </sheetData>
  <pageMargins left="0.75" right="0.75" top="1" bottom="1" header="0.5" footer="0.5"/>
</worksheet>
</file>

<file path=xl/worksheets/sheet8.xml><?xml version="1.0" encoding="utf-8"?>
<worksheet xmlns="http://schemas.openxmlformats.org/spreadsheetml/2006/main">
  <sheetPr>
    <tabColor rgb="00BFBFBF"/>
    <outlinePr summaryBelow="1" summaryRight="1"/>
    <pageSetUpPr/>
  </sheetPr>
  <dimension ref="A1:H209"/>
  <sheetViews>
    <sheetView workbookViewId="0">
      <selection activeCell="A1" sqref="A1"/>
    </sheetView>
  </sheetViews>
  <sheetFormatPr baseColWidth="8" defaultRowHeight="15"/>
  <cols>
    <col width="30" customWidth="1" min="1" max="1"/>
    <col width="26" customWidth="1" min="2" max="2"/>
    <col width="14" customWidth="1" min="3" max="3"/>
    <col width="8" customWidth="1" min="4" max="4"/>
    <col width="13" customWidth="1" min="5" max="5"/>
    <col width="10" customWidth="1" min="6" max="6"/>
    <col hidden="1" width="13" customWidth="1" min="7" max="7"/>
  </cols>
  <sheetData>
    <row r="1">
      <c r="A1" s="1" t="inlineStr">
        <is>
          <t>DAY-1 ANALOGS — what deals like this actually did</t>
        </is>
      </c>
    </row>
    <row r="2">
      <c r="A2" s="2" t="inlineStr">
        <is>
          <t>built from 514 deals with a listing-day price, 2021, 2022, 2023, 2024, 2025, 2026. 'Hit-rate' = % that closed above the offer price. Read n before trusting a cell.</t>
        </is>
      </c>
    </row>
    <row r="3"/>
    <row r="4">
      <c r="A4" s="14" t="inlineStr">
        <is>
          <t>BY SUBSCRIPTION LEVEL (all deals)</t>
        </is>
      </c>
    </row>
    <row r="5">
      <c r="A5" s="12" t="inlineStr">
        <is>
          <t>Subscription</t>
        </is>
      </c>
      <c r="B5" s="12" t="inlineStr">
        <is>
          <t>n</t>
        </is>
      </c>
      <c r="C5" s="12" t="inlineStr">
        <is>
          <t>Median day-1</t>
        </is>
      </c>
      <c r="D5" s="12" t="inlineStr">
        <is>
          <t>Hit-rate</t>
        </is>
      </c>
      <c r="E5" s="12" t="inlineStr">
        <is>
          <t>P25</t>
        </is>
      </c>
      <c r="F5" s="12" t="inlineStr">
        <is>
          <t>P75</t>
        </is>
      </c>
    </row>
    <row r="6">
      <c r="A6" s="16" t="inlineStr">
        <is>
          <t>&lt;10x</t>
        </is>
      </c>
      <c r="B6" s="89" t="n">
        <v>166</v>
      </c>
      <c r="C6" s="100" t="n">
        <v>0</v>
      </c>
      <c r="D6" s="94" t="n">
        <v>40</v>
      </c>
      <c r="E6" s="100" t="n">
        <v>-5.4</v>
      </c>
      <c r="F6" s="100" t="n">
        <v>3.1</v>
      </c>
    </row>
    <row r="7">
      <c r="A7" s="16" t="inlineStr">
        <is>
          <t>10-100x</t>
        </is>
      </c>
      <c r="B7" s="89" t="n">
        <v>124</v>
      </c>
      <c r="C7" s="100" t="n">
        <v>0.8</v>
      </c>
      <c r="D7" s="94" t="n">
        <v>53</v>
      </c>
      <c r="E7" s="100" t="n">
        <v>-13.7</v>
      </c>
      <c r="F7" s="100" t="n">
        <v>15.7</v>
      </c>
    </row>
    <row r="8">
      <c r="A8" s="16" t="inlineStr">
        <is>
          <t>100-1000x</t>
        </is>
      </c>
      <c r="B8" s="89" t="n">
        <v>118</v>
      </c>
      <c r="C8" s="100" t="n">
        <v>3.2</v>
      </c>
      <c r="D8" s="94" t="n">
        <v>58</v>
      </c>
      <c r="E8" s="100" t="n">
        <v>-8.6</v>
      </c>
      <c r="F8" s="100" t="n">
        <v>26.9</v>
      </c>
    </row>
    <row r="9">
      <c r="A9" s="16" t="inlineStr">
        <is>
          <t>&gt;=1000x</t>
        </is>
      </c>
      <c r="B9" s="89" t="n">
        <v>106</v>
      </c>
      <c r="C9" s="100" t="n">
        <v>76</v>
      </c>
      <c r="D9" s="94" t="n">
        <v>92</v>
      </c>
      <c r="E9" s="100" t="n">
        <v>21.3</v>
      </c>
      <c r="F9" s="100" t="n">
        <v>127.1</v>
      </c>
    </row>
    <row r="10"/>
    <row r="11">
      <c r="A11" s="14" t="inlineStr">
        <is>
          <t>BY SUBSECTOR x SUBSCRIPTION</t>
        </is>
      </c>
    </row>
    <row r="12">
      <c r="A12" s="12" t="inlineStr">
        <is>
          <t>Subsector</t>
        </is>
      </c>
      <c r="B12" s="12" t="inlineStr">
        <is>
          <t>Subscription</t>
        </is>
      </c>
      <c r="C12" s="12" t="inlineStr">
        <is>
          <t>n</t>
        </is>
      </c>
      <c r="D12" s="12" t="inlineStr">
        <is>
          <t>Median day-1</t>
        </is>
      </c>
      <c r="E12" s="12" t="inlineStr">
        <is>
          <t>Hit-rate</t>
        </is>
      </c>
    </row>
    <row r="13">
      <c r="A13" s="16" t="inlineStr">
        <is>
          <t>AI application / agent software</t>
        </is>
      </c>
      <c r="B13" s="16" t="inlineStr">
        <is>
          <t>10-100x</t>
        </is>
      </c>
      <c r="C13" s="89" t="n">
        <v>3</v>
      </c>
      <c r="D13" s="100" t="n">
        <v>5.2</v>
      </c>
      <c r="E13" s="94" t="n">
        <v>67</v>
      </c>
      <c r="G13" s="2" t="inlineStr">
        <is>
          <t>AI application / agent software|10-100x</t>
        </is>
      </c>
    </row>
    <row r="14">
      <c r="A14" s="16" t="inlineStr">
        <is>
          <t>AI application / agent software</t>
        </is>
      </c>
      <c r="B14" s="16" t="inlineStr">
        <is>
          <t>100-1000x</t>
        </is>
      </c>
      <c r="C14" s="89" t="n">
        <v>2</v>
      </c>
      <c r="D14" s="100" t="n">
        <v>3.3</v>
      </c>
      <c r="E14" s="94" t="n">
        <v>50</v>
      </c>
      <c r="G14" s="2" t="inlineStr">
        <is>
          <t>AI application / agent software|100-1000x</t>
        </is>
      </c>
    </row>
    <row r="15">
      <c r="A15" s="16" t="inlineStr">
        <is>
          <t>AI application / agent software</t>
        </is>
      </c>
      <c r="B15" s="16" t="inlineStr">
        <is>
          <t>&lt;10x</t>
        </is>
      </c>
      <c r="C15" s="89" t="n">
        <v>2</v>
      </c>
      <c r="D15" s="100" t="n">
        <v>22.7</v>
      </c>
      <c r="E15" s="94" t="n">
        <v>100</v>
      </c>
      <c r="G15" s="2" t="inlineStr">
        <is>
          <t>AI application / agent software|&lt;10x</t>
        </is>
      </c>
    </row>
    <row r="16">
      <c r="A16" s="16" t="inlineStr">
        <is>
          <t>AI application / agent software</t>
        </is>
      </c>
      <c r="B16" s="16" t="inlineStr">
        <is>
          <t>&gt;=1000x</t>
        </is>
      </c>
      <c r="C16" s="89" t="n">
        <v>10</v>
      </c>
      <c r="D16" s="100" t="n">
        <v>150.3</v>
      </c>
      <c r="E16" s="94" t="n">
        <v>90</v>
      </c>
      <c r="G16" s="2" t="inlineStr">
        <is>
          <t>AI application / agent software|&gt;=1000x</t>
        </is>
      </c>
    </row>
    <row r="17">
      <c r="A17" s="16" t="inlineStr">
        <is>
          <t>AI chips &amp; semis</t>
        </is>
      </c>
      <c r="B17" s="16" t="inlineStr">
        <is>
          <t>10-100x</t>
        </is>
      </c>
      <c r="C17" s="89" t="n">
        <v>5</v>
      </c>
      <c r="D17" s="100" t="n">
        <v>2.8</v>
      </c>
      <c r="E17" s="94" t="n">
        <v>60</v>
      </c>
      <c r="G17" s="2" t="inlineStr">
        <is>
          <t>AI chips &amp; semis|10-100x</t>
        </is>
      </c>
    </row>
    <row r="18">
      <c r="A18" s="16" t="inlineStr">
        <is>
          <t>AI chips &amp; semis</t>
        </is>
      </c>
      <c r="B18" s="16" t="inlineStr">
        <is>
          <t>100-1000x</t>
        </is>
      </c>
      <c r="C18" s="89" t="n">
        <v>9</v>
      </c>
      <c r="D18" s="100" t="n">
        <v>8.4</v>
      </c>
      <c r="E18" s="94" t="n">
        <v>67</v>
      </c>
      <c r="G18" s="2" t="inlineStr">
        <is>
          <t>AI chips &amp; semis|100-1000x</t>
        </is>
      </c>
    </row>
    <row r="19">
      <c r="A19" s="16" t="inlineStr">
        <is>
          <t>AI chips &amp; semis</t>
        </is>
      </c>
      <c r="B19" s="16" t="inlineStr">
        <is>
          <t>&lt;10x</t>
        </is>
      </c>
      <c r="C19" s="89" t="n">
        <v>4</v>
      </c>
      <c r="D19" s="100" t="n">
        <v>-8.5</v>
      </c>
      <c r="E19" s="94" t="n">
        <v>50</v>
      </c>
      <c r="G19" s="2" t="inlineStr">
        <is>
          <t>AI chips &amp; semis|&lt;10x</t>
        </is>
      </c>
    </row>
    <row r="20">
      <c r="A20" s="16" t="inlineStr">
        <is>
          <t>AI chips &amp; semis</t>
        </is>
      </c>
      <c r="B20" s="16" t="inlineStr">
        <is>
          <t>&gt;=1000x</t>
        </is>
      </c>
      <c r="C20" s="89" t="n">
        <v>9</v>
      </c>
      <c r="D20" s="100" t="n">
        <v>75.8</v>
      </c>
      <c r="E20" s="94" t="n">
        <v>100</v>
      </c>
      <c r="G20" s="2" t="inlineStr">
        <is>
          <t>AI chips &amp; semis|&gt;=1000x</t>
        </is>
      </c>
    </row>
    <row r="21">
      <c r="A21" s="16" t="inlineStr">
        <is>
          <t>Apparel / luxury</t>
        </is>
      </c>
      <c r="B21" s="16" t="inlineStr">
        <is>
          <t>10-100x</t>
        </is>
      </c>
      <c r="C21" s="89" t="n">
        <v>1</v>
      </c>
      <c r="D21" s="100" t="n">
        <v>7.5</v>
      </c>
      <c r="E21" s="94" t="n">
        <v>100</v>
      </c>
      <c r="G21" s="2" t="inlineStr">
        <is>
          <t>Apparel / luxury|10-100x</t>
        </is>
      </c>
    </row>
    <row r="22">
      <c r="A22" s="16" t="inlineStr">
        <is>
          <t>Apparel / luxury</t>
        </is>
      </c>
      <c r="B22" s="16" t="inlineStr">
        <is>
          <t>100-1000x</t>
        </is>
      </c>
      <c r="C22" s="89" t="n">
        <v>2</v>
      </c>
      <c r="D22" s="100" t="n">
        <v>48.9</v>
      </c>
      <c r="E22" s="94" t="n">
        <v>100</v>
      </c>
      <c r="G22" s="2" t="inlineStr">
        <is>
          <t>Apparel / luxury|100-1000x</t>
        </is>
      </c>
    </row>
    <row r="23">
      <c r="A23" s="16" t="inlineStr">
        <is>
          <t>Apparel / luxury</t>
        </is>
      </c>
      <c r="B23" s="16" t="inlineStr">
        <is>
          <t>&lt;10x</t>
        </is>
      </c>
      <c r="C23" s="89" t="n">
        <v>2</v>
      </c>
      <c r="D23" s="100" t="n">
        <v>-0.1</v>
      </c>
      <c r="E23" s="94" t="n">
        <v>0</v>
      </c>
      <c r="G23" s="2" t="inlineStr">
        <is>
          <t>Apparel / luxury|&lt;10x</t>
        </is>
      </c>
    </row>
    <row r="24">
      <c r="A24" s="16" t="inlineStr">
        <is>
          <t>Apparel / luxury</t>
        </is>
      </c>
      <c r="B24" s="16" t="inlineStr">
        <is>
          <t>&gt;=1000x</t>
        </is>
      </c>
      <c r="C24" s="89" t="n">
        <v>1</v>
      </c>
      <c r="D24" s="100" t="n">
        <v>258.1</v>
      </c>
      <c r="E24" s="94" t="n">
        <v>100</v>
      </c>
      <c r="G24" s="2" t="inlineStr">
        <is>
          <t>Apparel / luxury|&gt;=1000x</t>
        </is>
      </c>
    </row>
    <row r="25">
      <c r="A25" s="16" t="inlineStr">
        <is>
          <t>Auto parts / supply chain</t>
        </is>
      </c>
      <c r="B25" s="16" t="inlineStr">
        <is>
          <t>10-100x</t>
        </is>
      </c>
      <c r="C25" s="89" t="n">
        <v>3</v>
      </c>
      <c r="D25" s="100" t="n">
        <v>-36.9</v>
      </c>
      <c r="E25" s="94" t="n">
        <v>33</v>
      </c>
      <c r="G25" s="2" t="inlineStr">
        <is>
          <t>Auto parts / supply chain|10-100x</t>
        </is>
      </c>
    </row>
    <row r="26">
      <c r="A26" s="16" t="inlineStr">
        <is>
          <t>Auto parts / supply chain</t>
        </is>
      </c>
      <c r="B26" s="16" t="inlineStr">
        <is>
          <t>100-1000x</t>
        </is>
      </c>
      <c r="C26" s="89" t="n">
        <v>3</v>
      </c>
      <c r="D26" s="100" t="n">
        <v>-0.1</v>
      </c>
      <c r="E26" s="94" t="n">
        <v>33</v>
      </c>
      <c r="G26" s="2" t="inlineStr">
        <is>
          <t>Auto parts / supply chain|100-1000x</t>
        </is>
      </c>
    </row>
    <row r="27">
      <c r="A27" s="16" t="inlineStr">
        <is>
          <t>Auto parts / supply chain</t>
        </is>
      </c>
      <c r="B27" s="16" t="inlineStr">
        <is>
          <t>&lt;10x</t>
        </is>
      </c>
      <c r="C27" s="89" t="n">
        <v>1</v>
      </c>
      <c r="D27" s="100" t="n">
        <v>2.1</v>
      </c>
      <c r="E27" s="94" t="n">
        <v>100</v>
      </c>
      <c r="G27" s="2" t="inlineStr">
        <is>
          <t>Auto parts / supply chain|&lt;10x</t>
        </is>
      </c>
    </row>
    <row r="28">
      <c r="A28" s="16" t="inlineStr">
        <is>
          <t>Auto parts / supply chain</t>
        </is>
      </c>
      <c r="B28" s="16" t="inlineStr">
        <is>
          <t>&gt;=1000x</t>
        </is>
      </c>
      <c r="C28" s="89" t="n">
        <v>2</v>
      </c>
      <c r="D28" s="100" t="n">
        <v>128.1</v>
      </c>
      <c r="E28" s="94" t="n">
        <v>100</v>
      </c>
      <c r="G28" s="2" t="inlineStr">
        <is>
          <t>Auto parts / supply chain|&gt;=1000x</t>
        </is>
      </c>
    </row>
    <row r="29">
      <c r="A29" s="16" t="inlineStr">
        <is>
          <t>Autos (NEV OEM)</t>
        </is>
      </c>
      <c r="B29" s="16" t="inlineStr">
        <is>
          <t>10-100x</t>
        </is>
      </c>
      <c r="C29" s="89" t="n">
        <v>2</v>
      </c>
      <c r="D29" s="100" t="n">
        <v>0.5</v>
      </c>
      <c r="E29" s="94" t="n">
        <v>50</v>
      </c>
      <c r="G29" s="2" t="inlineStr">
        <is>
          <t>Autos (NEV OEM)|10-100x</t>
        </is>
      </c>
    </row>
    <row r="30">
      <c r="A30" s="16" t="inlineStr">
        <is>
          <t>Autos (NEV OEM)</t>
        </is>
      </c>
      <c r="B30" s="16" t="inlineStr">
        <is>
          <t>100-1000x</t>
        </is>
      </c>
      <c r="C30" s="89" t="n">
        <v>2</v>
      </c>
      <c r="D30" s="100" t="n">
        <v>1.9</v>
      </c>
      <c r="E30" s="94" t="n">
        <v>50</v>
      </c>
      <c r="G30" s="2" t="inlineStr">
        <is>
          <t>Autos (NEV OEM)|100-1000x</t>
        </is>
      </c>
    </row>
    <row r="31">
      <c r="A31" s="16" t="inlineStr">
        <is>
          <t>Autos (NEV OEM)</t>
        </is>
      </c>
      <c r="B31" s="16" t="inlineStr">
        <is>
          <t>&lt;10x</t>
        </is>
      </c>
      <c r="C31" s="89" t="n">
        <v>2</v>
      </c>
      <c r="D31" s="100" t="n">
        <v>-17.2</v>
      </c>
      <c r="E31" s="94" t="n">
        <v>0</v>
      </c>
      <c r="G31" s="2" t="inlineStr">
        <is>
          <t>Autos (NEV OEM)|&lt;10x</t>
        </is>
      </c>
    </row>
    <row r="32">
      <c r="A32" s="16" t="inlineStr">
        <is>
          <t>Banks</t>
        </is>
      </c>
      <c r="B32" s="16" t="inlineStr">
        <is>
          <t>&lt;10x</t>
        </is>
      </c>
      <c r="C32" s="89" t="n">
        <v>2</v>
      </c>
      <c r="D32" s="100" t="n">
        <v>2.5</v>
      </c>
      <c r="E32" s="94" t="n">
        <v>100</v>
      </c>
      <c r="G32" s="2" t="inlineStr">
        <is>
          <t>Banks|&lt;10x</t>
        </is>
      </c>
    </row>
    <row r="33">
      <c r="A33" s="16" t="inlineStr">
        <is>
          <t>Batteries / energy storage</t>
        </is>
      </c>
      <c r="B33" s="16" t="inlineStr">
        <is>
          <t>10-100x</t>
        </is>
      </c>
      <c r="C33" s="89" t="n">
        <v>2</v>
      </c>
      <c r="D33" s="100" t="n">
        <v>9.9</v>
      </c>
      <c r="E33" s="94" t="n">
        <v>50</v>
      </c>
      <c r="G33" s="2" t="inlineStr">
        <is>
          <t>Batteries / energy storage|10-100x</t>
        </is>
      </c>
    </row>
    <row r="34">
      <c r="A34" s="16" t="inlineStr">
        <is>
          <t>Batteries / energy storage</t>
        </is>
      </c>
      <c r="B34" s="16" t="inlineStr">
        <is>
          <t>100-1000x</t>
        </is>
      </c>
      <c r="C34" s="89" t="n">
        <v>1</v>
      </c>
      <c r="D34" s="100" t="n">
        <v>16.4</v>
      </c>
      <c r="E34" s="94" t="n">
        <v>100</v>
      </c>
      <c r="G34" s="2" t="inlineStr">
        <is>
          <t>Batteries / energy storage|100-1000x</t>
        </is>
      </c>
    </row>
    <row r="35">
      <c r="A35" s="16" t="inlineStr">
        <is>
          <t>Batteries / energy storage</t>
        </is>
      </c>
      <c r="B35" s="16" t="inlineStr">
        <is>
          <t>&lt;10x</t>
        </is>
      </c>
      <c r="C35" s="89" t="n">
        <v>7</v>
      </c>
      <c r="D35" s="100" t="n">
        <v>0.1</v>
      </c>
      <c r="E35" s="94" t="n">
        <v>57</v>
      </c>
      <c r="G35" s="2" t="inlineStr">
        <is>
          <t>Batteries / energy storage|&lt;10x</t>
        </is>
      </c>
    </row>
    <row r="36">
      <c r="A36" s="16" t="inlineStr">
        <is>
          <t>Batteries / energy storage</t>
        </is>
      </c>
      <c r="B36" s="16" t="inlineStr">
        <is>
          <t>&gt;=1000x</t>
        </is>
      </c>
      <c r="C36" s="89" t="n">
        <v>3</v>
      </c>
      <c r="D36" s="100" t="n">
        <v>31.3</v>
      </c>
      <c r="E36" s="94" t="n">
        <v>100</v>
      </c>
      <c r="G36" s="2" t="inlineStr">
        <is>
          <t>Batteries / energy storage|&gt;=1000x</t>
        </is>
      </c>
    </row>
    <row r="37">
      <c r="A37" s="16" t="inlineStr">
        <is>
          <t>Beauty / personal care</t>
        </is>
      </c>
      <c r="B37" s="16" t="inlineStr">
        <is>
          <t>10-100x</t>
        </is>
      </c>
      <c r="C37" s="89" t="n">
        <v>2</v>
      </c>
      <c r="D37" s="100" t="n">
        <v>18.4</v>
      </c>
      <c r="E37" s="94" t="n">
        <v>50</v>
      </c>
      <c r="G37" s="2" t="inlineStr">
        <is>
          <t>Beauty / personal care|10-100x</t>
        </is>
      </c>
    </row>
    <row r="38">
      <c r="A38" s="16" t="inlineStr">
        <is>
          <t>Beauty / personal care</t>
        </is>
      </c>
      <c r="B38" s="16" t="inlineStr">
        <is>
          <t>100-1000x</t>
        </is>
      </c>
      <c r="C38" s="89" t="n">
        <v>2</v>
      </c>
      <c r="D38" s="100" t="n">
        <v>31.7</v>
      </c>
      <c r="E38" s="94" t="n">
        <v>50</v>
      </c>
      <c r="G38" s="2" t="inlineStr">
        <is>
          <t>Beauty / personal care|100-1000x</t>
        </is>
      </c>
    </row>
    <row r="39">
      <c r="A39" s="16" t="inlineStr">
        <is>
          <t>Beauty / personal care</t>
        </is>
      </c>
      <c r="B39" s="16" t="inlineStr">
        <is>
          <t>&lt;10x</t>
        </is>
      </c>
      <c r="C39" s="89" t="n">
        <v>2</v>
      </c>
      <c r="D39" s="100" t="n">
        <v>4.9</v>
      </c>
      <c r="E39" s="94" t="n">
        <v>50</v>
      </c>
      <c r="G39" s="2" t="inlineStr">
        <is>
          <t>Beauty / personal care|&lt;10x</t>
        </is>
      </c>
    </row>
    <row r="40">
      <c r="A40" s="16" t="inlineStr">
        <is>
          <t>Beauty / personal care</t>
        </is>
      </c>
      <c r="B40" s="16" t="inlineStr">
        <is>
          <t>&gt;=1000x</t>
        </is>
      </c>
      <c r="C40" s="89" t="n">
        <v>1</v>
      </c>
      <c r="D40" s="100" t="n">
        <v>9.300000000000001</v>
      </c>
      <c r="E40" s="94" t="n">
        <v>100</v>
      </c>
      <c r="G40" s="2" t="inlineStr">
        <is>
          <t>Beauty / personal care|&gt;=1000x</t>
        </is>
      </c>
    </row>
    <row r="41">
      <c r="A41" s="16" t="inlineStr">
        <is>
          <t>Beverages / packaged food</t>
        </is>
      </c>
      <c r="B41" s="16" t="inlineStr">
        <is>
          <t>10-100x</t>
        </is>
      </c>
      <c r="C41" s="89" t="n">
        <v>8</v>
      </c>
      <c r="D41" s="100" t="n">
        <v>-9.4</v>
      </c>
      <c r="E41" s="94" t="n">
        <v>12</v>
      </c>
      <c r="G41" s="2" t="inlineStr">
        <is>
          <t>Beverages / packaged food|10-100x</t>
        </is>
      </c>
    </row>
    <row r="42">
      <c r="A42" s="16" t="inlineStr">
        <is>
          <t>Beverages / packaged food</t>
        </is>
      </c>
      <c r="B42" s="16" t="inlineStr">
        <is>
          <t>100-1000x</t>
        </is>
      </c>
      <c r="C42" s="89" t="n">
        <v>5</v>
      </c>
      <c r="D42" s="100" t="n">
        <v>15</v>
      </c>
      <c r="E42" s="94" t="n">
        <v>80</v>
      </c>
      <c r="G42" s="2" t="inlineStr">
        <is>
          <t>Beverages / packaged food|100-1000x</t>
        </is>
      </c>
    </row>
    <row r="43">
      <c r="A43" s="16" t="inlineStr">
        <is>
          <t>Beverages / packaged food</t>
        </is>
      </c>
      <c r="B43" s="16" t="inlineStr">
        <is>
          <t>&lt;10x</t>
        </is>
      </c>
      <c r="C43" s="89" t="n">
        <v>6</v>
      </c>
      <c r="D43" s="100" t="n">
        <v>0.5</v>
      </c>
      <c r="E43" s="94" t="n">
        <v>50</v>
      </c>
      <c r="G43" s="2" t="inlineStr">
        <is>
          <t>Beverages / packaged food|&lt;10x</t>
        </is>
      </c>
    </row>
    <row r="44">
      <c r="A44" s="16" t="inlineStr">
        <is>
          <t>Beverages / packaged food</t>
        </is>
      </c>
      <c r="B44" s="16" t="inlineStr">
        <is>
          <t>&gt;=1000x</t>
        </is>
      </c>
      <c r="C44" s="89" t="n">
        <v>6</v>
      </c>
      <c r="D44" s="100" t="n">
        <v>77.90000000000001</v>
      </c>
      <c r="E44" s="94" t="n">
        <v>100</v>
      </c>
      <c r="G44" s="2" t="inlineStr">
        <is>
          <t>Beverages / packaged food|&gt;=1000x</t>
        </is>
      </c>
    </row>
    <row r="45">
      <c r="A45" s="16" t="inlineStr">
        <is>
          <t>Biopharma commercial</t>
        </is>
      </c>
      <c r="B45" s="16" t="inlineStr">
        <is>
          <t>10-100x</t>
        </is>
      </c>
      <c r="C45" s="89" t="n">
        <v>2</v>
      </c>
      <c r="D45" s="100" t="n">
        <v>122</v>
      </c>
      <c r="E45" s="94" t="n">
        <v>100</v>
      </c>
      <c r="G45" s="2" t="inlineStr">
        <is>
          <t>Biopharma commercial|10-100x</t>
        </is>
      </c>
    </row>
    <row r="46">
      <c r="A46" s="16" t="inlineStr">
        <is>
          <t>Biopharma commercial</t>
        </is>
      </c>
      <c r="B46" s="16" t="inlineStr">
        <is>
          <t>100-1000x</t>
        </is>
      </c>
      <c r="C46" s="89" t="n">
        <v>3</v>
      </c>
      <c r="D46" s="100" t="n">
        <v>-12.7</v>
      </c>
      <c r="E46" s="94" t="n">
        <v>33</v>
      </c>
      <c r="G46" s="2" t="inlineStr">
        <is>
          <t>Biopharma commercial|100-1000x</t>
        </is>
      </c>
    </row>
    <row r="47">
      <c r="A47" s="16" t="inlineStr">
        <is>
          <t>Biopharma commercial</t>
        </is>
      </c>
      <c r="B47" s="16" t="inlineStr">
        <is>
          <t>&lt;10x</t>
        </is>
      </c>
      <c r="C47" s="89" t="n">
        <v>2</v>
      </c>
      <c r="D47" s="100" t="n">
        <v>26.7</v>
      </c>
      <c r="E47" s="94" t="n">
        <v>100</v>
      </c>
      <c r="G47" s="2" t="inlineStr">
        <is>
          <t>Biopharma commercial|&lt;10x</t>
        </is>
      </c>
    </row>
    <row r="48">
      <c r="A48" s="16" t="inlineStr">
        <is>
          <t>Biopharma commercial</t>
        </is>
      </c>
      <c r="B48" s="16" t="inlineStr">
        <is>
          <t>&gt;=1000x</t>
        </is>
      </c>
      <c r="C48" s="89" t="n">
        <v>2</v>
      </c>
      <c r="D48" s="100" t="n">
        <v>90.8</v>
      </c>
      <c r="E48" s="94" t="n">
        <v>100</v>
      </c>
      <c r="G48" s="2" t="inlineStr">
        <is>
          <t>Biopharma commercial|&gt;=1000x</t>
        </is>
      </c>
    </row>
    <row r="49">
      <c r="A49" s="16" t="inlineStr">
        <is>
          <t>Biotech pre-revenue (18A)</t>
        </is>
      </c>
      <c r="B49" s="16" t="inlineStr">
        <is>
          <t>10-100x</t>
        </is>
      </c>
      <c r="C49" s="89" t="n">
        <v>10</v>
      </c>
      <c r="D49" s="100" t="n">
        <v>0.9</v>
      </c>
      <c r="E49" s="94" t="n">
        <v>50</v>
      </c>
      <c r="G49" s="2" t="inlineStr">
        <is>
          <t>Biotech pre-revenue (18A)|10-100x</t>
        </is>
      </c>
    </row>
    <row r="50">
      <c r="A50" s="16" t="inlineStr">
        <is>
          <t>Biotech pre-revenue (18A)</t>
        </is>
      </c>
      <c r="B50" s="16" t="inlineStr">
        <is>
          <t>100-1000x</t>
        </is>
      </c>
      <c r="C50" s="89" t="n">
        <v>10</v>
      </c>
      <c r="D50" s="100" t="n">
        <v>13.4</v>
      </c>
      <c r="E50" s="94" t="n">
        <v>70</v>
      </c>
      <c r="G50" s="2" t="inlineStr">
        <is>
          <t>Biotech pre-revenue (18A)|100-1000x</t>
        </is>
      </c>
    </row>
    <row r="51">
      <c r="A51" s="16" t="inlineStr">
        <is>
          <t>Biotech pre-revenue (18A)</t>
        </is>
      </c>
      <c r="B51" s="16" t="inlineStr">
        <is>
          <t>&lt;10x</t>
        </is>
      </c>
      <c r="C51" s="89" t="n">
        <v>14</v>
      </c>
      <c r="D51" s="100" t="n">
        <v>1.8</v>
      </c>
      <c r="E51" s="94" t="n">
        <v>64</v>
      </c>
      <c r="G51" s="2" t="inlineStr">
        <is>
          <t>Biotech pre-revenue (18A)|&lt;10x</t>
        </is>
      </c>
    </row>
    <row r="52">
      <c r="A52" s="16" t="inlineStr">
        <is>
          <t>Biotech pre-revenue (18A)</t>
        </is>
      </c>
      <c r="B52" s="16" t="inlineStr">
        <is>
          <t>&gt;=1000x</t>
        </is>
      </c>
      <c r="C52" s="89" t="n">
        <v>15</v>
      </c>
      <c r="D52" s="100" t="n">
        <v>108.3</v>
      </c>
      <c r="E52" s="94" t="n">
        <v>87</v>
      </c>
      <c r="G52" s="2" t="inlineStr">
        <is>
          <t>Biotech pre-revenue (18A)|&gt;=1000x</t>
        </is>
      </c>
    </row>
    <row r="53">
      <c r="A53" s="16" t="inlineStr">
        <is>
          <t>Brokers / asset management</t>
        </is>
      </c>
      <c r="B53" s="16" t="inlineStr">
        <is>
          <t>&lt;10x</t>
        </is>
      </c>
      <c r="C53" s="89" t="n">
        <v>4</v>
      </c>
      <c r="D53" s="100" t="n">
        <v>-14.3</v>
      </c>
      <c r="E53" s="94" t="n">
        <v>25</v>
      </c>
      <c r="G53" s="2" t="inlineStr">
        <is>
          <t>Brokers / asset management|&lt;10x</t>
        </is>
      </c>
    </row>
    <row r="54">
      <c r="A54" s="16" t="inlineStr">
        <is>
          <t>CXO / pharma services</t>
        </is>
      </c>
      <c r="B54" s="16" t="inlineStr">
        <is>
          <t>10-100x</t>
        </is>
      </c>
      <c r="C54" s="89" t="n">
        <v>1</v>
      </c>
      <c r="D54" s="100" t="n">
        <v>35.9</v>
      </c>
      <c r="E54" s="94" t="n">
        <v>100</v>
      </c>
      <c r="G54" s="2" t="inlineStr">
        <is>
          <t>CXO / pharma services|10-100x</t>
        </is>
      </c>
    </row>
    <row r="55">
      <c r="A55" s="16" t="inlineStr">
        <is>
          <t>CXO / pharma services</t>
        </is>
      </c>
      <c r="B55" s="16" t="inlineStr">
        <is>
          <t>100-1000x</t>
        </is>
      </c>
      <c r="C55" s="89" t="n">
        <v>3</v>
      </c>
      <c r="D55" s="100" t="n">
        <v>-7.6</v>
      </c>
      <c r="E55" s="94" t="n">
        <v>33</v>
      </c>
      <c r="G55" s="2" t="inlineStr">
        <is>
          <t>CXO / pharma services|100-1000x</t>
        </is>
      </c>
    </row>
    <row r="56">
      <c r="A56" s="16" t="inlineStr">
        <is>
          <t>CXO / pharma services</t>
        </is>
      </c>
      <c r="B56" s="16" t="inlineStr">
        <is>
          <t>&lt;10x</t>
        </is>
      </c>
      <c r="C56" s="89" t="n">
        <v>5</v>
      </c>
      <c r="D56" s="100" t="n">
        <v>1.1</v>
      </c>
      <c r="E56" s="94" t="n">
        <v>60</v>
      </c>
      <c r="G56" s="2" t="inlineStr">
        <is>
          <t>CXO / pharma services|&lt;10x</t>
        </is>
      </c>
    </row>
    <row r="57">
      <c r="A57" s="16" t="inlineStr">
        <is>
          <t>Capital goods / machinery</t>
        </is>
      </c>
      <c r="B57" s="16" t="inlineStr">
        <is>
          <t>10-100x</t>
        </is>
      </c>
      <c r="C57" s="89" t="n">
        <v>7</v>
      </c>
      <c r="D57" s="100" t="n">
        <v>0.8</v>
      </c>
      <c r="E57" s="94" t="n">
        <v>57</v>
      </c>
      <c r="G57" s="2" t="inlineStr">
        <is>
          <t>Capital goods / machinery|10-100x</t>
        </is>
      </c>
    </row>
    <row r="58">
      <c r="A58" s="16" t="inlineStr">
        <is>
          <t>Capital goods / machinery</t>
        </is>
      </c>
      <c r="B58" s="16" t="inlineStr">
        <is>
          <t>100-1000x</t>
        </is>
      </c>
      <c r="C58" s="89" t="n">
        <v>3</v>
      </c>
      <c r="D58" s="100" t="n">
        <v>14.8</v>
      </c>
      <c r="E58" s="94" t="n">
        <v>67</v>
      </c>
      <c r="G58" s="2" t="inlineStr">
        <is>
          <t>Capital goods / machinery|100-1000x</t>
        </is>
      </c>
    </row>
    <row r="59">
      <c r="A59" s="16" t="inlineStr">
        <is>
          <t>Capital goods / machinery</t>
        </is>
      </c>
      <c r="B59" s="16" t="inlineStr">
        <is>
          <t>&lt;10x</t>
        </is>
      </c>
      <c r="C59" s="89" t="n">
        <v>5</v>
      </c>
      <c r="D59" s="100" t="n">
        <v>1.5</v>
      </c>
      <c r="E59" s="94" t="n">
        <v>60</v>
      </c>
      <c r="G59" s="2" t="inlineStr">
        <is>
          <t>Capital goods / machinery|&lt;10x</t>
        </is>
      </c>
    </row>
    <row r="60">
      <c r="A60" s="16" t="inlineStr">
        <is>
          <t>Capital goods / machinery</t>
        </is>
      </c>
      <c r="B60" s="16" t="inlineStr">
        <is>
          <t>&gt;=1000x</t>
        </is>
      </c>
      <c r="C60" s="89" t="n">
        <v>3</v>
      </c>
      <c r="D60" s="100" t="n">
        <v>2.4</v>
      </c>
      <c r="E60" s="94" t="n">
        <v>67</v>
      </c>
      <c r="G60" s="2" t="inlineStr">
        <is>
          <t>Capital goods / machinery|&gt;=1000x</t>
        </is>
      </c>
    </row>
    <row r="61">
      <c r="A61" s="16" t="inlineStr">
        <is>
          <t>Chemicals</t>
        </is>
      </c>
      <c r="B61" s="16" t="inlineStr">
        <is>
          <t>10-100x</t>
        </is>
      </c>
      <c r="C61" s="89" t="n">
        <v>5</v>
      </c>
      <c r="D61" s="100" t="n">
        <v>-27.5</v>
      </c>
      <c r="E61" s="94" t="n">
        <v>20</v>
      </c>
      <c r="G61" s="2" t="inlineStr">
        <is>
          <t>Chemicals|10-100x</t>
        </is>
      </c>
    </row>
    <row r="62">
      <c r="A62" s="16" t="inlineStr">
        <is>
          <t>Chemicals</t>
        </is>
      </c>
      <c r="B62" s="16" t="inlineStr">
        <is>
          <t>100-1000x</t>
        </is>
      </c>
      <c r="C62" s="89" t="n">
        <v>4</v>
      </c>
      <c r="D62" s="100" t="n">
        <v>15.3</v>
      </c>
      <c r="E62" s="94" t="n">
        <v>75</v>
      </c>
      <c r="G62" s="2" t="inlineStr">
        <is>
          <t>Chemicals|100-1000x</t>
        </is>
      </c>
    </row>
    <row r="63">
      <c r="A63" s="16" t="inlineStr">
        <is>
          <t>Chemicals</t>
        </is>
      </c>
      <c r="B63" s="16" t="inlineStr">
        <is>
          <t>&lt;10x</t>
        </is>
      </c>
      <c r="C63" s="89" t="n">
        <v>3</v>
      </c>
      <c r="D63" s="100" t="n">
        <v>0.2</v>
      </c>
      <c r="E63" s="94" t="n">
        <v>67</v>
      </c>
      <c r="G63" s="2" t="inlineStr">
        <is>
          <t>Chemicals|&lt;10x</t>
        </is>
      </c>
    </row>
    <row r="64">
      <c r="A64" s="16" t="inlineStr">
        <is>
          <t>Chemicals</t>
        </is>
      </c>
      <c r="B64" s="16" t="inlineStr">
        <is>
          <t>&gt;=1000x</t>
        </is>
      </c>
      <c r="C64" s="89" t="n">
        <v>2</v>
      </c>
      <c r="D64" s="100" t="n">
        <v>10.6</v>
      </c>
      <c r="E64" s="94" t="n">
        <v>50</v>
      </c>
      <c r="G64" s="2" t="inlineStr">
        <is>
          <t>Chemicals|&gt;=1000x</t>
        </is>
      </c>
    </row>
    <row r="65">
      <c r="A65" s="16" t="inlineStr">
        <is>
          <t>Construction / engineering</t>
        </is>
      </c>
      <c r="B65" s="16" t="inlineStr">
        <is>
          <t>10-100x</t>
        </is>
      </c>
      <c r="C65" s="89" t="n">
        <v>10</v>
      </c>
      <c r="D65" s="100" t="n">
        <v>-9.9</v>
      </c>
      <c r="E65" s="94" t="n">
        <v>50</v>
      </c>
      <c r="G65" s="2" t="inlineStr">
        <is>
          <t>Construction / engineering|10-100x</t>
        </is>
      </c>
    </row>
    <row r="66">
      <c r="A66" s="16" t="inlineStr">
        <is>
          <t>Construction / engineering</t>
        </is>
      </c>
      <c r="B66" s="16" t="inlineStr">
        <is>
          <t>100-1000x</t>
        </is>
      </c>
      <c r="C66" s="89" t="n">
        <v>4</v>
      </c>
      <c r="D66" s="100" t="n">
        <v>-21.1</v>
      </c>
      <c r="E66" s="94" t="n">
        <v>25</v>
      </c>
      <c r="G66" s="2" t="inlineStr">
        <is>
          <t>Construction / engineering|100-1000x</t>
        </is>
      </c>
    </row>
    <row r="67">
      <c r="A67" s="16" t="inlineStr">
        <is>
          <t>Construction / engineering</t>
        </is>
      </c>
      <c r="B67" s="16" t="inlineStr">
        <is>
          <t>&lt;10x</t>
        </is>
      </c>
      <c r="C67" s="89" t="n">
        <v>2</v>
      </c>
      <c r="D67" s="100" t="n">
        <v>5</v>
      </c>
      <c r="E67" s="94" t="n">
        <v>50</v>
      </c>
      <c r="G67" s="2" t="inlineStr">
        <is>
          <t>Construction / engineering|&lt;10x</t>
        </is>
      </c>
    </row>
    <row r="68">
      <c r="A68" s="16" t="inlineStr">
        <is>
          <t>Consumer services / education</t>
        </is>
      </c>
      <c r="B68" s="16" t="inlineStr">
        <is>
          <t>10-100x</t>
        </is>
      </c>
      <c r="C68" s="89" t="n">
        <v>1</v>
      </c>
      <c r="D68" s="100" t="n">
        <v>12.1</v>
      </c>
      <c r="E68" s="94" t="n">
        <v>100</v>
      </c>
      <c r="G68" s="2" t="inlineStr">
        <is>
          <t>Consumer services / education|10-100x</t>
        </is>
      </c>
    </row>
    <row r="69">
      <c r="A69" s="16" t="inlineStr">
        <is>
          <t>Consumer services / education</t>
        </is>
      </c>
      <c r="B69" s="16" t="inlineStr">
        <is>
          <t>&lt;10x</t>
        </is>
      </c>
      <c r="C69" s="89" t="n">
        <v>3</v>
      </c>
      <c r="D69" s="100" t="n">
        <v>0</v>
      </c>
      <c r="E69" s="94" t="n">
        <v>33</v>
      </c>
      <c r="G69" s="2" t="inlineStr">
        <is>
          <t>Consumer services / education|&lt;10x</t>
        </is>
      </c>
    </row>
    <row r="70">
      <c r="A70" s="16" t="inlineStr">
        <is>
          <t>Data center / cloud infra</t>
        </is>
      </c>
      <c r="B70" s="16" t="inlineStr">
        <is>
          <t>10-100x</t>
        </is>
      </c>
      <c r="C70" s="89" t="n">
        <v>2</v>
      </c>
      <c r="D70" s="100" t="n">
        <v>-37.1</v>
      </c>
      <c r="E70" s="94" t="n">
        <v>0</v>
      </c>
      <c r="G70" s="2" t="inlineStr">
        <is>
          <t>Data center / cloud infra|10-100x</t>
        </is>
      </c>
    </row>
    <row r="71">
      <c r="A71" s="16" t="inlineStr">
        <is>
          <t>Developers</t>
        </is>
      </c>
      <c r="B71" s="16" t="inlineStr">
        <is>
          <t>&lt;10x</t>
        </is>
      </c>
      <c r="C71" s="89" t="n">
        <v>1</v>
      </c>
      <c r="D71" s="100" t="n">
        <v>0</v>
      </c>
      <c r="E71" s="94" t="n">
        <v>0</v>
      </c>
      <c r="G71" s="2" t="inlineStr">
        <is>
          <t>Developers|&lt;10x</t>
        </is>
      </c>
    </row>
    <row r="72">
      <c r="A72" s="16" t="inlineStr">
        <is>
          <t>Digital health</t>
        </is>
      </c>
      <c r="B72" s="16" t="inlineStr">
        <is>
          <t>10-100x</t>
        </is>
      </c>
      <c r="C72" s="89" t="n">
        <v>3</v>
      </c>
      <c r="D72" s="100" t="n">
        <v>36.7</v>
      </c>
      <c r="E72" s="94" t="n">
        <v>67</v>
      </c>
      <c r="G72" s="2" t="inlineStr">
        <is>
          <t>Digital health|10-100x</t>
        </is>
      </c>
    </row>
    <row r="73">
      <c r="A73" s="16" t="inlineStr">
        <is>
          <t>Digital health</t>
        </is>
      </c>
      <c r="B73" s="16" t="inlineStr">
        <is>
          <t>100-1000x</t>
        </is>
      </c>
      <c r="C73" s="89" t="n">
        <v>4</v>
      </c>
      <c r="D73" s="100" t="n">
        <v>20.1</v>
      </c>
      <c r="E73" s="94" t="n">
        <v>75</v>
      </c>
      <c r="G73" s="2" t="inlineStr">
        <is>
          <t>Digital health|100-1000x</t>
        </is>
      </c>
    </row>
    <row r="74">
      <c r="A74" s="16" t="inlineStr">
        <is>
          <t>Digital health</t>
        </is>
      </c>
      <c r="B74" s="16" t="inlineStr">
        <is>
          <t>&lt;10x</t>
        </is>
      </c>
      <c r="C74" s="89" t="n">
        <v>8</v>
      </c>
      <c r="D74" s="100" t="n">
        <v>0</v>
      </c>
      <c r="E74" s="94" t="n">
        <v>38</v>
      </c>
      <c r="G74" s="2" t="inlineStr">
        <is>
          <t>Digital health|&lt;10x</t>
        </is>
      </c>
    </row>
    <row r="75">
      <c r="A75" s="16" t="inlineStr">
        <is>
          <t>Digital health</t>
        </is>
      </c>
      <c r="B75" s="16" t="inlineStr">
        <is>
          <t>&gt;=1000x</t>
        </is>
      </c>
      <c r="C75" s="89" t="n">
        <v>2</v>
      </c>
      <c r="D75" s="100" t="n">
        <v>80.59999999999999</v>
      </c>
      <c r="E75" s="94" t="n">
        <v>100</v>
      </c>
      <c r="G75" s="2" t="inlineStr">
        <is>
          <t>Digital health|&gt;=1000x</t>
        </is>
      </c>
    </row>
    <row r="76">
      <c r="A76" s="16" t="inlineStr">
        <is>
          <t>F&amp;B chains / restaurants</t>
        </is>
      </c>
      <c r="B76" s="16" t="inlineStr">
        <is>
          <t>10-100x</t>
        </is>
      </c>
      <c r="C76" s="89" t="n">
        <v>1</v>
      </c>
      <c r="D76" s="100" t="n">
        <v>22.9</v>
      </c>
      <c r="E76" s="94" t="n">
        <v>100</v>
      </c>
      <c r="G76" s="2" t="inlineStr">
        <is>
          <t>F&amp;B chains / restaurants|10-100x</t>
        </is>
      </c>
    </row>
    <row r="77">
      <c r="A77" s="16" t="inlineStr">
        <is>
          <t>F&amp;B chains / restaurants</t>
        </is>
      </c>
      <c r="B77" s="16" t="inlineStr">
        <is>
          <t>100-1000x</t>
        </is>
      </c>
      <c r="C77" s="89" t="n">
        <v>4</v>
      </c>
      <c r="D77" s="100" t="n">
        <v>-13</v>
      </c>
      <c r="E77" s="94" t="n">
        <v>0</v>
      </c>
      <c r="G77" s="2" t="inlineStr">
        <is>
          <t>F&amp;B chains / restaurants|100-1000x</t>
        </is>
      </c>
    </row>
    <row r="78">
      <c r="A78" s="16" t="inlineStr">
        <is>
          <t>F&amp;B chains / restaurants</t>
        </is>
      </c>
      <c r="B78" s="16" t="inlineStr">
        <is>
          <t>&lt;10x</t>
        </is>
      </c>
      <c r="C78" s="89" t="n">
        <v>3</v>
      </c>
      <c r="D78" s="100" t="n">
        <v>-0.1</v>
      </c>
      <c r="E78" s="94" t="n">
        <v>33</v>
      </c>
      <c r="G78" s="2" t="inlineStr">
        <is>
          <t>F&amp;B chains / restaurants|&lt;10x</t>
        </is>
      </c>
    </row>
    <row r="79">
      <c r="A79" s="16" t="inlineStr">
        <is>
          <t>F&amp;B chains / restaurants</t>
        </is>
      </c>
      <c r="B79" s="16" t="inlineStr">
        <is>
          <t>&gt;=1000x</t>
        </is>
      </c>
      <c r="C79" s="89" t="n">
        <v>2</v>
      </c>
      <c r="D79" s="100" t="n">
        <v>41.6</v>
      </c>
      <c r="E79" s="94" t="n">
        <v>100</v>
      </c>
      <c r="G79" s="2" t="inlineStr">
        <is>
          <t>F&amp;B chains / restaurants|&gt;=1000x</t>
        </is>
      </c>
    </row>
    <row r="80">
      <c r="A80" s="16" t="inlineStr">
        <is>
          <t>Fintech platform</t>
        </is>
      </c>
      <c r="B80" s="16" t="inlineStr">
        <is>
          <t>10-100x</t>
        </is>
      </c>
      <c r="C80" s="89" t="n">
        <v>3</v>
      </c>
      <c r="D80" s="100" t="n">
        <v>-0.6</v>
      </c>
      <c r="E80" s="94" t="n">
        <v>33</v>
      </c>
      <c r="G80" s="2" t="inlineStr">
        <is>
          <t>Fintech platform|10-100x</t>
        </is>
      </c>
    </row>
    <row r="81">
      <c r="A81" s="16" t="inlineStr">
        <is>
          <t>Fintech platform</t>
        </is>
      </c>
      <c r="B81" s="16" t="inlineStr">
        <is>
          <t>100-1000x</t>
        </is>
      </c>
      <c r="C81" s="89" t="n">
        <v>2</v>
      </c>
      <c r="D81" s="100" t="n">
        <v>-8.1</v>
      </c>
      <c r="E81" s="94" t="n">
        <v>0</v>
      </c>
      <c r="G81" s="2" t="inlineStr">
        <is>
          <t>Fintech platform|100-1000x</t>
        </is>
      </c>
    </row>
    <row r="82">
      <c r="A82" s="16" t="inlineStr">
        <is>
          <t>Fintech platform</t>
        </is>
      </c>
      <c r="B82" s="16" t="inlineStr">
        <is>
          <t>&lt;10x</t>
        </is>
      </c>
      <c r="C82" s="89" t="n">
        <v>2</v>
      </c>
      <c r="D82" s="100" t="n">
        <v>-4</v>
      </c>
      <c r="E82" s="94" t="n">
        <v>50</v>
      </c>
      <c r="G82" s="2" t="inlineStr">
        <is>
          <t>Fintech platform|&lt;10x</t>
        </is>
      </c>
    </row>
    <row r="83">
      <c r="A83" s="16" t="inlineStr">
        <is>
          <t>Hospitals / clinics</t>
        </is>
      </c>
      <c r="B83" s="16" t="inlineStr">
        <is>
          <t>10-100x</t>
        </is>
      </c>
      <c r="C83" s="89" t="n">
        <v>1</v>
      </c>
      <c r="D83" s="100" t="n">
        <v>-14.3</v>
      </c>
      <c r="E83" s="94" t="n">
        <v>0</v>
      </c>
      <c r="G83" s="2" t="inlineStr">
        <is>
          <t>Hospitals / clinics|10-100x</t>
        </is>
      </c>
    </row>
    <row r="84">
      <c r="A84" s="16" t="inlineStr">
        <is>
          <t>Hospitals / clinics</t>
        </is>
      </c>
      <c r="B84" s="16" t="inlineStr">
        <is>
          <t>100-1000x</t>
        </is>
      </c>
      <c r="C84" s="89" t="n">
        <v>5</v>
      </c>
      <c r="D84" s="100" t="n">
        <v>5.1</v>
      </c>
      <c r="E84" s="94" t="n">
        <v>100</v>
      </c>
      <c r="G84" s="2" t="inlineStr">
        <is>
          <t>Hospitals / clinics|100-1000x</t>
        </is>
      </c>
    </row>
    <row r="85">
      <c r="A85" s="16" t="inlineStr">
        <is>
          <t>Hospitals / clinics</t>
        </is>
      </c>
      <c r="B85" s="16" t="inlineStr">
        <is>
          <t>&lt;10x</t>
        </is>
      </c>
      <c r="C85" s="89" t="n">
        <v>3</v>
      </c>
      <c r="D85" s="100" t="n">
        <v>-5.6</v>
      </c>
      <c r="E85" s="94" t="n">
        <v>0</v>
      </c>
      <c r="G85" s="2" t="inlineStr">
        <is>
          <t>Hospitals / clinics|&lt;10x</t>
        </is>
      </c>
    </row>
    <row r="86">
      <c r="A86" s="16" t="inlineStr">
        <is>
          <t>Insurance</t>
        </is>
      </c>
      <c r="B86" s="16" t="inlineStr">
        <is>
          <t>10-100x</t>
        </is>
      </c>
      <c r="C86" s="89" t="n">
        <v>2</v>
      </c>
      <c r="D86" s="100" t="n">
        <v>3</v>
      </c>
      <c r="E86" s="94" t="n">
        <v>100</v>
      </c>
      <c r="G86" s="2" t="inlineStr">
        <is>
          <t>Insurance|10-100x</t>
        </is>
      </c>
    </row>
    <row r="87">
      <c r="A87" s="16" t="inlineStr">
        <is>
          <t>Insurance</t>
        </is>
      </c>
      <c r="B87" s="16" t="inlineStr">
        <is>
          <t>100-1000x</t>
        </is>
      </c>
      <c r="C87" s="89" t="n">
        <v>2</v>
      </c>
      <c r="D87" s="100" t="n">
        <v>174.9</v>
      </c>
      <c r="E87" s="94" t="n">
        <v>50</v>
      </c>
      <c r="G87" s="2" t="inlineStr">
        <is>
          <t>Insurance|100-1000x</t>
        </is>
      </c>
    </row>
    <row r="88">
      <c r="A88" s="16" t="inlineStr">
        <is>
          <t>Insurance</t>
        </is>
      </c>
      <c r="B88" s="16" t="inlineStr">
        <is>
          <t>&lt;10x</t>
        </is>
      </c>
      <c r="C88" s="89" t="n">
        <v>2</v>
      </c>
      <c r="D88" s="100" t="n">
        <v>2.4</v>
      </c>
      <c r="E88" s="94" t="n">
        <v>50</v>
      </c>
      <c r="G88" s="2" t="inlineStr">
        <is>
          <t>Insurance|&lt;10x</t>
        </is>
      </c>
    </row>
    <row r="89">
      <c r="A89" s="16" t="inlineStr">
        <is>
          <t>Insurance</t>
        </is>
      </c>
      <c r="B89" s="16" t="inlineStr">
        <is>
          <t>&gt;=1000x</t>
        </is>
      </c>
      <c r="C89" s="89" t="n">
        <v>1</v>
      </c>
      <c r="D89" s="100" t="n">
        <v>158.8</v>
      </c>
      <c r="E89" s="94" t="n">
        <v>100</v>
      </c>
      <c r="G89" s="2" t="inlineStr">
        <is>
          <t>Insurance|&gt;=1000x</t>
        </is>
      </c>
    </row>
    <row r="90">
      <c r="A90" s="16" t="inlineStr">
        <is>
          <t>Internet platform / e-commerce</t>
        </is>
      </c>
      <c r="B90" s="16" t="inlineStr">
        <is>
          <t>10-100x</t>
        </is>
      </c>
      <c r="C90" s="89" t="n">
        <v>7</v>
      </c>
      <c r="D90" s="100" t="n">
        <v>0.8</v>
      </c>
      <c r="E90" s="94" t="n">
        <v>57</v>
      </c>
      <c r="G90" s="2" t="inlineStr">
        <is>
          <t>Internet platform / e-commerce|10-100x</t>
        </is>
      </c>
    </row>
    <row r="91">
      <c r="A91" s="16" t="inlineStr">
        <is>
          <t>Internet platform / e-commerce</t>
        </is>
      </c>
      <c r="B91" s="16" t="inlineStr">
        <is>
          <t>100-1000x</t>
        </is>
      </c>
      <c r="C91" s="89" t="n">
        <v>6</v>
      </c>
      <c r="D91" s="100" t="n">
        <v>-0.5</v>
      </c>
      <c r="E91" s="94" t="n">
        <v>33</v>
      </c>
      <c r="G91" s="2" t="inlineStr">
        <is>
          <t>Internet platform / e-commerce|100-1000x</t>
        </is>
      </c>
    </row>
    <row r="92">
      <c r="A92" s="16" t="inlineStr">
        <is>
          <t>Internet platform / e-commerce</t>
        </is>
      </c>
      <c r="B92" s="16" t="inlineStr">
        <is>
          <t>&lt;10x</t>
        </is>
      </c>
      <c r="C92" s="89" t="n">
        <v>8</v>
      </c>
      <c r="D92" s="100" t="n">
        <v>-1.1</v>
      </c>
      <c r="E92" s="94" t="n">
        <v>50</v>
      </c>
      <c r="G92" s="2" t="inlineStr">
        <is>
          <t>Internet platform / e-commerce|&lt;10x</t>
        </is>
      </c>
    </row>
    <row r="93">
      <c r="A93" s="16" t="inlineStr">
        <is>
          <t>Internet platform / e-commerce</t>
        </is>
      </c>
      <c r="B93" s="16" t="inlineStr">
        <is>
          <t>&gt;=1000x</t>
        </is>
      </c>
      <c r="C93" s="89" t="n">
        <v>2</v>
      </c>
      <c r="D93" s="100" t="n">
        <v>124.8</v>
      </c>
      <c r="E93" s="94" t="n">
        <v>100</v>
      </c>
      <c r="G93" s="2" t="inlineStr">
        <is>
          <t>Internet platform / e-commerce|&gt;=1000x</t>
        </is>
      </c>
    </row>
    <row r="94">
      <c r="A94" s="16" t="inlineStr">
        <is>
          <t>LLM / foundation model</t>
        </is>
      </c>
      <c r="B94" s="16" t="inlineStr">
        <is>
          <t>&gt;=1000x</t>
        </is>
      </c>
      <c r="C94" s="89" t="n">
        <v>2</v>
      </c>
      <c r="D94" s="100" t="n">
        <v>61.1</v>
      </c>
      <c r="E94" s="94" t="n">
        <v>100</v>
      </c>
      <c r="G94" s="2" t="inlineStr">
        <is>
          <t>LLM / foundation model|&gt;=1000x</t>
        </is>
      </c>
    </row>
    <row r="95">
      <c r="A95" s="16" t="inlineStr">
        <is>
          <t>Logistics</t>
        </is>
      </c>
      <c r="B95" s="16" t="inlineStr">
        <is>
          <t>10-100x</t>
        </is>
      </c>
      <c r="C95" s="89" t="n">
        <v>4</v>
      </c>
      <c r="D95" s="100" t="n">
        <v>-1</v>
      </c>
      <c r="E95" s="94" t="n">
        <v>25</v>
      </c>
      <c r="G95" s="2" t="inlineStr">
        <is>
          <t>Logistics|10-100x</t>
        </is>
      </c>
    </row>
    <row r="96">
      <c r="A96" s="16" t="inlineStr">
        <is>
          <t>Logistics</t>
        </is>
      </c>
      <c r="B96" s="16" t="inlineStr">
        <is>
          <t>100-1000x</t>
        </is>
      </c>
      <c r="C96" s="89" t="n">
        <v>3</v>
      </c>
      <c r="D96" s="100" t="n">
        <v>3.3</v>
      </c>
      <c r="E96" s="94" t="n">
        <v>67</v>
      </c>
      <c r="G96" s="2" t="inlineStr">
        <is>
          <t>Logistics|100-1000x</t>
        </is>
      </c>
    </row>
    <row r="97">
      <c r="A97" s="16" t="inlineStr">
        <is>
          <t>Logistics</t>
        </is>
      </c>
      <c r="B97" s="16" t="inlineStr">
        <is>
          <t>&lt;10x</t>
        </is>
      </c>
      <c r="C97" s="89" t="n">
        <v>6</v>
      </c>
      <c r="D97" s="100" t="n">
        <v>-4.9</v>
      </c>
      <c r="E97" s="94" t="n">
        <v>0</v>
      </c>
      <c r="G97" s="2" t="inlineStr">
        <is>
          <t>Logistics|&lt;10x</t>
        </is>
      </c>
    </row>
    <row r="98">
      <c r="A98" s="16" t="inlineStr">
        <is>
          <t>Logistics</t>
        </is>
      </c>
      <c r="B98" s="16" t="inlineStr">
        <is>
          <t>&gt;=1000x</t>
        </is>
      </c>
      <c r="C98" s="89" t="n">
        <v>2</v>
      </c>
      <c r="D98" s="100" t="n">
        <v>-21.7</v>
      </c>
      <c r="E98" s="94" t="n">
        <v>50</v>
      </c>
      <c r="G98" s="2" t="inlineStr">
        <is>
          <t>Logistics|&gt;=1000x</t>
        </is>
      </c>
    </row>
    <row r="99">
      <c r="A99" s="16" t="inlineStr">
        <is>
          <t>Media / advertising</t>
        </is>
      </c>
      <c r="B99" s="16" t="inlineStr">
        <is>
          <t>10-100x</t>
        </is>
      </c>
      <c r="C99" s="89" t="n">
        <v>6</v>
      </c>
      <c r="D99" s="100" t="n">
        <v>38.2</v>
      </c>
      <c r="E99" s="94" t="n">
        <v>100</v>
      </c>
      <c r="G99" s="2" t="inlineStr">
        <is>
          <t>Media / advertising|10-100x</t>
        </is>
      </c>
    </row>
    <row r="100">
      <c r="A100" s="16" t="inlineStr">
        <is>
          <t>Media / advertising</t>
        </is>
      </c>
      <c r="B100" s="16" t="inlineStr">
        <is>
          <t>100-1000x</t>
        </is>
      </c>
      <c r="C100" s="89" t="n">
        <v>2</v>
      </c>
      <c r="D100" s="100" t="n">
        <v>41.8</v>
      </c>
      <c r="E100" s="94" t="n">
        <v>50</v>
      </c>
      <c r="G100" s="2" t="inlineStr">
        <is>
          <t>Media / advertising|100-1000x</t>
        </is>
      </c>
    </row>
    <row r="101">
      <c r="A101" s="16" t="inlineStr">
        <is>
          <t>Media / advertising</t>
        </is>
      </c>
      <c r="B101" s="16" t="inlineStr">
        <is>
          <t>&lt;10x</t>
        </is>
      </c>
      <c r="C101" s="89" t="n">
        <v>9</v>
      </c>
      <c r="D101" s="100" t="n">
        <v>-2.7</v>
      </c>
      <c r="E101" s="94" t="n">
        <v>44</v>
      </c>
      <c r="G101" s="2" t="inlineStr">
        <is>
          <t>Media / advertising|&lt;10x</t>
        </is>
      </c>
    </row>
    <row r="102">
      <c r="A102" s="16" t="inlineStr">
        <is>
          <t>Media / advertising</t>
        </is>
      </c>
      <c r="B102" s="16" t="inlineStr">
        <is>
          <t>&gt;=1000x</t>
        </is>
      </c>
      <c r="C102" s="89" t="n">
        <v>2</v>
      </c>
      <c r="D102" s="100" t="n">
        <v>-6.7</v>
      </c>
      <c r="E102" s="94" t="n">
        <v>50</v>
      </c>
      <c r="G102" s="2" t="inlineStr">
        <is>
          <t>Media / advertising|&gt;=1000x</t>
        </is>
      </c>
    </row>
    <row r="103">
      <c r="A103" s="16" t="inlineStr">
        <is>
          <t>Medical devices</t>
        </is>
      </c>
      <c r="B103" s="16" t="inlineStr">
        <is>
          <t>10-100x</t>
        </is>
      </c>
      <c r="C103" s="89" t="n">
        <v>4</v>
      </c>
      <c r="D103" s="100" t="n">
        <v>1.6</v>
      </c>
      <c r="E103" s="94" t="n">
        <v>50</v>
      </c>
      <c r="G103" s="2" t="inlineStr">
        <is>
          <t>Medical devices|10-100x</t>
        </is>
      </c>
    </row>
    <row r="104">
      <c r="A104" s="16" t="inlineStr">
        <is>
          <t>Medical devices</t>
        </is>
      </c>
      <c r="B104" s="16" t="inlineStr">
        <is>
          <t>100-1000x</t>
        </is>
      </c>
      <c r="C104" s="89" t="n">
        <v>6</v>
      </c>
      <c r="D104" s="100" t="n">
        <v>0.1</v>
      </c>
      <c r="E104" s="94" t="n">
        <v>50</v>
      </c>
      <c r="G104" s="2" t="inlineStr">
        <is>
          <t>Medical devices|100-1000x</t>
        </is>
      </c>
    </row>
    <row r="105">
      <c r="A105" s="16" t="inlineStr">
        <is>
          <t>Medical devices</t>
        </is>
      </c>
      <c r="B105" s="16" t="inlineStr">
        <is>
          <t>&lt;10x</t>
        </is>
      </c>
      <c r="C105" s="89" t="n">
        <v>9</v>
      </c>
      <c r="D105" s="100" t="n">
        <v>0</v>
      </c>
      <c r="E105" s="94" t="n">
        <v>33</v>
      </c>
      <c r="G105" s="2" t="inlineStr">
        <is>
          <t>Medical devices|&lt;10x</t>
        </is>
      </c>
    </row>
    <row r="106">
      <c r="A106" s="16" t="inlineStr">
        <is>
          <t>Medical devices</t>
        </is>
      </c>
      <c r="B106" s="16" t="inlineStr">
        <is>
          <t>&gt;=1000x</t>
        </is>
      </c>
      <c r="C106" s="89" t="n">
        <v>6</v>
      </c>
      <c r="D106" s="100" t="n">
        <v>115</v>
      </c>
      <c r="E106" s="94" t="n">
        <v>100</v>
      </c>
      <c r="G106" s="2" t="inlineStr">
        <is>
          <t>Medical devices|&gt;=1000x</t>
        </is>
      </c>
    </row>
    <row r="107">
      <c r="A107" s="16" t="inlineStr">
        <is>
          <t>Mining / metals</t>
        </is>
      </c>
      <c r="B107" s="16" t="inlineStr">
        <is>
          <t>10-100x</t>
        </is>
      </c>
      <c r="C107" s="89" t="n">
        <v>1</v>
      </c>
      <c r="D107" s="100" t="n">
        <v>143.1</v>
      </c>
      <c r="E107" s="94" t="n">
        <v>100</v>
      </c>
      <c r="G107" s="2" t="inlineStr">
        <is>
          <t>Mining / metals|10-100x</t>
        </is>
      </c>
    </row>
    <row r="108">
      <c r="A108" s="16" t="inlineStr">
        <is>
          <t>Mining / metals</t>
        </is>
      </c>
      <c r="B108" s="16" t="inlineStr">
        <is>
          <t>100-1000x</t>
        </is>
      </c>
      <c r="C108" s="89" t="n">
        <v>3</v>
      </c>
      <c r="D108" s="100" t="n">
        <v>32.8</v>
      </c>
      <c r="E108" s="94" t="n">
        <v>100</v>
      </c>
      <c r="G108" s="2" t="inlineStr">
        <is>
          <t>Mining / metals|100-1000x</t>
        </is>
      </c>
    </row>
    <row r="109">
      <c r="A109" s="16" t="inlineStr">
        <is>
          <t>Mining / metals</t>
        </is>
      </c>
      <c r="B109" s="16" t="inlineStr">
        <is>
          <t>&lt;10x</t>
        </is>
      </c>
      <c r="C109" s="89" t="n">
        <v>6</v>
      </c>
      <c r="D109" s="100" t="n">
        <v>0</v>
      </c>
      <c r="E109" s="94" t="n">
        <v>17</v>
      </c>
      <c r="G109" s="2" t="inlineStr">
        <is>
          <t>Mining / metals|&lt;10x</t>
        </is>
      </c>
    </row>
    <row r="110">
      <c r="A110" s="16" t="inlineStr">
        <is>
          <t>Mining / metals</t>
        </is>
      </c>
      <c r="B110" s="16" t="inlineStr">
        <is>
          <t>&gt;=1000x</t>
        </is>
      </c>
      <c r="C110" s="89" t="n">
        <v>3</v>
      </c>
      <c r="D110" s="100" t="n">
        <v>90.7</v>
      </c>
      <c r="E110" s="94" t="n">
        <v>100</v>
      </c>
      <c r="G110" s="2" t="inlineStr">
        <is>
          <t>Mining / metals|&gt;=1000x</t>
        </is>
      </c>
    </row>
    <row r="111">
      <c r="A111" s="16" t="inlineStr">
        <is>
          <t>Oil &amp; gas / utilities</t>
        </is>
      </c>
      <c r="B111" s="16" t="inlineStr">
        <is>
          <t>10-100x</t>
        </is>
      </c>
      <c r="C111" s="89" t="n">
        <v>2</v>
      </c>
      <c r="D111" s="100" t="n">
        <v>15.1</v>
      </c>
      <c r="E111" s="94" t="n">
        <v>50</v>
      </c>
      <c r="G111" s="2" t="inlineStr">
        <is>
          <t>Oil &amp; gas / utilities|10-100x</t>
        </is>
      </c>
    </row>
    <row r="112">
      <c r="A112" s="16" t="inlineStr">
        <is>
          <t>Oil &amp; gas / utilities</t>
        </is>
      </c>
      <c r="B112" s="16" t="inlineStr">
        <is>
          <t>&lt;10x</t>
        </is>
      </c>
      <c r="C112" s="89" t="n">
        <v>3</v>
      </c>
      <c r="D112" s="100" t="n">
        <v>0</v>
      </c>
      <c r="E112" s="94" t="n">
        <v>0</v>
      </c>
      <c r="G112" s="2" t="inlineStr">
        <is>
          <t>Oil &amp; gas / utilities|&lt;10x</t>
        </is>
      </c>
    </row>
    <row r="113">
      <c r="A113" s="16" t="inlineStr">
        <is>
          <t>Property management</t>
        </is>
      </c>
      <c r="B113" s="16" t="inlineStr">
        <is>
          <t>10-100x</t>
        </is>
      </c>
      <c r="C113" s="89" t="n">
        <v>4</v>
      </c>
      <c r="D113" s="100" t="n">
        <v>-0.4</v>
      </c>
      <c r="E113" s="94" t="n">
        <v>50</v>
      </c>
      <c r="G113" s="2" t="inlineStr">
        <is>
          <t>Property management|10-100x</t>
        </is>
      </c>
    </row>
    <row r="114">
      <c r="A114" s="16" t="inlineStr">
        <is>
          <t>Property management</t>
        </is>
      </c>
      <c r="B114" s="16" t="inlineStr">
        <is>
          <t>100-1000x</t>
        </is>
      </c>
      <c r="C114" s="89" t="n">
        <v>2</v>
      </c>
      <c r="D114" s="100" t="n">
        <v>-3.9</v>
      </c>
      <c r="E114" s="94" t="n">
        <v>50</v>
      </c>
      <c r="G114" s="2" t="inlineStr">
        <is>
          <t>Property management|100-1000x</t>
        </is>
      </c>
    </row>
    <row r="115">
      <c r="A115" s="16" t="inlineStr">
        <is>
          <t>Property management</t>
        </is>
      </c>
      <c r="B115" s="16" t="inlineStr">
        <is>
          <t>&lt;10x</t>
        </is>
      </c>
      <c r="C115" s="89" t="n">
        <v>17</v>
      </c>
      <c r="D115" s="100" t="n">
        <v>0</v>
      </c>
      <c r="E115" s="94" t="n">
        <v>29</v>
      </c>
      <c r="G115" s="2" t="inlineStr">
        <is>
          <t>Property management|&lt;10x</t>
        </is>
      </c>
    </row>
    <row r="116">
      <c r="A116" s="16" t="inlineStr">
        <is>
          <t>Property management</t>
        </is>
      </c>
      <c r="B116" s="16" t="inlineStr">
        <is>
          <t>&gt;=1000x</t>
        </is>
      </c>
      <c r="C116" s="89" t="n">
        <v>1</v>
      </c>
      <c r="D116" s="100" t="n">
        <v>36.2</v>
      </c>
      <c r="E116" s="94" t="n">
        <v>100</v>
      </c>
      <c r="G116" s="2" t="inlineStr">
        <is>
          <t>Property management|&gt;=1000x</t>
        </is>
      </c>
    </row>
    <row r="117">
      <c r="A117" s="16" t="inlineStr">
        <is>
          <t>REITs / asset-light</t>
        </is>
      </c>
      <c r="B117" s="16" t="inlineStr">
        <is>
          <t>&lt;10x</t>
        </is>
      </c>
      <c r="C117" s="89" t="n">
        <v>1</v>
      </c>
      <c r="D117" s="100" t="n">
        <v>-16.5</v>
      </c>
      <c r="E117" s="94" t="n">
        <v>0</v>
      </c>
      <c r="G117" s="2" t="inlineStr">
        <is>
          <t>REITs / asset-light|&lt;10x</t>
        </is>
      </c>
    </row>
    <row r="118">
      <c r="A118" s="16" t="inlineStr">
        <is>
          <t>Retail / distribution</t>
        </is>
      </c>
      <c r="B118" s="16" t="inlineStr">
        <is>
          <t>10-100x</t>
        </is>
      </c>
      <c r="C118" s="89" t="n">
        <v>6</v>
      </c>
      <c r="D118" s="100" t="n">
        <v>16.1</v>
      </c>
      <c r="E118" s="94" t="n">
        <v>67</v>
      </c>
      <c r="G118" s="2" t="inlineStr">
        <is>
          <t>Retail / distribution|10-100x</t>
        </is>
      </c>
    </row>
    <row r="119">
      <c r="A119" s="16" t="inlineStr">
        <is>
          <t>Retail / distribution</t>
        </is>
      </c>
      <c r="B119" s="16" t="inlineStr">
        <is>
          <t>100-1000x</t>
        </is>
      </c>
      <c r="C119" s="89" t="n">
        <v>2</v>
      </c>
      <c r="D119" s="100" t="n">
        <v>-9.4</v>
      </c>
      <c r="E119" s="94" t="n">
        <v>50</v>
      </c>
      <c r="G119" s="2" t="inlineStr">
        <is>
          <t>Retail / distribution|100-1000x</t>
        </is>
      </c>
    </row>
    <row r="120">
      <c r="A120" s="16" t="inlineStr">
        <is>
          <t>Retail / distribution</t>
        </is>
      </c>
      <c r="B120" s="16" t="inlineStr">
        <is>
          <t>&lt;10x</t>
        </is>
      </c>
      <c r="C120" s="89" t="n">
        <v>4</v>
      </c>
      <c r="D120" s="100" t="n">
        <v>0</v>
      </c>
      <c r="E120" s="94" t="n">
        <v>0</v>
      </c>
      <c r="G120" s="2" t="inlineStr">
        <is>
          <t>Retail / distribution|&lt;10x</t>
        </is>
      </c>
    </row>
    <row r="121">
      <c r="A121" s="16" t="inlineStr">
        <is>
          <t>Retail / distribution</t>
        </is>
      </c>
      <c r="B121" s="16" t="inlineStr">
        <is>
          <t>&gt;=1000x</t>
        </is>
      </c>
      <c r="C121" s="89" t="n">
        <v>5</v>
      </c>
      <c r="D121" s="100" t="n">
        <v>44</v>
      </c>
      <c r="E121" s="94" t="n">
        <v>100</v>
      </c>
      <c r="G121" s="2" t="inlineStr">
        <is>
          <t>Retail / distribution|&gt;=1000x</t>
        </is>
      </c>
    </row>
    <row r="122">
      <c r="A122" s="16" t="inlineStr">
        <is>
          <t>Robotics &amp; autonomous driving</t>
        </is>
      </c>
      <c r="B122" s="16" t="inlineStr">
        <is>
          <t>10-100x</t>
        </is>
      </c>
      <c r="C122" s="89" t="n">
        <v>4</v>
      </c>
      <c r="D122" s="100" t="n">
        <v>-11.5</v>
      </c>
      <c r="E122" s="94" t="n">
        <v>25</v>
      </c>
      <c r="G122" s="2" t="inlineStr">
        <is>
          <t>Robotics &amp; autonomous driving|10-100x</t>
        </is>
      </c>
    </row>
    <row r="123">
      <c r="A123" s="16" t="inlineStr">
        <is>
          <t>Robotics &amp; autonomous driving</t>
        </is>
      </c>
      <c r="B123" s="16" t="inlineStr">
        <is>
          <t>100-1000x</t>
        </is>
      </c>
      <c r="C123" s="89" t="n">
        <v>6</v>
      </c>
      <c r="D123" s="100" t="n">
        <v>7.7</v>
      </c>
      <c r="E123" s="94" t="n">
        <v>83</v>
      </c>
      <c r="G123" s="2" t="inlineStr">
        <is>
          <t>Robotics &amp; autonomous driving|100-1000x</t>
        </is>
      </c>
    </row>
    <row r="124">
      <c r="A124" s="16" t="inlineStr">
        <is>
          <t>Robotics &amp; autonomous driving</t>
        </is>
      </c>
      <c r="B124" s="16" t="inlineStr">
        <is>
          <t>&lt;10x</t>
        </is>
      </c>
      <c r="C124" s="89" t="n">
        <v>4</v>
      </c>
      <c r="D124" s="100" t="n">
        <v>0.4</v>
      </c>
      <c r="E124" s="94" t="n">
        <v>50</v>
      </c>
      <c r="G124" s="2" t="inlineStr">
        <is>
          <t>Robotics &amp; autonomous driving|&lt;10x</t>
        </is>
      </c>
    </row>
    <row r="125">
      <c r="A125" s="16" t="inlineStr">
        <is>
          <t>Robotics &amp; autonomous driving</t>
        </is>
      </c>
      <c r="B125" s="16" t="inlineStr">
        <is>
          <t>&gt;=1000x</t>
        </is>
      </c>
      <c r="C125" s="89" t="n">
        <v>8</v>
      </c>
      <c r="D125" s="100" t="n">
        <v>17.1</v>
      </c>
      <c r="E125" s="94" t="n">
        <v>75</v>
      </c>
      <c r="G125" s="2" t="inlineStr">
        <is>
          <t>Robotics &amp; autonomous driving|&gt;=1000x</t>
        </is>
      </c>
    </row>
    <row r="126">
      <c r="A126" s="16" t="inlineStr">
        <is>
          <t>SaaS / enterprise software</t>
        </is>
      </c>
      <c r="B126" s="16" t="inlineStr">
        <is>
          <t>10-100x</t>
        </is>
      </c>
      <c r="C126" s="89" t="n">
        <v>8</v>
      </c>
      <c r="D126" s="100" t="n">
        <v>1.6</v>
      </c>
      <c r="E126" s="94" t="n">
        <v>75</v>
      </c>
      <c r="G126" s="2" t="inlineStr">
        <is>
          <t>SaaS / enterprise software|10-100x</t>
        </is>
      </c>
    </row>
    <row r="127">
      <c r="A127" s="16" t="inlineStr">
        <is>
          <t>SaaS / enterprise software</t>
        </is>
      </c>
      <c r="B127" s="16" t="inlineStr">
        <is>
          <t>100-1000x</t>
        </is>
      </c>
      <c r="C127" s="89" t="n">
        <v>4</v>
      </c>
      <c r="D127" s="100" t="n">
        <v>1</v>
      </c>
      <c r="E127" s="94" t="n">
        <v>50</v>
      </c>
      <c r="G127" s="2" t="inlineStr">
        <is>
          <t>SaaS / enterprise software|100-1000x</t>
        </is>
      </c>
    </row>
    <row r="128">
      <c r="A128" s="16" t="inlineStr">
        <is>
          <t>SaaS / enterprise software</t>
        </is>
      </c>
      <c r="B128" s="16" t="inlineStr">
        <is>
          <t>&lt;10x</t>
        </is>
      </c>
      <c r="C128" s="89" t="n">
        <v>7</v>
      </c>
      <c r="D128" s="100" t="n">
        <v>0</v>
      </c>
      <c r="E128" s="94" t="n">
        <v>43</v>
      </c>
      <c r="G128" s="2" t="inlineStr">
        <is>
          <t>SaaS / enterprise software|&lt;10x</t>
        </is>
      </c>
    </row>
    <row r="129">
      <c r="A129" s="16" t="inlineStr">
        <is>
          <t>SaaS / enterprise software</t>
        </is>
      </c>
      <c r="B129" s="16" t="inlineStr">
        <is>
          <t>&gt;=1000x</t>
        </is>
      </c>
      <c r="C129" s="89" t="n">
        <v>5</v>
      </c>
      <c r="D129" s="100" t="n">
        <v>117.9</v>
      </c>
      <c r="E129" s="94" t="n">
        <v>100</v>
      </c>
      <c r="G129" s="2" t="inlineStr">
        <is>
          <t>SaaS / enterprise software|&gt;=1000x</t>
        </is>
      </c>
    </row>
    <row r="130">
      <c r="A130" s="16" t="inlineStr">
        <is>
          <t>Smart hardware / consumer electronics</t>
        </is>
      </c>
      <c r="B130" s="16" t="inlineStr">
        <is>
          <t>10-100x</t>
        </is>
      </c>
      <c r="C130" s="89" t="n">
        <v>3</v>
      </c>
      <c r="D130" s="100" t="n">
        <v>-2</v>
      </c>
      <c r="E130" s="94" t="n">
        <v>33</v>
      </c>
      <c r="G130" s="2" t="inlineStr">
        <is>
          <t>Smart hardware / consumer electronics|10-100x</t>
        </is>
      </c>
    </row>
    <row r="131">
      <c r="A131" s="16" t="inlineStr">
        <is>
          <t>Smart hardware / consumer electronics</t>
        </is>
      </c>
      <c r="B131" s="16" t="inlineStr">
        <is>
          <t>100-1000x</t>
        </is>
      </c>
      <c r="C131" s="89" t="n">
        <v>11</v>
      </c>
      <c r="D131" s="100" t="n">
        <v>4.7</v>
      </c>
      <c r="E131" s="94" t="n">
        <v>64</v>
      </c>
      <c r="G131" s="2" t="inlineStr">
        <is>
          <t>Smart hardware / consumer electronics|100-1000x</t>
        </is>
      </c>
    </row>
    <row r="132">
      <c r="A132" s="16" t="inlineStr">
        <is>
          <t>Smart hardware / consumer electronics</t>
        </is>
      </c>
      <c r="B132" s="16" t="inlineStr">
        <is>
          <t>&lt;10x</t>
        </is>
      </c>
      <c r="C132" s="89" t="n">
        <v>4</v>
      </c>
      <c r="D132" s="100" t="n">
        <v>-3.4</v>
      </c>
      <c r="E132" s="94" t="n">
        <v>25</v>
      </c>
      <c r="G132" s="2" t="inlineStr">
        <is>
          <t>Smart hardware / consumer electronics|&lt;10x</t>
        </is>
      </c>
    </row>
    <row r="133">
      <c r="A133" s="16" t="inlineStr">
        <is>
          <t>Smart hardware / consumer electronics</t>
        </is>
      </c>
      <c r="B133" s="16" t="inlineStr">
        <is>
          <t>&gt;=1000x</t>
        </is>
      </c>
      <c r="C133" s="89" t="n">
        <v>10</v>
      </c>
      <c r="D133" s="100" t="n">
        <v>18.1</v>
      </c>
      <c r="E133" s="94" t="n">
        <v>100</v>
      </c>
      <c r="G133" s="2" t="inlineStr">
        <is>
          <t>Smart hardware / consumer electronics|&gt;=1000x</t>
        </is>
      </c>
    </row>
    <row r="134">
      <c r="A134" s="16" t="inlineStr">
        <is>
          <t>Solar / wind supply chain</t>
        </is>
      </c>
      <c r="B134" s="16" t="inlineStr">
        <is>
          <t>100-1000x</t>
        </is>
      </c>
      <c r="C134" s="89" t="n">
        <v>1</v>
      </c>
      <c r="D134" s="100" t="n">
        <v>0</v>
      </c>
      <c r="E134" s="94" t="n">
        <v>0</v>
      </c>
      <c r="G134" s="2" t="inlineStr">
        <is>
          <t>Solar / wind supply chain|100-1000x</t>
        </is>
      </c>
    </row>
    <row r="135">
      <c r="A135" s="16" t="inlineStr">
        <is>
          <t>Solar / wind supply chain</t>
        </is>
      </c>
      <c r="B135" s="16" t="inlineStr">
        <is>
          <t>&lt;10x</t>
        </is>
      </c>
      <c r="C135" s="89" t="n">
        <v>1</v>
      </c>
      <c r="D135" s="100" t="n">
        <v>20.1</v>
      </c>
      <c r="E135" s="94" t="n">
        <v>100</v>
      </c>
      <c r="G135" s="2" t="inlineStr">
        <is>
          <t>Solar / wind supply chain|&lt;10x</t>
        </is>
      </c>
    </row>
    <row r="136">
      <c r="A136" s="16" t="inlineStr">
        <is>
          <t>TCM</t>
        </is>
      </c>
      <c r="B136" s="16" t="inlineStr">
        <is>
          <t>10-100x</t>
        </is>
      </c>
      <c r="C136" s="89" t="n">
        <v>1</v>
      </c>
      <c r="D136" s="100" t="n">
        <v>6.8</v>
      </c>
      <c r="E136" s="94" t="n">
        <v>100</v>
      </c>
      <c r="G136" s="2" t="inlineStr">
        <is>
          <t>TCM|10-100x</t>
        </is>
      </c>
    </row>
    <row r="137">
      <c r="A137" s="16" t="inlineStr">
        <is>
          <t>TCM</t>
        </is>
      </c>
      <c r="B137" s="16" t="inlineStr">
        <is>
          <t>100-1000x</t>
        </is>
      </c>
      <c r="C137" s="89" t="n">
        <v>1</v>
      </c>
      <c r="D137" s="100" t="n">
        <v>-39.1</v>
      </c>
      <c r="E137" s="94" t="n">
        <v>0</v>
      </c>
      <c r="G137" s="2" t="inlineStr">
        <is>
          <t>TCM|100-1000x</t>
        </is>
      </c>
    </row>
    <row r="138">
      <c r="A138" s="16" t="inlineStr">
        <is>
          <t>TCM</t>
        </is>
      </c>
      <c r="B138" s="16" t="inlineStr">
        <is>
          <t>&lt;10x</t>
        </is>
      </c>
      <c r="C138" s="89" t="n">
        <v>1</v>
      </c>
      <c r="D138" s="100" t="n">
        <v>0</v>
      </c>
      <c r="E138" s="94" t="n">
        <v>0</v>
      </c>
      <c r="G138" s="2" t="inlineStr">
        <is>
          <t>TCM|&lt;10x</t>
        </is>
      </c>
    </row>
    <row r="139">
      <c r="A139" s="16" t="inlineStr">
        <is>
          <t>TCM</t>
        </is>
      </c>
      <c r="B139" s="16" t="inlineStr">
        <is>
          <t>&gt;=1000x</t>
        </is>
      </c>
      <c r="C139" s="89" t="n">
        <v>1</v>
      </c>
      <c r="D139" s="100" t="n">
        <v>10.4</v>
      </c>
      <c r="E139" s="94" t="n">
        <v>100</v>
      </c>
      <c r="G139" s="2" t="inlineStr">
        <is>
          <t>TCM|&gt;=1000x</t>
        </is>
      </c>
    </row>
    <row r="140">
      <c r="A140" s="16" t="inlineStr">
        <is>
          <t>Telecom</t>
        </is>
      </c>
      <c r="B140" s="16" t="inlineStr">
        <is>
          <t>100-1000x</t>
        </is>
      </c>
      <c r="C140" s="89" t="n">
        <v>1</v>
      </c>
      <c r="D140" s="100" t="n">
        <v>-46.4</v>
      </c>
      <c r="E140" s="94" t="n">
        <v>0</v>
      </c>
      <c r="G140" s="2" t="inlineStr">
        <is>
          <t>Telecom|100-1000x</t>
        </is>
      </c>
    </row>
    <row r="141">
      <c r="A141" s="16" t="inlineStr">
        <is>
          <t>Telecom</t>
        </is>
      </c>
      <c r="B141" s="16" t="inlineStr">
        <is>
          <t>&lt;10x</t>
        </is>
      </c>
      <c r="C141" s="89" t="n">
        <v>1</v>
      </c>
      <c r="D141" s="100" t="n">
        <v>-11.2</v>
      </c>
      <c r="E141" s="94" t="n">
        <v>0</v>
      </c>
      <c r="G141" s="2" t="inlineStr">
        <is>
          <t>Telecom|&lt;10x</t>
        </is>
      </c>
    </row>
    <row r="142"/>
    <row r="143">
      <c r="A143" s="14" t="inlineStr">
        <is>
          <t>BY SUBSECTOR (any subscription)</t>
        </is>
      </c>
    </row>
    <row r="144">
      <c r="A144" s="12" t="inlineStr">
        <is>
          <t>Subsector</t>
        </is>
      </c>
      <c r="B144" s="12" t="inlineStr">
        <is>
          <t>n</t>
        </is>
      </c>
      <c r="C144" s="12" t="inlineStr">
        <is>
          <t>Median day-1</t>
        </is>
      </c>
      <c r="D144" s="12" t="inlineStr">
        <is>
          <t>Hit-rate</t>
        </is>
      </c>
      <c r="E144" s="12" t="inlineStr">
        <is>
          <t>Median P/E</t>
        </is>
      </c>
      <c r="F144" s="12" t="inlineStr">
        <is>
          <t>Median P/S</t>
        </is>
      </c>
      <c r="G144" s="12" t="inlineStr">
        <is>
          <t>n P/E</t>
        </is>
      </c>
      <c r="H144" s="12" t="inlineStr">
        <is>
          <t>n P/S</t>
        </is>
      </c>
    </row>
    <row r="145">
      <c r="A145" s="16" t="inlineStr">
        <is>
          <t>AI application / agent software</t>
        </is>
      </c>
      <c r="B145" s="89" t="n">
        <v>17</v>
      </c>
      <c r="C145" s="100" t="n">
        <v>44.6</v>
      </c>
      <c r="D145" s="94" t="n">
        <v>82</v>
      </c>
      <c r="E145" s="101" t="n">
        <v>92</v>
      </c>
      <c r="F145" s="101" t="n">
        <v>14.1</v>
      </c>
      <c r="G145" s="89" t="n">
        <v>2</v>
      </c>
      <c r="H145" s="89" t="n">
        <v>15</v>
      </c>
    </row>
    <row r="146">
      <c r="A146" s="16" t="inlineStr">
        <is>
          <t>AI chips &amp; semis</t>
        </is>
      </c>
      <c r="B146" s="89" t="n">
        <v>27</v>
      </c>
      <c r="C146" s="100" t="n">
        <v>8.4</v>
      </c>
      <c r="D146" s="94" t="n">
        <v>74</v>
      </c>
      <c r="E146" s="101" t="n">
        <v>87.8</v>
      </c>
      <c r="F146" s="101" t="n">
        <v>12.3</v>
      </c>
      <c r="G146" s="89" t="n">
        <v>14</v>
      </c>
      <c r="H146" s="89" t="n">
        <v>25</v>
      </c>
    </row>
    <row r="147">
      <c r="A147" s="16" t="inlineStr">
        <is>
          <t>Apparel / luxury</t>
        </is>
      </c>
      <c r="B147" s="89" t="n">
        <v>6</v>
      </c>
      <c r="C147" s="100" t="n">
        <v>16.2</v>
      </c>
      <c r="D147" s="94" t="n">
        <v>67</v>
      </c>
      <c r="E147" s="101" t="n">
        <v>15.7</v>
      </c>
      <c r="F147" s="101" t="n">
        <v>1.7</v>
      </c>
      <c r="G147" s="89" t="n">
        <v>6</v>
      </c>
      <c r="H147" s="89" t="n">
        <v>5</v>
      </c>
    </row>
    <row r="148">
      <c r="A148" s="16" t="inlineStr">
        <is>
          <t>Auto parts / supply chain</t>
        </is>
      </c>
      <c r="B148" s="89" t="n">
        <v>9</v>
      </c>
      <c r="C148" s="100" t="n">
        <v>2.1</v>
      </c>
      <c r="D148" s="94" t="n">
        <v>56</v>
      </c>
      <c r="E148" s="101" t="n">
        <v>27.3</v>
      </c>
      <c r="F148" s="101" t="n">
        <v>3</v>
      </c>
      <c r="G148" s="89" t="n">
        <v>5</v>
      </c>
      <c r="H148" s="89" t="n">
        <v>9</v>
      </c>
    </row>
    <row r="149">
      <c r="A149" s="16" t="inlineStr">
        <is>
          <t>Autos (NEV OEM)</t>
        </is>
      </c>
      <c r="B149" s="89" t="n">
        <v>6</v>
      </c>
      <c r="C149" s="100" t="n">
        <v>0</v>
      </c>
      <c r="D149" s="94" t="n">
        <v>33</v>
      </c>
      <c r="E149" s="101" t="n">
        <v>18.1</v>
      </c>
      <c r="F149" s="101" t="n">
        <v>1.4</v>
      </c>
      <c r="G149" s="89" t="n">
        <v>2</v>
      </c>
      <c r="H149" s="89" t="n">
        <v>5</v>
      </c>
    </row>
    <row r="150">
      <c r="A150" s="16" t="inlineStr">
        <is>
          <t>Banks</t>
        </is>
      </c>
      <c r="B150" s="89" t="n">
        <v>2</v>
      </c>
      <c r="C150" s="100" t="n">
        <v>2.5</v>
      </c>
      <c r="D150" s="94" t="n">
        <v>100</v>
      </c>
      <c r="E150" s="101" t="n">
        <v>20.1</v>
      </c>
      <c r="F150" s="101" t="n">
        <v>4.4</v>
      </c>
      <c r="G150" s="89" t="n">
        <v>1</v>
      </c>
      <c r="H150" s="89" t="n">
        <v>1</v>
      </c>
    </row>
    <row r="151">
      <c r="A151" s="16" t="inlineStr">
        <is>
          <t>Batteries / energy storage</t>
        </is>
      </c>
      <c r="B151" s="89" t="n">
        <v>13</v>
      </c>
      <c r="C151" s="100" t="n">
        <v>1.4</v>
      </c>
      <c r="D151" s="94" t="n">
        <v>69</v>
      </c>
      <c r="E151" s="101" t="n">
        <v>19.8</v>
      </c>
      <c r="F151" s="101" t="n">
        <v>4.5</v>
      </c>
      <c r="G151" s="89" t="n">
        <v>5</v>
      </c>
      <c r="H151" s="89" t="n">
        <v>13</v>
      </c>
    </row>
    <row r="152">
      <c r="A152" s="16" t="inlineStr">
        <is>
          <t>Beauty / personal care</t>
        </is>
      </c>
      <c r="B152" s="89" t="n">
        <v>7</v>
      </c>
      <c r="C152" s="100" t="n">
        <v>9.300000000000001</v>
      </c>
      <c r="D152" s="94" t="n">
        <v>57</v>
      </c>
      <c r="E152" s="101" t="n">
        <v>21.3</v>
      </c>
      <c r="F152" s="101" t="n">
        <v>4.3</v>
      </c>
      <c r="G152" s="89" t="n">
        <v>6</v>
      </c>
      <c r="H152" s="89" t="n">
        <v>7</v>
      </c>
    </row>
    <row r="153">
      <c r="A153" s="16" t="inlineStr">
        <is>
          <t>Beverages / packaged food</t>
        </is>
      </c>
      <c r="B153" s="89" t="n">
        <v>25</v>
      </c>
      <c r="C153" s="100" t="n">
        <v>1.5</v>
      </c>
      <c r="D153" s="94" t="n">
        <v>56</v>
      </c>
      <c r="E153" s="101" t="n">
        <v>18.1</v>
      </c>
      <c r="F153" s="101" t="n">
        <v>2.3</v>
      </c>
      <c r="G153" s="89" t="n">
        <v>24</v>
      </c>
      <c r="H153" s="89" t="n">
        <v>25</v>
      </c>
    </row>
    <row r="154">
      <c r="A154" s="16" t="inlineStr">
        <is>
          <t>Biopharma commercial</t>
        </is>
      </c>
      <c r="B154" s="89" t="n">
        <v>9</v>
      </c>
      <c r="C154" s="100" t="n">
        <v>25.2</v>
      </c>
      <c r="D154" s="94" t="n">
        <v>78</v>
      </c>
      <c r="E154" s="101" t="n">
        <v>28.6</v>
      </c>
      <c r="F154" s="101" t="n">
        <v>10.2</v>
      </c>
      <c r="G154" s="89" t="n">
        <v>6</v>
      </c>
      <c r="H154" s="89" t="n">
        <v>8</v>
      </c>
    </row>
    <row r="155">
      <c r="A155" s="16" t="inlineStr">
        <is>
          <t>Biotech pre-revenue (18A)</t>
        </is>
      </c>
      <c r="B155" s="89" t="n">
        <v>49</v>
      </c>
      <c r="C155" s="100" t="n">
        <v>7.7</v>
      </c>
      <c r="D155" s="94" t="n">
        <v>69</v>
      </c>
      <c r="E155" s="101" t="n"/>
      <c r="F155" s="101" t="n">
        <v>25.7</v>
      </c>
      <c r="G155" s="89" t="n">
        <v>0</v>
      </c>
      <c r="H155" s="89" t="n">
        <v>9</v>
      </c>
    </row>
    <row r="156">
      <c r="A156" s="16" t="inlineStr">
        <is>
          <t>Brokers / asset management</t>
        </is>
      </c>
      <c r="B156" s="89" t="n">
        <v>4</v>
      </c>
      <c r="C156" s="100" t="n">
        <v>-14.3</v>
      </c>
      <c r="D156" s="94" t="n">
        <v>25</v>
      </c>
      <c r="E156" s="101" t="n">
        <v>20.8</v>
      </c>
      <c r="F156" s="101" t="n">
        <v>5</v>
      </c>
      <c r="G156" s="89" t="n">
        <v>3</v>
      </c>
      <c r="H156" s="89" t="n">
        <v>3</v>
      </c>
    </row>
    <row r="157">
      <c r="A157" s="16" t="inlineStr">
        <is>
          <t>CXO / pharma services</t>
        </is>
      </c>
      <c r="B157" s="89" t="n">
        <v>9</v>
      </c>
      <c r="C157" s="100" t="n">
        <v>0.7</v>
      </c>
      <c r="D157" s="94" t="n">
        <v>56</v>
      </c>
      <c r="E157" s="101" t="n">
        <v>66.7</v>
      </c>
      <c r="F157" s="101" t="n">
        <v>12.4</v>
      </c>
      <c r="G157" s="89" t="n">
        <v>7</v>
      </c>
      <c r="H157" s="89" t="n">
        <v>8</v>
      </c>
    </row>
    <row r="158">
      <c r="A158" s="16" t="inlineStr">
        <is>
          <t>Capital goods / machinery</t>
        </is>
      </c>
      <c r="B158" s="89" t="n">
        <v>18</v>
      </c>
      <c r="C158" s="100" t="n">
        <v>1.9</v>
      </c>
      <c r="D158" s="94" t="n">
        <v>61</v>
      </c>
      <c r="E158" s="101" t="n">
        <v>27.5</v>
      </c>
      <c r="F158" s="101" t="n">
        <v>5.9</v>
      </c>
      <c r="G158" s="89" t="n">
        <v>13</v>
      </c>
      <c r="H158" s="89" t="n">
        <v>17</v>
      </c>
    </row>
    <row r="159">
      <c r="A159" s="16" t="inlineStr">
        <is>
          <t>Chemicals</t>
        </is>
      </c>
      <c r="B159" s="89" t="n">
        <v>14</v>
      </c>
      <c r="C159" s="100" t="n">
        <v>0.1</v>
      </c>
      <c r="D159" s="94" t="n">
        <v>50</v>
      </c>
      <c r="E159" s="101" t="n">
        <v>8.9</v>
      </c>
      <c r="F159" s="101" t="n">
        <v>1.2</v>
      </c>
      <c r="G159" s="89" t="n">
        <v>12</v>
      </c>
      <c r="H159" s="89" t="n">
        <v>14</v>
      </c>
    </row>
    <row r="160">
      <c r="A160" s="16" t="inlineStr">
        <is>
          <t>Construction / engineering</t>
        </is>
      </c>
      <c r="B160" s="89" t="n">
        <v>16</v>
      </c>
      <c r="C160" s="100" t="n">
        <v>-7.5</v>
      </c>
      <c r="D160" s="94" t="n">
        <v>44</v>
      </c>
      <c r="E160" s="101" t="n">
        <v>12.2</v>
      </c>
      <c r="F160" s="101" t="n">
        <v>1.4</v>
      </c>
      <c r="G160" s="89" t="n">
        <v>15</v>
      </c>
      <c r="H160" s="89" t="n">
        <v>14</v>
      </c>
    </row>
    <row r="161">
      <c r="A161" s="16" t="inlineStr">
        <is>
          <t>Consumer services / education</t>
        </is>
      </c>
      <c r="B161" s="89" t="n">
        <v>4</v>
      </c>
      <c r="C161" s="100" t="n">
        <v>6.1</v>
      </c>
      <c r="D161" s="94" t="n">
        <v>50</v>
      </c>
      <c r="E161" s="101" t="n">
        <v>13.7</v>
      </c>
      <c r="F161" s="101" t="n">
        <v>5.3</v>
      </c>
      <c r="G161" s="89" t="n">
        <v>3</v>
      </c>
      <c r="H161" s="89" t="n">
        <v>4</v>
      </c>
    </row>
    <row r="162">
      <c r="A162" s="16" t="inlineStr">
        <is>
          <t>Data center / cloud infra</t>
        </is>
      </c>
      <c r="B162" s="89" t="n">
        <v>2</v>
      </c>
      <c r="C162" s="100" t="n">
        <v>-37.1</v>
      </c>
      <c r="D162" s="94" t="n">
        <v>0</v>
      </c>
      <c r="E162" s="101" t="n">
        <v>135.6</v>
      </c>
      <c r="F162" s="101" t="n">
        <v>3.2</v>
      </c>
      <c r="G162" s="89" t="n">
        <v>1</v>
      </c>
      <c r="H162" s="89" t="n">
        <v>2</v>
      </c>
    </row>
    <row r="163">
      <c r="A163" s="16" t="inlineStr">
        <is>
          <t>Developers</t>
        </is>
      </c>
      <c r="B163" s="89" t="n">
        <v>1</v>
      </c>
      <c r="C163" s="100" t="n">
        <v>0</v>
      </c>
      <c r="D163" s="94" t="n">
        <v>0</v>
      </c>
      <c r="E163" s="101" t="n">
        <v>6.9</v>
      </c>
      <c r="F163" s="101" t="n">
        <v>0.6</v>
      </c>
      <c r="G163" s="89" t="n">
        <v>1</v>
      </c>
      <c r="H163" s="89" t="n">
        <v>1</v>
      </c>
    </row>
    <row r="164">
      <c r="A164" s="16" t="inlineStr">
        <is>
          <t>Digital health</t>
        </is>
      </c>
      <c r="B164" s="89" t="n">
        <v>17</v>
      </c>
      <c r="C164" s="100" t="n">
        <v>5.5</v>
      </c>
      <c r="D164" s="94" t="n">
        <v>59</v>
      </c>
      <c r="E164" s="101" t="n">
        <v>43.7</v>
      </c>
      <c r="F164" s="101" t="n">
        <v>5.9</v>
      </c>
      <c r="G164" s="89" t="n">
        <v>5</v>
      </c>
      <c r="H164" s="89" t="n">
        <v>13</v>
      </c>
    </row>
    <row r="165">
      <c r="A165" s="16" t="inlineStr">
        <is>
          <t>F&amp;B chains / restaurants</t>
        </is>
      </c>
      <c r="B165" s="89" t="n">
        <v>10</v>
      </c>
      <c r="C165" s="100" t="n">
        <v>-3.3</v>
      </c>
      <c r="D165" s="94" t="n">
        <v>40</v>
      </c>
      <c r="E165" s="101" t="n">
        <v>20.4</v>
      </c>
      <c r="F165" s="101" t="n">
        <v>3.1</v>
      </c>
      <c r="G165" s="89" t="n">
        <v>7</v>
      </c>
      <c r="H165" s="89" t="n">
        <v>10</v>
      </c>
    </row>
    <row r="166">
      <c r="A166" s="16" t="inlineStr">
        <is>
          <t>Fintech platform</t>
        </is>
      </c>
      <c r="B166" s="89" t="n">
        <v>7</v>
      </c>
      <c r="C166" s="100" t="n">
        <v>-0.6</v>
      </c>
      <c r="D166" s="94" t="n">
        <v>29</v>
      </c>
      <c r="E166" s="101" t="n">
        <v>8.9</v>
      </c>
      <c r="F166" s="101" t="n">
        <v>7.7</v>
      </c>
      <c r="G166" s="89" t="n">
        <v>2</v>
      </c>
      <c r="H166" s="89" t="n">
        <v>6</v>
      </c>
    </row>
    <row r="167">
      <c r="A167" s="16" t="inlineStr">
        <is>
          <t>Hospitals / clinics</t>
        </is>
      </c>
      <c r="B167" s="89" t="n">
        <v>9</v>
      </c>
      <c r="C167" s="100" t="n">
        <v>0.1</v>
      </c>
      <c r="D167" s="94" t="n">
        <v>56</v>
      </c>
      <c r="E167" s="101" t="n">
        <v>42.5</v>
      </c>
      <c r="F167" s="101" t="n">
        <v>4.8</v>
      </c>
      <c r="G167" s="89" t="n">
        <v>6</v>
      </c>
      <c r="H167" s="89" t="n">
        <v>9</v>
      </c>
    </row>
    <row r="168">
      <c r="A168" s="16" t="inlineStr">
        <is>
          <t>Insurance</t>
        </is>
      </c>
      <c r="B168" s="89" t="n">
        <v>7</v>
      </c>
      <c r="C168" s="100" t="n">
        <v>4.7</v>
      </c>
      <c r="D168" s="94" t="n">
        <v>71</v>
      </c>
      <c r="E168" s="101" t="n">
        <v>17.4</v>
      </c>
      <c r="F168" s="101" t="n">
        <v>3</v>
      </c>
      <c r="G168" s="89" t="n">
        <v>3</v>
      </c>
      <c r="H168" s="89" t="n">
        <v>6</v>
      </c>
    </row>
    <row r="169">
      <c r="A169" s="16" t="inlineStr">
        <is>
          <t>Internet platform / e-commerce</t>
        </is>
      </c>
      <c r="B169" s="89" t="n">
        <v>23</v>
      </c>
      <c r="C169" s="100" t="n">
        <v>0.3</v>
      </c>
      <c r="D169" s="94" t="n">
        <v>52</v>
      </c>
      <c r="E169" s="101" t="n">
        <v>30</v>
      </c>
      <c r="F169" s="101" t="n">
        <v>3.8</v>
      </c>
      <c r="G169" s="89" t="n">
        <v>12</v>
      </c>
      <c r="H169" s="89" t="n">
        <v>20</v>
      </c>
    </row>
    <row r="170">
      <c r="A170" s="16" t="inlineStr">
        <is>
          <t>LLM / foundation model</t>
        </is>
      </c>
      <c r="B170" s="89" t="n">
        <v>2</v>
      </c>
      <c r="C170" s="100" t="n">
        <v>61.1</v>
      </c>
      <c r="D170" s="94" t="n">
        <v>100</v>
      </c>
      <c r="E170" s="101" t="n"/>
      <c r="F170" s="101" t="n"/>
      <c r="G170" s="89" t="n">
        <v>0</v>
      </c>
      <c r="H170" s="89" t="n">
        <v>0</v>
      </c>
    </row>
    <row r="171">
      <c r="A171" s="16" t="inlineStr">
        <is>
          <t>Logistics</t>
        </is>
      </c>
      <c r="B171" s="89" t="n">
        <v>15</v>
      </c>
      <c r="C171" s="100" t="n">
        <v>-0.6</v>
      </c>
      <c r="D171" s="94" t="n">
        <v>27</v>
      </c>
      <c r="E171" s="101" t="n">
        <v>14.3</v>
      </c>
      <c r="F171" s="101" t="n">
        <v>1.1</v>
      </c>
      <c r="G171" s="89" t="n">
        <v>10</v>
      </c>
      <c r="H171" s="89" t="n">
        <v>14</v>
      </c>
    </row>
    <row r="172">
      <c r="A172" s="16" t="inlineStr">
        <is>
          <t>Media / advertising</t>
        </is>
      </c>
      <c r="B172" s="89" t="n">
        <v>19</v>
      </c>
      <c r="C172" s="100" t="n">
        <v>16.6</v>
      </c>
      <c r="D172" s="94" t="n">
        <v>63</v>
      </c>
      <c r="E172" s="101" t="n">
        <v>27.8</v>
      </c>
      <c r="F172" s="101" t="n">
        <v>4.3</v>
      </c>
      <c r="G172" s="89" t="n">
        <v>17</v>
      </c>
      <c r="H172" s="89" t="n">
        <v>18</v>
      </c>
    </row>
    <row r="173">
      <c r="A173" s="16" t="inlineStr">
        <is>
          <t>Medical devices</t>
        </is>
      </c>
      <c r="B173" s="89" t="n">
        <v>25</v>
      </c>
      <c r="C173" s="100" t="n">
        <v>1.6</v>
      </c>
      <c r="D173" s="94" t="n">
        <v>56</v>
      </c>
      <c r="E173" s="101" t="n">
        <v>91.3</v>
      </c>
      <c r="F173" s="101" t="n">
        <v>12.2</v>
      </c>
      <c r="G173" s="89" t="n">
        <v>6</v>
      </c>
      <c r="H173" s="89" t="n">
        <v>9</v>
      </c>
    </row>
    <row r="174">
      <c r="A174" s="16" t="inlineStr">
        <is>
          <t>Mining / metals</t>
        </is>
      </c>
      <c r="B174" s="89" t="n">
        <v>13</v>
      </c>
      <c r="C174" s="100" t="n">
        <v>2.2</v>
      </c>
      <c r="D174" s="94" t="n">
        <v>62</v>
      </c>
      <c r="E174" s="101" t="n">
        <v>16.4</v>
      </c>
      <c r="F174" s="101" t="n">
        <v>3</v>
      </c>
      <c r="G174" s="89" t="n">
        <v>11</v>
      </c>
      <c r="H174" s="89" t="n">
        <v>11</v>
      </c>
    </row>
    <row r="175">
      <c r="A175" s="16" t="inlineStr">
        <is>
          <t>Oil &amp; gas / utilities</t>
        </is>
      </c>
      <c r="B175" s="89" t="n">
        <v>5</v>
      </c>
      <c r="C175" s="100" t="n">
        <v>0</v>
      </c>
      <c r="D175" s="94" t="n">
        <v>20</v>
      </c>
      <c r="E175" s="101" t="n">
        <v>9.300000000000001</v>
      </c>
      <c r="F175" s="101" t="n">
        <v>0.7</v>
      </c>
      <c r="G175" s="89" t="n">
        <v>5</v>
      </c>
      <c r="H175" s="89" t="n">
        <v>5</v>
      </c>
    </row>
    <row r="176">
      <c r="A176" s="16" t="inlineStr">
        <is>
          <t>Property management</t>
        </is>
      </c>
      <c r="B176" s="89" t="n">
        <v>24</v>
      </c>
      <c r="C176" s="100" t="n">
        <v>0</v>
      </c>
      <c r="D176" s="94" t="n">
        <v>38</v>
      </c>
      <c r="E176" s="101" t="n">
        <v>15.8</v>
      </c>
      <c r="F176" s="101" t="n">
        <v>2.5</v>
      </c>
      <c r="G176" s="89" t="n">
        <v>22</v>
      </c>
      <c r="H176" s="89" t="n">
        <v>23</v>
      </c>
    </row>
    <row r="177">
      <c r="A177" s="16" t="inlineStr">
        <is>
          <t>REITs / asset-light</t>
        </is>
      </c>
      <c r="B177" s="89" t="n">
        <v>1</v>
      </c>
      <c r="C177" s="100" t="n">
        <v>-16.5</v>
      </c>
      <c r="D177" s="94" t="n">
        <v>0</v>
      </c>
      <c r="E177" s="101" t="n">
        <v>153.5</v>
      </c>
      <c r="F177" s="101" t="n">
        <v>14.8</v>
      </c>
      <c r="G177" s="89" t="n">
        <v>1</v>
      </c>
      <c r="H177" s="89" t="n">
        <v>1</v>
      </c>
    </row>
    <row r="178">
      <c r="A178" s="16" t="inlineStr">
        <is>
          <t>Retail / distribution</t>
        </is>
      </c>
      <c r="B178" s="89" t="n">
        <v>17</v>
      </c>
      <c r="C178" s="100" t="n">
        <v>25</v>
      </c>
      <c r="D178" s="94" t="n">
        <v>59</v>
      </c>
      <c r="E178" s="101" t="n">
        <v>22.6</v>
      </c>
      <c r="F178" s="101" t="n">
        <v>1.8</v>
      </c>
      <c r="G178" s="89" t="n">
        <v>12</v>
      </c>
      <c r="H178" s="89" t="n">
        <v>17</v>
      </c>
    </row>
    <row r="179">
      <c r="A179" s="16" t="inlineStr">
        <is>
          <t>Robotics &amp; autonomous driving</t>
        </is>
      </c>
      <c r="B179" s="89" t="n">
        <v>22</v>
      </c>
      <c r="C179" s="100" t="n">
        <v>2.6</v>
      </c>
      <c r="D179" s="94" t="n">
        <v>64</v>
      </c>
      <c r="E179" s="101" t="n"/>
      <c r="F179" s="101" t="n">
        <v>17.5</v>
      </c>
      <c r="G179" s="89" t="n">
        <v>0</v>
      </c>
      <c r="H179" s="89" t="n">
        <v>19</v>
      </c>
    </row>
    <row r="180">
      <c r="A180" s="16" t="inlineStr">
        <is>
          <t>SaaS / enterprise software</t>
        </is>
      </c>
      <c r="B180" s="89" t="n">
        <v>24</v>
      </c>
      <c r="C180" s="100" t="n">
        <v>5.3</v>
      </c>
      <c r="D180" s="94" t="n">
        <v>67</v>
      </c>
      <c r="E180" s="101" t="n">
        <v>29.6</v>
      </c>
      <c r="F180" s="101" t="n">
        <v>6.8</v>
      </c>
      <c r="G180" s="89" t="n">
        <v>11</v>
      </c>
      <c r="H180" s="89" t="n">
        <v>23</v>
      </c>
    </row>
    <row r="181">
      <c r="A181" s="16" t="inlineStr">
        <is>
          <t>Smart hardware / consumer electronics</t>
        </is>
      </c>
      <c r="B181" s="89" t="n">
        <v>28</v>
      </c>
      <c r="C181" s="100" t="n">
        <v>8.5</v>
      </c>
      <c r="D181" s="94" t="n">
        <v>68</v>
      </c>
      <c r="E181" s="101" t="n">
        <v>26.1</v>
      </c>
      <c r="F181" s="101" t="n">
        <v>2.5</v>
      </c>
      <c r="G181" s="89" t="n">
        <v>25</v>
      </c>
      <c r="H181" s="89" t="n">
        <v>26</v>
      </c>
    </row>
    <row r="182">
      <c r="A182" s="16" t="inlineStr">
        <is>
          <t>Solar / wind supply chain</t>
        </is>
      </c>
      <c r="B182" s="89" t="n">
        <v>2</v>
      </c>
      <c r="C182" s="100" t="n">
        <v>10</v>
      </c>
      <c r="D182" s="94" t="n">
        <v>50</v>
      </c>
      <c r="E182" s="101" t="n">
        <v>53.3</v>
      </c>
      <c r="F182" s="101" t="n">
        <v>6.3</v>
      </c>
      <c r="G182" s="89" t="n">
        <v>1</v>
      </c>
      <c r="H182" s="89" t="n">
        <v>2</v>
      </c>
    </row>
    <row r="183">
      <c r="A183" s="16" t="inlineStr">
        <is>
          <t>TCM</t>
        </is>
      </c>
      <c r="B183" s="89" t="n">
        <v>4</v>
      </c>
      <c r="C183" s="100" t="n">
        <v>3.4</v>
      </c>
      <c r="D183" s="94" t="n">
        <v>50</v>
      </c>
      <c r="E183" s="101" t="n">
        <v>16</v>
      </c>
      <c r="F183" s="101" t="n">
        <v>2.7</v>
      </c>
      <c r="G183" s="89" t="n">
        <v>3</v>
      </c>
      <c r="H183" s="89" t="n">
        <v>4</v>
      </c>
    </row>
    <row r="184">
      <c r="A184" s="16" t="inlineStr">
        <is>
          <t>Telecom</t>
        </is>
      </c>
      <c r="B184" s="89" t="n">
        <v>2</v>
      </c>
      <c r="C184" s="100" t="n">
        <v>-28.8</v>
      </c>
      <c r="D184" s="94" t="n">
        <v>0</v>
      </c>
      <c r="E184" s="101" t="n">
        <v>10.6</v>
      </c>
      <c r="F184" s="101" t="n">
        <v>5.1</v>
      </c>
      <c r="G184" s="89" t="n">
        <v>1</v>
      </c>
      <c r="H184" s="89" t="n">
        <v>2</v>
      </c>
    </row>
    <row r="185"/>
    <row r="186">
      <c r="A186" s="14" t="inlineStr">
        <is>
          <t>BY YEAR x SUBSCRIPTION — does the edge survive a bad tape?</t>
        </is>
      </c>
    </row>
    <row r="187">
      <c r="A187" s="12" t="inlineStr">
        <is>
          <t>Year</t>
        </is>
      </c>
      <c r="B187" s="12" t="inlineStr">
        <is>
          <t>Subscription</t>
        </is>
      </c>
      <c r="C187" s="12" t="inlineStr">
        <is>
          <t>n</t>
        </is>
      </c>
      <c r="D187" s="12" t="inlineStr">
        <is>
          <t>Median day-1</t>
        </is>
      </c>
      <c r="E187" s="12" t="inlineStr">
        <is>
          <t>Hit-rate</t>
        </is>
      </c>
    </row>
    <row r="188">
      <c r="A188" s="16" t="inlineStr">
        <is>
          <t>2021</t>
        </is>
      </c>
      <c r="B188" s="16" t="inlineStr">
        <is>
          <t>10-100x</t>
        </is>
      </c>
      <c r="C188" s="89" t="n">
        <v>25</v>
      </c>
      <c r="D188" s="100" t="n">
        <v>2.1</v>
      </c>
      <c r="E188" s="94" t="n">
        <v>52</v>
      </c>
    </row>
    <row r="189">
      <c r="A189" s="16" t="inlineStr">
        <is>
          <t>2021</t>
        </is>
      </c>
      <c r="B189" s="16" t="inlineStr">
        <is>
          <t>100-1000x</t>
        </is>
      </c>
      <c r="C189" s="89" t="n">
        <v>26</v>
      </c>
      <c r="D189" s="100" t="n">
        <v>0.6</v>
      </c>
      <c r="E189" s="94" t="n">
        <v>50</v>
      </c>
    </row>
    <row r="190">
      <c r="A190" s="16" t="inlineStr">
        <is>
          <t>2021</t>
        </is>
      </c>
      <c r="B190" s="16" t="inlineStr">
        <is>
          <t>&lt;10x</t>
        </is>
      </c>
      <c r="C190" s="89" t="n">
        <v>36</v>
      </c>
      <c r="D190" s="100" t="n">
        <v>-0.4</v>
      </c>
      <c r="E190" s="94" t="n">
        <v>28</v>
      </c>
    </row>
    <row r="191">
      <c r="A191" s="16" t="inlineStr">
        <is>
          <t>2021</t>
        </is>
      </c>
      <c r="B191" s="16" t="inlineStr">
        <is>
          <t>&gt;=1000x</t>
        </is>
      </c>
      <c r="C191" s="89" t="n">
        <v>5</v>
      </c>
      <c r="D191" s="100" t="n">
        <v>131.8</v>
      </c>
      <c r="E191" s="94" t="n">
        <v>100</v>
      </c>
    </row>
    <row r="192">
      <c r="A192" s="16" t="inlineStr">
        <is>
          <t>2022</t>
        </is>
      </c>
      <c r="B192" s="16" t="inlineStr">
        <is>
          <t>10-100x</t>
        </is>
      </c>
      <c r="C192" s="89" t="n">
        <v>17</v>
      </c>
      <c r="D192" s="100" t="n">
        <v>0.6</v>
      </c>
      <c r="E192" s="94" t="n">
        <v>53</v>
      </c>
    </row>
    <row r="193">
      <c r="A193" s="16" t="inlineStr">
        <is>
          <t>2022</t>
        </is>
      </c>
      <c r="B193" s="16" t="inlineStr">
        <is>
          <t>100-1000x</t>
        </is>
      </c>
      <c r="C193" s="89" t="n">
        <v>1</v>
      </c>
      <c r="D193" s="100" t="n">
        <v>-27.1</v>
      </c>
      <c r="E193" s="94" t="n">
        <v>0</v>
      </c>
    </row>
    <row r="194">
      <c r="A194" s="16" t="inlineStr">
        <is>
          <t>2022</t>
        </is>
      </c>
      <c r="B194" s="16" t="inlineStr">
        <is>
          <t>&lt;10x</t>
        </is>
      </c>
      <c r="C194" s="89" t="n">
        <v>54</v>
      </c>
      <c r="D194" s="100" t="n">
        <v>0</v>
      </c>
      <c r="E194" s="94" t="n">
        <v>31</v>
      </c>
    </row>
    <row r="195">
      <c r="A195" s="16" t="inlineStr">
        <is>
          <t>2023</t>
        </is>
      </c>
      <c r="B195" s="16" t="inlineStr">
        <is>
          <t>10-100x</t>
        </is>
      </c>
      <c r="C195" s="89" t="n">
        <v>26</v>
      </c>
      <c r="D195" s="100" t="n">
        <v>6.2</v>
      </c>
      <c r="E195" s="94" t="n">
        <v>62</v>
      </c>
    </row>
    <row r="196">
      <c r="A196" s="16" t="inlineStr">
        <is>
          <t>2023</t>
        </is>
      </c>
      <c r="B196" s="16" t="inlineStr">
        <is>
          <t>100-1000x</t>
        </is>
      </c>
      <c r="C196" s="89" t="n">
        <v>1</v>
      </c>
      <c r="D196" s="100" t="n">
        <v>0</v>
      </c>
      <c r="E196" s="94" t="n">
        <v>0</v>
      </c>
    </row>
    <row r="197">
      <c r="A197" s="16" t="inlineStr">
        <is>
          <t>2023</t>
        </is>
      </c>
      <c r="B197" s="16" t="inlineStr">
        <is>
          <t>&lt;10x</t>
        </is>
      </c>
      <c r="C197" s="89" t="n">
        <v>41</v>
      </c>
      <c r="D197" s="100" t="n">
        <v>0.3</v>
      </c>
      <c r="E197" s="94" t="n">
        <v>51</v>
      </c>
    </row>
    <row r="198">
      <c r="A198" s="16" t="inlineStr">
        <is>
          <t>2024</t>
        </is>
      </c>
      <c r="B198" s="16" t="inlineStr">
        <is>
          <t>10-100x</t>
        </is>
      </c>
      <c r="C198" s="89" t="n">
        <v>23</v>
      </c>
      <c r="D198" s="100" t="n">
        <v>7.5</v>
      </c>
      <c r="E198" s="94" t="n">
        <v>65</v>
      </c>
    </row>
    <row r="199">
      <c r="A199" s="16" t="inlineStr">
        <is>
          <t>2024</t>
        </is>
      </c>
      <c r="B199" s="16" t="inlineStr">
        <is>
          <t>100-1000x</t>
        </is>
      </c>
      <c r="C199" s="89" t="n">
        <v>20</v>
      </c>
      <c r="D199" s="100" t="n">
        <v>5</v>
      </c>
      <c r="E199" s="94" t="n">
        <v>55</v>
      </c>
    </row>
    <row r="200">
      <c r="A200" s="16" t="inlineStr">
        <is>
          <t>2024</t>
        </is>
      </c>
      <c r="B200" s="16" t="inlineStr">
        <is>
          <t>&lt;10x</t>
        </is>
      </c>
      <c r="C200" s="89" t="n">
        <v>21</v>
      </c>
      <c r="D200" s="100" t="n">
        <v>0.2</v>
      </c>
      <c r="E200" s="94" t="n">
        <v>57</v>
      </c>
    </row>
    <row r="201">
      <c r="A201" s="16" t="inlineStr">
        <is>
          <t>2024</t>
        </is>
      </c>
      <c r="B201" s="16" t="inlineStr">
        <is>
          <t>&gt;=1000x</t>
        </is>
      </c>
      <c r="C201" s="89" t="n">
        <v>3</v>
      </c>
      <c r="D201" s="100" t="n">
        <v>47.6</v>
      </c>
      <c r="E201" s="94" t="n">
        <v>100</v>
      </c>
    </row>
    <row r="202">
      <c r="A202" s="16" t="inlineStr">
        <is>
          <t>2025</t>
        </is>
      </c>
      <c r="B202" s="16" t="inlineStr">
        <is>
          <t>10-100x</t>
        </is>
      </c>
      <c r="C202" s="89" t="n">
        <v>24</v>
      </c>
      <c r="D202" s="100" t="n">
        <v>0</v>
      </c>
      <c r="E202" s="94" t="n">
        <v>42</v>
      </c>
    </row>
    <row r="203">
      <c r="A203" s="16" t="inlineStr">
        <is>
          <t>2025</t>
        </is>
      </c>
      <c r="B203" s="16" t="inlineStr">
        <is>
          <t>100-1000x</t>
        </is>
      </c>
      <c r="C203" s="89" t="n">
        <v>40</v>
      </c>
      <c r="D203" s="100" t="n">
        <v>6.5</v>
      </c>
      <c r="E203" s="94" t="n">
        <v>65</v>
      </c>
    </row>
    <row r="204">
      <c r="A204" s="16" t="inlineStr">
        <is>
          <t>2025</t>
        </is>
      </c>
      <c r="B204" s="16" t="inlineStr">
        <is>
          <t>&lt;10x</t>
        </is>
      </c>
      <c r="C204" s="89" t="n">
        <v>9</v>
      </c>
      <c r="D204" s="100" t="n">
        <v>0.8</v>
      </c>
      <c r="E204" s="94" t="n">
        <v>56</v>
      </c>
    </row>
    <row r="205">
      <c r="A205" s="16" t="inlineStr">
        <is>
          <t>2025</t>
        </is>
      </c>
      <c r="B205" s="16" t="inlineStr">
        <is>
          <t>&gt;=1000x</t>
        </is>
      </c>
      <c r="C205" s="89" t="n">
        <v>39</v>
      </c>
      <c r="D205" s="100" t="n">
        <v>78.7</v>
      </c>
      <c r="E205" s="94" t="n">
        <v>92</v>
      </c>
    </row>
    <row r="206">
      <c r="A206" s="16" t="inlineStr">
        <is>
          <t>2026</t>
        </is>
      </c>
      <c r="B206" s="16" t="inlineStr">
        <is>
          <t>10-100x</t>
        </is>
      </c>
      <c r="C206" s="89" t="n">
        <v>9</v>
      </c>
      <c r="D206" s="100" t="n">
        <v>-2</v>
      </c>
      <c r="E206" s="94" t="n">
        <v>33</v>
      </c>
    </row>
    <row r="207">
      <c r="A207" s="16" t="inlineStr">
        <is>
          <t>2026</t>
        </is>
      </c>
      <c r="B207" s="16" t="inlineStr">
        <is>
          <t>100-1000x</t>
        </is>
      </c>
      <c r="C207" s="89" t="n">
        <v>30</v>
      </c>
      <c r="D207" s="100" t="n">
        <v>3.6</v>
      </c>
      <c r="E207" s="94" t="n">
        <v>60</v>
      </c>
    </row>
    <row r="208">
      <c r="A208" s="16" t="inlineStr">
        <is>
          <t>2026</t>
        </is>
      </c>
      <c r="B208" s="16" t="inlineStr">
        <is>
          <t>&lt;10x</t>
        </is>
      </c>
      <c r="C208" s="89" t="n">
        <v>5</v>
      </c>
      <c r="D208" s="100" t="n">
        <v>-0.1</v>
      </c>
      <c r="E208" s="94" t="n">
        <v>40</v>
      </c>
    </row>
    <row r="209">
      <c r="A209" s="16" t="inlineStr">
        <is>
          <t>2026</t>
        </is>
      </c>
      <c r="B209" s="16" t="inlineStr">
        <is>
          <t>&gt;=1000x</t>
        </is>
      </c>
      <c r="C209" s="89" t="n">
        <v>59</v>
      </c>
      <c r="D209" s="100" t="n">
        <v>76.2</v>
      </c>
      <c r="E209" s="94" t="n">
        <v>90</v>
      </c>
    </row>
  </sheetData>
  <pageMargins left="0.75" right="0.75" top="1" bottom="1" header="0.5" footer="0.5"/>
</worksheet>
</file>

<file path=xl/worksheets/sheet9.xml><?xml version="1.0" encoding="utf-8"?>
<worksheet xmlns="http://schemas.openxmlformats.org/spreadsheetml/2006/main">
  <sheetPr>
    <tabColor rgb="00BFBFBF"/>
    <outlinePr summaryBelow="1" summaryRight="1"/>
    <pageSetUpPr/>
  </sheetPr>
  <dimension ref="A1:I28"/>
  <sheetViews>
    <sheetView workbookViewId="0">
      <selection activeCell="A1" sqref="A1"/>
    </sheetView>
  </sheetViews>
  <sheetFormatPr baseColWidth="8" defaultRowHeight="15"/>
  <cols>
    <col width="8" customWidth="1" min="1" max="1"/>
    <col width="26" customWidth="1" min="2" max="2"/>
    <col width="11" customWidth="1" min="3" max="3"/>
    <col width="12" customWidth="1" min="4" max="4"/>
    <col width="22" customWidth="1" min="5" max="5"/>
  </cols>
  <sheetData>
    <row r="1">
      <c r="A1" s="1" t="inlineStr">
        <is>
          <t>SIZE BENCHMARKS</t>
        </is>
      </c>
    </row>
    <row r="2">
      <c r="A2" s="2" t="inlineStr">
        <is>
          <t>bucket thresholds are INPUT-BLUE (README weights section explains) — counts recompute</t>
        </is>
      </c>
    </row>
    <row r="3"/>
    <row r="4">
      <c r="A4" s="14" t="inlineStr">
        <is>
          <t>Bucket</t>
        </is>
      </c>
      <c r="B4" s="14" t="inlineStr">
        <is>
          <t>Min HK$m</t>
        </is>
      </c>
      <c r="D4" s="12" t="inlineStr">
        <is>
          <t>Year</t>
        </is>
      </c>
      <c r="E4" s="12" t="inlineStr">
        <is>
          <t>Mega</t>
        </is>
      </c>
      <c r="F4" s="12" t="inlineStr">
        <is>
          <t>Large</t>
        </is>
      </c>
      <c r="G4" s="12" t="inlineStr">
        <is>
          <t>Mid</t>
        </is>
      </c>
      <c r="H4" s="12" t="inlineStr">
        <is>
          <t>Small</t>
        </is>
      </c>
      <c r="I4" s="12" t="inlineStr">
        <is>
          <t>Sum HK$bn</t>
        </is>
      </c>
    </row>
    <row r="5">
      <c r="A5" s="16" t="inlineStr">
        <is>
          <t>Mega</t>
        </is>
      </c>
      <c r="B5" s="19" t="n">
        <v>20000</v>
      </c>
      <c r="D5" s="102" t="inlineStr">
        <is>
          <t>2021</t>
        </is>
      </c>
      <c r="E5" s="44">
        <f>COUNTIFS(Database!$H$5:$H$518,"&gt;="&amp;DATE(2021,1,1),Database!$H$5:$H$518,"&lt;="&amp;DATE(2021,12,31),Database!$I$5:$I$518,"&gt;="&amp;$B$5)</f>
        <v/>
      </c>
      <c r="F5" s="44">
        <f>COUNTIFS(Database!$H$5:$H$518,"&gt;="&amp;DATE(2021,1,1),Database!$H$5:$H$518,"&lt;="&amp;DATE(2021,12,31),Database!$I$5:$I$518,"&gt;="&amp;$B$6,Database!$I$5:$I$518,"&lt;"&amp;$B$5)</f>
        <v/>
      </c>
      <c r="G5" s="44">
        <f>COUNTIFS(Database!$H$5:$H$518,"&gt;="&amp;DATE(2021,1,1),Database!$H$5:$H$518,"&lt;="&amp;DATE(2021,12,31),Database!$I$5:$I$518,"&gt;="&amp;$B$7,Database!$I$5:$I$518,"&lt;"&amp;$B$6)</f>
        <v/>
      </c>
      <c r="H5" s="44">
        <f>COUNTIFS(Database!$H$5:$H$518,"&gt;="&amp;DATE(2021,1,1),Database!$H$5:$H$518,"&lt;="&amp;DATE(2021,12,31),Database!$I$5:$I$518,"&gt;="&amp;$B$8,Database!$I$5:$I$518,"&lt;"&amp;$B$7)</f>
        <v/>
      </c>
      <c r="I5" s="26">
        <f>SUMIFS(Database!$I$5:$I$518,Database!$H$5:$H$518,"&gt;="&amp;DATE(2021,1,1),Database!$H$5:$H$518,"&lt;="&amp;DATE(2021,12,31))/1000</f>
        <v/>
      </c>
    </row>
    <row r="6">
      <c r="A6" s="16" t="inlineStr">
        <is>
          <t>Large</t>
        </is>
      </c>
      <c r="B6" s="19" t="n">
        <v>5000</v>
      </c>
      <c r="D6" s="102" t="inlineStr">
        <is>
          <t>2022</t>
        </is>
      </c>
      <c r="E6" s="44">
        <f>COUNTIFS(Database!$H$5:$H$518,"&gt;="&amp;DATE(2022,1,1),Database!$H$5:$H$518,"&lt;="&amp;DATE(2022,12,31),Database!$I$5:$I$518,"&gt;="&amp;$B$5)</f>
        <v/>
      </c>
      <c r="F6" s="44">
        <f>COUNTIFS(Database!$H$5:$H$518,"&gt;="&amp;DATE(2022,1,1),Database!$H$5:$H$518,"&lt;="&amp;DATE(2022,12,31),Database!$I$5:$I$518,"&gt;="&amp;$B$6,Database!$I$5:$I$518,"&lt;"&amp;$B$5)</f>
        <v/>
      </c>
      <c r="G6" s="44">
        <f>COUNTIFS(Database!$H$5:$H$518,"&gt;="&amp;DATE(2022,1,1),Database!$H$5:$H$518,"&lt;="&amp;DATE(2022,12,31),Database!$I$5:$I$518,"&gt;="&amp;$B$7,Database!$I$5:$I$518,"&lt;"&amp;$B$6)</f>
        <v/>
      </c>
      <c r="H6" s="44">
        <f>COUNTIFS(Database!$H$5:$H$518,"&gt;="&amp;DATE(2022,1,1),Database!$H$5:$H$518,"&lt;="&amp;DATE(2022,12,31),Database!$I$5:$I$518,"&gt;="&amp;$B$8,Database!$I$5:$I$518,"&lt;"&amp;$B$7)</f>
        <v/>
      </c>
      <c r="I6" s="26">
        <f>SUMIFS(Database!$I$5:$I$518,Database!$H$5:$H$518,"&gt;="&amp;DATE(2022,1,1),Database!$H$5:$H$518,"&lt;="&amp;DATE(2022,12,31))/1000</f>
        <v/>
      </c>
    </row>
    <row r="7">
      <c r="A7" s="16" t="inlineStr">
        <is>
          <t>Mid</t>
        </is>
      </c>
      <c r="B7" s="19" t="n">
        <v>1000</v>
      </c>
      <c r="D7" s="102" t="inlineStr">
        <is>
          <t>2023</t>
        </is>
      </c>
      <c r="E7" s="44">
        <f>COUNTIFS(Database!$H$5:$H$518,"&gt;="&amp;DATE(2023,1,1),Database!$H$5:$H$518,"&lt;="&amp;DATE(2023,12,31),Database!$I$5:$I$518,"&gt;="&amp;$B$5)</f>
        <v/>
      </c>
      <c r="F7" s="44">
        <f>COUNTIFS(Database!$H$5:$H$518,"&gt;="&amp;DATE(2023,1,1),Database!$H$5:$H$518,"&lt;="&amp;DATE(2023,12,31),Database!$I$5:$I$518,"&gt;="&amp;$B$6,Database!$I$5:$I$518,"&lt;"&amp;$B$5)</f>
        <v/>
      </c>
      <c r="G7" s="44">
        <f>COUNTIFS(Database!$H$5:$H$518,"&gt;="&amp;DATE(2023,1,1),Database!$H$5:$H$518,"&lt;="&amp;DATE(2023,12,31),Database!$I$5:$I$518,"&gt;="&amp;$B$7,Database!$I$5:$I$518,"&lt;"&amp;$B$6)</f>
        <v/>
      </c>
      <c r="H7" s="44">
        <f>COUNTIFS(Database!$H$5:$H$518,"&gt;="&amp;DATE(2023,1,1),Database!$H$5:$H$518,"&lt;="&amp;DATE(2023,12,31),Database!$I$5:$I$518,"&gt;="&amp;$B$8,Database!$I$5:$I$518,"&lt;"&amp;$B$7)</f>
        <v/>
      </c>
      <c r="I7" s="26">
        <f>SUMIFS(Database!$I$5:$I$518,Database!$H$5:$H$518,"&gt;="&amp;DATE(2023,1,1),Database!$H$5:$H$518,"&lt;="&amp;DATE(2023,12,31))/1000</f>
        <v/>
      </c>
    </row>
    <row r="8">
      <c r="A8" s="16" t="inlineStr">
        <is>
          <t>Small</t>
        </is>
      </c>
      <c r="B8" s="19" t="n">
        <v>0</v>
      </c>
      <c r="D8" s="102" t="inlineStr">
        <is>
          <t>2024</t>
        </is>
      </c>
      <c r="E8" s="44">
        <f>COUNTIFS(Database!$H$5:$H$518,"&gt;="&amp;DATE(2024,1,1),Database!$H$5:$H$518,"&lt;="&amp;DATE(2024,12,31),Database!$I$5:$I$518,"&gt;="&amp;$B$5)</f>
        <v/>
      </c>
      <c r="F8" s="44">
        <f>COUNTIFS(Database!$H$5:$H$518,"&gt;="&amp;DATE(2024,1,1),Database!$H$5:$H$518,"&lt;="&amp;DATE(2024,12,31),Database!$I$5:$I$518,"&gt;="&amp;$B$6,Database!$I$5:$I$518,"&lt;"&amp;$B$5)</f>
        <v/>
      </c>
      <c r="G8" s="44">
        <f>COUNTIFS(Database!$H$5:$H$518,"&gt;="&amp;DATE(2024,1,1),Database!$H$5:$H$518,"&lt;="&amp;DATE(2024,12,31),Database!$I$5:$I$518,"&gt;="&amp;$B$7,Database!$I$5:$I$518,"&lt;"&amp;$B$6)</f>
        <v/>
      </c>
      <c r="H8" s="44">
        <f>COUNTIFS(Database!$H$5:$H$518,"&gt;="&amp;DATE(2024,1,1),Database!$H$5:$H$518,"&lt;="&amp;DATE(2024,12,31),Database!$I$5:$I$518,"&gt;="&amp;$B$8,Database!$I$5:$I$518,"&lt;"&amp;$B$7)</f>
        <v/>
      </c>
      <c r="I8" s="26">
        <f>SUMIFS(Database!$I$5:$I$518,Database!$H$5:$H$518,"&gt;="&amp;DATE(2024,1,1),Database!$H$5:$H$518,"&lt;="&amp;DATE(2024,12,31))/1000</f>
        <v/>
      </c>
    </row>
    <row r="9">
      <c r="D9" s="102" t="inlineStr">
        <is>
          <t>2025</t>
        </is>
      </c>
      <c r="E9" s="44">
        <f>COUNTIFS(Database!$H$5:$H$518,"&gt;="&amp;DATE(2025,1,1),Database!$H$5:$H$518,"&lt;="&amp;DATE(2025,12,31),Database!$I$5:$I$518,"&gt;="&amp;$B$5)</f>
        <v/>
      </c>
      <c r="F9" s="44">
        <f>COUNTIFS(Database!$H$5:$H$518,"&gt;="&amp;DATE(2025,1,1),Database!$H$5:$H$518,"&lt;="&amp;DATE(2025,12,31),Database!$I$5:$I$518,"&gt;="&amp;$B$6,Database!$I$5:$I$518,"&lt;"&amp;$B$5)</f>
        <v/>
      </c>
      <c r="G9" s="44">
        <f>COUNTIFS(Database!$H$5:$H$518,"&gt;="&amp;DATE(2025,1,1),Database!$H$5:$H$518,"&lt;="&amp;DATE(2025,12,31),Database!$I$5:$I$518,"&gt;="&amp;$B$7,Database!$I$5:$I$518,"&lt;"&amp;$B$6)</f>
        <v/>
      </c>
      <c r="H9" s="44">
        <f>COUNTIFS(Database!$H$5:$H$518,"&gt;="&amp;DATE(2025,1,1),Database!$H$5:$H$518,"&lt;="&amp;DATE(2025,12,31),Database!$I$5:$I$518,"&gt;="&amp;$B$8,Database!$I$5:$I$518,"&lt;"&amp;$B$7)</f>
        <v/>
      </c>
      <c r="I9" s="26">
        <f>SUMIFS(Database!$I$5:$I$518,Database!$H$5:$H$518,"&gt;="&amp;DATE(2025,1,1),Database!$H$5:$H$518,"&lt;="&amp;DATE(2025,12,31))/1000</f>
        <v/>
      </c>
    </row>
    <row r="10">
      <c r="D10" s="102" t="inlineStr">
        <is>
          <t>2026</t>
        </is>
      </c>
      <c r="E10" s="44">
        <f>COUNTIFS(Database!$H$5:$H$518,"&gt;="&amp;DATE(2026,1,1),Database!$H$5:$H$518,"&lt;="&amp;DATE(2026,12,31),Database!$I$5:$I$518,"&gt;="&amp;$B$5)</f>
        <v/>
      </c>
      <c r="F10" s="44">
        <f>COUNTIFS(Database!$H$5:$H$518,"&gt;="&amp;DATE(2026,1,1),Database!$H$5:$H$518,"&lt;="&amp;DATE(2026,12,31),Database!$I$5:$I$518,"&gt;="&amp;$B$6,Database!$I$5:$I$518,"&lt;"&amp;$B$5)</f>
        <v/>
      </c>
      <c r="G10" s="44">
        <f>COUNTIFS(Database!$H$5:$H$518,"&gt;="&amp;DATE(2026,1,1),Database!$H$5:$H$518,"&lt;="&amp;DATE(2026,12,31),Database!$I$5:$I$518,"&gt;="&amp;$B$7,Database!$I$5:$I$518,"&lt;"&amp;$B$6)</f>
        <v/>
      </c>
      <c r="H10" s="44">
        <f>COUNTIFS(Database!$H$5:$H$518,"&gt;="&amp;DATE(2026,1,1),Database!$H$5:$H$518,"&lt;="&amp;DATE(2026,12,31),Database!$I$5:$I$518,"&gt;="&amp;$B$8,Database!$I$5:$I$518,"&lt;"&amp;$B$7)</f>
        <v/>
      </c>
      <c r="I10" s="26">
        <f>SUMIFS(Database!$I$5:$I$518,Database!$H$5:$H$518,"&gt;="&amp;DATE(2026,1,1),Database!$H$5:$H$518,"&lt;="&amp;DATE(2026,12,31))/1000</f>
        <v/>
      </c>
    </row>
    <row r="11"/>
    <row r="12">
      <c r="A12" s="14" t="inlineStr">
        <is>
          <t>MEGA-DEAL PRECEDENTS (top 15 by proceeds)</t>
        </is>
      </c>
    </row>
    <row r="13">
      <c r="A13" s="12" t="inlineStr">
        <is>
          <t>Code</t>
        </is>
      </c>
      <c r="B13" s="12" t="inlineStr">
        <is>
          <t>Name</t>
        </is>
      </c>
      <c r="C13" s="12" t="inlineStr">
        <is>
          <t>IPO date</t>
        </is>
      </c>
      <c r="D13" s="12" t="inlineStr">
        <is>
          <t>HK$m</t>
        </is>
      </c>
      <c r="E13" s="12" t="inlineStr">
        <is>
          <t>Subsector</t>
        </is>
      </c>
    </row>
    <row r="14">
      <c r="A14" s="91" t="inlineStr">
        <is>
          <t>3308</t>
        </is>
      </c>
      <c r="B14" s="16" t="inlineStr">
        <is>
          <t>ZJ INNOLIGHT</t>
        </is>
      </c>
      <c r="C14" s="98" t="inlineStr">
        <is>
          <t>2026-07-30</t>
        </is>
      </c>
      <c r="D14" s="97" t="n">
        <v>53410</v>
      </c>
      <c r="E14" s="16" t="inlineStr">
        <is>
          <t>Smart hardware / consumer electronics</t>
        </is>
      </c>
    </row>
    <row r="15">
      <c r="A15" s="91" t="inlineStr">
        <is>
          <t>1024</t>
        </is>
      </c>
      <c r="B15" s="16" t="inlineStr">
        <is>
          <t>KUAISHOU-W</t>
        </is>
      </c>
      <c r="C15" s="98" t="inlineStr">
        <is>
          <t>2021-02-05</t>
        </is>
      </c>
      <c r="D15" s="97" t="n">
        <v>42000.1</v>
      </c>
      <c r="E15" s="16" t="inlineStr">
        <is>
          <t>Internet platform / e-commerce</t>
        </is>
      </c>
    </row>
    <row r="16">
      <c r="A16" s="91" t="inlineStr">
        <is>
          <t>3750</t>
        </is>
      </c>
      <c r="B16" s="16" t="inlineStr">
        <is>
          <t>CATL</t>
        </is>
      </c>
      <c r="C16" s="98" t="inlineStr">
        <is>
          <t>2025-05-20</t>
        </is>
      </c>
      <c r="D16" s="97" t="n">
        <v>35657.2</v>
      </c>
      <c r="E16" s="16" t="inlineStr">
        <is>
          <t>Batteries / energy storage</t>
        </is>
      </c>
    </row>
    <row r="17">
      <c r="A17" s="91" t="inlineStr">
        <is>
          <t>0300</t>
        </is>
      </c>
      <c r="B17" s="16" t="inlineStr">
        <is>
          <t>MIDEA GROUP</t>
        </is>
      </c>
      <c r="C17" s="98" t="inlineStr">
        <is>
          <t>2024-09-17</t>
        </is>
      </c>
      <c r="D17" s="97" t="n">
        <v>31014</v>
      </c>
      <c r="E17" s="16" t="inlineStr">
        <is>
          <t>Smart hardware / consumer electronics</t>
        </is>
      </c>
    </row>
    <row r="18">
      <c r="A18" s="91" t="inlineStr">
        <is>
          <t>2259</t>
        </is>
      </c>
      <c r="B18" s="16" t="inlineStr">
        <is>
          <t>ZIJIN GOLD INTL</t>
        </is>
      </c>
      <c r="C18" s="98" t="inlineStr">
        <is>
          <t>2025-09-30</t>
        </is>
      </c>
      <c r="D18" s="97" t="n">
        <v>24984.2</v>
      </c>
      <c r="E18" s="16" t="inlineStr">
        <is>
          <t>Mining / metals</t>
        </is>
      </c>
    </row>
    <row r="19">
      <c r="A19" s="91" t="inlineStr">
        <is>
          <t>2618</t>
        </is>
      </c>
      <c r="B19" s="16" t="inlineStr">
        <is>
          <t>JD LOGISTICS</t>
        </is>
      </c>
      <c r="C19" s="98" t="inlineStr">
        <is>
          <t>2021-05-28</t>
        </is>
      </c>
      <c r="D19" s="97" t="n">
        <v>24585.7</v>
      </c>
      <c r="E19" s="16" t="inlineStr">
        <is>
          <t>Logistics</t>
        </is>
      </c>
    </row>
    <row r="20">
      <c r="A20" s="91" t="inlineStr">
        <is>
          <t>2475</t>
        </is>
      </c>
      <c r="B20" s="16" t="inlineStr">
        <is>
          <t>LUXSHARE ICT</t>
        </is>
      </c>
      <c r="C20" s="98" t="inlineStr">
        <is>
          <t>2026-07-09</t>
        </is>
      </c>
      <c r="D20" s="97" t="n">
        <v>24266.2</v>
      </c>
      <c r="E20" s="16" t="inlineStr">
        <is>
          <t>Smart hardware / consumer electronics</t>
        </is>
      </c>
    </row>
    <row r="21">
      <c r="A21" s="91" t="inlineStr">
        <is>
          <t>9888</t>
        </is>
      </c>
      <c r="B21" s="16" t="inlineStr">
        <is>
          <t>BIDU-SW</t>
        </is>
      </c>
      <c r="C21" s="98" t="inlineStr">
        <is>
          <t>2021-03-23</t>
        </is>
      </c>
      <c r="D21" s="97" t="n">
        <v>23940</v>
      </c>
      <c r="E21" s="16" t="inlineStr">
        <is>
          <t>Internet platform / e-commerce</t>
        </is>
      </c>
    </row>
    <row r="22">
      <c r="A22" s="91" t="inlineStr">
        <is>
          <t>9626</t>
        </is>
      </c>
      <c r="B22" s="16" t="inlineStr">
        <is>
          <t>BILIBILI-SW</t>
        </is>
      </c>
      <c r="C22" s="98" t="inlineStr">
        <is>
          <t>2021-03-29</t>
        </is>
      </c>
      <c r="D22" s="97" t="n">
        <v>20200</v>
      </c>
      <c r="E22" s="16" t="inlineStr">
        <is>
          <t>Internet platform / e-commerce</t>
        </is>
      </c>
    </row>
    <row r="23">
      <c r="A23" s="91" t="inlineStr">
        <is>
          <t>2476</t>
        </is>
      </c>
      <c r="B23" s="16" t="inlineStr">
        <is>
          <t>VGT</t>
        </is>
      </c>
      <c r="C23" s="98" t="inlineStr">
        <is>
          <t>2026-04-21</t>
        </is>
      </c>
      <c r="D23" s="97" t="n">
        <v>20117</v>
      </c>
      <c r="E23" s="16" t="inlineStr">
        <is>
          <t>Smart hardware / consumer electronics</t>
        </is>
      </c>
    </row>
    <row r="24">
      <c r="A24" s="91" t="inlineStr">
        <is>
          <t>2378</t>
        </is>
      </c>
      <c r="B24" s="16" t="inlineStr">
        <is>
          <t>PRU</t>
        </is>
      </c>
      <c r="C24" s="98" t="inlineStr">
        <is>
          <t>2021-10-04</t>
        </is>
      </c>
      <c r="D24" s="97" t="n">
        <v>18500</v>
      </c>
      <c r="E24" s="16" t="inlineStr">
        <is>
          <t>Insurance</t>
        </is>
      </c>
    </row>
    <row r="25">
      <c r="A25" s="91" t="inlineStr">
        <is>
          <t>1880</t>
        </is>
      </c>
      <c r="B25" s="16" t="inlineStr">
        <is>
          <t>CTG DUTY-FREE</t>
        </is>
      </c>
      <c r="C25" s="98" t="inlineStr">
        <is>
          <t>2022-08-25</t>
        </is>
      </c>
      <c r="D25" s="97" t="n">
        <v>16236.4</v>
      </c>
      <c r="E25" s="16" t="inlineStr">
        <is>
          <t>Retail / distribution</t>
        </is>
      </c>
    </row>
    <row r="26">
      <c r="A26" s="91" t="inlineStr">
        <is>
          <t>9927</t>
        </is>
      </c>
      <c r="B26" s="16" t="inlineStr">
        <is>
          <t>SERES</t>
        </is>
      </c>
      <c r="C26" s="98" t="inlineStr">
        <is>
          <t>2025-11-05</t>
        </is>
      </c>
      <c r="D26" s="97" t="n">
        <v>14283.4</v>
      </c>
      <c r="E26" s="16" t="inlineStr">
        <is>
          <t>Autos (NEV OEM)</t>
        </is>
      </c>
    </row>
    <row r="27">
      <c r="A27" s="91" t="inlineStr">
        <is>
          <t>9868</t>
        </is>
      </c>
      <c r="B27" s="16" t="inlineStr">
        <is>
          <t>XPENG-W</t>
        </is>
      </c>
      <c r="C27" s="98" t="inlineStr">
        <is>
          <t>2021-07-07</t>
        </is>
      </c>
      <c r="D27" s="97" t="n">
        <v>14025</v>
      </c>
      <c r="E27" s="16" t="inlineStr">
        <is>
          <t>Autos (NEV OEM)</t>
        </is>
      </c>
    </row>
    <row r="28">
      <c r="A28" s="91" t="inlineStr">
        <is>
          <t>0625</t>
        </is>
      </c>
      <c r="B28" s="16" t="inlineStr">
        <is>
          <t>SHEIN-W</t>
        </is>
      </c>
      <c r="C28" s="98" t="inlineStr">
        <is>
          <t>2026-09-01</t>
        </is>
      </c>
      <c r="D28" s="97" t="n">
        <v>13596.4</v>
      </c>
      <c r="E28" s="16" t="inlineStr">
        <is>
          <t>Apparel / luxury</t>
        </is>
      </c>
    </row>
  </sheetData>
  <pageMargins left="0.75" right="0.75" top="1" bottom="1" header="0.5" footer="0.5"/>
</worksheet>
</file>

<file path=xl/worksheets/sheet10.xml><?xml version="1.0" encoding="utf-8"?>
<worksheet xmlns="http://schemas.openxmlformats.org/spreadsheetml/2006/main">
  <sheetPr>
    <tabColor rgb="00ED7D31"/>
    <outlinePr summaryBelow="1" summaryRight="1"/>
    <pageSetUpPr/>
  </sheetPr>
  <dimension ref="A1:T520"/>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2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5" customWidth="1" min="16" max="16"/>
    <col width="15" customWidth="1" min="17" max="17"/>
    <col width="15" customWidth="1" min="18" max="18"/>
    <col width="15" customWidth="1" min="19" max="19"/>
    <col width="15" customWidth="1" min="20" max="20"/>
  </cols>
  <sheetData>
    <row r="1">
      <c r="A1" s="1" t="inlineStr">
        <is>
          <t>BLOOMBERG CROSS-CHECK — terminal only</t>
        </is>
      </c>
    </row>
    <row r="2">
      <c r="A2" s="2" t="inlineStr">
        <is>
          <t>Column B pulls each deal's Bloomberg IPO order ID (EQUITY_OFFERINGS); the columns after it feed off that ID. Compare against the scraped columns pulled in from the Database. 511 BDS calls are heavy — let it run once, then Paste-Special values if you want it static.</t>
        </is>
      </c>
    </row>
    <row r="3"/>
    <row r="4">
      <c r="A4" s="12" t="inlineStr">
        <is>
          <t>Code / Name</t>
        </is>
      </c>
      <c r="B4" s="12" t="inlineStr">
        <is>
          <t>BBG IPO order ID</t>
        </is>
      </c>
      <c r="C4" s="12" t="inlineStr">
        <is>
          <t>Retail o/sub CP036</t>
        </is>
      </c>
      <c r="D4" s="12" t="inlineStr">
        <is>
          <t>Scraped public sub</t>
        </is>
      </c>
      <c r="E4" s="12" t="inlineStr">
        <is>
          <t>Instn o/sub CP037</t>
        </is>
      </c>
      <c r="F4" s="12" t="inlineStr">
        <is>
          <t>Scraped intl sub</t>
        </is>
      </c>
      <c r="G4" s="12" t="inlineStr">
        <is>
          <t>Greenshoe facility</t>
        </is>
      </c>
      <c r="H4" s="12" t="inlineStr">
        <is>
          <t>Shoe exercised (BBG)</t>
        </is>
      </c>
      <c r="I4" s="12" t="inlineStr">
        <is>
          <t>Shoe outcome (scraped)</t>
        </is>
      </c>
      <c r="J4" s="12" t="inlineStr">
        <is>
          <t>Current P/E (BBG)</t>
        </is>
      </c>
      <c r="K4" s="12" t="inlineStr">
        <is>
          <t>A/H conversion (BBG)</t>
        </is>
      </c>
      <c r="L4" s="12" t="inlineStr">
        <is>
          <t>A-share (scraped)</t>
        </is>
      </c>
      <c r="M4" s="12" t="inlineStr">
        <is>
          <t>Mkt cap at listing (BBG)</t>
        </is>
      </c>
      <c r="N4" s="12" t="inlineStr">
        <is>
          <t>Mkt cap (scraped)</t>
        </is>
      </c>
      <c r="O4" s="12" t="inlineStr">
        <is>
          <t>P/E at listing (BBG)</t>
        </is>
      </c>
      <c r="P4" s="12" t="inlineStr">
        <is>
          <t>P/E at IPO (scraped)</t>
        </is>
      </c>
      <c r="Q4" s="12" t="inlineStr">
        <is>
          <t>A-share P/E at H-IPO (BBG)</t>
        </is>
      </c>
      <c r="R4" s="12" t="inlineStr">
        <is>
          <t>HSAHP Index at IPO (BBG)</t>
        </is>
      </c>
      <c r="S4" s="12" t="inlineStr">
        <is>
          <t>P/S today (BBG)</t>
        </is>
      </c>
      <c r="T4" s="12" t="inlineStr">
        <is>
          <t>A-share mkt cap now (BBG)</t>
        </is>
      </c>
    </row>
    <row r="5">
      <c r="A5" s="16">
        <f>Database!A5&amp;"  "&amp;Database!B5</f>
        <v/>
      </c>
      <c r="B5" s="10">
        <f>IFERROR(INDEX(BDS(Database!$A5&amp;" HK Equity","EQUITY_OFFERINGS","array=t","endcol=1"),MATCH("IPO",BDS(Database!$A5&amp;" HK Equity","EQUITY_OFFERINGS","array=t","startcol=2","endcol=2"),0)),"")</f>
        <v/>
      </c>
      <c r="C5" s="103">
        <f>IF($B5="","",IFERROR(BDP($B5&amp;" Action","CP036"),""))</f>
        <v/>
      </c>
      <c r="D5" s="104">
        <f>Database!S5</f>
        <v/>
      </c>
      <c r="E5" s="103">
        <f>IF($B5="","",IFERROR(BDP($B5&amp;" Action","CP037"),""))</f>
        <v/>
      </c>
      <c r="F5" s="104">
        <f>Database!T5</f>
        <v/>
      </c>
      <c r="G5" s="103">
        <f>IF($B5="","",IFERROR(BDP($B5&amp;" Action","GREENSHOE_FACILITY"),""))</f>
        <v/>
      </c>
      <c r="H5" s="103">
        <f>IF($B5="","",IFERROR(BDP($B5&amp;" Action","OFFERING_GREENSHOE_SHARES_EX"),""))</f>
        <v/>
      </c>
      <c r="I5" s="16">
        <f>Database!AG5</f>
        <v/>
      </c>
      <c r="J5" s="24">
        <f>IFERROR(BDP(Database!$A5&amp;" HK Equity","PE_RATIO"),"")</f>
        <v/>
      </c>
      <c r="K5" s="10">
        <f>IFERROR(BDP(Database!$A5&amp;" HK Equity","A/H_SHARE_CONVERSION"),"")</f>
        <v/>
      </c>
      <c r="L5" s="16">
        <f>IF(Database!BL5="","(none found)",Database!BL5)</f>
        <v/>
      </c>
      <c r="M5" s="18">
        <f>IFERROR(BDH(Database!$A5&amp;" HK Equity","CUR_MKT_CAP",Database!$H5,Database!$H5),"")</f>
        <v/>
      </c>
      <c r="N5" s="97">
        <f>Database!Q5</f>
        <v/>
      </c>
      <c r="O5" s="24">
        <f>IFERROR(BDH(Database!$A5&amp;" HK Equity","PE_RATIO",Database!$H5,Database!$H5),"")</f>
        <v/>
      </c>
      <c r="P5" s="101">
        <f>IF(Database!BF5="","(n/m or not derivable)",Database!BF5)</f>
        <v/>
      </c>
      <c r="Q5" s="24">
        <f>IF(Database!BL5="","",IFERROR(BDH(LEFT(Database!BL5,FIND(".",Database!BL5)-1)&amp;" CH Equity","PE_RATIO",Database!$H5,Database!$H5),""))</f>
        <v/>
      </c>
      <c r="R5" s="24">
        <f>IF(Database!BL5="","",IFERROR(BDH("HSAHP Index","PX_LAST",Database!$H5,Database!$H5),""))</f>
        <v/>
      </c>
      <c r="S5" s="24">
        <f>IFERROR(BDP(Database!$A5&amp;" HK Equity","PX_TO_SALES_RATIO"),"")</f>
        <v/>
      </c>
      <c r="T5" s="18">
        <f>IF(Database!BL5="","",IFERROR(BDP(LEFT(Database!BL5,FIND(".",Database!BL5)-1)&amp;" CH Equity","CUR_MKT_CAP"),""))</f>
        <v/>
      </c>
    </row>
    <row r="6">
      <c r="A6" s="16">
        <f>Database!A6&amp;"  "&amp;Database!B6</f>
        <v/>
      </c>
      <c r="B6" s="10">
        <f>IFERROR(INDEX(BDS(Database!$A6&amp;" HK Equity","EQUITY_OFFERINGS","array=t","endcol=1"),MATCH("IPO",BDS(Database!$A6&amp;" HK Equity","EQUITY_OFFERINGS","array=t","startcol=2","endcol=2"),0)),"")</f>
        <v/>
      </c>
      <c r="C6" s="103">
        <f>IF($B6="","",IFERROR(BDP($B6&amp;" Action","CP036"),""))</f>
        <v/>
      </c>
      <c r="D6" s="104">
        <f>Database!S6</f>
        <v/>
      </c>
      <c r="E6" s="103">
        <f>IF($B6="","",IFERROR(BDP($B6&amp;" Action","CP037"),""))</f>
        <v/>
      </c>
      <c r="F6" s="104">
        <f>Database!T6</f>
        <v/>
      </c>
      <c r="G6" s="103">
        <f>IF($B6="","",IFERROR(BDP($B6&amp;" Action","GREENSHOE_FACILITY"),""))</f>
        <v/>
      </c>
      <c r="H6" s="103">
        <f>IF($B6="","",IFERROR(BDP($B6&amp;" Action","OFFERING_GREENSHOE_SHARES_EX"),""))</f>
        <v/>
      </c>
      <c r="I6" s="16">
        <f>Database!AG6</f>
        <v/>
      </c>
      <c r="J6" s="24">
        <f>IFERROR(BDP(Database!$A6&amp;" HK Equity","PE_RATIO"),"")</f>
        <v/>
      </c>
      <c r="K6" s="10">
        <f>IFERROR(BDP(Database!$A6&amp;" HK Equity","A/H_SHARE_CONVERSION"),"")</f>
        <v/>
      </c>
      <c r="L6" s="16">
        <f>IF(Database!BL6="","(none found)",Database!BL6)</f>
        <v/>
      </c>
      <c r="M6" s="18">
        <f>IFERROR(BDH(Database!$A6&amp;" HK Equity","CUR_MKT_CAP",Database!$H6,Database!$H6),"")</f>
        <v/>
      </c>
      <c r="N6" s="97">
        <f>Database!Q6</f>
        <v/>
      </c>
      <c r="O6" s="24">
        <f>IFERROR(BDH(Database!$A6&amp;" HK Equity","PE_RATIO",Database!$H6,Database!$H6),"")</f>
        <v/>
      </c>
      <c r="P6" s="101">
        <f>IF(Database!BF6="","(n/m or not derivable)",Database!BF6)</f>
        <v/>
      </c>
      <c r="Q6" s="24">
        <f>IF(Database!BL6="","",IFERROR(BDH(LEFT(Database!BL6,FIND(".",Database!BL6)-1)&amp;" CH Equity","PE_RATIO",Database!$H6,Database!$H6),""))</f>
        <v/>
      </c>
      <c r="R6" s="24">
        <f>IF(Database!BL6="","",IFERROR(BDH("HSAHP Index","PX_LAST",Database!$H6,Database!$H6),""))</f>
        <v/>
      </c>
      <c r="S6" s="24">
        <f>IFERROR(BDP(Database!$A6&amp;" HK Equity","PX_TO_SALES_RATIO"),"")</f>
        <v/>
      </c>
      <c r="T6" s="18">
        <f>IF(Database!BL6="","",IFERROR(BDP(LEFT(Database!BL6,FIND(".",Database!BL6)-1)&amp;" CH Equity","CUR_MKT_CAP"),""))</f>
        <v/>
      </c>
    </row>
    <row r="7">
      <c r="A7" s="16">
        <f>Database!A7&amp;"  "&amp;Database!B7</f>
        <v/>
      </c>
      <c r="B7" s="10">
        <f>IFERROR(INDEX(BDS(Database!$A7&amp;" HK Equity","EQUITY_OFFERINGS","array=t","endcol=1"),MATCH("IPO",BDS(Database!$A7&amp;" HK Equity","EQUITY_OFFERINGS","array=t","startcol=2","endcol=2"),0)),"")</f>
        <v/>
      </c>
      <c r="C7" s="103">
        <f>IF($B7="","",IFERROR(BDP($B7&amp;" Action","CP036"),""))</f>
        <v/>
      </c>
      <c r="D7" s="104">
        <f>Database!S7</f>
        <v/>
      </c>
      <c r="E7" s="103">
        <f>IF($B7="","",IFERROR(BDP($B7&amp;" Action","CP037"),""))</f>
        <v/>
      </c>
      <c r="F7" s="104">
        <f>Database!T7</f>
        <v/>
      </c>
      <c r="G7" s="103">
        <f>IF($B7="","",IFERROR(BDP($B7&amp;" Action","GREENSHOE_FACILITY"),""))</f>
        <v/>
      </c>
      <c r="H7" s="103">
        <f>IF($B7="","",IFERROR(BDP($B7&amp;" Action","OFFERING_GREENSHOE_SHARES_EX"),""))</f>
        <v/>
      </c>
      <c r="I7" s="16">
        <f>Database!AG7</f>
        <v/>
      </c>
      <c r="J7" s="24">
        <f>IFERROR(BDP(Database!$A7&amp;" HK Equity","PE_RATIO"),"")</f>
        <v/>
      </c>
      <c r="K7" s="10">
        <f>IFERROR(BDP(Database!$A7&amp;" HK Equity","A/H_SHARE_CONVERSION"),"")</f>
        <v/>
      </c>
      <c r="L7" s="16">
        <f>IF(Database!BL7="","(none found)",Database!BL7)</f>
        <v/>
      </c>
      <c r="M7" s="18">
        <f>IFERROR(BDH(Database!$A7&amp;" HK Equity","CUR_MKT_CAP",Database!$H7,Database!$H7),"")</f>
        <v/>
      </c>
      <c r="N7" s="97">
        <f>Database!Q7</f>
        <v/>
      </c>
      <c r="O7" s="24">
        <f>IFERROR(BDH(Database!$A7&amp;" HK Equity","PE_RATIO",Database!$H7,Database!$H7),"")</f>
        <v/>
      </c>
      <c r="P7" s="101">
        <f>IF(Database!BF7="","(n/m or not derivable)",Database!BF7)</f>
        <v/>
      </c>
      <c r="Q7" s="24">
        <f>IF(Database!BL7="","",IFERROR(BDH(LEFT(Database!BL7,FIND(".",Database!BL7)-1)&amp;" CH Equity","PE_RATIO",Database!$H7,Database!$H7),""))</f>
        <v/>
      </c>
      <c r="R7" s="24">
        <f>IF(Database!BL7="","",IFERROR(BDH("HSAHP Index","PX_LAST",Database!$H7,Database!$H7),""))</f>
        <v/>
      </c>
      <c r="S7" s="24">
        <f>IFERROR(BDP(Database!$A7&amp;" HK Equity","PX_TO_SALES_RATIO"),"")</f>
        <v/>
      </c>
      <c r="T7" s="18">
        <f>IF(Database!BL7="","",IFERROR(BDP(LEFT(Database!BL7,FIND(".",Database!BL7)-1)&amp;" CH Equity","CUR_MKT_CAP"),""))</f>
        <v/>
      </c>
    </row>
    <row r="8">
      <c r="A8" s="16">
        <f>Database!A8&amp;"  "&amp;Database!B8</f>
        <v/>
      </c>
      <c r="B8" s="10">
        <f>IFERROR(INDEX(BDS(Database!$A8&amp;" HK Equity","EQUITY_OFFERINGS","array=t","endcol=1"),MATCH("IPO",BDS(Database!$A8&amp;" HK Equity","EQUITY_OFFERINGS","array=t","startcol=2","endcol=2"),0)),"")</f>
        <v/>
      </c>
      <c r="C8" s="103">
        <f>IF($B8="","",IFERROR(BDP($B8&amp;" Action","CP036"),""))</f>
        <v/>
      </c>
      <c r="D8" s="104">
        <f>Database!S8</f>
        <v/>
      </c>
      <c r="E8" s="103">
        <f>IF($B8="","",IFERROR(BDP($B8&amp;" Action","CP037"),""))</f>
        <v/>
      </c>
      <c r="F8" s="104">
        <f>Database!T8</f>
        <v/>
      </c>
      <c r="G8" s="103">
        <f>IF($B8="","",IFERROR(BDP($B8&amp;" Action","GREENSHOE_FACILITY"),""))</f>
        <v/>
      </c>
      <c r="H8" s="103">
        <f>IF($B8="","",IFERROR(BDP($B8&amp;" Action","OFFERING_GREENSHOE_SHARES_EX"),""))</f>
        <v/>
      </c>
      <c r="I8" s="16">
        <f>Database!AG8</f>
        <v/>
      </c>
      <c r="J8" s="24">
        <f>IFERROR(BDP(Database!$A8&amp;" HK Equity","PE_RATIO"),"")</f>
        <v/>
      </c>
      <c r="K8" s="10">
        <f>IFERROR(BDP(Database!$A8&amp;" HK Equity","A/H_SHARE_CONVERSION"),"")</f>
        <v/>
      </c>
      <c r="L8" s="16">
        <f>IF(Database!BL8="","(none found)",Database!BL8)</f>
        <v/>
      </c>
      <c r="M8" s="18">
        <f>IFERROR(BDH(Database!$A8&amp;" HK Equity","CUR_MKT_CAP",Database!$H8,Database!$H8),"")</f>
        <v/>
      </c>
      <c r="N8" s="97">
        <f>Database!Q8</f>
        <v/>
      </c>
      <c r="O8" s="24">
        <f>IFERROR(BDH(Database!$A8&amp;" HK Equity","PE_RATIO",Database!$H8,Database!$H8),"")</f>
        <v/>
      </c>
      <c r="P8" s="101">
        <f>IF(Database!BF8="","(n/m or not derivable)",Database!BF8)</f>
        <v/>
      </c>
      <c r="Q8" s="24">
        <f>IF(Database!BL8="","",IFERROR(BDH(LEFT(Database!BL8,FIND(".",Database!BL8)-1)&amp;" CH Equity","PE_RATIO",Database!$H8,Database!$H8),""))</f>
        <v/>
      </c>
      <c r="R8" s="24">
        <f>IF(Database!BL8="","",IFERROR(BDH("HSAHP Index","PX_LAST",Database!$H8,Database!$H8),""))</f>
        <v/>
      </c>
      <c r="S8" s="24">
        <f>IFERROR(BDP(Database!$A8&amp;" HK Equity","PX_TO_SALES_RATIO"),"")</f>
        <v/>
      </c>
      <c r="T8" s="18">
        <f>IF(Database!BL8="","",IFERROR(BDP(LEFT(Database!BL8,FIND(".",Database!BL8)-1)&amp;" CH Equity","CUR_MKT_CAP"),""))</f>
        <v/>
      </c>
    </row>
    <row r="9">
      <c r="A9" s="16">
        <f>Database!A9&amp;"  "&amp;Database!B9</f>
        <v/>
      </c>
      <c r="B9" s="10">
        <f>IFERROR(INDEX(BDS(Database!$A9&amp;" HK Equity","EQUITY_OFFERINGS","array=t","endcol=1"),MATCH("IPO",BDS(Database!$A9&amp;" HK Equity","EQUITY_OFFERINGS","array=t","startcol=2","endcol=2"),0)),"")</f>
        <v/>
      </c>
      <c r="C9" s="103">
        <f>IF($B9="","",IFERROR(BDP($B9&amp;" Action","CP036"),""))</f>
        <v/>
      </c>
      <c r="D9" s="104">
        <f>Database!S9</f>
        <v/>
      </c>
      <c r="E9" s="103">
        <f>IF($B9="","",IFERROR(BDP($B9&amp;" Action","CP037"),""))</f>
        <v/>
      </c>
      <c r="F9" s="104">
        <f>Database!T9</f>
        <v/>
      </c>
      <c r="G9" s="103">
        <f>IF($B9="","",IFERROR(BDP($B9&amp;" Action","GREENSHOE_FACILITY"),""))</f>
        <v/>
      </c>
      <c r="H9" s="103">
        <f>IF($B9="","",IFERROR(BDP($B9&amp;" Action","OFFERING_GREENSHOE_SHARES_EX"),""))</f>
        <v/>
      </c>
      <c r="I9" s="16">
        <f>Database!AG9</f>
        <v/>
      </c>
      <c r="J9" s="24">
        <f>IFERROR(BDP(Database!$A9&amp;" HK Equity","PE_RATIO"),"")</f>
        <v/>
      </c>
      <c r="K9" s="10">
        <f>IFERROR(BDP(Database!$A9&amp;" HK Equity","A/H_SHARE_CONVERSION"),"")</f>
        <v/>
      </c>
      <c r="L9" s="16">
        <f>IF(Database!BL9="","(none found)",Database!BL9)</f>
        <v/>
      </c>
      <c r="M9" s="18">
        <f>IFERROR(BDH(Database!$A9&amp;" HK Equity","CUR_MKT_CAP",Database!$H9,Database!$H9),"")</f>
        <v/>
      </c>
      <c r="N9" s="97">
        <f>Database!Q9</f>
        <v/>
      </c>
      <c r="O9" s="24">
        <f>IFERROR(BDH(Database!$A9&amp;" HK Equity","PE_RATIO",Database!$H9,Database!$H9),"")</f>
        <v/>
      </c>
      <c r="P9" s="101">
        <f>IF(Database!BF9="","(n/m or not derivable)",Database!BF9)</f>
        <v/>
      </c>
      <c r="Q9" s="24">
        <f>IF(Database!BL9="","",IFERROR(BDH(LEFT(Database!BL9,FIND(".",Database!BL9)-1)&amp;" CH Equity","PE_RATIO",Database!$H9,Database!$H9),""))</f>
        <v/>
      </c>
      <c r="R9" s="24">
        <f>IF(Database!BL9="","",IFERROR(BDH("HSAHP Index","PX_LAST",Database!$H9,Database!$H9),""))</f>
        <v/>
      </c>
      <c r="S9" s="24">
        <f>IFERROR(BDP(Database!$A9&amp;" HK Equity","PX_TO_SALES_RATIO"),"")</f>
        <v/>
      </c>
      <c r="T9" s="18">
        <f>IF(Database!BL9="","",IFERROR(BDP(LEFT(Database!BL9,FIND(".",Database!BL9)-1)&amp;" CH Equity","CUR_MKT_CAP"),""))</f>
        <v/>
      </c>
    </row>
    <row r="10">
      <c r="A10" s="16">
        <f>Database!A10&amp;"  "&amp;Database!B10</f>
        <v/>
      </c>
      <c r="B10" s="10">
        <f>IFERROR(INDEX(BDS(Database!$A10&amp;" HK Equity","EQUITY_OFFERINGS","array=t","endcol=1"),MATCH("IPO",BDS(Database!$A10&amp;" HK Equity","EQUITY_OFFERINGS","array=t","startcol=2","endcol=2"),0)),"")</f>
        <v/>
      </c>
      <c r="C10" s="103">
        <f>IF($B10="","",IFERROR(BDP($B10&amp;" Action","CP036"),""))</f>
        <v/>
      </c>
      <c r="D10" s="104">
        <f>Database!S10</f>
        <v/>
      </c>
      <c r="E10" s="103">
        <f>IF($B10="","",IFERROR(BDP($B10&amp;" Action","CP037"),""))</f>
        <v/>
      </c>
      <c r="F10" s="104">
        <f>Database!T10</f>
        <v/>
      </c>
      <c r="G10" s="103">
        <f>IF($B10="","",IFERROR(BDP($B10&amp;" Action","GREENSHOE_FACILITY"),""))</f>
        <v/>
      </c>
      <c r="H10" s="103">
        <f>IF($B10="","",IFERROR(BDP($B10&amp;" Action","OFFERING_GREENSHOE_SHARES_EX"),""))</f>
        <v/>
      </c>
      <c r="I10" s="16">
        <f>Database!AG10</f>
        <v/>
      </c>
      <c r="J10" s="24">
        <f>IFERROR(BDP(Database!$A10&amp;" HK Equity","PE_RATIO"),"")</f>
        <v/>
      </c>
      <c r="K10" s="10">
        <f>IFERROR(BDP(Database!$A10&amp;" HK Equity","A/H_SHARE_CONVERSION"),"")</f>
        <v/>
      </c>
      <c r="L10" s="16">
        <f>IF(Database!BL10="","(none found)",Database!BL10)</f>
        <v/>
      </c>
      <c r="M10" s="18">
        <f>IFERROR(BDH(Database!$A10&amp;" HK Equity","CUR_MKT_CAP",Database!$H10,Database!$H10),"")</f>
        <v/>
      </c>
      <c r="N10" s="97">
        <f>Database!Q10</f>
        <v/>
      </c>
      <c r="O10" s="24">
        <f>IFERROR(BDH(Database!$A10&amp;" HK Equity","PE_RATIO",Database!$H10,Database!$H10),"")</f>
        <v/>
      </c>
      <c r="P10" s="101">
        <f>IF(Database!BF10="","(n/m or not derivable)",Database!BF10)</f>
        <v/>
      </c>
      <c r="Q10" s="24">
        <f>IF(Database!BL10="","",IFERROR(BDH(LEFT(Database!BL10,FIND(".",Database!BL10)-1)&amp;" CH Equity","PE_RATIO",Database!$H10,Database!$H10),""))</f>
        <v/>
      </c>
      <c r="R10" s="24">
        <f>IF(Database!BL10="","",IFERROR(BDH("HSAHP Index","PX_LAST",Database!$H10,Database!$H10),""))</f>
        <v/>
      </c>
      <c r="S10" s="24">
        <f>IFERROR(BDP(Database!$A10&amp;" HK Equity","PX_TO_SALES_RATIO"),"")</f>
        <v/>
      </c>
      <c r="T10" s="18">
        <f>IF(Database!BL10="","",IFERROR(BDP(LEFT(Database!BL10,FIND(".",Database!BL10)-1)&amp;" CH Equity","CUR_MKT_CAP"),""))</f>
        <v/>
      </c>
    </row>
    <row r="11">
      <c r="A11" s="16">
        <f>Database!A11&amp;"  "&amp;Database!B11</f>
        <v/>
      </c>
      <c r="B11" s="10">
        <f>IFERROR(INDEX(BDS(Database!$A11&amp;" HK Equity","EQUITY_OFFERINGS","array=t","endcol=1"),MATCH("IPO",BDS(Database!$A11&amp;" HK Equity","EQUITY_OFFERINGS","array=t","startcol=2","endcol=2"),0)),"")</f>
        <v/>
      </c>
      <c r="C11" s="103">
        <f>IF($B11="","",IFERROR(BDP($B11&amp;" Action","CP036"),""))</f>
        <v/>
      </c>
      <c r="D11" s="104">
        <f>Database!S11</f>
        <v/>
      </c>
      <c r="E11" s="103">
        <f>IF($B11="","",IFERROR(BDP($B11&amp;" Action","CP037"),""))</f>
        <v/>
      </c>
      <c r="F11" s="104">
        <f>Database!T11</f>
        <v/>
      </c>
      <c r="G11" s="103">
        <f>IF($B11="","",IFERROR(BDP($B11&amp;" Action","GREENSHOE_FACILITY"),""))</f>
        <v/>
      </c>
      <c r="H11" s="103">
        <f>IF($B11="","",IFERROR(BDP($B11&amp;" Action","OFFERING_GREENSHOE_SHARES_EX"),""))</f>
        <v/>
      </c>
      <c r="I11" s="16">
        <f>Database!AG11</f>
        <v/>
      </c>
      <c r="J11" s="24">
        <f>IFERROR(BDP(Database!$A11&amp;" HK Equity","PE_RATIO"),"")</f>
        <v/>
      </c>
      <c r="K11" s="10">
        <f>IFERROR(BDP(Database!$A11&amp;" HK Equity","A/H_SHARE_CONVERSION"),"")</f>
        <v/>
      </c>
      <c r="L11" s="16">
        <f>IF(Database!BL11="","(none found)",Database!BL11)</f>
        <v/>
      </c>
      <c r="M11" s="18">
        <f>IFERROR(BDH(Database!$A11&amp;" HK Equity","CUR_MKT_CAP",Database!$H11,Database!$H11),"")</f>
        <v/>
      </c>
      <c r="N11" s="97">
        <f>Database!Q11</f>
        <v/>
      </c>
      <c r="O11" s="24">
        <f>IFERROR(BDH(Database!$A11&amp;" HK Equity","PE_RATIO",Database!$H11,Database!$H11),"")</f>
        <v/>
      </c>
      <c r="P11" s="101">
        <f>IF(Database!BF11="","(n/m or not derivable)",Database!BF11)</f>
        <v/>
      </c>
      <c r="Q11" s="24">
        <f>IF(Database!BL11="","",IFERROR(BDH(LEFT(Database!BL11,FIND(".",Database!BL11)-1)&amp;" CH Equity","PE_RATIO",Database!$H11,Database!$H11),""))</f>
        <v/>
      </c>
      <c r="R11" s="24">
        <f>IF(Database!BL11="","",IFERROR(BDH("HSAHP Index","PX_LAST",Database!$H11,Database!$H11),""))</f>
        <v/>
      </c>
      <c r="S11" s="24">
        <f>IFERROR(BDP(Database!$A11&amp;" HK Equity","PX_TO_SALES_RATIO"),"")</f>
        <v/>
      </c>
      <c r="T11" s="18">
        <f>IF(Database!BL11="","",IFERROR(BDP(LEFT(Database!BL11,FIND(".",Database!BL11)-1)&amp;" CH Equity","CUR_MKT_CAP"),""))</f>
        <v/>
      </c>
    </row>
    <row r="12">
      <c r="A12" s="16">
        <f>Database!A12&amp;"  "&amp;Database!B12</f>
        <v/>
      </c>
      <c r="B12" s="10">
        <f>IFERROR(INDEX(BDS(Database!$A12&amp;" HK Equity","EQUITY_OFFERINGS","array=t","endcol=1"),MATCH("IPO",BDS(Database!$A12&amp;" HK Equity","EQUITY_OFFERINGS","array=t","startcol=2","endcol=2"),0)),"")</f>
        <v/>
      </c>
      <c r="C12" s="103">
        <f>IF($B12="","",IFERROR(BDP($B12&amp;" Action","CP036"),""))</f>
        <v/>
      </c>
      <c r="D12" s="104">
        <f>Database!S12</f>
        <v/>
      </c>
      <c r="E12" s="103">
        <f>IF($B12="","",IFERROR(BDP($B12&amp;" Action","CP037"),""))</f>
        <v/>
      </c>
      <c r="F12" s="104">
        <f>Database!T12</f>
        <v/>
      </c>
      <c r="G12" s="103">
        <f>IF($B12="","",IFERROR(BDP($B12&amp;" Action","GREENSHOE_FACILITY"),""))</f>
        <v/>
      </c>
      <c r="H12" s="103">
        <f>IF($B12="","",IFERROR(BDP($B12&amp;" Action","OFFERING_GREENSHOE_SHARES_EX"),""))</f>
        <v/>
      </c>
      <c r="I12" s="16">
        <f>Database!AG12</f>
        <v/>
      </c>
      <c r="J12" s="24">
        <f>IFERROR(BDP(Database!$A12&amp;" HK Equity","PE_RATIO"),"")</f>
        <v/>
      </c>
      <c r="K12" s="10">
        <f>IFERROR(BDP(Database!$A12&amp;" HK Equity","A/H_SHARE_CONVERSION"),"")</f>
        <v/>
      </c>
      <c r="L12" s="16">
        <f>IF(Database!BL12="","(none found)",Database!BL12)</f>
        <v/>
      </c>
      <c r="M12" s="18">
        <f>IFERROR(BDH(Database!$A12&amp;" HK Equity","CUR_MKT_CAP",Database!$H12,Database!$H12),"")</f>
        <v/>
      </c>
      <c r="N12" s="97">
        <f>Database!Q12</f>
        <v/>
      </c>
      <c r="O12" s="24">
        <f>IFERROR(BDH(Database!$A12&amp;" HK Equity","PE_RATIO",Database!$H12,Database!$H12),"")</f>
        <v/>
      </c>
      <c r="P12" s="101">
        <f>IF(Database!BF12="","(n/m or not derivable)",Database!BF12)</f>
        <v/>
      </c>
      <c r="Q12" s="24">
        <f>IF(Database!BL12="","",IFERROR(BDH(LEFT(Database!BL12,FIND(".",Database!BL12)-1)&amp;" CH Equity","PE_RATIO",Database!$H12,Database!$H12),""))</f>
        <v/>
      </c>
      <c r="R12" s="24">
        <f>IF(Database!BL12="","",IFERROR(BDH("HSAHP Index","PX_LAST",Database!$H12,Database!$H12),""))</f>
        <v/>
      </c>
      <c r="S12" s="24">
        <f>IFERROR(BDP(Database!$A12&amp;" HK Equity","PX_TO_SALES_RATIO"),"")</f>
        <v/>
      </c>
      <c r="T12" s="18">
        <f>IF(Database!BL12="","",IFERROR(BDP(LEFT(Database!BL12,FIND(".",Database!BL12)-1)&amp;" CH Equity","CUR_MKT_CAP"),""))</f>
        <v/>
      </c>
    </row>
    <row r="13">
      <c r="A13" s="16">
        <f>Database!A13&amp;"  "&amp;Database!B13</f>
        <v/>
      </c>
      <c r="B13" s="10">
        <f>IFERROR(INDEX(BDS(Database!$A13&amp;" HK Equity","EQUITY_OFFERINGS","array=t","endcol=1"),MATCH("IPO",BDS(Database!$A13&amp;" HK Equity","EQUITY_OFFERINGS","array=t","startcol=2","endcol=2"),0)),"")</f>
        <v/>
      </c>
      <c r="C13" s="103">
        <f>IF($B13="","",IFERROR(BDP($B13&amp;" Action","CP036"),""))</f>
        <v/>
      </c>
      <c r="D13" s="104">
        <f>Database!S13</f>
        <v/>
      </c>
      <c r="E13" s="103">
        <f>IF($B13="","",IFERROR(BDP($B13&amp;" Action","CP037"),""))</f>
        <v/>
      </c>
      <c r="F13" s="104">
        <f>Database!T13</f>
        <v/>
      </c>
      <c r="G13" s="103">
        <f>IF($B13="","",IFERROR(BDP($B13&amp;" Action","GREENSHOE_FACILITY"),""))</f>
        <v/>
      </c>
      <c r="H13" s="103">
        <f>IF($B13="","",IFERROR(BDP($B13&amp;" Action","OFFERING_GREENSHOE_SHARES_EX"),""))</f>
        <v/>
      </c>
      <c r="I13" s="16">
        <f>Database!AG13</f>
        <v/>
      </c>
      <c r="J13" s="24">
        <f>IFERROR(BDP(Database!$A13&amp;" HK Equity","PE_RATIO"),"")</f>
        <v/>
      </c>
      <c r="K13" s="10">
        <f>IFERROR(BDP(Database!$A13&amp;" HK Equity","A/H_SHARE_CONVERSION"),"")</f>
        <v/>
      </c>
      <c r="L13" s="16">
        <f>IF(Database!BL13="","(none found)",Database!BL13)</f>
        <v/>
      </c>
      <c r="M13" s="18">
        <f>IFERROR(BDH(Database!$A13&amp;" HK Equity","CUR_MKT_CAP",Database!$H13,Database!$H13),"")</f>
        <v/>
      </c>
      <c r="N13" s="97">
        <f>Database!Q13</f>
        <v/>
      </c>
      <c r="O13" s="24">
        <f>IFERROR(BDH(Database!$A13&amp;" HK Equity","PE_RATIO",Database!$H13,Database!$H13),"")</f>
        <v/>
      </c>
      <c r="P13" s="101">
        <f>IF(Database!BF13="","(n/m or not derivable)",Database!BF13)</f>
        <v/>
      </c>
      <c r="Q13" s="24">
        <f>IF(Database!BL13="","",IFERROR(BDH(LEFT(Database!BL13,FIND(".",Database!BL13)-1)&amp;" CH Equity","PE_RATIO",Database!$H13,Database!$H13),""))</f>
        <v/>
      </c>
      <c r="R13" s="24">
        <f>IF(Database!BL13="","",IFERROR(BDH("HSAHP Index","PX_LAST",Database!$H13,Database!$H13),""))</f>
        <v/>
      </c>
      <c r="S13" s="24">
        <f>IFERROR(BDP(Database!$A13&amp;" HK Equity","PX_TO_SALES_RATIO"),"")</f>
        <v/>
      </c>
      <c r="T13" s="18">
        <f>IF(Database!BL13="","",IFERROR(BDP(LEFT(Database!BL13,FIND(".",Database!BL13)-1)&amp;" CH Equity","CUR_MKT_CAP"),""))</f>
        <v/>
      </c>
    </row>
    <row r="14">
      <c r="A14" s="16">
        <f>Database!A14&amp;"  "&amp;Database!B14</f>
        <v/>
      </c>
      <c r="B14" s="10">
        <f>IFERROR(INDEX(BDS(Database!$A14&amp;" HK Equity","EQUITY_OFFERINGS","array=t","endcol=1"),MATCH("IPO",BDS(Database!$A14&amp;" HK Equity","EQUITY_OFFERINGS","array=t","startcol=2","endcol=2"),0)),"")</f>
        <v/>
      </c>
      <c r="C14" s="103">
        <f>IF($B14="","",IFERROR(BDP($B14&amp;" Action","CP036"),""))</f>
        <v/>
      </c>
      <c r="D14" s="104">
        <f>Database!S14</f>
        <v/>
      </c>
      <c r="E14" s="103">
        <f>IF($B14="","",IFERROR(BDP($B14&amp;" Action","CP037"),""))</f>
        <v/>
      </c>
      <c r="F14" s="104">
        <f>Database!T14</f>
        <v/>
      </c>
      <c r="G14" s="103">
        <f>IF($B14="","",IFERROR(BDP($B14&amp;" Action","GREENSHOE_FACILITY"),""))</f>
        <v/>
      </c>
      <c r="H14" s="103">
        <f>IF($B14="","",IFERROR(BDP($B14&amp;" Action","OFFERING_GREENSHOE_SHARES_EX"),""))</f>
        <v/>
      </c>
      <c r="I14" s="16">
        <f>Database!AG14</f>
        <v/>
      </c>
      <c r="J14" s="24">
        <f>IFERROR(BDP(Database!$A14&amp;" HK Equity","PE_RATIO"),"")</f>
        <v/>
      </c>
      <c r="K14" s="10">
        <f>IFERROR(BDP(Database!$A14&amp;" HK Equity","A/H_SHARE_CONVERSION"),"")</f>
        <v/>
      </c>
      <c r="L14" s="16">
        <f>IF(Database!BL14="","(none found)",Database!BL14)</f>
        <v/>
      </c>
      <c r="M14" s="18">
        <f>IFERROR(BDH(Database!$A14&amp;" HK Equity","CUR_MKT_CAP",Database!$H14,Database!$H14),"")</f>
        <v/>
      </c>
      <c r="N14" s="97">
        <f>Database!Q14</f>
        <v/>
      </c>
      <c r="O14" s="24">
        <f>IFERROR(BDH(Database!$A14&amp;" HK Equity","PE_RATIO",Database!$H14,Database!$H14),"")</f>
        <v/>
      </c>
      <c r="P14" s="101">
        <f>IF(Database!BF14="","(n/m or not derivable)",Database!BF14)</f>
        <v/>
      </c>
      <c r="Q14" s="24">
        <f>IF(Database!BL14="","",IFERROR(BDH(LEFT(Database!BL14,FIND(".",Database!BL14)-1)&amp;" CH Equity","PE_RATIO",Database!$H14,Database!$H14),""))</f>
        <v/>
      </c>
      <c r="R14" s="24">
        <f>IF(Database!BL14="","",IFERROR(BDH("HSAHP Index","PX_LAST",Database!$H14,Database!$H14),""))</f>
        <v/>
      </c>
      <c r="S14" s="24">
        <f>IFERROR(BDP(Database!$A14&amp;" HK Equity","PX_TO_SALES_RATIO"),"")</f>
        <v/>
      </c>
      <c r="T14" s="18">
        <f>IF(Database!BL14="","",IFERROR(BDP(LEFT(Database!BL14,FIND(".",Database!BL14)-1)&amp;" CH Equity","CUR_MKT_CAP"),""))</f>
        <v/>
      </c>
    </row>
    <row r="15">
      <c r="A15" s="16">
        <f>Database!A15&amp;"  "&amp;Database!B15</f>
        <v/>
      </c>
      <c r="B15" s="10">
        <f>IFERROR(INDEX(BDS(Database!$A15&amp;" HK Equity","EQUITY_OFFERINGS","array=t","endcol=1"),MATCH("IPO",BDS(Database!$A15&amp;" HK Equity","EQUITY_OFFERINGS","array=t","startcol=2","endcol=2"),0)),"")</f>
        <v/>
      </c>
      <c r="C15" s="103">
        <f>IF($B15="","",IFERROR(BDP($B15&amp;" Action","CP036"),""))</f>
        <v/>
      </c>
      <c r="D15" s="104">
        <f>Database!S15</f>
        <v/>
      </c>
      <c r="E15" s="103">
        <f>IF($B15="","",IFERROR(BDP($B15&amp;" Action","CP037"),""))</f>
        <v/>
      </c>
      <c r="F15" s="104">
        <f>Database!T15</f>
        <v/>
      </c>
      <c r="G15" s="103">
        <f>IF($B15="","",IFERROR(BDP($B15&amp;" Action","GREENSHOE_FACILITY"),""))</f>
        <v/>
      </c>
      <c r="H15" s="103">
        <f>IF($B15="","",IFERROR(BDP($B15&amp;" Action","OFFERING_GREENSHOE_SHARES_EX"),""))</f>
        <v/>
      </c>
      <c r="I15" s="16">
        <f>Database!AG15</f>
        <v/>
      </c>
      <c r="J15" s="24">
        <f>IFERROR(BDP(Database!$A15&amp;" HK Equity","PE_RATIO"),"")</f>
        <v/>
      </c>
      <c r="K15" s="10">
        <f>IFERROR(BDP(Database!$A15&amp;" HK Equity","A/H_SHARE_CONVERSION"),"")</f>
        <v/>
      </c>
      <c r="L15" s="16">
        <f>IF(Database!BL15="","(none found)",Database!BL15)</f>
        <v/>
      </c>
      <c r="M15" s="18">
        <f>IFERROR(BDH(Database!$A15&amp;" HK Equity","CUR_MKT_CAP",Database!$H15,Database!$H15),"")</f>
        <v/>
      </c>
      <c r="N15" s="97">
        <f>Database!Q15</f>
        <v/>
      </c>
      <c r="O15" s="24">
        <f>IFERROR(BDH(Database!$A15&amp;" HK Equity","PE_RATIO",Database!$H15,Database!$H15),"")</f>
        <v/>
      </c>
      <c r="P15" s="101">
        <f>IF(Database!BF15="","(n/m or not derivable)",Database!BF15)</f>
        <v/>
      </c>
      <c r="Q15" s="24">
        <f>IF(Database!BL15="","",IFERROR(BDH(LEFT(Database!BL15,FIND(".",Database!BL15)-1)&amp;" CH Equity","PE_RATIO",Database!$H15,Database!$H15),""))</f>
        <v/>
      </c>
      <c r="R15" s="24">
        <f>IF(Database!BL15="","",IFERROR(BDH("HSAHP Index","PX_LAST",Database!$H15,Database!$H15),""))</f>
        <v/>
      </c>
      <c r="S15" s="24">
        <f>IFERROR(BDP(Database!$A15&amp;" HK Equity","PX_TO_SALES_RATIO"),"")</f>
        <v/>
      </c>
      <c r="T15" s="18">
        <f>IF(Database!BL15="","",IFERROR(BDP(LEFT(Database!BL15,FIND(".",Database!BL15)-1)&amp;" CH Equity","CUR_MKT_CAP"),""))</f>
        <v/>
      </c>
    </row>
    <row r="16">
      <c r="A16" s="16">
        <f>Database!A16&amp;"  "&amp;Database!B16</f>
        <v/>
      </c>
      <c r="B16" s="10">
        <f>IFERROR(INDEX(BDS(Database!$A16&amp;" HK Equity","EQUITY_OFFERINGS","array=t","endcol=1"),MATCH("IPO",BDS(Database!$A16&amp;" HK Equity","EQUITY_OFFERINGS","array=t","startcol=2","endcol=2"),0)),"")</f>
        <v/>
      </c>
      <c r="C16" s="103">
        <f>IF($B16="","",IFERROR(BDP($B16&amp;" Action","CP036"),""))</f>
        <v/>
      </c>
      <c r="D16" s="104">
        <f>Database!S16</f>
        <v/>
      </c>
      <c r="E16" s="103">
        <f>IF($B16="","",IFERROR(BDP($B16&amp;" Action","CP037"),""))</f>
        <v/>
      </c>
      <c r="F16" s="104">
        <f>Database!T16</f>
        <v/>
      </c>
      <c r="G16" s="103">
        <f>IF($B16="","",IFERROR(BDP($B16&amp;" Action","GREENSHOE_FACILITY"),""))</f>
        <v/>
      </c>
      <c r="H16" s="103">
        <f>IF($B16="","",IFERROR(BDP($B16&amp;" Action","OFFERING_GREENSHOE_SHARES_EX"),""))</f>
        <v/>
      </c>
      <c r="I16" s="16">
        <f>Database!AG16</f>
        <v/>
      </c>
      <c r="J16" s="24">
        <f>IFERROR(BDP(Database!$A16&amp;" HK Equity","PE_RATIO"),"")</f>
        <v/>
      </c>
      <c r="K16" s="10">
        <f>IFERROR(BDP(Database!$A16&amp;" HK Equity","A/H_SHARE_CONVERSION"),"")</f>
        <v/>
      </c>
      <c r="L16" s="16">
        <f>IF(Database!BL16="","(none found)",Database!BL16)</f>
        <v/>
      </c>
      <c r="M16" s="18">
        <f>IFERROR(BDH(Database!$A16&amp;" HK Equity","CUR_MKT_CAP",Database!$H16,Database!$H16),"")</f>
        <v/>
      </c>
      <c r="N16" s="97">
        <f>Database!Q16</f>
        <v/>
      </c>
      <c r="O16" s="24">
        <f>IFERROR(BDH(Database!$A16&amp;" HK Equity","PE_RATIO",Database!$H16,Database!$H16),"")</f>
        <v/>
      </c>
      <c r="P16" s="101">
        <f>IF(Database!BF16="","(n/m or not derivable)",Database!BF16)</f>
        <v/>
      </c>
      <c r="Q16" s="24">
        <f>IF(Database!BL16="","",IFERROR(BDH(LEFT(Database!BL16,FIND(".",Database!BL16)-1)&amp;" CH Equity","PE_RATIO",Database!$H16,Database!$H16),""))</f>
        <v/>
      </c>
      <c r="R16" s="24">
        <f>IF(Database!BL16="","",IFERROR(BDH("HSAHP Index","PX_LAST",Database!$H16,Database!$H16),""))</f>
        <v/>
      </c>
      <c r="S16" s="24">
        <f>IFERROR(BDP(Database!$A16&amp;" HK Equity","PX_TO_SALES_RATIO"),"")</f>
        <v/>
      </c>
      <c r="T16" s="18">
        <f>IF(Database!BL16="","",IFERROR(BDP(LEFT(Database!BL16,FIND(".",Database!BL16)-1)&amp;" CH Equity","CUR_MKT_CAP"),""))</f>
        <v/>
      </c>
    </row>
    <row r="17">
      <c r="A17" s="16">
        <f>Database!A17&amp;"  "&amp;Database!B17</f>
        <v/>
      </c>
      <c r="B17" s="10">
        <f>IFERROR(INDEX(BDS(Database!$A17&amp;" HK Equity","EQUITY_OFFERINGS","array=t","endcol=1"),MATCH("IPO",BDS(Database!$A17&amp;" HK Equity","EQUITY_OFFERINGS","array=t","startcol=2","endcol=2"),0)),"")</f>
        <v/>
      </c>
      <c r="C17" s="103">
        <f>IF($B17="","",IFERROR(BDP($B17&amp;" Action","CP036"),""))</f>
        <v/>
      </c>
      <c r="D17" s="104">
        <f>Database!S17</f>
        <v/>
      </c>
      <c r="E17" s="103">
        <f>IF($B17="","",IFERROR(BDP($B17&amp;" Action","CP037"),""))</f>
        <v/>
      </c>
      <c r="F17" s="104">
        <f>Database!T17</f>
        <v/>
      </c>
      <c r="G17" s="103">
        <f>IF($B17="","",IFERROR(BDP($B17&amp;" Action","GREENSHOE_FACILITY"),""))</f>
        <v/>
      </c>
      <c r="H17" s="103">
        <f>IF($B17="","",IFERROR(BDP($B17&amp;" Action","OFFERING_GREENSHOE_SHARES_EX"),""))</f>
        <v/>
      </c>
      <c r="I17" s="16">
        <f>Database!AG17</f>
        <v/>
      </c>
      <c r="J17" s="24">
        <f>IFERROR(BDP(Database!$A17&amp;" HK Equity","PE_RATIO"),"")</f>
        <v/>
      </c>
      <c r="K17" s="10">
        <f>IFERROR(BDP(Database!$A17&amp;" HK Equity","A/H_SHARE_CONVERSION"),"")</f>
        <v/>
      </c>
      <c r="L17" s="16">
        <f>IF(Database!BL17="","(none found)",Database!BL17)</f>
        <v/>
      </c>
      <c r="M17" s="18">
        <f>IFERROR(BDH(Database!$A17&amp;" HK Equity","CUR_MKT_CAP",Database!$H17,Database!$H17),"")</f>
        <v/>
      </c>
      <c r="N17" s="97">
        <f>Database!Q17</f>
        <v/>
      </c>
      <c r="O17" s="24">
        <f>IFERROR(BDH(Database!$A17&amp;" HK Equity","PE_RATIO",Database!$H17,Database!$H17),"")</f>
        <v/>
      </c>
      <c r="P17" s="101">
        <f>IF(Database!BF17="","(n/m or not derivable)",Database!BF17)</f>
        <v/>
      </c>
      <c r="Q17" s="24">
        <f>IF(Database!BL17="","",IFERROR(BDH(LEFT(Database!BL17,FIND(".",Database!BL17)-1)&amp;" CH Equity","PE_RATIO",Database!$H17,Database!$H17),""))</f>
        <v/>
      </c>
      <c r="R17" s="24">
        <f>IF(Database!BL17="","",IFERROR(BDH("HSAHP Index","PX_LAST",Database!$H17,Database!$H17),""))</f>
        <v/>
      </c>
      <c r="S17" s="24">
        <f>IFERROR(BDP(Database!$A17&amp;" HK Equity","PX_TO_SALES_RATIO"),"")</f>
        <v/>
      </c>
      <c r="T17" s="18">
        <f>IF(Database!BL17="","",IFERROR(BDP(LEFT(Database!BL17,FIND(".",Database!BL17)-1)&amp;" CH Equity","CUR_MKT_CAP"),""))</f>
        <v/>
      </c>
    </row>
    <row r="18">
      <c r="A18" s="16">
        <f>Database!A18&amp;"  "&amp;Database!B18</f>
        <v/>
      </c>
      <c r="B18" s="10">
        <f>IFERROR(INDEX(BDS(Database!$A18&amp;" HK Equity","EQUITY_OFFERINGS","array=t","endcol=1"),MATCH("IPO",BDS(Database!$A18&amp;" HK Equity","EQUITY_OFFERINGS","array=t","startcol=2","endcol=2"),0)),"")</f>
        <v/>
      </c>
      <c r="C18" s="103">
        <f>IF($B18="","",IFERROR(BDP($B18&amp;" Action","CP036"),""))</f>
        <v/>
      </c>
      <c r="D18" s="104">
        <f>Database!S18</f>
        <v/>
      </c>
      <c r="E18" s="103">
        <f>IF($B18="","",IFERROR(BDP($B18&amp;" Action","CP037"),""))</f>
        <v/>
      </c>
      <c r="F18" s="104">
        <f>Database!T18</f>
        <v/>
      </c>
      <c r="G18" s="103">
        <f>IF($B18="","",IFERROR(BDP($B18&amp;" Action","GREENSHOE_FACILITY"),""))</f>
        <v/>
      </c>
      <c r="H18" s="103">
        <f>IF($B18="","",IFERROR(BDP($B18&amp;" Action","OFFERING_GREENSHOE_SHARES_EX"),""))</f>
        <v/>
      </c>
      <c r="I18" s="16">
        <f>Database!AG18</f>
        <v/>
      </c>
      <c r="J18" s="24">
        <f>IFERROR(BDP(Database!$A18&amp;" HK Equity","PE_RATIO"),"")</f>
        <v/>
      </c>
      <c r="K18" s="10">
        <f>IFERROR(BDP(Database!$A18&amp;" HK Equity","A/H_SHARE_CONVERSION"),"")</f>
        <v/>
      </c>
      <c r="L18" s="16">
        <f>IF(Database!BL18="","(none found)",Database!BL18)</f>
        <v/>
      </c>
      <c r="M18" s="18">
        <f>IFERROR(BDH(Database!$A18&amp;" HK Equity","CUR_MKT_CAP",Database!$H18,Database!$H18),"")</f>
        <v/>
      </c>
      <c r="N18" s="97">
        <f>Database!Q18</f>
        <v/>
      </c>
      <c r="O18" s="24">
        <f>IFERROR(BDH(Database!$A18&amp;" HK Equity","PE_RATIO",Database!$H18,Database!$H18),"")</f>
        <v/>
      </c>
      <c r="P18" s="101">
        <f>IF(Database!BF18="","(n/m or not derivable)",Database!BF18)</f>
        <v/>
      </c>
      <c r="Q18" s="24">
        <f>IF(Database!BL18="","",IFERROR(BDH(LEFT(Database!BL18,FIND(".",Database!BL18)-1)&amp;" CH Equity","PE_RATIO",Database!$H18,Database!$H18),""))</f>
        <v/>
      </c>
      <c r="R18" s="24">
        <f>IF(Database!BL18="","",IFERROR(BDH("HSAHP Index","PX_LAST",Database!$H18,Database!$H18),""))</f>
        <v/>
      </c>
      <c r="S18" s="24">
        <f>IFERROR(BDP(Database!$A18&amp;" HK Equity","PX_TO_SALES_RATIO"),"")</f>
        <v/>
      </c>
      <c r="T18" s="18">
        <f>IF(Database!BL18="","",IFERROR(BDP(LEFT(Database!BL18,FIND(".",Database!BL18)-1)&amp;" CH Equity","CUR_MKT_CAP"),""))</f>
        <v/>
      </c>
    </row>
    <row r="19">
      <c r="A19" s="16">
        <f>Database!A19&amp;"  "&amp;Database!B19</f>
        <v/>
      </c>
      <c r="B19" s="10">
        <f>IFERROR(INDEX(BDS(Database!$A19&amp;" HK Equity","EQUITY_OFFERINGS","array=t","endcol=1"),MATCH("IPO",BDS(Database!$A19&amp;" HK Equity","EQUITY_OFFERINGS","array=t","startcol=2","endcol=2"),0)),"")</f>
        <v/>
      </c>
      <c r="C19" s="103">
        <f>IF($B19="","",IFERROR(BDP($B19&amp;" Action","CP036"),""))</f>
        <v/>
      </c>
      <c r="D19" s="104">
        <f>Database!S19</f>
        <v/>
      </c>
      <c r="E19" s="103">
        <f>IF($B19="","",IFERROR(BDP($B19&amp;" Action","CP037"),""))</f>
        <v/>
      </c>
      <c r="F19" s="104">
        <f>Database!T19</f>
        <v/>
      </c>
      <c r="G19" s="103">
        <f>IF($B19="","",IFERROR(BDP($B19&amp;" Action","GREENSHOE_FACILITY"),""))</f>
        <v/>
      </c>
      <c r="H19" s="103">
        <f>IF($B19="","",IFERROR(BDP($B19&amp;" Action","OFFERING_GREENSHOE_SHARES_EX"),""))</f>
        <v/>
      </c>
      <c r="I19" s="16">
        <f>Database!AG19</f>
        <v/>
      </c>
      <c r="J19" s="24">
        <f>IFERROR(BDP(Database!$A19&amp;" HK Equity","PE_RATIO"),"")</f>
        <v/>
      </c>
      <c r="K19" s="10">
        <f>IFERROR(BDP(Database!$A19&amp;" HK Equity","A/H_SHARE_CONVERSION"),"")</f>
        <v/>
      </c>
      <c r="L19" s="16">
        <f>IF(Database!BL19="","(none found)",Database!BL19)</f>
        <v/>
      </c>
      <c r="M19" s="18">
        <f>IFERROR(BDH(Database!$A19&amp;" HK Equity","CUR_MKT_CAP",Database!$H19,Database!$H19),"")</f>
        <v/>
      </c>
      <c r="N19" s="97">
        <f>Database!Q19</f>
        <v/>
      </c>
      <c r="O19" s="24">
        <f>IFERROR(BDH(Database!$A19&amp;" HK Equity","PE_RATIO",Database!$H19,Database!$H19),"")</f>
        <v/>
      </c>
      <c r="P19" s="101">
        <f>IF(Database!BF19="","(n/m or not derivable)",Database!BF19)</f>
        <v/>
      </c>
      <c r="Q19" s="24">
        <f>IF(Database!BL19="","",IFERROR(BDH(LEFT(Database!BL19,FIND(".",Database!BL19)-1)&amp;" CH Equity","PE_RATIO",Database!$H19,Database!$H19),""))</f>
        <v/>
      </c>
      <c r="R19" s="24">
        <f>IF(Database!BL19="","",IFERROR(BDH("HSAHP Index","PX_LAST",Database!$H19,Database!$H19),""))</f>
        <v/>
      </c>
      <c r="S19" s="24">
        <f>IFERROR(BDP(Database!$A19&amp;" HK Equity","PX_TO_SALES_RATIO"),"")</f>
        <v/>
      </c>
      <c r="T19" s="18">
        <f>IF(Database!BL19="","",IFERROR(BDP(LEFT(Database!BL19,FIND(".",Database!BL19)-1)&amp;" CH Equity","CUR_MKT_CAP"),""))</f>
        <v/>
      </c>
    </row>
    <row r="20">
      <c r="A20" s="16">
        <f>Database!A20&amp;"  "&amp;Database!B20</f>
        <v/>
      </c>
      <c r="B20" s="10">
        <f>IFERROR(INDEX(BDS(Database!$A20&amp;" HK Equity","EQUITY_OFFERINGS","array=t","endcol=1"),MATCH("IPO",BDS(Database!$A20&amp;" HK Equity","EQUITY_OFFERINGS","array=t","startcol=2","endcol=2"),0)),"")</f>
        <v/>
      </c>
      <c r="C20" s="103">
        <f>IF($B20="","",IFERROR(BDP($B20&amp;" Action","CP036"),""))</f>
        <v/>
      </c>
      <c r="D20" s="104">
        <f>Database!S20</f>
        <v/>
      </c>
      <c r="E20" s="103">
        <f>IF($B20="","",IFERROR(BDP($B20&amp;" Action","CP037"),""))</f>
        <v/>
      </c>
      <c r="F20" s="104">
        <f>Database!T20</f>
        <v/>
      </c>
      <c r="G20" s="103">
        <f>IF($B20="","",IFERROR(BDP($B20&amp;" Action","GREENSHOE_FACILITY"),""))</f>
        <v/>
      </c>
      <c r="H20" s="103">
        <f>IF($B20="","",IFERROR(BDP($B20&amp;" Action","OFFERING_GREENSHOE_SHARES_EX"),""))</f>
        <v/>
      </c>
      <c r="I20" s="16">
        <f>Database!AG20</f>
        <v/>
      </c>
      <c r="J20" s="24">
        <f>IFERROR(BDP(Database!$A20&amp;" HK Equity","PE_RATIO"),"")</f>
        <v/>
      </c>
      <c r="K20" s="10">
        <f>IFERROR(BDP(Database!$A20&amp;" HK Equity","A/H_SHARE_CONVERSION"),"")</f>
        <v/>
      </c>
      <c r="L20" s="16">
        <f>IF(Database!BL20="","(none found)",Database!BL20)</f>
        <v/>
      </c>
      <c r="M20" s="18">
        <f>IFERROR(BDH(Database!$A20&amp;" HK Equity","CUR_MKT_CAP",Database!$H20,Database!$H20),"")</f>
        <v/>
      </c>
      <c r="N20" s="97">
        <f>Database!Q20</f>
        <v/>
      </c>
      <c r="O20" s="24">
        <f>IFERROR(BDH(Database!$A20&amp;" HK Equity","PE_RATIO",Database!$H20,Database!$H20),"")</f>
        <v/>
      </c>
      <c r="P20" s="101">
        <f>IF(Database!BF20="","(n/m or not derivable)",Database!BF20)</f>
        <v/>
      </c>
      <c r="Q20" s="24">
        <f>IF(Database!BL20="","",IFERROR(BDH(LEFT(Database!BL20,FIND(".",Database!BL20)-1)&amp;" CH Equity","PE_RATIO",Database!$H20,Database!$H20),""))</f>
        <v/>
      </c>
      <c r="R20" s="24">
        <f>IF(Database!BL20="","",IFERROR(BDH("HSAHP Index","PX_LAST",Database!$H20,Database!$H20),""))</f>
        <v/>
      </c>
      <c r="S20" s="24">
        <f>IFERROR(BDP(Database!$A20&amp;" HK Equity","PX_TO_SALES_RATIO"),"")</f>
        <v/>
      </c>
      <c r="T20" s="18">
        <f>IF(Database!BL20="","",IFERROR(BDP(LEFT(Database!BL20,FIND(".",Database!BL20)-1)&amp;" CH Equity","CUR_MKT_CAP"),""))</f>
        <v/>
      </c>
    </row>
    <row r="21">
      <c r="A21" s="16">
        <f>Database!A21&amp;"  "&amp;Database!B21</f>
        <v/>
      </c>
      <c r="B21" s="10">
        <f>IFERROR(INDEX(BDS(Database!$A21&amp;" HK Equity","EQUITY_OFFERINGS","array=t","endcol=1"),MATCH("IPO",BDS(Database!$A21&amp;" HK Equity","EQUITY_OFFERINGS","array=t","startcol=2","endcol=2"),0)),"")</f>
        <v/>
      </c>
      <c r="C21" s="103">
        <f>IF($B21="","",IFERROR(BDP($B21&amp;" Action","CP036"),""))</f>
        <v/>
      </c>
      <c r="D21" s="104">
        <f>Database!S21</f>
        <v/>
      </c>
      <c r="E21" s="103">
        <f>IF($B21="","",IFERROR(BDP($B21&amp;" Action","CP037"),""))</f>
        <v/>
      </c>
      <c r="F21" s="104">
        <f>Database!T21</f>
        <v/>
      </c>
      <c r="G21" s="103">
        <f>IF($B21="","",IFERROR(BDP($B21&amp;" Action","GREENSHOE_FACILITY"),""))</f>
        <v/>
      </c>
      <c r="H21" s="103">
        <f>IF($B21="","",IFERROR(BDP($B21&amp;" Action","OFFERING_GREENSHOE_SHARES_EX"),""))</f>
        <v/>
      </c>
      <c r="I21" s="16">
        <f>Database!AG21</f>
        <v/>
      </c>
      <c r="J21" s="24">
        <f>IFERROR(BDP(Database!$A21&amp;" HK Equity","PE_RATIO"),"")</f>
        <v/>
      </c>
      <c r="K21" s="10">
        <f>IFERROR(BDP(Database!$A21&amp;" HK Equity","A/H_SHARE_CONVERSION"),"")</f>
        <v/>
      </c>
      <c r="L21" s="16">
        <f>IF(Database!BL21="","(none found)",Database!BL21)</f>
        <v/>
      </c>
      <c r="M21" s="18">
        <f>IFERROR(BDH(Database!$A21&amp;" HK Equity","CUR_MKT_CAP",Database!$H21,Database!$H21),"")</f>
        <v/>
      </c>
      <c r="N21" s="97">
        <f>Database!Q21</f>
        <v/>
      </c>
      <c r="O21" s="24">
        <f>IFERROR(BDH(Database!$A21&amp;" HK Equity","PE_RATIO",Database!$H21,Database!$H21),"")</f>
        <v/>
      </c>
      <c r="P21" s="101">
        <f>IF(Database!BF21="","(n/m or not derivable)",Database!BF21)</f>
        <v/>
      </c>
      <c r="Q21" s="24">
        <f>IF(Database!BL21="","",IFERROR(BDH(LEFT(Database!BL21,FIND(".",Database!BL21)-1)&amp;" CH Equity","PE_RATIO",Database!$H21,Database!$H21),""))</f>
        <v/>
      </c>
      <c r="R21" s="24">
        <f>IF(Database!BL21="","",IFERROR(BDH("HSAHP Index","PX_LAST",Database!$H21,Database!$H21),""))</f>
        <v/>
      </c>
      <c r="S21" s="24">
        <f>IFERROR(BDP(Database!$A21&amp;" HK Equity","PX_TO_SALES_RATIO"),"")</f>
        <v/>
      </c>
      <c r="T21" s="18">
        <f>IF(Database!BL21="","",IFERROR(BDP(LEFT(Database!BL21,FIND(".",Database!BL21)-1)&amp;" CH Equity","CUR_MKT_CAP"),""))</f>
        <v/>
      </c>
    </row>
    <row r="22">
      <c r="A22" s="16">
        <f>Database!A22&amp;"  "&amp;Database!B22</f>
        <v/>
      </c>
      <c r="B22" s="10">
        <f>IFERROR(INDEX(BDS(Database!$A22&amp;" HK Equity","EQUITY_OFFERINGS","array=t","endcol=1"),MATCH("IPO",BDS(Database!$A22&amp;" HK Equity","EQUITY_OFFERINGS","array=t","startcol=2","endcol=2"),0)),"")</f>
        <v/>
      </c>
      <c r="C22" s="103">
        <f>IF($B22="","",IFERROR(BDP($B22&amp;" Action","CP036"),""))</f>
        <v/>
      </c>
      <c r="D22" s="104">
        <f>Database!S22</f>
        <v/>
      </c>
      <c r="E22" s="103">
        <f>IF($B22="","",IFERROR(BDP($B22&amp;" Action","CP037"),""))</f>
        <v/>
      </c>
      <c r="F22" s="104">
        <f>Database!T22</f>
        <v/>
      </c>
      <c r="G22" s="103">
        <f>IF($B22="","",IFERROR(BDP($B22&amp;" Action","GREENSHOE_FACILITY"),""))</f>
        <v/>
      </c>
      <c r="H22" s="103">
        <f>IF($B22="","",IFERROR(BDP($B22&amp;" Action","OFFERING_GREENSHOE_SHARES_EX"),""))</f>
        <v/>
      </c>
      <c r="I22" s="16">
        <f>Database!AG22</f>
        <v/>
      </c>
      <c r="J22" s="24">
        <f>IFERROR(BDP(Database!$A22&amp;" HK Equity","PE_RATIO"),"")</f>
        <v/>
      </c>
      <c r="K22" s="10">
        <f>IFERROR(BDP(Database!$A22&amp;" HK Equity","A/H_SHARE_CONVERSION"),"")</f>
        <v/>
      </c>
      <c r="L22" s="16">
        <f>IF(Database!BL22="","(none found)",Database!BL22)</f>
        <v/>
      </c>
      <c r="M22" s="18">
        <f>IFERROR(BDH(Database!$A22&amp;" HK Equity","CUR_MKT_CAP",Database!$H22,Database!$H22),"")</f>
        <v/>
      </c>
      <c r="N22" s="97">
        <f>Database!Q22</f>
        <v/>
      </c>
      <c r="O22" s="24">
        <f>IFERROR(BDH(Database!$A22&amp;" HK Equity","PE_RATIO",Database!$H22,Database!$H22),"")</f>
        <v/>
      </c>
      <c r="P22" s="101">
        <f>IF(Database!BF22="","(n/m or not derivable)",Database!BF22)</f>
        <v/>
      </c>
      <c r="Q22" s="24">
        <f>IF(Database!BL22="","",IFERROR(BDH(LEFT(Database!BL22,FIND(".",Database!BL22)-1)&amp;" CH Equity","PE_RATIO",Database!$H22,Database!$H22),""))</f>
        <v/>
      </c>
      <c r="R22" s="24">
        <f>IF(Database!BL22="","",IFERROR(BDH("HSAHP Index","PX_LAST",Database!$H22,Database!$H22),""))</f>
        <v/>
      </c>
      <c r="S22" s="24">
        <f>IFERROR(BDP(Database!$A22&amp;" HK Equity","PX_TO_SALES_RATIO"),"")</f>
        <v/>
      </c>
      <c r="T22" s="18">
        <f>IF(Database!BL22="","",IFERROR(BDP(LEFT(Database!BL22,FIND(".",Database!BL22)-1)&amp;" CH Equity","CUR_MKT_CAP"),""))</f>
        <v/>
      </c>
    </row>
    <row r="23">
      <c r="A23" s="16">
        <f>Database!A23&amp;"  "&amp;Database!B23</f>
        <v/>
      </c>
      <c r="B23" s="10">
        <f>IFERROR(INDEX(BDS(Database!$A23&amp;" HK Equity","EQUITY_OFFERINGS","array=t","endcol=1"),MATCH("IPO",BDS(Database!$A23&amp;" HK Equity","EQUITY_OFFERINGS","array=t","startcol=2","endcol=2"),0)),"")</f>
        <v/>
      </c>
      <c r="C23" s="103">
        <f>IF($B23="","",IFERROR(BDP($B23&amp;" Action","CP036"),""))</f>
        <v/>
      </c>
      <c r="D23" s="104">
        <f>Database!S23</f>
        <v/>
      </c>
      <c r="E23" s="103">
        <f>IF($B23="","",IFERROR(BDP($B23&amp;" Action","CP037"),""))</f>
        <v/>
      </c>
      <c r="F23" s="104">
        <f>Database!T23</f>
        <v/>
      </c>
      <c r="G23" s="103">
        <f>IF($B23="","",IFERROR(BDP($B23&amp;" Action","GREENSHOE_FACILITY"),""))</f>
        <v/>
      </c>
      <c r="H23" s="103">
        <f>IF($B23="","",IFERROR(BDP($B23&amp;" Action","OFFERING_GREENSHOE_SHARES_EX"),""))</f>
        <v/>
      </c>
      <c r="I23" s="16">
        <f>Database!AG23</f>
        <v/>
      </c>
      <c r="J23" s="24">
        <f>IFERROR(BDP(Database!$A23&amp;" HK Equity","PE_RATIO"),"")</f>
        <v/>
      </c>
      <c r="K23" s="10">
        <f>IFERROR(BDP(Database!$A23&amp;" HK Equity","A/H_SHARE_CONVERSION"),"")</f>
        <v/>
      </c>
      <c r="L23" s="16">
        <f>IF(Database!BL23="","(none found)",Database!BL23)</f>
        <v/>
      </c>
      <c r="M23" s="18">
        <f>IFERROR(BDH(Database!$A23&amp;" HK Equity","CUR_MKT_CAP",Database!$H23,Database!$H23),"")</f>
        <v/>
      </c>
      <c r="N23" s="97">
        <f>Database!Q23</f>
        <v/>
      </c>
      <c r="O23" s="24">
        <f>IFERROR(BDH(Database!$A23&amp;" HK Equity","PE_RATIO",Database!$H23,Database!$H23),"")</f>
        <v/>
      </c>
      <c r="P23" s="101">
        <f>IF(Database!BF23="","(n/m or not derivable)",Database!BF23)</f>
        <v/>
      </c>
      <c r="Q23" s="24">
        <f>IF(Database!BL23="","",IFERROR(BDH(LEFT(Database!BL23,FIND(".",Database!BL23)-1)&amp;" CH Equity","PE_RATIO",Database!$H23,Database!$H23),""))</f>
        <v/>
      </c>
      <c r="R23" s="24">
        <f>IF(Database!BL23="","",IFERROR(BDH("HSAHP Index","PX_LAST",Database!$H23,Database!$H23),""))</f>
        <v/>
      </c>
      <c r="S23" s="24">
        <f>IFERROR(BDP(Database!$A23&amp;" HK Equity","PX_TO_SALES_RATIO"),"")</f>
        <v/>
      </c>
      <c r="T23" s="18">
        <f>IF(Database!BL23="","",IFERROR(BDP(LEFT(Database!BL23,FIND(".",Database!BL23)-1)&amp;" CH Equity","CUR_MKT_CAP"),""))</f>
        <v/>
      </c>
    </row>
    <row r="24">
      <c r="A24" s="16">
        <f>Database!A24&amp;"  "&amp;Database!B24</f>
        <v/>
      </c>
      <c r="B24" s="10">
        <f>IFERROR(INDEX(BDS(Database!$A24&amp;" HK Equity","EQUITY_OFFERINGS","array=t","endcol=1"),MATCH("IPO",BDS(Database!$A24&amp;" HK Equity","EQUITY_OFFERINGS","array=t","startcol=2","endcol=2"),0)),"")</f>
        <v/>
      </c>
      <c r="C24" s="103">
        <f>IF($B24="","",IFERROR(BDP($B24&amp;" Action","CP036"),""))</f>
        <v/>
      </c>
      <c r="D24" s="104">
        <f>Database!S24</f>
        <v/>
      </c>
      <c r="E24" s="103">
        <f>IF($B24="","",IFERROR(BDP($B24&amp;" Action","CP037"),""))</f>
        <v/>
      </c>
      <c r="F24" s="104">
        <f>Database!T24</f>
        <v/>
      </c>
      <c r="G24" s="103">
        <f>IF($B24="","",IFERROR(BDP($B24&amp;" Action","GREENSHOE_FACILITY"),""))</f>
        <v/>
      </c>
      <c r="H24" s="103">
        <f>IF($B24="","",IFERROR(BDP($B24&amp;" Action","OFFERING_GREENSHOE_SHARES_EX"),""))</f>
        <v/>
      </c>
      <c r="I24" s="16">
        <f>Database!AG24</f>
        <v/>
      </c>
      <c r="J24" s="24">
        <f>IFERROR(BDP(Database!$A24&amp;" HK Equity","PE_RATIO"),"")</f>
        <v/>
      </c>
      <c r="K24" s="10">
        <f>IFERROR(BDP(Database!$A24&amp;" HK Equity","A/H_SHARE_CONVERSION"),"")</f>
        <v/>
      </c>
      <c r="L24" s="16">
        <f>IF(Database!BL24="","(none found)",Database!BL24)</f>
        <v/>
      </c>
      <c r="M24" s="18">
        <f>IFERROR(BDH(Database!$A24&amp;" HK Equity","CUR_MKT_CAP",Database!$H24,Database!$H24),"")</f>
        <v/>
      </c>
      <c r="N24" s="97">
        <f>Database!Q24</f>
        <v/>
      </c>
      <c r="O24" s="24">
        <f>IFERROR(BDH(Database!$A24&amp;" HK Equity","PE_RATIO",Database!$H24,Database!$H24),"")</f>
        <v/>
      </c>
      <c r="P24" s="101">
        <f>IF(Database!BF24="","(n/m or not derivable)",Database!BF24)</f>
        <v/>
      </c>
      <c r="Q24" s="24">
        <f>IF(Database!BL24="","",IFERROR(BDH(LEFT(Database!BL24,FIND(".",Database!BL24)-1)&amp;" CH Equity","PE_RATIO",Database!$H24,Database!$H24),""))</f>
        <v/>
      </c>
      <c r="R24" s="24">
        <f>IF(Database!BL24="","",IFERROR(BDH("HSAHP Index","PX_LAST",Database!$H24,Database!$H24),""))</f>
        <v/>
      </c>
      <c r="S24" s="24">
        <f>IFERROR(BDP(Database!$A24&amp;" HK Equity","PX_TO_SALES_RATIO"),"")</f>
        <v/>
      </c>
      <c r="T24" s="18">
        <f>IF(Database!BL24="","",IFERROR(BDP(LEFT(Database!BL24,FIND(".",Database!BL24)-1)&amp;" CH Equity","CUR_MKT_CAP"),""))</f>
        <v/>
      </c>
    </row>
    <row r="25">
      <c r="A25" s="16">
        <f>Database!A25&amp;"  "&amp;Database!B25</f>
        <v/>
      </c>
      <c r="B25" s="10">
        <f>IFERROR(INDEX(BDS(Database!$A25&amp;" HK Equity","EQUITY_OFFERINGS","array=t","endcol=1"),MATCH("IPO",BDS(Database!$A25&amp;" HK Equity","EQUITY_OFFERINGS","array=t","startcol=2","endcol=2"),0)),"")</f>
        <v/>
      </c>
      <c r="C25" s="103">
        <f>IF($B25="","",IFERROR(BDP($B25&amp;" Action","CP036"),""))</f>
        <v/>
      </c>
      <c r="D25" s="104">
        <f>Database!S25</f>
        <v/>
      </c>
      <c r="E25" s="103">
        <f>IF($B25="","",IFERROR(BDP($B25&amp;" Action","CP037"),""))</f>
        <v/>
      </c>
      <c r="F25" s="104">
        <f>Database!T25</f>
        <v/>
      </c>
      <c r="G25" s="103">
        <f>IF($B25="","",IFERROR(BDP($B25&amp;" Action","GREENSHOE_FACILITY"),""))</f>
        <v/>
      </c>
      <c r="H25" s="103">
        <f>IF($B25="","",IFERROR(BDP($B25&amp;" Action","OFFERING_GREENSHOE_SHARES_EX"),""))</f>
        <v/>
      </c>
      <c r="I25" s="16">
        <f>Database!AG25</f>
        <v/>
      </c>
      <c r="J25" s="24">
        <f>IFERROR(BDP(Database!$A25&amp;" HK Equity","PE_RATIO"),"")</f>
        <v/>
      </c>
      <c r="K25" s="10">
        <f>IFERROR(BDP(Database!$A25&amp;" HK Equity","A/H_SHARE_CONVERSION"),"")</f>
        <v/>
      </c>
      <c r="L25" s="16">
        <f>IF(Database!BL25="","(none found)",Database!BL25)</f>
        <v/>
      </c>
      <c r="M25" s="18">
        <f>IFERROR(BDH(Database!$A25&amp;" HK Equity","CUR_MKT_CAP",Database!$H25,Database!$H25),"")</f>
        <v/>
      </c>
      <c r="N25" s="97">
        <f>Database!Q25</f>
        <v/>
      </c>
      <c r="O25" s="24">
        <f>IFERROR(BDH(Database!$A25&amp;" HK Equity","PE_RATIO",Database!$H25,Database!$H25),"")</f>
        <v/>
      </c>
      <c r="P25" s="101">
        <f>IF(Database!BF25="","(n/m or not derivable)",Database!BF25)</f>
        <v/>
      </c>
      <c r="Q25" s="24">
        <f>IF(Database!BL25="","",IFERROR(BDH(LEFT(Database!BL25,FIND(".",Database!BL25)-1)&amp;" CH Equity","PE_RATIO",Database!$H25,Database!$H25),""))</f>
        <v/>
      </c>
      <c r="R25" s="24">
        <f>IF(Database!BL25="","",IFERROR(BDH("HSAHP Index","PX_LAST",Database!$H25,Database!$H25),""))</f>
        <v/>
      </c>
      <c r="S25" s="24">
        <f>IFERROR(BDP(Database!$A25&amp;" HK Equity","PX_TO_SALES_RATIO"),"")</f>
        <v/>
      </c>
      <c r="T25" s="18">
        <f>IF(Database!BL25="","",IFERROR(BDP(LEFT(Database!BL25,FIND(".",Database!BL25)-1)&amp;" CH Equity","CUR_MKT_CAP"),""))</f>
        <v/>
      </c>
    </row>
    <row r="26">
      <c r="A26" s="16">
        <f>Database!A26&amp;"  "&amp;Database!B26</f>
        <v/>
      </c>
      <c r="B26" s="10">
        <f>IFERROR(INDEX(BDS(Database!$A26&amp;" HK Equity","EQUITY_OFFERINGS","array=t","endcol=1"),MATCH("IPO",BDS(Database!$A26&amp;" HK Equity","EQUITY_OFFERINGS","array=t","startcol=2","endcol=2"),0)),"")</f>
        <v/>
      </c>
      <c r="C26" s="103">
        <f>IF($B26="","",IFERROR(BDP($B26&amp;" Action","CP036"),""))</f>
        <v/>
      </c>
      <c r="D26" s="104">
        <f>Database!S26</f>
        <v/>
      </c>
      <c r="E26" s="103">
        <f>IF($B26="","",IFERROR(BDP($B26&amp;" Action","CP037"),""))</f>
        <v/>
      </c>
      <c r="F26" s="104">
        <f>Database!T26</f>
        <v/>
      </c>
      <c r="G26" s="103">
        <f>IF($B26="","",IFERROR(BDP($B26&amp;" Action","GREENSHOE_FACILITY"),""))</f>
        <v/>
      </c>
      <c r="H26" s="103">
        <f>IF($B26="","",IFERROR(BDP($B26&amp;" Action","OFFERING_GREENSHOE_SHARES_EX"),""))</f>
        <v/>
      </c>
      <c r="I26" s="16">
        <f>Database!AG26</f>
        <v/>
      </c>
      <c r="J26" s="24">
        <f>IFERROR(BDP(Database!$A26&amp;" HK Equity","PE_RATIO"),"")</f>
        <v/>
      </c>
      <c r="K26" s="10">
        <f>IFERROR(BDP(Database!$A26&amp;" HK Equity","A/H_SHARE_CONVERSION"),"")</f>
        <v/>
      </c>
      <c r="L26" s="16">
        <f>IF(Database!BL26="","(none found)",Database!BL26)</f>
        <v/>
      </c>
      <c r="M26" s="18">
        <f>IFERROR(BDH(Database!$A26&amp;" HK Equity","CUR_MKT_CAP",Database!$H26,Database!$H26),"")</f>
        <v/>
      </c>
      <c r="N26" s="97">
        <f>Database!Q26</f>
        <v/>
      </c>
      <c r="O26" s="24">
        <f>IFERROR(BDH(Database!$A26&amp;" HK Equity","PE_RATIO",Database!$H26,Database!$H26),"")</f>
        <v/>
      </c>
      <c r="P26" s="101">
        <f>IF(Database!BF26="","(n/m or not derivable)",Database!BF26)</f>
        <v/>
      </c>
      <c r="Q26" s="24">
        <f>IF(Database!BL26="","",IFERROR(BDH(LEFT(Database!BL26,FIND(".",Database!BL26)-1)&amp;" CH Equity","PE_RATIO",Database!$H26,Database!$H26),""))</f>
        <v/>
      </c>
      <c r="R26" s="24">
        <f>IF(Database!BL26="","",IFERROR(BDH("HSAHP Index","PX_LAST",Database!$H26,Database!$H26),""))</f>
        <v/>
      </c>
      <c r="S26" s="24">
        <f>IFERROR(BDP(Database!$A26&amp;" HK Equity","PX_TO_SALES_RATIO"),"")</f>
        <v/>
      </c>
      <c r="T26" s="18">
        <f>IF(Database!BL26="","",IFERROR(BDP(LEFT(Database!BL26,FIND(".",Database!BL26)-1)&amp;" CH Equity","CUR_MKT_CAP"),""))</f>
        <v/>
      </c>
    </row>
    <row r="27">
      <c r="A27" s="16">
        <f>Database!A27&amp;"  "&amp;Database!B27</f>
        <v/>
      </c>
      <c r="B27" s="10">
        <f>IFERROR(INDEX(BDS(Database!$A27&amp;" HK Equity","EQUITY_OFFERINGS","array=t","endcol=1"),MATCH("IPO",BDS(Database!$A27&amp;" HK Equity","EQUITY_OFFERINGS","array=t","startcol=2","endcol=2"),0)),"")</f>
        <v/>
      </c>
      <c r="C27" s="103">
        <f>IF($B27="","",IFERROR(BDP($B27&amp;" Action","CP036"),""))</f>
        <v/>
      </c>
      <c r="D27" s="104">
        <f>Database!S27</f>
        <v/>
      </c>
      <c r="E27" s="103">
        <f>IF($B27="","",IFERROR(BDP($B27&amp;" Action","CP037"),""))</f>
        <v/>
      </c>
      <c r="F27" s="104">
        <f>Database!T27</f>
        <v/>
      </c>
      <c r="G27" s="103">
        <f>IF($B27="","",IFERROR(BDP($B27&amp;" Action","GREENSHOE_FACILITY"),""))</f>
        <v/>
      </c>
      <c r="H27" s="103">
        <f>IF($B27="","",IFERROR(BDP($B27&amp;" Action","OFFERING_GREENSHOE_SHARES_EX"),""))</f>
        <v/>
      </c>
      <c r="I27" s="16">
        <f>Database!AG27</f>
        <v/>
      </c>
      <c r="J27" s="24">
        <f>IFERROR(BDP(Database!$A27&amp;" HK Equity","PE_RATIO"),"")</f>
        <v/>
      </c>
      <c r="K27" s="10">
        <f>IFERROR(BDP(Database!$A27&amp;" HK Equity","A/H_SHARE_CONVERSION"),"")</f>
        <v/>
      </c>
      <c r="L27" s="16">
        <f>IF(Database!BL27="","(none found)",Database!BL27)</f>
        <v/>
      </c>
      <c r="M27" s="18">
        <f>IFERROR(BDH(Database!$A27&amp;" HK Equity","CUR_MKT_CAP",Database!$H27,Database!$H27),"")</f>
        <v/>
      </c>
      <c r="N27" s="97">
        <f>Database!Q27</f>
        <v/>
      </c>
      <c r="O27" s="24">
        <f>IFERROR(BDH(Database!$A27&amp;" HK Equity","PE_RATIO",Database!$H27,Database!$H27),"")</f>
        <v/>
      </c>
      <c r="P27" s="101">
        <f>IF(Database!BF27="","(n/m or not derivable)",Database!BF27)</f>
        <v/>
      </c>
      <c r="Q27" s="24">
        <f>IF(Database!BL27="","",IFERROR(BDH(LEFT(Database!BL27,FIND(".",Database!BL27)-1)&amp;" CH Equity","PE_RATIO",Database!$H27,Database!$H27),""))</f>
        <v/>
      </c>
      <c r="R27" s="24">
        <f>IF(Database!BL27="","",IFERROR(BDH("HSAHP Index","PX_LAST",Database!$H27,Database!$H27),""))</f>
        <v/>
      </c>
      <c r="S27" s="24">
        <f>IFERROR(BDP(Database!$A27&amp;" HK Equity","PX_TO_SALES_RATIO"),"")</f>
        <v/>
      </c>
      <c r="T27" s="18">
        <f>IF(Database!BL27="","",IFERROR(BDP(LEFT(Database!BL27,FIND(".",Database!BL27)-1)&amp;" CH Equity","CUR_MKT_CAP"),""))</f>
        <v/>
      </c>
    </row>
    <row r="28">
      <c r="A28" s="16">
        <f>Database!A28&amp;"  "&amp;Database!B28</f>
        <v/>
      </c>
      <c r="B28" s="10">
        <f>IFERROR(INDEX(BDS(Database!$A28&amp;" HK Equity","EQUITY_OFFERINGS","array=t","endcol=1"),MATCH("IPO",BDS(Database!$A28&amp;" HK Equity","EQUITY_OFFERINGS","array=t","startcol=2","endcol=2"),0)),"")</f>
        <v/>
      </c>
      <c r="C28" s="103">
        <f>IF($B28="","",IFERROR(BDP($B28&amp;" Action","CP036"),""))</f>
        <v/>
      </c>
      <c r="D28" s="104">
        <f>Database!S28</f>
        <v/>
      </c>
      <c r="E28" s="103">
        <f>IF($B28="","",IFERROR(BDP($B28&amp;" Action","CP037"),""))</f>
        <v/>
      </c>
      <c r="F28" s="104">
        <f>Database!T28</f>
        <v/>
      </c>
      <c r="G28" s="103">
        <f>IF($B28="","",IFERROR(BDP($B28&amp;" Action","GREENSHOE_FACILITY"),""))</f>
        <v/>
      </c>
      <c r="H28" s="103">
        <f>IF($B28="","",IFERROR(BDP($B28&amp;" Action","OFFERING_GREENSHOE_SHARES_EX"),""))</f>
        <v/>
      </c>
      <c r="I28" s="16">
        <f>Database!AG28</f>
        <v/>
      </c>
      <c r="J28" s="24">
        <f>IFERROR(BDP(Database!$A28&amp;" HK Equity","PE_RATIO"),"")</f>
        <v/>
      </c>
      <c r="K28" s="10">
        <f>IFERROR(BDP(Database!$A28&amp;" HK Equity","A/H_SHARE_CONVERSION"),"")</f>
        <v/>
      </c>
      <c r="L28" s="16">
        <f>IF(Database!BL28="","(none found)",Database!BL28)</f>
        <v/>
      </c>
      <c r="M28" s="18">
        <f>IFERROR(BDH(Database!$A28&amp;" HK Equity","CUR_MKT_CAP",Database!$H28,Database!$H28),"")</f>
        <v/>
      </c>
      <c r="N28" s="97">
        <f>Database!Q28</f>
        <v/>
      </c>
      <c r="O28" s="24">
        <f>IFERROR(BDH(Database!$A28&amp;" HK Equity","PE_RATIO",Database!$H28,Database!$H28),"")</f>
        <v/>
      </c>
      <c r="P28" s="101">
        <f>IF(Database!BF28="","(n/m or not derivable)",Database!BF28)</f>
        <v/>
      </c>
      <c r="Q28" s="24">
        <f>IF(Database!BL28="","",IFERROR(BDH(LEFT(Database!BL28,FIND(".",Database!BL28)-1)&amp;" CH Equity","PE_RATIO",Database!$H28,Database!$H28),""))</f>
        <v/>
      </c>
      <c r="R28" s="24">
        <f>IF(Database!BL28="","",IFERROR(BDH("HSAHP Index","PX_LAST",Database!$H28,Database!$H28),""))</f>
        <v/>
      </c>
      <c r="S28" s="24">
        <f>IFERROR(BDP(Database!$A28&amp;" HK Equity","PX_TO_SALES_RATIO"),"")</f>
        <v/>
      </c>
      <c r="T28" s="18">
        <f>IF(Database!BL28="","",IFERROR(BDP(LEFT(Database!BL28,FIND(".",Database!BL28)-1)&amp;" CH Equity","CUR_MKT_CAP"),""))</f>
        <v/>
      </c>
    </row>
    <row r="29">
      <c r="A29" s="16">
        <f>Database!A29&amp;"  "&amp;Database!B29</f>
        <v/>
      </c>
      <c r="B29" s="10">
        <f>IFERROR(INDEX(BDS(Database!$A29&amp;" HK Equity","EQUITY_OFFERINGS","array=t","endcol=1"),MATCH("IPO",BDS(Database!$A29&amp;" HK Equity","EQUITY_OFFERINGS","array=t","startcol=2","endcol=2"),0)),"")</f>
        <v/>
      </c>
      <c r="C29" s="103">
        <f>IF($B29="","",IFERROR(BDP($B29&amp;" Action","CP036"),""))</f>
        <v/>
      </c>
      <c r="D29" s="104">
        <f>Database!S29</f>
        <v/>
      </c>
      <c r="E29" s="103">
        <f>IF($B29="","",IFERROR(BDP($B29&amp;" Action","CP037"),""))</f>
        <v/>
      </c>
      <c r="F29" s="104">
        <f>Database!T29</f>
        <v/>
      </c>
      <c r="G29" s="103">
        <f>IF($B29="","",IFERROR(BDP($B29&amp;" Action","GREENSHOE_FACILITY"),""))</f>
        <v/>
      </c>
      <c r="H29" s="103">
        <f>IF($B29="","",IFERROR(BDP($B29&amp;" Action","OFFERING_GREENSHOE_SHARES_EX"),""))</f>
        <v/>
      </c>
      <c r="I29" s="16">
        <f>Database!AG29</f>
        <v/>
      </c>
      <c r="J29" s="24">
        <f>IFERROR(BDP(Database!$A29&amp;" HK Equity","PE_RATIO"),"")</f>
        <v/>
      </c>
      <c r="K29" s="10">
        <f>IFERROR(BDP(Database!$A29&amp;" HK Equity","A/H_SHARE_CONVERSION"),"")</f>
        <v/>
      </c>
      <c r="L29" s="16">
        <f>IF(Database!BL29="","(none found)",Database!BL29)</f>
        <v/>
      </c>
      <c r="M29" s="18">
        <f>IFERROR(BDH(Database!$A29&amp;" HK Equity","CUR_MKT_CAP",Database!$H29,Database!$H29),"")</f>
        <v/>
      </c>
      <c r="N29" s="97">
        <f>Database!Q29</f>
        <v/>
      </c>
      <c r="O29" s="24">
        <f>IFERROR(BDH(Database!$A29&amp;" HK Equity","PE_RATIO",Database!$H29,Database!$H29),"")</f>
        <v/>
      </c>
      <c r="P29" s="101">
        <f>IF(Database!BF29="","(n/m or not derivable)",Database!BF29)</f>
        <v/>
      </c>
      <c r="Q29" s="24">
        <f>IF(Database!BL29="","",IFERROR(BDH(LEFT(Database!BL29,FIND(".",Database!BL29)-1)&amp;" CH Equity","PE_RATIO",Database!$H29,Database!$H29),""))</f>
        <v/>
      </c>
      <c r="R29" s="24">
        <f>IF(Database!BL29="","",IFERROR(BDH("HSAHP Index","PX_LAST",Database!$H29,Database!$H29),""))</f>
        <v/>
      </c>
      <c r="S29" s="24">
        <f>IFERROR(BDP(Database!$A29&amp;" HK Equity","PX_TO_SALES_RATIO"),"")</f>
        <v/>
      </c>
      <c r="T29" s="18">
        <f>IF(Database!BL29="","",IFERROR(BDP(LEFT(Database!BL29,FIND(".",Database!BL29)-1)&amp;" CH Equity","CUR_MKT_CAP"),""))</f>
        <v/>
      </c>
    </row>
    <row r="30">
      <c r="A30" s="16">
        <f>Database!A30&amp;"  "&amp;Database!B30</f>
        <v/>
      </c>
      <c r="B30" s="10">
        <f>IFERROR(INDEX(BDS(Database!$A30&amp;" HK Equity","EQUITY_OFFERINGS","array=t","endcol=1"),MATCH("IPO",BDS(Database!$A30&amp;" HK Equity","EQUITY_OFFERINGS","array=t","startcol=2","endcol=2"),0)),"")</f>
        <v/>
      </c>
      <c r="C30" s="103">
        <f>IF($B30="","",IFERROR(BDP($B30&amp;" Action","CP036"),""))</f>
        <v/>
      </c>
      <c r="D30" s="104">
        <f>Database!S30</f>
        <v/>
      </c>
      <c r="E30" s="103">
        <f>IF($B30="","",IFERROR(BDP($B30&amp;" Action","CP037"),""))</f>
        <v/>
      </c>
      <c r="F30" s="104">
        <f>Database!T30</f>
        <v/>
      </c>
      <c r="G30" s="103">
        <f>IF($B30="","",IFERROR(BDP($B30&amp;" Action","GREENSHOE_FACILITY"),""))</f>
        <v/>
      </c>
      <c r="H30" s="103">
        <f>IF($B30="","",IFERROR(BDP($B30&amp;" Action","OFFERING_GREENSHOE_SHARES_EX"),""))</f>
        <v/>
      </c>
      <c r="I30" s="16">
        <f>Database!AG30</f>
        <v/>
      </c>
      <c r="J30" s="24">
        <f>IFERROR(BDP(Database!$A30&amp;" HK Equity","PE_RATIO"),"")</f>
        <v/>
      </c>
      <c r="K30" s="10">
        <f>IFERROR(BDP(Database!$A30&amp;" HK Equity","A/H_SHARE_CONVERSION"),"")</f>
        <v/>
      </c>
      <c r="L30" s="16">
        <f>IF(Database!BL30="","(none found)",Database!BL30)</f>
        <v/>
      </c>
      <c r="M30" s="18">
        <f>IFERROR(BDH(Database!$A30&amp;" HK Equity","CUR_MKT_CAP",Database!$H30,Database!$H30),"")</f>
        <v/>
      </c>
      <c r="N30" s="97">
        <f>Database!Q30</f>
        <v/>
      </c>
      <c r="O30" s="24">
        <f>IFERROR(BDH(Database!$A30&amp;" HK Equity","PE_RATIO",Database!$H30,Database!$H30),"")</f>
        <v/>
      </c>
      <c r="P30" s="101">
        <f>IF(Database!BF30="","(n/m or not derivable)",Database!BF30)</f>
        <v/>
      </c>
      <c r="Q30" s="24">
        <f>IF(Database!BL30="","",IFERROR(BDH(LEFT(Database!BL30,FIND(".",Database!BL30)-1)&amp;" CH Equity","PE_RATIO",Database!$H30,Database!$H30),""))</f>
        <v/>
      </c>
      <c r="R30" s="24">
        <f>IF(Database!BL30="","",IFERROR(BDH("HSAHP Index","PX_LAST",Database!$H30,Database!$H30),""))</f>
        <v/>
      </c>
      <c r="S30" s="24">
        <f>IFERROR(BDP(Database!$A30&amp;" HK Equity","PX_TO_SALES_RATIO"),"")</f>
        <v/>
      </c>
      <c r="T30" s="18">
        <f>IF(Database!BL30="","",IFERROR(BDP(LEFT(Database!BL30,FIND(".",Database!BL30)-1)&amp;" CH Equity","CUR_MKT_CAP"),""))</f>
        <v/>
      </c>
    </row>
    <row r="31">
      <c r="A31" s="16">
        <f>Database!A31&amp;"  "&amp;Database!B31</f>
        <v/>
      </c>
      <c r="B31" s="10">
        <f>IFERROR(INDEX(BDS(Database!$A31&amp;" HK Equity","EQUITY_OFFERINGS","array=t","endcol=1"),MATCH("IPO",BDS(Database!$A31&amp;" HK Equity","EQUITY_OFFERINGS","array=t","startcol=2","endcol=2"),0)),"")</f>
        <v/>
      </c>
      <c r="C31" s="103">
        <f>IF($B31="","",IFERROR(BDP($B31&amp;" Action","CP036"),""))</f>
        <v/>
      </c>
      <c r="D31" s="104">
        <f>Database!S31</f>
        <v/>
      </c>
      <c r="E31" s="103">
        <f>IF($B31="","",IFERROR(BDP($B31&amp;" Action","CP037"),""))</f>
        <v/>
      </c>
      <c r="F31" s="104">
        <f>Database!T31</f>
        <v/>
      </c>
      <c r="G31" s="103">
        <f>IF($B31="","",IFERROR(BDP($B31&amp;" Action","GREENSHOE_FACILITY"),""))</f>
        <v/>
      </c>
      <c r="H31" s="103">
        <f>IF($B31="","",IFERROR(BDP($B31&amp;" Action","OFFERING_GREENSHOE_SHARES_EX"),""))</f>
        <v/>
      </c>
      <c r="I31" s="16">
        <f>Database!AG31</f>
        <v/>
      </c>
      <c r="J31" s="24">
        <f>IFERROR(BDP(Database!$A31&amp;" HK Equity","PE_RATIO"),"")</f>
        <v/>
      </c>
      <c r="K31" s="10">
        <f>IFERROR(BDP(Database!$A31&amp;" HK Equity","A/H_SHARE_CONVERSION"),"")</f>
        <v/>
      </c>
      <c r="L31" s="16">
        <f>IF(Database!BL31="","(none found)",Database!BL31)</f>
        <v/>
      </c>
      <c r="M31" s="18">
        <f>IFERROR(BDH(Database!$A31&amp;" HK Equity","CUR_MKT_CAP",Database!$H31,Database!$H31),"")</f>
        <v/>
      </c>
      <c r="N31" s="97">
        <f>Database!Q31</f>
        <v/>
      </c>
      <c r="O31" s="24">
        <f>IFERROR(BDH(Database!$A31&amp;" HK Equity","PE_RATIO",Database!$H31,Database!$H31),"")</f>
        <v/>
      </c>
      <c r="P31" s="101">
        <f>IF(Database!BF31="","(n/m or not derivable)",Database!BF31)</f>
        <v/>
      </c>
      <c r="Q31" s="24">
        <f>IF(Database!BL31="","",IFERROR(BDH(LEFT(Database!BL31,FIND(".",Database!BL31)-1)&amp;" CH Equity","PE_RATIO",Database!$H31,Database!$H31),""))</f>
        <v/>
      </c>
      <c r="R31" s="24">
        <f>IF(Database!BL31="","",IFERROR(BDH("HSAHP Index","PX_LAST",Database!$H31,Database!$H31),""))</f>
        <v/>
      </c>
      <c r="S31" s="24">
        <f>IFERROR(BDP(Database!$A31&amp;" HK Equity","PX_TO_SALES_RATIO"),"")</f>
        <v/>
      </c>
      <c r="T31" s="18">
        <f>IF(Database!BL31="","",IFERROR(BDP(LEFT(Database!BL31,FIND(".",Database!BL31)-1)&amp;" CH Equity","CUR_MKT_CAP"),""))</f>
        <v/>
      </c>
    </row>
    <row r="32">
      <c r="A32" s="16">
        <f>Database!A32&amp;"  "&amp;Database!B32</f>
        <v/>
      </c>
      <c r="B32" s="10">
        <f>IFERROR(INDEX(BDS(Database!$A32&amp;" HK Equity","EQUITY_OFFERINGS","array=t","endcol=1"),MATCH("IPO",BDS(Database!$A32&amp;" HK Equity","EQUITY_OFFERINGS","array=t","startcol=2","endcol=2"),0)),"")</f>
        <v/>
      </c>
      <c r="C32" s="103">
        <f>IF($B32="","",IFERROR(BDP($B32&amp;" Action","CP036"),""))</f>
        <v/>
      </c>
      <c r="D32" s="104">
        <f>Database!S32</f>
        <v/>
      </c>
      <c r="E32" s="103">
        <f>IF($B32="","",IFERROR(BDP($B32&amp;" Action","CP037"),""))</f>
        <v/>
      </c>
      <c r="F32" s="104">
        <f>Database!T32</f>
        <v/>
      </c>
      <c r="G32" s="103">
        <f>IF($B32="","",IFERROR(BDP($B32&amp;" Action","GREENSHOE_FACILITY"),""))</f>
        <v/>
      </c>
      <c r="H32" s="103">
        <f>IF($B32="","",IFERROR(BDP($B32&amp;" Action","OFFERING_GREENSHOE_SHARES_EX"),""))</f>
        <v/>
      </c>
      <c r="I32" s="16">
        <f>Database!AG32</f>
        <v/>
      </c>
      <c r="J32" s="24">
        <f>IFERROR(BDP(Database!$A32&amp;" HK Equity","PE_RATIO"),"")</f>
        <v/>
      </c>
      <c r="K32" s="10">
        <f>IFERROR(BDP(Database!$A32&amp;" HK Equity","A/H_SHARE_CONVERSION"),"")</f>
        <v/>
      </c>
      <c r="L32" s="16">
        <f>IF(Database!BL32="","(none found)",Database!BL32)</f>
        <v/>
      </c>
      <c r="M32" s="18">
        <f>IFERROR(BDH(Database!$A32&amp;" HK Equity","CUR_MKT_CAP",Database!$H32,Database!$H32),"")</f>
        <v/>
      </c>
      <c r="N32" s="97">
        <f>Database!Q32</f>
        <v/>
      </c>
      <c r="O32" s="24">
        <f>IFERROR(BDH(Database!$A32&amp;" HK Equity","PE_RATIO",Database!$H32,Database!$H32),"")</f>
        <v/>
      </c>
      <c r="P32" s="101">
        <f>IF(Database!BF32="","(n/m or not derivable)",Database!BF32)</f>
        <v/>
      </c>
      <c r="Q32" s="24">
        <f>IF(Database!BL32="","",IFERROR(BDH(LEFT(Database!BL32,FIND(".",Database!BL32)-1)&amp;" CH Equity","PE_RATIO",Database!$H32,Database!$H32),""))</f>
        <v/>
      </c>
      <c r="R32" s="24">
        <f>IF(Database!BL32="","",IFERROR(BDH("HSAHP Index","PX_LAST",Database!$H32,Database!$H32),""))</f>
        <v/>
      </c>
      <c r="S32" s="24">
        <f>IFERROR(BDP(Database!$A32&amp;" HK Equity","PX_TO_SALES_RATIO"),"")</f>
        <v/>
      </c>
      <c r="T32" s="18">
        <f>IF(Database!BL32="","",IFERROR(BDP(LEFT(Database!BL32,FIND(".",Database!BL32)-1)&amp;" CH Equity","CUR_MKT_CAP"),""))</f>
        <v/>
      </c>
    </row>
    <row r="33">
      <c r="A33" s="16">
        <f>Database!A33&amp;"  "&amp;Database!B33</f>
        <v/>
      </c>
      <c r="B33" s="10">
        <f>IFERROR(INDEX(BDS(Database!$A33&amp;" HK Equity","EQUITY_OFFERINGS","array=t","endcol=1"),MATCH("IPO",BDS(Database!$A33&amp;" HK Equity","EQUITY_OFFERINGS","array=t","startcol=2","endcol=2"),0)),"")</f>
        <v/>
      </c>
      <c r="C33" s="103">
        <f>IF($B33="","",IFERROR(BDP($B33&amp;" Action","CP036"),""))</f>
        <v/>
      </c>
      <c r="D33" s="104">
        <f>Database!S33</f>
        <v/>
      </c>
      <c r="E33" s="103">
        <f>IF($B33="","",IFERROR(BDP($B33&amp;" Action","CP037"),""))</f>
        <v/>
      </c>
      <c r="F33" s="104">
        <f>Database!T33</f>
        <v/>
      </c>
      <c r="G33" s="103">
        <f>IF($B33="","",IFERROR(BDP($B33&amp;" Action","GREENSHOE_FACILITY"),""))</f>
        <v/>
      </c>
      <c r="H33" s="103">
        <f>IF($B33="","",IFERROR(BDP($B33&amp;" Action","OFFERING_GREENSHOE_SHARES_EX"),""))</f>
        <v/>
      </c>
      <c r="I33" s="16">
        <f>Database!AG33</f>
        <v/>
      </c>
      <c r="J33" s="24">
        <f>IFERROR(BDP(Database!$A33&amp;" HK Equity","PE_RATIO"),"")</f>
        <v/>
      </c>
      <c r="K33" s="10">
        <f>IFERROR(BDP(Database!$A33&amp;" HK Equity","A/H_SHARE_CONVERSION"),"")</f>
        <v/>
      </c>
      <c r="L33" s="16">
        <f>IF(Database!BL33="","(none found)",Database!BL33)</f>
        <v/>
      </c>
      <c r="M33" s="18">
        <f>IFERROR(BDH(Database!$A33&amp;" HK Equity","CUR_MKT_CAP",Database!$H33,Database!$H33),"")</f>
        <v/>
      </c>
      <c r="N33" s="97">
        <f>Database!Q33</f>
        <v/>
      </c>
      <c r="O33" s="24">
        <f>IFERROR(BDH(Database!$A33&amp;" HK Equity","PE_RATIO",Database!$H33,Database!$H33),"")</f>
        <v/>
      </c>
      <c r="P33" s="101">
        <f>IF(Database!BF33="","(n/m or not derivable)",Database!BF33)</f>
        <v/>
      </c>
      <c r="Q33" s="24">
        <f>IF(Database!BL33="","",IFERROR(BDH(LEFT(Database!BL33,FIND(".",Database!BL33)-1)&amp;" CH Equity","PE_RATIO",Database!$H33,Database!$H33),""))</f>
        <v/>
      </c>
      <c r="R33" s="24">
        <f>IF(Database!BL33="","",IFERROR(BDH("HSAHP Index","PX_LAST",Database!$H33,Database!$H33),""))</f>
        <v/>
      </c>
      <c r="S33" s="24">
        <f>IFERROR(BDP(Database!$A33&amp;" HK Equity","PX_TO_SALES_RATIO"),"")</f>
        <v/>
      </c>
      <c r="T33" s="18">
        <f>IF(Database!BL33="","",IFERROR(BDP(LEFT(Database!BL33,FIND(".",Database!BL33)-1)&amp;" CH Equity","CUR_MKT_CAP"),""))</f>
        <v/>
      </c>
    </row>
    <row r="34">
      <c r="A34" s="16">
        <f>Database!A34&amp;"  "&amp;Database!B34</f>
        <v/>
      </c>
      <c r="B34" s="10">
        <f>IFERROR(INDEX(BDS(Database!$A34&amp;" HK Equity","EQUITY_OFFERINGS","array=t","endcol=1"),MATCH("IPO",BDS(Database!$A34&amp;" HK Equity","EQUITY_OFFERINGS","array=t","startcol=2","endcol=2"),0)),"")</f>
        <v/>
      </c>
      <c r="C34" s="103">
        <f>IF($B34="","",IFERROR(BDP($B34&amp;" Action","CP036"),""))</f>
        <v/>
      </c>
      <c r="D34" s="104">
        <f>Database!S34</f>
        <v/>
      </c>
      <c r="E34" s="103">
        <f>IF($B34="","",IFERROR(BDP($B34&amp;" Action","CP037"),""))</f>
        <v/>
      </c>
      <c r="F34" s="104">
        <f>Database!T34</f>
        <v/>
      </c>
      <c r="G34" s="103">
        <f>IF($B34="","",IFERROR(BDP($B34&amp;" Action","GREENSHOE_FACILITY"),""))</f>
        <v/>
      </c>
      <c r="H34" s="103">
        <f>IF($B34="","",IFERROR(BDP($B34&amp;" Action","OFFERING_GREENSHOE_SHARES_EX"),""))</f>
        <v/>
      </c>
      <c r="I34" s="16">
        <f>Database!AG34</f>
        <v/>
      </c>
      <c r="J34" s="24">
        <f>IFERROR(BDP(Database!$A34&amp;" HK Equity","PE_RATIO"),"")</f>
        <v/>
      </c>
      <c r="K34" s="10">
        <f>IFERROR(BDP(Database!$A34&amp;" HK Equity","A/H_SHARE_CONVERSION"),"")</f>
        <v/>
      </c>
      <c r="L34" s="16">
        <f>IF(Database!BL34="","(none found)",Database!BL34)</f>
        <v/>
      </c>
      <c r="M34" s="18">
        <f>IFERROR(BDH(Database!$A34&amp;" HK Equity","CUR_MKT_CAP",Database!$H34,Database!$H34),"")</f>
        <v/>
      </c>
      <c r="N34" s="97">
        <f>Database!Q34</f>
        <v/>
      </c>
      <c r="O34" s="24">
        <f>IFERROR(BDH(Database!$A34&amp;" HK Equity","PE_RATIO",Database!$H34,Database!$H34),"")</f>
        <v/>
      </c>
      <c r="P34" s="101">
        <f>IF(Database!BF34="","(n/m or not derivable)",Database!BF34)</f>
        <v/>
      </c>
      <c r="Q34" s="24">
        <f>IF(Database!BL34="","",IFERROR(BDH(LEFT(Database!BL34,FIND(".",Database!BL34)-1)&amp;" CH Equity","PE_RATIO",Database!$H34,Database!$H34),""))</f>
        <v/>
      </c>
      <c r="R34" s="24">
        <f>IF(Database!BL34="","",IFERROR(BDH("HSAHP Index","PX_LAST",Database!$H34,Database!$H34),""))</f>
        <v/>
      </c>
      <c r="S34" s="24">
        <f>IFERROR(BDP(Database!$A34&amp;" HK Equity","PX_TO_SALES_RATIO"),"")</f>
        <v/>
      </c>
      <c r="T34" s="18">
        <f>IF(Database!BL34="","",IFERROR(BDP(LEFT(Database!BL34,FIND(".",Database!BL34)-1)&amp;" CH Equity","CUR_MKT_CAP"),""))</f>
        <v/>
      </c>
    </row>
    <row r="35">
      <c r="A35" s="16">
        <f>Database!A35&amp;"  "&amp;Database!B35</f>
        <v/>
      </c>
      <c r="B35" s="10">
        <f>IFERROR(INDEX(BDS(Database!$A35&amp;" HK Equity","EQUITY_OFFERINGS","array=t","endcol=1"),MATCH("IPO",BDS(Database!$A35&amp;" HK Equity","EQUITY_OFFERINGS","array=t","startcol=2","endcol=2"),0)),"")</f>
        <v/>
      </c>
      <c r="C35" s="103">
        <f>IF($B35="","",IFERROR(BDP($B35&amp;" Action","CP036"),""))</f>
        <v/>
      </c>
      <c r="D35" s="104">
        <f>Database!S35</f>
        <v/>
      </c>
      <c r="E35" s="103">
        <f>IF($B35="","",IFERROR(BDP($B35&amp;" Action","CP037"),""))</f>
        <v/>
      </c>
      <c r="F35" s="104">
        <f>Database!T35</f>
        <v/>
      </c>
      <c r="G35" s="103">
        <f>IF($B35="","",IFERROR(BDP($B35&amp;" Action","GREENSHOE_FACILITY"),""))</f>
        <v/>
      </c>
      <c r="H35" s="103">
        <f>IF($B35="","",IFERROR(BDP($B35&amp;" Action","OFFERING_GREENSHOE_SHARES_EX"),""))</f>
        <v/>
      </c>
      <c r="I35" s="16">
        <f>Database!AG35</f>
        <v/>
      </c>
      <c r="J35" s="24">
        <f>IFERROR(BDP(Database!$A35&amp;" HK Equity","PE_RATIO"),"")</f>
        <v/>
      </c>
      <c r="K35" s="10">
        <f>IFERROR(BDP(Database!$A35&amp;" HK Equity","A/H_SHARE_CONVERSION"),"")</f>
        <v/>
      </c>
      <c r="L35" s="16">
        <f>IF(Database!BL35="","(none found)",Database!BL35)</f>
        <v/>
      </c>
      <c r="M35" s="18">
        <f>IFERROR(BDH(Database!$A35&amp;" HK Equity","CUR_MKT_CAP",Database!$H35,Database!$H35),"")</f>
        <v/>
      </c>
      <c r="N35" s="97">
        <f>Database!Q35</f>
        <v/>
      </c>
      <c r="O35" s="24">
        <f>IFERROR(BDH(Database!$A35&amp;" HK Equity","PE_RATIO",Database!$H35,Database!$H35),"")</f>
        <v/>
      </c>
      <c r="P35" s="101">
        <f>IF(Database!BF35="","(n/m or not derivable)",Database!BF35)</f>
        <v/>
      </c>
      <c r="Q35" s="24">
        <f>IF(Database!BL35="","",IFERROR(BDH(LEFT(Database!BL35,FIND(".",Database!BL35)-1)&amp;" CH Equity","PE_RATIO",Database!$H35,Database!$H35),""))</f>
        <v/>
      </c>
      <c r="R35" s="24">
        <f>IF(Database!BL35="","",IFERROR(BDH("HSAHP Index","PX_LAST",Database!$H35,Database!$H35),""))</f>
        <v/>
      </c>
      <c r="S35" s="24">
        <f>IFERROR(BDP(Database!$A35&amp;" HK Equity","PX_TO_SALES_RATIO"),"")</f>
        <v/>
      </c>
      <c r="T35" s="18">
        <f>IF(Database!BL35="","",IFERROR(BDP(LEFT(Database!BL35,FIND(".",Database!BL35)-1)&amp;" CH Equity","CUR_MKT_CAP"),""))</f>
        <v/>
      </c>
    </row>
    <row r="36">
      <c r="A36" s="16">
        <f>Database!A36&amp;"  "&amp;Database!B36</f>
        <v/>
      </c>
      <c r="B36" s="10">
        <f>IFERROR(INDEX(BDS(Database!$A36&amp;" HK Equity","EQUITY_OFFERINGS","array=t","endcol=1"),MATCH("IPO",BDS(Database!$A36&amp;" HK Equity","EQUITY_OFFERINGS","array=t","startcol=2","endcol=2"),0)),"")</f>
        <v/>
      </c>
      <c r="C36" s="103">
        <f>IF($B36="","",IFERROR(BDP($B36&amp;" Action","CP036"),""))</f>
        <v/>
      </c>
      <c r="D36" s="104">
        <f>Database!S36</f>
        <v/>
      </c>
      <c r="E36" s="103">
        <f>IF($B36="","",IFERROR(BDP($B36&amp;" Action","CP037"),""))</f>
        <v/>
      </c>
      <c r="F36" s="104">
        <f>Database!T36</f>
        <v/>
      </c>
      <c r="G36" s="103">
        <f>IF($B36="","",IFERROR(BDP($B36&amp;" Action","GREENSHOE_FACILITY"),""))</f>
        <v/>
      </c>
      <c r="H36" s="103">
        <f>IF($B36="","",IFERROR(BDP($B36&amp;" Action","OFFERING_GREENSHOE_SHARES_EX"),""))</f>
        <v/>
      </c>
      <c r="I36" s="16">
        <f>Database!AG36</f>
        <v/>
      </c>
      <c r="J36" s="24">
        <f>IFERROR(BDP(Database!$A36&amp;" HK Equity","PE_RATIO"),"")</f>
        <v/>
      </c>
      <c r="K36" s="10">
        <f>IFERROR(BDP(Database!$A36&amp;" HK Equity","A/H_SHARE_CONVERSION"),"")</f>
        <v/>
      </c>
      <c r="L36" s="16">
        <f>IF(Database!BL36="","(none found)",Database!BL36)</f>
        <v/>
      </c>
      <c r="M36" s="18">
        <f>IFERROR(BDH(Database!$A36&amp;" HK Equity","CUR_MKT_CAP",Database!$H36,Database!$H36),"")</f>
        <v/>
      </c>
      <c r="N36" s="97">
        <f>Database!Q36</f>
        <v/>
      </c>
      <c r="O36" s="24">
        <f>IFERROR(BDH(Database!$A36&amp;" HK Equity","PE_RATIO",Database!$H36,Database!$H36),"")</f>
        <v/>
      </c>
      <c r="P36" s="101">
        <f>IF(Database!BF36="","(n/m or not derivable)",Database!BF36)</f>
        <v/>
      </c>
      <c r="Q36" s="24">
        <f>IF(Database!BL36="","",IFERROR(BDH(LEFT(Database!BL36,FIND(".",Database!BL36)-1)&amp;" CH Equity","PE_RATIO",Database!$H36,Database!$H36),""))</f>
        <v/>
      </c>
      <c r="R36" s="24">
        <f>IF(Database!BL36="","",IFERROR(BDH("HSAHP Index","PX_LAST",Database!$H36,Database!$H36),""))</f>
        <v/>
      </c>
      <c r="S36" s="24">
        <f>IFERROR(BDP(Database!$A36&amp;" HK Equity","PX_TO_SALES_RATIO"),"")</f>
        <v/>
      </c>
      <c r="T36" s="18">
        <f>IF(Database!BL36="","",IFERROR(BDP(LEFT(Database!BL36,FIND(".",Database!BL36)-1)&amp;" CH Equity","CUR_MKT_CAP"),""))</f>
        <v/>
      </c>
    </row>
    <row r="37">
      <c r="A37" s="16">
        <f>Database!A37&amp;"  "&amp;Database!B37</f>
        <v/>
      </c>
      <c r="B37" s="10">
        <f>IFERROR(INDEX(BDS(Database!$A37&amp;" HK Equity","EQUITY_OFFERINGS","array=t","endcol=1"),MATCH("IPO",BDS(Database!$A37&amp;" HK Equity","EQUITY_OFFERINGS","array=t","startcol=2","endcol=2"),0)),"")</f>
        <v/>
      </c>
      <c r="C37" s="103">
        <f>IF($B37="","",IFERROR(BDP($B37&amp;" Action","CP036"),""))</f>
        <v/>
      </c>
      <c r="D37" s="104">
        <f>Database!S37</f>
        <v/>
      </c>
      <c r="E37" s="103">
        <f>IF($B37="","",IFERROR(BDP($B37&amp;" Action","CP037"),""))</f>
        <v/>
      </c>
      <c r="F37" s="104">
        <f>Database!T37</f>
        <v/>
      </c>
      <c r="G37" s="103">
        <f>IF($B37="","",IFERROR(BDP($B37&amp;" Action","GREENSHOE_FACILITY"),""))</f>
        <v/>
      </c>
      <c r="H37" s="103">
        <f>IF($B37="","",IFERROR(BDP($B37&amp;" Action","OFFERING_GREENSHOE_SHARES_EX"),""))</f>
        <v/>
      </c>
      <c r="I37" s="16">
        <f>Database!AG37</f>
        <v/>
      </c>
      <c r="J37" s="24">
        <f>IFERROR(BDP(Database!$A37&amp;" HK Equity","PE_RATIO"),"")</f>
        <v/>
      </c>
      <c r="K37" s="10">
        <f>IFERROR(BDP(Database!$A37&amp;" HK Equity","A/H_SHARE_CONVERSION"),"")</f>
        <v/>
      </c>
      <c r="L37" s="16">
        <f>IF(Database!BL37="","(none found)",Database!BL37)</f>
        <v/>
      </c>
      <c r="M37" s="18">
        <f>IFERROR(BDH(Database!$A37&amp;" HK Equity","CUR_MKT_CAP",Database!$H37,Database!$H37),"")</f>
        <v/>
      </c>
      <c r="N37" s="97">
        <f>Database!Q37</f>
        <v/>
      </c>
      <c r="O37" s="24">
        <f>IFERROR(BDH(Database!$A37&amp;" HK Equity","PE_RATIO",Database!$H37,Database!$H37),"")</f>
        <v/>
      </c>
      <c r="P37" s="101">
        <f>IF(Database!BF37="","(n/m or not derivable)",Database!BF37)</f>
        <v/>
      </c>
      <c r="Q37" s="24">
        <f>IF(Database!BL37="","",IFERROR(BDH(LEFT(Database!BL37,FIND(".",Database!BL37)-1)&amp;" CH Equity","PE_RATIO",Database!$H37,Database!$H37),""))</f>
        <v/>
      </c>
      <c r="R37" s="24">
        <f>IF(Database!BL37="","",IFERROR(BDH("HSAHP Index","PX_LAST",Database!$H37,Database!$H37),""))</f>
        <v/>
      </c>
      <c r="S37" s="24">
        <f>IFERROR(BDP(Database!$A37&amp;" HK Equity","PX_TO_SALES_RATIO"),"")</f>
        <v/>
      </c>
      <c r="T37" s="18">
        <f>IF(Database!BL37="","",IFERROR(BDP(LEFT(Database!BL37,FIND(".",Database!BL37)-1)&amp;" CH Equity","CUR_MKT_CAP"),""))</f>
        <v/>
      </c>
    </row>
    <row r="38">
      <c r="A38" s="16">
        <f>Database!A38&amp;"  "&amp;Database!B38</f>
        <v/>
      </c>
      <c r="B38" s="10">
        <f>IFERROR(INDEX(BDS(Database!$A38&amp;" HK Equity","EQUITY_OFFERINGS","array=t","endcol=1"),MATCH("IPO",BDS(Database!$A38&amp;" HK Equity","EQUITY_OFFERINGS","array=t","startcol=2","endcol=2"),0)),"")</f>
        <v/>
      </c>
      <c r="C38" s="103">
        <f>IF($B38="","",IFERROR(BDP($B38&amp;" Action","CP036"),""))</f>
        <v/>
      </c>
      <c r="D38" s="104">
        <f>Database!S38</f>
        <v/>
      </c>
      <c r="E38" s="103">
        <f>IF($B38="","",IFERROR(BDP($B38&amp;" Action","CP037"),""))</f>
        <v/>
      </c>
      <c r="F38" s="104">
        <f>Database!T38</f>
        <v/>
      </c>
      <c r="G38" s="103">
        <f>IF($B38="","",IFERROR(BDP($B38&amp;" Action","GREENSHOE_FACILITY"),""))</f>
        <v/>
      </c>
      <c r="H38" s="103">
        <f>IF($B38="","",IFERROR(BDP($B38&amp;" Action","OFFERING_GREENSHOE_SHARES_EX"),""))</f>
        <v/>
      </c>
      <c r="I38" s="16">
        <f>Database!AG38</f>
        <v/>
      </c>
      <c r="J38" s="24">
        <f>IFERROR(BDP(Database!$A38&amp;" HK Equity","PE_RATIO"),"")</f>
        <v/>
      </c>
      <c r="K38" s="10">
        <f>IFERROR(BDP(Database!$A38&amp;" HK Equity","A/H_SHARE_CONVERSION"),"")</f>
        <v/>
      </c>
      <c r="L38" s="16">
        <f>IF(Database!BL38="","(none found)",Database!BL38)</f>
        <v/>
      </c>
      <c r="M38" s="18">
        <f>IFERROR(BDH(Database!$A38&amp;" HK Equity","CUR_MKT_CAP",Database!$H38,Database!$H38),"")</f>
        <v/>
      </c>
      <c r="N38" s="97">
        <f>Database!Q38</f>
        <v/>
      </c>
      <c r="O38" s="24">
        <f>IFERROR(BDH(Database!$A38&amp;" HK Equity","PE_RATIO",Database!$H38,Database!$H38),"")</f>
        <v/>
      </c>
      <c r="P38" s="101">
        <f>IF(Database!BF38="","(n/m or not derivable)",Database!BF38)</f>
        <v/>
      </c>
      <c r="Q38" s="24">
        <f>IF(Database!BL38="","",IFERROR(BDH(LEFT(Database!BL38,FIND(".",Database!BL38)-1)&amp;" CH Equity","PE_RATIO",Database!$H38,Database!$H38),""))</f>
        <v/>
      </c>
      <c r="R38" s="24">
        <f>IF(Database!BL38="","",IFERROR(BDH("HSAHP Index","PX_LAST",Database!$H38,Database!$H38),""))</f>
        <v/>
      </c>
      <c r="S38" s="24">
        <f>IFERROR(BDP(Database!$A38&amp;" HK Equity","PX_TO_SALES_RATIO"),"")</f>
        <v/>
      </c>
      <c r="T38" s="18">
        <f>IF(Database!BL38="","",IFERROR(BDP(LEFT(Database!BL38,FIND(".",Database!BL38)-1)&amp;" CH Equity","CUR_MKT_CAP"),""))</f>
        <v/>
      </c>
    </row>
    <row r="39">
      <c r="A39" s="16">
        <f>Database!A39&amp;"  "&amp;Database!B39</f>
        <v/>
      </c>
      <c r="B39" s="10">
        <f>IFERROR(INDEX(BDS(Database!$A39&amp;" HK Equity","EQUITY_OFFERINGS","array=t","endcol=1"),MATCH("IPO",BDS(Database!$A39&amp;" HK Equity","EQUITY_OFFERINGS","array=t","startcol=2","endcol=2"),0)),"")</f>
        <v/>
      </c>
      <c r="C39" s="103">
        <f>IF($B39="","",IFERROR(BDP($B39&amp;" Action","CP036"),""))</f>
        <v/>
      </c>
      <c r="D39" s="104">
        <f>Database!S39</f>
        <v/>
      </c>
      <c r="E39" s="103">
        <f>IF($B39="","",IFERROR(BDP($B39&amp;" Action","CP037"),""))</f>
        <v/>
      </c>
      <c r="F39" s="104">
        <f>Database!T39</f>
        <v/>
      </c>
      <c r="G39" s="103">
        <f>IF($B39="","",IFERROR(BDP($B39&amp;" Action","GREENSHOE_FACILITY"),""))</f>
        <v/>
      </c>
      <c r="H39" s="103">
        <f>IF($B39="","",IFERROR(BDP($B39&amp;" Action","OFFERING_GREENSHOE_SHARES_EX"),""))</f>
        <v/>
      </c>
      <c r="I39" s="16">
        <f>Database!AG39</f>
        <v/>
      </c>
      <c r="J39" s="24">
        <f>IFERROR(BDP(Database!$A39&amp;" HK Equity","PE_RATIO"),"")</f>
        <v/>
      </c>
      <c r="K39" s="10">
        <f>IFERROR(BDP(Database!$A39&amp;" HK Equity","A/H_SHARE_CONVERSION"),"")</f>
        <v/>
      </c>
      <c r="L39" s="16">
        <f>IF(Database!BL39="","(none found)",Database!BL39)</f>
        <v/>
      </c>
      <c r="M39" s="18">
        <f>IFERROR(BDH(Database!$A39&amp;" HK Equity","CUR_MKT_CAP",Database!$H39,Database!$H39),"")</f>
        <v/>
      </c>
      <c r="N39" s="97">
        <f>Database!Q39</f>
        <v/>
      </c>
      <c r="O39" s="24">
        <f>IFERROR(BDH(Database!$A39&amp;" HK Equity","PE_RATIO",Database!$H39,Database!$H39),"")</f>
        <v/>
      </c>
      <c r="P39" s="101">
        <f>IF(Database!BF39="","(n/m or not derivable)",Database!BF39)</f>
        <v/>
      </c>
      <c r="Q39" s="24">
        <f>IF(Database!BL39="","",IFERROR(BDH(LEFT(Database!BL39,FIND(".",Database!BL39)-1)&amp;" CH Equity","PE_RATIO",Database!$H39,Database!$H39),""))</f>
        <v/>
      </c>
      <c r="R39" s="24">
        <f>IF(Database!BL39="","",IFERROR(BDH("HSAHP Index","PX_LAST",Database!$H39,Database!$H39),""))</f>
        <v/>
      </c>
      <c r="S39" s="24">
        <f>IFERROR(BDP(Database!$A39&amp;" HK Equity","PX_TO_SALES_RATIO"),"")</f>
        <v/>
      </c>
      <c r="T39" s="18">
        <f>IF(Database!BL39="","",IFERROR(BDP(LEFT(Database!BL39,FIND(".",Database!BL39)-1)&amp;" CH Equity","CUR_MKT_CAP"),""))</f>
        <v/>
      </c>
    </row>
    <row r="40">
      <c r="A40" s="16">
        <f>Database!A40&amp;"  "&amp;Database!B40</f>
        <v/>
      </c>
      <c r="B40" s="10">
        <f>IFERROR(INDEX(BDS(Database!$A40&amp;" HK Equity","EQUITY_OFFERINGS","array=t","endcol=1"),MATCH("IPO",BDS(Database!$A40&amp;" HK Equity","EQUITY_OFFERINGS","array=t","startcol=2","endcol=2"),0)),"")</f>
        <v/>
      </c>
      <c r="C40" s="103">
        <f>IF($B40="","",IFERROR(BDP($B40&amp;" Action","CP036"),""))</f>
        <v/>
      </c>
      <c r="D40" s="104">
        <f>Database!S40</f>
        <v/>
      </c>
      <c r="E40" s="103">
        <f>IF($B40="","",IFERROR(BDP($B40&amp;" Action","CP037"),""))</f>
        <v/>
      </c>
      <c r="F40" s="104">
        <f>Database!T40</f>
        <v/>
      </c>
      <c r="G40" s="103">
        <f>IF($B40="","",IFERROR(BDP($B40&amp;" Action","GREENSHOE_FACILITY"),""))</f>
        <v/>
      </c>
      <c r="H40" s="103">
        <f>IF($B40="","",IFERROR(BDP($B40&amp;" Action","OFFERING_GREENSHOE_SHARES_EX"),""))</f>
        <v/>
      </c>
      <c r="I40" s="16">
        <f>Database!AG40</f>
        <v/>
      </c>
      <c r="J40" s="24">
        <f>IFERROR(BDP(Database!$A40&amp;" HK Equity","PE_RATIO"),"")</f>
        <v/>
      </c>
      <c r="K40" s="10">
        <f>IFERROR(BDP(Database!$A40&amp;" HK Equity","A/H_SHARE_CONVERSION"),"")</f>
        <v/>
      </c>
      <c r="L40" s="16">
        <f>IF(Database!BL40="","(none found)",Database!BL40)</f>
        <v/>
      </c>
      <c r="M40" s="18">
        <f>IFERROR(BDH(Database!$A40&amp;" HK Equity","CUR_MKT_CAP",Database!$H40,Database!$H40),"")</f>
        <v/>
      </c>
      <c r="N40" s="97">
        <f>Database!Q40</f>
        <v/>
      </c>
      <c r="O40" s="24">
        <f>IFERROR(BDH(Database!$A40&amp;" HK Equity","PE_RATIO",Database!$H40,Database!$H40),"")</f>
        <v/>
      </c>
      <c r="P40" s="101">
        <f>IF(Database!BF40="","(n/m or not derivable)",Database!BF40)</f>
        <v/>
      </c>
      <c r="Q40" s="24">
        <f>IF(Database!BL40="","",IFERROR(BDH(LEFT(Database!BL40,FIND(".",Database!BL40)-1)&amp;" CH Equity","PE_RATIO",Database!$H40,Database!$H40),""))</f>
        <v/>
      </c>
      <c r="R40" s="24">
        <f>IF(Database!BL40="","",IFERROR(BDH("HSAHP Index","PX_LAST",Database!$H40,Database!$H40),""))</f>
        <v/>
      </c>
      <c r="S40" s="24">
        <f>IFERROR(BDP(Database!$A40&amp;" HK Equity","PX_TO_SALES_RATIO"),"")</f>
        <v/>
      </c>
      <c r="T40" s="18">
        <f>IF(Database!BL40="","",IFERROR(BDP(LEFT(Database!BL40,FIND(".",Database!BL40)-1)&amp;" CH Equity","CUR_MKT_CAP"),""))</f>
        <v/>
      </c>
    </row>
    <row r="41">
      <c r="A41" s="16">
        <f>Database!A41&amp;"  "&amp;Database!B41</f>
        <v/>
      </c>
      <c r="B41" s="10">
        <f>IFERROR(INDEX(BDS(Database!$A41&amp;" HK Equity","EQUITY_OFFERINGS","array=t","endcol=1"),MATCH("IPO",BDS(Database!$A41&amp;" HK Equity","EQUITY_OFFERINGS","array=t","startcol=2","endcol=2"),0)),"")</f>
        <v/>
      </c>
      <c r="C41" s="103">
        <f>IF($B41="","",IFERROR(BDP($B41&amp;" Action","CP036"),""))</f>
        <v/>
      </c>
      <c r="D41" s="104">
        <f>Database!S41</f>
        <v/>
      </c>
      <c r="E41" s="103">
        <f>IF($B41="","",IFERROR(BDP($B41&amp;" Action","CP037"),""))</f>
        <v/>
      </c>
      <c r="F41" s="104">
        <f>Database!T41</f>
        <v/>
      </c>
      <c r="G41" s="103">
        <f>IF($B41="","",IFERROR(BDP($B41&amp;" Action","GREENSHOE_FACILITY"),""))</f>
        <v/>
      </c>
      <c r="H41" s="103">
        <f>IF($B41="","",IFERROR(BDP($B41&amp;" Action","OFFERING_GREENSHOE_SHARES_EX"),""))</f>
        <v/>
      </c>
      <c r="I41" s="16">
        <f>Database!AG41</f>
        <v/>
      </c>
      <c r="J41" s="24">
        <f>IFERROR(BDP(Database!$A41&amp;" HK Equity","PE_RATIO"),"")</f>
        <v/>
      </c>
      <c r="K41" s="10">
        <f>IFERROR(BDP(Database!$A41&amp;" HK Equity","A/H_SHARE_CONVERSION"),"")</f>
        <v/>
      </c>
      <c r="L41" s="16">
        <f>IF(Database!BL41="","(none found)",Database!BL41)</f>
        <v/>
      </c>
      <c r="M41" s="18">
        <f>IFERROR(BDH(Database!$A41&amp;" HK Equity","CUR_MKT_CAP",Database!$H41,Database!$H41),"")</f>
        <v/>
      </c>
      <c r="N41" s="97">
        <f>Database!Q41</f>
        <v/>
      </c>
      <c r="O41" s="24">
        <f>IFERROR(BDH(Database!$A41&amp;" HK Equity","PE_RATIO",Database!$H41,Database!$H41),"")</f>
        <v/>
      </c>
      <c r="P41" s="101">
        <f>IF(Database!BF41="","(n/m or not derivable)",Database!BF41)</f>
        <v/>
      </c>
      <c r="Q41" s="24">
        <f>IF(Database!BL41="","",IFERROR(BDH(LEFT(Database!BL41,FIND(".",Database!BL41)-1)&amp;" CH Equity","PE_RATIO",Database!$H41,Database!$H41),""))</f>
        <v/>
      </c>
      <c r="R41" s="24">
        <f>IF(Database!BL41="","",IFERROR(BDH("HSAHP Index","PX_LAST",Database!$H41,Database!$H41),""))</f>
        <v/>
      </c>
      <c r="S41" s="24">
        <f>IFERROR(BDP(Database!$A41&amp;" HK Equity","PX_TO_SALES_RATIO"),"")</f>
        <v/>
      </c>
      <c r="T41" s="18">
        <f>IF(Database!BL41="","",IFERROR(BDP(LEFT(Database!BL41,FIND(".",Database!BL41)-1)&amp;" CH Equity","CUR_MKT_CAP"),""))</f>
        <v/>
      </c>
    </row>
    <row r="42">
      <c r="A42" s="16">
        <f>Database!A42&amp;"  "&amp;Database!B42</f>
        <v/>
      </c>
      <c r="B42" s="10">
        <f>IFERROR(INDEX(BDS(Database!$A42&amp;" HK Equity","EQUITY_OFFERINGS","array=t","endcol=1"),MATCH("IPO",BDS(Database!$A42&amp;" HK Equity","EQUITY_OFFERINGS","array=t","startcol=2","endcol=2"),0)),"")</f>
        <v/>
      </c>
      <c r="C42" s="103">
        <f>IF($B42="","",IFERROR(BDP($B42&amp;" Action","CP036"),""))</f>
        <v/>
      </c>
      <c r="D42" s="104">
        <f>Database!S42</f>
        <v/>
      </c>
      <c r="E42" s="103">
        <f>IF($B42="","",IFERROR(BDP($B42&amp;" Action","CP037"),""))</f>
        <v/>
      </c>
      <c r="F42" s="104">
        <f>Database!T42</f>
        <v/>
      </c>
      <c r="G42" s="103">
        <f>IF($B42="","",IFERROR(BDP($B42&amp;" Action","GREENSHOE_FACILITY"),""))</f>
        <v/>
      </c>
      <c r="H42" s="103">
        <f>IF($B42="","",IFERROR(BDP($B42&amp;" Action","OFFERING_GREENSHOE_SHARES_EX"),""))</f>
        <v/>
      </c>
      <c r="I42" s="16">
        <f>Database!AG42</f>
        <v/>
      </c>
      <c r="J42" s="24">
        <f>IFERROR(BDP(Database!$A42&amp;" HK Equity","PE_RATIO"),"")</f>
        <v/>
      </c>
      <c r="K42" s="10">
        <f>IFERROR(BDP(Database!$A42&amp;" HK Equity","A/H_SHARE_CONVERSION"),"")</f>
        <v/>
      </c>
      <c r="L42" s="16">
        <f>IF(Database!BL42="","(none found)",Database!BL42)</f>
        <v/>
      </c>
      <c r="M42" s="18">
        <f>IFERROR(BDH(Database!$A42&amp;" HK Equity","CUR_MKT_CAP",Database!$H42,Database!$H42),"")</f>
        <v/>
      </c>
      <c r="N42" s="97">
        <f>Database!Q42</f>
        <v/>
      </c>
      <c r="O42" s="24">
        <f>IFERROR(BDH(Database!$A42&amp;" HK Equity","PE_RATIO",Database!$H42,Database!$H42),"")</f>
        <v/>
      </c>
      <c r="P42" s="101">
        <f>IF(Database!BF42="","(n/m or not derivable)",Database!BF42)</f>
        <v/>
      </c>
      <c r="Q42" s="24">
        <f>IF(Database!BL42="","",IFERROR(BDH(LEFT(Database!BL42,FIND(".",Database!BL42)-1)&amp;" CH Equity","PE_RATIO",Database!$H42,Database!$H42),""))</f>
        <v/>
      </c>
      <c r="R42" s="24">
        <f>IF(Database!BL42="","",IFERROR(BDH("HSAHP Index","PX_LAST",Database!$H42,Database!$H42),""))</f>
        <v/>
      </c>
      <c r="S42" s="24">
        <f>IFERROR(BDP(Database!$A42&amp;" HK Equity","PX_TO_SALES_RATIO"),"")</f>
        <v/>
      </c>
      <c r="T42" s="18">
        <f>IF(Database!BL42="","",IFERROR(BDP(LEFT(Database!BL42,FIND(".",Database!BL42)-1)&amp;" CH Equity","CUR_MKT_CAP"),""))</f>
        <v/>
      </c>
    </row>
    <row r="43">
      <c r="A43" s="16">
        <f>Database!A43&amp;"  "&amp;Database!B43</f>
        <v/>
      </c>
      <c r="B43" s="10">
        <f>IFERROR(INDEX(BDS(Database!$A43&amp;" HK Equity","EQUITY_OFFERINGS","array=t","endcol=1"),MATCH("IPO",BDS(Database!$A43&amp;" HK Equity","EQUITY_OFFERINGS","array=t","startcol=2","endcol=2"),0)),"")</f>
        <v/>
      </c>
      <c r="C43" s="103">
        <f>IF($B43="","",IFERROR(BDP($B43&amp;" Action","CP036"),""))</f>
        <v/>
      </c>
      <c r="D43" s="104">
        <f>Database!S43</f>
        <v/>
      </c>
      <c r="E43" s="103">
        <f>IF($B43="","",IFERROR(BDP($B43&amp;" Action","CP037"),""))</f>
        <v/>
      </c>
      <c r="F43" s="104">
        <f>Database!T43</f>
        <v/>
      </c>
      <c r="G43" s="103">
        <f>IF($B43="","",IFERROR(BDP($B43&amp;" Action","GREENSHOE_FACILITY"),""))</f>
        <v/>
      </c>
      <c r="H43" s="103">
        <f>IF($B43="","",IFERROR(BDP($B43&amp;" Action","OFFERING_GREENSHOE_SHARES_EX"),""))</f>
        <v/>
      </c>
      <c r="I43" s="16">
        <f>Database!AG43</f>
        <v/>
      </c>
      <c r="J43" s="24">
        <f>IFERROR(BDP(Database!$A43&amp;" HK Equity","PE_RATIO"),"")</f>
        <v/>
      </c>
      <c r="K43" s="10">
        <f>IFERROR(BDP(Database!$A43&amp;" HK Equity","A/H_SHARE_CONVERSION"),"")</f>
        <v/>
      </c>
      <c r="L43" s="16">
        <f>IF(Database!BL43="","(none found)",Database!BL43)</f>
        <v/>
      </c>
      <c r="M43" s="18">
        <f>IFERROR(BDH(Database!$A43&amp;" HK Equity","CUR_MKT_CAP",Database!$H43,Database!$H43),"")</f>
        <v/>
      </c>
      <c r="N43" s="97">
        <f>Database!Q43</f>
        <v/>
      </c>
      <c r="O43" s="24">
        <f>IFERROR(BDH(Database!$A43&amp;" HK Equity","PE_RATIO",Database!$H43,Database!$H43),"")</f>
        <v/>
      </c>
      <c r="P43" s="101">
        <f>IF(Database!BF43="","(n/m or not derivable)",Database!BF43)</f>
        <v/>
      </c>
      <c r="Q43" s="24">
        <f>IF(Database!BL43="","",IFERROR(BDH(LEFT(Database!BL43,FIND(".",Database!BL43)-1)&amp;" CH Equity","PE_RATIO",Database!$H43,Database!$H43),""))</f>
        <v/>
      </c>
      <c r="R43" s="24">
        <f>IF(Database!BL43="","",IFERROR(BDH("HSAHP Index","PX_LAST",Database!$H43,Database!$H43),""))</f>
        <v/>
      </c>
      <c r="S43" s="24">
        <f>IFERROR(BDP(Database!$A43&amp;" HK Equity","PX_TO_SALES_RATIO"),"")</f>
        <v/>
      </c>
      <c r="T43" s="18">
        <f>IF(Database!BL43="","",IFERROR(BDP(LEFT(Database!BL43,FIND(".",Database!BL43)-1)&amp;" CH Equity","CUR_MKT_CAP"),""))</f>
        <v/>
      </c>
    </row>
    <row r="44">
      <c r="A44" s="16">
        <f>Database!A44&amp;"  "&amp;Database!B44</f>
        <v/>
      </c>
      <c r="B44" s="10">
        <f>IFERROR(INDEX(BDS(Database!$A44&amp;" HK Equity","EQUITY_OFFERINGS","array=t","endcol=1"),MATCH("IPO",BDS(Database!$A44&amp;" HK Equity","EQUITY_OFFERINGS","array=t","startcol=2","endcol=2"),0)),"")</f>
        <v/>
      </c>
      <c r="C44" s="103">
        <f>IF($B44="","",IFERROR(BDP($B44&amp;" Action","CP036"),""))</f>
        <v/>
      </c>
      <c r="D44" s="104">
        <f>Database!S44</f>
        <v/>
      </c>
      <c r="E44" s="103">
        <f>IF($B44="","",IFERROR(BDP($B44&amp;" Action","CP037"),""))</f>
        <v/>
      </c>
      <c r="F44" s="104">
        <f>Database!T44</f>
        <v/>
      </c>
      <c r="G44" s="103">
        <f>IF($B44="","",IFERROR(BDP($B44&amp;" Action","GREENSHOE_FACILITY"),""))</f>
        <v/>
      </c>
      <c r="H44" s="103">
        <f>IF($B44="","",IFERROR(BDP($B44&amp;" Action","OFFERING_GREENSHOE_SHARES_EX"),""))</f>
        <v/>
      </c>
      <c r="I44" s="16">
        <f>Database!AG44</f>
        <v/>
      </c>
      <c r="J44" s="24">
        <f>IFERROR(BDP(Database!$A44&amp;" HK Equity","PE_RATIO"),"")</f>
        <v/>
      </c>
      <c r="K44" s="10">
        <f>IFERROR(BDP(Database!$A44&amp;" HK Equity","A/H_SHARE_CONVERSION"),"")</f>
        <v/>
      </c>
      <c r="L44" s="16">
        <f>IF(Database!BL44="","(none found)",Database!BL44)</f>
        <v/>
      </c>
      <c r="M44" s="18">
        <f>IFERROR(BDH(Database!$A44&amp;" HK Equity","CUR_MKT_CAP",Database!$H44,Database!$H44),"")</f>
        <v/>
      </c>
      <c r="N44" s="97">
        <f>Database!Q44</f>
        <v/>
      </c>
      <c r="O44" s="24">
        <f>IFERROR(BDH(Database!$A44&amp;" HK Equity","PE_RATIO",Database!$H44,Database!$H44),"")</f>
        <v/>
      </c>
      <c r="P44" s="101">
        <f>IF(Database!BF44="","(n/m or not derivable)",Database!BF44)</f>
        <v/>
      </c>
      <c r="Q44" s="24">
        <f>IF(Database!BL44="","",IFERROR(BDH(LEFT(Database!BL44,FIND(".",Database!BL44)-1)&amp;" CH Equity","PE_RATIO",Database!$H44,Database!$H44),""))</f>
        <v/>
      </c>
      <c r="R44" s="24">
        <f>IF(Database!BL44="","",IFERROR(BDH("HSAHP Index","PX_LAST",Database!$H44,Database!$H44),""))</f>
        <v/>
      </c>
      <c r="S44" s="24">
        <f>IFERROR(BDP(Database!$A44&amp;" HK Equity","PX_TO_SALES_RATIO"),"")</f>
        <v/>
      </c>
      <c r="T44" s="18">
        <f>IF(Database!BL44="","",IFERROR(BDP(LEFT(Database!BL44,FIND(".",Database!BL44)-1)&amp;" CH Equity","CUR_MKT_CAP"),""))</f>
        <v/>
      </c>
    </row>
    <row r="45">
      <c r="A45" s="16">
        <f>Database!A45&amp;"  "&amp;Database!B45</f>
        <v/>
      </c>
      <c r="B45" s="10">
        <f>IFERROR(INDEX(BDS(Database!$A45&amp;" HK Equity","EQUITY_OFFERINGS","array=t","endcol=1"),MATCH("IPO",BDS(Database!$A45&amp;" HK Equity","EQUITY_OFFERINGS","array=t","startcol=2","endcol=2"),0)),"")</f>
        <v/>
      </c>
      <c r="C45" s="103">
        <f>IF($B45="","",IFERROR(BDP($B45&amp;" Action","CP036"),""))</f>
        <v/>
      </c>
      <c r="D45" s="104">
        <f>Database!S45</f>
        <v/>
      </c>
      <c r="E45" s="103">
        <f>IF($B45="","",IFERROR(BDP($B45&amp;" Action","CP037"),""))</f>
        <v/>
      </c>
      <c r="F45" s="104">
        <f>Database!T45</f>
        <v/>
      </c>
      <c r="G45" s="103">
        <f>IF($B45="","",IFERROR(BDP($B45&amp;" Action","GREENSHOE_FACILITY"),""))</f>
        <v/>
      </c>
      <c r="H45" s="103">
        <f>IF($B45="","",IFERROR(BDP($B45&amp;" Action","OFFERING_GREENSHOE_SHARES_EX"),""))</f>
        <v/>
      </c>
      <c r="I45" s="16">
        <f>Database!AG45</f>
        <v/>
      </c>
      <c r="J45" s="24">
        <f>IFERROR(BDP(Database!$A45&amp;" HK Equity","PE_RATIO"),"")</f>
        <v/>
      </c>
      <c r="K45" s="10">
        <f>IFERROR(BDP(Database!$A45&amp;" HK Equity","A/H_SHARE_CONVERSION"),"")</f>
        <v/>
      </c>
      <c r="L45" s="16">
        <f>IF(Database!BL45="","(none found)",Database!BL45)</f>
        <v/>
      </c>
      <c r="M45" s="18">
        <f>IFERROR(BDH(Database!$A45&amp;" HK Equity","CUR_MKT_CAP",Database!$H45,Database!$H45),"")</f>
        <v/>
      </c>
      <c r="N45" s="97">
        <f>Database!Q45</f>
        <v/>
      </c>
      <c r="O45" s="24">
        <f>IFERROR(BDH(Database!$A45&amp;" HK Equity","PE_RATIO",Database!$H45,Database!$H45),"")</f>
        <v/>
      </c>
      <c r="P45" s="101">
        <f>IF(Database!BF45="","(n/m or not derivable)",Database!BF45)</f>
        <v/>
      </c>
      <c r="Q45" s="24">
        <f>IF(Database!BL45="","",IFERROR(BDH(LEFT(Database!BL45,FIND(".",Database!BL45)-1)&amp;" CH Equity","PE_RATIO",Database!$H45,Database!$H45),""))</f>
        <v/>
      </c>
      <c r="R45" s="24">
        <f>IF(Database!BL45="","",IFERROR(BDH("HSAHP Index","PX_LAST",Database!$H45,Database!$H45),""))</f>
        <v/>
      </c>
      <c r="S45" s="24">
        <f>IFERROR(BDP(Database!$A45&amp;" HK Equity","PX_TO_SALES_RATIO"),"")</f>
        <v/>
      </c>
      <c r="T45" s="18">
        <f>IF(Database!BL45="","",IFERROR(BDP(LEFT(Database!BL45,FIND(".",Database!BL45)-1)&amp;" CH Equity","CUR_MKT_CAP"),""))</f>
        <v/>
      </c>
    </row>
    <row r="46">
      <c r="A46" s="16">
        <f>Database!A46&amp;"  "&amp;Database!B46</f>
        <v/>
      </c>
      <c r="B46" s="10">
        <f>IFERROR(INDEX(BDS(Database!$A46&amp;" HK Equity","EQUITY_OFFERINGS","array=t","endcol=1"),MATCH("IPO",BDS(Database!$A46&amp;" HK Equity","EQUITY_OFFERINGS","array=t","startcol=2","endcol=2"),0)),"")</f>
        <v/>
      </c>
      <c r="C46" s="103">
        <f>IF($B46="","",IFERROR(BDP($B46&amp;" Action","CP036"),""))</f>
        <v/>
      </c>
      <c r="D46" s="104">
        <f>Database!S46</f>
        <v/>
      </c>
      <c r="E46" s="103">
        <f>IF($B46="","",IFERROR(BDP($B46&amp;" Action","CP037"),""))</f>
        <v/>
      </c>
      <c r="F46" s="104">
        <f>Database!T46</f>
        <v/>
      </c>
      <c r="G46" s="103">
        <f>IF($B46="","",IFERROR(BDP($B46&amp;" Action","GREENSHOE_FACILITY"),""))</f>
        <v/>
      </c>
      <c r="H46" s="103">
        <f>IF($B46="","",IFERROR(BDP($B46&amp;" Action","OFFERING_GREENSHOE_SHARES_EX"),""))</f>
        <v/>
      </c>
      <c r="I46" s="16">
        <f>Database!AG46</f>
        <v/>
      </c>
      <c r="J46" s="24">
        <f>IFERROR(BDP(Database!$A46&amp;" HK Equity","PE_RATIO"),"")</f>
        <v/>
      </c>
      <c r="K46" s="10">
        <f>IFERROR(BDP(Database!$A46&amp;" HK Equity","A/H_SHARE_CONVERSION"),"")</f>
        <v/>
      </c>
      <c r="L46" s="16">
        <f>IF(Database!BL46="","(none found)",Database!BL46)</f>
        <v/>
      </c>
      <c r="M46" s="18">
        <f>IFERROR(BDH(Database!$A46&amp;" HK Equity","CUR_MKT_CAP",Database!$H46,Database!$H46),"")</f>
        <v/>
      </c>
      <c r="N46" s="97">
        <f>Database!Q46</f>
        <v/>
      </c>
      <c r="O46" s="24">
        <f>IFERROR(BDH(Database!$A46&amp;" HK Equity","PE_RATIO",Database!$H46,Database!$H46),"")</f>
        <v/>
      </c>
      <c r="P46" s="101">
        <f>IF(Database!BF46="","(n/m or not derivable)",Database!BF46)</f>
        <v/>
      </c>
      <c r="Q46" s="24">
        <f>IF(Database!BL46="","",IFERROR(BDH(LEFT(Database!BL46,FIND(".",Database!BL46)-1)&amp;" CH Equity","PE_RATIO",Database!$H46,Database!$H46),""))</f>
        <v/>
      </c>
      <c r="R46" s="24">
        <f>IF(Database!BL46="","",IFERROR(BDH("HSAHP Index","PX_LAST",Database!$H46,Database!$H46),""))</f>
        <v/>
      </c>
      <c r="S46" s="24">
        <f>IFERROR(BDP(Database!$A46&amp;" HK Equity","PX_TO_SALES_RATIO"),"")</f>
        <v/>
      </c>
      <c r="T46" s="18">
        <f>IF(Database!BL46="","",IFERROR(BDP(LEFT(Database!BL46,FIND(".",Database!BL46)-1)&amp;" CH Equity","CUR_MKT_CAP"),""))</f>
        <v/>
      </c>
    </row>
    <row r="47">
      <c r="A47" s="16">
        <f>Database!A47&amp;"  "&amp;Database!B47</f>
        <v/>
      </c>
      <c r="B47" s="10">
        <f>IFERROR(INDEX(BDS(Database!$A47&amp;" HK Equity","EQUITY_OFFERINGS","array=t","endcol=1"),MATCH("IPO",BDS(Database!$A47&amp;" HK Equity","EQUITY_OFFERINGS","array=t","startcol=2","endcol=2"),0)),"")</f>
        <v/>
      </c>
      <c r="C47" s="103">
        <f>IF($B47="","",IFERROR(BDP($B47&amp;" Action","CP036"),""))</f>
        <v/>
      </c>
      <c r="D47" s="104">
        <f>Database!S47</f>
        <v/>
      </c>
      <c r="E47" s="103">
        <f>IF($B47="","",IFERROR(BDP($B47&amp;" Action","CP037"),""))</f>
        <v/>
      </c>
      <c r="F47" s="104">
        <f>Database!T47</f>
        <v/>
      </c>
      <c r="G47" s="103">
        <f>IF($B47="","",IFERROR(BDP($B47&amp;" Action","GREENSHOE_FACILITY"),""))</f>
        <v/>
      </c>
      <c r="H47" s="103">
        <f>IF($B47="","",IFERROR(BDP($B47&amp;" Action","OFFERING_GREENSHOE_SHARES_EX"),""))</f>
        <v/>
      </c>
      <c r="I47" s="16">
        <f>Database!AG47</f>
        <v/>
      </c>
      <c r="J47" s="24">
        <f>IFERROR(BDP(Database!$A47&amp;" HK Equity","PE_RATIO"),"")</f>
        <v/>
      </c>
      <c r="K47" s="10">
        <f>IFERROR(BDP(Database!$A47&amp;" HK Equity","A/H_SHARE_CONVERSION"),"")</f>
        <v/>
      </c>
      <c r="L47" s="16">
        <f>IF(Database!BL47="","(none found)",Database!BL47)</f>
        <v/>
      </c>
      <c r="M47" s="18">
        <f>IFERROR(BDH(Database!$A47&amp;" HK Equity","CUR_MKT_CAP",Database!$H47,Database!$H47),"")</f>
        <v/>
      </c>
      <c r="N47" s="97">
        <f>Database!Q47</f>
        <v/>
      </c>
      <c r="O47" s="24">
        <f>IFERROR(BDH(Database!$A47&amp;" HK Equity","PE_RATIO",Database!$H47,Database!$H47),"")</f>
        <v/>
      </c>
      <c r="P47" s="101">
        <f>IF(Database!BF47="","(n/m or not derivable)",Database!BF47)</f>
        <v/>
      </c>
      <c r="Q47" s="24">
        <f>IF(Database!BL47="","",IFERROR(BDH(LEFT(Database!BL47,FIND(".",Database!BL47)-1)&amp;" CH Equity","PE_RATIO",Database!$H47,Database!$H47),""))</f>
        <v/>
      </c>
      <c r="R47" s="24">
        <f>IF(Database!BL47="","",IFERROR(BDH("HSAHP Index","PX_LAST",Database!$H47,Database!$H47),""))</f>
        <v/>
      </c>
      <c r="S47" s="24">
        <f>IFERROR(BDP(Database!$A47&amp;" HK Equity","PX_TO_SALES_RATIO"),"")</f>
        <v/>
      </c>
      <c r="T47" s="18">
        <f>IF(Database!BL47="","",IFERROR(BDP(LEFT(Database!BL47,FIND(".",Database!BL47)-1)&amp;" CH Equity","CUR_MKT_CAP"),""))</f>
        <v/>
      </c>
    </row>
    <row r="48">
      <c r="A48" s="16">
        <f>Database!A48&amp;"  "&amp;Database!B48</f>
        <v/>
      </c>
      <c r="B48" s="10">
        <f>IFERROR(INDEX(BDS(Database!$A48&amp;" HK Equity","EQUITY_OFFERINGS","array=t","endcol=1"),MATCH("IPO",BDS(Database!$A48&amp;" HK Equity","EQUITY_OFFERINGS","array=t","startcol=2","endcol=2"),0)),"")</f>
        <v/>
      </c>
      <c r="C48" s="103">
        <f>IF($B48="","",IFERROR(BDP($B48&amp;" Action","CP036"),""))</f>
        <v/>
      </c>
      <c r="D48" s="104">
        <f>Database!S48</f>
        <v/>
      </c>
      <c r="E48" s="103">
        <f>IF($B48="","",IFERROR(BDP($B48&amp;" Action","CP037"),""))</f>
        <v/>
      </c>
      <c r="F48" s="104">
        <f>Database!T48</f>
        <v/>
      </c>
      <c r="G48" s="103">
        <f>IF($B48="","",IFERROR(BDP($B48&amp;" Action","GREENSHOE_FACILITY"),""))</f>
        <v/>
      </c>
      <c r="H48" s="103">
        <f>IF($B48="","",IFERROR(BDP($B48&amp;" Action","OFFERING_GREENSHOE_SHARES_EX"),""))</f>
        <v/>
      </c>
      <c r="I48" s="16">
        <f>Database!AG48</f>
        <v/>
      </c>
      <c r="J48" s="24">
        <f>IFERROR(BDP(Database!$A48&amp;" HK Equity","PE_RATIO"),"")</f>
        <v/>
      </c>
      <c r="K48" s="10">
        <f>IFERROR(BDP(Database!$A48&amp;" HK Equity","A/H_SHARE_CONVERSION"),"")</f>
        <v/>
      </c>
      <c r="L48" s="16">
        <f>IF(Database!BL48="","(none found)",Database!BL48)</f>
        <v/>
      </c>
      <c r="M48" s="18">
        <f>IFERROR(BDH(Database!$A48&amp;" HK Equity","CUR_MKT_CAP",Database!$H48,Database!$H48),"")</f>
        <v/>
      </c>
      <c r="N48" s="97">
        <f>Database!Q48</f>
        <v/>
      </c>
      <c r="O48" s="24">
        <f>IFERROR(BDH(Database!$A48&amp;" HK Equity","PE_RATIO",Database!$H48,Database!$H48),"")</f>
        <v/>
      </c>
      <c r="P48" s="101">
        <f>IF(Database!BF48="","(n/m or not derivable)",Database!BF48)</f>
        <v/>
      </c>
      <c r="Q48" s="24">
        <f>IF(Database!BL48="","",IFERROR(BDH(LEFT(Database!BL48,FIND(".",Database!BL48)-1)&amp;" CH Equity","PE_RATIO",Database!$H48,Database!$H48),""))</f>
        <v/>
      </c>
      <c r="R48" s="24">
        <f>IF(Database!BL48="","",IFERROR(BDH("HSAHP Index","PX_LAST",Database!$H48,Database!$H48),""))</f>
        <v/>
      </c>
      <c r="S48" s="24">
        <f>IFERROR(BDP(Database!$A48&amp;" HK Equity","PX_TO_SALES_RATIO"),"")</f>
        <v/>
      </c>
      <c r="T48" s="18">
        <f>IF(Database!BL48="","",IFERROR(BDP(LEFT(Database!BL48,FIND(".",Database!BL48)-1)&amp;" CH Equity","CUR_MKT_CAP"),""))</f>
        <v/>
      </c>
    </row>
    <row r="49">
      <c r="A49" s="16">
        <f>Database!A49&amp;"  "&amp;Database!B49</f>
        <v/>
      </c>
      <c r="B49" s="10">
        <f>IFERROR(INDEX(BDS(Database!$A49&amp;" HK Equity","EQUITY_OFFERINGS","array=t","endcol=1"),MATCH("IPO",BDS(Database!$A49&amp;" HK Equity","EQUITY_OFFERINGS","array=t","startcol=2","endcol=2"),0)),"")</f>
        <v/>
      </c>
      <c r="C49" s="103">
        <f>IF($B49="","",IFERROR(BDP($B49&amp;" Action","CP036"),""))</f>
        <v/>
      </c>
      <c r="D49" s="104">
        <f>Database!S49</f>
        <v/>
      </c>
      <c r="E49" s="103">
        <f>IF($B49="","",IFERROR(BDP($B49&amp;" Action","CP037"),""))</f>
        <v/>
      </c>
      <c r="F49" s="104">
        <f>Database!T49</f>
        <v/>
      </c>
      <c r="G49" s="103">
        <f>IF($B49="","",IFERROR(BDP($B49&amp;" Action","GREENSHOE_FACILITY"),""))</f>
        <v/>
      </c>
      <c r="H49" s="103">
        <f>IF($B49="","",IFERROR(BDP($B49&amp;" Action","OFFERING_GREENSHOE_SHARES_EX"),""))</f>
        <v/>
      </c>
      <c r="I49" s="16">
        <f>Database!AG49</f>
        <v/>
      </c>
      <c r="J49" s="24">
        <f>IFERROR(BDP(Database!$A49&amp;" HK Equity","PE_RATIO"),"")</f>
        <v/>
      </c>
      <c r="K49" s="10">
        <f>IFERROR(BDP(Database!$A49&amp;" HK Equity","A/H_SHARE_CONVERSION"),"")</f>
        <v/>
      </c>
      <c r="L49" s="16">
        <f>IF(Database!BL49="","(none found)",Database!BL49)</f>
        <v/>
      </c>
      <c r="M49" s="18">
        <f>IFERROR(BDH(Database!$A49&amp;" HK Equity","CUR_MKT_CAP",Database!$H49,Database!$H49),"")</f>
        <v/>
      </c>
      <c r="N49" s="97">
        <f>Database!Q49</f>
        <v/>
      </c>
      <c r="O49" s="24">
        <f>IFERROR(BDH(Database!$A49&amp;" HK Equity","PE_RATIO",Database!$H49,Database!$H49),"")</f>
        <v/>
      </c>
      <c r="P49" s="101">
        <f>IF(Database!BF49="","(n/m or not derivable)",Database!BF49)</f>
        <v/>
      </c>
      <c r="Q49" s="24">
        <f>IF(Database!BL49="","",IFERROR(BDH(LEFT(Database!BL49,FIND(".",Database!BL49)-1)&amp;" CH Equity","PE_RATIO",Database!$H49,Database!$H49),""))</f>
        <v/>
      </c>
      <c r="R49" s="24">
        <f>IF(Database!BL49="","",IFERROR(BDH("HSAHP Index","PX_LAST",Database!$H49,Database!$H49),""))</f>
        <v/>
      </c>
      <c r="S49" s="24">
        <f>IFERROR(BDP(Database!$A49&amp;" HK Equity","PX_TO_SALES_RATIO"),"")</f>
        <v/>
      </c>
      <c r="T49" s="18">
        <f>IF(Database!BL49="","",IFERROR(BDP(LEFT(Database!BL49,FIND(".",Database!BL49)-1)&amp;" CH Equity","CUR_MKT_CAP"),""))</f>
        <v/>
      </c>
    </row>
    <row r="50">
      <c r="A50" s="16">
        <f>Database!A50&amp;"  "&amp;Database!B50</f>
        <v/>
      </c>
      <c r="B50" s="10">
        <f>IFERROR(INDEX(BDS(Database!$A50&amp;" HK Equity","EQUITY_OFFERINGS","array=t","endcol=1"),MATCH("IPO",BDS(Database!$A50&amp;" HK Equity","EQUITY_OFFERINGS","array=t","startcol=2","endcol=2"),0)),"")</f>
        <v/>
      </c>
      <c r="C50" s="103">
        <f>IF($B50="","",IFERROR(BDP($B50&amp;" Action","CP036"),""))</f>
        <v/>
      </c>
      <c r="D50" s="104">
        <f>Database!S50</f>
        <v/>
      </c>
      <c r="E50" s="103">
        <f>IF($B50="","",IFERROR(BDP($B50&amp;" Action","CP037"),""))</f>
        <v/>
      </c>
      <c r="F50" s="104">
        <f>Database!T50</f>
        <v/>
      </c>
      <c r="G50" s="103">
        <f>IF($B50="","",IFERROR(BDP($B50&amp;" Action","GREENSHOE_FACILITY"),""))</f>
        <v/>
      </c>
      <c r="H50" s="103">
        <f>IF($B50="","",IFERROR(BDP($B50&amp;" Action","OFFERING_GREENSHOE_SHARES_EX"),""))</f>
        <v/>
      </c>
      <c r="I50" s="16">
        <f>Database!AG50</f>
        <v/>
      </c>
      <c r="J50" s="24">
        <f>IFERROR(BDP(Database!$A50&amp;" HK Equity","PE_RATIO"),"")</f>
        <v/>
      </c>
      <c r="K50" s="10">
        <f>IFERROR(BDP(Database!$A50&amp;" HK Equity","A/H_SHARE_CONVERSION"),"")</f>
        <v/>
      </c>
      <c r="L50" s="16">
        <f>IF(Database!BL50="","(none found)",Database!BL50)</f>
        <v/>
      </c>
      <c r="M50" s="18">
        <f>IFERROR(BDH(Database!$A50&amp;" HK Equity","CUR_MKT_CAP",Database!$H50,Database!$H50),"")</f>
        <v/>
      </c>
      <c r="N50" s="97">
        <f>Database!Q50</f>
        <v/>
      </c>
      <c r="O50" s="24">
        <f>IFERROR(BDH(Database!$A50&amp;" HK Equity","PE_RATIO",Database!$H50,Database!$H50),"")</f>
        <v/>
      </c>
      <c r="P50" s="101">
        <f>IF(Database!BF50="","(n/m or not derivable)",Database!BF50)</f>
        <v/>
      </c>
      <c r="Q50" s="24">
        <f>IF(Database!BL50="","",IFERROR(BDH(LEFT(Database!BL50,FIND(".",Database!BL50)-1)&amp;" CH Equity","PE_RATIO",Database!$H50,Database!$H50),""))</f>
        <v/>
      </c>
      <c r="R50" s="24">
        <f>IF(Database!BL50="","",IFERROR(BDH("HSAHP Index","PX_LAST",Database!$H50,Database!$H50),""))</f>
        <v/>
      </c>
      <c r="S50" s="24">
        <f>IFERROR(BDP(Database!$A50&amp;" HK Equity","PX_TO_SALES_RATIO"),"")</f>
        <v/>
      </c>
      <c r="T50" s="18">
        <f>IF(Database!BL50="","",IFERROR(BDP(LEFT(Database!BL50,FIND(".",Database!BL50)-1)&amp;" CH Equity","CUR_MKT_CAP"),""))</f>
        <v/>
      </c>
    </row>
    <row r="51">
      <c r="A51" s="16">
        <f>Database!A51&amp;"  "&amp;Database!B51</f>
        <v/>
      </c>
      <c r="B51" s="10">
        <f>IFERROR(INDEX(BDS(Database!$A51&amp;" HK Equity","EQUITY_OFFERINGS","array=t","endcol=1"),MATCH("IPO",BDS(Database!$A51&amp;" HK Equity","EQUITY_OFFERINGS","array=t","startcol=2","endcol=2"),0)),"")</f>
        <v/>
      </c>
      <c r="C51" s="103">
        <f>IF($B51="","",IFERROR(BDP($B51&amp;" Action","CP036"),""))</f>
        <v/>
      </c>
      <c r="D51" s="104">
        <f>Database!S51</f>
        <v/>
      </c>
      <c r="E51" s="103">
        <f>IF($B51="","",IFERROR(BDP($B51&amp;" Action","CP037"),""))</f>
        <v/>
      </c>
      <c r="F51" s="104">
        <f>Database!T51</f>
        <v/>
      </c>
      <c r="G51" s="103">
        <f>IF($B51="","",IFERROR(BDP($B51&amp;" Action","GREENSHOE_FACILITY"),""))</f>
        <v/>
      </c>
      <c r="H51" s="103">
        <f>IF($B51="","",IFERROR(BDP($B51&amp;" Action","OFFERING_GREENSHOE_SHARES_EX"),""))</f>
        <v/>
      </c>
      <c r="I51" s="16">
        <f>Database!AG51</f>
        <v/>
      </c>
      <c r="J51" s="24">
        <f>IFERROR(BDP(Database!$A51&amp;" HK Equity","PE_RATIO"),"")</f>
        <v/>
      </c>
      <c r="K51" s="10">
        <f>IFERROR(BDP(Database!$A51&amp;" HK Equity","A/H_SHARE_CONVERSION"),"")</f>
        <v/>
      </c>
      <c r="L51" s="16">
        <f>IF(Database!BL51="","(none found)",Database!BL51)</f>
        <v/>
      </c>
      <c r="M51" s="18">
        <f>IFERROR(BDH(Database!$A51&amp;" HK Equity","CUR_MKT_CAP",Database!$H51,Database!$H51),"")</f>
        <v/>
      </c>
      <c r="N51" s="97">
        <f>Database!Q51</f>
        <v/>
      </c>
      <c r="O51" s="24">
        <f>IFERROR(BDH(Database!$A51&amp;" HK Equity","PE_RATIO",Database!$H51,Database!$H51),"")</f>
        <v/>
      </c>
      <c r="P51" s="101">
        <f>IF(Database!BF51="","(n/m or not derivable)",Database!BF51)</f>
        <v/>
      </c>
      <c r="Q51" s="24">
        <f>IF(Database!BL51="","",IFERROR(BDH(LEFT(Database!BL51,FIND(".",Database!BL51)-1)&amp;" CH Equity","PE_RATIO",Database!$H51,Database!$H51),""))</f>
        <v/>
      </c>
      <c r="R51" s="24">
        <f>IF(Database!BL51="","",IFERROR(BDH("HSAHP Index","PX_LAST",Database!$H51,Database!$H51),""))</f>
        <v/>
      </c>
      <c r="S51" s="24">
        <f>IFERROR(BDP(Database!$A51&amp;" HK Equity","PX_TO_SALES_RATIO"),"")</f>
        <v/>
      </c>
      <c r="T51" s="18">
        <f>IF(Database!BL51="","",IFERROR(BDP(LEFT(Database!BL51,FIND(".",Database!BL51)-1)&amp;" CH Equity","CUR_MKT_CAP"),""))</f>
        <v/>
      </c>
    </row>
    <row r="52">
      <c r="A52" s="16">
        <f>Database!A52&amp;"  "&amp;Database!B52</f>
        <v/>
      </c>
      <c r="B52" s="10">
        <f>IFERROR(INDEX(BDS(Database!$A52&amp;" HK Equity","EQUITY_OFFERINGS","array=t","endcol=1"),MATCH("IPO",BDS(Database!$A52&amp;" HK Equity","EQUITY_OFFERINGS","array=t","startcol=2","endcol=2"),0)),"")</f>
        <v/>
      </c>
      <c r="C52" s="103">
        <f>IF($B52="","",IFERROR(BDP($B52&amp;" Action","CP036"),""))</f>
        <v/>
      </c>
      <c r="D52" s="104">
        <f>Database!S52</f>
        <v/>
      </c>
      <c r="E52" s="103">
        <f>IF($B52="","",IFERROR(BDP($B52&amp;" Action","CP037"),""))</f>
        <v/>
      </c>
      <c r="F52" s="104">
        <f>Database!T52</f>
        <v/>
      </c>
      <c r="G52" s="103">
        <f>IF($B52="","",IFERROR(BDP($B52&amp;" Action","GREENSHOE_FACILITY"),""))</f>
        <v/>
      </c>
      <c r="H52" s="103">
        <f>IF($B52="","",IFERROR(BDP($B52&amp;" Action","OFFERING_GREENSHOE_SHARES_EX"),""))</f>
        <v/>
      </c>
      <c r="I52" s="16">
        <f>Database!AG52</f>
        <v/>
      </c>
      <c r="J52" s="24">
        <f>IFERROR(BDP(Database!$A52&amp;" HK Equity","PE_RATIO"),"")</f>
        <v/>
      </c>
      <c r="K52" s="10">
        <f>IFERROR(BDP(Database!$A52&amp;" HK Equity","A/H_SHARE_CONVERSION"),"")</f>
        <v/>
      </c>
      <c r="L52" s="16">
        <f>IF(Database!BL52="","(none found)",Database!BL52)</f>
        <v/>
      </c>
      <c r="M52" s="18">
        <f>IFERROR(BDH(Database!$A52&amp;" HK Equity","CUR_MKT_CAP",Database!$H52,Database!$H52),"")</f>
        <v/>
      </c>
      <c r="N52" s="97">
        <f>Database!Q52</f>
        <v/>
      </c>
      <c r="O52" s="24">
        <f>IFERROR(BDH(Database!$A52&amp;" HK Equity","PE_RATIO",Database!$H52,Database!$H52),"")</f>
        <v/>
      </c>
      <c r="P52" s="101">
        <f>IF(Database!BF52="","(n/m or not derivable)",Database!BF52)</f>
        <v/>
      </c>
      <c r="Q52" s="24">
        <f>IF(Database!BL52="","",IFERROR(BDH(LEFT(Database!BL52,FIND(".",Database!BL52)-1)&amp;" CH Equity","PE_RATIO",Database!$H52,Database!$H52),""))</f>
        <v/>
      </c>
      <c r="R52" s="24">
        <f>IF(Database!BL52="","",IFERROR(BDH("HSAHP Index","PX_LAST",Database!$H52,Database!$H52),""))</f>
        <v/>
      </c>
      <c r="S52" s="24">
        <f>IFERROR(BDP(Database!$A52&amp;" HK Equity","PX_TO_SALES_RATIO"),"")</f>
        <v/>
      </c>
      <c r="T52" s="18">
        <f>IF(Database!BL52="","",IFERROR(BDP(LEFT(Database!BL52,FIND(".",Database!BL52)-1)&amp;" CH Equity","CUR_MKT_CAP"),""))</f>
        <v/>
      </c>
    </row>
    <row r="53">
      <c r="A53" s="16">
        <f>Database!A53&amp;"  "&amp;Database!B53</f>
        <v/>
      </c>
      <c r="B53" s="10">
        <f>IFERROR(INDEX(BDS(Database!$A53&amp;" HK Equity","EQUITY_OFFERINGS","array=t","endcol=1"),MATCH("IPO",BDS(Database!$A53&amp;" HK Equity","EQUITY_OFFERINGS","array=t","startcol=2","endcol=2"),0)),"")</f>
        <v/>
      </c>
      <c r="C53" s="103">
        <f>IF($B53="","",IFERROR(BDP($B53&amp;" Action","CP036"),""))</f>
        <v/>
      </c>
      <c r="D53" s="104">
        <f>Database!S53</f>
        <v/>
      </c>
      <c r="E53" s="103">
        <f>IF($B53="","",IFERROR(BDP($B53&amp;" Action","CP037"),""))</f>
        <v/>
      </c>
      <c r="F53" s="104">
        <f>Database!T53</f>
        <v/>
      </c>
      <c r="G53" s="103">
        <f>IF($B53="","",IFERROR(BDP($B53&amp;" Action","GREENSHOE_FACILITY"),""))</f>
        <v/>
      </c>
      <c r="H53" s="103">
        <f>IF($B53="","",IFERROR(BDP($B53&amp;" Action","OFFERING_GREENSHOE_SHARES_EX"),""))</f>
        <v/>
      </c>
      <c r="I53" s="16">
        <f>Database!AG53</f>
        <v/>
      </c>
      <c r="J53" s="24">
        <f>IFERROR(BDP(Database!$A53&amp;" HK Equity","PE_RATIO"),"")</f>
        <v/>
      </c>
      <c r="K53" s="10">
        <f>IFERROR(BDP(Database!$A53&amp;" HK Equity","A/H_SHARE_CONVERSION"),"")</f>
        <v/>
      </c>
      <c r="L53" s="16">
        <f>IF(Database!BL53="","(none found)",Database!BL53)</f>
        <v/>
      </c>
      <c r="M53" s="18">
        <f>IFERROR(BDH(Database!$A53&amp;" HK Equity","CUR_MKT_CAP",Database!$H53,Database!$H53),"")</f>
        <v/>
      </c>
      <c r="N53" s="97">
        <f>Database!Q53</f>
        <v/>
      </c>
      <c r="O53" s="24">
        <f>IFERROR(BDH(Database!$A53&amp;" HK Equity","PE_RATIO",Database!$H53,Database!$H53),"")</f>
        <v/>
      </c>
      <c r="P53" s="101">
        <f>IF(Database!BF53="","(n/m or not derivable)",Database!BF53)</f>
        <v/>
      </c>
      <c r="Q53" s="24">
        <f>IF(Database!BL53="","",IFERROR(BDH(LEFT(Database!BL53,FIND(".",Database!BL53)-1)&amp;" CH Equity","PE_RATIO",Database!$H53,Database!$H53),""))</f>
        <v/>
      </c>
      <c r="R53" s="24">
        <f>IF(Database!BL53="","",IFERROR(BDH("HSAHP Index","PX_LAST",Database!$H53,Database!$H53),""))</f>
        <v/>
      </c>
      <c r="S53" s="24">
        <f>IFERROR(BDP(Database!$A53&amp;" HK Equity","PX_TO_SALES_RATIO"),"")</f>
        <v/>
      </c>
      <c r="T53" s="18">
        <f>IF(Database!BL53="","",IFERROR(BDP(LEFT(Database!BL53,FIND(".",Database!BL53)-1)&amp;" CH Equity","CUR_MKT_CAP"),""))</f>
        <v/>
      </c>
    </row>
    <row r="54">
      <c r="A54" s="16">
        <f>Database!A54&amp;"  "&amp;Database!B54</f>
        <v/>
      </c>
      <c r="B54" s="10">
        <f>IFERROR(INDEX(BDS(Database!$A54&amp;" HK Equity","EQUITY_OFFERINGS","array=t","endcol=1"),MATCH("IPO",BDS(Database!$A54&amp;" HK Equity","EQUITY_OFFERINGS","array=t","startcol=2","endcol=2"),0)),"")</f>
        <v/>
      </c>
      <c r="C54" s="103">
        <f>IF($B54="","",IFERROR(BDP($B54&amp;" Action","CP036"),""))</f>
        <v/>
      </c>
      <c r="D54" s="104">
        <f>Database!S54</f>
        <v/>
      </c>
      <c r="E54" s="103">
        <f>IF($B54="","",IFERROR(BDP($B54&amp;" Action","CP037"),""))</f>
        <v/>
      </c>
      <c r="F54" s="104">
        <f>Database!T54</f>
        <v/>
      </c>
      <c r="G54" s="103">
        <f>IF($B54="","",IFERROR(BDP($B54&amp;" Action","GREENSHOE_FACILITY"),""))</f>
        <v/>
      </c>
      <c r="H54" s="103">
        <f>IF($B54="","",IFERROR(BDP($B54&amp;" Action","OFFERING_GREENSHOE_SHARES_EX"),""))</f>
        <v/>
      </c>
      <c r="I54" s="16">
        <f>Database!AG54</f>
        <v/>
      </c>
      <c r="J54" s="24">
        <f>IFERROR(BDP(Database!$A54&amp;" HK Equity","PE_RATIO"),"")</f>
        <v/>
      </c>
      <c r="K54" s="10">
        <f>IFERROR(BDP(Database!$A54&amp;" HK Equity","A/H_SHARE_CONVERSION"),"")</f>
        <v/>
      </c>
      <c r="L54" s="16">
        <f>IF(Database!BL54="","(none found)",Database!BL54)</f>
        <v/>
      </c>
      <c r="M54" s="18">
        <f>IFERROR(BDH(Database!$A54&amp;" HK Equity","CUR_MKT_CAP",Database!$H54,Database!$H54),"")</f>
        <v/>
      </c>
      <c r="N54" s="97">
        <f>Database!Q54</f>
        <v/>
      </c>
      <c r="O54" s="24">
        <f>IFERROR(BDH(Database!$A54&amp;" HK Equity","PE_RATIO",Database!$H54,Database!$H54),"")</f>
        <v/>
      </c>
      <c r="P54" s="101">
        <f>IF(Database!BF54="","(n/m or not derivable)",Database!BF54)</f>
        <v/>
      </c>
      <c r="Q54" s="24">
        <f>IF(Database!BL54="","",IFERROR(BDH(LEFT(Database!BL54,FIND(".",Database!BL54)-1)&amp;" CH Equity","PE_RATIO",Database!$H54,Database!$H54),""))</f>
        <v/>
      </c>
      <c r="R54" s="24">
        <f>IF(Database!BL54="","",IFERROR(BDH("HSAHP Index","PX_LAST",Database!$H54,Database!$H54),""))</f>
        <v/>
      </c>
      <c r="S54" s="24">
        <f>IFERROR(BDP(Database!$A54&amp;" HK Equity","PX_TO_SALES_RATIO"),"")</f>
        <v/>
      </c>
      <c r="T54" s="18">
        <f>IF(Database!BL54="","",IFERROR(BDP(LEFT(Database!BL54,FIND(".",Database!BL54)-1)&amp;" CH Equity","CUR_MKT_CAP"),""))</f>
        <v/>
      </c>
    </row>
    <row r="55">
      <c r="A55" s="16">
        <f>Database!A55&amp;"  "&amp;Database!B55</f>
        <v/>
      </c>
      <c r="B55" s="10">
        <f>IFERROR(INDEX(BDS(Database!$A55&amp;" HK Equity","EQUITY_OFFERINGS","array=t","endcol=1"),MATCH("IPO",BDS(Database!$A55&amp;" HK Equity","EQUITY_OFFERINGS","array=t","startcol=2","endcol=2"),0)),"")</f>
        <v/>
      </c>
      <c r="C55" s="103">
        <f>IF($B55="","",IFERROR(BDP($B55&amp;" Action","CP036"),""))</f>
        <v/>
      </c>
      <c r="D55" s="104">
        <f>Database!S55</f>
        <v/>
      </c>
      <c r="E55" s="103">
        <f>IF($B55="","",IFERROR(BDP($B55&amp;" Action","CP037"),""))</f>
        <v/>
      </c>
      <c r="F55" s="104">
        <f>Database!T55</f>
        <v/>
      </c>
      <c r="G55" s="103">
        <f>IF($B55="","",IFERROR(BDP($B55&amp;" Action","GREENSHOE_FACILITY"),""))</f>
        <v/>
      </c>
      <c r="H55" s="103">
        <f>IF($B55="","",IFERROR(BDP($B55&amp;" Action","OFFERING_GREENSHOE_SHARES_EX"),""))</f>
        <v/>
      </c>
      <c r="I55" s="16">
        <f>Database!AG55</f>
        <v/>
      </c>
      <c r="J55" s="24">
        <f>IFERROR(BDP(Database!$A55&amp;" HK Equity","PE_RATIO"),"")</f>
        <v/>
      </c>
      <c r="K55" s="10">
        <f>IFERROR(BDP(Database!$A55&amp;" HK Equity","A/H_SHARE_CONVERSION"),"")</f>
        <v/>
      </c>
      <c r="L55" s="16">
        <f>IF(Database!BL55="","(none found)",Database!BL55)</f>
        <v/>
      </c>
      <c r="M55" s="18">
        <f>IFERROR(BDH(Database!$A55&amp;" HK Equity","CUR_MKT_CAP",Database!$H55,Database!$H55),"")</f>
        <v/>
      </c>
      <c r="N55" s="97">
        <f>Database!Q55</f>
        <v/>
      </c>
      <c r="O55" s="24">
        <f>IFERROR(BDH(Database!$A55&amp;" HK Equity","PE_RATIO",Database!$H55,Database!$H55),"")</f>
        <v/>
      </c>
      <c r="P55" s="101">
        <f>IF(Database!BF55="","(n/m or not derivable)",Database!BF55)</f>
        <v/>
      </c>
      <c r="Q55" s="24">
        <f>IF(Database!BL55="","",IFERROR(BDH(LEFT(Database!BL55,FIND(".",Database!BL55)-1)&amp;" CH Equity","PE_RATIO",Database!$H55,Database!$H55),""))</f>
        <v/>
      </c>
      <c r="R55" s="24">
        <f>IF(Database!BL55="","",IFERROR(BDH("HSAHP Index","PX_LAST",Database!$H55,Database!$H55),""))</f>
        <v/>
      </c>
      <c r="S55" s="24">
        <f>IFERROR(BDP(Database!$A55&amp;" HK Equity","PX_TO_SALES_RATIO"),"")</f>
        <v/>
      </c>
      <c r="T55" s="18">
        <f>IF(Database!BL55="","",IFERROR(BDP(LEFT(Database!BL55,FIND(".",Database!BL55)-1)&amp;" CH Equity","CUR_MKT_CAP"),""))</f>
        <v/>
      </c>
    </row>
    <row r="56">
      <c r="A56" s="16">
        <f>Database!A56&amp;"  "&amp;Database!B56</f>
        <v/>
      </c>
      <c r="B56" s="10">
        <f>IFERROR(INDEX(BDS(Database!$A56&amp;" HK Equity","EQUITY_OFFERINGS","array=t","endcol=1"),MATCH("IPO",BDS(Database!$A56&amp;" HK Equity","EQUITY_OFFERINGS","array=t","startcol=2","endcol=2"),0)),"")</f>
        <v/>
      </c>
      <c r="C56" s="103">
        <f>IF($B56="","",IFERROR(BDP($B56&amp;" Action","CP036"),""))</f>
        <v/>
      </c>
      <c r="D56" s="104">
        <f>Database!S56</f>
        <v/>
      </c>
      <c r="E56" s="103">
        <f>IF($B56="","",IFERROR(BDP($B56&amp;" Action","CP037"),""))</f>
        <v/>
      </c>
      <c r="F56" s="104">
        <f>Database!T56</f>
        <v/>
      </c>
      <c r="G56" s="103">
        <f>IF($B56="","",IFERROR(BDP($B56&amp;" Action","GREENSHOE_FACILITY"),""))</f>
        <v/>
      </c>
      <c r="H56" s="103">
        <f>IF($B56="","",IFERROR(BDP($B56&amp;" Action","OFFERING_GREENSHOE_SHARES_EX"),""))</f>
        <v/>
      </c>
      <c r="I56" s="16">
        <f>Database!AG56</f>
        <v/>
      </c>
      <c r="J56" s="24">
        <f>IFERROR(BDP(Database!$A56&amp;" HK Equity","PE_RATIO"),"")</f>
        <v/>
      </c>
      <c r="K56" s="10">
        <f>IFERROR(BDP(Database!$A56&amp;" HK Equity","A/H_SHARE_CONVERSION"),"")</f>
        <v/>
      </c>
      <c r="L56" s="16">
        <f>IF(Database!BL56="","(none found)",Database!BL56)</f>
        <v/>
      </c>
      <c r="M56" s="18">
        <f>IFERROR(BDH(Database!$A56&amp;" HK Equity","CUR_MKT_CAP",Database!$H56,Database!$H56),"")</f>
        <v/>
      </c>
      <c r="N56" s="97">
        <f>Database!Q56</f>
        <v/>
      </c>
      <c r="O56" s="24">
        <f>IFERROR(BDH(Database!$A56&amp;" HK Equity","PE_RATIO",Database!$H56,Database!$H56),"")</f>
        <v/>
      </c>
      <c r="P56" s="101">
        <f>IF(Database!BF56="","(n/m or not derivable)",Database!BF56)</f>
        <v/>
      </c>
      <c r="Q56" s="24">
        <f>IF(Database!BL56="","",IFERROR(BDH(LEFT(Database!BL56,FIND(".",Database!BL56)-1)&amp;" CH Equity","PE_RATIO",Database!$H56,Database!$H56),""))</f>
        <v/>
      </c>
      <c r="R56" s="24">
        <f>IF(Database!BL56="","",IFERROR(BDH("HSAHP Index","PX_LAST",Database!$H56,Database!$H56),""))</f>
        <v/>
      </c>
      <c r="S56" s="24">
        <f>IFERROR(BDP(Database!$A56&amp;" HK Equity","PX_TO_SALES_RATIO"),"")</f>
        <v/>
      </c>
      <c r="T56" s="18">
        <f>IF(Database!BL56="","",IFERROR(BDP(LEFT(Database!BL56,FIND(".",Database!BL56)-1)&amp;" CH Equity","CUR_MKT_CAP"),""))</f>
        <v/>
      </c>
    </row>
    <row r="57">
      <c r="A57" s="16">
        <f>Database!A57&amp;"  "&amp;Database!B57</f>
        <v/>
      </c>
      <c r="B57" s="10">
        <f>IFERROR(INDEX(BDS(Database!$A57&amp;" HK Equity","EQUITY_OFFERINGS","array=t","endcol=1"),MATCH("IPO",BDS(Database!$A57&amp;" HK Equity","EQUITY_OFFERINGS","array=t","startcol=2","endcol=2"),0)),"")</f>
        <v/>
      </c>
      <c r="C57" s="103">
        <f>IF($B57="","",IFERROR(BDP($B57&amp;" Action","CP036"),""))</f>
        <v/>
      </c>
      <c r="D57" s="104">
        <f>Database!S57</f>
        <v/>
      </c>
      <c r="E57" s="103">
        <f>IF($B57="","",IFERROR(BDP($B57&amp;" Action","CP037"),""))</f>
        <v/>
      </c>
      <c r="F57" s="104">
        <f>Database!T57</f>
        <v/>
      </c>
      <c r="G57" s="103">
        <f>IF($B57="","",IFERROR(BDP($B57&amp;" Action","GREENSHOE_FACILITY"),""))</f>
        <v/>
      </c>
      <c r="H57" s="103">
        <f>IF($B57="","",IFERROR(BDP($B57&amp;" Action","OFFERING_GREENSHOE_SHARES_EX"),""))</f>
        <v/>
      </c>
      <c r="I57" s="16">
        <f>Database!AG57</f>
        <v/>
      </c>
      <c r="J57" s="24">
        <f>IFERROR(BDP(Database!$A57&amp;" HK Equity","PE_RATIO"),"")</f>
        <v/>
      </c>
      <c r="K57" s="10">
        <f>IFERROR(BDP(Database!$A57&amp;" HK Equity","A/H_SHARE_CONVERSION"),"")</f>
        <v/>
      </c>
      <c r="L57" s="16">
        <f>IF(Database!BL57="","(none found)",Database!BL57)</f>
        <v/>
      </c>
      <c r="M57" s="18">
        <f>IFERROR(BDH(Database!$A57&amp;" HK Equity","CUR_MKT_CAP",Database!$H57,Database!$H57),"")</f>
        <v/>
      </c>
      <c r="N57" s="97">
        <f>Database!Q57</f>
        <v/>
      </c>
      <c r="O57" s="24">
        <f>IFERROR(BDH(Database!$A57&amp;" HK Equity","PE_RATIO",Database!$H57,Database!$H57),"")</f>
        <v/>
      </c>
      <c r="P57" s="101">
        <f>IF(Database!BF57="","(n/m or not derivable)",Database!BF57)</f>
        <v/>
      </c>
      <c r="Q57" s="24">
        <f>IF(Database!BL57="","",IFERROR(BDH(LEFT(Database!BL57,FIND(".",Database!BL57)-1)&amp;" CH Equity","PE_RATIO",Database!$H57,Database!$H57),""))</f>
        <v/>
      </c>
      <c r="R57" s="24">
        <f>IF(Database!BL57="","",IFERROR(BDH("HSAHP Index","PX_LAST",Database!$H57,Database!$H57),""))</f>
        <v/>
      </c>
      <c r="S57" s="24">
        <f>IFERROR(BDP(Database!$A57&amp;" HK Equity","PX_TO_SALES_RATIO"),"")</f>
        <v/>
      </c>
      <c r="T57" s="18">
        <f>IF(Database!BL57="","",IFERROR(BDP(LEFT(Database!BL57,FIND(".",Database!BL57)-1)&amp;" CH Equity","CUR_MKT_CAP"),""))</f>
        <v/>
      </c>
    </row>
    <row r="58">
      <c r="A58" s="16">
        <f>Database!A58&amp;"  "&amp;Database!B58</f>
        <v/>
      </c>
      <c r="B58" s="10">
        <f>IFERROR(INDEX(BDS(Database!$A58&amp;" HK Equity","EQUITY_OFFERINGS","array=t","endcol=1"),MATCH("IPO",BDS(Database!$A58&amp;" HK Equity","EQUITY_OFFERINGS","array=t","startcol=2","endcol=2"),0)),"")</f>
        <v/>
      </c>
      <c r="C58" s="103">
        <f>IF($B58="","",IFERROR(BDP($B58&amp;" Action","CP036"),""))</f>
        <v/>
      </c>
      <c r="D58" s="104">
        <f>Database!S58</f>
        <v/>
      </c>
      <c r="E58" s="103">
        <f>IF($B58="","",IFERROR(BDP($B58&amp;" Action","CP037"),""))</f>
        <v/>
      </c>
      <c r="F58" s="104">
        <f>Database!T58</f>
        <v/>
      </c>
      <c r="G58" s="103">
        <f>IF($B58="","",IFERROR(BDP($B58&amp;" Action","GREENSHOE_FACILITY"),""))</f>
        <v/>
      </c>
      <c r="H58" s="103">
        <f>IF($B58="","",IFERROR(BDP($B58&amp;" Action","OFFERING_GREENSHOE_SHARES_EX"),""))</f>
        <v/>
      </c>
      <c r="I58" s="16">
        <f>Database!AG58</f>
        <v/>
      </c>
      <c r="J58" s="24">
        <f>IFERROR(BDP(Database!$A58&amp;" HK Equity","PE_RATIO"),"")</f>
        <v/>
      </c>
      <c r="K58" s="10">
        <f>IFERROR(BDP(Database!$A58&amp;" HK Equity","A/H_SHARE_CONVERSION"),"")</f>
        <v/>
      </c>
      <c r="L58" s="16">
        <f>IF(Database!BL58="","(none found)",Database!BL58)</f>
        <v/>
      </c>
      <c r="M58" s="18">
        <f>IFERROR(BDH(Database!$A58&amp;" HK Equity","CUR_MKT_CAP",Database!$H58,Database!$H58),"")</f>
        <v/>
      </c>
      <c r="N58" s="97">
        <f>Database!Q58</f>
        <v/>
      </c>
      <c r="O58" s="24">
        <f>IFERROR(BDH(Database!$A58&amp;" HK Equity","PE_RATIO",Database!$H58,Database!$H58),"")</f>
        <v/>
      </c>
      <c r="P58" s="101">
        <f>IF(Database!BF58="","(n/m or not derivable)",Database!BF58)</f>
        <v/>
      </c>
      <c r="Q58" s="24">
        <f>IF(Database!BL58="","",IFERROR(BDH(LEFT(Database!BL58,FIND(".",Database!BL58)-1)&amp;" CH Equity","PE_RATIO",Database!$H58,Database!$H58),""))</f>
        <v/>
      </c>
      <c r="R58" s="24">
        <f>IF(Database!BL58="","",IFERROR(BDH("HSAHP Index","PX_LAST",Database!$H58,Database!$H58),""))</f>
        <v/>
      </c>
      <c r="S58" s="24">
        <f>IFERROR(BDP(Database!$A58&amp;" HK Equity","PX_TO_SALES_RATIO"),"")</f>
        <v/>
      </c>
      <c r="T58" s="18">
        <f>IF(Database!BL58="","",IFERROR(BDP(LEFT(Database!BL58,FIND(".",Database!BL58)-1)&amp;" CH Equity","CUR_MKT_CAP"),""))</f>
        <v/>
      </c>
    </row>
    <row r="59">
      <c r="A59" s="16">
        <f>Database!A59&amp;"  "&amp;Database!B59</f>
        <v/>
      </c>
      <c r="B59" s="10">
        <f>IFERROR(INDEX(BDS(Database!$A59&amp;" HK Equity","EQUITY_OFFERINGS","array=t","endcol=1"),MATCH("IPO",BDS(Database!$A59&amp;" HK Equity","EQUITY_OFFERINGS","array=t","startcol=2","endcol=2"),0)),"")</f>
        <v/>
      </c>
      <c r="C59" s="103">
        <f>IF($B59="","",IFERROR(BDP($B59&amp;" Action","CP036"),""))</f>
        <v/>
      </c>
      <c r="D59" s="104">
        <f>Database!S59</f>
        <v/>
      </c>
      <c r="E59" s="103">
        <f>IF($B59="","",IFERROR(BDP($B59&amp;" Action","CP037"),""))</f>
        <v/>
      </c>
      <c r="F59" s="104">
        <f>Database!T59</f>
        <v/>
      </c>
      <c r="G59" s="103">
        <f>IF($B59="","",IFERROR(BDP($B59&amp;" Action","GREENSHOE_FACILITY"),""))</f>
        <v/>
      </c>
      <c r="H59" s="103">
        <f>IF($B59="","",IFERROR(BDP($B59&amp;" Action","OFFERING_GREENSHOE_SHARES_EX"),""))</f>
        <v/>
      </c>
      <c r="I59" s="16">
        <f>Database!AG59</f>
        <v/>
      </c>
      <c r="J59" s="24">
        <f>IFERROR(BDP(Database!$A59&amp;" HK Equity","PE_RATIO"),"")</f>
        <v/>
      </c>
      <c r="K59" s="10">
        <f>IFERROR(BDP(Database!$A59&amp;" HK Equity","A/H_SHARE_CONVERSION"),"")</f>
        <v/>
      </c>
      <c r="L59" s="16">
        <f>IF(Database!BL59="","(none found)",Database!BL59)</f>
        <v/>
      </c>
      <c r="M59" s="18">
        <f>IFERROR(BDH(Database!$A59&amp;" HK Equity","CUR_MKT_CAP",Database!$H59,Database!$H59),"")</f>
        <v/>
      </c>
      <c r="N59" s="97">
        <f>Database!Q59</f>
        <v/>
      </c>
      <c r="O59" s="24">
        <f>IFERROR(BDH(Database!$A59&amp;" HK Equity","PE_RATIO",Database!$H59,Database!$H59),"")</f>
        <v/>
      </c>
      <c r="P59" s="101">
        <f>IF(Database!BF59="","(n/m or not derivable)",Database!BF59)</f>
        <v/>
      </c>
      <c r="Q59" s="24">
        <f>IF(Database!BL59="","",IFERROR(BDH(LEFT(Database!BL59,FIND(".",Database!BL59)-1)&amp;" CH Equity","PE_RATIO",Database!$H59,Database!$H59),""))</f>
        <v/>
      </c>
      <c r="R59" s="24">
        <f>IF(Database!BL59="","",IFERROR(BDH("HSAHP Index","PX_LAST",Database!$H59,Database!$H59),""))</f>
        <v/>
      </c>
      <c r="S59" s="24">
        <f>IFERROR(BDP(Database!$A59&amp;" HK Equity","PX_TO_SALES_RATIO"),"")</f>
        <v/>
      </c>
      <c r="T59" s="18">
        <f>IF(Database!BL59="","",IFERROR(BDP(LEFT(Database!BL59,FIND(".",Database!BL59)-1)&amp;" CH Equity","CUR_MKT_CAP"),""))</f>
        <v/>
      </c>
    </row>
    <row r="60">
      <c r="A60" s="16">
        <f>Database!A60&amp;"  "&amp;Database!B60</f>
        <v/>
      </c>
      <c r="B60" s="10">
        <f>IFERROR(INDEX(BDS(Database!$A60&amp;" HK Equity","EQUITY_OFFERINGS","array=t","endcol=1"),MATCH("IPO",BDS(Database!$A60&amp;" HK Equity","EQUITY_OFFERINGS","array=t","startcol=2","endcol=2"),0)),"")</f>
        <v/>
      </c>
      <c r="C60" s="103">
        <f>IF($B60="","",IFERROR(BDP($B60&amp;" Action","CP036"),""))</f>
        <v/>
      </c>
      <c r="D60" s="104">
        <f>Database!S60</f>
        <v/>
      </c>
      <c r="E60" s="103">
        <f>IF($B60="","",IFERROR(BDP($B60&amp;" Action","CP037"),""))</f>
        <v/>
      </c>
      <c r="F60" s="104">
        <f>Database!T60</f>
        <v/>
      </c>
      <c r="G60" s="103">
        <f>IF($B60="","",IFERROR(BDP($B60&amp;" Action","GREENSHOE_FACILITY"),""))</f>
        <v/>
      </c>
      <c r="H60" s="103">
        <f>IF($B60="","",IFERROR(BDP($B60&amp;" Action","OFFERING_GREENSHOE_SHARES_EX"),""))</f>
        <v/>
      </c>
      <c r="I60" s="16">
        <f>Database!AG60</f>
        <v/>
      </c>
      <c r="J60" s="24">
        <f>IFERROR(BDP(Database!$A60&amp;" HK Equity","PE_RATIO"),"")</f>
        <v/>
      </c>
      <c r="K60" s="10">
        <f>IFERROR(BDP(Database!$A60&amp;" HK Equity","A/H_SHARE_CONVERSION"),"")</f>
        <v/>
      </c>
      <c r="L60" s="16">
        <f>IF(Database!BL60="","(none found)",Database!BL60)</f>
        <v/>
      </c>
      <c r="M60" s="18">
        <f>IFERROR(BDH(Database!$A60&amp;" HK Equity","CUR_MKT_CAP",Database!$H60,Database!$H60),"")</f>
        <v/>
      </c>
      <c r="N60" s="97">
        <f>Database!Q60</f>
        <v/>
      </c>
      <c r="O60" s="24">
        <f>IFERROR(BDH(Database!$A60&amp;" HK Equity","PE_RATIO",Database!$H60,Database!$H60),"")</f>
        <v/>
      </c>
      <c r="P60" s="101">
        <f>IF(Database!BF60="","(n/m or not derivable)",Database!BF60)</f>
        <v/>
      </c>
      <c r="Q60" s="24">
        <f>IF(Database!BL60="","",IFERROR(BDH(LEFT(Database!BL60,FIND(".",Database!BL60)-1)&amp;" CH Equity","PE_RATIO",Database!$H60,Database!$H60),""))</f>
        <v/>
      </c>
      <c r="R60" s="24">
        <f>IF(Database!BL60="","",IFERROR(BDH("HSAHP Index","PX_LAST",Database!$H60,Database!$H60),""))</f>
        <v/>
      </c>
      <c r="S60" s="24">
        <f>IFERROR(BDP(Database!$A60&amp;" HK Equity","PX_TO_SALES_RATIO"),"")</f>
        <v/>
      </c>
      <c r="T60" s="18">
        <f>IF(Database!BL60="","",IFERROR(BDP(LEFT(Database!BL60,FIND(".",Database!BL60)-1)&amp;" CH Equity","CUR_MKT_CAP"),""))</f>
        <v/>
      </c>
    </row>
    <row r="61">
      <c r="A61" s="16">
        <f>Database!A61&amp;"  "&amp;Database!B61</f>
        <v/>
      </c>
      <c r="B61" s="10">
        <f>IFERROR(INDEX(BDS(Database!$A61&amp;" HK Equity","EQUITY_OFFERINGS","array=t","endcol=1"),MATCH("IPO",BDS(Database!$A61&amp;" HK Equity","EQUITY_OFFERINGS","array=t","startcol=2","endcol=2"),0)),"")</f>
        <v/>
      </c>
      <c r="C61" s="103">
        <f>IF($B61="","",IFERROR(BDP($B61&amp;" Action","CP036"),""))</f>
        <v/>
      </c>
      <c r="D61" s="104">
        <f>Database!S61</f>
        <v/>
      </c>
      <c r="E61" s="103">
        <f>IF($B61="","",IFERROR(BDP($B61&amp;" Action","CP037"),""))</f>
        <v/>
      </c>
      <c r="F61" s="104">
        <f>Database!T61</f>
        <v/>
      </c>
      <c r="G61" s="103">
        <f>IF($B61="","",IFERROR(BDP($B61&amp;" Action","GREENSHOE_FACILITY"),""))</f>
        <v/>
      </c>
      <c r="H61" s="103">
        <f>IF($B61="","",IFERROR(BDP($B61&amp;" Action","OFFERING_GREENSHOE_SHARES_EX"),""))</f>
        <v/>
      </c>
      <c r="I61" s="16">
        <f>Database!AG61</f>
        <v/>
      </c>
      <c r="J61" s="24">
        <f>IFERROR(BDP(Database!$A61&amp;" HK Equity","PE_RATIO"),"")</f>
        <v/>
      </c>
      <c r="K61" s="10">
        <f>IFERROR(BDP(Database!$A61&amp;" HK Equity","A/H_SHARE_CONVERSION"),"")</f>
        <v/>
      </c>
      <c r="L61" s="16">
        <f>IF(Database!BL61="","(none found)",Database!BL61)</f>
        <v/>
      </c>
      <c r="M61" s="18">
        <f>IFERROR(BDH(Database!$A61&amp;" HK Equity","CUR_MKT_CAP",Database!$H61,Database!$H61),"")</f>
        <v/>
      </c>
      <c r="N61" s="97">
        <f>Database!Q61</f>
        <v/>
      </c>
      <c r="O61" s="24">
        <f>IFERROR(BDH(Database!$A61&amp;" HK Equity","PE_RATIO",Database!$H61,Database!$H61),"")</f>
        <v/>
      </c>
      <c r="P61" s="101">
        <f>IF(Database!BF61="","(n/m or not derivable)",Database!BF61)</f>
        <v/>
      </c>
      <c r="Q61" s="24">
        <f>IF(Database!BL61="","",IFERROR(BDH(LEFT(Database!BL61,FIND(".",Database!BL61)-1)&amp;" CH Equity","PE_RATIO",Database!$H61,Database!$H61),""))</f>
        <v/>
      </c>
      <c r="R61" s="24">
        <f>IF(Database!BL61="","",IFERROR(BDH("HSAHP Index","PX_LAST",Database!$H61,Database!$H61),""))</f>
        <v/>
      </c>
      <c r="S61" s="24">
        <f>IFERROR(BDP(Database!$A61&amp;" HK Equity","PX_TO_SALES_RATIO"),"")</f>
        <v/>
      </c>
      <c r="T61" s="18">
        <f>IF(Database!BL61="","",IFERROR(BDP(LEFT(Database!BL61,FIND(".",Database!BL61)-1)&amp;" CH Equity","CUR_MKT_CAP"),""))</f>
        <v/>
      </c>
    </row>
    <row r="62">
      <c r="A62" s="16">
        <f>Database!A62&amp;"  "&amp;Database!B62</f>
        <v/>
      </c>
      <c r="B62" s="10">
        <f>IFERROR(INDEX(BDS(Database!$A62&amp;" HK Equity","EQUITY_OFFERINGS","array=t","endcol=1"),MATCH("IPO",BDS(Database!$A62&amp;" HK Equity","EQUITY_OFFERINGS","array=t","startcol=2","endcol=2"),0)),"")</f>
        <v/>
      </c>
      <c r="C62" s="103">
        <f>IF($B62="","",IFERROR(BDP($B62&amp;" Action","CP036"),""))</f>
        <v/>
      </c>
      <c r="D62" s="104">
        <f>Database!S62</f>
        <v/>
      </c>
      <c r="E62" s="103">
        <f>IF($B62="","",IFERROR(BDP($B62&amp;" Action","CP037"),""))</f>
        <v/>
      </c>
      <c r="F62" s="104">
        <f>Database!T62</f>
        <v/>
      </c>
      <c r="G62" s="103">
        <f>IF($B62="","",IFERROR(BDP($B62&amp;" Action","GREENSHOE_FACILITY"),""))</f>
        <v/>
      </c>
      <c r="H62" s="103">
        <f>IF($B62="","",IFERROR(BDP($B62&amp;" Action","OFFERING_GREENSHOE_SHARES_EX"),""))</f>
        <v/>
      </c>
      <c r="I62" s="16">
        <f>Database!AG62</f>
        <v/>
      </c>
      <c r="J62" s="24">
        <f>IFERROR(BDP(Database!$A62&amp;" HK Equity","PE_RATIO"),"")</f>
        <v/>
      </c>
      <c r="K62" s="10">
        <f>IFERROR(BDP(Database!$A62&amp;" HK Equity","A/H_SHARE_CONVERSION"),"")</f>
        <v/>
      </c>
      <c r="L62" s="16">
        <f>IF(Database!BL62="","(none found)",Database!BL62)</f>
        <v/>
      </c>
      <c r="M62" s="18">
        <f>IFERROR(BDH(Database!$A62&amp;" HK Equity","CUR_MKT_CAP",Database!$H62,Database!$H62),"")</f>
        <v/>
      </c>
      <c r="N62" s="97">
        <f>Database!Q62</f>
        <v/>
      </c>
      <c r="O62" s="24">
        <f>IFERROR(BDH(Database!$A62&amp;" HK Equity","PE_RATIO",Database!$H62,Database!$H62),"")</f>
        <v/>
      </c>
      <c r="P62" s="101">
        <f>IF(Database!BF62="","(n/m or not derivable)",Database!BF62)</f>
        <v/>
      </c>
      <c r="Q62" s="24">
        <f>IF(Database!BL62="","",IFERROR(BDH(LEFT(Database!BL62,FIND(".",Database!BL62)-1)&amp;" CH Equity","PE_RATIO",Database!$H62,Database!$H62),""))</f>
        <v/>
      </c>
      <c r="R62" s="24">
        <f>IF(Database!BL62="","",IFERROR(BDH("HSAHP Index","PX_LAST",Database!$H62,Database!$H62),""))</f>
        <v/>
      </c>
      <c r="S62" s="24">
        <f>IFERROR(BDP(Database!$A62&amp;" HK Equity","PX_TO_SALES_RATIO"),"")</f>
        <v/>
      </c>
      <c r="T62" s="18">
        <f>IF(Database!BL62="","",IFERROR(BDP(LEFT(Database!BL62,FIND(".",Database!BL62)-1)&amp;" CH Equity","CUR_MKT_CAP"),""))</f>
        <v/>
      </c>
    </row>
    <row r="63">
      <c r="A63" s="16">
        <f>Database!A63&amp;"  "&amp;Database!B63</f>
        <v/>
      </c>
      <c r="B63" s="10">
        <f>IFERROR(INDEX(BDS(Database!$A63&amp;" HK Equity","EQUITY_OFFERINGS","array=t","endcol=1"),MATCH("IPO",BDS(Database!$A63&amp;" HK Equity","EQUITY_OFFERINGS","array=t","startcol=2","endcol=2"),0)),"")</f>
        <v/>
      </c>
      <c r="C63" s="103">
        <f>IF($B63="","",IFERROR(BDP($B63&amp;" Action","CP036"),""))</f>
        <v/>
      </c>
      <c r="D63" s="104">
        <f>Database!S63</f>
        <v/>
      </c>
      <c r="E63" s="103">
        <f>IF($B63="","",IFERROR(BDP($B63&amp;" Action","CP037"),""))</f>
        <v/>
      </c>
      <c r="F63" s="104">
        <f>Database!T63</f>
        <v/>
      </c>
      <c r="G63" s="103">
        <f>IF($B63="","",IFERROR(BDP($B63&amp;" Action","GREENSHOE_FACILITY"),""))</f>
        <v/>
      </c>
      <c r="H63" s="103">
        <f>IF($B63="","",IFERROR(BDP($B63&amp;" Action","OFFERING_GREENSHOE_SHARES_EX"),""))</f>
        <v/>
      </c>
      <c r="I63" s="16">
        <f>Database!AG63</f>
        <v/>
      </c>
      <c r="J63" s="24">
        <f>IFERROR(BDP(Database!$A63&amp;" HK Equity","PE_RATIO"),"")</f>
        <v/>
      </c>
      <c r="K63" s="10">
        <f>IFERROR(BDP(Database!$A63&amp;" HK Equity","A/H_SHARE_CONVERSION"),"")</f>
        <v/>
      </c>
      <c r="L63" s="16">
        <f>IF(Database!BL63="","(none found)",Database!BL63)</f>
        <v/>
      </c>
      <c r="M63" s="18">
        <f>IFERROR(BDH(Database!$A63&amp;" HK Equity","CUR_MKT_CAP",Database!$H63,Database!$H63),"")</f>
        <v/>
      </c>
      <c r="N63" s="97">
        <f>Database!Q63</f>
        <v/>
      </c>
      <c r="O63" s="24">
        <f>IFERROR(BDH(Database!$A63&amp;" HK Equity","PE_RATIO",Database!$H63,Database!$H63),"")</f>
        <v/>
      </c>
      <c r="P63" s="101">
        <f>IF(Database!BF63="","(n/m or not derivable)",Database!BF63)</f>
        <v/>
      </c>
      <c r="Q63" s="24">
        <f>IF(Database!BL63="","",IFERROR(BDH(LEFT(Database!BL63,FIND(".",Database!BL63)-1)&amp;" CH Equity","PE_RATIO",Database!$H63,Database!$H63),""))</f>
        <v/>
      </c>
      <c r="R63" s="24">
        <f>IF(Database!BL63="","",IFERROR(BDH("HSAHP Index","PX_LAST",Database!$H63,Database!$H63),""))</f>
        <v/>
      </c>
      <c r="S63" s="24">
        <f>IFERROR(BDP(Database!$A63&amp;" HK Equity","PX_TO_SALES_RATIO"),"")</f>
        <v/>
      </c>
      <c r="T63" s="18">
        <f>IF(Database!BL63="","",IFERROR(BDP(LEFT(Database!BL63,FIND(".",Database!BL63)-1)&amp;" CH Equity","CUR_MKT_CAP"),""))</f>
        <v/>
      </c>
    </row>
    <row r="64">
      <c r="A64" s="16">
        <f>Database!A64&amp;"  "&amp;Database!B64</f>
        <v/>
      </c>
      <c r="B64" s="10">
        <f>IFERROR(INDEX(BDS(Database!$A64&amp;" HK Equity","EQUITY_OFFERINGS","array=t","endcol=1"),MATCH("IPO",BDS(Database!$A64&amp;" HK Equity","EQUITY_OFFERINGS","array=t","startcol=2","endcol=2"),0)),"")</f>
        <v/>
      </c>
      <c r="C64" s="103">
        <f>IF($B64="","",IFERROR(BDP($B64&amp;" Action","CP036"),""))</f>
        <v/>
      </c>
      <c r="D64" s="104">
        <f>Database!S64</f>
        <v/>
      </c>
      <c r="E64" s="103">
        <f>IF($B64="","",IFERROR(BDP($B64&amp;" Action","CP037"),""))</f>
        <v/>
      </c>
      <c r="F64" s="104">
        <f>Database!T64</f>
        <v/>
      </c>
      <c r="G64" s="103">
        <f>IF($B64="","",IFERROR(BDP($B64&amp;" Action","GREENSHOE_FACILITY"),""))</f>
        <v/>
      </c>
      <c r="H64" s="103">
        <f>IF($B64="","",IFERROR(BDP($B64&amp;" Action","OFFERING_GREENSHOE_SHARES_EX"),""))</f>
        <v/>
      </c>
      <c r="I64" s="16">
        <f>Database!AG64</f>
        <v/>
      </c>
      <c r="J64" s="24">
        <f>IFERROR(BDP(Database!$A64&amp;" HK Equity","PE_RATIO"),"")</f>
        <v/>
      </c>
      <c r="K64" s="10">
        <f>IFERROR(BDP(Database!$A64&amp;" HK Equity","A/H_SHARE_CONVERSION"),"")</f>
        <v/>
      </c>
      <c r="L64" s="16">
        <f>IF(Database!BL64="","(none found)",Database!BL64)</f>
        <v/>
      </c>
      <c r="M64" s="18">
        <f>IFERROR(BDH(Database!$A64&amp;" HK Equity","CUR_MKT_CAP",Database!$H64,Database!$H64),"")</f>
        <v/>
      </c>
      <c r="N64" s="97">
        <f>Database!Q64</f>
        <v/>
      </c>
      <c r="O64" s="24">
        <f>IFERROR(BDH(Database!$A64&amp;" HK Equity","PE_RATIO",Database!$H64,Database!$H64),"")</f>
        <v/>
      </c>
      <c r="P64" s="101">
        <f>IF(Database!BF64="","(n/m or not derivable)",Database!BF64)</f>
        <v/>
      </c>
      <c r="Q64" s="24">
        <f>IF(Database!BL64="","",IFERROR(BDH(LEFT(Database!BL64,FIND(".",Database!BL64)-1)&amp;" CH Equity","PE_RATIO",Database!$H64,Database!$H64),""))</f>
        <v/>
      </c>
      <c r="R64" s="24">
        <f>IF(Database!BL64="","",IFERROR(BDH("HSAHP Index","PX_LAST",Database!$H64,Database!$H64),""))</f>
        <v/>
      </c>
      <c r="S64" s="24">
        <f>IFERROR(BDP(Database!$A64&amp;" HK Equity","PX_TO_SALES_RATIO"),"")</f>
        <v/>
      </c>
      <c r="T64" s="18">
        <f>IF(Database!BL64="","",IFERROR(BDP(LEFT(Database!BL64,FIND(".",Database!BL64)-1)&amp;" CH Equity","CUR_MKT_CAP"),""))</f>
        <v/>
      </c>
    </row>
    <row r="65">
      <c r="A65" s="16">
        <f>Database!A65&amp;"  "&amp;Database!B65</f>
        <v/>
      </c>
      <c r="B65" s="10">
        <f>IFERROR(INDEX(BDS(Database!$A65&amp;" HK Equity","EQUITY_OFFERINGS","array=t","endcol=1"),MATCH("IPO",BDS(Database!$A65&amp;" HK Equity","EQUITY_OFFERINGS","array=t","startcol=2","endcol=2"),0)),"")</f>
        <v/>
      </c>
      <c r="C65" s="103">
        <f>IF($B65="","",IFERROR(BDP($B65&amp;" Action","CP036"),""))</f>
        <v/>
      </c>
      <c r="D65" s="104">
        <f>Database!S65</f>
        <v/>
      </c>
      <c r="E65" s="103">
        <f>IF($B65="","",IFERROR(BDP($B65&amp;" Action","CP037"),""))</f>
        <v/>
      </c>
      <c r="F65" s="104">
        <f>Database!T65</f>
        <v/>
      </c>
      <c r="G65" s="103">
        <f>IF($B65="","",IFERROR(BDP($B65&amp;" Action","GREENSHOE_FACILITY"),""))</f>
        <v/>
      </c>
      <c r="H65" s="103">
        <f>IF($B65="","",IFERROR(BDP($B65&amp;" Action","OFFERING_GREENSHOE_SHARES_EX"),""))</f>
        <v/>
      </c>
      <c r="I65" s="16">
        <f>Database!AG65</f>
        <v/>
      </c>
      <c r="J65" s="24">
        <f>IFERROR(BDP(Database!$A65&amp;" HK Equity","PE_RATIO"),"")</f>
        <v/>
      </c>
      <c r="K65" s="10">
        <f>IFERROR(BDP(Database!$A65&amp;" HK Equity","A/H_SHARE_CONVERSION"),"")</f>
        <v/>
      </c>
      <c r="L65" s="16">
        <f>IF(Database!BL65="","(none found)",Database!BL65)</f>
        <v/>
      </c>
      <c r="M65" s="18">
        <f>IFERROR(BDH(Database!$A65&amp;" HK Equity","CUR_MKT_CAP",Database!$H65,Database!$H65),"")</f>
        <v/>
      </c>
      <c r="N65" s="97">
        <f>Database!Q65</f>
        <v/>
      </c>
      <c r="O65" s="24">
        <f>IFERROR(BDH(Database!$A65&amp;" HK Equity","PE_RATIO",Database!$H65,Database!$H65),"")</f>
        <v/>
      </c>
      <c r="P65" s="101">
        <f>IF(Database!BF65="","(n/m or not derivable)",Database!BF65)</f>
        <v/>
      </c>
      <c r="Q65" s="24">
        <f>IF(Database!BL65="","",IFERROR(BDH(LEFT(Database!BL65,FIND(".",Database!BL65)-1)&amp;" CH Equity","PE_RATIO",Database!$H65,Database!$H65),""))</f>
        <v/>
      </c>
      <c r="R65" s="24">
        <f>IF(Database!BL65="","",IFERROR(BDH("HSAHP Index","PX_LAST",Database!$H65,Database!$H65),""))</f>
        <v/>
      </c>
      <c r="S65" s="24">
        <f>IFERROR(BDP(Database!$A65&amp;" HK Equity","PX_TO_SALES_RATIO"),"")</f>
        <v/>
      </c>
      <c r="T65" s="18">
        <f>IF(Database!BL65="","",IFERROR(BDP(LEFT(Database!BL65,FIND(".",Database!BL65)-1)&amp;" CH Equity","CUR_MKT_CAP"),""))</f>
        <v/>
      </c>
    </row>
    <row r="66">
      <c r="A66" s="16">
        <f>Database!A66&amp;"  "&amp;Database!B66</f>
        <v/>
      </c>
      <c r="B66" s="10">
        <f>IFERROR(INDEX(BDS(Database!$A66&amp;" HK Equity","EQUITY_OFFERINGS","array=t","endcol=1"),MATCH("IPO",BDS(Database!$A66&amp;" HK Equity","EQUITY_OFFERINGS","array=t","startcol=2","endcol=2"),0)),"")</f>
        <v/>
      </c>
      <c r="C66" s="103">
        <f>IF($B66="","",IFERROR(BDP($B66&amp;" Action","CP036"),""))</f>
        <v/>
      </c>
      <c r="D66" s="104">
        <f>Database!S66</f>
        <v/>
      </c>
      <c r="E66" s="103">
        <f>IF($B66="","",IFERROR(BDP($B66&amp;" Action","CP037"),""))</f>
        <v/>
      </c>
      <c r="F66" s="104">
        <f>Database!T66</f>
        <v/>
      </c>
      <c r="G66" s="103">
        <f>IF($B66="","",IFERROR(BDP($B66&amp;" Action","GREENSHOE_FACILITY"),""))</f>
        <v/>
      </c>
      <c r="H66" s="103">
        <f>IF($B66="","",IFERROR(BDP($B66&amp;" Action","OFFERING_GREENSHOE_SHARES_EX"),""))</f>
        <v/>
      </c>
      <c r="I66" s="16">
        <f>Database!AG66</f>
        <v/>
      </c>
      <c r="J66" s="24">
        <f>IFERROR(BDP(Database!$A66&amp;" HK Equity","PE_RATIO"),"")</f>
        <v/>
      </c>
      <c r="K66" s="10">
        <f>IFERROR(BDP(Database!$A66&amp;" HK Equity","A/H_SHARE_CONVERSION"),"")</f>
        <v/>
      </c>
      <c r="L66" s="16">
        <f>IF(Database!BL66="","(none found)",Database!BL66)</f>
        <v/>
      </c>
      <c r="M66" s="18">
        <f>IFERROR(BDH(Database!$A66&amp;" HK Equity","CUR_MKT_CAP",Database!$H66,Database!$H66),"")</f>
        <v/>
      </c>
      <c r="N66" s="97">
        <f>Database!Q66</f>
        <v/>
      </c>
      <c r="O66" s="24">
        <f>IFERROR(BDH(Database!$A66&amp;" HK Equity","PE_RATIO",Database!$H66,Database!$H66),"")</f>
        <v/>
      </c>
      <c r="P66" s="101">
        <f>IF(Database!BF66="","(n/m or not derivable)",Database!BF66)</f>
        <v/>
      </c>
      <c r="Q66" s="24">
        <f>IF(Database!BL66="","",IFERROR(BDH(LEFT(Database!BL66,FIND(".",Database!BL66)-1)&amp;" CH Equity","PE_RATIO",Database!$H66,Database!$H66),""))</f>
        <v/>
      </c>
      <c r="R66" s="24">
        <f>IF(Database!BL66="","",IFERROR(BDH("HSAHP Index","PX_LAST",Database!$H66,Database!$H66),""))</f>
        <v/>
      </c>
      <c r="S66" s="24">
        <f>IFERROR(BDP(Database!$A66&amp;" HK Equity","PX_TO_SALES_RATIO"),"")</f>
        <v/>
      </c>
      <c r="T66" s="18">
        <f>IF(Database!BL66="","",IFERROR(BDP(LEFT(Database!BL66,FIND(".",Database!BL66)-1)&amp;" CH Equity","CUR_MKT_CAP"),""))</f>
        <v/>
      </c>
    </row>
    <row r="67">
      <c r="A67" s="16">
        <f>Database!A67&amp;"  "&amp;Database!B67</f>
        <v/>
      </c>
      <c r="B67" s="10">
        <f>IFERROR(INDEX(BDS(Database!$A67&amp;" HK Equity","EQUITY_OFFERINGS","array=t","endcol=1"),MATCH("IPO",BDS(Database!$A67&amp;" HK Equity","EQUITY_OFFERINGS","array=t","startcol=2","endcol=2"),0)),"")</f>
        <v/>
      </c>
      <c r="C67" s="103">
        <f>IF($B67="","",IFERROR(BDP($B67&amp;" Action","CP036"),""))</f>
        <v/>
      </c>
      <c r="D67" s="104">
        <f>Database!S67</f>
        <v/>
      </c>
      <c r="E67" s="103">
        <f>IF($B67="","",IFERROR(BDP($B67&amp;" Action","CP037"),""))</f>
        <v/>
      </c>
      <c r="F67" s="104">
        <f>Database!T67</f>
        <v/>
      </c>
      <c r="G67" s="103">
        <f>IF($B67="","",IFERROR(BDP($B67&amp;" Action","GREENSHOE_FACILITY"),""))</f>
        <v/>
      </c>
      <c r="H67" s="103">
        <f>IF($B67="","",IFERROR(BDP($B67&amp;" Action","OFFERING_GREENSHOE_SHARES_EX"),""))</f>
        <v/>
      </c>
      <c r="I67" s="16">
        <f>Database!AG67</f>
        <v/>
      </c>
      <c r="J67" s="24">
        <f>IFERROR(BDP(Database!$A67&amp;" HK Equity","PE_RATIO"),"")</f>
        <v/>
      </c>
      <c r="K67" s="10">
        <f>IFERROR(BDP(Database!$A67&amp;" HK Equity","A/H_SHARE_CONVERSION"),"")</f>
        <v/>
      </c>
      <c r="L67" s="16">
        <f>IF(Database!BL67="","(none found)",Database!BL67)</f>
        <v/>
      </c>
      <c r="M67" s="18">
        <f>IFERROR(BDH(Database!$A67&amp;" HK Equity","CUR_MKT_CAP",Database!$H67,Database!$H67),"")</f>
        <v/>
      </c>
      <c r="N67" s="97">
        <f>Database!Q67</f>
        <v/>
      </c>
      <c r="O67" s="24">
        <f>IFERROR(BDH(Database!$A67&amp;" HK Equity","PE_RATIO",Database!$H67,Database!$H67),"")</f>
        <v/>
      </c>
      <c r="P67" s="101">
        <f>IF(Database!BF67="","(n/m or not derivable)",Database!BF67)</f>
        <v/>
      </c>
      <c r="Q67" s="24">
        <f>IF(Database!BL67="","",IFERROR(BDH(LEFT(Database!BL67,FIND(".",Database!BL67)-1)&amp;" CH Equity","PE_RATIO",Database!$H67,Database!$H67),""))</f>
        <v/>
      </c>
      <c r="R67" s="24">
        <f>IF(Database!BL67="","",IFERROR(BDH("HSAHP Index","PX_LAST",Database!$H67,Database!$H67),""))</f>
        <v/>
      </c>
      <c r="S67" s="24">
        <f>IFERROR(BDP(Database!$A67&amp;" HK Equity","PX_TO_SALES_RATIO"),"")</f>
        <v/>
      </c>
      <c r="T67" s="18">
        <f>IF(Database!BL67="","",IFERROR(BDP(LEFT(Database!BL67,FIND(".",Database!BL67)-1)&amp;" CH Equity","CUR_MKT_CAP"),""))</f>
        <v/>
      </c>
    </row>
    <row r="68">
      <c r="A68" s="16">
        <f>Database!A68&amp;"  "&amp;Database!B68</f>
        <v/>
      </c>
      <c r="B68" s="10">
        <f>IFERROR(INDEX(BDS(Database!$A68&amp;" HK Equity","EQUITY_OFFERINGS","array=t","endcol=1"),MATCH("IPO",BDS(Database!$A68&amp;" HK Equity","EQUITY_OFFERINGS","array=t","startcol=2","endcol=2"),0)),"")</f>
        <v/>
      </c>
      <c r="C68" s="103">
        <f>IF($B68="","",IFERROR(BDP($B68&amp;" Action","CP036"),""))</f>
        <v/>
      </c>
      <c r="D68" s="104">
        <f>Database!S68</f>
        <v/>
      </c>
      <c r="E68" s="103">
        <f>IF($B68="","",IFERROR(BDP($B68&amp;" Action","CP037"),""))</f>
        <v/>
      </c>
      <c r="F68" s="104">
        <f>Database!T68</f>
        <v/>
      </c>
      <c r="G68" s="103">
        <f>IF($B68="","",IFERROR(BDP($B68&amp;" Action","GREENSHOE_FACILITY"),""))</f>
        <v/>
      </c>
      <c r="H68" s="103">
        <f>IF($B68="","",IFERROR(BDP($B68&amp;" Action","OFFERING_GREENSHOE_SHARES_EX"),""))</f>
        <v/>
      </c>
      <c r="I68" s="16">
        <f>Database!AG68</f>
        <v/>
      </c>
      <c r="J68" s="24">
        <f>IFERROR(BDP(Database!$A68&amp;" HK Equity","PE_RATIO"),"")</f>
        <v/>
      </c>
      <c r="K68" s="10">
        <f>IFERROR(BDP(Database!$A68&amp;" HK Equity","A/H_SHARE_CONVERSION"),"")</f>
        <v/>
      </c>
      <c r="L68" s="16">
        <f>IF(Database!BL68="","(none found)",Database!BL68)</f>
        <v/>
      </c>
      <c r="M68" s="18">
        <f>IFERROR(BDH(Database!$A68&amp;" HK Equity","CUR_MKT_CAP",Database!$H68,Database!$H68),"")</f>
        <v/>
      </c>
      <c r="N68" s="97">
        <f>Database!Q68</f>
        <v/>
      </c>
      <c r="O68" s="24">
        <f>IFERROR(BDH(Database!$A68&amp;" HK Equity","PE_RATIO",Database!$H68,Database!$H68),"")</f>
        <v/>
      </c>
      <c r="P68" s="101">
        <f>IF(Database!BF68="","(n/m or not derivable)",Database!BF68)</f>
        <v/>
      </c>
      <c r="Q68" s="24">
        <f>IF(Database!BL68="","",IFERROR(BDH(LEFT(Database!BL68,FIND(".",Database!BL68)-1)&amp;" CH Equity","PE_RATIO",Database!$H68,Database!$H68),""))</f>
        <v/>
      </c>
      <c r="R68" s="24">
        <f>IF(Database!BL68="","",IFERROR(BDH("HSAHP Index","PX_LAST",Database!$H68,Database!$H68),""))</f>
        <v/>
      </c>
      <c r="S68" s="24">
        <f>IFERROR(BDP(Database!$A68&amp;" HK Equity","PX_TO_SALES_RATIO"),"")</f>
        <v/>
      </c>
      <c r="T68" s="18">
        <f>IF(Database!BL68="","",IFERROR(BDP(LEFT(Database!BL68,FIND(".",Database!BL68)-1)&amp;" CH Equity","CUR_MKT_CAP"),""))</f>
        <v/>
      </c>
    </row>
    <row r="69">
      <c r="A69" s="16">
        <f>Database!A69&amp;"  "&amp;Database!B69</f>
        <v/>
      </c>
      <c r="B69" s="10">
        <f>IFERROR(INDEX(BDS(Database!$A69&amp;" HK Equity","EQUITY_OFFERINGS","array=t","endcol=1"),MATCH("IPO",BDS(Database!$A69&amp;" HK Equity","EQUITY_OFFERINGS","array=t","startcol=2","endcol=2"),0)),"")</f>
        <v/>
      </c>
      <c r="C69" s="103">
        <f>IF($B69="","",IFERROR(BDP($B69&amp;" Action","CP036"),""))</f>
        <v/>
      </c>
      <c r="D69" s="104">
        <f>Database!S69</f>
        <v/>
      </c>
      <c r="E69" s="103">
        <f>IF($B69="","",IFERROR(BDP($B69&amp;" Action","CP037"),""))</f>
        <v/>
      </c>
      <c r="F69" s="104">
        <f>Database!T69</f>
        <v/>
      </c>
      <c r="G69" s="103">
        <f>IF($B69="","",IFERROR(BDP($B69&amp;" Action","GREENSHOE_FACILITY"),""))</f>
        <v/>
      </c>
      <c r="H69" s="103">
        <f>IF($B69="","",IFERROR(BDP($B69&amp;" Action","OFFERING_GREENSHOE_SHARES_EX"),""))</f>
        <v/>
      </c>
      <c r="I69" s="16">
        <f>Database!AG69</f>
        <v/>
      </c>
      <c r="J69" s="24">
        <f>IFERROR(BDP(Database!$A69&amp;" HK Equity","PE_RATIO"),"")</f>
        <v/>
      </c>
      <c r="K69" s="10">
        <f>IFERROR(BDP(Database!$A69&amp;" HK Equity","A/H_SHARE_CONVERSION"),"")</f>
        <v/>
      </c>
      <c r="L69" s="16">
        <f>IF(Database!BL69="","(none found)",Database!BL69)</f>
        <v/>
      </c>
      <c r="M69" s="18">
        <f>IFERROR(BDH(Database!$A69&amp;" HK Equity","CUR_MKT_CAP",Database!$H69,Database!$H69),"")</f>
        <v/>
      </c>
      <c r="N69" s="97">
        <f>Database!Q69</f>
        <v/>
      </c>
      <c r="O69" s="24">
        <f>IFERROR(BDH(Database!$A69&amp;" HK Equity","PE_RATIO",Database!$H69,Database!$H69),"")</f>
        <v/>
      </c>
      <c r="P69" s="101">
        <f>IF(Database!BF69="","(n/m or not derivable)",Database!BF69)</f>
        <v/>
      </c>
      <c r="Q69" s="24">
        <f>IF(Database!BL69="","",IFERROR(BDH(LEFT(Database!BL69,FIND(".",Database!BL69)-1)&amp;" CH Equity","PE_RATIO",Database!$H69,Database!$H69),""))</f>
        <v/>
      </c>
      <c r="R69" s="24">
        <f>IF(Database!BL69="","",IFERROR(BDH("HSAHP Index","PX_LAST",Database!$H69,Database!$H69),""))</f>
        <v/>
      </c>
      <c r="S69" s="24">
        <f>IFERROR(BDP(Database!$A69&amp;" HK Equity","PX_TO_SALES_RATIO"),"")</f>
        <v/>
      </c>
      <c r="T69" s="18">
        <f>IF(Database!BL69="","",IFERROR(BDP(LEFT(Database!BL69,FIND(".",Database!BL69)-1)&amp;" CH Equity","CUR_MKT_CAP"),""))</f>
        <v/>
      </c>
    </row>
    <row r="70">
      <c r="A70" s="16">
        <f>Database!A70&amp;"  "&amp;Database!B70</f>
        <v/>
      </c>
      <c r="B70" s="10">
        <f>IFERROR(INDEX(BDS(Database!$A70&amp;" HK Equity","EQUITY_OFFERINGS","array=t","endcol=1"),MATCH("IPO",BDS(Database!$A70&amp;" HK Equity","EQUITY_OFFERINGS","array=t","startcol=2","endcol=2"),0)),"")</f>
        <v/>
      </c>
      <c r="C70" s="103">
        <f>IF($B70="","",IFERROR(BDP($B70&amp;" Action","CP036"),""))</f>
        <v/>
      </c>
      <c r="D70" s="104">
        <f>Database!S70</f>
        <v/>
      </c>
      <c r="E70" s="103">
        <f>IF($B70="","",IFERROR(BDP($B70&amp;" Action","CP037"),""))</f>
        <v/>
      </c>
      <c r="F70" s="104">
        <f>Database!T70</f>
        <v/>
      </c>
      <c r="G70" s="103">
        <f>IF($B70="","",IFERROR(BDP($B70&amp;" Action","GREENSHOE_FACILITY"),""))</f>
        <v/>
      </c>
      <c r="H70" s="103">
        <f>IF($B70="","",IFERROR(BDP($B70&amp;" Action","OFFERING_GREENSHOE_SHARES_EX"),""))</f>
        <v/>
      </c>
      <c r="I70" s="16">
        <f>Database!AG70</f>
        <v/>
      </c>
      <c r="J70" s="24">
        <f>IFERROR(BDP(Database!$A70&amp;" HK Equity","PE_RATIO"),"")</f>
        <v/>
      </c>
      <c r="K70" s="10">
        <f>IFERROR(BDP(Database!$A70&amp;" HK Equity","A/H_SHARE_CONVERSION"),"")</f>
        <v/>
      </c>
      <c r="L70" s="16">
        <f>IF(Database!BL70="","(none found)",Database!BL70)</f>
        <v/>
      </c>
      <c r="M70" s="18">
        <f>IFERROR(BDH(Database!$A70&amp;" HK Equity","CUR_MKT_CAP",Database!$H70,Database!$H70),"")</f>
        <v/>
      </c>
      <c r="N70" s="97">
        <f>Database!Q70</f>
        <v/>
      </c>
      <c r="O70" s="24">
        <f>IFERROR(BDH(Database!$A70&amp;" HK Equity","PE_RATIO",Database!$H70,Database!$H70),"")</f>
        <v/>
      </c>
      <c r="P70" s="101">
        <f>IF(Database!BF70="","(n/m or not derivable)",Database!BF70)</f>
        <v/>
      </c>
      <c r="Q70" s="24">
        <f>IF(Database!BL70="","",IFERROR(BDH(LEFT(Database!BL70,FIND(".",Database!BL70)-1)&amp;" CH Equity","PE_RATIO",Database!$H70,Database!$H70),""))</f>
        <v/>
      </c>
      <c r="R70" s="24">
        <f>IF(Database!BL70="","",IFERROR(BDH("HSAHP Index","PX_LAST",Database!$H70,Database!$H70),""))</f>
        <v/>
      </c>
      <c r="S70" s="24">
        <f>IFERROR(BDP(Database!$A70&amp;" HK Equity","PX_TO_SALES_RATIO"),"")</f>
        <v/>
      </c>
      <c r="T70" s="18">
        <f>IF(Database!BL70="","",IFERROR(BDP(LEFT(Database!BL70,FIND(".",Database!BL70)-1)&amp;" CH Equity","CUR_MKT_CAP"),""))</f>
        <v/>
      </c>
    </row>
    <row r="71">
      <c r="A71" s="16">
        <f>Database!A71&amp;"  "&amp;Database!B71</f>
        <v/>
      </c>
      <c r="B71" s="10">
        <f>IFERROR(INDEX(BDS(Database!$A71&amp;" HK Equity","EQUITY_OFFERINGS","array=t","endcol=1"),MATCH("IPO",BDS(Database!$A71&amp;" HK Equity","EQUITY_OFFERINGS","array=t","startcol=2","endcol=2"),0)),"")</f>
        <v/>
      </c>
      <c r="C71" s="103">
        <f>IF($B71="","",IFERROR(BDP($B71&amp;" Action","CP036"),""))</f>
        <v/>
      </c>
      <c r="D71" s="104">
        <f>Database!S71</f>
        <v/>
      </c>
      <c r="E71" s="103">
        <f>IF($B71="","",IFERROR(BDP($B71&amp;" Action","CP037"),""))</f>
        <v/>
      </c>
      <c r="F71" s="104">
        <f>Database!T71</f>
        <v/>
      </c>
      <c r="G71" s="103">
        <f>IF($B71="","",IFERROR(BDP($B71&amp;" Action","GREENSHOE_FACILITY"),""))</f>
        <v/>
      </c>
      <c r="H71" s="103">
        <f>IF($B71="","",IFERROR(BDP($B71&amp;" Action","OFFERING_GREENSHOE_SHARES_EX"),""))</f>
        <v/>
      </c>
      <c r="I71" s="16">
        <f>Database!AG71</f>
        <v/>
      </c>
      <c r="J71" s="24">
        <f>IFERROR(BDP(Database!$A71&amp;" HK Equity","PE_RATIO"),"")</f>
        <v/>
      </c>
      <c r="K71" s="10">
        <f>IFERROR(BDP(Database!$A71&amp;" HK Equity","A/H_SHARE_CONVERSION"),"")</f>
        <v/>
      </c>
      <c r="L71" s="16">
        <f>IF(Database!BL71="","(none found)",Database!BL71)</f>
        <v/>
      </c>
      <c r="M71" s="18">
        <f>IFERROR(BDH(Database!$A71&amp;" HK Equity","CUR_MKT_CAP",Database!$H71,Database!$H71),"")</f>
        <v/>
      </c>
      <c r="N71" s="97">
        <f>Database!Q71</f>
        <v/>
      </c>
      <c r="O71" s="24">
        <f>IFERROR(BDH(Database!$A71&amp;" HK Equity","PE_RATIO",Database!$H71,Database!$H71),"")</f>
        <v/>
      </c>
      <c r="P71" s="101">
        <f>IF(Database!BF71="","(n/m or not derivable)",Database!BF71)</f>
        <v/>
      </c>
      <c r="Q71" s="24">
        <f>IF(Database!BL71="","",IFERROR(BDH(LEFT(Database!BL71,FIND(".",Database!BL71)-1)&amp;" CH Equity","PE_RATIO",Database!$H71,Database!$H71),""))</f>
        <v/>
      </c>
      <c r="R71" s="24">
        <f>IF(Database!BL71="","",IFERROR(BDH("HSAHP Index","PX_LAST",Database!$H71,Database!$H71),""))</f>
        <v/>
      </c>
      <c r="S71" s="24">
        <f>IFERROR(BDP(Database!$A71&amp;" HK Equity","PX_TO_SALES_RATIO"),"")</f>
        <v/>
      </c>
      <c r="T71" s="18">
        <f>IF(Database!BL71="","",IFERROR(BDP(LEFT(Database!BL71,FIND(".",Database!BL71)-1)&amp;" CH Equity","CUR_MKT_CAP"),""))</f>
        <v/>
      </c>
    </row>
    <row r="72">
      <c r="A72" s="16">
        <f>Database!A72&amp;"  "&amp;Database!B72</f>
        <v/>
      </c>
      <c r="B72" s="10">
        <f>IFERROR(INDEX(BDS(Database!$A72&amp;" HK Equity","EQUITY_OFFERINGS","array=t","endcol=1"),MATCH("IPO",BDS(Database!$A72&amp;" HK Equity","EQUITY_OFFERINGS","array=t","startcol=2","endcol=2"),0)),"")</f>
        <v/>
      </c>
      <c r="C72" s="103">
        <f>IF($B72="","",IFERROR(BDP($B72&amp;" Action","CP036"),""))</f>
        <v/>
      </c>
      <c r="D72" s="104">
        <f>Database!S72</f>
        <v/>
      </c>
      <c r="E72" s="103">
        <f>IF($B72="","",IFERROR(BDP($B72&amp;" Action","CP037"),""))</f>
        <v/>
      </c>
      <c r="F72" s="104">
        <f>Database!T72</f>
        <v/>
      </c>
      <c r="G72" s="103">
        <f>IF($B72="","",IFERROR(BDP($B72&amp;" Action","GREENSHOE_FACILITY"),""))</f>
        <v/>
      </c>
      <c r="H72" s="103">
        <f>IF($B72="","",IFERROR(BDP($B72&amp;" Action","OFFERING_GREENSHOE_SHARES_EX"),""))</f>
        <v/>
      </c>
      <c r="I72" s="16">
        <f>Database!AG72</f>
        <v/>
      </c>
      <c r="J72" s="24">
        <f>IFERROR(BDP(Database!$A72&amp;" HK Equity","PE_RATIO"),"")</f>
        <v/>
      </c>
      <c r="K72" s="10">
        <f>IFERROR(BDP(Database!$A72&amp;" HK Equity","A/H_SHARE_CONVERSION"),"")</f>
        <v/>
      </c>
      <c r="L72" s="16">
        <f>IF(Database!BL72="","(none found)",Database!BL72)</f>
        <v/>
      </c>
      <c r="M72" s="18">
        <f>IFERROR(BDH(Database!$A72&amp;" HK Equity","CUR_MKT_CAP",Database!$H72,Database!$H72),"")</f>
        <v/>
      </c>
      <c r="N72" s="97">
        <f>Database!Q72</f>
        <v/>
      </c>
      <c r="O72" s="24">
        <f>IFERROR(BDH(Database!$A72&amp;" HK Equity","PE_RATIO",Database!$H72,Database!$H72),"")</f>
        <v/>
      </c>
      <c r="P72" s="101">
        <f>IF(Database!BF72="","(n/m or not derivable)",Database!BF72)</f>
        <v/>
      </c>
      <c r="Q72" s="24">
        <f>IF(Database!BL72="","",IFERROR(BDH(LEFT(Database!BL72,FIND(".",Database!BL72)-1)&amp;" CH Equity","PE_RATIO",Database!$H72,Database!$H72),""))</f>
        <v/>
      </c>
      <c r="R72" s="24">
        <f>IF(Database!BL72="","",IFERROR(BDH("HSAHP Index","PX_LAST",Database!$H72,Database!$H72),""))</f>
        <v/>
      </c>
      <c r="S72" s="24">
        <f>IFERROR(BDP(Database!$A72&amp;" HK Equity","PX_TO_SALES_RATIO"),"")</f>
        <v/>
      </c>
      <c r="T72" s="18">
        <f>IF(Database!BL72="","",IFERROR(BDP(LEFT(Database!BL72,FIND(".",Database!BL72)-1)&amp;" CH Equity","CUR_MKT_CAP"),""))</f>
        <v/>
      </c>
    </row>
    <row r="73">
      <c r="A73" s="16">
        <f>Database!A73&amp;"  "&amp;Database!B73</f>
        <v/>
      </c>
      <c r="B73" s="10">
        <f>IFERROR(INDEX(BDS(Database!$A73&amp;" HK Equity","EQUITY_OFFERINGS","array=t","endcol=1"),MATCH("IPO",BDS(Database!$A73&amp;" HK Equity","EQUITY_OFFERINGS","array=t","startcol=2","endcol=2"),0)),"")</f>
        <v/>
      </c>
      <c r="C73" s="103">
        <f>IF($B73="","",IFERROR(BDP($B73&amp;" Action","CP036"),""))</f>
        <v/>
      </c>
      <c r="D73" s="104">
        <f>Database!S73</f>
        <v/>
      </c>
      <c r="E73" s="103">
        <f>IF($B73="","",IFERROR(BDP($B73&amp;" Action","CP037"),""))</f>
        <v/>
      </c>
      <c r="F73" s="104">
        <f>Database!T73</f>
        <v/>
      </c>
      <c r="G73" s="103">
        <f>IF($B73="","",IFERROR(BDP($B73&amp;" Action","GREENSHOE_FACILITY"),""))</f>
        <v/>
      </c>
      <c r="H73" s="103">
        <f>IF($B73="","",IFERROR(BDP($B73&amp;" Action","OFFERING_GREENSHOE_SHARES_EX"),""))</f>
        <v/>
      </c>
      <c r="I73" s="16">
        <f>Database!AG73</f>
        <v/>
      </c>
      <c r="J73" s="24">
        <f>IFERROR(BDP(Database!$A73&amp;" HK Equity","PE_RATIO"),"")</f>
        <v/>
      </c>
      <c r="K73" s="10">
        <f>IFERROR(BDP(Database!$A73&amp;" HK Equity","A/H_SHARE_CONVERSION"),"")</f>
        <v/>
      </c>
      <c r="L73" s="16">
        <f>IF(Database!BL73="","(none found)",Database!BL73)</f>
        <v/>
      </c>
      <c r="M73" s="18">
        <f>IFERROR(BDH(Database!$A73&amp;" HK Equity","CUR_MKT_CAP",Database!$H73,Database!$H73),"")</f>
        <v/>
      </c>
      <c r="N73" s="97">
        <f>Database!Q73</f>
        <v/>
      </c>
      <c r="O73" s="24">
        <f>IFERROR(BDH(Database!$A73&amp;" HK Equity","PE_RATIO",Database!$H73,Database!$H73),"")</f>
        <v/>
      </c>
      <c r="P73" s="101">
        <f>IF(Database!BF73="","(n/m or not derivable)",Database!BF73)</f>
        <v/>
      </c>
      <c r="Q73" s="24">
        <f>IF(Database!BL73="","",IFERROR(BDH(LEFT(Database!BL73,FIND(".",Database!BL73)-1)&amp;" CH Equity","PE_RATIO",Database!$H73,Database!$H73),""))</f>
        <v/>
      </c>
      <c r="R73" s="24">
        <f>IF(Database!BL73="","",IFERROR(BDH("HSAHP Index","PX_LAST",Database!$H73,Database!$H73),""))</f>
        <v/>
      </c>
      <c r="S73" s="24">
        <f>IFERROR(BDP(Database!$A73&amp;" HK Equity","PX_TO_SALES_RATIO"),"")</f>
        <v/>
      </c>
      <c r="T73" s="18">
        <f>IF(Database!BL73="","",IFERROR(BDP(LEFT(Database!BL73,FIND(".",Database!BL73)-1)&amp;" CH Equity","CUR_MKT_CAP"),""))</f>
        <v/>
      </c>
    </row>
    <row r="74">
      <c r="A74" s="16">
        <f>Database!A74&amp;"  "&amp;Database!B74</f>
        <v/>
      </c>
      <c r="B74" s="10">
        <f>IFERROR(INDEX(BDS(Database!$A74&amp;" HK Equity","EQUITY_OFFERINGS","array=t","endcol=1"),MATCH("IPO",BDS(Database!$A74&amp;" HK Equity","EQUITY_OFFERINGS","array=t","startcol=2","endcol=2"),0)),"")</f>
        <v/>
      </c>
      <c r="C74" s="103">
        <f>IF($B74="","",IFERROR(BDP($B74&amp;" Action","CP036"),""))</f>
        <v/>
      </c>
      <c r="D74" s="104">
        <f>Database!S74</f>
        <v/>
      </c>
      <c r="E74" s="103">
        <f>IF($B74="","",IFERROR(BDP($B74&amp;" Action","CP037"),""))</f>
        <v/>
      </c>
      <c r="F74" s="104">
        <f>Database!T74</f>
        <v/>
      </c>
      <c r="G74" s="103">
        <f>IF($B74="","",IFERROR(BDP($B74&amp;" Action","GREENSHOE_FACILITY"),""))</f>
        <v/>
      </c>
      <c r="H74" s="103">
        <f>IF($B74="","",IFERROR(BDP($B74&amp;" Action","OFFERING_GREENSHOE_SHARES_EX"),""))</f>
        <v/>
      </c>
      <c r="I74" s="16">
        <f>Database!AG74</f>
        <v/>
      </c>
      <c r="J74" s="24">
        <f>IFERROR(BDP(Database!$A74&amp;" HK Equity","PE_RATIO"),"")</f>
        <v/>
      </c>
      <c r="K74" s="10">
        <f>IFERROR(BDP(Database!$A74&amp;" HK Equity","A/H_SHARE_CONVERSION"),"")</f>
        <v/>
      </c>
      <c r="L74" s="16">
        <f>IF(Database!BL74="","(none found)",Database!BL74)</f>
        <v/>
      </c>
      <c r="M74" s="18">
        <f>IFERROR(BDH(Database!$A74&amp;" HK Equity","CUR_MKT_CAP",Database!$H74,Database!$H74),"")</f>
        <v/>
      </c>
      <c r="N74" s="97">
        <f>Database!Q74</f>
        <v/>
      </c>
      <c r="O74" s="24">
        <f>IFERROR(BDH(Database!$A74&amp;" HK Equity","PE_RATIO",Database!$H74,Database!$H74),"")</f>
        <v/>
      </c>
      <c r="P74" s="101">
        <f>IF(Database!BF74="","(n/m or not derivable)",Database!BF74)</f>
        <v/>
      </c>
      <c r="Q74" s="24">
        <f>IF(Database!BL74="","",IFERROR(BDH(LEFT(Database!BL74,FIND(".",Database!BL74)-1)&amp;" CH Equity","PE_RATIO",Database!$H74,Database!$H74),""))</f>
        <v/>
      </c>
      <c r="R74" s="24">
        <f>IF(Database!BL74="","",IFERROR(BDH("HSAHP Index","PX_LAST",Database!$H74,Database!$H74),""))</f>
        <v/>
      </c>
      <c r="S74" s="24">
        <f>IFERROR(BDP(Database!$A74&amp;" HK Equity","PX_TO_SALES_RATIO"),"")</f>
        <v/>
      </c>
      <c r="T74" s="18">
        <f>IF(Database!BL74="","",IFERROR(BDP(LEFT(Database!BL74,FIND(".",Database!BL74)-1)&amp;" CH Equity","CUR_MKT_CAP"),""))</f>
        <v/>
      </c>
    </row>
    <row r="75">
      <c r="A75" s="16">
        <f>Database!A75&amp;"  "&amp;Database!B75</f>
        <v/>
      </c>
      <c r="B75" s="10">
        <f>IFERROR(INDEX(BDS(Database!$A75&amp;" HK Equity","EQUITY_OFFERINGS","array=t","endcol=1"),MATCH("IPO",BDS(Database!$A75&amp;" HK Equity","EQUITY_OFFERINGS","array=t","startcol=2","endcol=2"),0)),"")</f>
        <v/>
      </c>
      <c r="C75" s="103">
        <f>IF($B75="","",IFERROR(BDP($B75&amp;" Action","CP036"),""))</f>
        <v/>
      </c>
      <c r="D75" s="104">
        <f>Database!S75</f>
        <v/>
      </c>
      <c r="E75" s="103">
        <f>IF($B75="","",IFERROR(BDP($B75&amp;" Action","CP037"),""))</f>
        <v/>
      </c>
      <c r="F75" s="104">
        <f>Database!T75</f>
        <v/>
      </c>
      <c r="G75" s="103">
        <f>IF($B75="","",IFERROR(BDP($B75&amp;" Action","GREENSHOE_FACILITY"),""))</f>
        <v/>
      </c>
      <c r="H75" s="103">
        <f>IF($B75="","",IFERROR(BDP($B75&amp;" Action","OFFERING_GREENSHOE_SHARES_EX"),""))</f>
        <v/>
      </c>
      <c r="I75" s="16">
        <f>Database!AG75</f>
        <v/>
      </c>
      <c r="J75" s="24">
        <f>IFERROR(BDP(Database!$A75&amp;" HK Equity","PE_RATIO"),"")</f>
        <v/>
      </c>
      <c r="K75" s="10">
        <f>IFERROR(BDP(Database!$A75&amp;" HK Equity","A/H_SHARE_CONVERSION"),"")</f>
        <v/>
      </c>
      <c r="L75" s="16">
        <f>IF(Database!BL75="","(none found)",Database!BL75)</f>
        <v/>
      </c>
      <c r="M75" s="18">
        <f>IFERROR(BDH(Database!$A75&amp;" HK Equity","CUR_MKT_CAP",Database!$H75,Database!$H75),"")</f>
        <v/>
      </c>
      <c r="N75" s="97">
        <f>Database!Q75</f>
        <v/>
      </c>
      <c r="O75" s="24">
        <f>IFERROR(BDH(Database!$A75&amp;" HK Equity","PE_RATIO",Database!$H75,Database!$H75),"")</f>
        <v/>
      </c>
      <c r="P75" s="101">
        <f>IF(Database!BF75="","(n/m or not derivable)",Database!BF75)</f>
        <v/>
      </c>
      <c r="Q75" s="24">
        <f>IF(Database!BL75="","",IFERROR(BDH(LEFT(Database!BL75,FIND(".",Database!BL75)-1)&amp;" CH Equity","PE_RATIO",Database!$H75,Database!$H75),""))</f>
        <v/>
      </c>
      <c r="R75" s="24">
        <f>IF(Database!BL75="","",IFERROR(BDH("HSAHP Index","PX_LAST",Database!$H75,Database!$H75),""))</f>
        <v/>
      </c>
      <c r="S75" s="24">
        <f>IFERROR(BDP(Database!$A75&amp;" HK Equity","PX_TO_SALES_RATIO"),"")</f>
        <v/>
      </c>
      <c r="T75" s="18">
        <f>IF(Database!BL75="","",IFERROR(BDP(LEFT(Database!BL75,FIND(".",Database!BL75)-1)&amp;" CH Equity","CUR_MKT_CAP"),""))</f>
        <v/>
      </c>
    </row>
    <row r="76">
      <c r="A76" s="16">
        <f>Database!A76&amp;"  "&amp;Database!B76</f>
        <v/>
      </c>
      <c r="B76" s="10">
        <f>IFERROR(INDEX(BDS(Database!$A76&amp;" HK Equity","EQUITY_OFFERINGS","array=t","endcol=1"),MATCH("IPO",BDS(Database!$A76&amp;" HK Equity","EQUITY_OFFERINGS","array=t","startcol=2","endcol=2"),0)),"")</f>
        <v/>
      </c>
      <c r="C76" s="103">
        <f>IF($B76="","",IFERROR(BDP($B76&amp;" Action","CP036"),""))</f>
        <v/>
      </c>
      <c r="D76" s="104">
        <f>Database!S76</f>
        <v/>
      </c>
      <c r="E76" s="103">
        <f>IF($B76="","",IFERROR(BDP($B76&amp;" Action","CP037"),""))</f>
        <v/>
      </c>
      <c r="F76" s="104">
        <f>Database!T76</f>
        <v/>
      </c>
      <c r="G76" s="103">
        <f>IF($B76="","",IFERROR(BDP($B76&amp;" Action","GREENSHOE_FACILITY"),""))</f>
        <v/>
      </c>
      <c r="H76" s="103">
        <f>IF($B76="","",IFERROR(BDP($B76&amp;" Action","OFFERING_GREENSHOE_SHARES_EX"),""))</f>
        <v/>
      </c>
      <c r="I76" s="16">
        <f>Database!AG76</f>
        <v/>
      </c>
      <c r="J76" s="24">
        <f>IFERROR(BDP(Database!$A76&amp;" HK Equity","PE_RATIO"),"")</f>
        <v/>
      </c>
      <c r="K76" s="10">
        <f>IFERROR(BDP(Database!$A76&amp;" HK Equity","A/H_SHARE_CONVERSION"),"")</f>
        <v/>
      </c>
      <c r="L76" s="16">
        <f>IF(Database!BL76="","(none found)",Database!BL76)</f>
        <v/>
      </c>
      <c r="M76" s="18">
        <f>IFERROR(BDH(Database!$A76&amp;" HK Equity","CUR_MKT_CAP",Database!$H76,Database!$H76),"")</f>
        <v/>
      </c>
      <c r="N76" s="97">
        <f>Database!Q76</f>
        <v/>
      </c>
      <c r="O76" s="24">
        <f>IFERROR(BDH(Database!$A76&amp;" HK Equity","PE_RATIO",Database!$H76,Database!$H76),"")</f>
        <v/>
      </c>
      <c r="P76" s="101">
        <f>IF(Database!BF76="","(n/m or not derivable)",Database!BF76)</f>
        <v/>
      </c>
      <c r="Q76" s="24">
        <f>IF(Database!BL76="","",IFERROR(BDH(LEFT(Database!BL76,FIND(".",Database!BL76)-1)&amp;" CH Equity","PE_RATIO",Database!$H76,Database!$H76),""))</f>
        <v/>
      </c>
      <c r="R76" s="24">
        <f>IF(Database!BL76="","",IFERROR(BDH("HSAHP Index","PX_LAST",Database!$H76,Database!$H76),""))</f>
        <v/>
      </c>
      <c r="S76" s="24">
        <f>IFERROR(BDP(Database!$A76&amp;" HK Equity","PX_TO_SALES_RATIO"),"")</f>
        <v/>
      </c>
      <c r="T76" s="18">
        <f>IF(Database!BL76="","",IFERROR(BDP(LEFT(Database!BL76,FIND(".",Database!BL76)-1)&amp;" CH Equity","CUR_MKT_CAP"),""))</f>
        <v/>
      </c>
    </row>
    <row r="77">
      <c r="A77" s="16">
        <f>Database!A77&amp;"  "&amp;Database!B77</f>
        <v/>
      </c>
      <c r="B77" s="10">
        <f>IFERROR(INDEX(BDS(Database!$A77&amp;" HK Equity","EQUITY_OFFERINGS","array=t","endcol=1"),MATCH("IPO",BDS(Database!$A77&amp;" HK Equity","EQUITY_OFFERINGS","array=t","startcol=2","endcol=2"),0)),"")</f>
        <v/>
      </c>
      <c r="C77" s="103">
        <f>IF($B77="","",IFERROR(BDP($B77&amp;" Action","CP036"),""))</f>
        <v/>
      </c>
      <c r="D77" s="104">
        <f>Database!S77</f>
        <v/>
      </c>
      <c r="E77" s="103">
        <f>IF($B77="","",IFERROR(BDP($B77&amp;" Action","CP037"),""))</f>
        <v/>
      </c>
      <c r="F77" s="104">
        <f>Database!T77</f>
        <v/>
      </c>
      <c r="G77" s="103">
        <f>IF($B77="","",IFERROR(BDP($B77&amp;" Action","GREENSHOE_FACILITY"),""))</f>
        <v/>
      </c>
      <c r="H77" s="103">
        <f>IF($B77="","",IFERROR(BDP($B77&amp;" Action","OFFERING_GREENSHOE_SHARES_EX"),""))</f>
        <v/>
      </c>
      <c r="I77" s="16">
        <f>Database!AG77</f>
        <v/>
      </c>
      <c r="J77" s="24">
        <f>IFERROR(BDP(Database!$A77&amp;" HK Equity","PE_RATIO"),"")</f>
        <v/>
      </c>
      <c r="K77" s="10">
        <f>IFERROR(BDP(Database!$A77&amp;" HK Equity","A/H_SHARE_CONVERSION"),"")</f>
        <v/>
      </c>
      <c r="L77" s="16">
        <f>IF(Database!BL77="","(none found)",Database!BL77)</f>
        <v/>
      </c>
      <c r="M77" s="18">
        <f>IFERROR(BDH(Database!$A77&amp;" HK Equity","CUR_MKT_CAP",Database!$H77,Database!$H77),"")</f>
        <v/>
      </c>
      <c r="N77" s="97">
        <f>Database!Q77</f>
        <v/>
      </c>
      <c r="O77" s="24">
        <f>IFERROR(BDH(Database!$A77&amp;" HK Equity","PE_RATIO",Database!$H77,Database!$H77),"")</f>
        <v/>
      </c>
      <c r="P77" s="101">
        <f>IF(Database!BF77="","(n/m or not derivable)",Database!BF77)</f>
        <v/>
      </c>
      <c r="Q77" s="24">
        <f>IF(Database!BL77="","",IFERROR(BDH(LEFT(Database!BL77,FIND(".",Database!BL77)-1)&amp;" CH Equity","PE_RATIO",Database!$H77,Database!$H77),""))</f>
        <v/>
      </c>
      <c r="R77" s="24">
        <f>IF(Database!BL77="","",IFERROR(BDH("HSAHP Index","PX_LAST",Database!$H77,Database!$H77),""))</f>
        <v/>
      </c>
      <c r="S77" s="24">
        <f>IFERROR(BDP(Database!$A77&amp;" HK Equity","PX_TO_SALES_RATIO"),"")</f>
        <v/>
      </c>
      <c r="T77" s="18">
        <f>IF(Database!BL77="","",IFERROR(BDP(LEFT(Database!BL77,FIND(".",Database!BL77)-1)&amp;" CH Equity","CUR_MKT_CAP"),""))</f>
        <v/>
      </c>
    </row>
    <row r="78">
      <c r="A78" s="16">
        <f>Database!A78&amp;"  "&amp;Database!B78</f>
        <v/>
      </c>
      <c r="B78" s="10">
        <f>IFERROR(INDEX(BDS(Database!$A78&amp;" HK Equity","EQUITY_OFFERINGS","array=t","endcol=1"),MATCH("IPO",BDS(Database!$A78&amp;" HK Equity","EQUITY_OFFERINGS","array=t","startcol=2","endcol=2"),0)),"")</f>
        <v/>
      </c>
      <c r="C78" s="103">
        <f>IF($B78="","",IFERROR(BDP($B78&amp;" Action","CP036"),""))</f>
        <v/>
      </c>
      <c r="D78" s="104">
        <f>Database!S78</f>
        <v/>
      </c>
      <c r="E78" s="103">
        <f>IF($B78="","",IFERROR(BDP($B78&amp;" Action","CP037"),""))</f>
        <v/>
      </c>
      <c r="F78" s="104">
        <f>Database!T78</f>
        <v/>
      </c>
      <c r="G78" s="103">
        <f>IF($B78="","",IFERROR(BDP($B78&amp;" Action","GREENSHOE_FACILITY"),""))</f>
        <v/>
      </c>
      <c r="H78" s="103">
        <f>IF($B78="","",IFERROR(BDP($B78&amp;" Action","OFFERING_GREENSHOE_SHARES_EX"),""))</f>
        <v/>
      </c>
      <c r="I78" s="16">
        <f>Database!AG78</f>
        <v/>
      </c>
      <c r="J78" s="24">
        <f>IFERROR(BDP(Database!$A78&amp;" HK Equity","PE_RATIO"),"")</f>
        <v/>
      </c>
      <c r="K78" s="10">
        <f>IFERROR(BDP(Database!$A78&amp;" HK Equity","A/H_SHARE_CONVERSION"),"")</f>
        <v/>
      </c>
      <c r="L78" s="16">
        <f>IF(Database!BL78="","(none found)",Database!BL78)</f>
        <v/>
      </c>
      <c r="M78" s="18">
        <f>IFERROR(BDH(Database!$A78&amp;" HK Equity","CUR_MKT_CAP",Database!$H78,Database!$H78),"")</f>
        <v/>
      </c>
      <c r="N78" s="97">
        <f>Database!Q78</f>
        <v/>
      </c>
      <c r="O78" s="24">
        <f>IFERROR(BDH(Database!$A78&amp;" HK Equity","PE_RATIO",Database!$H78,Database!$H78),"")</f>
        <v/>
      </c>
      <c r="P78" s="101">
        <f>IF(Database!BF78="","(n/m or not derivable)",Database!BF78)</f>
        <v/>
      </c>
      <c r="Q78" s="24">
        <f>IF(Database!BL78="","",IFERROR(BDH(LEFT(Database!BL78,FIND(".",Database!BL78)-1)&amp;" CH Equity","PE_RATIO",Database!$H78,Database!$H78),""))</f>
        <v/>
      </c>
      <c r="R78" s="24">
        <f>IF(Database!BL78="","",IFERROR(BDH("HSAHP Index","PX_LAST",Database!$H78,Database!$H78),""))</f>
        <v/>
      </c>
      <c r="S78" s="24">
        <f>IFERROR(BDP(Database!$A78&amp;" HK Equity","PX_TO_SALES_RATIO"),"")</f>
        <v/>
      </c>
      <c r="T78" s="18">
        <f>IF(Database!BL78="","",IFERROR(BDP(LEFT(Database!BL78,FIND(".",Database!BL78)-1)&amp;" CH Equity","CUR_MKT_CAP"),""))</f>
        <v/>
      </c>
    </row>
    <row r="79">
      <c r="A79" s="16">
        <f>Database!A79&amp;"  "&amp;Database!B79</f>
        <v/>
      </c>
      <c r="B79" s="10">
        <f>IFERROR(INDEX(BDS(Database!$A79&amp;" HK Equity","EQUITY_OFFERINGS","array=t","endcol=1"),MATCH("IPO",BDS(Database!$A79&amp;" HK Equity","EQUITY_OFFERINGS","array=t","startcol=2","endcol=2"),0)),"")</f>
        <v/>
      </c>
      <c r="C79" s="103">
        <f>IF($B79="","",IFERROR(BDP($B79&amp;" Action","CP036"),""))</f>
        <v/>
      </c>
      <c r="D79" s="104">
        <f>Database!S79</f>
        <v/>
      </c>
      <c r="E79" s="103">
        <f>IF($B79="","",IFERROR(BDP($B79&amp;" Action","CP037"),""))</f>
        <v/>
      </c>
      <c r="F79" s="104">
        <f>Database!T79</f>
        <v/>
      </c>
      <c r="G79" s="103">
        <f>IF($B79="","",IFERROR(BDP($B79&amp;" Action","GREENSHOE_FACILITY"),""))</f>
        <v/>
      </c>
      <c r="H79" s="103">
        <f>IF($B79="","",IFERROR(BDP($B79&amp;" Action","OFFERING_GREENSHOE_SHARES_EX"),""))</f>
        <v/>
      </c>
      <c r="I79" s="16">
        <f>Database!AG79</f>
        <v/>
      </c>
      <c r="J79" s="24">
        <f>IFERROR(BDP(Database!$A79&amp;" HK Equity","PE_RATIO"),"")</f>
        <v/>
      </c>
      <c r="K79" s="10">
        <f>IFERROR(BDP(Database!$A79&amp;" HK Equity","A/H_SHARE_CONVERSION"),"")</f>
        <v/>
      </c>
      <c r="L79" s="16">
        <f>IF(Database!BL79="","(none found)",Database!BL79)</f>
        <v/>
      </c>
      <c r="M79" s="18">
        <f>IFERROR(BDH(Database!$A79&amp;" HK Equity","CUR_MKT_CAP",Database!$H79,Database!$H79),"")</f>
        <v/>
      </c>
      <c r="N79" s="97">
        <f>Database!Q79</f>
        <v/>
      </c>
      <c r="O79" s="24">
        <f>IFERROR(BDH(Database!$A79&amp;" HK Equity","PE_RATIO",Database!$H79,Database!$H79),"")</f>
        <v/>
      </c>
      <c r="P79" s="101">
        <f>IF(Database!BF79="","(n/m or not derivable)",Database!BF79)</f>
        <v/>
      </c>
      <c r="Q79" s="24">
        <f>IF(Database!BL79="","",IFERROR(BDH(LEFT(Database!BL79,FIND(".",Database!BL79)-1)&amp;" CH Equity","PE_RATIO",Database!$H79,Database!$H79),""))</f>
        <v/>
      </c>
      <c r="R79" s="24">
        <f>IF(Database!BL79="","",IFERROR(BDH("HSAHP Index","PX_LAST",Database!$H79,Database!$H79),""))</f>
        <v/>
      </c>
      <c r="S79" s="24">
        <f>IFERROR(BDP(Database!$A79&amp;" HK Equity","PX_TO_SALES_RATIO"),"")</f>
        <v/>
      </c>
      <c r="T79" s="18">
        <f>IF(Database!BL79="","",IFERROR(BDP(LEFT(Database!BL79,FIND(".",Database!BL79)-1)&amp;" CH Equity","CUR_MKT_CAP"),""))</f>
        <v/>
      </c>
    </row>
    <row r="80">
      <c r="A80" s="16">
        <f>Database!A80&amp;"  "&amp;Database!B80</f>
        <v/>
      </c>
      <c r="B80" s="10">
        <f>IFERROR(INDEX(BDS(Database!$A80&amp;" HK Equity","EQUITY_OFFERINGS","array=t","endcol=1"),MATCH("IPO",BDS(Database!$A80&amp;" HK Equity","EQUITY_OFFERINGS","array=t","startcol=2","endcol=2"),0)),"")</f>
        <v/>
      </c>
      <c r="C80" s="103">
        <f>IF($B80="","",IFERROR(BDP($B80&amp;" Action","CP036"),""))</f>
        <v/>
      </c>
      <c r="D80" s="104">
        <f>Database!S80</f>
        <v/>
      </c>
      <c r="E80" s="103">
        <f>IF($B80="","",IFERROR(BDP($B80&amp;" Action","CP037"),""))</f>
        <v/>
      </c>
      <c r="F80" s="104">
        <f>Database!T80</f>
        <v/>
      </c>
      <c r="G80" s="103">
        <f>IF($B80="","",IFERROR(BDP($B80&amp;" Action","GREENSHOE_FACILITY"),""))</f>
        <v/>
      </c>
      <c r="H80" s="103">
        <f>IF($B80="","",IFERROR(BDP($B80&amp;" Action","OFFERING_GREENSHOE_SHARES_EX"),""))</f>
        <v/>
      </c>
      <c r="I80" s="16">
        <f>Database!AG80</f>
        <v/>
      </c>
      <c r="J80" s="24">
        <f>IFERROR(BDP(Database!$A80&amp;" HK Equity","PE_RATIO"),"")</f>
        <v/>
      </c>
      <c r="K80" s="10">
        <f>IFERROR(BDP(Database!$A80&amp;" HK Equity","A/H_SHARE_CONVERSION"),"")</f>
        <v/>
      </c>
      <c r="L80" s="16">
        <f>IF(Database!BL80="","(none found)",Database!BL80)</f>
        <v/>
      </c>
      <c r="M80" s="18">
        <f>IFERROR(BDH(Database!$A80&amp;" HK Equity","CUR_MKT_CAP",Database!$H80,Database!$H80),"")</f>
        <v/>
      </c>
      <c r="N80" s="97">
        <f>Database!Q80</f>
        <v/>
      </c>
      <c r="O80" s="24">
        <f>IFERROR(BDH(Database!$A80&amp;" HK Equity","PE_RATIO",Database!$H80,Database!$H80),"")</f>
        <v/>
      </c>
      <c r="P80" s="101">
        <f>IF(Database!BF80="","(n/m or not derivable)",Database!BF80)</f>
        <v/>
      </c>
      <c r="Q80" s="24">
        <f>IF(Database!BL80="","",IFERROR(BDH(LEFT(Database!BL80,FIND(".",Database!BL80)-1)&amp;" CH Equity","PE_RATIO",Database!$H80,Database!$H80),""))</f>
        <v/>
      </c>
      <c r="R80" s="24">
        <f>IF(Database!BL80="","",IFERROR(BDH("HSAHP Index","PX_LAST",Database!$H80,Database!$H80),""))</f>
        <v/>
      </c>
      <c r="S80" s="24">
        <f>IFERROR(BDP(Database!$A80&amp;" HK Equity","PX_TO_SALES_RATIO"),"")</f>
        <v/>
      </c>
      <c r="T80" s="18">
        <f>IF(Database!BL80="","",IFERROR(BDP(LEFT(Database!BL80,FIND(".",Database!BL80)-1)&amp;" CH Equity","CUR_MKT_CAP"),""))</f>
        <v/>
      </c>
    </row>
    <row r="81">
      <c r="A81" s="16">
        <f>Database!A81&amp;"  "&amp;Database!B81</f>
        <v/>
      </c>
      <c r="B81" s="10">
        <f>IFERROR(INDEX(BDS(Database!$A81&amp;" HK Equity","EQUITY_OFFERINGS","array=t","endcol=1"),MATCH("IPO",BDS(Database!$A81&amp;" HK Equity","EQUITY_OFFERINGS","array=t","startcol=2","endcol=2"),0)),"")</f>
        <v/>
      </c>
      <c r="C81" s="103">
        <f>IF($B81="","",IFERROR(BDP($B81&amp;" Action","CP036"),""))</f>
        <v/>
      </c>
      <c r="D81" s="104">
        <f>Database!S81</f>
        <v/>
      </c>
      <c r="E81" s="103">
        <f>IF($B81="","",IFERROR(BDP($B81&amp;" Action","CP037"),""))</f>
        <v/>
      </c>
      <c r="F81" s="104">
        <f>Database!T81</f>
        <v/>
      </c>
      <c r="G81" s="103">
        <f>IF($B81="","",IFERROR(BDP($B81&amp;" Action","GREENSHOE_FACILITY"),""))</f>
        <v/>
      </c>
      <c r="H81" s="103">
        <f>IF($B81="","",IFERROR(BDP($B81&amp;" Action","OFFERING_GREENSHOE_SHARES_EX"),""))</f>
        <v/>
      </c>
      <c r="I81" s="16">
        <f>Database!AG81</f>
        <v/>
      </c>
      <c r="J81" s="24">
        <f>IFERROR(BDP(Database!$A81&amp;" HK Equity","PE_RATIO"),"")</f>
        <v/>
      </c>
      <c r="K81" s="10">
        <f>IFERROR(BDP(Database!$A81&amp;" HK Equity","A/H_SHARE_CONVERSION"),"")</f>
        <v/>
      </c>
      <c r="L81" s="16">
        <f>IF(Database!BL81="","(none found)",Database!BL81)</f>
        <v/>
      </c>
      <c r="M81" s="18">
        <f>IFERROR(BDH(Database!$A81&amp;" HK Equity","CUR_MKT_CAP",Database!$H81,Database!$H81),"")</f>
        <v/>
      </c>
      <c r="N81" s="97">
        <f>Database!Q81</f>
        <v/>
      </c>
      <c r="O81" s="24">
        <f>IFERROR(BDH(Database!$A81&amp;" HK Equity","PE_RATIO",Database!$H81,Database!$H81),"")</f>
        <v/>
      </c>
      <c r="P81" s="101">
        <f>IF(Database!BF81="","(n/m or not derivable)",Database!BF81)</f>
        <v/>
      </c>
      <c r="Q81" s="24">
        <f>IF(Database!BL81="","",IFERROR(BDH(LEFT(Database!BL81,FIND(".",Database!BL81)-1)&amp;" CH Equity","PE_RATIO",Database!$H81,Database!$H81),""))</f>
        <v/>
      </c>
      <c r="R81" s="24">
        <f>IF(Database!BL81="","",IFERROR(BDH("HSAHP Index","PX_LAST",Database!$H81,Database!$H81),""))</f>
        <v/>
      </c>
      <c r="S81" s="24">
        <f>IFERROR(BDP(Database!$A81&amp;" HK Equity","PX_TO_SALES_RATIO"),"")</f>
        <v/>
      </c>
      <c r="T81" s="18">
        <f>IF(Database!BL81="","",IFERROR(BDP(LEFT(Database!BL81,FIND(".",Database!BL81)-1)&amp;" CH Equity","CUR_MKT_CAP"),""))</f>
        <v/>
      </c>
    </row>
    <row r="82">
      <c r="A82" s="16">
        <f>Database!A82&amp;"  "&amp;Database!B82</f>
        <v/>
      </c>
      <c r="B82" s="10">
        <f>IFERROR(INDEX(BDS(Database!$A82&amp;" HK Equity","EQUITY_OFFERINGS","array=t","endcol=1"),MATCH("IPO",BDS(Database!$A82&amp;" HK Equity","EQUITY_OFFERINGS","array=t","startcol=2","endcol=2"),0)),"")</f>
        <v/>
      </c>
      <c r="C82" s="103">
        <f>IF($B82="","",IFERROR(BDP($B82&amp;" Action","CP036"),""))</f>
        <v/>
      </c>
      <c r="D82" s="104">
        <f>Database!S82</f>
        <v/>
      </c>
      <c r="E82" s="103">
        <f>IF($B82="","",IFERROR(BDP($B82&amp;" Action","CP037"),""))</f>
        <v/>
      </c>
      <c r="F82" s="104">
        <f>Database!T82</f>
        <v/>
      </c>
      <c r="G82" s="103">
        <f>IF($B82="","",IFERROR(BDP($B82&amp;" Action","GREENSHOE_FACILITY"),""))</f>
        <v/>
      </c>
      <c r="H82" s="103">
        <f>IF($B82="","",IFERROR(BDP($B82&amp;" Action","OFFERING_GREENSHOE_SHARES_EX"),""))</f>
        <v/>
      </c>
      <c r="I82" s="16">
        <f>Database!AG82</f>
        <v/>
      </c>
      <c r="J82" s="24">
        <f>IFERROR(BDP(Database!$A82&amp;" HK Equity","PE_RATIO"),"")</f>
        <v/>
      </c>
      <c r="K82" s="10">
        <f>IFERROR(BDP(Database!$A82&amp;" HK Equity","A/H_SHARE_CONVERSION"),"")</f>
        <v/>
      </c>
      <c r="L82" s="16">
        <f>IF(Database!BL82="","(none found)",Database!BL82)</f>
        <v/>
      </c>
      <c r="M82" s="18">
        <f>IFERROR(BDH(Database!$A82&amp;" HK Equity","CUR_MKT_CAP",Database!$H82,Database!$H82),"")</f>
        <v/>
      </c>
      <c r="N82" s="97">
        <f>Database!Q82</f>
        <v/>
      </c>
      <c r="O82" s="24">
        <f>IFERROR(BDH(Database!$A82&amp;" HK Equity","PE_RATIO",Database!$H82,Database!$H82),"")</f>
        <v/>
      </c>
      <c r="P82" s="101">
        <f>IF(Database!BF82="","(n/m or not derivable)",Database!BF82)</f>
        <v/>
      </c>
      <c r="Q82" s="24">
        <f>IF(Database!BL82="","",IFERROR(BDH(LEFT(Database!BL82,FIND(".",Database!BL82)-1)&amp;" CH Equity","PE_RATIO",Database!$H82,Database!$H82),""))</f>
        <v/>
      </c>
      <c r="R82" s="24">
        <f>IF(Database!BL82="","",IFERROR(BDH("HSAHP Index","PX_LAST",Database!$H82,Database!$H82),""))</f>
        <v/>
      </c>
      <c r="S82" s="24">
        <f>IFERROR(BDP(Database!$A82&amp;" HK Equity","PX_TO_SALES_RATIO"),"")</f>
        <v/>
      </c>
      <c r="T82" s="18">
        <f>IF(Database!BL82="","",IFERROR(BDP(LEFT(Database!BL82,FIND(".",Database!BL82)-1)&amp;" CH Equity","CUR_MKT_CAP"),""))</f>
        <v/>
      </c>
    </row>
    <row r="83">
      <c r="A83" s="16">
        <f>Database!A83&amp;"  "&amp;Database!B83</f>
        <v/>
      </c>
      <c r="B83" s="10">
        <f>IFERROR(INDEX(BDS(Database!$A83&amp;" HK Equity","EQUITY_OFFERINGS","array=t","endcol=1"),MATCH("IPO",BDS(Database!$A83&amp;" HK Equity","EQUITY_OFFERINGS","array=t","startcol=2","endcol=2"),0)),"")</f>
        <v/>
      </c>
      <c r="C83" s="103">
        <f>IF($B83="","",IFERROR(BDP($B83&amp;" Action","CP036"),""))</f>
        <v/>
      </c>
      <c r="D83" s="104">
        <f>Database!S83</f>
        <v/>
      </c>
      <c r="E83" s="103">
        <f>IF($B83="","",IFERROR(BDP($B83&amp;" Action","CP037"),""))</f>
        <v/>
      </c>
      <c r="F83" s="104">
        <f>Database!T83</f>
        <v/>
      </c>
      <c r="G83" s="103">
        <f>IF($B83="","",IFERROR(BDP($B83&amp;" Action","GREENSHOE_FACILITY"),""))</f>
        <v/>
      </c>
      <c r="H83" s="103">
        <f>IF($B83="","",IFERROR(BDP($B83&amp;" Action","OFFERING_GREENSHOE_SHARES_EX"),""))</f>
        <v/>
      </c>
      <c r="I83" s="16">
        <f>Database!AG83</f>
        <v/>
      </c>
      <c r="J83" s="24">
        <f>IFERROR(BDP(Database!$A83&amp;" HK Equity","PE_RATIO"),"")</f>
        <v/>
      </c>
      <c r="K83" s="10">
        <f>IFERROR(BDP(Database!$A83&amp;" HK Equity","A/H_SHARE_CONVERSION"),"")</f>
        <v/>
      </c>
      <c r="L83" s="16">
        <f>IF(Database!BL83="","(none found)",Database!BL83)</f>
        <v/>
      </c>
      <c r="M83" s="18">
        <f>IFERROR(BDH(Database!$A83&amp;" HK Equity","CUR_MKT_CAP",Database!$H83,Database!$H83),"")</f>
        <v/>
      </c>
      <c r="N83" s="97">
        <f>Database!Q83</f>
        <v/>
      </c>
      <c r="O83" s="24">
        <f>IFERROR(BDH(Database!$A83&amp;" HK Equity","PE_RATIO",Database!$H83,Database!$H83),"")</f>
        <v/>
      </c>
      <c r="P83" s="101">
        <f>IF(Database!BF83="","(n/m or not derivable)",Database!BF83)</f>
        <v/>
      </c>
      <c r="Q83" s="24">
        <f>IF(Database!BL83="","",IFERROR(BDH(LEFT(Database!BL83,FIND(".",Database!BL83)-1)&amp;" CH Equity","PE_RATIO",Database!$H83,Database!$H83),""))</f>
        <v/>
      </c>
      <c r="R83" s="24">
        <f>IF(Database!BL83="","",IFERROR(BDH("HSAHP Index","PX_LAST",Database!$H83,Database!$H83),""))</f>
        <v/>
      </c>
      <c r="S83" s="24">
        <f>IFERROR(BDP(Database!$A83&amp;" HK Equity","PX_TO_SALES_RATIO"),"")</f>
        <v/>
      </c>
      <c r="T83" s="18">
        <f>IF(Database!BL83="","",IFERROR(BDP(LEFT(Database!BL83,FIND(".",Database!BL83)-1)&amp;" CH Equity","CUR_MKT_CAP"),""))</f>
        <v/>
      </c>
    </row>
    <row r="84">
      <c r="A84" s="16">
        <f>Database!A84&amp;"  "&amp;Database!B84</f>
        <v/>
      </c>
      <c r="B84" s="10">
        <f>IFERROR(INDEX(BDS(Database!$A84&amp;" HK Equity","EQUITY_OFFERINGS","array=t","endcol=1"),MATCH("IPO",BDS(Database!$A84&amp;" HK Equity","EQUITY_OFFERINGS","array=t","startcol=2","endcol=2"),0)),"")</f>
        <v/>
      </c>
      <c r="C84" s="103">
        <f>IF($B84="","",IFERROR(BDP($B84&amp;" Action","CP036"),""))</f>
        <v/>
      </c>
      <c r="D84" s="104">
        <f>Database!S84</f>
        <v/>
      </c>
      <c r="E84" s="103">
        <f>IF($B84="","",IFERROR(BDP($B84&amp;" Action","CP037"),""))</f>
        <v/>
      </c>
      <c r="F84" s="104">
        <f>Database!T84</f>
        <v/>
      </c>
      <c r="G84" s="103">
        <f>IF($B84="","",IFERROR(BDP($B84&amp;" Action","GREENSHOE_FACILITY"),""))</f>
        <v/>
      </c>
      <c r="H84" s="103">
        <f>IF($B84="","",IFERROR(BDP($B84&amp;" Action","OFFERING_GREENSHOE_SHARES_EX"),""))</f>
        <v/>
      </c>
      <c r="I84" s="16">
        <f>Database!AG84</f>
        <v/>
      </c>
      <c r="J84" s="24">
        <f>IFERROR(BDP(Database!$A84&amp;" HK Equity","PE_RATIO"),"")</f>
        <v/>
      </c>
      <c r="K84" s="10">
        <f>IFERROR(BDP(Database!$A84&amp;" HK Equity","A/H_SHARE_CONVERSION"),"")</f>
        <v/>
      </c>
      <c r="L84" s="16">
        <f>IF(Database!BL84="","(none found)",Database!BL84)</f>
        <v/>
      </c>
      <c r="M84" s="18">
        <f>IFERROR(BDH(Database!$A84&amp;" HK Equity","CUR_MKT_CAP",Database!$H84,Database!$H84),"")</f>
        <v/>
      </c>
      <c r="N84" s="97">
        <f>Database!Q84</f>
        <v/>
      </c>
      <c r="O84" s="24">
        <f>IFERROR(BDH(Database!$A84&amp;" HK Equity","PE_RATIO",Database!$H84,Database!$H84),"")</f>
        <v/>
      </c>
      <c r="P84" s="101">
        <f>IF(Database!BF84="","(n/m or not derivable)",Database!BF84)</f>
        <v/>
      </c>
      <c r="Q84" s="24">
        <f>IF(Database!BL84="","",IFERROR(BDH(LEFT(Database!BL84,FIND(".",Database!BL84)-1)&amp;" CH Equity","PE_RATIO",Database!$H84,Database!$H84),""))</f>
        <v/>
      </c>
      <c r="R84" s="24">
        <f>IF(Database!BL84="","",IFERROR(BDH("HSAHP Index","PX_LAST",Database!$H84,Database!$H84),""))</f>
        <v/>
      </c>
      <c r="S84" s="24">
        <f>IFERROR(BDP(Database!$A84&amp;" HK Equity","PX_TO_SALES_RATIO"),"")</f>
        <v/>
      </c>
      <c r="T84" s="18">
        <f>IF(Database!BL84="","",IFERROR(BDP(LEFT(Database!BL84,FIND(".",Database!BL84)-1)&amp;" CH Equity","CUR_MKT_CAP"),""))</f>
        <v/>
      </c>
    </row>
    <row r="85">
      <c r="A85" s="16">
        <f>Database!A85&amp;"  "&amp;Database!B85</f>
        <v/>
      </c>
      <c r="B85" s="10">
        <f>IFERROR(INDEX(BDS(Database!$A85&amp;" HK Equity","EQUITY_OFFERINGS","array=t","endcol=1"),MATCH("IPO",BDS(Database!$A85&amp;" HK Equity","EQUITY_OFFERINGS","array=t","startcol=2","endcol=2"),0)),"")</f>
        <v/>
      </c>
      <c r="C85" s="103">
        <f>IF($B85="","",IFERROR(BDP($B85&amp;" Action","CP036"),""))</f>
        <v/>
      </c>
      <c r="D85" s="104">
        <f>Database!S85</f>
        <v/>
      </c>
      <c r="E85" s="103">
        <f>IF($B85="","",IFERROR(BDP($B85&amp;" Action","CP037"),""))</f>
        <v/>
      </c>
      <c r="F85" s="104">
        <f>Database!T85</f>
        <v/>
      </c>
      <c r="G85" s="103">
        <f>IF($B85="","",IFERROR(BDP($B85&amp;" Action","GREENSHOE_FACILITY"),""))</f>
        <v/>
      </c>
      <c r="H85" s="103">
        <f>IF($B85="","",IFERROR(BDP($B85&amp;" Action","OFFERING_GREENSHOE_SHARES_EX"),""))</f>
        <v/>
      </c>
      <c r="I85" s="16">
        <f>Database!AG85</f>
        <v/>
      </c>
      <c r="J85" s="24">
        <f>IFERROR(BDP(Database!$A85&amp;" HK Equity","PE_RATIO"),"")</f>
        <v/>
      </c>
      <c r="K85" s="10">
        <f>IFERROR(BDP(Database!$A85&amp;" HK Equity","A/H_SHARE_CONVERSION"),"")</f>
        <v/>
      </c>
      <c r="L85" s="16">
        <f>IF(Database!BL85="","(none found)",Database!BL85)</f>
        <v/>
      </c>
      <c r="M85" s="18">
        <f>IFERROR(BDH(Database!$A85&amp;" HK Equity","CUR_MKT_CAP",Database!$H85,Database!$H85),"")</f>
        <v/>
      </c>
      <c r="N85" s="97">
        <f>Database!Q85</f>
        <v/>
      </c>
      <c r="O85" s="24">
        <f>IFERROR(BDH(Database!$A85&amp;" HK Equity","PE_RATIO",Database!$H85,Database!$H85),"")</f>
        <v/>
      </c>
      <c r="P85" s="101">
        <f>IF(Database!BF85="","(n/m or not derivable)",Database!BF85)</f>
        <v/>
      </c>
      <c r="Q85" s="24">
        <f>IF(Database!BL85="","",IFERROR(BDH(LEFT(Database!BL85,FIND(".",Database!BL85)-1)&amp;" CH Equity","PE_RATIO",Database!$H85,Database!$H85),""))</f>
        <v/>
      </c>
      <c r="R85" s="24">
        <f>IF(Database!BL85="","",IFERROR(BDH("HSAHP Index","PX_LAST",Database!$H85,Database!$H85),""))</f>
        <v/>
      </c>
      <c r="S85" s="24">
        <f>IFERROR(BDP(Database!$A85&amp;" HK Equity","PX_TO_SALES_RATIO"),"")</f>
        <v/>
      </c>
      <c r="T85" s="18">
        <f>IF(Database!BL85="","",IFERROR(BDP(LEFT(Database!BL85,FIND(".",Database!BL85)-1)&amp;" CH Equity","CUR_MKT_CAP"),""))</f>
        <v/>
      </c>
    </row>
    <row r="86">
      <c r="A86" s="16">
        <f>Database!A86&amp;"  "&amp;Database!B86</f>
        <v/>
      </c>
      <c r="B86" s="10">
        <f>IFERROR(INDEX(BDS(Database!$A86&amp;" HK Equity","EQUITY_OFFERINGS","array=t","endcol=1"),MATCH("IPO",BDS(Database!$A86&amp;" HK Equity","EQUITY_OFFERINGS","array=t","startcol=2","endcol=2"),0)),"")</f>
        <v/>
      </c>
      <c r="C86" s="103">
        <f>IF($B86="","",IFERROR(BDP($B86&amp;" Action","CP036"),""))</f>
        <v/>
      </c>
      <c r="D86" s="104">
        <f>Database!S86</f>
        <v/>
      </c>
      <c r="E86" s="103">
        <f>IF($B86="","",IFERROR(BDP($B86&amp;" Action","CP037"),""))</f>
        <v/>
      </c>
      <c r="F86" s="104">
        <f>Database!T86</f>
        <v/>
      </c>
      <c r="G86" s="103">
        <f>IF($B86="","",IFERROR(BDP($B86&amp;" Action","GREENSHOE_FACILITY"),""))</f>
        <v/>
      </c>
      <c r="H86" s="103">
        <f>IF($B86="","",IFERROR(BDP($B86&amp;" Action","OFFERING_GREENSHOE_SHARES_EX"),""))</f>
        <v/>
      </c>
      <c r="I86" s="16">
        <f>Database!AG86</f>
        <v/>
      </c>
      <c r="J86" s="24">
        <f>IFERROR(BDP(Database!$A86&amp;" HK Equity","PE_RATIO"),"")</f>
        <v/>
      </c>
      <c r="K86" s="10">
        <f>IFERROR(BDP(Database!$A86&amp;" HK Equity","A/H_SHARE_CONVERSION"),"")</f>
        <v/>
      </c>
      <c r="L86" s="16">
        <f>IF(Database!BL86="","(none found)",Database!BL86)</f>
        <v/>
      </c>
      <c r="M86" s="18">
        <f>IFERROR(BDH(Database!$A86&amp;" HK Equity","CUR_MKT_CAP",Database!$H86,Database!$H86),"")</f>
        <v/>
      </c>
      <c r="N86" s="97">
        <f>Database!Q86</f>
        <v/>
      </c>
      <c r="O86" s="24">
        <f>IFERROR(BDH(Database!$A86&amp;" HK Equity","PE_RATIO",Database!$H86,Database!$H86),"")</f>
        <v/>
      </c>
      <c r="P86" s="101">
        <f>IF(Database!BF86="","(n/m or not derivable)",Database!BF86)</f>
        <v/>
      </c>
      <c r="Q86" s="24">
        <f>IF(Database!BL86="","",IFERROR(BDH(LEFT(Database!BL86,FIND(".",Database!BL86)-1)&amp;" CH Equity","PE_RATIO",Database!$H86,Database!$H86),""))</f>
        <v/>
      </c>
      <c r="R86" s="24">
        <f>IF(Database!BL86="","",IFERROR(BDH("HSAHP Index","PX_LAST",Database!$H86,Database!$H86),""))</f>
        <v/>
      </c>
      <c r="S86" s="24">
        <f>IFERROR(BDP(Database!$A86&amp;" HK Equity","PX_TO_SALES_RATIO"),"")</f>
        <v/>
      </c>
      <c r="T86" s="18">
        <f>IF(Database!BL86="","",IFERROR(BDP(LEFT(Database!BL86,FIND(".",Database!BL86)-1)&amp;" CH Equity","CUR_MKT_CAP"),""))</f>
        <v/>
      </c>
    </row>
    <row r="87">
      <c r="A87" s="16">
        <f>Database!A87&amp;"  "&amp;Database!B87</f>
        <v/>
      </c>
      <c r="B87" s="10">
        <f>IFERROR(INDEX(BDS(Database!$A87&amp;" HK Equity","EQUITY_OFFERINGS","array=t","endcol=1"),MATCH("IPO",BDS(Database!$A87&amp;" HK Equity","EQUITY_OFFERINGS","array=t","startcol=2","endcol=2"),0)),"")</f>
        <v/>
      </c>
      <c r="C87" s="103">
        <f>IF($B87="","",IFERROR(BDP($B87&amp;" Action","CP036"),""))</f>
        <v/>
      </c>
      <c r="D87" s="104">
        <f>Database!S87</f>
        <v/>
      </c>
      <c r="E87" s="103">
        <f>IF($B87="","",IFERROR(BDP($B87&amp;" Action","CP037"),""))</f>
        <v/>
      </c>
      <c r="F87" s="104">
        <f>Database!T87</f>
        <v/>
      </c>
      <c r="G87" s="103">
        <f>IF($B87="","",IFERROR(BDP($B87&amp;" Action","GREENSHOE_FACILITY"),""))</f>
        <v/>
      </c>
      <c r="H87" s="103">
        <f>IF($B87="","",IFERROR(BDP($B87&amp;" Action","OFFERING_GREENSHOE_SHARES_EX"),""))</f>
        <v/>
      </c>
      <c r="I87" s="16">
        <f>Database!AG87</f>
        <v/>
      </c>
      <c r="J87" s="24">
        <f>IFERROR(BDP(Database!$A87&amp;" HK Equity","PE_RATIO"),"")</f>
        <v/>
      </c>
      <c r="K87" s="10">
        <f>IFERROR(BDP(Database!$A87&amp;" HK Equity","A/H_SHARE_CONVERSION"),"")</f>
        <v/>
      </c>
      <c r="L87" s="16">
        <f>IF(Database!BL87="","(none found)",Database!BL87)</f>
        <v/>
      </c>
      <c r="M87" s="18">
        <f>IFERROR(BDH(Database!$A87&amp;" HK Equity","CUR_MKT_CAP",Database!$H87,Database!$H87),"")</f>
        <v/>
      </c>
      <c r="N87" s="97">
        <f>Database!Q87</f>
        <v/>
      </c>
      <c r="O87" s="24">
        <f>IFERROR(BDH(Database!$A87&amp;" HK Equity","PE_RATIO",Database!$H87,Database!$H87),"")</f>
        <v/>
      </c>
      <c r="P87" s="101">
        <f>IF(Database!BF87="","(n/m or not derivable)",Database!BF87)</f>
        <v/>
      </c>
      <c r="Q87" s="24">
        <f>IF(Database!BL87="","",IFERROR(BDH(LEFT(Database!BL87,FIND(".",Database!BL87)-1)&amp;" CH Equity","PE_RATIO",Database!$H87,Database!$H87),""))</f>
        <v/>
      </c>
      <c r="R87" s="24">
        <f>IF(Database!BL87="","",IFERROR(BDH("HSAHP Index","PX_LAST",Database!$H87,Database!$H87),""))</f>
        <v/>
      </c>
      <c r="S87" s="24">
        <f>IFERROR(BDP(Database!$A87&amp;" HK Equity","PX_TO_SALES_RATIO"),"")</f>
        <v/>
      </c>
      <c r="T87" s="18">
        <f>IF(Database!BL87="","",IFERROR(BDP(LEFT(Database!BL87,FIND(".",Database!BL87)-1)&amp;" CH Equity","CUR_MKT_CAP"),""))</f>
        <v/>
      </c>
    </row>
    <row r="88">
      <c r="A88" s="16">
        <f>Database!A88&amp;"  "&amp;Database!B88</f>
        <v/>
      </c>
      <c r="B88" s="10">
        <f>IFERROR(INDEX(BDS(Database!$A88&amp;" HK Equity","EQUITY_OFFERINGS","array=t","endcol=1"),MATCH("IPO",BDS(Database!$A88&amp;" HK Equity","EQUITY_OFFERINGS","array=t","startcol=2","endcol=2"),0)),"")</f>
        <v/>
      </c>
      <c r="C88" s="103">
        <f>IF($B88="","",IFERROR(BDP($B88&amp;" Action","CP036"),""))</f>
        <v/>
      </c>
      <c r="D88" s="104">
        <f>Database!S88</f>
        <v/>
      </c>
      <c r="E88" s="103">
        <f>IF($B88="","",IFERROR(BDP($B88&amp;" Action","CP037"),""))</f>
        <v/>
      </c>
      <c r="F88" s="104">
        <f>Database!T88</f>
        <v/>
      </c>
      <c r="G88" s="103">
        <f>IF($B88="","",IFERROR(BDP($B88&amp;" Action","GREENSHOE_FACILITY"),""))</f>
        <v/>
      </c>
      <c r="H88" s="103">
        <f>IF($B88="","",IFERROR(BDP($B88&amp;" Action","OFFERING_GREENSHOE_SHARES_EX"),""))</f>
        <v/>
      </c>
      <c r="I88" s="16">
        <f>Database!AG88</f>
        <v/>
      </c>
      <c r="J88" s="24">
        <f>IFERROR(BDP(Database!$A88&amp;" HK Equity","PE_RATIO"),"")</f>
        <v/>
      </c>
      <c r="K88" s="10">
        <f>IFERROR(BDP(Database!$A88&amp;" HK Equity","A/H_SHARE_CONVERSION"),"")</f>
        <v/>
      </c>
      <c r="L88" s="16">
        <f>IF(Database!BL88="","(none found)",Database!BL88)</f>
        <v/>
      </c>
      <c r="M88" s="18">
        <f>IFERROR(BDH(Database!$A88&amp;" HK Equity","CUR_MKT_CAP",Database!$H88,Database!$H88),"")</f>
        <v/>
      </c>
      <c r="N88" s="97">
        <f>Database!Q88</f>
        <v/>
      </c>
      <c r="O88" s="24">
        <f>IFERROR(BDH(Database!$A88&amp;" HK Equity","PE_RATIO",Database!$H88,Database!$H88),"")</f>
        <v/>
      </c>
      <c r="P88" s="101">
        <f>IF(Database!BF88="","(n/m or not derivable)",Database!BF88)</f>
        <v/>
      </c>
      <c r="Q88" s="24">
        <f>IF(Database!BL88="","",IFERROR(BDH(LEFT(Database!BL88,FIND(".",Database!BL88)-1)&amp;" CH Equity","PE_RATIO",Database!$H88,Database!$H88),""))</f>
        <v/>
      </c>
      <c r="R88" s="24">
        <f>IF(Database!BL88="","",IFERROR(BDH("HSAHP Index","PX_LAST",Database!$H88,Database!$H88),""))</f>
        <v/>
      </c>
      <c r="S88" s="24">
        <f>IFERROR(BDP(Database!$A88&amp;" HK Equity","PX_TO_SALES_RATIO"),"")</f>
        <v/>
      </c>
      <c r="T88" s="18">
        <f>IF(Database!BL88="","",IFERROR(BDP(LEFT(Database!BL88,FIND(".",Database!BL88)-1)&amp;" CH Equity","CUR_MKT_CAP"),""))</f>
        <v/>
      </c>
    </row>
    <row r="89">
      <c r="A89" s="16">
        <f>Database!A89&amp;"  "&amp;Database!B89</f>
        <v/>
      </c>
      <c r="B89" s="10">
        <f>IFERROR(INDEX(BDS(Database!$A89&amp;" HK Equity","EQUITY_OFFERINGS","array=t","endcol=1"),MATCH("IPO",BDS(Database!$A89&amp;" HK Equity","EQUITY_OFFERINGS","array=t","startcol=2","endcol=2"),0)),"")</f>
        <v/>
      </c>
      <c r="C89" s="103">
        <f>IF($B89="","",IFERROR(BDP($B89&amp;" Action","CP036"),""))</f>
        <v/>
      </c>
      <c r="D89" s="104">
        <f>Database!S89</f>
        <v/>
      </c>
      <c r="E89" s="103">
        <f>IF($B89="","",IFERROR(BDP($B89&amp;" Action","CP037"),""))</f>
        <v/>
      </c>
      <c r="F89" s="104">
        <f>Database!T89</f>
        <v/>
      </c>
      <c r="G89" s="103">
        <f>IF($B89="","",IFERROR(BDP($B89&amp;" Action","GREENSHOE_FACILITY"),""))</f>
        <v/>
      </c>
      <c r="H89" s="103">
        <f>IF($B89="","",IFERROR(BDP($B89&amp;" Action","OFFERING_GREENSHOE_SHARES_EX"),""))</f>
        <v/>
      </c>
      <c r="I89" s="16">
        <f>Database!AG89</f>
        <v/>
      </c>
      <c r="J89" s="24">
        <f>IFERROR(BDP(Database!$A89&amp;" HK Equity","PE_RATIO"),"")</f>
        <v/>
      </c>
      <c r="K89" s="10">
        <f>IFERROR(BDP(Database!$A89&amp;" HK Equity","A/H_SHARE_CONVERSION"),"")</f>
        <v/>
      </c>
      <c r="L89" s="16">
        <f>IF(Database!BL89="","(none found)",Database!BL89)</f>
        <v/>
      </c>
      <c r="M89" s="18">
        <f>IFERROR(BDH(Database!$A89&amp;" HK Equity","CUR_MKT_CAP",Database!$H89,Database!$H89),"")</f>
        <v/>
      </c>
      <c r="N89" s="97">
        <f>Database!Q89</f>
        <v/>
      </c>
      <c r="O89" s="24">
        <f>IFERROR(BDH(Database!$A89&amp;" HK Equity","PE_RATIO",Database!$H89,Database!$H89),"")</f>
        <v/>
      </c>
      <c r="P89" s="101">
        <f>IF(Database!BF89="","(n/m or not derivable)",Database!BF89)</f>
        <v/>
      </c>
      <c r="Q89" s="24">
        <f>IF(Database!BL89="","",IFERROR(BDH(LEFT(Database!BL89,FIND(".",Database!BL89)-1)&amp;" CH Equity","PE_RATIO",Database!$H89,Database!$H89),""))</f>
        <v/>
      </c>
      <c r="R89" s="24">
        <f>IF(Database!BL89="","",IFERROR(BDH("HSAHP Index","PX_LAST",Database!$H89,Database!$H89),""))</f>
        <v/>
      </c>
      <c r="S89" s="24">
        <f>IFERROR(BDP(Database!$A89&amp;" HK Equity","PX_TO_SALES_RATIO"),"")</f>
        <v/>
      </c>
      <c r="T89" s="18">
        <f>IF(Database!BL89="","",IFERROR(BDP(LEFT(Database!BL89,FIND(".",Database!BL89)-1)&amp;" CH Equity","CUR_MKT_CAP"),""))</f>
        <v/>
      </c>
    </row>
    <row r="90">
      <c r="A90" s="16">
        <f>Database!A90&amp;"  "&amp;Database!B90</f>
        <v/>
      </c>
      <c r="B90" s="10">
        <f>IFERROR(INDEX(BDS(Database!$A90&amp;" HK Equity","EQUITY_OFFERINGS","array=t","endcol=1"),MATCH("IPO",BDS(Database!$A90&amp;" HK Equity","EQUITY_OFFERINGS","array=t","startcol=2","endcol=2"),0)),"")</f>
        <v/>
      </c>
      <c r="C90" s="103">
        <f>IF($B90="","",IFERROR(BDP($B90&amp;" Action","CP036"),""))</f>
        <v/>
      </c>
      <c r="D90" s="104">
        <f>Database!S90</f>
        <v/>
      </c>
      <c r="E90" s="103">
        <f>IF($B90="","",IFERROR(BDP($B90&amp;" Action","CP037"),""))</f>
        <v/>
      </c>
      <c r="F90" s="104">
        <f>Database!T90</f>
        <v/>
      </c>
      <c r="G90" s="103">
        <f>IF($B90="","",IFERROR(BDP($B90&amp;" Action","GREENSHOE_FACILITY"),""))</f>
        <v/>
      </c>
      <c r="H90" s="103">
        <f>IF($B90="","",IFERROR(BDP($B90&amp;" Action","OFFERING_GREENSHOE_SHARES_EX"),""))</f>
        <v/>
      </c>
      <c r="I90" s="16">
        <f>Database!AG90</f>
        <v/>
      </c>
      <c r="J90" s="24">
        <f>IFERROR(BDP(Database!$A90&amp;" HK Equity","PE_RATIO"),"")</f>
        <v/>
      </c>
      <c r="K90" s="10">
        <f>IFERROR(BDP(Database!$A90&amp;" HK Equity","A/H_SHARE_CONVERSION"),"")</f>
        <v/>
      </c>
      <c r="L90" s="16">
        <f>IF(Database!BL90="","(none found)",Database!BL90)</f>
        <v/>
      </c>
      <c r="M90" s="18">
        <f>IFERROR(BDH(Database!$A90&amp;" HK Equity","CUR_MKT_CAP",Database!$H90,Database!$H90),"")</f>
        <v/>
      </c>
      <c r="N90" s="97">
        <f>Database!Q90</f>
        <v/>
      </c>
      <c r="O90" s="24">
        <f>IFERROR(BDH(Database!$A90&amp;" HK Equity","PE_RATIO",Database!$H90,Database!$H90),"")</f>
        <v/>
      </c>
      <c r="P90" s="101">
        <f>IF(Database!BF90="","(n/m or not derivable)",Database!BF90)</f>
        <v/>
      </c>
      <c r="Q90" s="24">
        <f>IF(Database!BL90="","",IFERROR(BDH(LEFT(Database!BL90,FIND(".",Database!BL90)-1)&amp;" CH Equity","PE_RATIO",Database!$H90,Database!$H90),""))</f>
        <v/>
      </c>
      <c r="R90" s="24">
        <f>IF(Database!BL90="","",IFERROR(BDH("HSAHP Index","PX_LAST",Database!$H90,Database!$H90),""))</f>
        <v/>
      </c>
      <c r="S90" s="24">
        <f>IFERROR(BDP(Database!$A90&amp;" HK Equity","PX_TO_SALES_RATIO"),"")</f>
        <v/>
      </c>
      <c r="T90" s="18">
        <f>IF(Database!BL90="","",IFERROR(BDP(LEFT(Database!BL90,FIND(".",Database!BL90)-1)&amp;" CH Equity","CUR_MKT_CAP"),""))</f>
        <v/>
      </c>
    </row>
    <row r="91">
      <c r="A91" s="16">
        <f>Database!A91&amp;"  "&amp;Database!B91</f>
        <v/>
      </c>
      <c r="B91" s="10">
        <f>IFERROR(INDEX(BDS(Database!$A91&amp;" HK Equity","EQUITY_OFFERINGS","array=t","endcol=1"),MATCH("IPO",BDS(Database!$A91&amp;" HK Equity","EQUITY_OFFERINGS","array=t","startcol=2","endcol=2"),0)),"")</f>
        <v/>
      </c>
      <c r="C91" s="103">
        <f>IF($B91="","",IFERROR(BDP($B91&amp;" Action","CP036"),""))</f>
        <v/>
      </c>
      <c r="D91" s="104">
        <f>Database!S91</f>
        <v/>
      </c>
      <c r="E91" s="103">
        <f>IF($B91="","",IFERROR(BDP($B91&amp;" Action","CP037"),""))</f>
        <v/>
      </c>
      <c r="F91" s="104">
        <f>Database!T91</f>
        <v/>
      </c>
      <c r="G91" s="103">
        <f>IF($B91="","",IFERROR(BDP($B91&amp;" Action","GREENSHOE_FACILITY"),""))</f>
        <v/>
      </c>
      <c r="H91" s="103">
        <f>IF($B91="","",IFERROR(BDP($B91&amp;" Action","OFFERING_GREENSHOE_SHARES_EX"),""))</f>
        <v/>
      </c>
      <c r="I91" s="16">
        <f>Database!AG91</f>
        <v/>
      </c>
      <c r="J91" s="24">
        <f>IFERROR(BDP(Database!$A91&amp;" HK Equity","PE_RATIO"),"")</f>
        <v/>
      </c>
      <c r="K91" s="10">
        <f>IFERROR(BDP(Database!$A91&amp;" HK Equity","A/H_SHARE_CONVERSION"),"")</f>
        <v/>
      </c>
      <c r="L91" s="16">
        <f>IF(Database!BL91="","(none found)",Database!BL91)</f>
        <v/>
      </c>
      <c r="M91" s="18">
        <f>IFERROR(BDH(Database!$A91&amp;" HK Equity","CUR_MKT_CAP",Database!$H91,Database!$H91),"")</f>
        <v/>
      </c>
      <c r="N91" s="97">
        <f>Database!Q91</f>
        <v/>
      </c>
      <c r="O91" s="24">
        <f>IFERROR(BDH(Database!$A91&amp;" HK Equity","PE_RATIO",Database!$H91,Database!$H91),"")</f>
        <v/>
      </c>
      <c r="P91" s="101">
        <f>IF(Database!BF91="","(n/m or not derivable)",Database!BF91)</f>
        <v/>
      </c>
      <c r="Q91" s="24">
        <f>IF(Database!BL91="","",IFERROR(BDH(LEFT(Database!BL91,FIND(".",Database!BL91)-1)&amp;" CH Equity","PE_RATIO",Database!$H91,Database!$H91),""))</f>
        <v/>
      </c>
      <c r="R91" s="24">
        <f>IF(Database!BL91="","",IFERROR(BDH("HSAHP Index","PX_LAST",Database!$H91,Database!$H91),""))</f>
        <v/>
      </c>
      <c r="S91" s="24">
        <f>IFERROR(BDP(Database!$A91&amp;" HK Equity","PX_TO_SALES_RATIO"),"")</f>
        <v/>
      </c>
      <c r="T91" s="18">
        <f>IF(Database!BL91="","",IFERROR(BDP(LEFT(Database!BL91,FIND(".",Database!BL91)-1)&amp;" CH Equity","CUR_MKT_CAP"),""))</f>
        <v/>
      </c>
    </row>
    <row r="92">
      <c r="A92" s="16">
        <f>Database!A92&amp;"  "&amp;Database!B92</f>
        <v/>
      </c>
      <c r="B92" s="10">
        <f>IFERROR(INDEX(BDS(Database!$A92&amp;" HK Equity","EQUITY_OFFERINGS","array=t","endcol=1"),MATCH("IPO",BDS(Database!$A92&amp;" HK Equity","EQUITY_OFFERINGS","array=t","startcol=2","endcol=2"),0)),"")</f>
        <v/>
      </c>
      <c r="C92" s="103">
        <f>IF($B92="","",IFERROR(BDP($B92&amp;" Action","CP036"),""))</f>
        <v/>
      </c>
      <c r="D92" s="104">
        <f>Database!S92</f>
        <v/>
      </c>
      <c r="E92" s="103">
        <f>IF($B92="","",IFERROR(BDP($B92&amp;" Action","CP037"),""))</f>
        <v/>
      </c>
      <c r="F92" s="104">
        <f>Database!T92</f>
        <v/>
      </c>
      <c r="G92" s="103">
        <f>IF($B92="","",IFERROR(BDP($B92&amp;" Action","GREENSHOE_FACILITY"),""))</f>
        <v/>
      </c>
      <c r="H92" s="103">
        <f>IF($B92="","",IFERROR(BDP($B92&amp;" Action","OFFERING_GREENSHOE_SHARES_EX"),""))</f>
        <v/>
      </c>
      <c r="I92" s="16">
        <f>Database!AG92</f>
        <v/>
      </c>
      <c r="J92" s="24">
        <f>IFERROR(BDP(Database!$A92&amp;" HK Equity","PE_RATIO"),"")</f>
        <v/>
      </c>
      <c r="K92" s="10">
        <f>IFERROR(BDP(Database!$A92&amp;" HK Equity","A/H_SHARE_CONVERSION"),"")</f>
        <v/>
      </c>
      <c r="L92" s="16">
        <f>IF(Database!BL92="","(none found)",Database!BL92)</f>
        <v/>
      </c>
      <c r="M92" s="18">
        <f>IFERROR(BDH(Database!$A92&amp;" HK Equity","CUR_MKT_CAP",Database!$H92,Database!$H92),"")</f>
        <v/>
      </c>
      <c r="N92" s="97">
        <f>Database!Q92</f>
        <v/>
      </c>
      <c r="O92" s="24">
        <f>IFERROR(BDH(Database!$A92&amp;" HK Equity","PE_RATIO",Database!$H92,Database!$H92),"")</f>
        <v/>
      </c>
      <c r="P92" s="101">
        <f>IF(Database!BF92="","(n/m or not derivable)",Database!BF92)</f>
        <v/>
      </c>
      <c r="Q92" s="24">
        <f>IF(Database!BL92="","",IFERROR(BDH(LEFT(Database!BL92,FIND(".",Database!BL92)-1)&amp;" CH Equity","PE_RATIO",Database!$H92,Database!$H92),""))</f>
        <v/>
      </c>
      <c r="R92" s="24">
        <f>IF(Database!BL92="","",IFERROR(BDH("HSAHP Index","PX_LAST",Database!$H92,Database!$H92),""))</f>
        <v/>
      </c>
      <c r="S92" s="24">
        <f>IFERROR(BDP(Database!$A92&amp;" HK Equity","PX_TO_SALES_RATIO"),"")</f>
        <v/>
      </c>
      <c r="T92" s="18">
        <f>IF(Database!BL92="","",IFERROR(BDP(LEFT(Database!BL92,FIND(".",Database!BL92)-1)&amp;" CH Equity","CUR_MKT_CAP"),""))</f>
        <v/>
      </c>
    </row>
    <row r="93">
      <c r="A93" s="16">
        <f>Database!A93&amp;"  "&amp;Database!B93</f>
        <v/>
      </c>
      <c r="B93" s="10">
        <f>IFERROR(INDEX(BDS(Database!$A93&amp;" HK Equity","EQUITY_OFFERINGS","array=t","endcol=1"),MATCH("IPO",BDS(Database!$A93&amp;" HK Equity","EQUITY_OFFERINGS","array=t","startcol=2","endcol=2"),0)),"")</f>
        <v/>
      </c>
      <c r="C93" s="103">
        <f>IF($B93="","",IFERROR(BDP($B93&amp;" Action","CP036"),""))</f>
        <v/>
      </c>
      <c r="D93" s="104">
        <f>Database!S93</f>
        <v/>
      </c>
      <c r="E93" s="103">
        <f>IF($B93="","",IFERROR(BDP($B93&amp;" Action","CP037"),""))</f>
        <v/>
      </c>
      <c r="F93" s="104">
        <f>Database!T93</f>
        <v/>
      </c>
      <c r="G93" s="103">
        <f>IF($B93="","",IFERROR(BDP($B93&amp;" Action","GREENSHOE_FACILITY"),""))</f>
        <v/>
      </c>
      <c r="H93" s="103">
        <f>IF($B93="","",IFERROR(BDP($B93&amp;" Action","OFFERING_GREENSHOE_SHARES_EX"),""))</f>
        <v/>
      </c>
      <c r="I93" s="16">
        <f>Database!AG93</f>
        <v/>
      </c>
      <c r="J93" s="24">
        <f>IFERROR(BDP(Database!$A93&amp;" HK Equity","PE_RATIO"),"")</f>
        <v/>
      </c>
      <c r="K93" s="10">
        <f>IFERROR(BDP(Database!$A93&amp;" HK Equity","A/H_SHARE_CONVERSION"),"")</f>
        <v/>
      </c>
      <c r="L93" s="16">
        <f>IF(Database!BL93="","(none found)",Database!BL93)</f>
        <v/>
      </c>
      <c r="M93" s="18">
        <f>IFERROR(BDH(Database!$A93&amp;" HK Equity","CUR_MKT_CAP",Database!$H93,Database!$H93),"")</f>
        <v/>
      </c>
      <c r="N93" s="97">
        <f>Database!Q93</f>
        <v/>
      </c>
      <c r="O93" s="24">
        <f>IFERROR(BDH(Database!$A93&amp;" HK Equity","PE_RATIO",Database!$H93,Database!$H93),"")</f>
        <v/>
      </c>
      <c r="P93" s="101">
        <f>IF(Database!BF93="","(n/m or not derivable)",Database!BF93)</f>
        <v/>
      </c>
      <c r="Q93" s="24">
        <f>IF(Database!BL93="","",IFERROR(BDH(LEFT(Database!BL93,FIND(".",Database!BL93)-1)&amp;" CH Equity","PE_RATIO",Database!$H93,Database!$H93),""))</f>
        <v/>
      </c>
      <c r="R93" s="24">
        <f>IF(Database!BL93="","",IFERROR(BDH("HSAHP Index","PX_LAST",Database!$H93,Database!$H93),""))</f>
        <v/>
      </c>
      <c r="S93" s="24">
        <f>IFERROR(BDP(Database!$A93&amp;" HK Equity","PX_TO_SALES_RATIO"),"")</f>
        <v/>
      </c>
      <c r="T93" s="18">
        <f>IF(Database!BL93="","",IFERROR(BDP(LEFT(Database!BL93,FIND(".",Database!BL93)-1)&amp;" CH Equity","CUR_MKT_CAP"),""))</f>
        <v/>
      </c>
    </row>
    <row r="94">
      <c r="A94" s="16">
        <f>Database!A94&amp;"  "&amp;Database!B94</f>
        <v/>
      </c>
      <c r="B94" s="10">
        <f>IFERROR(INDEX(BDS(Database!$A94&amp;" HK Equity","EQUITY_OFFERINGS","array=t","endcol=1"),MATCH("IPO",BDS(Database!$A94&amp;" HK Equity","EQUITY_OFFERINGS","array=t","startcol=2","endcol=2"),0)),"")</f>
        <v/>
      </c>
      <c r="C94" s="103">
        <f>IF($B94="","",IFERROR(BDP($B94&amp;" Action","CP036"),""))</f>
        <v/>
      </c>
      <c r="D94" s="104">
        <f>Database!S94</f>
        <v/>
      </c>
      <c r="E94" s="103">
        <f>IF($B94="","",IFERROR(BDP($B94&amp;" Action","CP037"),""))</f>
        <v/>
      </c>
      <c r="F94" s="104">
        <f>Database!T94</f>
        <v/>
      </c>
      <c r="G94" s="103">
        <f>IF($B94="","",IFERROR(BDP($B94&amp;" Action","GREENSHOE_FACILITY"),""))</f>
        <v/>
      </c>
      <c r="H94" s="103">
        <f>IF($B94="","",IFERROR(BDP($B94&amp;" Action","OFFERING_GREENSHOE_SHARES_EX"),""))</f>
        <v/>
      </c>
      <c r="I94" s="16">
        <f>Database!AG94</f>
        <v/>
      </c>
      <c r="J94" s="24">
        <f>IFERROR(BDP(Database!$A94&amp;" HK Equity","PE_RATIO"),"")</f>
        <v/>
      </c>
      <c r="K94" s="10">
        <f>IFERROR(BDP(Database!$A94&amp;" HK Equity","A/H_SHARE_CONVERSION"),"")</f>
        <v/>
      </c>
      <c r="L94" s="16">
        <f>IF(Database!BL94="","(none found)",Database!BL94)</f>
        <v/>
      </c>
      <c r="M94" s="18">
        <f>IFERROR(BDH(Database!$A94&amp;" HK Equity","CUR_MKT_CAP",Database!$H94,Database!$H94),"")</f>
        <v/>
      </c>
      <c r="N94" s="97">
        <f>Database!Q94</f>
        <v/>
      </c>
      <c r="O94" s="24">
        <f>IFERROR(BDH(Database!$A94&amp;" HK Equity","PE_RATIO",Database!$H94,Database!$H94),"")</f>
        <v/>
      </c>
      <c r="P94" s="101">
        <f>IF(Database!BF94="","(n/m or not derivable)",Database!BF94)</f>
        <v/>
      </c>
      <c r="Q94" s="24">
        <f>IF(Database!BL94="","",IFERROR(BDH(LEFT(Database!BL94,FIND(".",Database!BL94)-1)&amp;" CH Equity","PE_RATIO",Database!$H94,Database!$H94),""))</f>
        <v/>
      </c>
      <c r="R94" s="24">
        <f>IF(Database!BL94="","",IFERROR(BDH("HSAHP Index","PX_LAST",Database!$H94,Database!$H94),""))</f>
        <v/>
      </c>
      <c r="S94" s="24">
        <f>IFERROR(BDP(Database!$A94&amp;" HK Equity","PX_TO_SALES_RATIO"),"")</f>
        <v/>
      </c>
      <c r="T94" s="18">
        <f>IF(Database!BL94="","",IFERROR(BDP(LEFT(Database!BL94,FIND(".",Database!BL94)-1)&amp;" CH Equity","CUR_MKT_CAP"),""))</f>
        <v/>
      </c>
    </row>
    <row r="95">
      <c r="A95" s="16">
        <f>Database!A95&amp;"  "&amp;Database!B95</f>
        <v/>
      </c>
      <c r="B95" s="10">
        <f>IFERROR(INDEX(BDS(Database!$A95&amp;" HK Equity","EQUITY_OFFERINGS","array=t","endcol=1"),MATCH("IPO",BDS(Database!$A95&amp;" HK Equity","EQUITY_OFFERINGS","array=t","startcol=2","endcol=2"),0)),"")</f>
        <v/>
      </c>
      <c r="C95" s="103">
        <f>IF($B95="","",IFERROR(BDP($B95&amp;" Action","CP036"),""))</f>
        <v/>
      </c>
      <c r="D95" s="104">
        <f>Database!S95</f>
        <v/>
      </c>
      <c r="E95" s="103">
        <f>IF($B95="","",IFERROR(BDP($B95&amp;" Action","CP037"),""))</f>
        <v/>
      </c>
      <c r="F95" s="104">
        <f>Database!T95</f>
        <v/>
      </c>
      <c r="G95" s="103">
        <f>IF($B95="","",IFERROR(BDP($B95&amp;" Action","GREENSHOE_FACILITY"),""))</f>
        <v/>
      </c>
      <c r="H95" s="103">
        <f>IF($B95="","",IFERROR(BDP($B95&amp;" Action","OFFERING_GREENSHOE_SHARES_EX"),""))</f>
        <v/>
      </c>
      <c r="I95" s="16">
        <f>Database!AG95</f>
        <v/>
      </c>
      <c r="J95" s="24">
        <f>IFERROR(BDP(Database!$A95&amp;" HK Equity","PE_RATIO"),"")</f>
        <v/>
      </c>
      <c r="K95" s="10">
        <f>IFERROR(BDP(Database!$A95&amp;" HK Equity","A/H_SHARE_CONVERSION"),"")</f>
        <v/>
      </c>
      <c r="L95" s="16">
        <f>IF(Database!BL95="","(none found)",Database!BL95)</f>
        <v/>
      </c>
      <c r="M95" s="18">
        <f>IFERROR(BDH(Database!$A95&amp;" HK Equity","CUR_MKT_CAP",Database!$H95,Database!$H95),"")</f>
        <v/>
      </c>
      <c r="N95" s="97">
        <f>Database!Q95</f>
        <v/>
      </c>
      <c r="O95" s="24">
        <f>IFERROR(BDH(Database!$A95&amp;" HK Equity","PE_RATIO",Database!$H95,Database!$H95),"")</f>
        <v/>
      </c>
      <c r="P95" s="101">
        <f>IF(Database!BF95="","(n/m or not derivable)",Database!BF95)</f>
        <v/>
      </c>
      <c r="Q95" s="24">
        <f>IF(Database!BL95="","",IFERROR(BDH(LEFT(Database!BL95,FIND(".",Database!BL95)-1)&amp;" CH Equity","PE_RATIO",Database!$H95,Database!$H95),""))</f>
        <v/>
      </c>
      <c r="R95" s="24">
        <f>IF(Database!BL95="","",IFERROR(BDH("HSAHP Index","PX_LAST",Database!$H95,Database!$H95),""))</f>
        <v/>
      </c>
      <c r="S95" s="24">
        <f>IFERROR(BDP(Database!$A95&amp;" HK Equity","PX_TO_SALES_RATIO"),"")</f>
        <v/>
      </c>
      <c r="T95" s="18">
        <f>IF(Database!BL95="","",IFERROR(BDP(LEFT(Database!BL95,FIND(".",Database!BL95)-1)&amp;" CH Equity","CUR_MKT_CAP"),""))</f>
        <v/>
      </c>
    </row>
    <row r="96">
      <c r="A96" s="16">
        <f>Database!A96&amp;"  "&amp;Database!B96</f>
        <v/>
      </c>
      <c r="B96" s="10">
        <f>IFERROR(INDEX(BDS(Database!$A96&amp;" HK Equity","EQUITY_OFFERINGS","array=t","endcol=1"),MATCH("IPO",BDS(Database!$A96&amp;" HK Equity","EQUITY_OFFERINGS","array=t","startcol=2","endcol=2"),0)),"")</f>
        <v/>
      </c>
      <c r="C96" s="103">
        <f>IF($B96="","",IFERROR(BDP($B96&amp;" Action","CP036"),""))</f>
        <v/>
      </c>
      <c r="D96" s="104">
        <f>Database!S96</f>
        <v/>
      </c>
      <c r="E96" s="103">
        <f>IF($B96="","",IFERROR(BDP($B96&amp;" Action","CP037"),""))</f>
        <v/>
      </c>
      <c r="F96" s="104">
        <f>Database!T96</f>
        <v/>
      </c>
      <c r="G96" s="103">
        <f>IF($B96="","",IFERROR(BDP($B96&amp;" Action","GREENSHOE_FACILITY"),""))</f>
        <v/>
      </c>
      <c r="H96" s="103">
        <f>IF($B96="","",IFERROR(BDP($B96&amp;" Action","OFFERING_GREENSHOE_SHARES_EX"),""))</f>
        <v/>
      </c>
      <c r="I96" s="16">
        <f>Database!AG96</f>
        <v/>
      </c>
      <c r="J96" s="24">
        <f>IFERROR(BDP(Database!$A96&amp;" HK Equity","PE_RATIO"),"")</f>
        <v/>
      </c>
      <c r="K96" s="10">
        <f>IFERROR(BDP(Database!$A96&amp;" HK Equity","A/H_SHARE_CONVERSION"),"")</f>
        <v/>
      </c>
      <c r="L96" s="16">
        <f>IF(Database!BL96="","(none found)",Database!BL96)</f>
        <v/>
      </c>
      <c r="M96" s="18">
        <f>IFERROR(BDH(Database!$A96&amp;" HK Equity","CUR_MKT_CAP",Database!$H96,Database!$H96),"")</f>
        <v/>
      </c>
      <c r="N96" s="97">
        <f>Database!Q96</f>
        <v/>
      </c>
      <c r="O96" s="24">
        <f>IFERROR(BDH(Database!$A96&amp;" HK Equity","PE_RATIO",Database!$H96,Database!$H96),"")</f>
        <v/>
      </c>
      <c r="P96" s="101">
        <f>IF(Database!BF96="","(n/m or not derivable)",Database!BF96)</f>
        <v/>
      </c>
      <c r="Q96" s="24">
        <f>IF(Database!BL96="","",IFERROR(BDH(LEFT(Database!BL96,FIND(".",Database!BL96)-1)&amp;" CH Equity","PE_RATIO",Database!$H96,Database!$H96),""))</f>
        <v/>
      </c>
      <c r="R96" s="24">
        <f>IF(Database!BL96="","",IFERROR(BDH("HSAHP Index","PX_LAST",Database!$H96,Database!$H96),""))</f>
        <v/>
      </c>
      <c r="S96" s="24">
        <f>IFERROR(BDP(Database!$A96&amp;" HK Equity","PX_TO_SALES_RATIO"),"")</f>
        <v/>
      </c>
      <c r="T96" s="18">
        <f>IF(Database!BL96="","",IFERROR(BDP(LEFT(Database!BL96,FIND(".",Database!BL96)-1)&amp;" CH Equity","CUR_MKT_CAP"),""))</f>
        <v/>
      </c>
    </row>
    <row r="97">
      <c r="A97" s="16">
        <f>Database!A97&amp;"  "&amp;Database!B97</f>
        <v/>
      </c>
      <c r="B97" s="10">
        <f>IFERROR(INDEX(BDS(Database!$A97&amp;" HK Equity","EQUITY_OFFERINGS","array=t","endcol=1"),MATCH("IPO",BDS(Database!$A97&amp;" HK Equity","EQUITY_OFFERINGS","array=t","startcol=2","endcol=2"),0)),"")</f>
        <v/>
      </c>
      <c r="C97" s="103">
        <f>IF($B97="","",IFERROR(BDP($B97&amp;" Action","CP036"),""))</f>
        <v/>
      </c>
      <c r="D97" s="104">
        <f>Database!S97</f>
        <v/>
      </c>
      <c r="E97" s="103">
        <f>IF($B97="","",IFERROR(BDP($B97&amp;" Action","CP037"),""))</f>
        <v/>
      </c>
      <c r="F97" s="104">
        <f>Database!T97</f>
        <v/>
      </c>
      <c r="G97" s="103">
        <f>IF($B97="","",IFERROR(BDP($B97&amp;" Action","GREENSHOE_FACILITY"),""))</f>
        <v/>
      </c>
      <c r="H97" s="103">
        <f>IF($B97="","",IFERROR(BDP($B97&amp;" Action","OFFERING_GREENSHOE_SHARES_EX"),""))</f>
        <v/>
      </c>
      <c r="I97" s="16">
        <f>Database!AG97</f>
        <v/>
      </c>
      <c r="J97" s="24">
        <f>IFERROR(BDP(Database!$A97&amp;" HK Equity","PE_RATIO"),"")</f>
        <v/>
      </c>
      <c r="K97" s="10">
        <f>IFERROR(BDP(Database!$A97&amp;" HK Equity","A/H_SHARE_CONVERSION"),"")</f>
        <v/>
      </c>
      <c r="L97" s="16">
        <f>IF(Database!BL97="","(none found)",Database!BL97)</f>
        <v/>
      </c>
      <c r="M97" s="18">
        <f>IFERROR(BDH(Database!$A97&amp;" HK Equity","CUR_MKT_CAP",Database!$H97,Database!$H97),"")</f>
        <v/>
      </c>
      <c r="N97" s="97">
        <f>Database!Q97</f>
        <v/>
      </c>
      <c r="O97" s="24">
        <f>IFERROR(BDH(Database!$A97&amp;" HK Equity","PE_RATIO",Database!$H97,Database!$H97),"")</f>
        <v/>
      </c>
      <c r="P97" s="101">
        <f>IF(Database!BF97="","(n/m or not derivable)",Database!BF97)</f>
        <v/>
      </c>
      <c r="Q97" s="24">
        <f>IF(Database!BL97="","",IFERROR(BDH(LEFT(Database!BL97,FIND(".",Database!BL97)-1)&amp;" CH Equity","PE_RATIO",Database!$H97,Database!$H97),""))</f>
        <v/>
      </c>
      <c r="R97" s="24">
        <f>IF(Database!BL97="","",IFERROR(BDH("HSAHP Index","PX_LAST",Database!$H97,Database!$H97),""))</f>
        <v/>
      </c>
      <c r="S97" s="24">
        <f>IFERROR(BDP(Database!$A97&amp;" HK Equity","PX_TO_SALES_RATIO"),"")</f>
        <v/>
      </c>
      <c r="T97" s="18">
        <f>IF(Database!BL97="","",IFERROR(BDP(LEFT(Database!BL97,FIND(".",Database!BL97)-1)&amp;" CH Equity","CUR_MKT_CAP"),""))</f>
        <v/>
      </c>
    </row>
    <row r="98">
      <c r="A98" s="16">
        <f>Database!A98&amp;"  "&amp;Database!B98</f>
        <v/>
      </c>
      <c r="B98" s="10">
        <f>IFERROR(INDEX(BDS(Database!$A98&amp;" HK Equity","EQUITY_OFFERINGS","array=t","endcol=1"),MATCH("IPO",BDS(Database!$A98&amp;" HK Equity","EQUITY_OFFERINGS","array=t","startcol=2","endcol=2"),0)),"")</f>
        <v/>
      </c>
      <c r="C98" s="103">
        <f>IF($B98="","",IFERROR(BDP($B98&amp;" Action","CP036"),""))</f>
        <v/>
      </c>
      <c r="D98" s="104">
        <f>Database!S98</f>
        <v/>
      </c>
      <c r="E98" s="103">
        <f>IF($B98="","",IFERROR(BDP($B98&amp;" Action","CP037"),""))</f>
        <v/>
      </c>
      <c r="F98" s="104">
        <f>Database!T98</f>
        <v/>
      </c>
      <c r="G98" s="103">
        <f>IF($B98="","",IFERROR(BDP($B98&amp;" Action","GREENSHOE_FACILITY"),""))</f>
        <v/>
      </c>
      <c r="H98" s="103">
        <f>IF($B98="","",IFERROR(BDP($B98&amp;" Action","OFFERING_GREENSHOE_SHARES_EX"),""))</f>
        <v/>
      </c>
      <c r="I98" s="16">
        <f>Database!AG98</f>
        <v/>
      </c>
      <c r="J98" s="24">
        <f>IFERROR(BDP(Database!$A98&amp;" HK Equity","PE_RATIO"),"")</f>
        <v/>
      </c>
      <c r="K98" s="10">
        <f>IFERROR(BDP(Database!$A98&amp;" HK Equity","A/H_SHARE_CONVERSION"),"")</f>
        <v/>
      </c>
      <c r="L98" s="16">
        <f>IF(Database!BL98="","(none found)",Database!BL98)</f>
        <v/>
      </c>
      <c r="M98" s="18">
        <f>IFERROR(BDH(Database!$A98&amp;" HK Equity","CUR_MKT_CAP",Database!$H98,Database!$H98),"")</f>
        <v/>
      </c>
      <c r="N98" s="97">
        <f>Database!Q98</f>
        <v/>
      </c>
      <c r="O98" s="24">
        <f>IFERROR(BDH(Database!$A98&amp;" HK Equity","PE_RATIO",Database!$H98,Database!$H98),"")</f>
        <v/>
      </c>
      <c r="P98" s="101">
        <f>IF(Database!BF98="","(n/m or not derivable)",Database!BF98)</f>
        <v/>
      </c>
      <c r="Q98" s="24">
        <f>IF(Database!BL98="","",IFERROR(BDH(LEFT(Database!BL98,FIND(".",Database!BL98)-1)&amp;" CH Equity","PE_RATIO",Database!$H98,Database!$H98),""))</f>
        <v/>
      </c>
      <c r="R98" s="24">
        <f>IF(Database!BL98="","",IFERROR(BDH("HSAHP Index","PX_LAST",Database!$H98,Database!$H98),""))</f>
        <v/>
      </c>
      <c r="S98" s="24">
        <f>IFERROR(BDP(Database!$A98&amp;" HK Equity","PX_TO_SALES_RATIO"),"")</f>
        <v/>
      </c>
      <c r="T98" s="18">
        <f>IF(Database!BL98="","",IFERROR(BDP(LEFT(Database!BL98,FIND(".",Database!BL98)-1)&amp;" CH Equity","CUR_MKT_CAP"),""))</f>
        <v/>
      </c>
    </row>
    <row r="99">
      <c r="A99" s="16">
        <f>Database!A99&amp;"  "&amp;Database!B99</f>
        <v/>
      </c>
      <c r="B99" s="10">
        <f>IFERROR(INDEX(BDS(Database!$A99&amp;" HK Equity","EQUITY_OFFERINGS","array=t","endcol=1"),MATCH("IPO",BDS(Database!$A99&amp;" HK Equity","EQUITY_OFFERINGS","array=t","startcol=2","endcol=2"),0)),"")</f>
        <v/>
      </c>
      <c r="C99" s="103">
        <f>IF($B99="","",IFERROR(BDP($B99&amp;" Action","CP036"),""))</f>
        <v/>
      </c>
      <c r="D99" s="104">
        <f>Database!S99</f>
        <v/>
      </c>
      <c r="E99" s="103">
        <f>IF($B99="","",IFERROR(BDP($B99&amp;" Action","CP037"),""))</f>
        <v/>
      </c>
      <c r="F99" s="104">
        <f>Database!T99</f>
        <v/>
      </c>
      <c r="G99" s="103">
        <f>IF($B99="","",IFERROR(BDP($B99&amp;" Action","GREENSHOE_FACILITY"),""))</f>
        <v/>
      </c>
      <c r="H99" s="103">
        <f>IF($B99="","",IFERROR(BDP($B99&amp;" Action","OFFERING_GREENSHOE_SHARES_EX"),""))</f>
        <v/>
      </c>
      <c r="I99" s="16">
        <f>Database!AG99</f>
        <v/>
      </c>
      <c r="J99" s="24">
        <f>IFERROR(BDP(Database!$A99&amp;" HK Equity","PE_RATIO"),"")</f>
        <v/>
      </c>
      <c r="K99" s="10">
        <f>IFERROR(BDP(Database!$A99&amp;" HK Equity","A/H_SHARE_CONVERSION"),"")</f>
        <v/>
      </c>
      <c r="L99" s="16">
        <f>IF(Database!BL99="","(none found)",Database!BL99)</f>
        <v/>
      </c>
      <c r="M99" s="18">
        <f>IFERROR(BDH(Database!$A99&amp;" HK Equity","CUR_MKT_CAP",Database!$H99,Database!$H99),"")</f>
        <v/>
      </c>
      <c r="N99" s="97">
        <f>Database!Q99</f>
        <v/>
      </c>
      <c r="O99" s="24">
        <f>IFERROR(BDH(Database!$A99&amp;" HK Equity","PE_RATIO",Database!$H99,Database!$H99),"")</f>
        <v/>
      </c>
      <c r="P99" s="101">
        <f>IF(Database!BF99="","(n/m or not derivable)",Database!BF99)</f>
        <v/>
      </c>
      <c r="Q99" s="24">
        <f>IF(Database!BL99="","",IFERROR(BDH(LEFT(Database!BL99,FIND(".",Database!BL99)-1)&amp;" CH Equity","PE_RATIO",Database!$H99,Database!$H99),""))</f>
        <v/>
      </c>
      <c r="R99" s="24">
        <f>IF(Database!BL99="","",IFERROR(BDH("HSAHP Index","PX_LAST",Database!$H99,Database!$H99),""))</f>
        <v/>
      </c>
      <c r="S99" s="24">
        <f>IFERROR(BDP(Database!$A99&amp;" HK Equity","PX_TO_SALES_RATIO"),"")</f>
        <v/>
      </c>
      <c r="T99" s="18">
        <f>IF(Database!BL99="","",IFERROR(BDP(LEFT(Database!BL99,FIND(".",Database!BL99)-1)&amp;" CH Equity","CUR_MKT_CAP"),""))</f>
        <v/>
      </c>
    </row>
    <row r="100">
      <c r="A100" s="16">
        <f>Database!A100&amp;"  "&amp;Database!B100</f>
        <v/>
      </c>
      <c r="B100" s="10">
        <f>IFERROR(INDEX(BDS(Database!$A100&amp;" HK Equity","EQUITY_OFFERINGS","array=t","endcol=1"),MATCH("IPO",BDS(Database!$A100&amp;" HK Equity","EQUITY_OFFERINGS","array=t","startcol=2","endcol=2"),0)),"")</f>
        <v/>
      </c>
      <c r="C100" s="103">
        <f>IF($B100="","",IFERROR(BDP($B100&amp;" Action","CP036"),""))</f>
        <v/>
      </c>
      <c r="D100" s="104">
        <f>Database!S100</f>
        <v/>
      </c>
      <c r="E100" s="103">
        <f>IF($B100="","",IFERROR(BDP($B100&amp;" Action","CP037"),""))</f>
        <v/>
      </c>
      <c r="F100" s="104">
        <f>Database!T100</f>
        <v/>
      </c>
      <c r="G100" s="103">
        <f>IF($B100="","",IFERROR(BDP($B100&amp;" Action","GREENSHOE_FACILITY"),""))</f>
        <v/>
      </c>
      <c r="H100" s="103">
        <f>IF($B100="","",IFERROR(BDP($B100&amp;" Action","OFFERING_GREENSHOE_SHARES_EX"),""))</f>
        <v/>
      </c>
      <c r="I100" s="16">
        <f>Database!AG100</f>
        <v/>
      </c>
      <c r="J100" s="24">
        <f>IFERROR(BDP(Database!$A100&amp;" HK Equity","PE_RATIO"),"")</f>
        <v/>
      </c>
      <c r="K100" s="10">
        <f>IFERROR(BDP(Database!$A100&amp;" HK Equity","A/H_SHARE_CONVERSION"),"")</f>
        <v/>
      </c>
      <c r="L100" s="16">
        <f>IF(Database!BL100="","(none found)",Database!BL100)</f>
        <v/>
      </c>
      <c r="M100" s="18">
        <f>IFERROR(BDH(Database!$A100&amp;" HK Equity","CUR_MKT_CAP",Database!$H100,Database!$H100),"")</f>
        <v/>
      </c>
      <c r="N100" s="97">
        <f>Database!Q100</f>
        <v/>
      </c>
      <c r="O100" s="24">
        <f>IFERROR(BDH(Database!$A100&amp;" HK Equity","PE_RATIO",Database!$H100,Database!$H100),"")</f>
        <v/>
      </c>
      <c r="P100" s="101">
        <f>IF(Database!BF100="","(n/m or not derivable)",Database!BF100)</f>
        <v/>
      </c>
      <c r="Q100" s="24">
        <f>IF(Database!BL100="","",IFERROR(BDH(LEFT(Database!BL100,FIND(".",Database!BL100)-1)&amp;" CH Equity","PE_RATIO",Database!$H100,Database!$H100),""))</f>
        <v/>
      </c>
      <c r="R100" s="24">
        <f>IF(Database!BL100="","",IFERROR(BDH("HSAHP Index","PX_LAST",Database!$H100,Database!$H100),""))</f>
        <v/>
      </c>
      <c r="S100" s="24">
        <f>IFERROR(BDP(Database!$A100&amp;" HK Equity","PX_TO_SALES_RATIO"),"")</f>
        <v/>
      </c>
      <c r="T100" s="18">
        <f>IF(Database!BL100="","",IFERROR(BDP(LEFT(Database!BL100,FIND(".",Database!BL100)-1)&amp;" CH Equity","CUR_MKT_CAP"),""))</f>
        <v/>
      </c>
    </row>
    <row r="101">
      <c r="A101" s="16">
        <f>Database!A101&amp;"  "&amp;Database!B101</f>
        <v/>
      </c>
      <c r="B101" s="10">
        <f>IFERROR(INDEX(BDS(Database!$A101&amp;" HK Equity","EQUITY_OFFERINGS","array=t","endcol=1"),MATCH("IPO",BDS(Database!$A101&amp;" HK Equity","EQUITY_OFFERINGS","array=t","startcol=2","endcol=2"),0)),"")</f>
        <v/>
      </c>
      <c r="C101" s="103">
        <f>IF($B101="","",IFERROR(BDP($B101&amp;" Action","CP036"),""))</f>
        <v/>
      </c>
      <c r="D101" s="104">
        <f>Database!S101</f>
        <v/>
      </c>
      <c r="E101" s="103">
        <f>IF($B101="","",IFERROR(BDP($B101&amp;" Action","CP037"),""))</f>
        <v/>
      </c>
      <c r="F101" s="104">
        <f>Database!T101</f>
        <v/>
      </c>
      <c r="G101" s="103">
        <f>IF($B101="","",IFERROR(BDP($B101&amp;" Action","GREENSHOE_FACILITY"),""))</f>
        <v/>
      </c>
      <c r="H101" s="103">
        <f>IF($B101="","",IFERROR(BDP($B101&amp;" Action","OFFERING_GREENSHOE_SHARES_EX"),""))</f>
        <v/>
      </c>
      <c r="I101" s="16">
        <f>Database!AG101</f>
        <v/>
      </c>
      <c r="J101" s="24">
        <f>IFERROR(BDP(Database!$A101&amp;" HK Equity","PE_RATIO"),"")</f>
        <v/>
      </c>
      <c r="K101" s="10">
        <f>IFERROR(BDP(Database!$A101&amp;" HK Equity","A/H_SHARE_CONVERSION"),"")</f>
        <v/>
      </c>
      <c r="L101" s="16">
        <f>IF(Database!BL101="","(none found)",Database!BL101)</f>
        <v/>
      </c>
      <c r="M101" s="18">
        <f>IFERROR(BDH(Database!$A101&amp;" HK Equity","CUR_MKT_CAP",Database!$H101,Database!$H101),"")</f>
        <v/>
      </c>
      <c r="N101" s="97">
        <f>Database!Q101</f>
        <v/>
      </c>
      <c r="O101" s="24">
        <f>IFERROR(BDH(Database!$A101&amp;" HK Equity","PE_RATIO",Database!$H101,Database!$H101),"")</f>
        <v/>
      </c>
      <c r="P101" s="101">
        <f>IF(Database!BF101="","(n/m or not derivable)",Database!BF101)</f>
        <v/>
      </c>
      <c r="Q101" s="24">
        <f>IF(Database!BL101="","",IFERROR(BDH(LEFT(Database!BL101,FIND(".",Database!BL101)-1)&amp;" CH Equity","PE_RATIO",Database!$H101,Database!$H101),""))</f>
        <v/>
      </c>
      <c r="R101" s="24">
        <f>IF(Database!BL101="","",IFERROR(BDH("HSAHP Index","PX_LAST",Database!$H101,Database!$H101),""))</f>
        <v/>
      </c>
      <c r="S101" s="24">
        <f>IFERROR(BDP(Database!$A101&amp;" HK Equity","PX_TO_SALES_RATIO"),"")</f>
        <v/>
      </c>
      <c r="T101" s="18">
        <f>IF(Database!BL101="","",IFERROR(BDP(LEFT(Database!BL101,FIND(".",Database!BL101)-1)&amp;" CH Equity","CUR_MKT_CAP"),""))</f>
        <v/>
      </c>
    </row>
    <row r="102">
      <c r="A102" s="16">
        <f>Database!A102&amp;"  "&amp;Database!B102</f>
        <v/>
      </c>
      <c r="B102" s="10">
        <f>IFERROR(INDEX(BDS(Database!$A102&amp;" HK Equity","EQUITY_OFFERINGS","array=t","endcol=1"),MATCH("IPO",BDS(Database!$A102&amp;" HK Equity","EQUITY_OFFERINGS","array=t","startcol=2","endcol=2"),0)),"")</f>
        <v/>
      </c>
      <c r="C102" s="103">
        <f>IF($B102="","",IFERROR(BDP($B102&amp;" Action","CP036"),""))</f>
        <v/>
      </c>
      <c r="D102" s="104">
        <f>Database!S102</f>
        <v/>
      </c>
      <c r="E102" s="103">
        <f>IF($B102="","",IFERROR(BDP($B102&amp;" Action","CP037"),""))</f>
        <v/>
      </c>
      <c r="F102" s="104">
        <f>Database!T102</f>
        <v/>
      </c>
      <c r="G102" s="103">
        <f>IF($B102="","",IFERROR(BDP($B102&amp;" Action","GREENSHOE_FACILITY"),""))</f>
        <v/>
      </c>
      <c r="H102" s="103">
        <f>IF($B102="","",IFERROR(BDP($B102&amp;" Action","OFFERING_GREENSHOE_SHARES_EX"),""))</f>
        <v/>
      </c>
      <c r="I102" s="16">
        <f>Database!AG102</f>
        <v/>
      </c>
      <c r="J102" s="24">
        <f>IFERROR(BDP(Database!$A102&amp;" HK Equity","PE_RATIO"),"")</f>
        <v/>
      </c>
      <c r="K102" s="10">
        <f>IFERROR(BDP(Database!$A102&amp;" HK Equity","A/H_SHARE_CONVERSION"),"")</f>
        <v/>
      </c>
      <c r="L102" s="16">
        <f>IF(Database!BL102="","(none found)",Database!BL102)</f>
        <v/>
      </c>
      <c r="M102" s="18">
        <f>IFERROR(BDH(Database!$A102&amp;" HK Equity","CUR_MKT_CAP",Database!$H102,Database!$H102),"")</f>
        <v/>
      </c>
      <c r="N102" s="97">
        <f>Database!Q102</f>
        <v/>
      </c>
      <c r="O102" s="24">
        <f>IFERROR(BDH(Database!$A102&amp;" HK Equity","PE_RATIO",Database!$H102,Database!$H102),"")</f>
        <v/>
      </c>
      <c r="P102" s="101">
        <f>IF(Database!BF102="","(n/m or not derivable)",Database!BF102)</f>
        <v/>
      </c>
      <c r="Q102" s="24">
        <f>IF(Database!BL102="","",IFERROR(BDH(LEFT(Database!BL102,FIND(".",Database!BL102)-1)&amp;" CH Equity","PE_RATIO",Database!$H102,Database!$H102),""))</f>
        <v/>
      </c>
      <c r="R102" s="24">
        <f>IF(Database!BL102="","",IFERROR(BDH("HSAHP Index","PX_LAST",Database!$H102,Database!$H102),""))</f>
        <v/>
      </c>
      <c r="S102" s="24">
        <f>IFERROR(BDP(Database!$A102&amp;" HK Equity","PX_TO_SALES_RATIO"),"")</f>
        <v/>
      </c>
      <c r="T102" s="18">
        <f>IF(Database!BL102="","",IFERROR(BDP(LEFT(Database!BL102,FIND(".",Database!BL102)-1)&amp;" CH Equity","CUR_MKT_CAP"),""))</f>
        <v/>
      </c>
    </row>
    <row r="103">
      <c r="A103" s="16">
        <f>Database!A103&amp;"  "&amp;Database!B103</f>
        <v/>
      </c>
      <c r="B103" s="10">
        <f>IFERROR(INDEX(BDS(Database!$A103&amp;" HK Equity","EQUITY_OFFERINGS","array=t","endcol=1"),MATCH("IPO",BDS(Database!$A103&amp;" HK Equity","EQUITY_OFFERINGS","array=t","startcol=2","endcol=2"),0)),"")</f>
        <v/>
      </c>
      <c r="C103" s="103">
        <f>IF($B103="","",IFERROR(BDP($B103&amp;" Action","CP036"),""))</f>
        <v/>
      </c>
      <c r="D103" s="104">
        <f>Database!S103</f>
        <v/>
      </c>
      <c r="E103" s="103">
        <f>IF($B103="","",IFERROR(BDP($B103&amp;" Action","CP037"),""))</f>
        <v/>
      </c>
      <c r="F103" s="104">
        <f>Database!T103</f>
        <v/>
      </c>
      <c r="G103" s="103">
        <f>IF($B103="","",IFERROR(BDP($B103&amp;" Action","GREENSHOE_FACILITY"),""))</f>
        <v/>
      </c>
      <c r="H103" s="103">
        <f>IF($B103="","",IFERROR(BDP($B103&amp;" Action","OFFERING_GREENSHOE_SHARES_EX"),""))</f>
        <v/>
      </c>
      <c r="I103" s="16">
        <f>Database!AG103</f>
        <v/>
      </c>
      <c r="J103" s="24">
        <f>IFERROR(BDP(Database!$A103&amp;" HK Equity","PE_RATIO"),"")</f>
        <v/>
      </c>
      <c r="K103" s="10">
        <f>IFERROR(BDP(Database!$A103&amp;" HK Equity","A/H_SHARE_CONVERSION"),"")</f>
        <v/>
      </c>
      <c r="L103" s="16">
        <f>IF(Database!BL103="","(none found)",Database!BL103)</f>
        <v/>
      </c>
      <c r="M103" s="18">
        <f>IFERROR(BDH(Database!$A103&amp;" HK Equity","CUR_MKT_CAP",Database!$H103,Database!$H103),"")</f>
        <v/>
      </c>
      <c r="N103" s="97">
        <f>Database!Q103</f>
        <v/>
      </c>
      <c r="O103" s="24">
        <f>IFERROR(BDH(Database!$A103&amp;" HK Equity","PE_RATIO",Database!$H103,Database!$H103),"")</f>
        <v/>
      </c>
      <c r="P103" s="101">
        <f>IF(Database!BF103="","(n/m or not derivable)",Database!BF103)</f>
        <v/>
      </c>
      <c r="Q103" s="24">
        <f>IF(Database!BL103="","",IFERROR(BDH(LEFT(Database!BL103,FIND(".",Database!BL103)-1)&amp;" CH Equity","PE_RATIO",Database!$H103,Database!$H103),""))</f>
        <v/>
      </c>
      <c r="R103" s="24">
        <f>IF(Database!BL103="","",IFERROR(BDH("HSAHP Index","PX_LAST",Database!$H103,Database!$H103),""))</f>
        <v/>
      </c>
      <c r="S103" s="24">
        <f>IFERROR(BDP(Database!$A103&amp;" HK Equity","PX_TO_SALES_RATIO"),"")</f>
        <v/>
      </c>
      <c r="T103" s="18">
        <f>IF(Database!BL103="","",IFERROR(BDP(LEFT(Database!BL103,FIND(".",Database!BL103)-1)&amp;" CH Equity","CUR_MKT_CAP"),""))</f>
        <v/>
      </c>
    </row>
    <row r="104">
      <c r="A104" s="16">
        <f>Database!A104&amp;"  "&amp;Database!B104</f>
        <v/>
      </c>
      <c r="B104" s="10">
        <f>IFERROR(INDEX(BDS(Database!$A104&amp;" HK Equity","EQUITY_OFFERINGS","array=t","endcol=1"),MATCH("IPO",BDS(Database!$A104&amp;" HK Equity","EQUITY_OFFERINGS","array=t","startcol=2","endcol=2"),0)),"")</f>
        <v/>
      </c>
      <c r="C104" s="103">
        <f>IF($B104="","",IFERROR(BDP($B104&amp;" Action","CP036"),""))</f>
        <v/>
      </c>
      <c r="D104" s="104">
        <f>Database!S104</f>
        <v/>
      </c>
      <c r="E104" s="103">
        <f>IF($B104="","",IFERROR(BDP($B104&amp;" Action","CP037"),""))</f>
        <v/>
      </c>
      <c r="F104" s="104">
        <f>Database!T104</f>
        <v/>
      </c>
      <c r="G104" s="103">
        <f>IF($B104="","",IFERROR(BDP($B104&amp;" Action","GREENSHOE_FACILITY"),""))</f>
        <v/>
      </c>
      <c r="H104" s="103">
        <f>IF($B104="","",IFERROR(BDP($B104&amp;" Action","OFFERING_GREENSHOE_SHARES_EX"),""))</f>
        <v/>
      </c>
      <c r="I104" s="16">
        <f>Database!AG104</f>
        <v/>
      </c>
      <c r="J104" s="24">
        <f>IFERROR(BDP(Database!$A104&amp;" HK Equity","PE_RATIO"),"")</f>
        <v/>
      </c>
      <c r="K104" s="10">
        <f>IFERROR(BDP(Database!$A104&amp;" HK Equity","A/H_SHARE_CONVERSION"),"")</f>
        <v/>
      </c>
      <c r="L104" s="16">
        <f>IF(Database!BL104="","(none found)",Database!BL104)</f>
        <v/>
      </c>
      <c r="M104" s="18">
        <f>IFERROR(BDH(Database!$A104&amp;" HK Equity","CUR_MKT_CAP",Database!$H104,Database!$H104),"")</f>
        <v/>
      </c>
      <c r="N104" s="97">
        <f>Database!Q104</f>
        <v/>
      </c>
      <c r="O104" s="24">
        <f>IFERROR(BDH(Database!$A104&amp;" HK Equity","PE_RATIO",Database!$H104,Database!$H104),"")</f>
        <v/>
      </c>
      <c r="P104" s="101">
        <f>IF(Database!BF104="","(n/m or not derivable)",Database!BF104)</f>
        <v/>
      </c>
      <c r="Q104" s="24">
        <f>IF(Database!BL104="","",IFERROR(BDH(LEFT(Database!BL104,FIND(".",Database!BL104)-1)&amp;" CH Equity","PE_RATIO",Database!$H104,Database!$H104),""))</f>
        <v/>
      </c>
      <c r="R104" s="24">
        <f>IF(Database!BL104="","",IFERROR(BDH("HSAHP Index","PX_LAST",Database!$H104,Database!$H104),""))</f>
        <v/>
      </c>
      <c r="S104" s="24">
        <f>IFERROR(BDP(Database!$A104&amp;" HK Equity","PX_TO_SALES_RATIO"),"")</f>
        <v/>
      </c>
      <c r="T104" s="18">
        <f>IF(Database!BL104="","",IFERROR(BDP(LEFT(Database!BL104,FIND(".",Database!BL104)-1)&amp;" CH Equity","CUR_MKT_CAP"),""))</f>
        <v/>
      </c>
    </row>
    <row r="105">
      <c r="A105" s="16">
        <f>Database!A105&amp;"  "&amp;Database!B105</f>
        <v/>
      </c>
      <c r="B105" s="10">
        <f>IFERROR(INDEX(BDS(Database!$A105&amp;" HK Equity","EQUITY_OFFERINGS","array=t","endcol=1"),MATCH("IPO",BDS(Database!$A105&amp;" HK Equity","EQUITY_OFFERINGS","array=t","startcol=2","endcol=2"),0)),"")</f>
        <v/>
      </c>
      <c r="C105" s="103">
        <f>IF($B105="","",IFERROR(BDP($B105&amp;" Action","CP036"),""))</f>
        <v/>
      </c>
      <c r="D105" s="104">
        <f>Database!S105</f>
        <v/>
      </c>
      <c r="E105" s="103">
        <f>IF($B105="","",IFERROR(BDP($B105&amp;" Action","CP037"),""))</f>
        <v/>
      </c>
      <c r="F105" s="104">
        <f>Database!T105</f>
        <v/>
      </c>
      <c r="G105" s="103">
        <f>IF($B105="","",IFERROR(BDP($B105&amp;" Action","GREENSHOE_FACILITY"),""))</f>
        <v/>
      </c>
      <c r="H105" s="103">
        <f>IF($B105="","",IFERROR(BDP($B105&amp;" Action","OFFERING_GREENSHOE_SHARES_EX"),""))</f>
        <v/>
      </c>
      <c r="I105" s="16">
        <f>Database!AG105</f>
        <v/>
      </c>
      <c r="J105" s="24">
        <f>IFERROR(BDP(Database!$A105&amp;" HK Equity","PE_RATIO"),"")</f>
        <v/>
      </c>
      <c r="K105" s="10">
        <f>IFERROR(BDP(Database!$A105&amp;" HK Equity","A/H_SHARE_CONVERSION"),"")</f>
        <v/>
      </c>
      <c r="L105" s="16">
        <f>IF(Database!BL105="","(none found)",Database!BL105)</f>
        <v/>
      </c>
      <c r="M105" s="18">
        <f>IFERROR(BDH(Database!$A105&amp;" HK Equity","CUR_MKT_CAP",Database!$H105,Database!$H105),"")</f>
        <v/>
      </c>
      <c r="N105" s="97">
        <f>Database!Q105</f>
        <v/>
      </c>
      <c r="O105" s="24">
        <f>IFERROR(BDH(Database!$A105&amp;" HK Equity","PE_RATIO",Database!$H105,Database!$H105),"")</f>
        <v/>
      </c>
      <c r="P105" s="101">
        <f>IF(Database!BF105="","(n/m or not derivable)",Database!BF105)</f>
        <v/>
      </c>
      <c r="Q105" s="24">
        <f>IF(Database!BL105="","",IFERROR(BDH(LEFT(Database!BL105,FIND(".",Database!BL105)-1)&amp;" CH Equity","PE_RATIO",Database!$H105,Database!$H105),""))</f>
        <v/>
      </c>
      <c r="R105" s="24">
        <f>IF(Database!BL105="","",IFERROR(BDH("HSAHP Index","PX_LAST",Database!$H105,Database!$H105),""))</f>
        <v/>
      </c>
      <c r="S105" s="24">
        <f>IFERROR(BDP(Database!$A105&amp;" HK Equity","PX_TO_SALES_RATIO"),"")</f>
        <v/>
      </c>
      <c r="T105" s="18">
        <f>IF(Database!BL105="","",IFERROR(BDP(LEFT(Database!BL105,FIND(".",Database!BL105)-1)&amp;" CH Equity","CUR_MKT_CAP"),""))</f>
        <v/>
      </c>
    </row>
    <row r="106">
      <c r="A106" s="16">
        <f>Database!A106&amp;"  "&amp;Database!B106</f>
        <v/>
      </c>
      <c r="B106" s="10">
        <f>IFERROR(INDEX(BDS(Database!$A106&amp;" HK Equity","EQUITY_OFFERINGS","array=t","endcol=1"),MATCH("IPO",BDS(Database!$A106&amp;" HK Equity","EQUITY_OFFERINGS","array=t","startcol=2","endcol=2"),0)),"")</f>
        <v/>
      </c>
      <c r="C106" s="103">
        <f>IF($B106="","",IFERROR(BDP($B106&amp;" Action","CP036"),""))</f>
        <v/>
      </c>
      <c r="D106" s="104">
        <f>Database!S106</f>
        <v/>
      </c>
      <c r="E106" s="103">
        <f>IF($B106="","",IFERROR(BDP($B106&amp;" Action","CP037"),""))</f>
        <v/>
      </c>
      <c r="F106" s="104">
        <f>Database!T106</f>
        <v/>
      </c>
      <c r="G106" s="103">
        <f>IF($B106="","",IFERROR(BDP($B106&amp;" Action","GREENSHOE_FACILITY"),""))</f>
        <v/>
      </c>
      <c r="H106" s="103">
        <f>IF($B106="","",IFERROR(BDP($B106&amp;" Action","OFFERING_GREENSHOE_SHARES_EX"),""))</f>
        <v/>
      </c>
      <c r="I106" s="16">
        <f>Database!AG106</f>
        <v/>
      </c>
      <c r="J106" s="24">
        <f>IFERROR(BDP(Database!$A106&amp;" HK Equity","PE_RATIO"),"")</f>
        <v/>
      </c>
      <c r="K106" s="10">
        <f>IFERROR(BDP(Database!$A106&amp;" HK Equity","A/H_SHARE_CONVERSION"),"")</f>
        <v/>
      </c>
      <c r="L106" s="16">
        <f>IF(Database!BL106="","(none found)",Database!BL106)</f>
        <v/>
      </c>
      <c r="M106" s="18">
        <f>IFERROR(BDH(Database!$A106&amp;" HK Equity","CUR_MKT_CAP",Database!$H106,Database!$H106),"")</f>
        <v/>
      </c>
      <c r="N106" s="97">
        <f>Database!Q106</f>
        <v/>
      </c>
      <c r="O106" s="24">
        <f>IFERROR(BDH(Database!$A106&amp;" HK Equity","PE_RATIO",Database!$H106,Database!$H106),"")</f>
        <v/>
      </c>
      <c r="P106" s="101">
        <f>IF(Database!BF106="","(n/m or not derivable)",Database!BF106)</f>
        <v/>
      </c>
      <c r="Q106" s="24">
        <f>IF(Database!BL106="","",IFERROR(BDH(LEFT(Database!BL106,FIND(".",Database!BL106)-1)&amp;" CH Equity","PE_RATIO",Database!$H106,Database!$H106),""))</f>
        <v/>
      </c>
      <c r="R106" s="24">
        <f>IF(Database!BL106="","",IFERROR(BDH("HSAHP Index","PX_LAST",Database!$H106,Database!$H106),""))</f>
        <v/>
      </c>
      <c r="S106" s="24">
        <f>IFERROR(BDP(Database!$A106&amp;" HK Equity","PX_TO_SALES_RATIO"),"")</f>
        <v/>
      </c>
      <c r="T106" s="18">
        <f>IF(Database!BL106="","",IFERROR(BDP(LEFT(Database!BL106,FIND(".",Database!BL106)-1)&amp;" CH Equity","CUR_MKT_CAP"),""))</f>
        <v/>
      </c>
    </row>
    <row r="107">
      <c r="A107" s="16">
        <f>Database!A107&amp;"  "&amp;Database!B107</f>
        <v/>
      </c>
      <c r="B107" s="10">
        <f>IFERROR(INDEX(BDS(Database!$A107&amp;" HK Equity","EQUITY_OFFERINGS","array=t","endcol=1"),MATCH("IPO",BDS(Database!$A107&amp;" HK Equity","EQUITY_OFFERINGS","array=t","startcol=2","endcol=2"),0)),"")</f>
        <v/>
      </c>
      <c r="C107" s="103">
        <f>IF($B107="","",IFERROR(BDP($B107&amp;" Action","CP036"),""))</f>
        <v/>
      </c>
      <c r="D107" s="104">
        <f>Database!S107</f>
        <v/>
      </c>
      <c r="E107" s="103">
        <f>IF($B107="","",IFERROR(BDP($B107&amp;" Action","CP037"),""))</f>
        <v/>
      </c>
      <c r="F107" s="104">
        <f>Database!T107</f>
        <v/>
      </c>
      <c r="G107" s="103">
        <f>IF($B107="","",IFERROR(BDP($B107&amp;" Action","GREENSHOE_FACILITY"),""))</f>
        <v/>
      </c>
      <c r="H107" s="103">
        <f>IF($B107="","",IFERROR(BDP($B107&amp;" Action","OFFERING_GREENSHOE_SHARES_EX"),""))</f>
        <v/>
      </c>
      <c r="I107" s="16">
        <f>Database!AG107</f>
        <v/>
      </c>
      <c r="J107" s="24">
        <f>IFERROR(BDP(Database!$A107&amp;" HK Equity","PE_RATIO"),"")</f>
        <v/>
      </c>
      <c r="K107" s="10">
        <f>IFERROR(BDP(Database!$A107&amp;" HK Equity","A/H_SHARE_CONVERSION"),"")</f>
        <v/>
      </c>
      <c r="L107" s="16">
        <f>IF(Database!BL107="","(none found)",Database!BL107)</f>
        <v/>
      </c>
      <c r="M107" s="18">
        <f>IFERROR(BDH(Database!$A107&amp;" HK Equity","CUR_MKT_CAP",Database!$H107,Database!$H107),"")</f>
        <v/>
      </c>
      <c r="N107" s="97">
        <f>Database!Q107</f>
        <v/>
      </c>
      <c r="O107" s="24">
        <f>IFERROR(BDH(Database!$A107&amp;" HK Equity","PE_RATIO",Database!$H107,Database!$H107),"")</f>
        <v/>
      </c>
      <c r="P107" s="101">
        <f>IF(Database!BF107="","(n/m or not derivable)",Database!BF107)</f>
        <v/>
      </c>
      <c r="Q107" s="24">
        <f>IF(Database!BL107="","",IFERROR(BDH(LEFT(Database!BL107,FIND(".",Database!BL107)-1)&amp;" CH Equity","PE_RATIO",Database!$H107,Database!$H107),""))</f>
        <v/>
      </c>
      <c r="R107" s="24">
        <f>IF(Database!BL107="","",IFERROR(BDH("HSAHP Index","PX_LAST",Database!$H107,Database!$H107),""))</f>
        <v/>
      </c>
      <c r="S107" s="24">
        <f>IFERROR(BDP(Database!$A107&amp;" HK Equity","PX_TO_SALES_RATIO"),"")</f>
        <v/>
      </c>
      <c r="T107" s="18">
        <f>IF(Database!BL107="","",IFERROR(BDP(LEFT(Database!BL107,FIND(".",Database!BL107)-1)&amp;" CH Equity","CUR_MKT_CAP"),""))</f>
        <v/>
      </c>
    </row>
    <row r="108">
      <c r="A108" s="16">
        <f>Database!A108&amp;"  "&amp;Database!B108</f>
        <v/>
      </c>
      <c r="B108" s="10">
        <f>IFERROR(INDEX(BDS(Database!$A108&amp;" HK Equity","EQUITY_OFFERINGS","array=t","endcol=1"),MATCH("IPO",BDS(Database!$A108&amp;" HK Equity","EQUITY_OFFERINGS","array=t","startcol=2","endcol=2"),0)),"")</f>
        <v/>
      </c>
      <c r="C108" s="103">
        <f>IF($B108="","",IFERROR(BDP($B108&amp;" Action","CP036"),""))</f>
        <v/>
      </c>
      <c r="D108" s="104">
        <f>Database!S108</f>
        <v/>
      </c>
      <c r="E108" s="103">
        <f>IF($B108="","",IFERROR(BDP($B108&amp;" Action","CP037"),""))</f>
        <v/>
      </c>
      <c r="F108" s="104">
        <f>Database!T108</f>
        <v/>
      </c>
      <c r="G108" s="103">
        <f>IF($B108="","",IFERROR(BDP($B108&amp;" Action","GREENSHOE_FACILITY"),""))</f>
        <v/>
      </c>
      <c r="H108" s="103">
        <f>IF($B108="","",IFERROR(BDP($B108&amp;" Action","OFFERING_GREENSHOE_SHARES_EX"),""))</f>
        <v/>
      </c>
      <c r="I108" s="16">
        <f>Database!AG108</f>
        <v/>
      </c>
      <c r="J108" s="24">
        <f>IFERROR(BDP(Database!$A108&amp;" HK Equity","PE_RATIO"),"")</f>
        <v/>
      </c>
      <c r="K108" s="10">
        <f>IFERROR(BDP(Database!$A108&amp;" HK Equity","A/H_SHARE_CONVERSION"),"")</f>
        <v/>
      </c>
      <c r="L108" s="16">
        <f>IF(Database!BL108="","(none found)",Database!BL108)</f>
        <v/>
      </c>
      <c r="M108" s="18">
        <f>IFERROR(BDH(Database!$A108&amp;" HK Equity","CUR_MKT_CAP",Database!$H108,Database!$H108),"")</f>
        <v/>
      </c>
      <c r="N108" s="97">
        <f>Database!Q108</f>
        <v/>
      </c>
      <c r="O108" s="24">
        <f>IFERROR(BDH(Database!$A108&amp;" HK Equity","PE_RATIO",Database!$H108,Database!$H108),"")</f>
        <v/>
      </c>
      <c r="P108" s="101">
        <f>IF(Database!BF108="","(n/m or not derivable)",Database!BF108)</f>
        <v/>
      </c>
      <c r="Q108" s="24">
        <f>IF(Database!BL108="","",IFERROR(BDH(LEFT(Database!BL108,FIND(".",Database!BL108)-1)&amp;" CH Equity","PE_RATIO",Database!$H108,Database!$H108),""))</f>
        <v/>
      </c>
      <c r="R108" s="24">
        <f>IF(Database!BL108="","",IFERROR(BDH("HSAHP Index","PX_LAST",Database!$H108,Database!$H108),""))</f>
        <v/>
      </c>
      <c r="S108" s="24">
        <f>IFERROR(BDP(Database!$A108&amp;" HK Equity","PX_TO_SALES_RATIO"),"")</f>
        <v/>
      </c>
      <c r="T108" s="18">
        <f>IF(Database!BL108="","",IFERROR(BDP(LEFT(Database!BL108,FIND(".",Database!BL108)-1)&amp;" CH Equity","CUR_MKT_CAP"),""))</f>
        <v/>
      </c>
    </row>
    <row r="109">
      <c r="A109" s="16">
        <f>Database!A109&amp;"  "&amp;Database!B109</f>
        <v/>
      </c>
      <c r="B109" s="10">
        <f>IFERROR(INDEX(BDS(Database!$A109&amp;" HK Equity","EQUITY_OFFERINGS","array=t","endcol=1"),MATCH("IPO",BDS(Database!$A109&amp;" HK Equity","EQUITY_OFFERINGS","array=t","startcol=2","endcol=2"),0)),"")</f>
        <v/>
      </c>
      <c r="C109" s="103">
        <f>IF($B109="","",IFERROR(BDP($B109&amp;" Action","CP036"),""))</f>
        <v/>
      </c>
      <c r="D109" s="104">
        <f>Database!S109</f>
        <v/>
      </c>
      <c r="E109" s="103">
        <f>IF($B109="","",IFERROR(BDP($B109&amp;" Action","CP037"),""))</f>
        <v/>
      </c>
      <c r="F109" s="104">
        <f>Database!T109</f>
        <v/>
      </c>
      <c r="G109" s="103">
        <f>IF($B109="","",IFERROR(BDP($B109&amp;" Action","GREENSHOE_FACILITY"),""))</f>
        <v/>
      </c>
      <c r="H109" s="103">
        <f>IF($B109="","",IFERROR(BDP($B109&amp;" Action","OFFERING_GREENSHOE_SHARES_EX"),""))</f>
        <v/>
      </c>
      <c r="I109" s="16">
        <f>Database!AG109</f>
        <v/>
      </c>
      <c r="J109" s="24">
        <f>IFERROR(BDP(Database!$A109&amp;" HK Equity","PE_RATIO"),"")</f>
        <v/>
      </c>
      <c r="K109" s="10">
        <f>IFERROR(BDP(Database!$A109&amp;" HK Equity","A/H_SHARE_CONVERSION"),"")</f>
        <v/>
      </c>
      <c r="L109" s="16">
        <f>IF(Database!BL109="","(none found)",Database!BL109)</f>
        <v/>
      </c>
      <c r="M109" s="18">
        <f>IFERROR(BDH(Database!$A109&amp;" HK Equity","CUR_MKT_CAP",Database!$H109,Database!$H109),"")</f>
        <v/>
      </c>
      <c r="N109" s="97">
        <f>Database!Q109</f>
        <v/>
      </c>
      <c r="O109" s="24">
        <f>IFERROR(BDH(Database!$A109&amp;" HK Equity","PE_RATIO",Database!$H109,Database!$H109),"")</f>
        <v/>
      </c>
      <c r="P109" s="101">
        <f>IF(Database!BF109="","(n/m or not derivable)",Database!BF109)</f>
        <v/>
      </c>
      <c r="Q109" s="24">
        <f>IF(Database!BL109="","",IFERROR(BDH(LEFT(Database!BL109,FIND(".",Database!BL109)-1)&amp;" CH Equity","PE_RATIO",Database!$H109,Database!$H109),""))</f>
        <v/>
      </c>
      <c r="R109" s="24">
        <f>IF(Database!BL109="","",IFERROR(BDH("HSAHP Index","PX_LAST",Database!$H109,Database!$H109),""))</f>
        <v/>
      </c>
      <c r="S109" s="24">
        <f>IFERROR(BDP(Database!$A109&amp;" HK Equity","PX_TO_SALES_RATIO"),"")</f>
        <v/>
      </c>
      <c r="T109" s="18">
        <f>IF(Database!BL109="","",IFERROR(BDP(LEFT(Database!BL109,FIND(".",Database!BL109)-1)&amp;" CH Equity","CUR_MKT_CAP"),""))</f>
        <v/>
      </c>
    </row>
    <row r="110">
      <c r="A110" s="16">
        <f>Database!A110&amp;"  "&amp;Database!B110</f>
        <v/>
      </c>
      <c r="B110" s="10">
        <f>IFERROR(INDEX(BDS(Database!$A110&amp;" HK Equity","EQUITY_OFFERINGS","array=t","endcol=1"),MATCH("IPO",BDS(Database!$A110&amp;" HK Equity","EQUITY_OFFERINGS","array=t","startcol=2","endcol=2"),0)),"")</f>
        <v/>
      </c>
      <c r="C110" s="103">
        <f>IF($B110="","",IFERROR(BDP($B110&amp;" Action","CP036"),""))</f>
        <v/>
      </c>
      <c r="D110" s="104">
        <f>Database!S110</f>
        <v/>
      </c>
      <c r="E110" s="103">
        <f>IF($B110="","",IFERROR(BDP($B110&amp;" Action","CP037"),""))</f>
        <v/>
      </c>
      <c r="F110" s="104">
        <f>Database!T110</f>
        <v/>
      </c>
      <c r="G110" s="103">
        <f>IF($B110="","",IFERROR(BDP($B110&amp;" Action","GREENSHOE_FACILITY"),""))</f>
        <v/>
      </c>
      <c r="H110" s="103">
        <f>IF($B110="","",IFERROR(BDP($B110&amp;" Action","OFFERING_GREENSHOE_SHARES_EX"),""))</f>
        <v/>
      </c>
      <c r="I110" s="16">
        <f>Database!AG110</f>
        <v/>
      </c>
      <c r="J110" s="24">
        <f>IFERROR(BDP(Database!$A110&amp;" HK Equity","PE_RATIO"),"")</f>
        <v/>
      </c>
      <c r="K110" s="10">
        <f>IFERROR(BDP(Database!$A110&amp;" HK Equity","A/H_SHARE_CONVERSION"),"")</f>
        <v/>
      </c>
      <c r="L110" s="16">
        <f>IF(Database!BL110="","(none found)",Database!BL110)</f>
        <v/>
      </c>
      <c r="M110" s="18">
        <f>IFERROR(BDH(Database!$A110&amp;" HK Equity","CUR_MKT_CAP",Database!$H110,Database!$H110),"")</f>
        <v/>
      </c>
      <c r="N110" s="97">
        <f>Database!Q110</f>
        <v/>
      </c>
      <c r="O110" s="24">
        <f>IFERROR(BDH(Database!$A110&amp;" HK Equity","PE_RATIO",Database!$H110,Database!$H110),"")</f>
        <v/>
      </c>
      <c r="P110" s="101">
        <f>IF(Database!BF110="","(n/m or not derivable)",Database!BF110)</f>
        <v/>
      </c>
      <c r="Q110" s="24">
        <f>IF(Database!BL110="","",IFERROR(BDH(LEFT(Database!BL110,FIND(".",Database!BL110)-1)&amp;" CH Equity","PE_RATIO",Database!$H110,Database!$H110),""))</f>
        <v/>
      </c>
      <c r="R110" s="24">
        <f>IF(Database!BL110="","",IFERROR(BDH("HSAHP Index","PX_LAST",Database!$H110,Database!$H110),""))</f>
        <v/>
      </c>
      <c r="S110" s="24">
        <f>IFERROR(BDP(Database!$A110&amp;" HK Equity","PX_TO_SALES_RATIO"),"")</f>
        <v/>
      </c>
      <c r="T110" s="18">
        <f>IF(Database!BL110="","",IFERROR(BDP(LEFT(Database!BL110,FIND(".",Database!BL110)-1)&amp;" CH Equity","CUR_MKT_CAP"),""))</f>
        <v/>
      </c>
    </row>
    <row r="111">
      <c r="A111" s="16">
        <f>Database!A111&amp;"  "&amp;Database!B111</f>
        <v/>
      </c>
      <c r="B111" s="10">
        <f>IFERROR(INDEX(BDS(Database!$A111&amp;" HK Equity","EQUITY_OFFERINGS","array=t","endcol=1"),MATCH("IPO",BDS(Database!$A111&amp;" HK Equity","EQUITY_OFFERINGS","array=t","startcol=2","endcol=2"),0)),"")</f>
        <v/>
      </c>
      <c r="C111" s="103">
        <f>IF($B111="","",IFERROR(BDP($B111&amp;" Action","CP036"),""))</f>
        <v/>
      </c>
      <c r="D111" s="104">
        <f>Database!S111</f>
        <v/>
      </c>
      <c r="E111" s="103">
        <f>IF($B111="","",IFERROR(BDP($B111&amp;" Action","CP037"),""))</f>
        <v/>
      </c>
      <c r="F111" s="104">
        <f>Database!T111</f>
        <v/>
      </c>
      <c r="G111" s="103">
        <f>IF($B111="","",IFERROR(BDP($B111&amp;" Action","GREENSHOE_FACILITY"),""))</f>
        <v/>
      </c>
      <c r="H111" s="103">
        <f>IF($B111="","",IFERROR(BDP($B111&amp;" Action","OFFERING_GREENSHOE_SHARES_EX"),""))</f>
        <v/>
      </c>
      <c r="I111" s="16">
        <f>Database!AG111</f>
        <v/>
      </c>
      <c r="J111" s="24">
        <f>IFERROR(BDP(Database!$A111&amp;" HK Equity","PE_RATIO"),"")</f>
        <v/>
      </c>
      <c r="K111" s="10">
        <f>IFERROR(BDP(Database!$A111&amp;" HK Equity","A/H_SHARE_CONVERSION"),"")</f>
        <v/>
      </c>
      <c r="L111" s="16">
        <f>IF(Database!BL111="","(none found)",Database!BL111)</f>
        <v/>
      </c>
      <c r="M111" s="18">
        <f>IFERROR(BDH(Database!$A111&amp;" HK Equity","CUR_MKT_CAP",Database!$H111,Database!$H111),"")</f>
        <v/>
      </c>
      <c r="N111" s="97">
        <f>Database!Q111</f>
        <v/>
      </c>
      <c r="O111" s="24">
        <f>IFERROR(BDH(Database!$A111&amp;" HK Equity","PE_RATIO",Database!$H111,Database!$H111),"")</f>
        <v/>
      </c>
      <c r="P111" s="101">
        <f>IF(Database!BF111="","(n/m or not derivable)",Database!BF111)</f>
        <v/>
      </c>
      <c r="Q111" s="24">
        <f>IF(Database!BL111="","",IFERROR(BDH(LEFT(Database!BL111,FIND(".",Database!BL111)-1)&amp;" CH Equity","PE_RATIO",Database!$H111,Database!$H111),""))</f>
        <v/>
      </c>
      <c r="R111" s="24">
        <f>IF(Database!BL111="","",IFERROR(BDH("HSAHP Index","PX_LAST",Database!$H111,Database!$H111),""))</f>
        <v/>
      </c>
      <c r="S111" s="24">
        <f>IFERROR(BDP(Database!$A111&amp;" HK Equity","PX_TO_SALES_RATIO"),"")</f>
        <v/>
      </c>
      <c r="T111" s="18">
        <f>IF(Database!BL111="","",IFERROR(BDP(LEFT(Database!BL111,FIND(".",Database!BL111)-1)&amp;" CH Equity","CUR_MKT_CAP"),""))</f>
        <v/>
      </c>
    </row>
    <row r="112">
      <c r="A112" s="16">
        <f>Database!A112&amp;"  "&amp;Database!B112</f>
        <v/>
      </c>
      <c r="B112" s="10">
        <f>IFERROR(INDEX(BDS(Database!$A112&amp;" HK Equity","EQUITY_OFFERINGS","array=t","endcol=1"),MATCH("IPO",BDS(Database!$A112&amp;" HK Equity","EQUITY_OFFERINGS","array=t","startcol=2","endcol=2"),0)),"")</f>
        <v/>
      </c>
      <c r="C112" s="103">
        <f>IF($B112="","",IFERROR(BDP($B112&amp;" Action","CP036"),""))</f>
        <v/>
      </c>
      <c r="D112" s="104">
        <f>Database!S112</f>
        <v/>
      </c>
      <c r="E112" s="103">
        <f>IF($B112="","",IFERROR(BDP($B112&amp;" Action","CP037"),""))</f>
        <v/>
      </c>
      <c r="F112" s="104">
        <f>Database!T112</f>
        <v/>
      </c>
      <c r="G112" s="103">
        <f>IF($B112="","",IFERROR(BDP($B112&amp;" Action","GREENSHOE_FACILITY"),""))</f>
        <v/>
      </c>
      <c r="H112" s="103">
        <f>IF($B112="","",IFERROR(BDP($B112&amp;" Action","OFFERING_GREENSHOE_SHARES_EX"),""))</f>
        <v/>
      </c>
      <c r="I112" s="16">
        <f>Database!AG112</f>
        <v/>
      </c>
      <c r="J112" s="24">
        <f>IFERROR(BDP(Database!$A112&amp;" HK Equity","PE_RATIO"),"")</f>
        <v/>
      </c>
      <c r="K112" s="10">
        <f>IFERROR(BDP(Database!$A112&amp;" HK Equity","A/H_SHARE_CONVERSION"),"")</f>
        <v/>
      </c>
      <c r="L112" s="16">
        <f>IF(Database!BL112="","(none found)",Database!BL112)</f>
        <v/>
      </c>
      <c r="M112" s="18">
        <f>IFERROR(BDH(Database!$A112&amp;" HK Equity","CUR_MKT_CAP",Database!$H112,Database!$H112),"")</f>
        <v/>
      </c>
      <c r="N112" s="97">
        <f>Database!Q112</f>
        <v/>
      </c>
      <c r="O112" s="24">
        <f>IFERROR(BDH(Database!$A112&amp;" HK Equity","PE_RATIO",Database!$H112,Database!$H112),"")</f>
        <v/>
      </c>
      <c r="P112" s="101">
        <f>IF(Database!BF112="","(n/m or not derivable)",Database!BF112)</f>
        <v/>
      </c>
      <c r="Q112" s="24">
        <f>IF(Database!BL112="","",IFERROR(BDH(LEFT(Database!BL112,FIND(".",Database!BL112)-1)&amp;" CH Equity","PE_RATIO",Database!$H112,Database!$H112),""))</f>
        <v/>
      </c>
      <c r="R112" s="24">
        <f>IF(Database!BL112="","",IFERROR(BDH("HSAHP Index","PX_LAST",Database!$H112,Database!$H112),""))</f>
        <v/>
      </c>
      <c r="S112" s="24">
        <f>IFERROR(BDP(Database!$A112&amp;" HK Equity","PX_TO_SALES_RATIO"),"")</f>
        <v/>
      </c>
      <c r="T112" s="18">
        <f>IF(Database!BL112="","",IFERROR(BDP(LEFT(Database!BL112,FIND(".",Database!BL112)-1)&amp;" CH Equity","CUR_MKT_CAP"),""))</f>
        <v/>
      </c>
    </row>
    <row r="113">
      <c r="A113" s="16">
        <f>Database!A113&amp;"  "&amp;Database!B113</f>
        <v/>
      </c>
      <c r="B113" s="10">
        <f>IFERROR(INDEX(BDS(Database!$A113&amp;" HK Equity","EQUITY_OFFERINGS","array=t","endcol=1"),MATCH("IPO",BDS(Database!$A113&amp;" HK Equity","EQUITY_OFFERINGS","array=t","startcol=2","endcol=2"),0)),"")</f>
        <v/>
      </c>
      <c r="C113" s="103">
        <f>IF($B113="","",IFERROR(BDP($B113&amp;" Action","CP036"),""))</f>
        <v/>
      </c>
      <c r="D113" s="104">
        <f>Database!S113</f>
        <v/>
      </c>
      <c r="E113" s="103">
        <f>IF($B113="","",IFERROR(BDP($B113&amp;" Action","CP037"),""))</f>
        <v/>
      </c>
      <c r="F113" s="104">
        <f>Database!T113</f>
        <v/>
      </c>
      <c r="G113" s="103">
        <f>IF($B113="","",IFERROR(BDP($B113&amp;" Action","GREENSHOE_FACILITY"),""))</f>
        <v/>
      </c>
      <c r="H113" s="103">
        <f>IF($B113="","",IFERROR(BDP($B113&amp;" Action","OFFERING_GREENSHOE_SHARES_EX"),""))</f>
        <v/>
      </c>
      <c r="I113" s="16">
        <f>Database!AG113</f>
        <v/>
      </c>
      <c r="J113" s="24">
        <f>IFERROR(BDP(Database!$A113&amp;" HK Equity","PE_RATIO"),"")</f>
        <v/>
      </c>
      <c r="K113" s="10">
        <f>IFERROR(BDP(Database!$A113&amp;" HK Equity","A/H_SHARE_CONVERSION"),"")</f>
        <v/>
      </c>
      <c r="L113" s="16">
        <f>IF(Database!BL113="","(none found)",Database!BL113)</f>
        <v/>
      </c>
      <c r="M113" s="18">
        <f>IFERROR(BDH(Database!$A113&amp;" HK Equity","CUR_MKT_CAP",Database!$H113,Database!$H113),"")</f>
        <v/>
      </c>
      <c r="N113" s="97">
        <f>Database!Q113</f>
        <v/>
      </c>
      <c r="O113" s="24">
        <f>IFERROR(BDH(Database!$A113&amp;" HK Equity","PE_RATIO",Database!$H113,Database!$H113),"")</f>
        <v/>
      </c>
      <c r="P113" s="101">
        <f>IF(Database!BF113="","(n/m or not derivable)",Database!BF113)</f>
        <v/>
      </c>
      <c r="Q113" s="24">
        <f>IF(Database!BL113="","",IFERROR(BDH(LEFT(Database!BL113,FIND(".",Database!BL113)-1)&amp;" CH Equity","PE_RATIO",Database!$H113,Database!$H113),""))</f>
        <v/>
      </c>
      <c r="R113" s="24">
        <f>IF(Database!BL113="","",IFERROR(BDH("HSAHP Index","PX_LAST",Database!$H113,Database!$H113),""))</f>
        <v/>
      </c>
      <c r="S113" s="24">
        <f>IFERROR(BDP(Database!$A113&amp;" HK Equity","PX_TO_SALES_RATIO"),"")</f>
        <v/>
      </c>
      <c r="T113" s="18">
        <f>IF(Database!BL113="","",IFERROR(BDP(LEFT(Database!BL113,FIND(".",Database!BL113)-1)&amp;" CH Equity","CUR_MKT_CAP"),""))</f>
        <v/>
      </c>
    </row>
    <row r="114">
      <c r="A114" s="16">
        <f>Database!A114&amp;"  "&amp;Database!B114</f>
        <v/>
      </c>
      <c r="B114" s="10">
        <f>IFERROR(INDEX(BDS(Database!$A114&amp;" HK Equity","EQUITY_OFFERINGS","array=t","endcol=1"),MATCH("IPO",BDS(Database!$A114&amp;" HK Equity","EQUITY_OFFERINGS","array=t","startcol=2","endcol=2"),0)),"")</f>
        <v/>
      </c>
      <c r="C114" s="103">
        <f>IF($B114="","",IFERROR(BDP($B114&amp;" Action","CP036"),""))</f>
        <v/>
      </c>
      <c r="D114" s="104">
        <f>Database!S114</f>
        <v/>
      </c>
      <c r="E114" s="103">
        <f>IF($B114="","",IFERROR(BDP($B114&amp;" Action","CP037"),""))</f>
        <v/>
      </c>
      <c r="F114" s="104">
        <f>Database!T114</f>
        <v/>
      </c>
      <c r="G114" s="103">
        <f>IF($B114="","",IFERROR(BDP($B114&amp;" Action","GREENSHOE_FACILITY"),""))</f>
        <v/>
      </c>
      <c r="H114" s="103">
        <f>IF($B114="","",IFERROR(BDP($B114&amp;" Action","OFFERING_GREENSHOE_SHARES_EX"),""))</f>
        <v/>
      </c>
      <c r="I114" s="16">
        <f>Database!AG114</f>
        <v/>
      </c>
      <c r="J114" s="24">
        <f>IFERROR(BDP(Database!$A114&amp;" HK Equity","PE_RATIO"),"")</f>
        <v/>
      </c>
      <c r="K114" s="10">
        <f>IFERROR(BDP(Database!$A114&amp;" HK Equity","A/H_SHARE_CONVERSION"),"")</f>
        <v/>
      </c>
      <c r="L114" s="16">
        <f>IF(Database!BL114="","(none found)",Database!BL114)</f>
        <v/>
      </c>
      <c r="M114" s="18">
        <f>IFERROR(BDH(Database!$A114&amp;" HK Equity","CUR_MKT_CAP",Database!$H114,Database!$H114),"")</f>
        <v/>
      </c>
      <c r="N114" s="97">
        <f>Database!Q114</f>
        <v/>
      </c>
      <c r="O114" s="24">
        <f>IFERROR(BDH(Database!$A114&amp;" HK Equity","PE_RATIO",Database!$H114,Database!$H114),"")</f>
        <v/>
      </c>
      <c r="P114" s="101">
        <f>IF(Database!BF114="","(n/m or not derivable)",Database!BF114)</f>
        <v/>
      </c>
      <c r="Q114" s="24">
        <f>IF(Database!BL114="","",IFERROR(BDH(LEFT(Database!BL114,FIND(".",Database!BL114)-1)&amp;" CH Equity","PE_RATIO",Database!$H114,Database!$H114),""))</f>
        <v/>
      </c>
      <c r="R114" s="24">
        <f>IF(Database!BL114="","",IFERROR(BDH("HSAHP Index","PX_LAST",Database!$H114,Database!$H114),""))</f>
        <v/>
      </c>
      <c r="S114" s="24">
        <f>IFERROR(BDP(Database!$A114&amp;" HK Equity","PX_TO_SALES_RATIO"),"")</f>
        <v/>
      </c>
      <c r="T114" s="18">
        <f>IF(Database!BL114="","",IFERROR(BDP(LEFT(Database!BL114,FIND(".",Database!BL114)-1)&amp;" CH Equity","CUR_MKT_CAP"),""))</f>
        <v/>
      </c>
    </row>
    <row r="115">
      <c r="A115" s="16">
        <f>Database!A115&amp;"  "&amp;Database!B115</f>
        <v/>
      </c>
      <c r="B115" s="10">
        <f>IFERROR(INDEX(BDS(Database!$A115&amp;" HK Equity","EQUITY_OFFERINGS","array=t","endcol=1"),MATCH("IPO",BDS(Database!$A115&amp;" HK Equity","EQUITY_OFFERINGS","array=t","startcol=2","endcol=2"),0)),"")</f>
        <v/>
      </c>
      <c r="C115" s="103">
        <f>IF($B115="","",IFERROR(BDP($B115&amp;" Action","CP036"),""))</f>
        <v/>
      </c>
      <c r="D115" s="104">
        <f>Database!S115</f>
        <v/>
      </c>
      <c r="E115" s="103">
        <f>IF($B115="","",IFERROR(BDP($B115&amp;" Action","CP037"),""))</f>
        <v/>
      </c>
      <c r="F115" s="104">
        <f>Database!T115</f>
        <v/>
      </c>
      <c r="G115" s="103">
        <f>IF($B115="","",IFERROR(BDP($B115&amp;" Action","GREENSHOE_FACILITY"),""))</f>
        <v/>
      </c>
      <c r="H115" s="103">
        <f>IF($B115="","",IFERROR(BDP($B115&amp;" Action","OFFERING_GREENSHOE_SHARES_EX"),""))</f>
        <v/>
      </c>
      <c r="I115" s="16">
        <f>Database!AG115</f>
        <v/>
      </c>
      <c r="J115" s="24">
        <f>IFERROR(BDP(Database!$A115&amp;" HK Equity","PE_RATIO"),"")</f>
        <v/>
      </c>
      <c r="K115" s="10">
        <f>IFERROR(BDP(Database!$A115&amp;" HK Equity","A/H_SHARE_CONVERSION"),"")</f>
        <v/>
      </c>
      <c r="L115" s="16">
        <f>IF(Database!BL115="","(none found)",Database!BL115)</f>
        <v/>
      </c>
      <c r="M115" s="18">
        <f>IFERROR(BDH(Database!$A115&amp;" HK Equity","CUR_MKT_CAP",Database!$H115,Database!$H115),"")</f>
        <v/>
      </c>
      <c r="N115" s="97">
        <f>Database!Q115</f>
        <v/>
      </c>
      <c r="O115" s="24">
        <f>IFERROR(BDH(Database!$A115&amp;" HK Equity","PE_RATIO",Database!$H115,Database!$H115),"")</f>
        <v/>
      </c>
      <c r="P115" s="101">
        <f>IF(Database!BF115="","(n/m or not derivable)",Database!BF115)</f>
        <v/>
      </c>
      <c r="Q115" s="24">
        <f>IF(Database!BL115="","",IFERROR(BDH(LEFT(Database!BL115,FIND(".",Database!BL115)-1)&amp;" CH Equity","PE_RATIO",Database!$H115,Database!$H115),""))</f>
        <v/>
      </c>
      <c r="R115" s="24">
        <f>IF(Database!BL115="","",IFERROR(BDH("HSAHP Index","PX_LAST",Database!$H115,Database!$H115),""))</f>
        <v/>
      </c>
      <c r="S115" s="24">
        <f>IFERROR(BDP(Database!$A115&amp;" HK Equity","PX_TO_SALES_RATIO"),"")</f>
        <v/>
      </c>
      <c r="T115" s="18">
        <f>IF(Database!BL115="","",IFERROR(BDP(LEFT(Database!BL115,FIND(".",Database!BL115)-1)&amp;" CH Equity","CUR_MKT_CAP"),""))</f>
        <v/>
      </c>
    </row>
    <row r="116">
      <c r="A116" s="16">
        <f>Database!A116&amp;"  "&amp;Database!B116</f>
        <v/>
      </c>
      <c r="B116" s="10">
        <f>IFERROR(INDEX(BDS(Database!$A116&amp;" HK Equity","EQUITY_OFFERINGS","array=t","endcol=1"),MATCH("IPO",BDS(Database!$A116&amp;" HK Equity","EQUITY_OFFERINGS","array=t","startcol=2","endcol=2"),0)),"")</f>
        <v/>
      </c>
      <c r="C116" s="103">
        <f>IF($B116="","",IFERROR(BDP($B116&amp;" Action","CP036"),""))</f>
        <v/>
      </c>
      <c r="D116" s="104">
        <f>Database!S116</f>
        <v/>
      </c>
      <c r="E116" s="103">
        <f>IF($B116="","",IFERROR(BDP($B116&amp;" Action","CP037"),""))</f>
        <v/>
      </c>
      <c r="F116" s="104">
        <f>Database!T116</f>
        <v/>
      </c>
      <c r="G116" s="103">
        <f>IF($B116="","",IFERROR(BDP($B116&amp;" Action","GREENSHOE_FACILITY"),""))</f>
        <v/>
      </c>
      <c r="H116" s="103">
        <f>IF($B116="","",IFERROR(BDP($B116&amp;" Action","OFFERING_GREENSHOE_SHARES_EX"),""))</f>
        <v/>
      </c>
      <c r="I116" s="16">
        <f>Database!AG116</f>
        <v/>
      </c>
      <c r="J116" s="24">
        <f>IFERROR(BDP(Database!$A116&amp;" HK Equity","PE_RATIO"),"")</f>
        <v/>
      </c>
      <c r="K116" s="10">
        <f>IFERROR(BDP(Database!$A116&amp;" HK Equity","A/H_SHARE_CONVERSION"),"")</f>
        <v/>
      </c>
      <c r="L116" s="16">
        <f>IF(Database!BL116="","(none found)",Database!BL116)</f>
        <v/>
      </c>
      <c r="M116" s="18">
        <f>IFERROR(BDH(Database!$A116&amp;" HK Equity","CUR_MKT_CAP",Database!$H116,Database!$H116),"")</f>
        <v/>
      </c>
      <c r="N116" s="97">
        <f>Database!Q116</f>
        <v/>
      </c>
      <c r="O116" s="24">
        <f>IFERROR(BDH(Database!$A116&amp;" HK Equity","PE_RATIO",Database!$H116,Database!$H116),"")</f>
        <v/>
      </c>
      <c r="P116" s="101">
        <f>IF(Database!BF116="","(n/m or not derivable)",Database!BF116)</f>
        <v/>
      </c>
      <c r="Q116" s="24">
        <f>IF(Database!BL116="","",IFERROR(BDH(LEFT(Database!BL116,FIND(".",Database!BL116)-1)&amp;" CH Equity","PE_RATIO",Database!$H116,Database!$H116),""))</f>
        <v/>
      </c>
      <c r="R116" s="24">
        <f>IF(Database!BL116="","",IFERROR(BDH("HSAHP Index","PX_LAST",Database!$H116,Database!$H116),""))</f>
        <v/>
      </c>
      <c r="S116" s="24">
        <f>IFERROR(BDP(Database!$A116&amp;" HK Equity","PX_TO_SALES_RATIO"),"")</f>
        <v/>
      </c>
      <c r="T116" s="18">
        <f>IF(Database!BL116="","",IFERROR(BDP(LEFT(Database!BL116,FIND(".",Database!BL116)-1)&amp;" CH Equity","CUR_MKT_CAP"),""))</f>
        <v/>
      </c>
    </row>
    <row r="117">
      <c r="A117" s="16">
        <f>Database!A117&amp;"  "&amp;Database!B117</f>
        <v/>
      </c>
      <c r="B117" s="10">
        <f>IFERROR(INDEX(BDS(Database!$A117&amp;" HK Equity","EQUITY_OFFERINGS","array=t","endcol=1"),MATCH("IPO",BDS(Database!$A117&amp;" HK Equity","EQUITY_OFFERINGS","array=t","startcol=2","endcol=2"),0)),"")</f>
        <v/>
      </c>
      <c r="C117" s="103">
        <f>IF($B117="","",IFERROR(BDP($B117&amp;" Action","CP036"),""))</f>
        <v/>
      </c>
      <c r="D117" s="104">
        <f>Database!S117</f>
        <v/>
      </c>
      <c r="E117" s="103">
        <f>IF($B117="","",IFERROR(BDP($B117&amp;" Action","CP037"),""))</f>
        <v/>
      </c>
      <c r="F117" s="104">
        <f>Database!T117</f>
        <v/>
      </c>
      <c r="G117" s="103">
        <f>IF($B117="","",IFERROR(BDP($B117&amp;" Action","GREENSHOE_FACILITY"),""))</f>
        <v/>
      </c>
      <c r="H117" s="103">
        <f>IF($B117="","",IFERROR(BDP($B117&amp;" Action","OFFERING_GREENSHOE_SHARES_EX"),""))</f>
        <v/>
      </c>
      <c r="I117" s="16">
        <f>Database!AG117</f>
        <v/>
      </c>
      <c r="J117" s="24">
        <f>IFERROR(BDP(Database!$A117&amp;" HK Equity","PE_RATIO"),"")</f>
        <v/>
      </c>
      <c r="K117" s="10">
        <f>IFERROR(BDP(Database!$A117&amp;" HK Equity","A/H_SHARE_CONVERSION"),"")</f>
        <v/>
      </c>
      <c r="L117" s="16">
        <f>IF(Database!BL117="","(none found)",Database!BL117)</f>
        <v/>
      </c>
      <c r="M117" s="18">
        <f>IFERROR(BDH(Database!$A117&amp;" HK Equity","CUR_MKT_CAP",Database!$H117,Database!$H117),"")</f>
        <v/>
      </c>
      <c r="N117" s="97">
        <f>Database!Q117</f>
        <v/>
      </c>
      <c r="O117" s="24">
        <f>IFERROR(BDH(Database!$A117&amp;" HK Equity","PE_RATIO",Database!$H117,Database!$H117),"")</f>
        <v/>
      </c>
      <c r="P117" s="101">
        <f>IF(Database!BF117="","(n/m or not derivable)",Database!BF117)</f>
        <v/>
      </c>
      <c r="Q117" s="24">
        <f>IF(Database!BL117="","",IFERROR(BDH(LEFT(Database!BL117,FIND(".",Database!BL117)-1)&amp;" CH Equity","PE_RATIO",Database!$H117,Database!$H117),""))</f>
        <v/>
      </c>
      <c r="R117" s="24">
        <f>IF(Database!BL117="","",IFERROR(BDH("HSAHP Index","PX_LAST",Database!$H117,Database!$H117),""))</f>
        <v/>
      </c>
      <c r="S117" s="24">
        <f>IFERROR(BDP(Database!$A117&amp;" HK Equity","PX_TO_SALES_RATIO"),"")</f>
        <v/>
      </c>
      <c r="T117" s="18">
        <f>IF(Database!BL117="","",IFERROR(BDP(LEFT(Database!BL117,FIND(".",Database!BL117)-1)&amp;" CH Equity","CUR_MKT_CAP"),""))</f>
        <v/>
      </c>
    </row>
    <row r="118">
      <c r="A118" s="16">
        <f>Database!A118&amp;"  "&amp;Database!B118</f>
        <v/>
      </c>
      <c r="B118" s="10">
        <f>IFERROR(INDEX(BDS(Database!$A118&amp;" HK Equity","EQUITY_OFFERINGS","array=t","endcol=1"),MATCH("IPO",BDS(Database!$A118&amp;" HK Equity","EQUITY_OFFERINGS","array=t","startcol=2","endcol=2"),0)),"")</f>
        <v/>
      </c>
      <c r="C118" s="103">
        <f>IF($B118="","",IFERROR(BDP($B118&amp;" Action","CP036"),""))</f>
        <v/>
      </c>
      <c r="D118" s="104">
        <f>Database!S118</f>
        <v/>
      </c>
      <c r="E118" s="103">
        <f>IF($B118="","",IFERROR(BDP($B118&amp;" Action","CP037"),""))</f>
        <v/>
      </c>
      <c r="F118" s="104">
        <f>Database!T118</f>
        <v/>
      </c>
      <c r="G118" s="103">
        <f>IF($B118="","",IFERROR(BDP($B118&amp;" Action","GREENSHOE_FACILITY"),""))</f>
        <v/>
      </c>
      <c r="H118" s="103">
        <f>IF($B118="","",IFERROR(BDP($B118&amp;" Action","OFFERING_GREENSHOE_SHARES_EX"),""))</f>
        <v/>
      </c>
      <c r="I118" s="16">
        <f>Database!AG118</f>
        <v/>
      </c>
      <c r="J118" s="24">
        <f>IFERROR(BDP(Database!$A118&amp;" HK Equity","PE_RATIO"),"")</f>
        <v/>
      </c>
      <c r="K118" s="10">
        <f>IFERROR(BDP(Database!$A118&amp;" HK Equity","A/H_SHARE_CONVERSION"),"")</f>
        <v/>
      </c>
      <c r="L118" s="16">
        <f>IF(Database!BL118="","(none found)",Database!BL118)</f>
        <v/>
      </c>
      <c r="M118" s="18">
        <f>IFERROR(BDH(Database!$A118&amp;" HK Equity","CUR_MKT_CAP",Database!$H118,Database!$H118),"")</f>
        <v/>
      </c>
      <c r="N118" s="97">
        <f>Database!Q118</f>
        <v/>
      </c>
      <c r="O118" s="24">
        <f>IFERROR(BDH(Database!$A118&amp;" HK Equity","PE_RATIO",Database!$H118,Database!$H118),"")</f>
        <v/>
      </c>
      <c r="P118" s="101">
        <f>IF(Database!BF118="","(n/m or not derivable)",Database!BF118)</f>
        <v/>
      </c>
      <c r="Q118" s="24">
        <f>IF(Database!BL118="","",IFERROR(BDH(LEFT(Database!BL118,FIND(".",Database!BL118)-1)&amp;" CH Equity","PE_RATIO",Database!$H118,Database!$H118),""))</f>
        <v/>
      </c>
      <c r="R118" s="24">
        <f>IF(Database!BL118="","",IFERROR(BDH("HSAHP Index","PX_LAST",Database!$H118,Database!$H118),""))</f>
        <v/>
      </c>
      <c r="S118" s="24">
        <f>IFERROR(BDP(Database!$A118&amp;" HK Equity","PX_TO_SALES_RATIO"),"")</f>
        <v/>
      </c>
      <c r="T118" s="18">
        <f>IF(Database!BL118="","",IFERROR(BDP(LEFT(Database!BL118,FIND(".",Database!BL118)-1)&amp;" CH Equity","CUR_MKT_CAP"),""))</f>
        <v/>
      </c>
    </row>
    <row r="119">
      <c r="A119" s="16">
        <f>Database!A119&amp;"  "&amp;Database!B119</f>
        <v/>
      </c>
      <c r="B119" s="10">
        <f>IFERROR(INDEX(BDS(Database!$A119&amp;" HK Equity","EQUITY_OFFERINGS","array=t","endcol=1"),MATCH("IPO",BDS(Database!$A119&amp;" HK Equity","EQUITY_OFFERINGS","array=t","startcol=2","endcol=2"),0)),"")</f>
        <v/>
      </c>
      <c r="C119" s="103">
        <f>IF($B119="","",IFERROR(BDP($B119&amp;" Action","CP036"),""))</f>
        <v/>
      </c>
      <c r="D119" s="104">
        <f>Database!S119</f>
        <v/>
      </c>
      <c r="E119" s="103">
        <f>IF($B119="","",IFERROR(BDP($B119&amp;" Action","CP037"),""))</f>
        <v/>
      </c>
      <c r="F119" s="104">
        <f>Database!T119</f>
        <v/>
      </c>
      <c r="G119" s="103">
        <f>IF($B119="","",IFERROR(BDP($B119&amp;" Action","GREENSHOE_FACILITY"),""))</f>
        <v/>
      </c>
      <c r="H119" s="103">
        <f>IF($B119="","",IFERROR(BDP($B119&amp;" Action","OFFERING_GREENSHOE_SHARES_EX"),""))</f>
        <v/>
      </c>
      <c r="I119" s="16">
        <f>Database!AG119</f>
        <v/>
      </c>
      <c r="J119" s="24">
        <f>IFERROR(BDP(Database!$A119&amp;" HK Equity","PE_RATIO"),"")</f>
        <v/>
      </c>
      <c r="K119" s="10">
        <f>IFERROR(BDP(Database!$A119&amp;" HK Equity","A/H_SHARE_CONVERSION"),"")</f>
        <v/>
      </c>
      <c r="L119" s="16">
        <f>IF(Database!BL119="","(none found)",Database!BL119)</f>
        <v/>
      </c>
      <c r="M119" s="18">
        <f>IFERROR(BDH(Database!$A119&amp;" HK Equity","CUR_MKT_CAP",Database!$H119,Database!$H119),"")</f>
        <v/>
      </c>
      <c r="N119" s="97">
        <f>Database!Q119</f>
        <v/>
      </c>
      <c r="O119" s="24">
        <f>IFERROR(BDH(Database!$A119&amp;" HK Equity","PE_RATIO",Database!$H119,Database!$H119),"")</f>
        <v/>
      </c>
      <c r="P119" s="101">
        <f>IF(Database!BF119="","(n/m or not derivable)",Database!BF119)</f>
        <v/>
      </c>
      <c r="Q119" s="24">
        <f>IF(Database!BL119="","",IFERROR(BDH(LEFT(Database!BL119,FIND(".",Database!BL119)-1)&amp;" CH Equity","PE_RATIO",Database!$H119,Database!$H119),""))</f>
        <v/>
      </c>
      <c r="R119" s="24">
        <f>IF(Database!BL119="","",IFERROR(BDH("HSAHP Index","PX_LAST",Database!$H119,Database!$H119),""))</f>
        <v/>
      </c>
      <c r="S119" s="24">
        <f>IFERROR(BDP(Database!$A119&amp;" HK Equity","PX_TO_SALES_RATIO"),"")</f>
        <v/>
      </c>
      <c r="T119" s="18">
        <f>IF(Database!BL119="","",IFERROR(BDP(LEFT(Database!BL119,FIND(".",Database!BL119)-1)&amp;" CH Equity","CUR_MKT_CAP"),""))</f>
        <v/>
      </c>
    </row>
    <row r="120">
      <c r="A120" s="16">
        <f>Database!A120&amp;"  "&amp;Database!B120</f>
        <v/>
      </c>
      <c r="B120" s="10">
        <f>IFERROR(INDEX(BDS(Database!$A120&amp;" HK Equity","EQUITY_OFFERINGS","array=t","endcol=1"),MATCH("IPO",BDS(Database!$A120&amp;" HK Equity","EQUITY_OFFERINGS","array=t","startcol=2","endcol=2"),0)),"")</f>
        <v/>
      </c>
      <c r="C120" s="103">
        <f>IF($B120="","",IFERROR(BDP($B120&amp;" Action","CP036"),""))</f>
        <v/>
      </c>
      <c r="D120" s="104">
        <f>Database!S120</f>
        <v/>
      </c>
      <c r="E120" s="103">
        <f>IF($B120="","",IFERROR(BDP($B120&amp;" Action","CP037"),""))</f>
        <v/>
      </c>
      <c r="F120" s="104">
        <f>Database!T120</f>
        <v/>
      </c>
      <c r="G120" s="103">
        <f>IF($B120="","",IFERROR(BDP($B120&amp;" Action","GREENSHOE_FACILITY"),""))</f>
        <v/>
      </c>
      <c r="H120" s="103">
        <f>IF($B120="","",IFERROR(BDP($B120&amp;" Action","OFFERING_GREENSHOE_SHARES_EX"),""))</f>
        <v/>
      </c>
      <c r="I120" s="16">
        <f>Database!AG120</f>
        <v/>
      </c>
      <c r="J120" s="24">
        <f>IFERROR(BDP(Database!$A120&amp;" HK Equity","PE_RATIO"),"")</f>
        <v/>
      </c>
      <c r="K120" s="10">
        <f>IFERROR(BDP(Database!$A120&amp;" HK Equity","A/H_SHARE_CONVERSION"),"")</f>
        <v/>
      </c>
      <c r="L120" s="16">
        <f>IF(Database!BL120="","(none found)",Database!BL120)</f>
        <v/>
      </c>
      <c r="M120" s="18">
        <f>IFERROR(BDH(Database!$A120&amp;" HK Equity","CUR_MKT_CAP",Database!$H120,Database!$H120),"")</f>
        <v/>
      </c>
      <c r="N120" s="97">
        <f>Database!Q120</f>
        <v/>
      </c>
      <c r="O120" s="24">
        <f>IFERROR(BDH(Database!$A120&amp;" HK Equity","PE_RATIO",Database!$H120,Database!$H120),"")</f>
        <v/>
      </c>
      <c r="P120" s="101">
        <f>IF(Database!BF120="","(n/m or not derivable)",Database!BF120)</f>
        <v/>
      </c>
      <c r="Q120" s="24">
        <f>IF(Database!BL120="","",IFERROR(BDH(LEFT(Database!BL120,FIND(".",Database!BL120)-1)&amp;" CH Equity","PE_RATIO",Database!$H120,Database!$H120),""))</f>
        <v/>
      </c>
      <c r="R120" s="24">
        <f>IF(Database!BL120="","",IFERROR(BDH("HSAHP Index","PX_LAST",Database!$H120,Database!$H120),""))</f>
        <v/>
      </c>
      <c r="S120" s="24">
        <f>IFERROR(BDP(Database!$A120&amp;" HK Equity","PX_TO_SALES_RATIO"),"")</f>
        <v/>
      </c>
      <c r="T120" s="18">
        <f>IF(Database!BL120="","",IFERROR(BDP(LEFT(Database!BL120,FIND(".",Database!BL120)-1)&amp;" CH Equity","CUR_MKT_CAP"),""))</f>
        <v/>
      </c>
    </row>
    <row r="121">
      <c r="A121" s="16">
        <f>Database!A121&amp;"  "&amp;Database!B121</f>
        <v/>
      </c>
      <c r="B121" s="10">
        <f>IFERROR(INDEX(BDS(Database!$A121&amp;" HK Equity","EQUITY_OFFERINGS","array=t","endcol=1"),MATCH("IPO",BDS(Database!$A121&amp;" HK Equity","EQUITY_OFFERINGS","array=t","startcol=2","endcol=2"),0)),"")</f>
        <v/>
      </c>
      <c r="C121" s="103">
        <f>IF($B121="","",IFERROR(BDP($B121&amp;" Action","CP036"),""))</f>
        <v/>
      </c>
      <c r="D121" s="104">
        <f>Database!S121</f>
        <v/>
      </c>
      <c r="E121" s="103">
        <f>IF($B121="","",IFERROR(BDP($B121&amp;" Action","CP037"),""))</f>
        <v/>
      </c>
      <c r="F121" s="104">
        <f>Database!T121</f>
        <v/>
      </c>
      <c r="G121" s="103">
        <f>IF($B121="","",IFERROR(BDP($B121&amp;" Action","GREENSHOE_FACILITY"),""))</f>
        <v/>
      </c>
      <c r="H121" s="103">
        <f>IF($B121="","",IFERROR(BDP($B121&amp;" Action","OFFERING_GREENSHOE_SHARES_EX"),""))</f>
        <v/>
      </c>
      <c r="I121" s="16">
        <f>Database!AG121</f>
        <v/>
      </c>
      <c r="J121" s="24">
        <f>IFERROR(BDP(Database!$A121&amp;" HK Equity","PE_RATIO"),"")</f>
        <v/>
      </c>
      <c r="K121" s="10">
        <f>IFERROR(BDP(Database!$A121&amp;" HK Equity","A/H_SHARE_CONVERSION"),"")</f>
        <v/>
      </c>
      <c r="L121" s="16">
        <f>IF(Database!BL121="","(none found)",Database!BL121)</f>
        <v/>
      </c>
      <c r="M121" s="18">
        <f>IFERROR(BDH(Database!$A121&amp;" HK Equity","CUR_MKT_CAP",Database!$H121,Database!$H121),"")</f>
        <v/>
      </c>
      <c r="N121" s="97">
        <f>Database!Q121</f>
        <v/>
      </c>
      <c r="O121" s="24">
        <f>IFERROR(BDH(Database!$A121&amp;" HK Equity","PE_RATIO",Database!$H121,Database!$H121),"")</f>
        <v/>
      </c>
      <c r="P121" s="101">
        <f>IF(Database!BF121="","(n/m or not derivable)",Database!BF121)</f>
        <v/>
      </c>
      <c r="Q121" s="24">
        <f>IF(Database!BL121="","",IFERROR(BDH(LEFT(Database!BL121,FIND(".",Database!BL121)-1)&amp;" CH Equity","PE_RATIO",Database!$H121,Database!$H121),""))</f>
        <v/>
      </c>
      <c r="R121" s="24">
        <f>IF(Database!BL121="","",IFERROR(BDH("HSAHP Index","PX_LAST",Database!$H121,Database!$H121),""))</f>
        <v/>
      </c>
      <c r="S121" s="24">
        <f>IFERROR(BDP(Database!$A121&amp;" HK Equity","PX_TO_SALES_RATIO"),"")</f>
        <v/>
      </c>
      <c r="T121" s="18">
        <f>IF(Database!BL121="","",IFERROR(BDP(LEFT(Database!BL121,FIND(".",Database!BL121)-1)&amp;" CH Equity","CUR_MKT_CAP"),""))</f>
        <v/>
      </c>
    </row>
    <row r="122">
      <c r="A122" s="16">
        <f>Database!A122&amp;"  "&amp;Database!B122</f>
        <v/>
      </c>
      <c r="B122" s="10">
        <f>IFERROR(INDEX(BDS(Database!$A122&amp;" HK Equity","EQUITY_OFFERINGS","array=t","endcol=1"),MATCH("IPO",BDS(Database!$A122&amp;" HK Equity","EQUITY_OFFERINGS","array=t","startcol=2","endcol=2"),0)),"")</f>
        <v/>
      </c>
      <c r="C122" s="103">
        <f>IF($B122="","",IFERROR(BDP($B122&amp;" Action","CP036"),""))</f>
        <v/>
      </c>
      <c r="D122" s="104">
        <f>Database!S122</f>
        <v/>
      </c>
      <c r="E122" s="103">
        <f>IF($B122="","",IFERROR(BDP($B122&amp;" Action","CP037"),""))</f>
        <v/>
      </c>
      <c r="F122" s="104">
        <f>Database!T122</f>
        <v/>
      </c>
      <c r="G122" s="103">
        <f>IF($B122="","",IFERROR(BDP($B122&amp;" Action","GREENSHOE_FACILITY"),""))</f>
        <v/>
      </c>
      <c r="H122" s="103">
        <f>IF($B122="","",IFERROR(BDP($B122&amp;" Action","OFFERING_GREENSHOE_SHARES_EX"),""))</f>
        <v/>
      </c>
      <c r="I122" s="16">
        <f>Database!AG122</f>
        <v/>
      </c>
      <c r="J122" s="24">
        <f>IFERROR(BDP(Database!$A122&amp;" HK Equity","PE_RATIO"),"")</f>
        <v/>
      </c>
      <c r="K122" s="10">
        <f>IFERROR(BDP(Database!$A122&amp;" HK Equity","A/H_SHARE_CONVERSION"),"")</f>
        <v/>
      </c>
      <c r="L122" s="16">
        <f>IF(Database!BL122="","(none found)",Database!BL122)</f>
        <v/>
      </c>
      <c r="M122" s="18">
        <f>IFERROR(BDH(Database!$A122&amp;" HK Equity","CUR_MKT_CAP",Database!$H122,Database!$H122),"")</f>
        <v/>
      </c>
      <c r="N122" s="97">
        <f>Database!Q122</f>
        <v/>
      </c>
      <c r="O122" s="24">
        <f>IFERROR(BDH(Database!$A122&amp;" HK Equity","PE_RATIO",Database!$H122,Database!$H122),"")</f>
        <v/>
      </c>
      <c r="P122" s="101">
        <f>IF(Database!BF122="","(n/m or not derivable)",Database!BF122)</f>
        <v/>
      </c>
      <c r="Q122" s="24">
        <f>IF(Database!BL122="","",IFERROR(BDH(LEFT(Database!BL122,FIND(".",Database!BL122)-1)&amp;" CH Equity","PE_RATIO",Database!$H122,Database!$H122),""))</f>
        <v/>
      </c>
      <c r="R122" s="24">
        <f>IF(Database!BL122="","",IFERROR(BDH("HSAHP Index","PX_LAST",Database!$H122,Database!$H122),""))</f>
        <v/>
      </c>
      <c r="S122" s="24">
        <f>IFERROR(BDP(Database!$A122&amp;" HK Equity","PX_TO_SALES_RATIO"),"")</f>
        <v/>
      </c>
      <c r="T122" s="18">
        <f>IF(Database!BL122="","",IFERROR(BDP(LEFT(Database!BL122,FIND(".",Database!BL122)-1)&amp;" CH Equity","CUR_MKT_CAP"),""))</f>
        <v/>
      </c>
    </row>
    <row r="123">
      <c r="A123" s="16">
        <f>Database!A123&amp;"  "&amp;Database!B123</f>
        <v/>
      </c>
      <c r="B123" s="10">
        <f>IFERROR(INDEX(BDS(Database!$A123&amp;" HK Equity","EQUITY_OFFERINGS","array=t","endcol=1"),MATCH("IPO",BDS(Database!$A123&amp;" HK Equity","EQUITY_OFFERINGS","array=t","startcol=2","endcol=2"),0)),"")</f>
        <v/>
      </c>
      <c r="C123" s="103">
        <f>IF($B123="","",IFERROR(BDP($B123&amp;" Action","CP036"),""))</f>
        <v/>
      </c>
      <c r="D123" s="104">
        <f>Database!S123</f>
        <v/>
      </c>
      <c r="E123" s="103">
        <f>IF($B123="","",IFERROR(BDP($B123&amp;" Action","CP037"),""))</f>
        <v/>
      </c>
      <c r="F123" s="104">
        <f>Database!T123</f>
        <v/>
      </c>
      <c r="G123" s="103">
        <f>IF($B123="","",IFERROR(BDP($B123&amp;" Action","GREENSHOE_FACILITY"),""))</f>
        <v/>
      </c>
      <c r="H123" s="103">
        <f>IF($B123="","",IFERROR(BDP($B123&amp;" Action","OFFERING_GREENSHOE_SHARES_EX"),""))</f>
        <v/>
      </c>
      <c r="I123" s="16">
        <f>Database!AG123</f>
        <v/>
      </c>
      <c r="J123" s="24">
        <f>IFERROR(BDP(Database!$A123&amp;" HK Equity","PE_RATIO"),"")</f>
        <v/>
      </c>
      <c r="K123" s="10">
        <f>IFERROR(BDP(Database!$A123&amp;" HK Equity","A/H_SHARE_CONVERSION"),"")</f>
        <v/>
      </c>
      <c r="L123" s="16">
        <f>IF(Database!BL123="","(none found)",Database!BL123)</f>
        <v/>
      </c>
      <c r="M123" s="18">
        <f>IFERROR(BDH(Database!$A123&amp;" HK Equity","CUR_MKT_CAP",Database!$H123,Database!$H123),"")</f>
        <v/>
      </c>
      <c r="N123" s="97">
        <f>Database!Q123</f>
        <v/>
      </c>
      <c r="O123" s="24">
        <f>IFERROR(BDH(Database!$A123&amp;" HK Equity","PE_RATIO",Database!$H123,Database!$H123),"")</f>
        <v/>
      </c>
      <c r="P123" s="101">
        <f>IF(Database!BF123="","(n/m or not derivable)",Database!BF123)</f>
        <v/>
      </c>
      <c r="Q123" s="24">
        <f>IF(Database!BL123="","",IFERROR(BDH(LEFT(Database!BL123,FIND(".",Database!BL123)-1)&amp;" CH Equity","PE_RATIO",Database!$H123,Database!$H123),""))</f>
        <v/>
      </c>
      <c r="R123" s="24">
        <f>IF(Database!BL123="","",IFERROR(BDH("HSAHP Index","PX_LAST",Database!$H123,Database!$H123),""))</f>
        <v/>
      </c>
      <c r="S123" s="24">
        <f>IFERROR(BDP(Database!$A123&amp;" HK Equity","PX_TO_SALES_RATIO"),"")</f>
        <v/>
      </c>
      <c r="T123" s="18">
        <f>IF(Database!BL123="","",IFERROR(BDP(LEFT(Database!BL123,FIND(".",Database!BL123)-1)&amp;" CH Equity","CUR_MKT_CAP"),""))</f>
        <v/>
      </c>
    </row>
    <row r="124">
      <c r="A124" s="16">
        <f>Database!A124&amp;"  "&amp;Database!B124</f>
        <v/>
      </c>
      <c r="B124" s="10">
        <f>IFERROR(INDEX(BDS(Database!$A124&amp;" HK Equity","EQUITY_OFFERINGS","array=t","endcol=1"),MATCH("IPO",BDS(Database!$A124&amp;" HK Equity","EQUITY_OFFERINGS","array=t","startcol=2","endcol=2"),0)),"")</f>
        <v/>
      </c>
      <c r="C124" s="103">
        <f>IF($B124="","",IFERROR(BDP($B124&amp;" Action","CP036"),""))</f>
        <v/>
      </c>
      <c r="D124" s="104">
        <f>Database!S124</f>
        <v/>
      </c>
      <c r="E124" s="103">
        <f>IF($B124="","",IFERROR(BDP($B124&amp;" Action","CP037"),""))</f>
        <v/>
      </c>
      <c r="F124" s="104">
        <f>Database!T124</f>
        <v/>
      </c>
      <c r="G124" s="103">
        <f>IF($B124="","",IFERROR(BDP($B124&amp;" Action","GREENSHOE_FACILITY"),""))</f>
        <v/>
      </c>
      <c r="H124" s="103">
        <f>IF($B124="","",IFERROR(BDP($B124&amp;" Action","OFFERING_GREENSHOE_SHARES_EX"),""))</f>
        <v/>
      </c>
      <c r="I124" s="16">
        <f>Database!AG124</f>
        <v/>
      </c>
      <c r="J124" s="24">
        <f>IFERROR(BDP(Database!$A124&amp;" HK Equity","PE_RATIO"),"")</f>
        <v/>
      </c>
      <c r="K124" s="10">
        <f>IFERROR(BDP(Database!$A124&amp;" HK Equity","A/H_SHARE_CONVERSION"),"")</f>
        <v/>
      </c>
      <c r="L124" s="16">
        <f>IF(Database!BL124="","(none found)",Database!BL124)</f>
        <v/>
      </c>
      <c r="M124" s="18">
        <f>IFERROR(BDH(Database!$A124&amp;" HK Equity","CUR_MKT_CAP",Database!$H124,Database!$H124),"")</f>
        <v/>
      </c>
      <c r="N124" s="97">
        <f>Database!Q124</f>
        <v/>
      </c>
      <c r="O124" s="24">
        <f>IFERROR(BDH(Database!$A124&amp;" HK Equity","PE_RATIO",Database!$H124,Database!$H124),"")</f>
        <v/>
      </c>
      <c r="P124" s="101">
        <f>IF(Database!BF124="","(n/m or not derivable)",Database!BF124)</f>
        <v/>
      </c>
      <c r="Q124" s="24">
        <f>IF(Database!BL124="","",IFERROR(BDH(LEFT(Database!BL124,FIND(".",Database!BL124)-1)&amp;" CH Equity","PE_RATIO",Database!$H124,Database!$H124),""))</f>
        <v/>
      </c>
      <c r="R124" s="24">
        <f>IF(Database!BL124="","",IFERROR(BDH("HSAHP Index","PX_LAST",Database!$H124,Database!$H124),""))</f>
        <v/>
      </c>
      <c r="S124" s="24">
        <f>IFERROR(BDP(Database!$A124&amp;" HK Equity","PX_TO_SALES_RATIO"),"")</f>
        <v/>
      </c>
      <c r="T124" s="18">
        <f>IF(Database!BL124="","",IFERROR(BDP(LEFT(Database!BL124,FIND(".",Database!BL124)-1)&amp;" CH Equity","CUR_MKT_CAP"),""))</f>
        <v/>
      </c>
    </row>
    <row r="125">
      <c r="A125" s="16">
        <f>Database!A125&amp;"  "&amp;Database!B125</f>
        <v/>
      </c>
      <c r="B125" s="10">
        <f>IFERROR(INDEX(BDS(Database!$A125&amp;" HK Equity","EQUITY_OFFERINGS","array=t","endcol=1"),MATCH("IPO",BDS(Database!$A125&amp;" HK Equity","EQUITY_OFFERINGS","array=t","startcol=2","endcol=2"),0)),"")</f>
        <v/>
      </c>
      <c r="C125" s="103">
        <f>IF($B125="","",IFERROR(BDP($B125&amp;" Action","CP036"),""))</f>
        <v/>
      </c>
      <c r="D125" s="104">
        <f>Database!S125</f>
        <v/>
      </c>
      <c r="E125" s="103">
        <f>IF($B125="","",IFERROR(BDP($B125&amp;" Action","CP037"),""))</f>
        <v/>
      </c>
      <c r="F125" s="104">
        <f>Database!T125</f>
        <v/>
      </c>
      <c r="G125" s="103">
        <f>IF($B125="","",IFERROR(BDP($B125&amp;" Action","GREENSHOE_FACILITY"),""))</f>
        <v/>
      </c>
      <c r="H125" s="103">
        <f>IF($B125="","",IFERROR(BDP($B125&amp;" Action","OFFERING_GREENSHOE_SHARES_EX"),""))</f>
        <v/>
      </c>
      <c r="I125" s="16">
        <f>Database!AG125</f>
        <v/>
      </c>
      <c r="J125" s="24">
        <f>IFERROR(BDP(Database!$A125&amp;" HK Equity","PE_RATIO"),"")</f>
        <v/>
      </c>
      <c r="K125" s="10">
        <f>IFERROR(BDP(Database!$A125&amp;" HK Equity","A/H_SHARE_CONVERSION"),"")</f>
        <v/>
      </c>
      <c r="L125" s="16">
        <f>IF(Database!BL125="","(none found)",Database!BL125)</f>
        <v/>
      </c>
      <c r="M125" s="18">
        <f>IFERROR(BDH(Database!$A125&amp;" HK Equity","CUR_MKT_CAP",Database!$H125,Database!$H125),"")</f>
        <v/>
      </c>
      <c r="N125" s="97">
        <f>Database!Q125</f>
        <v/>
      </c>
      <c r="O125" s="24">
        <f>IFERROR(BDH(Database!$A125&amp;" HK Equity","PE_RATIO",Database!$H125,Database!$H125),"")</f>
        <v/>
      </c>
      <c r="P125" s="101">
        <f>IF(Database!BF125="","(n/m or not derivable)",Database!BF125)</f>
        <v/>
      </c>
      <c r="Q125" s="24">
        <f>IF(Database!BL125="","",IFERROR(BDH(LEFT(Database!BL125,FIND(".",Database!BL125)-1)&amp;" CH Equity","PE_RATIO",Database!$H125,Database!$H125),""))</f>
        <v/>
      </c>
      <c r="R125" s="24">
        <f>IF(Database!BL125="","",IFERROR(BDH("HSAHP Index","PX_LAST",Database!$H125,Database!$H125),""))</f>
        <v/>
      </c>
      <c r="S125" s="24">
        <f>IFERROR(BDP(Database!$A125&amp;" HK Equity","PX_TO_SALES_RATIO"),"")</f>
        <v/>
      </c>
      <c r="T125" s="18">
        <f>IF(Database!BL125="","",IFERROR(BDP(LEFT(Database!BL125,FIND(".",Database!BL125)-1)&amp;" CH Equity","CUR_MKT_CAP"),""))</f>
        <v/>
      </c>
    </row>
    <row r="126">
      <c r="A126" s="16">
        <f>Database!A126&amp;"  "&amp;Database!B126</f>
        <v/>
      </c>
      <c r="B126" s="10">
        <f>IFERROR(INDEX(BDS(Database!$A126&amp;" HK Equity","EQUITY_OFFERINGS","array=t","endcol=1"),MATCH("IPO",BDS(Database!$A126&amp;" HK Equity","EQUITY_OFFERINGS","array=t","startcol=2","endcol=2"),0)),"")</f>
        <v/>
      </c>
      <c r="C126" s="103">
        <f>IF($B126="","",IFERROR(BDP($B126&amp;" Action","CP036"),""))</f>
        <v/>
      </c>
      <c r="D126" s="104">
        <f>Database!S126</f>
        <v/>
      </c>
      <c r="E126" s="103">
        <f>IF($B126="","",IFERROR(BDP($B126&amp;" Action","CP037"),""))</f>
        <v/>
      </c>
      <c r="F126" s="104">
        <f>Database!T126</f>
        <v/>
      </c>
      <c r="G126" s="103">
        <f>IF($B126="","",IFERROR(BDP($B126&amp;" Action","GREENSHOE_FACILITY"),""))</f>
        <v/>
      </c>
      <c r="H126" s="103">
        <f>IF($B126="","",IFERROR(BDP($B126&amp;" Action","OFFERING_GREENSHOE_SHARES_EX"),""))</f>
        <v/>
      </c>
      <c r="I126" s="16">
        <f>Database!AG126</f>
        <v/>
      </c>
      <c r="J126" s="24">
        <f>IFERROR(BDP(Database!$A126&amp;" HK Equity","PE_RATIO"),"")</f>
        <v/>
      </c>
      <c r="K126" s="10">
        <f>IFERROR(BDP(Database!$A126&amp;" HK Equity","A/H_SHARE_CONVERSION"),"")</f>
        <v/>
      </c>
      <c r="L126" s="16">
        <f>IF(Database!BL126="","(none found)",Database!BL126)</f>
        <v/>
      </c>
      <c r="M126" s="18">
        <f>IFERROR(BDH(Database!$A126&amp;" HK Equity","CUR_MKT_CAP",Database!$H126,Database!$H126),"")</f>
        <v/>
      </c>
      <c r="N126" s="97">
        <f>Database!Q126</f>
        <v/>
      </c>
      <c r="O126" s="24">
        <f>IFERROR(BDH(Database!$A126&amp;" HK Equity","PE_RATIO",Database!$H126,Database!$H126),"")</f>
        <v/>
      </c>
      <c r="P126" s="101">
        <f>IF(Database!BF126="","(n/m or not derivable)",Database!BF126)</f>
        <v/>
      </c>
      <c r="Q126" s="24">
        <f>IF(Database!BL126="","",IFERROR(BDH(LEFT(Database!BL126,FIND(".",Database!BL126)-1)&amp;" CH Equity","PE_RATIO",Database!$H126,Database!$H126),""))</f>
        <v/>
      </c>
      <c r="R126" s="24">
        <f>IF(Database!BL126="","",IFERROR(BDH("HSAHP Index","PX_LAST",Database!$H126,Database!$H126),""))</f>
        <v/>
      </c>
      <c r="S126" s="24">
        <f>IFERROR(BDP(Database!$A126&amp;" HK Equity","PX_TO_SALES_RATIO"),"")</f>
        <v/>
      </c>
      <c r="T126" s="18">
        <f>IF(Database!BL126="","",IFERROR(BDP(LEFT(Database!BL126,FIND(".",Database!BL126)-1)&amp;" CH Equity","CUR_MKT_CAP"),""))</f>
        <v/>
      </c>
    </row>
    <row r="127">
      <c r="A127" s="16">
        <f>Database!A127&amp;"  "&amp;Database!B127</f>
        <v/>
      </c>
      <c r="B127" s="10">
        <f>IFERROR(INDEX(BDS(Database!$A127&amp;" HK Equity","EQUITY_OFFERINGS","array=t","endcol=1"),MATCH("IPO",BDS(Database!$A127&amp;" HK Equity","EQUITY_OFFERINGS","array=t","startcol=2","endcol=2"),0)),"")</f>
        <v/>
      </c>
      <c r="C127" s="103">
        <f>IF($B127="","",IFERROR(BDP($B127&amp;" Action","CP036"),""))</f>
        <v/>
      </c>
      <c r="D127" s="104">
        <f>Database!S127</f>
        <v/>
      </c>
      <c r="E127" s="103">
        <f>IF($B127="","",IFERROR(BDP($B127&amp;" Action","CP037"),""))</f>
        <v/>
      </c>
      <c r="F127" s="104">
        <f>Database!T127</f>
        <v/>
      </c>
      <c r="G127" s="103">
        <f>IF($B127="","",IFERROR(BDP($B127&amp;" Action","GREENSHOE_FACILITY"),""))</f>
        <v/>
      </c>
      <c r="H127" s="103">
        <f>IF($B127="","",IFERROR(BDP($B127&amp;" Action","OFFERING_GREENSHOE_SHARES_EX"),""))</f>
        <v/>
      </c>
      <c r="I127" s="16">
        <f>Database!AG127</f>
        <v/>
      </c>
      <c r="J127" s="24">
        <f>IFERROR(BDP(Database!$A127&amp;" HK Equity","PE_RATIO"),"")</f>
        <v/>
      </c>
      <c r="K127" s="10">
        <f>IFERROR(BDP(Database!$A127&amp;" HK Equity","A/H_SHARE_CONVERSION"),"")</f>
        <v/>
      </c>
      <c r="L127" s="16">
        <f>IF(Database!BL127="","(none found)",Database!BL127)</f>
        <v/>
      </c>
      <c r="M127" s="18">
        <f>IFERROR(BDH(Database!$A127&amp;" HK Equity","CUR_MKT_CAP",Database!$H127,Database!$H127),"")</f>
        <v/>
      </c>
      <c r="N127" s="97">
        <f>Database!Q127</f>
        <v/>
      </c>
      <c r="O127" s="24">
        <f>IFERROR(BDH(Database!$A127&amp;" HK Equity","PE_RATIO",Database!$H127,Database!$H127),"")</f>
        <v/>
      </c>
      <c r="P127" s="101">
        <f>IF(Database!BF127="","(n/m or not derivable)",Database!BF127)</f>
        <v/>
      </c>
      <c r="Q127" s="24">
        <f>IF(Database!BL127="","",IFERROR(BDH(LEFT(Database!BL127,FIND(".",Database!BL127)-1)&amp;" CH Equity","PE_RATIO",Database!$H127,Database!$H127),""))</f>
        <v/>
      </c>
      <c r="R127" s="24">
        <f>IF(Database!BL127="","",IFERROR(BDH("HSAHP Index","PX_LAST",Database!$H127,Database!$H127),""))</f>
        <v/>
      </c>
      <c r="S127" s="24">
        <f>IFERROR(BDP(Database!$A127&amp;" HK Equity","PX_TO_SALES_RATIO"),"")</f>
        <v/>
      </c>
      <c r="T127" s="18">
        <f>IF(Database!BL127="","",IFERROR(BDP(LEFT(Database!BL127,FIND(".",Database!BL127)-1)&amp;" CH Equity","CUR_MKT_CAP"),""))</f>
        <v/>
      </c>
    </row>
    <row r="128">
      <c r="A128" s="16">
        <f>Database!A128&amp;"  "&amp;Database!B128</f>
        <v/>
      </c>
      <c r="B128" s="10">
        <f>IFERROR(INDEX(BDS(Database!$A128&amp;" HK Equity","EQUITY_OFFERINGS","array=t","endcol=1"),MATCH("IPO",BDS(Database!$A128&amp;" HK Equity","EQUITY_OFFERINGS","array=t","startcol=2","endcol=2"),0)),"")</f>
        <v/>
      </c>
      <c r="C128" s="103">
        <f>IF($B128="","",IFERROR(BDP($B128&amp;" Action","CP036"),""))</f>
        <v/>
      </c>
      <c r="D128" s="104">
        <f>Database!S128</f>
        <v/>
      </c>
      <c r="E128" s="103">
        <f>IF($B128="","",IFERROR(BDP($B128&amp;" Action","CP037"),""))</f>
        <v/>
      </c>
      <c r="F128" s="104">
        <f>Database!T128</f>
        <v/>
      </c>
      <c r="G128" s="103">
        <f>IF($B128="","",IFERROR(BDP($B128&amp;" Action","GREENSHOE_FACILITY"),""))</f>
        <v/>
      </c>
      <c r="H128" s="103">
        <f>IF($B128="","",IFERROR(BDP($B128&amp;" Action","OFFERING_GREENSHOE_SHARES_EX"),""))</f>
        <v/>
      </c>
      <c r="I128" s="16">
        <f>Database!AG128</f>
        <v/>
      </c>
      <c r="J128" s="24">
        <f>IFERROR(BDP(Database!$A128&amp;" HK Equity","PE_RATIO"),"")</f>
        <v/>
      </c>
      <c r="K128" s="10">
        <f>IFERROR(BDP(Database!$A128&amp;" HK Equity","A/H_SHARE_CONVERSION"),"")</f>
        <v/>
      </c>
      <c r="L128" s="16">
        <f>IF(Database!BL128="","(none found)",Database!BL128)</f>
        <v/>
      </c>
      <c r="M128" s="18">
        <f>IFERROR(BDH(Database!$A128&amp;" HK Equity","CUR_MKT_CAP",Database!$H128,Database!$H128),"")</f>
        <v/>
      </c>
      <c r="N128" s="97">
        <f>Database!Q128</f>
        <v/>
      </c>
      <c r="O128" s="24">
        <f>IFERROR(BDH(Database!$A128&amp;" HK Equity","PE_RATIO",Database!$H128,Database!$H128),"")</f>
        <v/>
      </c>
      <c r="P128" s="101">
        <f>IF(Database!BF128="","(n/m or not derivable)",Database!BF128)</f>
        <v/>
      </c>
      <c r="Q128" s="24">
        <f>IF(Database!BL128="","",IFERROR(BDH(LEFT(Database!BL128,FIND(".",Database!BL128)-1)&amp;" CH Equity","PE_RATIO",Database!$H128,Database!$H128),""))</f>
        <v/>
      </c>
      <c r="R128" s="24">
        <f>IF(Database!BL128="","",IFERROR(BDH("HSAHP Index","PX_LAST",Database!$H128,Database!$H128),""))</f>
        <v/>
      </c>
      <c r="S128" s="24">
        <f>IFERROR(BDP(Database!$A128&amp;" HK Equity","PX_TO_SALES_RATIO"),"")</f>
        <v/>
      </c>
      <c r="T128" s="18">
        <f>IF(Database!BL128="","",IFERROR(BDP(LEFT(Database!BL128,FIND(".",Database!BL128)-1)&amp;" CH Equity","CUR_MKT_CAP"),""))</f>
        <v/>
      </c>
    </row>
    <row r="129">
      <c r="A129" s="16">
        <f>Database!A129&amp;"  "&amp;Database!B129</f>
        <v/>
      </c>
      <c r="B129" s="10">
        <f>IFERROR(INDEX(BDS(Database!$A129&amp;" HK Equity","EQUITY_OFFERINGS","array=t","endcol=1"),MATCH("IPO",BDS(Database!$A129&amp;" HK Equity","EQUITY_OFFERINGS","array=t","startcol=2","endcol=2"),0)),"")</f>
        <v/>
      </c>
      <c r="C129" s="103">
        <f>IF($B129="","",IFERROR(BDP($B129&amp;" Action","CP036"),""))</f>
        <v/>
      </c>
      <c r="D129" s="104">
        <f>Database!S129</f>
        <v/>
      </c>
      <c r="E129" s="103">
        <f>IF($B129="","",IFERROR(BDP($B129&amp;" Action","CP037"),""))</f>
        <v/>
      </c>
      <c r="F129" s="104">
        <f>Database!T129</f>
        <v/>
      </c>
      <c r="G129" s="103">
        <f>IF($B129="","",IFERROR(BDP($B129&amp;" Action","GREENSHOE_FACILITY"),""))</f>
        <v/>
      </c>
      <c r="H129" s="103">
        <f>IF($B129="","",IFERROR(BDP($B129&amp;" Action","OFFERING_GREENSHOE_SHARES_EX"),""))</f>
        <v/>
      </c>
      <c r="I129" s="16">
        <f>Database!AG129</f>
        <v/>
      </c>
      <c r="J129" s="24">
        <f>IFERROR(BDP(Database!$A129&amp;" HK Equity","PE_RATIO"),"")</f>
        <v/>
      </c>
      <c r="K129" s="10">
        <f>IFERROR(BDP(Database!$A129&amp;" HK Equity","A/H_SHARE_CONVERSION"),"")</f>
        <v/>
      </c>
      <c r="L129" s="16">
        <f>IF(Database!BL129="","(none found)",Database!BL129)</f>
        <v/>
      </c>
      <c r="M129" s="18">
        <f>IFERROR(BDH(Database!$A129&amp;" HK Equity","CUR_MKT_CAP",Database!$H129,Database!$H129),"")</f>
        <v/>
      </c>
      <c r="N129" s="97">
        <f>Database!Q129</f>
        <v/>
      </c>
      <c r="O129" s="24">
        <f>IFERROR(BDH(Database!$A129&amp;" HK Equity","PE_RATIO",Database!$H129,Database!$H129),"")</f>
        <v/>
      </c>
      <c r="P129" s="101">
        <f>IF(Database!BF129="","(n/m or not derivable)",Database!BF129)</f>
        <v/>
      </c>
      <c r="Q129" s="24">
        <f>IF(Database!BL129="","",IFERROR(BDH(LEFT(Database!BL129,FIND(".",Database!BL129)-1)&amp;" CH Equity","PE_RATIO",Database!$H129,Database!$H129),""))</f>
        <v/>
      </c>
      <c r="R129" s="24">
        <f>IF(Database!BL129="","",IFERROR(BDH("HSAHP Index","PX_LAST",Database!$H129,Database!$H129),""))</f>
        <v/>
      </c>
      <c r="S129" s="24">
        <f>IFERROR(BDP(Database!$A129&amp;" HK Equity","PX_TO_SALES_RATIO"),"")</f>
        <v/>
      </c>
      <c r="T129" s="18">
        <f>IF(Database!BL129="","",IFERROR(BDP(LEFT(Database!BL129,FIND(".",Database!BL129)-1)&amp;" CH Equity","CUR_MKT_CAP"),""))</f>
        <v/>
      </c>
    </row>
    <row r="130">
      <c r="A130" s="16">
        <f>Database!A130&amp;"  "&amp;Database!B130</f>
        <v/>
      </c>
      <c r="B130" s="10">
        <f>IFERROR(INDEX(BDS(Database!$A130&amp;" HK Equity","EQUITY_OFFERINGS","array=t","endcol=1"),MATCH("IPO",BDS(Database!$A130&amp;" HK Equity","EQUITY_OFFERINGS","array=t","startcol=2","endcol=2"),0)),"")</f>
        <v/>
      </c>
      <c r="C130" s="103">
        <f>IF($B130="","",IFERROR(BDP($B130&amp;" Action","CP036"),""))</f>
        <v/>
      </c>
      <c r="D130" s="104">
        <f>Database!S130</f>
        <v/>
      </c>
      <c r="E130" s="103">
        <f>IF($B130="","",IFERROR(BDP($B130&amp;" Action","CP037"),""))</f>
        <v/>
      </c>
      <c r="F130" s="104">
        <f>Database!T130</f>
        <v/>
      </c>
      <c r="G130" s="103">
        <f>IF($B130="","",IFERROR(BDP($B130&amp;" Action","GREENSHOE_FACILITY"),""))</f>
        <v/>
      </c>
      <c r="H130" s="103">
        <f>IF($B130="","",IFERROR(BDP($B130&amp;" Action","OFFERING_GREENSHOE_SHARES_EX"),""))</f>
        <v/>
      </c>
      <c r="I130" s="16">
        <f>Database!AG130</f>
        <v/>
      </c>
      <c r="J130" s="24">
        <f>IFERROR(BDP(Database!$A130&amp;" HK Equity","PE_RATIO"),"")</f>
        <v/>
      </c>
      <c r="K130" s="10">
        <f>IFERROR(BDP(Database!$A130&amp;" HK Equity","A/H_SHARE_CONVERSION"),"")</f>
        <v/>
      </c>
      <c r="L130" s="16">
        <f>IF(Database!BL130="","(none found)",Database!BL130)</f>
        <v/>
      </c>
      <c r="M130" s="18">
        <f>IFERROR(BDH(Database!$A130&amp;" HK Equity","CUR_MKT_CAP",Database!$H130,Database!$H130),"")</f>
        <v/>
      </c>
      <c r="N130" s="97">
        <f>Database!Q130</f>
        <v/>
      </c>
      <c r="O130" s="24">
        <f>IFERROR(BDH(Database!$A130&amp;" HK Equity","PE_RATIO",Database!$H130,Database!$H130),"")</f>
        <v/>
      </c>
      <c r="P130" s="101">
        <f>IF(Database!BF130="","(n/m or not derivable)",Database!BF130)</f>
        <v/>
      </c>
      <c r="Q130" s="24">
        <f>IF(Database!BL130="","",IFERROR(BDH(LEFT(Database!BL130,FIND(".",Database!BL130)-1)&amp;" CH Equity","PE_RATIO",Database!$H130,Database!$H130),""))</f>
        <v/>
      </c>
      <c r="R130" s="24">
        <f>IF(Database!BL130="","",IFERROR(BDH("HSAHP Index","PX_LAST",Database!$H130,Database!$H130),""))</f>
        <v/>
      </c>
      <c r="S130" s="24">
        <f>IFERROR(BDP(Database!$A130&amp;" HK Equity","PX_TO_SALES_RATIO"),"")</f>
        <v/>
      </c>
      <c r="T130" s="18">
        <f>IF(Database!BL130="","",IFERROR(BDP(LEFT(Database!BL130,FIND(".",Database!BL130)-1)&amp;" CH Equity","CUR_MKT_CAP"),""))</f>
        <v/>
      </c>
    </row>
    <row r="131">
      <c r="A131" s="16">
        <f>Database!A131&amp;"  "&amp;Database!B131</f>
        <v/>
      </c>
      <c r="B131" s="10">
        <f>IFERROR(INDEX(BDS(Database!$A131&amp;" HK Equity","EQUITY_OFFERINGS","array=t","endcol=1"),MATCH("IPO",BDS(Database!$A131&amp;" HK Equity","EQUITY_OFFERINGS","array=t","startcol=2","endcol=2"),0)),"")</f>
        <v/>
      </c>
      <c r="C131" s="103">
        <f>IF($B131="","",IFERROR(BDP($B131&amp;" Action","CP036"),""))</f>
        <v/>
      </c>
      <c r="D131" s="104">
        <f>Database!S131</f>
        <v/>
      </c>
      <c r="E131" s="103">
        <f>IF($B131="","",IFERROR(BDP($B131&amp;" Action","CP037"),""))</f>
        <v/>
      </c>
      <c r="F131" s="104">
        <f>Database!T131</f>
        <v/>
      </c>
      <c r="G131" s="103">
        <f>IF($B131="","",IFERROR(BDP($B131&amp;" Action","GREENSHOE_FACILITY"),""))</f>
        <v/>
      </c>
      <c r="H131" s="103">
        <f>IF($B131="","",IFERROR(BDP($B131&amp;" Action","OFFERING_GREENSHOE_SHARES_EX"),""))</f>
        <v/>
      </c>
      <c r="I131" s="16">
        <f>Database!AG131</f>
        <v/>
      </c>
      <c r="J131" s="24">
        <f>IFERROR(BDP(Database!$A131&amp;" HK Equity","PE_RATIO"),"")</f>
        <v/>
      </c>
      <c r="K131" s="10">
        <f>IFERROR(BDP(Database!$A131&amp;" HK Equity","A/H_SHARE_CONVERSION"),"")</f>
        <v/>
      </c>
      <c r="L131" s="16">
        <f>IF(Database!BL131="","(none found)",Database!BL131)</f>
        <v/>
      </c>
      <c r="M131" s="18">
        <f>IFERROR(BDH(Database!$A131&amp;" HK Equity","CUR_MKT_CAP",Database!$H131,Database!$H131),"")</f>
        <v/>
      </c>
      <c r="N131" s="97">
        <f>Database!Q131</f>
        <v/>
      </c>
      <c r="O131" s="24">
        <f>IFERROR(BDH(Database!$A131&amp;" HK Equity","PE_RATIO",Database!$H131,Database!$H131),"")</f>
        <v/>
      </c>
      <c r="P131" s="101">
        <f>IF(Database!BF131="","(n/m or not derivable)",Database!BF131)</f>
        <v/>
      </c>
      <c r="Q131" s="24">
        <f>IF(Database!BL131="","",IFERROR(BDH(LEFT(Database!BL131,FIND(".",Database!BL131)-1)&amp;" CH Equity","PE_RATIO",Database!$H131,Database!$H131),""))</f>
        <v/>
      </c>
      <c r="R131" s="24">
        <f>IF(Database!BL131="","",IFERROR(BDH("HSAHP Index","PX_LAST",Database!$H131,Database!$H131),""))</f>
        <v/>
      </c>
      <c r="S131" s="24">
        <f>IFERROR(BDP(Database!$A131&amp;" HK Equity","PX_TO_SALES_RATIO"),"")</f>
        <v/>
      </c>
      <c r="T131" s="18">
        <f>IF(Database!BL131="","",IFERROR(BDP(LEFT(Database!BL131,FIND(".",Database!BL131)-1)&amp;" CH Equity","CUR_MKT_CAP"),""))</f>
        <v/>
      </c>
    </row>
    <row r="132">
      <c r="A132" s="16">
        <f>Database!A132&amp;"  "&amp;Database!B132</f>
        <v/>
      </c>
      <c r="B132" s="10">
        <f>IFERROR(INDEX(BDS(Database!$A132&amp;" HK Equity","EQUITY_OFFERINGS","array=t","endcol=1"),MATCH("IPO",BDS(Database!$A132&amp;" HK Equity","EQUITY_OFFERINGS","array=t","startcol=2","endcol=2"),0)),"")</f>
        <v/>
      </c>
      <c r="C132" s="103">
        <f>IF($B132="","",IFERROR(BDP($B132&amp;" Action","CP036"),""))</f>
        <v/>
      </c>
      <c r="D132" s="104">
        <f>Database!S132</f>
        <v/>
      </c>
      <c r="E132" s="103">
        <f>IF($B132="","",IFERROR(BDP($B132&amp;" Action","CP037"),""))</f>
        <v/>
      </c>
      <c r="F132" s="104">
        <f>Database!T132</f>
        <v/>
      </c>
      <c r="G132" s="103">
        <f>IF($B132="","",IFERROR(BDP($B132&amp;" Action","GREENSHOE_FACILITY"),""))</f>
        <v/>
      </c>
      <c r="H132" s="103">
        <f>IF($B132="","",IFERROR(BDP($B132&amp;" Action","OFFERING_GREENSHOE_SHARES_EX"),""))</f>
        <v/>
      </c>
      <c r="I132" s="16">
        <f>Database!AG132</f>
        <v/>
      </c>
      <c r="J132" s="24">
        <f>IFERROR(BDP(Database!$A132&amp;" HK Equity","PE_RATIO"),"")</f>
        <v/>
      </c>
      <c r="K132" s="10">
        <f>IFERROR(BDP(Database!$A132&amp;" HK Equity","A/H_SHARE_CONVERSION"),"")</f>
        <v/>
      </c>
      <c r="L132" s="16">
        <f>IF(Database!BL132="","(none found)",Database!BL132)</f>
        <v/>
      </c>
      <c r="M132" s="18">
        <f>IFERROR(BDH(Database!$A132&amp;" HK Equity","CUR_MKT_CAP",Database!$H132,Database!$H132),"")</f>
        <v/>
      </c>
      <c r="N132" s="97">
        <f>Database!Q132</f>
        <v/>
      </c>
      <c r="O132" s="24">
        <f>IFERROR(BDH(Database!$A132&amp;" HK Equity","PE_RATIO",Database!$H132,Database!$H132),"")</f>
        <v/>
      </c>
      <c r="P132" s="101">
        <f>IF(Database!BF132="","(n/m or not derivable)",Database!BF132)</f>
        <v/>
      </c>
      <c r="Q132" s="24">
        <f>IF(Database!BL132="","",IFERROR(BDH(LEFT(Database!BL132,FIND(".",Database!BL132)-1)&amp;" CH Equity","PE_RATIO",Database!$H132,Database!$H132),""))</f>
        <v/>
      </c>
      <c r="R132" s="24">
        <f>IF(Database!BL132="","",IFERROR(BDH("HSAHP Index","PX_LAST",Database!$H132,Database!$H132),""))</f>
        <v/>
      </c>
      <c r="S132" s="24">
        <f>IFERROR(BDP(Database!$A132&amp;" HK Equity","PX_TO_SALES_RATIO"),"")</f>
        <v/>
      </c>
      <c r="T132" s="18">
        <f>IF(Database!BL132="","",IFERROR(BDP(LEFT(Database!BL132,FIND(".",Database!BL132)-1)&amp;" CH Equity","CUR_MKT_CAP"),""))</f>
        <v/>
      </c>
    </row>
    <row r="133">
      <c r="A133" s="16">
        <f>Database!A133&amp;"  "&amp;Database!B133</f>
        <v/>
      </c>
      <c r="B133" s="10">
        <f>IFERROR(INDEX(BDS(Database!$A133&amp;" HK Equity","EQUITY_OFFERINGS","array=t","endcol=1"),MATCH("IPO",BDS(Database!$A133&amp;" HK Equity","EQUITY_OFFERINGS","array=t","startcol=2","endcol=2"),0)),"")</f>
        <v/>
      </c>
      <c r="C133" s="103">
        <f>IF($B133="","",IFERROR(BDP($B133&amp;" Action","CP036"),""))</f>
        <v/>
      </c>
      <c r="D133" s="104">
        <f>Database!S133</f>
        <v/>
      </c>
      <c r="E133" s="103">
        <f>IF($B133="","",IFERROR(BDP($B133&amp;" Action","CP037"),""))</f>
        <v/>
      </c>
      <c r="F133" s="104">
        <f>Database!T133</f>
        <v/>
      </c>
      <c r="G133" s="103">
        <f>IF($B133="","",IFERROR(BDP($B133&amp;" Action","GREENSHOE_FACILITY"),""))</f>
        <v/>
      </c>
      <c r="H133" s="103">
        <f>IF($B133="","",IFERROR(BDP($B133&amp;" Action","OFFERING_GREENSHOE_SHARES_EX"),""))</f>
        <v/>
      </c>
      <c r="I133" s="16">
        <f>Database!AG133</f>
        <v/>
      </c>
      <c r="J133" s="24">
        <f>IFERROR(BDP(Database!$A133&amp;" HK Equity","PE_RATIO"),"")</f>
        <v/>
      </c>
      <c r="K133" s="10">
        <f>IFERROR(BDP(Database!$A133&amp;" HK Equity","A/H_SHARE_CONVERSION"),"")</f>
        <v/>
      </c>
      <c r="L133" s="16">
        <f>IF(Database!BL133="","(none found)",Database!BL133)</f>
        <v/>
      </c>
      <c r="M133" s="18">
        <f>IFERROR(BDH(Database!$A133&amp;" HK Equity","CUR_MKT_CAP",Database!$H133,Database!$H133),"")</f>
        <v/>
      </c>
      <c r="N133" s="97">
        <f>Database!Q133</f>
        <v/>
      </c>
      <c r="O133" s="24">
        <f>IFERROR(BDH(Database!$A133&amp;" HK Equity","PE_RATIO",Database!$H133,Database!$H133),"")</f>
        <v/>
      </c>
      <c r="P133" s="101">
        <f>IF(Database!BF133="","(n/m or not derivable)",Database!BF133)</f>
        <v/>
      </c>
      <c r="Q133" s="24">
        <f>IF(Database!BL133="","",IFERROR(BDH(LEFT(Database!BL133,FIND(".",Database!BL133)-1)&amp;" CH Equity","PE_RATIO",Database!$H133,Database!$H133),""))</f>
        <v/>
      </c>
      <c r="R133" s="24">
        <f>IF(Database!BL133="","",IFERROR(BDH("HSAHP Index","PX_LAST",Database!$H133,Database!$H133),""))</f>
        <v/>
      </c>
      <c r="S133" s="24">
        <f>IFERROR(BDP(Database!$A133&amp;" HK Equity","PX_TO_SALES_RATIO"),"")</f>
        <v/>
      </c>
      <c r="T133" s="18">
        <f>IF(Database!BL133="","",IFERROR(BDP(LEFT(Database!BL133,FIND(".",Database!BL133)-1)&amp;" CH Equity","CUR_MKT_CAP"),""))</f>
        <v/>
      </c>
    </row>
    <row r="134">
      <c r="A134" s="16">
        <f>Database!A134&amp;"  "&amp;Database!B134</f>
        <v/>
      </c>
      <c r="B134" s="10">
        <f>IFERROR(INDEX(BDS(Database!$A134&amp;" HK Equity","EQUITY_OFFERINGS","array=t","endcol=1"),MATCH("IPO",BDS(Database!$A134&amp;" HK Equity","EQUITY_OFFERINGS","array=t","startcol=2","endcol=2"),0)),"")</f>
        <v/>
      </c>
      <c r="C134" s="103">
        <f>IF($B134="","",IFERROR(BDP($B134&amp;" Action","CP036"),""))</f>
        <v/>
      </c>
      <c r="D134" s="104">
        <f>Database!S134</f>
        <v/>
      </c>
      <c r="E134" s="103">
        <f>IF($B134="","",IFERROR(BDP($B134&amp;" Action","CP037"),""))</f>
        <v/>
      </c>
      <c r="F134" s="104">
        <f>Database!T134</f>
        <v/>
      </c>
      <c r="G134" s="103">
        <f>IF($B134="","",IFERROR(BDP($B134&amp;" Action","GREENSHOE_FACILITY"),""))</f>
        <v/>
      </c>
      <c r="H134" s="103">
        <f>IF($B134="","",IFERROR(BDP($B134&amp;" Action","OFFERING_GREENSHOE_SHARES_EX"),""))</f>
        <v/>
      </c>
      <c r="I134" s="16">
        <f>Database!AG134</f>
        <v/>
      </c>
      <c r="J134" s="24">
        <f>IFERROR(BDP(Database!$A134&amp;" HK Equity","PE_RATIO"),"")</f>
        <v/>
      </c>
      <c r="K134" s="10">
        <f>IFERROR(BDP(Database!$A134&amp;" HK Equity","A/H_SHARE_CONVERSION"),"")</f>
        <v/>
      </c>
      <c r="L134" s="16">
        <f>IF(Database!BL134="","(none found)",Database!BL134)</f>
        <v/>
      </c>
      <c r="M134" s="18">
        <f>IFERROR(BDH(Database!$A134&amp;" HK Equity","CUR_MKT_CAP",Database!$H134,Database!$H134),"")</f>
        <v/>
      </c>
      <c r="N134" s="97">
        <f>Database!Q134</f>
        <v/>
      </c>
      <c r="O134" s="24">
        <f>IFERROR(BDH(Database!$A134&amp;" HK Equity","PE_RATIO",Database!$H134,Database!$H134),"")</f>
        <v/>
      </c>
      <c r="P134" s="101">
        <f>IF(Database!BF134="","(n/m or not derivable)",Database!BF134)</f>
        <v/>
      </c>
      <c r="Q134" s="24">
        <f>IF(Database!BL134="","",IFERROR(BDH(LEFT(Database!BL134,FIND(".",Database!BL134)-1)&amp;" CH Equity","PE_RATIO",Database!$H134,Database!$H134),""))</f>
        <v/>
      </c>
      <c r="R134" s="24">
        <f>IF(Database!BL134="","",IFERROR(BDH("HSAHP Index","PX_LAST",Database!$H134,Database!$H134),""))</f>
        <v/>
      </c>
      <c r="S134" s="24">
        <f>IFERROR(BDP(Database!$A134&amp;" HK Equity","PX_TO_SALES_RATIO"),"")</f>
        <v/>
      </c>
      <c r="T134" s="18">
        <f>IF(Database!BL134="","",IFERROR(BDP(LEFT(Database!BL134,FIND(".",Database!BL134)-1)&amp;" CH Equity","CUR_MKT_CAP"),""))</f>
        <v/>
      </c>
    </row>
    <row r="135">
      <c r="A135" s="16">
        <f>Database!A135&amp;"  "&amp;Database!B135</f>
        <v/>
      </c>
      <c r="B135" s="10">
        <f>IFERROR(INDEX(BDS(Database!$A135&amp;" HK Equity","EQUITY_OFFERINGS","array=t","endcol=1"),MATCH("IPO",BDS(Database!$A135&amp;" HK Equity","EQUITY_OFFERINGS","array=t","startcol=2","endcol=2"),0)),"")</f>
        <v/>
      </c>
      <c r="C135" s="103">
        <f>IF($B135="","",IFERROR(BDP($B135&amp;" Action","CP036"),""))</f>
        <v/>
      </c>
      <c r="D135" s="104">
        <f>Database!S135</f>
        <v/>
      </c>
      <c r="E135" s="103">
        <f>IF($B135="","",IFERROR(BDP($B135&amp;" Action","CP037"),""))</f>
        <v/>
      </c>
      <c r="F135" s="104">
        <f>Database!T135</f>
        <v/>
      </c>
      <c r="G135" s="103">
        <f>IF($B135="","",IFERROR(BDP($B135&amp;" Action","GREENSHOE_FACILITY"),""))</f>
        <v/>
      </c>
      <c r="H135" s="103">
        <f>IF($B135="","",IFERROR(BDP($B135&amp;" Action","OFFERING_GREENSHOE_SHARES_EX"),""))</f>
        <v/>
      </c>
      <c r="I135" s="16">
        <f>Database!AG135</f>
        <v/>
      </c>
      <c r="J135" s="24">
        <f>IFERROR(BDP(Database!$A135&amp;" HK Equity","PE_RATIO"),"")</f>
        <v/>
      </c>
      <c r="K135" s="10">
        <f>IFERROR(BDP(Database!$A135&amp;" HK Equity","A/H_SHARE_CONVERSION"),"")</f>
        <v/>
      </c>
      <c r="L135" s="16">
        <f>IF(Database!BL135="","(none found)",Database!BL135)</f>
        <v/>
      </c>
      <c r="M135" s="18">
        <f>IFERROR(BDH(Database!$A135&amp;" HK Equity","CUR_MKT_CAP",Database!$H135,Database!$H135),"")</f>
        <v/>
      </c>
      <c r="N135" s="97">
        <f>Database!Q135</f>
        <v/>
      </c>
      <c r="O135" s="24">
        <f>IFERROR(BDH(Database!$A135&amp;" HK Equity","PE_RATIO",Database!$H135,Database!$H135),"")</f>
        <v/>
      </c>
      <c r="P135" s="101">
        <f>IF(Database!BF135="","(n/m or not derivable)",Database!BF135)</f>
        <v/>
      </c>
      <c r="Q135" s="24">
        <f>IF(Database!BL135="","",IFERROR(BDH(LEFT(Database!BL135,FIND(".",Database!BL135)-1)&amp;" CH Equity","PE_RATIO",Database!$H135,Database!$H135),""))</f>
        <v/>
      </c>
      <c r="R135" s="24">
        <f>IF(Database!BL135="","",IFERROR(BDH("HSAHP Index","PX_LAST",Database!$H135,Database!$H135),""))</f>
        <v/>
      </c>
      <c r="S135" s="24">
        <f>IFERROR(BDP(Database!$A135&amp;" HK Equity","PX_TO_SALES_RATIO"),"")</f>
        <v/>
      </c>
      <c r="T135" s="18">
        <f>IF(Database!BL135="","",IFERROR(BDP(LEFT(Database!BL135,FIND(".",Database!BL135)-1)&amp;" CH Equity","CUR_MKT_CAP"),""))</f>
        <v/>
      </c>
    </row>
    <row r="136">
      <c r="A136" s="16">
        <f>Database!A136&amp;"  "&amp;Database!B136</f>
        <v/>
      </c>
      <c r="B136" s="10">
        <f>IFERROR(INDEX(BDS(Database!$A136&amp;" HK Equity","EQUITY_OFFERINGS","array=t","endcol=1"),MATCH("IPO",BDS(Database!$A136&amp;" HK Equity","EQUITY_OFFERINGS","array=t","startcol=2","endcol=2"),0)),"")</f>
        <v/>
      </c>
      <c r="C136" s="103">
        <f>IF($B136="","",IFERROR(BDP($B136&amp;" Action","CP036"),""))</f>
        <v/>
      </c>
      <c r="D136" s="104">
        <f>Database!S136</f>
        <v/>
      </c>
      <c r="E136" s="103">
        <f>IF($B136="","",IFERROR(BDP($B136&amp;" Action","CP037"),""))</f>
        <v/>
      </c>
      <c r="F136" s="104">
        <f>Database!T136</f>
        <v/>
      </c>
      <c r="G136" s="103">
        <f>IF($B136="","",IFERROR(BDP($B136&amp;" Action","GREENSHOE_FACILITY"),""))</f>
        <v/>
      </c>
      <c r="H136" s="103">
        <f>IF($B136="","",IFERROR(BDP($B136&amp;" Action","OFFERING_GREENSHOE_SHARES_EX"),""))</f>
        <v/>
      </c>
      <c r="I136" s="16">
        <f>Database!AG136</f>
        <v/>
      </c>
      <c r="J136" s="24">
        <f>IFERROR(BDP(Database!$A136&amp;" HK Equity","PE_RATIO"),"")</f>
        <v/>
      </c>
      <c r="K136" s="10">
        <f>IFERROR(BDP(Database!$A136&amp;" HK Equity","A/H_SHARE_CONVERSION"),"")</f>
        <v/>
      </c>
      <c r="L136" s="16">
        <f>IF(Database!BL136="","(none found)",Database!BL136)</f>
        <v/>
      </c>
      <c r="M136" s="18">
        <f>IFERROR(BDH(Database!$A136&amp;" HK Equity","CUR_MKT_CAP",Database!$H136,Database!$H136),"")</f>
        <v/>
      </c>
      <c r="N136" s="97">
        <f>Database!Q136</f>
        <v/>
      </c>
      <c r="O136" s="24">
        <f>IFERROR(BDH(Database!$A136&amp;" HK Equity","PE_RATIO",Database!$H136,Database!$H136),"")</f>
        <v/>
      </c>
      <c r="P136" s="101">
        <f>IF(Database!BF136="","(n/m or not derivable)",Database!BF136)</f>
        <v/>
      </c>
      <c r="Q136" s="24">
        <f>IF(Database!BL136="","",IFERROR(BDH(LEFT(Database!BL136,FIND(".",Database!BL136)-1)&amp;" CH Equity","PE_RATIO",Database!$H136,Database!$H136),""))</f>
        <v/>
      </c>
      <c r="R136" s="24">
        <f>IF(Database!BL136="","",IFERROR(BDH("HSAHP Index","PX_LAST",Database!$H136,Database!$H136),""))</f>
        <v/>
      </c>
      <c r="S136" s="24">
        <f>IFERROR(BDP(Database!$A136&amp;" HK Equity","PX_TO_SALES_RATIO"),"")</f>
        <v/>
      </c>
      <c r="T136" s="18">
        <f>IF(Database!BL136="","",IFERROR(BDP(LEFT(Database!BL136,FIND(".",Database!BL136)-1)&amp;" CH Equity","CUR_MKT_CAP"),""))</f>
        <v/>
      </c>
    </row>
    <row r="137">
      <c r="A137" s="16">
        <f>Database!A137&amp;"  "&amp;Database!B137</f>
        <v/>
      </c>
      <c r="B137" s="10">
        <f>IFERROR(INDEX(BDS(Database!$A137&amp;" HK Equity","EQUITY_OFFERINGS","array=t","endcol=1"),MATCH("IPO",BDS(Database!$A137&amp;" HK Equity","EQUITY_OFFERINGS","array=t","startcol=2","endcol=2"),0)),"")</f>
        <v/>
      </c>
      <c r="C137" s="103">
        <f>IF($B137="","",IFERROR(BDP($B137&amp;" Action","CP036"),""))</f>
        <v/>
      </c>
      <c r="D137" s="104">
        <f>Database!S137</f>
        <v/>
      </c>
      <c r="E137" s="103">
        <f>IF($B137="","",IFERROR(BDP($B137&amp;" Action","CP037"),""))</f>
        <v/>
      </c>
      <c r="F137" s="104">
        <f>Database!T137</f>
        <v/>
      </c>
      <c r="G137" s="103">
        <f>IF($B137="","",IFERROR(BDP($B137&amp;" Action","GREENSHOE_FACILITY"),""))</f>
        <v/>
      </c>
      <c r="H137" s="103">
        <f>IF($B137="","",IFERROR(BDP($B137&amp;" Action","OFFERING_GREENSHOE_SHARES_EX"),""))</f>
        <v/>
      </c>
      <c r="I137" s="16">
        <f>Database!AG137</f>
        <v/>
      </c>
      <c r="J137" s="24">
        <f>IFERROR(BDP(Database!$A137&amp;" HK Equity","PE_RATIO"),"")</f>
        <v/>
      </c>
      <c r="K137" s="10">
        <f>IFERROR(BDP(Database!$A137&amp;" HK Equity","A/H_SHARE_CONVERSION"),"")</f>
        <v/>
      </c>
      <c r="L137" s="16">
        <f>IF(Database!BL137="","(none found)",Database!BL137)</f>
        <v/>
      </c>
      <c r="M137" s="18">
        <f>IFERROR(BDH(Database!$A137&amp;" HK Equity","CUR_MKT_CAP",Database!$H137,Database!$H137),"")</f>
        <v/>
      </c>
      <c r="N137" s="97">
        <f>Database!Q137</f>
        <v/>
      </c>
      <c r="O137" s="24">
        <f>IFERROR(BDH(Database!$A137&amp;" HK Equity","PE_RATIO",Database!$H137,Database!$H137),"")</f>
        <v/>
      </c>
      <c r="P137" s="101">
        <f>IF(Database!BF137="","(n/m or not derivable)",Database!BF137)</f>
        <v/>
      </c>
      <c r="Q137" s="24">
        <f>IF(Database!BL137="","",IFERROR(BDH(LEFT(Database!BL137,FIND(".",Database!BL137)-1)&amp;" CH Equity","PE_RATIO",Database!$H137,Database!$H137),""))</f>
        <v/>
      </c>
      <c r="R137" s="24">
        <f>IF(Database!BL137="","",IFERROR(BDH("HSAHP Index","PX_LAST",Database!$H137,Database!$H137),""))</f>
        <v/>
      </c>
      <c r="S137" s="24">
        <f>IFERROR(BDP(Database!$A137&amp;" HK Equity","PX_TO_SALES_RATIO"),"")</f>
        <v/>
      </c>
      <c r="T137" s="18">
        <f>IF(Database!BL137="","",IFERROR(BDP(LEFT(Database!BL137,FIND(".",Database!BL137)-1)&amp;" CH Equity","CUR_MKT_CAP"),""))</f>
        <v/>
      </c>
    </row>
    <row r="138">
      <c r="A138" s="16">
        <f>Database!A138&amp;"  "&amp;Database!B138</f>
        <v/>
      </c>
      <c r="B138" s="10">
        <f>IFERROR(INDEX(BDS(Database!$A138&amp;" HK Equity","EQUITY_OFFERINGS","array=t","endcol=1"),MATCH("IPO",BDS(Database!$A138&amp;" HK Equity","EQUITY_OFFERINGS","array=t","startcol=2","endcol=2"),0)),"")</f>
        <v/>
      </c>
      <c r="C138" s="103">
        <f>IF($B138="","",IFERROR(BDP($B138&amp;" Action","CP036"),""))</f>
        <v/>
      </c>
      <c r="D138" s="104">
        <f>Database!S138</f>
        <v/>
      </c>
      <c r="E138" s="103">
        <f>IF($B138="","",IFERROR(BDP($B138&amp;" Action","CP037"),""))</f>
        <v/>
      </c>
      <c r="F138" s="104">
        <f>Database!T138</f>
        <v/>
      </c>
      <c r="G138" s="103">
        <f>IF($B138="","",IFERROR(BDP($B138&amp;" Action","GREENSHOE_FACILITY"),""))</f>
        <v/>
      </c>
      <c r="H138" s="103">
        <f>IF($B138="","",IFERROR(BDP($B138&amp;" Action","OFFERING_GREENSHOE_SHARES_EX"),""))</f>
        <v/>
      </c>
      <c r="I138" s="16">
        <f>Database!AG138</f>
        <v/>
      </c>
      <c r="J138" s="24">
        <f>IFERROR(BDP(Database!$A138&amp;" HK Equity","PE_RATIO"),"")</f>
        <v/>
      </c>
      <c r="K138" s="10">
        <f>IFERROR(BDP(Database!$A138&amp;" HK Equity","A/H_SHARE_CONVERSION"),"")</f>
        <v/>
      </c>
      <c r="L138" s="16">
        <f>IF(Database!BL138="","(none found)",Database!BL138)</f>
        <v/>
      </c>
      <c r="M138" s="18">
        <f>IFERROR(BDH(Database!$A138&amp;" HK Equity","CUR_MKT_CAP",Database!$H138,Database!$H138),"")</f>
        <v/>
      </c>
      <c r="N138" s="97">
        <f>Database!Q138</f>
        <v/>
      </c>
      <c r="O138" s="24">
        <f>IFERROR(BDH(Database!$A138&amp;" HK Equity","PE_RATIO",Database!$H138,Database!$H138),"")</f>
        <v/>
      </c>
      <c r="P138" s="101">
        <f>IF(Database!BF138="","(n/m or not derivable)",Database!BF138)</f>
        <v/>
      </c>
      <c r="Q138" s="24">
        <f>IF(Database!BL138="","",IFERROR(BDH(LEFT(Database!BL138,FIND(".",Database!BL138)-1)&amp;" CH Equity","PE_RATIO",Database!$H138,Database!$H138),""))</f>
        <v/>
      </c>
      <c r="R138" s="24">
        <f>IF(Database!BL138="","",IFERROR(BDH("HSAHP Index","PX_LAST",Database!$H138,Database!$H138),""))</f>
        <v/>
      </c>
      <c r="S138" s="24">
        <f>IFERROR(BDP(Database!$A138&amp;" HK Equity","PX_TO_SALES_RATIO"),"")</f>
        <v/>
      </c>
      <c r="T138" s="18">
        <f>IF(Database!BL138="","",IFERROR(BDP(LEFT(Database!BL138,FIND(".",Database!BL138)-1)&amp;" CH Equity","CUR_MKT_CAP"),""))</f>
        <v/>
      </c>
    </row>
    <row r="139">
      <c r="A139" s="16">
        <f>Database!A139&amp;"  "&amp;Database!B139</f>
        <v/>
      </c>
      <c r="B139" s="10">
        <f>IFERROR(INDEX(BDS(Database!$A139&amp;" HK Equity","EQUITY_OFFERINGS","array=t","endcol=1"),MATCH("IPO",BDS(Database!$A139&amp;" HK Equity","EQUITY_OFFERINGS","array=t","startcol=2","endcol=2"),0)),"")</f>
        <v/>
      </c>
      <c r="C139" s="103">
        <f>IF($B139="","",IFERROR(BDP($B139&amp;" Action","CP036"),""))</f>
        <v/>
      </c>
      <c r="D139" s="104">
        <f>Database!S139</f>
        <v/>
      </c>
      <c r="E139" s="103">
        <f>IF($B139="","",IFERROR(BDP($B139&amp;" Action","CP037"),""))</f>
        <v/>
      </c>
      <c r="F139" s="104">
        <f>Database!T139</f>
        <v/>
      </c>
      <c r="G139" s="103">
        <f>IF($B139="","",IFERROR(BDP($B139&amp;" Action","GREENSHOE_FACILITY"),""))</f>
        <v/>
      </c>
      <c r="H139" s="103">
        <f>IF($B139="","",IFERROR(BDP($B139&amp;" Action","OFFERING_GREENSHOE_SHARES_EX"),""))</f>
        <v/>
      </c>
      <c r="I139" s="16">
        <f>Database!AG139</f>
        <v/>
      </c>
      <c r="J139" s="24">
        <f>IFERROR(BDP(Database!$A139&amp;" HK Equity","PE_RATIO"),"")</f>
        <v/>
      </c>
      <c r="K139" s="10">
        <f>IFERROR(BDP(Database!$A139&amp;" HK Equity","A/H_SHARE_CONVERSION"),"")</f>
        <v/>
      </c>
      <c r="L139" s="16">
        <f>IF(Database!BL139="","(none found)",Database!BL139)</f>
        <v/>
      </c>
      <c r="M139" s="18">
        <f>IFERROR(BDH(Database!$A139&amp;" HK Equity","CUR_MKT_CAP",Database!$H139,Database!$H139),"")</f>
        <v/>
      </c>
      <c r="N139" s="97">
        <f>Database!Q139</f>
        <v/>
      </c>
      <c r="O139" s="24">
        <f>IFERROR(BDH(Database!$A139&amp;" HK Equity","PE_RATIO",Database!$H139,Database!$H139),"")</f>
        <v/>
      </c>
      <c r="P139" s="101">
        <f>IF(Database!BF139="","(n/m or not derivable)",Database!BF139)</f>
        <v/>
      </c>
      <c r="Q139" s="24">
        <f>IF(Database!BL139="","",IFERROR(BDH(LEFT(Database!BL139,FIND(".",Database!BL139)-1)&amp;" CH Equity","PE_RATIO",Database!$H139,Database!$H139),""))</f>
        <v/>
      </c>
      <c r="R139" s="24">
        <f>IF(Database!BL139="","",IFERROR(BDH("HSAHP Index","PX_LAST",Database!$H139,Database!$H139),""))</f>
        <v/>
      </c>
      <c r="S139" s="24">
        <f>IFERROR(BDP(Database!$A139&amp;" HK Equity","PX_TO_SALES_RATIO"),"")</f>
        <v/>
      </c>
      <c r="T139" s="18">
        <f>IF(Database!BL139="","",IFERROR(BDP(LEFT(Database!BL139,FIND(".",Database!BL139)-1)&amp;" CH Equity","CUR_MKT_CAP"),""))</f>
        <v/>
      </c>
    </row>
    <row r="140">
      <c r="A140" s="16">
        <f>Database!A140&amp;"  "&amp;Database!B140</f>
        <v/>
      </c>
      <c r="B140" s="10">
        <f>IFERROR(INDEX(BDS(Database!$A140&amp;" HK Equity","EQUITY_OFFERINGS","array=t","endcol=1"),MATCH("IPO",BDS(Database!$A140&amp;" HK Equity","EQUITY_OFFERINGS","array=t","startcol=2","endcol=2"),0)),"")</f>
        <v/>
      </c>
      <c r="C140" s="103">
        <f>IF($B140="","",IFERROR(BDP($B140&amp;" Action","CP036"),""))</f>
        <v/>
      </c>
      <c r="D140" s="104">
        <f>Database!S140</f>
        <v/>
      </c>
      <c r="E140" s="103">
        <f>IF($B140="","",IFERROR(BDP($B140&amp;" Action","CP037"),""))</f>
        <v/>
      </c>
      <c r="F140" s="104">
        <f>Database!T140</f>
        <v/>
      </c>
      <c r="G140" s="103">
        <f>IF($B140="","",IFERROR(BDP($B140&amp;" Action","GREENSHOE_FACILITY"),""))</f>
        <v/>
      </c>
      <c r="H140" s="103">
        <f>IF($B140="","",IFERROR(BDP($B140&amp;" Action","OFFERING_GREENSHOE_SHARES_EX"),""))</f>
        <v/>
      </c>
      <c r="I140" s="16">
        <f>Database!AG140</f>
        <v/>
      </c>
      <c r="J140" s="24">
        <f>IFERROR(BDP(Database!$A140&amp;" HK Equity","PE_RATIO"),"")</f>
        <v/>
      </c>
      <c r="K140" s="10">
        <f>IFERROR(BDP(Database!$A140&amp;" HK Equity","A/H_SHARE_CONVERSION"),"")</f>
        <v/>
      </c>
      <c r="L140" s="16">
        <f>IF(Database!BL140="","(none found)",Database!BL140)</f>
        <v/>
      </c>
      <c r="M140" s="18">
        <f>IFERROR(BDH(Database!$A140&amp;" HK Equity","CUR_MKT_CAP",Database!$H140,Database!$H140),"")</f>
        <v/>
      </c>
      <c r="N140" s="97">
        <f>Database!Q140</f>
        <v/>
      </c>
      <c r="O140" s="24">
        <f>IFERROR(BDH(Database!$A140&amp;" HK Equity","PE_RATIO",Database!$H140,Database!$H140),"")</f>
        <v/>
      </c>
      <c r="P140" s="101">
        <f>IF(Database!BF140="","(n/m or not derivable)",Database!BF140)</f>
        <v/>
      </c>
      <c r="Q140" s="24">
        <f>IF(Database!BL140="","",IFERROR(BDH(LEFT(Database!BL140,FIND(".",Database!BL140)-1)&amp;" CH Equity","PE_RATIO",Database!$H140,Database!$H140),""))</f>
        <v/>
      </c>
      <c r="R140" s="24">
        <f>IF(Database!BL140="","",IFERROR(BDH("HSAHP Index","PX_LAST",Database!$H140,Database!$H140),""))</f>
        <v/>
      </c>
      <c r="S140" s="24">
        <f>IFERROR(BDP(Database!$A140&amp;" HK Equity","PX_TO_SALES_RATIO"),"")</f>
        <v/>
      </c>
      <c r="T140" s="18">
        <f>IF(Database!BL140="","",IFERROR(BDP(LEFT(Database!BL140,FIND(".",Database!BL140)-1)&amp;" CH Equity","CUR_MKT_CAP"),""))</f>
        <v/>
      </c>
    </row>
    <row r="141">
      <c r="A141" s="16">
        <f>Database!A141&amp;"  "&amp;Database!B141</f>
        <v/>
      </c>
      <c r="B141" s="10">
        <f>IFERROR(INDEX(BDS(Database!$A141&amp;" HK Equity","EQUITY_OFFERINGS","array=t","endcol=1"),MATCH("IPO",BDS(Database!$A141&amp;" HK Equity","EQUITY_OFFERINGS","array=t","startcol=2","endcol=2"),0)),"")</f>
        <v/>
      </c>
      <c r="C141" s="103">
        <f>IF($B141="","",IFERROR(BDP($B141&amp;" Action","CP036"),""))</f>
        <v/>
      </c>
      <c r="D141" s="104">
        <f>Database!S141</f>
        <v/>
      </c>
      <c r="E141" s="103">
        <f>IF($B141="","",IFERROR(BDP($B141&amp;" Action","CP037"),""))</f>
        <v/>
      </c>
      <c r="F141" s="104">
        <f>Database!T141</f>
        <v/>
      </c>
      <c r="G141" s="103">
        <f>IF($B141="","",IFERROR(BDP($B141&amp;" Action","GREENSHOE_FACILITY"),""))</f>
        <v/>
      </c>
      <c r="H141" s="103">
        <f>IF($B141="","",IFERROR(BDP($B141&amp;" Action","OFFERING_GREENSHOE_SHARES_EX"),""))</f>
        <v/>
      </c>
      <c r="I141" s="16">
        <f>Database!AG141</f>
        <v/>
      </c>
      <c r="J141" s="24">
        <f>IFERROR(BDP(Database!$A141&amp;" HK Equity","PE_RATIO"),"")</f>
        <v/>
      </c>
      <c r="K141" s="10">
        <f>IFERROR(BDP(Database!$A141&amp;" HK Equity","A/H_SHARE_CONVERSION"),"")</f>
        <v/>
      </c>
      <c r="L141" s="16">
        <f>IF(Database!BL141="","(none found)",Database!BL141)</f>
        <v/>
      </c>
      <c r="M141" s="18">
        <f>IFERROR(BDH(Database!$A141&amp;" HK Equity","CUR_MKT_CAP",Database!$H141,Database!$H141),"")</f>
        <v/>
      </c>
      <c r="N141" s="97">
        <f>Database!Q141</f>
        <v/>
      </c>
      <c r="O141" s="24">
        <f>IFERROR(BDH(Database!$A141&amp;" HK Equity","PE_RATIO",Database!$H141,Database!$H141),"")</f>
        <v/>
      </c>
      <c r="P141" s="101">
        <f>IF(Database!BF141="","(n/m or not derivable)",Database!BF141)</f>
        <v/>
      </c>
      <c r="Q141" s="24">
        <f>IF(Database!BL141="","",IFERROR(BDH(LEFT(Database!BL141,FIND(".",Database!BL141)-1)&amp;" CH Equity","PE_RATIO",Database!$H141,Database!$H141),""))</f>
        <v/>
      </c>
      <c r="R141" s="24">
        <f>IF(Database!BL141="","",IFERROR(BDH("HSAHP Index","PX_LAST",Database!$H141,Database!$H141),""))</f>
        <v/>
      </c>
      <c r="S141" s="24">
        <f>IFERROR(BDP(Database!$A141&amp;" HK Equity","PX_TO_SALES_RATIO"),"")</f>
        <v/>
      </c>
      <c r="T141" s="18">
        <f>IF(Database!BL141="","",IFERROR(BDP(LEFT(Database!BL141,FIND(".",Database!BL141)-1)&amp;" CH Equity","CUR_MKT_CAP"),""))</f>
        <v/>
      </c>
    </row>
    <row r="142">
      <c r="A142" s="16">
        <f>Database!A142&amp;"  "&amp;Database!B142</f>
        <v/>
      </c>
      <c r="B142" s="10">
        <f>IFERROR(INDEX(BDS(Database!$A142&amp;" HK Equity","EQUITY_OFFERINGS","array=t","endcol=1"),MATCH("IPO",BDS(Database!$A142&amp;" HK Equity","EQUITY_OFFERINGS","array=t","startcol=2","endcol=2"),0)),"")</f>
        <v/>
      </c>
      <c r="C142" s="103">
        <f>IF($B142="","",IFERROR(BDP($B142&amp;" Action","CP036"),""))</f>
        <v/>
      </c>
      <c r="D142" s="104">
        <f>Database!S142</f>
        <v/>
      </c>
      <c r="E142" s="103">
        <f>IF($B142="","",IFERROR(BDP($B142&amp;" Action","CP037"),""))</f>
        <v/>
      </c>
      <c r="F142" s="104">
        <f>Database!T142</f>
        <v/>
      </c>
      <c r="G142" s="103">
        <f>IF($B142="","",IFERROR(BDP($B142&amp;" Action","GREENSHOE_FACILITY"),""))</f>
        <v/>
      </c>
      <c r="H142" s="103">
        <f>IF($B142="","",IFERROR(BDP($B142&amp;" Action","OFFERING_GREENSHOE_SHARES_EX"),""))</f>
        <v/>
      </c>
      <c r="I142" s="16">
        <f>Database!AG142</f>
        <v/>
      </c>
      <c r="J142" s="24">
        <f>IFERROR(BDP(Database!$A142&amp;" HK Equity","PE_RATIO"),"")</f>
        <v/>
      </c>
      <c r="K142" s="10">
        <f>IFERROR(BDP(Database!$A142&amp;" HK Equity","A/H_SHARE_CONVERSION"),"")</f>
        <v/>
      </c>
      <c r="L142" s="16">
        <f>IF(Database!BL142="","(none found)",Database!BL142)</f>
        <v/>
      </c>
      <c r="M142" s="18">
        <f>IFERROR(BDH(Database!$A142&amp;" HK Equity","CUR_MKT_CAP",Database!$H142,Database!$H142),"")</f>
        <v/>
      </c>
      <c r="N142" s="97">
        <f>Database!Q142</f>
        <v/>
      </c>
      <c r="O142" s="24">
        <f>IFERROR(BDH(Database!$A142&amp;" HK Equity","PE_RATIO",Database!$H142,Database!$H142),"")</f>
        <v/>
      </c>
      <c r="P142" s="101">
        <f>IF(Database!BF142="","(n/m or not derivable)",Database!BF142)</f>
        <v/>
      </c>
      <c r="Q142" s="24">
        <f>IF(Database!BL142="","",IFERROR(BDH(LEFT(Database!BL142,FIND(".",Database!BL142)-1)&amp;" CH Equity","PE_RATIO",Database!$H142,Database!$H142),""))</f>
        <v/>
      </c>
      <c r="R142" s="24">
        <f>IF(Database!BL142="","",IFERROR(BDH("HSAHP Index","PX_LAST",Database!$H142,Database!$H142),""))</f>
        <v/>
      </c>
      <c r="S142" s="24">
        <f>IFERROR(BDP(Database!$A142&amp;" HK Equity","PX_TO_SALES_RATIO"),"")</f>
        <v/>
      </c>
      <c r="T142" s="18">
        <f>IF(Database!BL142="","",IFERROR(BDP(LEFT(Database!BL142,FIND(".",Database!BL142)-1)&amp;" CH Equity","CUR_MKT_CAP"),""))</f>
        <v/>
      </c>
    </row>
    <row r="143">
      <c r="A143" s="16">
        <f>Database!A143&amp;"  "&amp;Database!B143</f>
        <v/>
      </c>
      <c r="B143" s="10">
        <f>IFERROR(INDEX(BDS(Database!$A143&amp;" HK Equity","EQUITY_OFFERINGS","array=t","endcol=1"),MATCH("IPO",BDS(Database!$A143&amp;" HK Equity","EQUITY_OFFERINGS","array=t","startcol=2","endcol=2"),0)),"")</f>
        <v/>
      </c>
      <c r="C143" s="103">
        <f>IF($B143="","",IFERROR(BDP($B143&amp;" Action","CP036"),""))</f>
        <v/>
      </c>
      <c r="D143" s="104">
        <f>Database!S143</f>
        <v/>
      </c>
      <c r="E143" s="103">
        <f>IF($B143="","",IFERROR(BDP($B143&amp;" Action","CP037"),""))</f>
        <v/>
      </c>
      <c r="F143" s="104">
        <f>Database!T143</f>
        <v/>
      </c>
      <c r="G143" s="103">
        <f>IF($B143="","",IFERROR(BDP($B143&amp;" Action","GREENSHOE_FACILITY"),""))</f>
        <v/>
      </c>
      <c r="H143" s="103">
        <f>IF($B143="","",IFERROR(BDP($B143&amp;" Action","OFFERING_GREENSHOE_SHARES_EX"),""))</f>
        <v/>
      </c>
      <c r="I143" s="16">
        <f>Database!AG143</f>
        <v/>
      </c>
      <c r="J143" s="24">
        <f>IFERROR(BDP(Database!$A143&amp;" HK Equity","PE_RATIO"),"")</f>
        <v/>
      </c>
      <c r="K143" s="10">
        <f>IFERROR(BDP(Database!$A143&amp;" HK Equity","A/H_SHARE_CONVERSION"),"")</f>
        <v/>
      </c>
      <c r="L143" s="16">
        <f>IF(Database!BL143="","(none found)",Database!BL143)</f>
        <v/>
      </c>
      <c r="M143" s="18">
        <f>IFERROR(BDH(Database!$A143&amp;" HK Equity","CUR_MKT_CAP",Database!$H143,Database!$H143),"")</f>
        <v/>
      </c>
      <c r="N143" s="97">
        <f>Database!Q143</f>
        <v/>
      </c>
      <c r="O143" s="24">
        <f>IFERROR(BDH(Database!$A143&amp;" HK Equity","PE_RATIO",Database!$H143,Database!$H143),"")</f>
        <v/>
      </c>
      <c r="P143" s="101">
        <f>IF(Database!BF143="","(n/m or not derivable)",Database!BF143)</f>
        <v/>
      </c>
      <c r="Q143" s="24">
        <f>IF(Database!BL143="","",IFERROR(BDH(LEFT(Database!BL143,FIND(".",Database!BL143)-1)&amp;" CH Equity","PE_RATIO",Database!$H143,Database!$H143),""))</f>
        <v/>
      </c>
      <c r="R143" s="24">
        <f>IF(Database!BL143="","",IFERROR(BDH("HSAHP Index","PX_LAST",Database!$H143,Database!$H143),""))</f>
        <v/>
      </c>
      <c r="S143" s="24">
        <f>IFERROR(BDP(Database!$A143&amp;" HK Equity","PX_TO_SALES_RATIO"),"")</f>
        <v/>
      </c>
      <c r="T143" s="18">
        <f>IF(Database!BL143="","",IFERROR(BDP(LEFT(Database!BL143,FIND(".",Database!BL143)-1)&amp;" CH Equity","CUR_MKT_CAP"),""))</f>
        <v/>
      </c>
    </row>
    <row r="144">
      <c r="A144" s="16">
        <f>Database!A144&amp;"  "&amp;Database!B144</f>
        <v/>
      </c>
      <c r="B144" s="10">
        <f>IFERROR(INDEX(BDS(Database!$A144&amp;" HK Equity","EQUITY_OFFERINGS","array=t","endcol=1"),MATCH("IPO",BDS(Database!$A144&amp;" HK Equity","EQUITY_OFFERINGS","array=t","startcol=2","endcol=2"),0)),"")</f>
        <v/>
      </c>
      <c r="C144" s="103">
        <f>IF($B144="","",IFERROR(BDP($B144&amp;" Action","CP036"),""))</f>
        <v/>
      </c>
      <c r="D144" s="104">
        <f>Database!S144</f>
        <v/>
      </c>
      <c r="E144" s="103">
        <f>IF($B144="","",IFERROR(BDP($B144&amp;" Action","CP037"),""))</f>
        <v/>
      </c>
      <c r="F144" s="104">
        <f>Database!T144</f>
        <v/>
      </c>
      <c r="G144" s="103">
        <f>IF($B144="","",IFERROR(BDP($B144&amp;" Action","GREENSHOE_FACILITY"),""))</f>
        <v/>
      </c>
      <c r="H144" s="103">
        <f>IF($B144="","",IFERROR(BDP($B144&amp;" Action","OFFERING_GREENSHOE_SHARES_EX"),""))</f>
        <v/>
      </c>
      <c r="I144" s="16">
        <f>Database!AG144</f>
        <v/>
      </c>
      <c r="J144" s="24">
        <f>IFERROR(BDP(Database!$A144&amp;" HK Equity","PE_RATIO"),"")</f>
        <v/>
      </c>
      <c r="K144" s="10">
        <f>IFERROR(BDP(Database!$A144&amp;" HK Equity","A/H_SHARE_CONVERSION"),"")</f>
        <v/>
      </c>
      <c r="L144" s="16">
        <f>IF(Database!BL144="","(none found)",Database!BL144)</f>
        <v/>
      </c>
      <c r="M144" s="18">
        <f>IFERROR(BDH(Database!$A144&amp;" HK Equity","CUR_MKT_CAP",Database!$H144,Database!$H144),"")</f>
        <v/>
      </c>
      <c r="N144" s="97">
        <f>Database!Q144</f>
        <v/>
      </c>
      <c r="O144" s="24">
        <f>IFERROR(BDH(Database!$A144&amp;" HK Equity","PE_RATIO",Database!$H144,Database!$H144),"")</f>
        <v/>
      </c>
      <c r="P144" s="101">
        <f>IF(Database!BF144="","(n/m or not derivable)",Database!BF144)</f>
        <v/>
      </c>
      <c r="Q144" s="24">
        <f>IF(Database!BL144="","",IFERROR(BDH(LEFT(Database!BL144,FIND(".",Database!BL144)-1)&amp;" CH Equity","PE_RATIO",Database!$H144,Database!$H144),""))</f>
        <v/>
      </c>
      <c r="R144" s="24">
        <f>IF(Database!BL144="","",IFERROR(BDH("HSAHP Index","PX_LAST",Database!$H144,Database!$H144),""))</f>
        <v/>
      </c>
      <c r="S144" s="24">
        <f>IFERROR(BDP(Database!$A144&amp;" HK Equity","PX_TO_SALES_RATIO"),"")</f>
        <v/>
      </c>
      <c r="T144" s="18">
        <f>IF(Database!BL144="","",IFERROR(BDP(LEFT(Database!BL144,FIND(".",Database!BL144)-1)&amp;" CH Equity","CUR_MKT_CAP"),""))</f>
        <v/>
      </c>
    </row>
    <row r="145">
      <c r="A145" s="16">
        <f>Database!A145&amp;"  "&amp;Database!B145</f>
        <v/>
      </c>
      <c r="B145" s="10">
        <f>IFERROR(INDEX(BDS(Database!$A145&amp;" HK Equity","EQUITY_OFFERINGS","array=t","endcol=1"),MATCH("IPO",BDS(Database!$A145&amp;" HK Equity","EQUITY_OFFERINGS","array=t","startcol=2","endcol=2"),0)),"")</f>
        <v/>
      </c>
      <c r="C145" s="103">
        <f>IF($B145="","",IFERROR(BDP($B145&amp;" Action","CP036"),""))</f>
        <v/>
      </c>
      <c r="D145" s="104">
        <f>Database!S145</f>
        <v/>
      </c>
      <c r="E145" s="103">
        <f>IF($B145="","",IFERROR(BDP($B145&amp;" Action","CP037"),""))</f>
        <v/>
      </c>
      <c r="F145" s="104">
        <f>Database!T145</f>
        <v/>
      </c>
      <c r="G145" s="103">
        <f>IF($B145="","",IFERROR(BDP($B145&amp;" Action","GREENSHOE_FACILITY"),""))</f>
        <v/>
      </c>
      <c r="H145" s="103">
        <f>IF($B145="","",IFERROR(BDP($B145&amp;" Action","OFFERING_GREENSHOE_SHARES_EX"),""))</f>
        <v/>
      </c>
      <c r="I145" s="16">
        <f>Database!AG145</f>
        <v/>
      </c>
      <c r="J145" s="24">
        <f>IFERROR(BDP(Database!$A145&amp;" HK Equity","PE_RATIO"),"")</f>
        <v/>
      </c>
      <c r="K145" s="10">
        <f>IFERROR(BDP(Database!$A145&amp;" HK Equity","A/H_SHARE_CONVERSION"),"")</f>
        <v/>
      </c>
      <c r="L145" s="16">
        <f>IF(Database!BL145="","(none found)",Database!BL145)</f>
        <v/>
      </c>
      <c r="M145" s="18">
        <f>IFERROR(BDH(Database!$A145&amp;" HK Equity","CUR_MKT_CAP",Database!$H145,Database!$H145),"")</f>
        <v/>
      </c>
      <c r="N145" s="97">
        <f>Database!Q145</f>
        <v/>
      </c>
      <c r="O145" s="24">
        <f>IFERROR(BDH(Database!$A145&amp;" HK Equity","PE_RATIO",Database!$H145,Database!$H145),"")</f>
        <v/>
      </c>
      <c r="P145" s="101">
        <f>IF(Database!BF145="","(n/m or not derivable)",Database!BF145)</f>
        <v/>
      </c>
      <c r="Q145" s="24">
        <f>IF(Database!BL145="","",IFERROR(BDH(LEFT(Database!BL145,FIND(".",Database!BL145)-1)&amp;" CH Equity","PE_RATIO",Database!$H145,Database!$H145),""))</f>
        <v/>
      </c>
      <c r="R145" s="24">
        <f>IF(Database!BL145="","",IFERROR(BDH("HSAHP Index","PX_LAST",Database!$H145,Database!$H145),""))</f>
        <v/>
      </c>
      <c r="S145" s="24">
        <f>IFERROR(BDP(Database!$A145&amp;" HK Equity","PX_TO_SALES_RATIO"),"")</f>
        <v/>
      </c>
      <c r="T145" s="18">
        <f>IF(Database!BL145="","",IFERROR(BDP(LEFT(Database!BL145,FIND(".",Database!BL145)-1)&amp;" CH Equity","CUR_MKT_CAP"),""))</f>
        <v/>
      </c>
    </row>
    <row r="146">
      <c r="A146" s="16">
        <f>Database!A146&amp;"  "&amp;Database!B146</f>
        <v/>
      </c>
      <c r="B146" s="10">
        <f>IFERROR(INDEX(BDS(Database!$A146&amp;" HK Equity","EQUITY_OFFERINGS","array=t","endcol=1"),MATCH("IPO",BDS(Database!$A146&amp;" HK Equity","EQUITY_OFFERINGS","array=t","startcol=2","endcol=2"),0)),"")</f>
        <v/>
      </c>
      <c r="C146" s="103">
        <f>IF($B146="","",IFERROR(BDP($B146&amp;" Action","CP036"),""))</f>
        <v/>
      </c>
      <c r="D146" s="104">
        <f>Database!S146</f>
        <v/>
      </c>
      <c r="E146" s="103">
        <f>IF($B146="","",IFERROR(BDP($B146&amp;" Action","CP037"),""))</f>
        <v/>
      </c>
      <c r="F146" s="104">
        <f>Database!T146</f>
        <v/>
      </c>
      <c r="G146" s="103">
        <f>IF($B146="","",IFERROR(BDP($B146&amp;" Action","GREENSHOE_FACILITY"),""))</f>
        <v/>
      </c>
      <c r="H146" s="103">
        <f>IF($B146="","",IFERROR(BDP($B146&amp;" Action","OFFERING_GREENSHOE_SHARES_EX"),""))</f>
        <v/>
      </c>
      <c r="I146" s="16">
        <f>Database!AG146</f>
        <v/>
      </c>
      <c r="J146" s="24">
        <f>IFERROR(BDP(Database!$A146&amp;" HK Equity","PE_RATIO"),"")</f>
        <v/>
      </c>
      <c r="K146" s="10">
        <f>IFERROR(BDP(Database!$A146&amp;" HK Equity","A/H_SHARE_CONVERSION"),"")</f>
        <v/>
      </c>
      <c r="L146" s="16">
        <f>IF(Database!BL146="","(none found)",Database!BL146)</f>
        <v/>
      </c>
      <c r="M146" s="18">
        <f>IFERROR(BDH(Database!$A146&amp;" HK Equity","CUR_MKT_CAP",Database!$H146,Database!$H146),"")</f>
        <v/>
      </c>
      <c r="N146" s="97">
        <f>Database!Q146</f>
        <v/>
      </c>
      <c r="O146" s="24">
        <f>IFERROR(BDH(Database!$A146&amp;" HK Equity","PE_RATIO",Database!$H146,Database!$H146),"")</f>
        <v/>
      </c>
      <c r="P146" s="101">
        <f>IF(Database!BF146="","(n/m or not derivable)",Database!BF146)</f>
        <v/>
      </c>
      <c r="Q146" s="24">
        <f>IF(Database!BL146="","",IFERROR(BDH(LEFT(Database!BL146,FIND(".",Database!BL146)-1)&amp;" CH Equity","PE_RATIO",Database!$H146,Database!$H146),""))</f>
        <v/>
      </c>
      <c r="R146" s="24">
        <f>IF(Database!BL146="","",IFERROR(BDH("HSAHP Index","PX_LAST",Database!$H146,Database!$H146),""))</f>
        <v/>
      </c>
      <c r="S146" s="24">
        <f>IFERROR(BDP(Database!$A146&amp;" HK Equity","PX_TO_SALES_RATIO"),"")</f>
        <v/>
      </c>
      <c r="T146" s="18">
        <f>IF(Database!BL146="","",IFERROR(BDP(LEFT(Database!BL146,FIND(".",Database!BL146)-1)&amp;" CH Equity","CUR_MKT_CAP"),""))</f>
        <v/>
      </c>
    </row>
    <row r="147">
      <c r="A147" s="16">
        <f>Database!A147&amp;"  "&amp;Database!B147</f>
        <v/>
      </c>
      <c r="B147" s="10">
        <f>IFERROR(INDEX(BDS(Database!$A147&amp;" HK Equity","EQUITY_OFFERINGS","array=t","endcol=1"),MATCH("IPO",BDS(Database!$A147&amp;" HK Equity","EQUITY_OFFERINGS","array=t","startcol=2","endcol=2"),0)),"")</f>
        <v/>
      </c>
      <c r="C147" s="103">
        <f>IF($B147="","",IFERROR(BDP($B147&amp;" Action","CP036"),""))</f>
        <v/>
      </c>
      <c r="D147" s="104">
        <f>Database!S147</f>
        <v/>
      </c>
      <c r="E147" s="103">
        <f>IF($B147="","",IFERROR(BDP($B147&amp;" Action","CP037"),""))</f>
        <v/>
      </c>
      <c r="F147" s="104">
        <f>Database!T147</f>
        <v/>
      </c>
      <c r="G147" s="103">
        <f>IF($B147="","",IFERROR(BDP($B147&amp;" Action","GREENSHOE_FACILITY"),""))</f>
        <v/>
      </c>
      <c r="H147" s="103">
        <f>IF($B147="","",IFERROR(BDP($B147&amp;" Action","OFFERING_GREENSHOE_SHARES_EX"),""))</f>
        <v/>
      </c>
      <c r="I147" s="16">
        <f>Database!AG147</f>
        <v/>
      </c>
      <c r="J147" s="24">
        <f>IFERROR(BDP(Database!$A147&amp;" HK Equity","PE_RATIO"),"")</f>
        <v/>
      </c>
      <c r="K147" s="10">
        <f>IFERROR(BDP(Database!$A147&amp;" HK Equity","A/H_SHARE_CONVERSION"),"")</f>
        <v/>
      </c>
      <c r="L147" s="16">
        <f>IF(Database!BL147="","(none found)",Database!BL147)</f>
        <v/>
      </c>
      <c r="M147" s="18">
        <f>IFERROR(BDH(Database!$A147&amp;" HK Equity","CUR_MKT_CAP",Database!$H147,Database!$H147),"")</f>
        <v/>
      </c>
      <c r="N147" s="97">
        <f>Database!Q147</f>
        <v/>
      </c>
      <c r="O147" s="24">
        <f>IFERROR(BDH(Database!$A147&amp;" HK Equity","PE_RATIO",Database!$H147,Database!$H147),"")</f>
        <v/>
      </c>
      <c r="P147" s="101">
        <f>IF(Database!BF147="","(n/m or not derivable)",Database!BF147)</f>
        <v/>
      </c>
      <c r="Q147" s="24">
        <f>IF(Database!BL147="","",IFERROR(BDH(LEFT(Database!BL147,FIND(".",Database!BL147)-1)&amp;" CH Equity","PE_RATIO",Database!$H147,Database!$H147),""))</f>
        <v/>
      </c>
      <c r="R147" s="24">
        <f>IF(Database!BL147="","",IFERROR(BDH("HSAHP Index","PX_LAST",Database!$H147,Database!$H147),""))</f>
        <v/>
      </c>
      <c r="S147" s="24">
        <f>IFERROR(BDP(Database!$A147&amp;" HK Equity","PX_TO_SALES_RATIO"),"")</f>
        <v/>
      </c>
      <c r="T147" s="18">
        <f>IF(Database!BL147="","",IFERROR(BDP(LEFT(Database!BL147,FIND(".",Database!BL147)-1)&amp;" CH Equity","CUR_MKT_CAP"),""))</f>
        <v/>
      </c>
    </row>
    <row r="148">
      <c r="A148" s="16">
        <f>Database!A148&amp;"  "&amp;Database!B148</f>
        <v/>
      </c>
      <c r="B148" s="10">
        <f>IFERROR(INDEX(BDS(Database!$A148&amp;" HK Equity","EQUITY_OFFERINGS","array=t","endcol=1"),MATCH("IPO",BDS(Database!$A148&amp;" HK Equity","EQUITY_OFFERINGS","array=t","startcol=2","endcol=2"),0)),"")</f>
        <v/>
      </c>
      <c r="C148" s="103">
        <f>IF($B148="","",IFERROR(BDP($B148&amp;" Action","CP036"),""))</f>
        <v/>
      </c>
      <c r="D148" s="104">
        <f>Database!S148</f>
        <v/>
      </c>
      <c r="E148" s="103">
        <f>IF($B148="","",IFERROR(BDP($B148&amp;" Action","CP037"),""))</f>
        <v/>
      </c>
      <c r="F148" s="104">
        <f>Database!T148</f>
        <v/>
      </c>
      <c r="G148" s="103">
        <f>IF($B148="","",IFERROR(BDP($B148&amp;" Action","GREENSHOE_FACILITY"),""))</f>
        <v/>
      </c>
      <c r="H148" s="103">
        <f>IF($B148="","",IFERROR(BDP($B148&amp;" Action","OFFERING_GREENSHOE_SHARES_EX"),""))</f>
        <v/>
      </c>
      <c r="I148" s="16">
        <f>Database!AG148</f>
        <v/>
      </c>
      <c r="J148" s="24">
        <f>IFERROR(BDP(Database!$A148&amp;" HK Equity","PE_RATIO"),"")</f>
        <v/>
      </c>
      <c r="K148" s="10">
        <f>IFERROR(BDP(Database!$A148&amp;" HK Equity","A/H_SHARE_CONVERSION"),"")</f>
        <v/>
      </c>
      <c r="L148" s="16">
        <f>IF(Database!BL148="","(none found)",Database!BL148)</f>
        <v/>
      </c>
      <c r="M148" s="18">
        <f>IFERROR(BDH(Database!$A148&amp;" HK Equity","CUR_MKT_CAP",Database!$H148,Database!$H148),"")</f>
        <v/>
      </c>
      <c r="N148" s="97">
        <f>Database!Q148</f>
        <v/>
      </c>
      <c r="O148" s="24">
        <f>IFERROR(BDH(Database!$A148&amp;" HK Equity","PE_RATIO",Database!$H148,Database!$H148),"")</f>
        <v/>
      </c>
      <c r="P148" s="101">
        <f>IF(Database!BF148="","(n/m or not derivable)",Database!BF148)</f>
        <v/>
      </c>
      <c r="Q148" s="24">
        <f>IF(Database!BL148="","",IFERROR(BDH(LEFT(Database!BL148,FIND(".",Database!BL148)-1)&amp;" CH Equity","PE_RATIO",Database!$H148,Database!$H148),""))</f>
        <v/>
      </c>
      <c r="R148" s="24">
        <f>IF(Database!BL148="","",IFERROR(BDH("HSAHP Index","PX_LAST",Database!$H148,Database!$H148),""))</f>
        <v/>
      </c>
      <c r="S148" s="24">
        <f>IFERROR(BDP(Database!$A148&amp;" HK Equity","PX_TO_SALES_RATIO"),"")</f>
        <v/>
      </c>
      <c r="T148" s="18">
        <f>IF(Database!BL148="","",IFERROR(BDP(LEFT(Database!BL148,FIND(".",Database!BL148)-1)&amp;" CH Equity","CUR_MKT_CAP"),""))</f>
        <v/>
      </c>
    </row>
    <row r="149">
      <c r="A149" s="16">
        <f>Database!A149&amp;"  "&amp;Database!B149</f>
        <v/>
      </c>
      <c r="B149" s="10">
        <f>IFERROR(INDEX(BDS(Database!$A149&amp;" HK Equity","EQUITY_OFFERINGS","array=t","endcol=1"),MATCH("IPO",BDS(Database!$A149&amp;" HK Equity","EQUITY_OFFERINGS","array=t","startcol=2","endcol=2"),0)),"")</f>
        <v/>
      </c>
      <c r="C149" s="103">
        <f>IF($B149="","",IFERROR(BDP($B149&amp;" Action","CP036"),""))</f>
        <v/>
      </c>
      <c r="D149" s="104">
        <f>Database!S149</f>
        <v/>
      </c>
      <c r="E149" s="103">
        <f>IF($B149="","",IFERROR(BDP($B149&amp;" Action","CP037"),""))</f>
        <v/>
      </c>
      <c r="F149" s="104">
        <f>Database!T149</f>
        <v/>
      </c>
      <c r="G149" s="103">
        <f>IF($B149="","",IFERROR(BDP($B149&amp;" Action","GREENSHOE_FACILITY"),""))</f>
        <v/>
      </c>
      <c r="H149" s="103">
        <f>IF($B149="","",IFERROR(BDP($B149&amp;" Action","OFFERING_GREENSHOE_SHARES_EX"),""))</f>
        <v/>
      </c>
      <c r="I149" s="16">
        <f>Database!AG149</f>
        <v/>
      </c>
      <c r="J149" s="24">
        <f>IFERROR(BDP(Database!$A149&amp;" HK Equity","PE_RATIO"),"")</f>
        <v/>
      </c>
      <c r="K149" s="10">
        <f>IFERROR(BDP(Database!$A149&amp;" HK Equity","A/H_SHARE_CONVERSION"),"")</f>
        <v/>
      </c>
      <c r="L149" s="16">
        <f>IF(Database!BL149="","(none found)",Database!BL149)</f>
        <v/>
      </c>
      <c r="M149" s="18">
        <f>IFERROR(BDH(Database!$A149&amp;" HK Equity","CUR_MKT_CAP",Database!$H149,Database!$H149),"")</f>
        <v/>
      </c>
      <c r="N149" s="97">
        <f>Database!Q149</f>
        <v/>
      </c>
      <c r="O149" s="24">
        <f>IFERROR(BDH(Database!$A149&amp;" HK Equity","PE_RATIO",Database!$H149,Database!$H149),"")</f>
        <v/>
      </c>
      <c r="P149" s="101">
        <f>IF(Database!BF149="","(n/m or not derivable)",Database!BF149)</f>
        <v/>
      </c>
      <c r="Q149" s="24">
        <f>IF(Database!BL149="","",IFERROR(BDH(LEFT(Database!BL149,FIND(".",Database!BL149)-1)&amp;" CH Equity","PE_RATIO",Database!$H149,Database!$H149),""))</f>
        <v/>
      </c>
      <c r="R149" s="24">
        <f>IF(Database!BL149="","",IFERROR(BDH("HSAHP Index","PX_LAST",Database!$H149,Database!$H149),""))</f>
        <v/>
      </c>
      <c r="S149" s="24">
        <f>IFERROR(BDP(Database!$A149&amp;" HK Equity","PX_TO_SALES_RATIO"),"")</f>
        <v/>
      </c>
      <c r="T149" s="18">
        <f>IF(Database!BL149="","",IFERROR(BDP(LEFT(Database!BL149,FIND(".",Database!BL149)-1)&amp;" CH Equity","CUR_MKT_CAP"),""))</f>
        <v/>
      </c>
    </row>
    <row r="150">
      <c r="A150" s="16">
        <f>Database!A150&amp;"  "&amp;Database!B150</f>
        <v/>
      </c>
      <c r="B150" s="10">
        <f>IFERROR(INDEX(BDS(Database!$A150&amp;" HK Equity","EQUITY_OFFERINGS","array=t","endcol=1"),MATCH("IPO",BDS(Database!$A150&amp;" HK Equity","EQUITY_OFFERINGS","array=t","startcol=2","endcol=2"),0)),"")</f>
        <v/>
      </c>
      <c r="C150" s="103">
        <f>IF($B150="","",IFERROR(BDP($B150&amp;" Action","CP036"),""))</f>
        <v/>
      </c>
      <c r="D150" s="104">
        <f>Database!S150</f>
        <v/>
      </c>
      <c r="E150" s="103">
        <f>IF($B150="","",IFERROR(BDP($B150&amp;" Action","CP037"),""))</f>
        <v/>
      </c>
      <c r="F150" s="104">
        <f>Database!T150</f>
        <v/>
      </c>
      <c r="G150" s="103">
        <f>IF($B150="","",IFERROR(BDP($B150&amp;" Action","GREENSHOE_FACILITY"),""))</f>
        <v/>
      </c>
      <c r="H150" s="103">
        <f>IF($B150="","",IFERROR(BDP($B150&amp;" Action","OFFERING_GREENSHOE_SHARES_EX"),""))</f>
        <v/>
      </c>
      <c r="I150" s="16">
        <f>Database!AG150</f>
        <v/>
      </c>
      <c r="J150" s="24">
        <f>IFERROR(BDP(Database!$A150&amp;" HK Equity","PE_RATIO"),"")</f>
        <v/>
      </c>
      <c r="K150" s="10">
        <f>IFERROR(BDP(Database!$A150&amp;" HK Equity","A/H_SHARE_CONVERSION"),"")</f>
        <v/>
      </c>
      <c r="L150" s="16">
        <f>IF(Database!BL150="","(none found)",Database!BL150)</f>
        <v/>
      </c>
      <c r="M150" s="18">
        <f>IFERROR(BDH(Database!$A150&amp;" HK Equity","CUR_MKT_CAP",Database!$H150,Database!$H150),"")</f>
        <v/>
      </c>
      <c r="N150" s="97">
        <f>Database!Q150</f>
        <v/>
      </c>
      <c r="O150" s="24">
        <f>IFERROR(BDH(Database!$A150&amp;" HK Equity","PE_RATIO",Database!$H150,Database!$H150),"")</f>
        <v/>
      </c>
      <c r="P150" s="101">
        <f>IF(Database!BF150="","(n/m or not derivable)",Database!BF150)</f>
        <v/>
      </c>
      <c r="Q150" s="24">
        <f>IF(Database!BL150="","",IFERROR(BDH(LEFT(Database!BL150,FIND(".",Database!BL150)-1)&amp;" CH Equity","PE_RATIO",Database!$H150,Database!$H150),""))</f>
        <v/>
      </c>
      <c r="R150" s="24">
        <f>IF(Database!BL150="","",IFERROR(BDH("HSAHP Index","PX_LAST",Database!$H150,Database!$H150),""))</f>
        <v/>
      </c>
      <c r="S150" s="24">
        <f>IFERROR(BDP(Database!$A150&amp;" HK Equity","PX_TO_SALES_RATIO"),"")</f>
        <v/>
      </c>
      <c r="T150" s="18">
        <f>IF(Database!BL150="","",IFERROR(BDP(LEFT(Database!BL150,FIND(".",Database!BL150)-1)&amp;" CH Equity","CUR_MKT_CAP"),""))</f>
        <v/>
      </c>
    </row>
    <row r="151">
      <c r="A151" s="16">
        <f>Database!A151&amp;"  "&amp;Database!B151</f>
        <v/>
      </c>
      <c r="B151" s="10">
        <f>IFERROR(INDEX(BDS(Database!$A151&amp;" HK Equity","EQUITY_OFFERINGS","array=t","endcol=1"),MATCH("IPO",BDS(Database!$A151&amp;" HK Equity","EQUITY_OFFERINGS","array=t","startcol=2","endcol=2"),0)),"")</f>
        <v/>
      </c>
      <c r="C151" s="103">
        <f>IF($B151="","",IFERROR(BDP($B151&amp;" Action","CP036"),""))</f>
        <v/>
      </c>
      <c r="D151" s="104">
        <f>Database!S151</f>
        <v/>
      </c>
      <c r="E151" s="103">
        <f>IF($B151="","",IFERROR(BDP($B151&amp;" Action","CP037"),""))</f>
        <v/>
      </c>
      <c r="F151" s="104">
        <f>Database!T151</f>
        <v/>
      </c>
      <c r="G151" s="103">
        <f>IF($B151="","",IFERROR(BDP($B151&amp;" Action","GREENSHOE_FACILITY"),""))</f>
        <v/>
      </c>
      <c r="H151" s="103">
        <f>IF($B151="","",IFERROR(BDP($B151&amp;" Action","OFFERING_GREENSHOE_SHARES_EX"),""))</f>
        <v/>
      </c>
      <c r="I151" s="16">
        <f>Database!AG151</f>
        <v/>
      </c>
      <c r="J151" s="24">
        <f>IFERROR(BDP(Database!$A151&amp;" HK Equity","PE_RATIO"),"")</f>
        <v/>
      </c>
      <c r="K151" s="10">
        <f>IFERROR(BDP(Database!$A151&amp;" HK Equity","A/H_SHARE_CONVERSION"),"")</f>
        <v/>
      </c>
      <c r="L151" s="16">
        <f>IF(Database!BL151="","(none found)",Database!BL151)</f>
        <v/>
      </c>
      <c r="M151" s="18">
        <f>IFERROR(BDH(Database!$A151&amp;" HK Equity","CUR_MKT_CAP",Database!$H151,Database!$H151),"")</f>
        <v/>
      </c>
      <c r="N151" s="97">
        <f>Database!Q151</f>
        <v/>
      </c>
      <c r="O151" s="24">
        <f>IFERROR(BDH(Database!$A151&amp;" HK Equity","PE_RATIO",Database!$H151,Database!$H151),"")</f>
        <v/>
      </c>
      <c r="P151" s="101">
        <f>IF(Database!BF151="","(n/m or not derivable)",Database!BF151)</f>
        <v/>
      </c>
      <c r="Q151" s="24">
        <f>IF(Database!BL151="","",IFERROR(BDH(LEFT(Database!BL151,FIND(".",Database!BL151)-1)&amp;" CH Equity","PE_RATIO",Database!$H151,Database!$H151),""))</f>
        <v/>
      </c>
      <c r="R151" s="24">
        <f>IF(Database!BL151="","",IFERROR(BDH("HSAHP Index","PX_LAST",Database!$H151,Database!$H151),""))</f>
        <v/>
      </c>
      <c r="S151" s="24">
        <f>IFERROR(BDP(Database!$A151&amp;" HK Equity","PX_TO_SALES_RATIO"),"")</f>
        <v/>
      </c>
      <c r="T151" s="18">
        <f>IF(Database!BL151="","",IFERROR(BDP(LEFT(Database!BL151,FIND(".",Database!BL151)-1)&amp;" CH Equity","CUR_MKT_CAP"),""))</f>
        <v/>
      </c>
    </row>
    <row r="152">
      <c r="A152" s="16">
        <f>Database!A152&amp;"  "&amp;Database!B152</f>
        <v/>
      </c>
      <c r="B152" s="10">
        <f>IFERROR(INDEX(BDS(Database!$A152&amp;" HK Equity","EQUITY_OFFERINGS","array=t","endcol=1"),MATCH("IPO",BDS(Database!$A152&amp;" HK Equity","EQUITY_OFFERINGS","array=t","startcol=2","endcol=2"),0)),"")</f>
        <v/>
      </c>
      <c r="C152" s="103">
        <f>IF($B152="","",IFERROR(BDP($B152&amp;" Action","CP036"),""))</f>
        <v/>
      </c>
      <c r="D152" s="104">
        <f>Database!S152</f>
        <v/>
      </c>
      <c r="E152" s="103">
        <f>IF($B152="","",IFERROR(BDP($B152&amp;" Action","CP037"),""))</f>
        <v/>
      </c>
      <c r="F152" s="104">
        <f>Database!T152</f>
        <v/>
      </c>
      <c r="G152" s="103">
        <f>IF($B152="","",IFERROR(BDP($B152&amp;" Action","GREENSHOE_FACILITY"),""))</f>
        <v/>
      </c>
      <c r="H152" s="103">
        <f>IF($B152="","",IFERROR(BDP($B152&amp;" Action","OFFERING_GREENSHOE_SHARES_EX"),""))</f>
        <v/>
      </c>
      <c r="I152" s="16">
        <f>Database!AG152</f>
        <v/>
      </c>
      <c r="J152" s="24">
        <f>IFERROR(BDP(Database!$A152&amp;" HK Equity","PE_RATIO"),"")</f>
        <v/>
      </c>
      <c r="K152" s="10">
        <f>IFERROR(BDP(Database!$A152&amp;" HK Equity","A/H_SHARE_CONVERSION"),"")</f>
        <v/>
      </c>
      <c r="L152" s="16">
        <f>IF(Database!BL152="","(none found)",Database!BL152)</f>
        <v/>
      </c>
      <c r="M152" s="18">
        <f>IFERROR(BDH(Database!$A152&amp;" HK Equity","CUR_MKT_CAP",Database!$H152,Database!$H152),"")</f>
        <v/>
      </c>
      <c r="N152" s="97">
        <f>Database!Q152</f>
        <v/>
      </c>
      <c r="O152" s="24">
        <f>IFERROR(BDH(Database!$A152&amp;" HK Equity","PE_RATIO",Database!$H152,Database!$H152),"")</f>
        <v/>
      </c>
      <c r="P152" s="101">
        <f>IF(Database!BF152="","(n/m or not derivable)",Database!BF152)</f>
        <v/>
      </c>
      <c r="Q152" s="24">
        <f>IF(Database!BL152="","",IFERROR(BDH(LEFT(Database!BL152,FIND(".",Database!BL152)-1)&amp;" CH Equity","PE_RATIO",Database!$H152,Database!$H152),""))</f>
        <v/>
      </c>
      <c r="R152" s="24">
        <f>IF(Database!BL152="","",IFERROR(BDH("HSAHP Index","PX_LAST",Database!$H152,Database!$H152),""))</f>
        <v/>
      </c>
      <c r="S152" s="24">
        <f>IFERROR(BDP(Database!$A152&amp;" HK Equity","PX_TO_SALES_RATIO"),"")</f>
        <v/>
      </c>
      <c r="T152" s="18">
        <f>IF(Database!BL152="","",IFERROR(BDP(LEFT(Database!BL152,FIND(".",Database!BL152)-1)&amp;" CH Equity","CUR_MKT_CAP"),""))</f>
        <v/>
      </c>
    </row>
    <row r="153">
      <c r="A153" s="16">
        <f>Database!A153&amp;"  "&amp;Database!B153</f>
        <v/>
      </c>
      <c r="B153" s="10">
        <f>IFERROR(INDEX(BDS(Database!$A153&amp;" HK Equity","EQUITY_OFFERINGS","array=t","endcol=1"),MATCH("IPO",BDS(Database!$A153&amp;" HK Equity","EQUITY_OFFERINGS","array=t","startcol=2","endcol=2"),0)),"")</f>
        <v/>
      </c>
      <c r="C153" s="103">
        <f>IF($B153="","",IFERROR(BDP($B153&amp;" Action","CP036"),""))</f>
        <v/>
      </c>
      <c r="D153" s="104">
        <f>Database!S153</f>
        <v/>
      </c>
      <c r="E153" s="103">
        <f>IF($B153="","",IFERROR(BDP($B153&amp;" Action","CP037"),""))</f>
        <v/>
      </c>
      <c r="F153" s="104">
        <f>Database!T153</f>
        <v/>
      </c>
      <c r="G153" s="103">
        <f>IF($B153="","",IFERROR(BDP($B153&amp;" Action","GREENSHOE_FACILITY"),""))</f>
        <v/>
      </c>
      <c r="H153" s="103">
        <f>IF($B153="","",IFERROR(BDP($B153&amp;" Action","OFFERING_GREENSHOE_SHARES_EX"),""))</f>
        <v/>
      </c>
      <c r="I153" s="16">
        <f>Database!AG153</f>
        <v/>
      </c>
      <c r="J153" s="24">
        <f>IFERROR(BDP(Database!$A153&amp;" HK Equity","PE_RATIO"),"")</f>
        <v/>
      </c>
      <c r="K153" s="10">
        <f>IFERROR(BDP(Database!$A153&amp;" HK Equity","A/H_SHARE_CONVERSION"),"")</f>
        <v/>
      </c>
      <c r="L153" s="16">
        <f>IF(Database!BL153="","(none found)",Database!BL153)</f>
        <v/>
      </c>
      <c r="M153" s="18">
        <f>IFERROR(BDH(Database!$A153&amp;" HK Equity","CUR_MKT_CAP",Database!$H153,Database!$H153),"")</f>
        <v/>
      </c>
      <c r="N153" s="97">
        <f>Database!Q153</f>
        <v/>
      </c>
      <c r="O153" s="24">
        <f>IFERROR(BDH(Database!$A153&amp;" HK Equity","PE_RATIO",Database!$H153,Database!$H153),"")</f>
        <v/>
      </c>
      <c r="P153" s="101">
        <f>IF(Database!BF153="","(n/m or not derivable)",Database!BF153)</f>
        <v/>
      </c>
      <c r="Q153" s="24">
        <f>IF(Database!BL153="","",IFERROR(BDH(LEFT(Database!BL153,FIND(".",Database!BL153)-1)&amp;" CH Equity","PE_RATIO",Database!$H153,Database!$H153),""))</f>
        <v/>
      </c>
      <c r="R153" s="24">
        <f>IF(Database!BL153="","",IFERROR(BDH("HSAHP Index","PX_LAST",Database!$H153,Database!$H153),""))</f>
        <v/>
      </c>
      <c r="S153" s="24">
        <f>IFERROR(BDP(Database!$A153&amp;" HK Equity","PX_TO_SALES_RATIO"),"")</f>
        <v/>
      </c>
      <c r="T153" s="18">
        <f>IF(Database!BL153="","",IFERROR(BDP(LEFT(Database!BL153,FIND(".",Database!BL153)-1)&amp;" CH Equity","CUR_MKT_CAP"),""))</f>
        <v/>
      </c>
    </row>
    <row r="154">
      <c r="A154" s="16">
        <f>Database!A154&amp;"  "&amp;Database!B154</f>
        <v/>
      </c>
      <c r="B154" s="10">
        <f>IFERROR(INDEX(BDS(Database!$A154&amp;" HK Equity","EQUITY_OFFERINGS","array=t","endcol=1"),MATCH("IPO",BDS(Database!$A154&amp;" HK Equity","EQUITY_OFFERINGS","array=t","startcol=2","endcol=2"),0)),"")</f>
        <v/>
      </c>
      <c r="C154" s="103">
        <f>IF($B154="","",IFERROR(BDP($B154&amp;" Action","CP036"),""))</f>
        <v/>
      </c>
      <c r="D154" s="104">
        <f>Database!S154</f>
        <v/>
      </c>
      <c r="E154" s="103">
        <f>IF($B154="","",IFERROR(BDP($B154&amp;" Action","CP037"),""))</f>
        <v/>
      </c>
      <c r="F154" s="104">
        <f>Database!T154</f>
        <v/>
      </c>
      <c r="G154" s="103">
        <f>IF($B154="","",IFERROR(BDP($B154&amp;" Action","GREENSHOE_FACILITY"),""))</f>
        <v/>
      </c>
      <c r="H154" s="103">
        <f>IF($B154="","",IFERROR(BDP($B154&amp;" Action","OFFERING_GREENSHOE_SHARES_EX"),""))</f>
        <v/>
      </c>
      <c r="I154" s="16">
        <f>Database!AG154</f>
        <v/>
      </c>
      <c r="J154" s="24">
        <f>IFERROR(BDP(Database!$A154&amp;" HK Equity","PE_RATIO"),"")</f>
        <v/>
      </c>
      <c r="K154" s="10">
        <f>IFERROR(BDP(Database!$A154&amp;" HK Equity","A/H_SHARE_CONVERSION"),"")</f>
        <v/>
      </c>
      <c r="L154" s="16">
        <f>IF(Database!BL154="","(none found)",Database!BL154)</f>
        <v/>
      </c>
      <c r="M154" s="18">
        <f>IFERROR(BDH(Database!$A154&amp;" HK Equity","CUR_MKT_CAP",Database!$H154,Database!$H154),"")</f>
        <v/>
      </c>
      <c r="N154" s="97">
        <f>Database!Q154</f>
        <v/>
      </c>
      <c r="O154" s="24">
        <f>IFERROR(BDH(Database!$A154&amp;" HK Equity","PE_RATIO",Database!$H154,Database!$H154),"")</f>
        <v/>
      </c>
      <c r="P154" s="101">
        <f>IF(Database!BF154="","(n/m or not derivable)",Database!BF154)</f>
        <v/>
      </c>
      <c r="Q154" s="24">
        <f>IF(Database!BL154="","",IFERROR(BDH(LEFT(Database!BL154,FIND(".",Database!BL154)-1)&amp;" CH Equity","PE_RATIO",Database!$H154,Database!$H154),""))</f>
        <v/>
      </c>
      <c r="R154" s="24">
        <f>IF(Database!BL154="","",IFERROR(BDH("HSAHP Index","PX_LAST",Database!$H154,Database!$H154),""))</f>
        <v/>
      </c>
      <c r="S154" s="24">
        <f>IFERROR(BDP(Database!$A154&amp;" HK Equity","PX_TO_SALES_RATIO"),"")</f>
        <v/>
      </c>
      <c r="T154" s="18">
        <f>IF(Database!BL154="","",IFERROR(BDP(LEFT(Database!BL154,FIND(".",Database!BL154)-1)&amp;" CH Equity","CUR_MKT_CAP"),""))</f>
        <v/>
      </c>
    </row>
    <row r="155">
      <c r="A155" s="16">
        <f>Database!A155&amp;"  "&amp;Database!B155</f>
        <v/>
      </c>
      <c r="B155" s="10">
        <f>IFERROR(INDEX(BDS(Database!$A155&amp;" HK Equity","EQUITY_OFFERINGS","array=t","endcol=1"),MATCH("IPO",BDS(Database!$A155&amp;" HK Equity","EQUITY_OFFERINGS","array=t","startcol=2","endcol=2"),0)),"")</f>
        <v/>
      </c>
      <c r="C155" s="103">
        <f>IF($B155="","",IFERROR(BDP($B155&amp;" Action","CP036"),""))</f>
        <v/>
      </c>
      <c r="D155" s="104">
        <f>Database!S155</f>
        <v/>
      </c>
      <c r="E155" s="103">
        <f>IF($B155="","",IFERROR(BDP($B155&amp;" Action","CP037"),""))</f>
        <v/>
      </c>
      <c r="F155" s="104">
        <f>Database!T155</f>
        <v/>
      </c>
      <c r="G155" s="103">
        <f>IF($B155="","",IFERROR(BDP($B155&amp;" Action","GREENSHOE_FACILITY"),""))</f>
        <v/>
      </c>
      <c r="H155" s="103">
        <f>IF($B155="","",IFERROR(BDP($B155&amp;" Action","OFFERING_GREENSHOE_SHARES_EX"),""))</f>
        <v/>
      </c>
      <c r="I155" s="16">
        <f>Database!AG155</f>
        <v/>
      </c>
      <c r="J155" s="24">
        <f>IFERROR(BDP(Database!$A155&amp;" HK Equity","PE_RATIO"),"")</f>
        <v/>
      </c>
      <c r="K155" s="10">
        <f>IFERROR(BDP(Database!$A155&amp;" HK Equity","A/H_SHARE_CONVERSION"),"")</f>
        <v/>
      </c>
      <c r="L155" s="16">
        <f>IF(Database!BL155="","(none found)",Database!BL155)</f>
        <v/>
      </c>
      <c r="M155" s="18">
        <f>IFERROR(BDH(Database!$A155&amp;" HK Equity","CUR_MKT_CAP",Database!$H155,Database!$H155),"")</f>
        <v/>
      </c>
      <c r="N155" s="97">
        <f>Database!Q155</f>
        <v/>
      </c>
      <c r="O155" s="24">
        <f>IFERROR(BDH(Database!$A155&amp;" HK Equity","PE_RATIO",Database!$H155,Database!$H155),"")</f>
        <v/>
      </c>
      <c r="P155" s="101">
        <f>IF(Database!BF155="","(n/m or not derivable)",Database!BF155)</f>
        <v/>
      </c>
      <c r="Q155" s="24">
        <f>IF(Database!BL155="","",IFERROR(BDH(LEFT(Database!BL155,FIND(".",Database!BL155)-1)&amp;" CH Equity","PE_RATIO",Database!$H155,Database!$H155),""))</f>
        <v/>
      </c>
      <c r="R155" s="24">
        <f>IF(Database!BL155="","",IFERROR(BDH("HSAHP Index","PX_LAST",Database!$H155,Database!$H155),""))</f>
        <v/>
      </c>
      <c r="S155" s="24">
        <f>IFERROR(BDP(Database!$A155&amp;" HK Equity","PX_TO_SALES_RATIO"),"")</f>
        <v/>
      </c>
      <c r="T155" s="18">
        <f>IF(Database!BL155="","",IFERROR(BDP(LEFT(Database!BL155,FIND(".",Database!BL155)-1)&amp;" CH Equity","CUR_MKT_CAP"),""))</f>
        <v/>
      </c>
    </row>
    <row r="156">
      <c r="A156" s="16">
        <f>Database!A156&amp;"  "&amp;Database!B156</f>
        <v/>
      </c>
      <c r="B156" s="10">
        <f>IFERROR(INDEX(BDS(Database!$A156&amp;" HK Equity","EQUITY_OFFERINGS","array=t","endcol=1"),MATCH("IPO",BDS(Database!$A156&amp;" HK Equity","EQUITY_OFFERINGS","array=t","startcol=2","endcol=2"),0)),"")</f>
        <v/>
      </c>
      <c r="C156" s="103">
        <f>IF($B156="","",IFERROR(BDP($B156&amp;" Action","CP036"),""))</f>
        <v/>
      </c>
      <c r="D156" s="104">
        <f>Database!S156</f>
        <v/>
      </c>
      <c r="E156" s="103">
        <f>IF($B156="","",IFERROR(BDP($B156&amp;" Action","CP037"),""))</f>
        <v/>
      </c>
      <c r="F156" s="104">
        <f>Database!T156</f>
        <v/>
      </c>
      <c r="G156" s="103">
        <f>IF($B156="","",IFERROR(BDP($B156&amp;" Action","GREENSHOE_FACILITY"),""))</f>
        <v/>
      </c>
      <c r="H156" s="103">
        <f>IF($B156="","",IFERROR(BDP($B156&amp;" Action","OFFERING_GREENSHOE_SHARES_EX"),""))</f>
        <v/>
      </c>
      <c r="I156" s="16">
        <f>Database!AG156</f>
        <v/>
      </c>
      <c r="J156" s="24">
        <f>IFERROR(BDP(Database!$A156&amp;" HK Equity","PE_RATIO"),"")</f>
        <v/>
      </c>
      <c r="K156" s="10">
        <f>IFERROR(BDP(Database!$A156&amp;" HK Equity","A/H_SHARE_CONVERSION"),"")</f>
        <v/>
      </c>
      <c r="L156" s="16">
        <f>IF(Database!BL156="","(none found)",Database!BL156)</f>
        <v/>
      </c>
      <c r="M156" s="18">
        <f>IFERROR(BDH(Database!$A156&amp;" HK Equity","CUR_MKT_CAP",Database!$H156,Database!$H156),"")</f>
        <v/>
      </c>
      <c r="N156" s="97">
        <f>Database!Q156</f>
        <v/>
      </c>
      <c r="O156" s="24">
        <f>IFERROR(BDH(Database!$A156&amp;" HK Equity","PE_RATIO",Database!$H156,Database!$H156),"")</f>
        <v/>
      </c>
      <c r="P156" s="101">
        <f>IF(Database!BF156="","(n/m or not derivable)",Database!BF156)</f>
        <v/>
      </c>
      <c r="Q156" s="24">
        <f>IF(Database!BL156="","",IFERROR(BDH(LEFT(Database!BL156,FIND(".",Database!BL156)-1)&amp;" CH Equity","PE_RATIO",Database!$H156,Database!$H156),""))</f>
        <v/>
      </c>
      <c r="R156" s="24">
        <f>IF(Database!BL156="","",IFERROR(BDH("HSAHP Index","PX_LAST",Database!$H156,Database!$H156),""))</f>
        <v/>
      </c>
      <c r="S156" s="24">
        <f>IFERROR(BDP(Database!$A156&amp;" HK Equity","PX_TO_SALES_RATIO"),"")</f>
        <v/>
      </c>
      <c r="T156" s="18">
        <f>IF(Database!BL156="","",IFERROR(BDP(LEFT(Database!BL156,FIND(".",Database!BL156)-1)&amp;" CH Equity","CUR_MKT_CAP"),""))</f>
        <v/>
      </c>
    </row>
    <row r="157">
      <c r="A157" s="16">
        <f>Database!A157&amp;"  "&amp;Database!B157</f>
        <v/>
      </c>
      <c r="B157" s="10">
        <f>IFERROR(INDEX(BDS(Database!$A157&amp;" HK Equity","EQUITY_OFFERINGS","array=t","endcol=1"),MATCH("IPO",BDS(Database!$A157&amp;" HK Equity","EQUITY_OFFERINGS","array=t","startcol=2","endcol=2"),0)),"")</f>
        <v/>
      </c>
      <c r="C157" s="103">
        <f>IF($B157="","",IFERROR(BDP($B157&amp;" Action","CP036"),""))</f>
        <v/>
      </c>
      <c r="D157" s="104">
        <f>Database!S157</f>
        <v/>
      </c>
      <c r="E157" s="103">
        <f>IF($B157="","",IFERROR(BDP($B157&amp;" Action","CP037"),""))</f>
        <v/>
      </c>
      <c r="F157" s="104">
        <f>Database!T157</f>
        <v/>
      </c>
      <c r="G157" s="103">
        <f>IF($B157="","",IFERROR(BDP($B157&amp;" Action","GREENSHOE_FACILITY"),""))</f>
        <v/>
      </c>
      <c r="H157" s="103">
        <f>IF($B157="","",IFERROR(BDP($B157&amp;" Action","OFFERING_GREENSHOE_SHARES_EX"),""))</f>
        <v/>
      </c>
      <c r="I157" s="16">
        <f>Database!AG157</f>
        <v/>
      </c>
      <c r="J157" s="24">
        <f>IFERROR(BDP(Database!$A157&amp;" HK Equity","PE_RATIO"),"")</f>
        <v/>
      </c>
      <c r="K157" s="10">
        <f>IFERROR(BDP(Database!$A157&amp;" HK Equity","A/H_SHARE_CONVERSION"),"")</f>
        <v/>
      </c>
      <c r="L157" s="16">
        <f>IF(Database!BL157="","(none found)",Database!BL157)</f>
        <v/>
      </c>
      <c r="M157" s="18">
        <f>IFERROR(BDH(Database!$A157&amp;" HK Equity","CUR_MKT_CAP",Database!$H157,Database!$H157),"")</f>
        <v/>
      </c>
      <c r="N157" s="97">
        <f>Database!Q157</f>
        <v/>
      </c>
      <c r="O157" s="24">
        <f>IFERROR(BDH(Database!$A157&amp;" HK Equity","PE_RATIO",Database!$H157,Database!$H157),"")</f>
        <v/>
      </c>
      <c r="P157" s="101">
        <f>IF(Database!BF157="","(n/m or not derivable)",Database!BF157)</f>
        <v/>
      </c>
      <c r="Q157" s="24">
        <f>IF(Database!BL157="","",IFERROR(BDH(LEFT(Database!BL157,FIND(".",Database!BL157)-1)&amp;" CH Equity","PE_RATIO",Database!$H157,Database!$H157),""))</f>
        <v/>
      </c>
      <c r="R157" s="24">
        <f>IF(Database!BL157="","",IFERROR(BDH("HSAHP Index","PX_LAST",Database!$H157,Database!$H157),""))</f>
        <v/>
      </c>
      <c r="S157" s="24">
        <f>IFERROR(BDP(Database!$A157&amp;" HK Equity","PX_TO_SALES_RATIO"),"")</f>
        <v/>
      </c>
      <c r="T157" s="18">
        <f>IF(Database!BL157="","",IFERROR(BDP(LEFT(Database!BL157,FIND(".",Database!BL157)-1)&amp;" CH Equity","CUR_MKT_CAP"),""))</f>
        <v/>
      </c>
    </row>
    <row r="158">
      <c r="A158" s="16">
        <f>Database!A158&amp;"  "&amp;Database!B158</f>
        <v/>
      </c>
      <c r="B158" s="10">
        <f>IFERROR(INDEX(BDS(Database!$A158&amp;" HK Equity","EQUITY_OFFERINGS","array=t","endcol=1"),MATCH("IPO",BDS(Database!$A158&amp;" HK Equity","EQUITY_OFFERINGS","array=t","startcol=2","endcol=2"),0)),"")</f>
        <v/>
      </c>
      <c r="C158" s="103">
        <f>IF($B158="","",IFERROR(BDP($B158&amp;" Action","CP036"),""))</f>
        <v/>
      </c>
      <c r="D158" s="104">
        <f>Database!S158</f>
        <v/>
      </c>
      <c r="E158" s="103">
        <f>IF($B158="","",IFERROR(BDP($B158&amp;" Action","CP037"),""))</f>
        <v/>
      </c>
      <c r="F158" s="104">
        <f>Database!T158</f>
        <v/>
      </c>
      <c r="G158" s="103">
        <f>IF($B158="","",IFERROR(BDP($B158&amp;" Action","GREENSHOE_FACILITY"),""))</f>
        <v/>
      </c>
      <c r="H158" s="103">
        <f>IF($B158="","",IFERROR(BDP($B158&amp;" Action","OFFERING_GREENSHOE_SHARES_EX"),""))</f>
        <v/>
      </c>
      <c r="I158" s="16">
        <f>Database!AG158</f>
        <v/>
      </c>
      <c r="J158" s="24">
        <f>IFERROR(BDP(Database!$A158&amp;" HK Equity","PE_RATIO"),"")</f>
        <v/>
      </c>
      <c r="K158" s="10">
        <f>IFERROR(BDP(Database!$A158&amp;" HK Equity","A/H_SHARE_CONVERSION"),"")</f>
        <v/>
      </c>
      <c r="L158" s="16">
        <f>IF(Database!BL158="","(none found)",Database!BL158)</f>
        <v/>
      </c>
      <c r="M158" s="18">
        <f>IFERROR(BDH(Database!$A158&amp;" HK Equity","CUR_MKT_CAP",Database!$H158,Database!$H158),"")</f>
        <v/>
      </c>
      <c r="N158" s="97">
        <f>Database!Q158</f>
        <v/>
      </c>
      <c r="O158" s="24">
        <f>IFERROR(BDH(Database!$A158&amp;" HK Equity","PE_RATIO",Database!$H158,Database!$H158),"")</f>
        <v/>
      </c>
      <c r="P158" s="101">
        <f>IF(Database!BF158="","(n/m or not derivable)",Database!BF158)</f>
        <v/>
      </c>
      <c r="Q158" s="24">
        <f>IF(Database!BL158="","",IFERROR(BDH(LEFT(Database!BL158,FIND(".",Database!BL158)-1)&amp;" CH Equity","PE_RATIO",Database!$H158,Database!$H158),""))</f>
        <v/>
      </c>
      <c r="R158" s="24">
        <f>IF(Database!BL158="","",IFERROR(BDH("HSAHP Index","PX_LAST",Database!$H158,Database!$H158),""))</f>
        <v/>
      </c>
      <c r="S158" s="24">
        <f>IFERROR(BDP(Database!$A158&amp;" HK Equity","PX_TO_SALES_RATIO"),"")</f>
        <v/>
      </c>
      <c r="T158" s="18">
        <f>IF(Database!BL158="","",IFERROR(BDP(LEFT(Database!BL158,FIND(".",Database!BL158)-1)&amp;" CH Equity","CUR_MKT_CAP"),""))</f>
        <v/>
      </c>
    </row>
    <row r="159">
      <c r="A159" s="16">
        <f>Database!A159&amp;"  "&amp;Database!B159</f>
        <v/>
      </c>
      <c r="B159" s="10">
        <f>IFERROR(INDEX(BDS(Database!$A159&amp;" HK Equity","EQUITY_OFFERINGS","array=t","endcol=1"),MATCH("IPO",BDS(Database!$A159&amp;" HK Equity","EQUITY_OFFERINGS","array=t","startcol=2","endcol=2"),0)),"")</f>
        <v/>
      </c>
      <c r="C159" s="103">
        <f>IF($B159="","",IFERROR(BDP($B159&amp;" Action","CP036"),""))</f>
        <v/>
      </c>
      <c r="D159" s="104">
        <f>Database!S159</f>
        <v/>
      </c>
      <c r="E159" s="103">
        <f>IF($B159="","",IFERROR(BDP($B159&amp;" Action","CP037"),""))</f>
        <v/>
      </c>
      <c r="F159" s="104">
        <f>Database!T159</f>
        <v/>
      </c>
      <c r="G159" s="103">
        <f>IF($B159="","",IFERROR(BDP($B159&amp;" Action","GREENSHOE_FACILITY"),""))</f>
        <v/>
      </c>
      <c r="H159" s="103">
        <f>IF($B159="","",IFERROR(BDP($B159&amp;" Action","OFFERING_GREENSHOE_SHARES_EX"),""))</f>
        <v/>
      </c>
      <c r="I159" s="16">
        <f>Database!AG159</f>
        <v/>
      </c>
      <c r="J159" s="24">
        <f>IFERROR(BDP(Database!$A159&amp;" HK Equity","PE_RATIO"),"")</f>
        <v/>
      </c>
      <c r="K159" s="10">
        <f>IFERROR(BDP(Database!$A159&amp;" HK Equity","A/H_SHARE_CONVERSION"),"")</f>
        <v/>
      </c>
      <c r="L159" s="16">
        <f>IF(Database!BL159="","(none found)",Database!BL159)</f>
        <v/>
      </c>
      <c r="M159" s="18">
        <f>IFERROR(BDH(Database!$A159&amp;" HK Equity","CUR_MKT_CAP",Database!$H159,Database!$H159),"")</f>
        <v/>
      </c>
      <c r="N159" s="97">
        <f>Database!Q159</f>
        <v/>
      </c>
      <c r="O159" s="24">
        <f>IFERROR(BDH(Database!$A159&amp;" HK Equity","PE_RATIO",Database!$H159,Database!$H159),"")</f>
        <v/>
      </c>
      <c r="P159" s="101">
        <f>IF(Database!BF159="","(n/m or not derivable)",Database!BF159)</f>
        <v/>
      </c>
      <c r="Q159" s="24">
        <f>IF(Database!BL159="","",IFERROR(BDH(LEFT(Database!BL159,FIND(".",Database!BL159)-1)&amp;" CH Equity","PE_RATIO",Database!$H159,Database!$H159),""))</f>
        <v/>
      </c>
      <c r="R159" s="24">
        <f>IF(Database!BL159="","",IFERROR(BDH("HSAHP Index","PX_LAST",Database!$H159,Database!$H159),""))</f>
        <v/>
      </c>
      <c r="S159" s="24">
        <f>IFERROR(BDP(Database!$A159&amp;" HK Equity","PX_TO_SALES_RATIO"),"")</f>
        <v/>
      </c>
      <c r="T159" s="18">
        <f>IF(Database!BL159="","",IFERROR(BDP(LEFT(Database!BL159,FIND(".",Database!BL159)-1)&amp;" CH Equity","CUR_MKT_CAP"),""))</f>
        <v/>
      </c>
    </row>
    <row r="160">
      <c r="A160" s="16">
        <f>Database!A160&amp;"  "&amp;Database!B160</f>
        <v/>
      </c>
      <c r="B160" s="10">
        <f>IFERROR(INDEX(BDS(Database!$A160&amp;" HK Equity","EQUITY_OFFERINGS","array=t","endcol=1"),MATCH("IPO",BDS(Database!$A160&amp;" HK Equity","EQUITY_OFFERINGS","array=t","startcol=2","endcol=2"),0)),"")</f>
        <v/>
      </c>
      <c r="C160" s="103">
        <f>IF($B160="","",IFERROR(BDP($B160&amp;" Action","CP036"),""))</f>
        <v/>
      </c>
      <c r="D160" s="104">
        <f>Database!S160</f>
        <v/>
      </c>
      <c r="E160" s="103">
        <f>IF($B160="","",IFERROR(BDP($B160&amp;" Action","CP037"),""))</f>
        <v/>
      </c>
      <c r="F160" s="104">
        <f>Database!T160</f>
        <v/>
      </c>
      <c r="G160" s="103">
        <f>IF($B160="","",IFERROR(BDP($B160&amp;" Action","GREENSHOE_FACILITY"),""))</f>
        <v/>
      </c>
      <c r="H160" s="103">
        <f>IF($B160="","",IFERROR(BDP($B160&amp;" Action","OFFERING_GREENSHOE_SHARES_EX"),""))</f>
        <v/>
      </c>
      <c r="I160" s="16">
        <f>Database!AG160</f>
        <v/>
      </c>
      <c r="J160" s="24">
        <f>IFERROR(BDP(Database!$A160&amp;" HK Equity","PE_RATIO"),"")</f>
        <v/>
      </c>
      <c r="K160" s="10">
        <f>IFERROR(BDP(Database!$A160&amp;" HK Equity","A/H_SHARE_CONVERSION"),"")</f>
        <v/>
      </c>
      <c r="L160" s="16">
        <f>IF(Database!BL160="","(none found)",Database!BL160)</f>
        <v/>
      </c>
      <c r="M160" s="18">
        <f>IFERROR(BDH(Database!$A160&amp;" HK Equity","CUR_MKT_CAP",Database!$H160,Database!$H160),"")</f>
        <v/>
      </c>
      <c r="N160" s="97">
        <f>Database!Q160</f>
        <v/>
      </c>
      <c r="O160" s="24">
        <f>IFERROR(BDH(Database!$A160&amp;" HK Equity","PE_RATIO",Database!$H160,Database!$H160),"")</f>
        <v/>
      </c>
      <c r="P160" s="101">
        <f>IF(Database!BF160="","(n/m or not derivable)",Database!BF160)</f>
        <v/>
      </c>
      <c r="Q160" s="24">
        <f>IF(Database!BL160="","",IFERROR(BDH(LEFT(Database!BL160,FIND(".",Database!BL160)-1)&amp;" CH Equity","PE_RATIO",Database!$H160,Database!$H160),""))</f>
        <v/>
      </c>
      <c r="R160" s="24">
        <f>IF(Database!BL160="","",IFERROR(BDH("HSAHP Index","PX_LAST",Database!$H160,Database!$H160),""))</f>
        <v/>
      </c>
      <c r="S160" s="24">
        <f>IFERROR(BDP(Database!$A160&amp;" HK Equity","PX_TO_SALES_RATIO"),"")</f>
        <v/>
      </c>
      <c r="T160" s="18">
        <f>IF(Database!BL160="","",IFERROR(BDP(LEFT(Database!BL160,FIND(".",Database!BL160)-1)&amp;" CH Equity","CUR_MKT_CAP"),""))</f>
        <v/>
      </c>
    </row>
    <row r="161">
      <c r="A161" s="16">
        <f>Database!A161&amp;"  "&amp;Database!B161</f>
        <v/>
      </c>
      <c r="B161" s="10">
        <f>IFERROR(INDEX(BDS(Database!$A161&amp;" HK Equity","EQUITY_OFFERINGS","array=t","endcol=1"),MATCH("IPO",BDS(Database!$A161&amp;" HK Equity","EQUITY_OFFERINGS","array=t","startcol=2","endcol=2"),0)),"")</f>
        <v/>
      </c>
      <c r="C161" s="103">
        <f>IF($B161="","",IFERROR(BDP($B161&amp;" Action","CP036"),""))</f>
        <v/>
      </c>
      <c r="D161" s="104">
        <f>Database!S161</f>
        <v/>
      </c>
      <c r="E161" s="103">
        <f>IF($B161="","",IFERROR(BDP($B161&amp;" Action","CP037"),""))</f>
        <v/>
      </c>
      <c r="F161" s="104">
        <f>Database!T161</f>
        <v/>
      </c>
      <c r="G161" s="103">
        <f>IF($B161="","",IFERROR(BDP($B161&amp;" Action","GREENSHOE_FACILITY"),""))</f>
        <v/>
      </c>
      <c r="H161" s="103">
        <f>IF($B161="","",IFERROR(BDP($B161&amp;" Action","OFFERING_GREENSHOE_SHARES_EX"),""))</f>
        <v/>
      </c>
      <c r="I161" s="16">
        <f>Database!AG161</f>
        <v/>
      </c>
      <c r="J161" s="24">
        <f>IFERROR(BDP(Database!$A161&amp;" HK Equity","PE_RATIO"),"")</f>
        <v/>
      </c>
      <c r="K161" s="10">
        <f>IFERROR(BDP(Database!$A161&amp;" HK Equity","A/H_SHARE_CONVERSION"),"")</f>
        <v/>
      </c>
      <c r="L161" s="16">
        <f>IF(Database!BL161="","(none found)",Database!BL161)</f>
        <v/>
      </c>
      <c r="M161" s="18">
        <f>IFERROR(BDH(Database!$A161&amp;" HK Equity","CUR_MKT_CAP",Database!$H161,Database!$H161),"")</f>
        <v/>
      </c>
      <c r="N161" s="97">
        <f>Database!Q161</f>
        <v/>
      </c>
      <c r="O161" s="24">
        <f>IFERROR(BDH(Database!$A161&amp;" HK Equity","PE_RATIO",Database!$H161,Database!$H161),"")</f>
        <v/>
      </c>
      <c r="P161" s="101">
        <f>IF(Database!BF161="","(n/m or not derivable)",Database!BF161)</f>
        <v/>
      </c>
      <c r="Q161" s="24">
        <f>IF(Database!BL161="","",IFERROR(BDH(LEFT(Database!BL161,FIND(".",Database!BL161)-1)&amp;" CH Equity","PE_RATIO",Database!$H161,Database!$H161),""))</f>
        <v/>
      </c>
      <c r="R161" s="24">
        <f>IF(Database!BL161="","",IFERROR(BDH("HSAHP Index","PX_LAST",Database!$H161,Database!$H161),""))</f>
        <v/>
      </c>
      <c r="S161" s="24">
        <f>IFERROR(BDP(Database!$A161&amp;" HK Equity","PX_TO_SALES_RATIO"),"")</f>
        <v/>
      </c>
      <c r="T161" s="18">
        <f>IF(Database!BL161="","",IFERROR(BDP(LEFT(Database!BL161,FIND(".",Database!BL161)-1)&amp;" CH Equity","CUR_MKT_CAP"),""))</f>
        <v/>
      </c>
    </row>
    <row r="162">
      <c r="A162" s="16">
        <f>Database!A162&amp;"  "&amp;Database!B162</f>
        <v/>
      </c>
      <c r="B162" s="10">
        <f>IFERROR(INDEX(BDS(Database!$A162&amp;" HK Equity","EQUITY_OFFERINGS","array=t","endcol=1"),MATCH("IPO",BDS(Database!$A162&amp;" HK Equity","EQUITY_OFFERINGS","array=t","startcol=2","endcol=2"),0)),"")</f>
        <v/>
      </c>
      <c r="C162" s="103">
        <f>IF($B162="","",IFERROR(BDP($B162&amp;" Action","CP036"),""))</f>
        <v/>
      </c>
      <c r="D162" s="104">
        <f>Database!S162</f>
        <v/>
      </c>
      <c r="E162" s="103">
        <f>IF($B162="","",IFERROR(BDP($B162&amp;" Action","CP037"),""))</f>
        <v/>
      </c>
      <c r="F162" s="104">
        <f>Database!T162</f>
        <v/>
      </c>
      <c r="G162" s="103">
        <f>IF($B162="","",IFERROR(BDP($B162&amp;" Action","GREENSHOE_FACILITY"),""))</f>
        <v/>
      </c>
      <c r="H162" s="103">
        <f>IF($B162="","",IFERROR(BDP($B162&amp;" Action","OFFERING_GREENSHOE_SHARES_EX"),""))</f>
        <v/>
      </c>
      <c r="I162" s="16">
        <f>Database!AG162</f>
        <v/>
      </c>
      <c r="J162" s="24">
        <f>IFERROR(BDP(Database!$A162&amp;" HK Equity","PE_RATIO"),"")</f>
        <v/>
      </c>
      <c r="K162" s="10">
        <f>IFERROR(BDP(Database!$A162&amp;" HK Equity","A/H_SHARE_CONVERSION"),"")</f>
        <v/>
      </c>
      <c r="L162" s="16">
        <f>IF(Database!BL162="","(none found)",Database!BL162)</f>
        <v/>
      </c>
      <c r="M162" s="18">
        <f>IFERROR(BDH(Database!$A162&amp;" HK Equity","CUR_MKT_CAP",Database!$H162,Database!$H162),"")</f>
        <v/>
      </c>
      <c r="N162" s="97">
        <f>Database!Q162</f>
        <v/>
      </c>
      <c r="O162" s="24">
        <f>IFERROR(BDH(Database!$A162&amp;" HK Equity","PE_RATIO",Database!$H162,Database!$H162),"")</f>
        <v/>
      </c>
      <c r="P162" s="101">
        <f>IF(Database!BF162="","(n/m or not derivable)",Database!BF162)</f>
        <v/>
      </c>
      <c r="Q162" s="24">
        <f>IF(Database!BL162="","",IFERROR(BDH(LEFT(Database!BL162,FIND(".",Database!BL162)-1)&amp;" CH Equity","PE_RATIO",Database!$H162,Database!$H162),""))</f>
        <v/>
      </c>
      <c r="R162" s="24">
        <f>IF(Database!BL162="","",IFERROR(BDH("HSAHP Index","PX_LAST",Database!$H162,Database!$H162),""))</f>
        <v/>
      </c>
      <c r="S162" s="24">
        <f>IFERROR(BDP(Database!$A162&amp;" HK Equity","PX_TO_SALES_RATIO"),"")</f>
        <v/>
      </c>
      <c r="T162" s="18">
        <f>IF(Database!BL162="","",IFERROR(BDP(LEFT(Database!BL162,FIND(".",Database!BL162)-1)&amp;" CH Equity","CUR_MKT_CAP"),""))</f>
        <v/>
      </c>
    </row>
    <row r="163">
      <c r="A163" s="16">
        <f>Database!A163&amp;"  "&amp;Database!B163</f>
        <v/>
      </c>
      <c r="B163" s="10">
        <f>IFERROR(INDEX(BDS(Database!$A163&amp;" HK Equity","EQUITY_OFFERINGS","array=t","endcol=1"),MATCH("IPO",BDS(Database!$A163&amp;" HK Equity","EQUITY_OFFERINGS","array=t","startcol=2","endcol=2"),0)),"")</f>
        <v/>
      </c>
      <c r="C163" s="103">
        <f>IF($B163="","",IFERROR(BDP($B163&amp;" Action","CP036"),""))</f>
        <v/>
      </c>
      <c r="D163" s="104">
        <f>Database!S163</f>
        <v/>
      </c>
      <c r="E163" s="103">
        <f>IF($B163="","",IFERROR(BDP($B163&amp;" Action","CP037"),""))</f>
        <v/>
      </c>
      <c r="F163" s="104">
        <f>Database!T163</f>
        <v/>
      </c>
      <c r="G163" s="103">
        <f>IF($B163="","",IFERROR(BDP($B163&amp;" Action","GREENSHOE_FACILITY"),""))</f>
        <v/>
      </c>
      <c r="H163" s="103">
        <f>IF($B163="","",IFERROR(BDP($B163&amp;" Action","OFFERING_GREENSHOE_SHARES_EX"),""))</f>
        <v/>
      </c>
      <c r="I163" s="16">
        <f>Database!AG163</f>
        <v/>
      </c>
      <c r="J163" s="24">
        <f>IFERROR(BDP(Database!$A163&amp;" HK Equity","PE_RATIO"),"")</f>
        <v/>
      </c>
      <c r="K163" s="10">
        <f>IFERROR(BDP(Database!$A163&amp;" HK Equity","A/H_SHARE_CONVERSION"),"")</f>
        <v/>
      </c>
      <c r="L163" s="16">
        <f>IF(Database!BL163="","(none found)",Database!BL163)</f>
        <v/>
      </c>
      <c r="M163" s="18">
        <f>IFERROR(BDH(Database!$A163&amp;" HK Equity","CUR_MKT_CAP",Database!$H163,Database!$H163),"")</f>
        <v/>
      </c>
      <c r="N163" s="97">
        <f>Database!Q163</f>
        <v/>
      </c>
      <c r="O163" s="24">
        <f>IFERROR(BDH(Database!$A163&amp;" HK Equity","PE_RATIO",Database!$H163,Database!$H163),"")</f>
        <v/>
      </c>
      <c r="P163" s="101">
        <f>IF(Database!BF163="","(n/m or not derivable)",Database!BF163)</f>
        <v/>
      </c>
      <c r="Q163" s="24">
        <f>IF(Database!BL163="","",IFERROR(BDH(LEFT(Database!BL163,FIND(".",Database!BL163)-1)&amp;" CH Equity","PE_RATIO",Database!$H163,Database!$H163),""))</f>
        <v/>
      </c>
      <c r="R163" s="24">
        <f>IF(Database!BL163="","",IFERROR(BDH("HSAHP Index","PX_LAST",Database!$H163,Database!$H163),""))</f>
        <v/>
      </c>
      <c r="S163" s="24">
        <f>IFERROR(BDP(Database!$A163&amp;" HK Equity","PX_TO_SALES_RATIO"),"")</f>
        <v/>
      </c>
      <c r="T163" s="18">
        <f>IF(Database!BL163="","",IFERROR(BDP(LEFT(Database!BL163,FIND(".",Database!BL163)-1)&amp;" CH Equity","CUR_MKT_CAP"),""))</f>
        <v/>
      </c>
    </row>
    <row r="164">
      <c r="A164" s="16">
        <f>Database!A164&amp;"  "&amp;Database!B164</f>
        <v/>
      </c>
      <c r="B164" s="10">
        <f>IFERROR(INDEX(BDS(Database!$A164&amp;" HK Equity","EQUITY_OFFERINGS","array=t","endcol=1"),MATCH("IPO",BDS(Database!$A164&amp;" HK Equity","EQUITY_OFFERINGS","array=t","startcol=2","endcol=2"),0)),"")</f>
        <v/>
      </c>
      <c r="C164" s="103">
        <f>IF($B164="","",IFERROR(BDP($B164&amp;" Action","CP036"),""))</f>
        <v/>
      </c>
      <c r="D164" s="104">
        <f>Database!S164</f>
        <v/>
      </c>
      <c r="E164" s="103">
        <f>IF($B164="","",IFERROR(BDP($B164&amp;" Action","CP037"),""))</f>
        <v/>
      </c>
      <c r="F164" s="104">
        <f>Database!T164</f>
        <v/>
      </c>
      <c r="G164" s="103">
        <f>IF($B164="","",IFERROR(BDP($B164&amp;" Action","GREENSHOE_FACILITY"),""))</f>
        <v/>
      </c>
      <c r="H164" s="103">
        <f>IF($B164="","",IFERROR(BDP($B164&amp;" Action","OFFERING_GREENSHOE_SHARES_EX"),""))</f>
        <v/>
      </c>
      <c r="I164" s="16">
        <f>Database!AG164</f>
        <v/>
      </c>
      <c r="J164" s="24">
        <f>IFERROR(BDP(Database!$A164&amp;" HK Equity","PE_RATIO"),"")</f>
        <v/>
      </c>
      <c r="K164" s="10">
        <f>IFERROR(BDP(Database!$A164&amp;" HK Equity","A/H_SHARE_CONVERSION"),"")</f>
        <v/>
      </c>
      <c r="L164" s="16">
        <f>IF(Database!BL164="","(none found)",Database!BL164)</f>
        <v/>
      </c>
      <c r="M164" s="18">
        <f>IFERROR(BDH(Database!$A164&amp;" HK Equity","CUR_MKT_CAP",Database!$H164,Database!$H164),"")</f>
        <v/>
      </c>
      <c r="N164" s="97">
        <f>Database!Q164</f>
        <v/>
      </c>
      <c r="O164" s="24">
        <f>IFERROR(BDH(Database!$A164&amp;" HK Equity","PE_RATIO",Database!$H164,Database!$H164),"")</f>
        <v/>
      </c>
      <c r="P164" s="101">
        <f>IF(Database!BF164="","(n/m or not derivable)",Database!BF164)</f>
        <v/>
      </c>
      <c r="Q164" s="24">
        <f>IF(Database!BL164="","",IFERROR(BDH(LEFT(Database!BL164,FIND(".",Database!BL164)-1)&amp;" CH Equity","PE_RATIO",Database!$H164,Database!$H164),""))</f>
        <v/>
      </c>
      <c r="R164" s="24">
        <f>IF(Database!BL164="","",IFERROR(BDH("HSAHP Index","PX_LAST",Database!$H164,Database!$H164),""))</f>
        <v/>
      </c>
      <c r="S164" s="24">
        <f>IFERROR(BDP(Database!$A164&amp;" HK Equity","PX_TO_SALES_RATIO"),"")</f>
        <v/>
      </c>
      <c r="T164" s="18">
        <f>IF(Database!BL164="","",IFERROR(BDP(LEFT(Database!BL164,FIND(".",Database!BL164)-1)&amp;" CH Equity","CUR_MKT_CAP"),""))</f>
        <v/>
      </c>
    </row>
    <row r="165">
      <c r="A165" s="16">
        <f>Database!A165&amp;"  "&amp;Database!B165</f>
        <v/>
      </c>
      <c r="B165" s="10">
        <f>IFERROR(INDEX(BDS(Database!$A165&amp;" HK Equity","EQUITY_OFFERINGS","array=t","endcol=1"),MATCH("IPO",BDS(Database!$A165&amp;" HK Equity","EQUITY_OFFERINGS","array=t","startcol=2","endcol=2"),0)),"")</f>
        <v/>
      </c>
      <c r="C165" s="103">
        <f>IF($B165="","",IFERROR(BDP($B165&amp;" Action","CP036"),""))</f>
        <v/>
      </c>
      <c r="D165" s="104">
        <f>Database!S165</f>
        <v/>
      </c>
      <c r="E165" s="103">
        <f>IF($B165="","",IFERROR(BDP($B165&amp;" Action","CP037"),""))</f>
        <v/>
      </c>
      <c r="F165" s="104">
        <f>Database!T165</f>
        <v/>
      </c>
      <c r="G165" s="103">
        <f>IF($B165="","",IFERROR(BDP($B165&amp;" Action","GREENSHOE_FACILITY"),""))</f>
        <v/>
      </c>
      <c r="H165" s="103">
        <f>IF($B165="","",IFERROR(BDP($B165&amp;" Action","OFFERING_GREENSHOE_SHARES_EX"),""))</f>
        <v/>
      </c>
      <c r="I165" s="16">
        <f>Database!AG165</f>
        <v/>
      </c>
      <c r="J165" s="24">
        <f>IFERROR(BDP(Database!$A165&amp;" HK Equity","PE_RATIO"),"")</f>
        <v/>
      </c>
      <c r="K165" s="10">
        <f>IFERROR(BDP(Database!$A165&amp;" HK Equity","A/H_SHARE_CONVERSION"),"")</f>
        <v/>
      </c>
      <c r="L165" s="16">
        <f>IF(Database!BL165="","(none found)",Database!BL165)</f>
        <v/>
      </c>
      <c r="M165" s="18">
        <f>IFERROR(BDH(Database!$A165&amp;" HK Equity","CUR_MKT_CAP",Database!$H165,Database!$H165),"")</f>
        <v/>
      </c>
      <c r="N165" s="97">
        <f>Database!Q165</f>
        <v/>
      </c>
      <c r="O165" s="24">
        <f>IFERROR(BDH(Database!$A165&amp;" HK Equity","PE_RATIO",Database!$H165,Database!$H165),"")</f>
        <v/>
      </c>
      <c r="P165" s="101">
        <f>IF(Database!BF165="","(n/m or not derivable)",Database!BF165)</f>
        <v/>
      </c>
      <c r="Q165" s="24">
        <f>IF(Database!BL165="","",IFERROR(BDH(LEFT(Database!BL165,FIND(".",Database!BL165)-1)&amp;" CH Equity","PE_RATIO",Database!$H165,Database!$H165),""))</f>
        <v/>
      </c>
      <c r="R165" s="24">
        <f>IF(Database!BL165="","",IFERROR(BDH("HSAHP Index","PX_LAST",Database!$H165,Database!$H165),""))</f>
        <v/>
      </c>
      <c r="S165" s="24">
        <f>IFERROR(BDP(Database!$A165&amp;" HK Equity","PX_TO_SALES_RATIO"),"")</f>
        <v/>
      </c>
      <c r="T165" s="18">
        <f>IF(Database!BL165="","",IFERROR(BDP(LEFT(Database!BL165,FIND(".",Database!BL165)-1)&amp;" CH Equity","CUR_MKT_CAP"),""))</f>
        <v/>
      </c>
    </row>
    <row r="166">
      <c r="A166" s="16">
        <f>Database!A166&amp;"  "&amp;Database!B166</f>
        <v/>
      </c>
      <c r="B166" s="10">
        <f>IFERROR(INDEX(BDS(Database!$A166&amp;" HK Equity","EQUITY_OFFERINGS","array=t","endcol=1"),MATCH("IPO",BDS(Database!$A166&amp;" HK Equity","EQUITY_OFFERINGS","array=t","startcol=2","endcol=2"),0)),"")</f>
        <v/>
      </c>
      <c r="C166" s="103">
        <f>IF($B166="","",IFERROR(BDP($B166&amp;" Action","CP036"),""))</f>
        <v/>
      </c>
      <c r="D166" s="104">
        <f>Database!S166</f>
        <v/>
      </c>
      <c r="E166" s="103">
        <f>IF($B166="","",IFERROR(BDP($B166&amp;" Action","CP037"),""))</f>
        <v/>
      </c>
      <c r="F166" s="104">
        <f>Database!T166</f>
        <v/>
      </c>
      <c r="G166" s="103">
        <f>IF($B166="","",IFERROR(BDP($B166&amp;" Action","GREENSHOE_FACILITY"),""))</f>
        <v/>
      </c>
      <c r="H166" s="103">
        <f>IF($B166="","",IFERROR(BDP($B166&amp;" Action","OFFERING_GREENSHOE_SHARES_EX"),""))</f>
        <v/>
      </c>
      <c r="I166" s="16">
        <f>Database!AG166</f>
        <v/>
      </c>
      <c r="J166" s="24">
        <f>IFERROR(BDP(Database!$A166&amp;" HK Equity","PE_RATIO"),"")</f>
        <v/>
      </c>
      <c r="K166" s="10">
        <f>IFERROR(BDP(Database!$A166&amp;" HK Equity","A/H_SHARE_CONVERSION"),"")</f>
        <v/>
      </c>
      <c r="L166" s="16">
        <f>IF(Database!BL166="","(none found)",Database!BL166)</f>
        <v/>
      </c>
      <c r="M166" s="18">
        <f>IFERROR(BDH(Database!$A166&amp;" HK Equity","CUR_MKT_CAP",Database!$H166,Database!$H166),"")</f>
        <v/>
      </c>
      <c r="N166" s="97">
        <f>Database!Q166</f>
        <v/>
      </c>
      <c r="O166" s="24">
        <f>IFERROR(BDH(Database!$A166&amp;" HK Equity","PE_RATIO",Database!$H166,Database!$H166),"")</f>
        <v/>
      </c>
      <c r="P166" s="101">
        <f>IF(Database!BF166="","(n/m or not derivable)",Database!BF166)</f>
        <v/>
      </c>
      <c r="Q166" s="24">
        <f>IF(Database!BL166="","",IFERROR(BDH(LEFT(Database!BL166,FIND(".",Database!BL166)-1)&amp;" CH Equity","PE_RATIO",Database!$H166,Database!$H166),""))</f>
        <v/>
      </c>
      <c r="R166" s="24">
        <f>IF(Database!BL166="","",IFERROR(BDH("HSAHP Index","PX_LAST",Database!$H166,Database!$H166),""))</f>
        <v/>
      </c>
      <c r="S166" s="24">
        <f>IFERROR(BDP(Database!$A166&amp;" HK Equity","PX_TO_SALES_RATIO"),"")</f>
        <v/>
      </c>
      <c r="T166" s="18">
        <f>IF(Database!BL166="","",IFERROR(BDP(LEFT(Database!BL166,FIND(".",Database!BL166)-1)&amp;" CH Equity","CUR_MKT_CAP"),""))</f>
        <v/>
      </c>
    </row>
    <row r="167">
      <c r="A167" s="16">
        <f>Database!A167&amp;"  "&amp;Database!B167</f>
        <v/>
      </c>
      <c r="B167" s="10">
        <f>IFERROR(INDEX(BDS(Database!$A167&amp;" HK Equity","EQUITY_OFFERINGS","array=t","endcol=1"),MATCH("IPO",BDS(Database!$A167&amp;" HK Equity","EQUITY_OFFERINGS","array=t","startcol=2","endcol=2"),0)),"")</f>
        <v/>
      </c>
      <c r="C167" s="103">
        <f>IF($B167="","",IFERROR(BDP($B167&amp;" Action","CP036"),""))</f>
        <v/>
      </c>
      <c r="D167" s="104">
        <f>Database!S167</f>
        <v/>
      </c>
      <c r="E167" s="103">
        <f>IF($B167="","",IFERROR(BDP($B167&amp;" Action","CP037"),""))</f>
        <v/>
      </c>
      <c r="F167" s="104">
        <f>Database!T167</f>
        <v/>
      </c>
      <c r="G167" s="103">
        <f>IF($B167="","",IFERROR(BDP($B167&amp;" Action","GREENSHOE_FACILITY"),""))</f>
        <v/>
      </c>
      <c r="H167" s="103">
        <f>IF($B167="","",IFERROR(BDP($B167&amp;" Action","OFFERING_GREENSHOE_SHARES_EX"),""))</f>
        <v/>
      </c>
      <c r="I167" s="16">
        <f>Database!AG167</f>
        <v/>
      </c>
      <c r="J167" s="24">
        <f>IFERROR(BDP(Database!$A167&amp;" HK Equity","PE_RATIO"),"")</f>
        <v/>
      </c>
      <c r="K167" s="10">
        <f>IFERROR(BDP(Database!$A167&amp;" HK Equity","A/H_SHARE_CONVERSION"),"")</f>
        <v/>
      </c>
      <c r="L167" s="16">
        <f>IF(Database!BL167="","(none found)",Database!BL167)</f>
        <v/>
      </c>
      <c r="M167" s="18">
        <f>IFERROR(BDH(Database!$A167&amp;" HK Equity","CUR_MKT_CAP",Database!$H167,Database!$H167),"")</f>
        <v/>
      </c>
      <c r="N167" s="97">
        <f>Database!Q167</f>
        <v/>
      </c>
      <c r="O167" s="24">
        <f>IFERROR(BDH(Database!$A167&amp;" HK Equity","PE_RATIO",Database!$H167,Database!$H167),"")</f>
        <v/>
      </c>
      <c r="P167" s="101">
        <f>IF(Database!BF167="","(n/m or not derivable)",Database!BF167)</f>
        <v/>
      </c>
      <c r="Q167" s="24">
        <f>IF(Database!BL167="","",IFERROR(BDH(LEFT(Database!BL167,FIND(".",Database!BL167)-1)&amp;" CH Equity","PE_RATIO",Database!$H167,Database!$H167),""))</f>
        <v/>
      </c>
      <c r="R167" s="24">
        <f>IF(Database!BL167="","",IFERROR(BDH("HSAHP Index","PX_LAST",Database!$H167,Database!$H167),""))</f>
        <v/>
      </c>
      <c r="S167" s="24">
        <f>IFERROR(BDP(Database!$A167&amp;" HK Equity","PX_TO_SALES_RATIO"),"")</f>
        <v/>
      </c>
      <c r="T167" s="18">
        <f>IF(Database!BL167="","",IFERROR(BDP(LEFT(Database!BL167,FIND(".",Database!BL167)-1)&amp;" CH Equity","CUR_MKT_CAP"),""))</f>
        <v/>
      </c>
    </row>
    <row r="168">
      <c r="A168" s="16">
        <f>Database!A168&amp;"  "&amp;Database!B168</f>
        <v/>
      </c>
      <c r="B168" s="10">
        <f>IFERROR(INDEX(BDS(Database!$A168&amp;" HK Equity","EQUITY_OFFERINGS","array=t","endcol=1"),MATCH("IPO",BDS(Database!$A168&amp;" HK Equity","EQUITY_OFFERINGS","array=t","startcol=2","endcol=2"),0)),"")</f>
        <v/>
      </c>
      <c r="C168" s="103">
        <f>IF($B168="","",IFERROR(BDP($B168&amp;" Action","CP036"),""))</f>
        <v/>
      </c>
      <c r="D168" s="104">
        <f>Database!S168</f>
        <v/>
      </c>
      <c r="E168" s="103">
        <f>IF($B168="","",IFERROR(BDP($B168&amp;" Action","CP037"),""))</f>
        <v/>
      </c>
      <c r="F168" s="104">
        <f>Database!T168</f>
        <v/>
      </c>
      <c r="G168" s="103">
        <f>IF($B168="","",IFERROR(BDP($B168&amp;" Action","GREENSHOE_FACILITY"),""))</f>
        <v/>
      </c>
      <c r="H168" s="103">
        <f>IF($B168="","",IFERROR(BDP($B168&amp;" Action","OFFERING_GREENSHOE_SHARES_EX"),""))</f>
        <v/>
      </c>
      <c r="I168" s="16">
        <f>Database!AG168</f>
        <v/>
      </c>
      <c r="J168" s="24">
        <f>IFERROR(BDP(Database!$A168&amp;" HK Equity","PE_RATIO"),"")</f>
        <v/>
      </c>
      <c r="K168" s="10">
        <f>IFERROR(BDP(Database!$A168&amp;" HK Equity","A/H_SHARE_CONVERSION"),"")</f>
        <v/>
      </c>
      <c r="L168" s="16">
        <f>IF(Database!BL168="","(none found)",Database!BL168)</f>
        <v/>
      </c>
      <c r="M168" s="18">
        <f>IFERROR(BDH(Database!$A168&amp;" HK Equity","CUR_MKT_CAP",Database!$H168,Database!$H168),"")</f>
        <v/>
      </c>
      <c r="N168" s="97">
        <f>Database!Q168</f>
        <v/>
      </c>
      <c r="O168" s="24">
        <f>IFERROR(BDH(Database!$A168&amp;" HK Equity","PE_RATIO",Database!$H168,Database!$H168),"")</f>
        <v/>
      </c>
      <c r="P168" s="101">
        <f>IF(Database!BF168="","(n/m or not derivable)",Database!BF168)</f>
        <v/>
      </c>
      <c r="Q168" s="24">
        <f>IF(Database!BL168="","",IFERROR(BDH(LEFT(Database!BL168,FIND(".",Database!BL168)-1)&amp;" CH Equity","PE_RATIO",Database!$H168,Database!$H168),""))</f>
        <v/>
      </c>
      <c r="R168" s="24">
        <f>IF(Database!BL168="","",IFERROR(BDH("HSAHP Index","PX_LAST",Database!$H168,Database!$H168),""))</f>
        <v/>
      </c>
      <c r="S168" s="24">
        <f>IFERROR(BDP(Database!$A168&amp;" HK Equity","PX_TO_SALES_RATIO"),"")</f>
        <v/>
      </c>
      <c r="T168" s="18">
        <f>IF(Database!BL168="","",IFERROR(BDP(LEFT(Database!BL168,FIND(".",Database!BL168)-1)&amp;" CH Equity","CUR_MKT_CAP"),""))</f>
        <v/>
      </c>
    </row>
    <row r="169">
      <c r="A169" s="16">
        <f>Database!A169&amp;"  "&amp;Database!B169</f>
        <v/>
      </c>
      <c r="B169" s="10">
        <f>IFERROR(INDEX(BDS(Database!$A169&amp;" HK Equity","EQUITY_OFFERINGS","array=t","endcol=1"),MATCH("IPO",BDS(Database!$A169&amp;" HK Equity","EQUITY_OFFERINGS","array=t","startcol=2","endcol=2"),0)),"")</f>
        <v/>
      </c>
      <c r="C169" s="103">
        <f>IF($B169="","",IFERROR(BDP($B169&amp;" Action","CP036"),""))</f>
        <v/>
      </c>
      <c r="D169" s="104">
        <f>Database!S169</f>
        <v/>
      </c>
      <c r="E169" s="103">
        <f>IF($B169="","",IFERROR(BDP($B169&amp;" Action","CP037"),""))</f>
        <v/>
      </c>
      <c r="F169" s="104">
        <f>Database!T169</f>
        <v/>
      </c>
      <c r="G169" s="103">
        <f>IF($B169="","",IFERROR(BDP($B169&amp;" Action","GREENSHOE_FACILITY"),""))</f>
        <v/>
      </c>
      <c r="H169" s="103">
        <f>IF($B169="","",IFERROR(BDP($B169&amp;" Action","OFFERING_GREENSHOE_SHARES_EX"),""))</f>
        <v/>
      </c>
      <c r="I169" s="16">
        <f>Database!AG169</f>
        <v/>
      </c>
      <c r="J169" s="24">
        <f>IFERROR(BDP(Database!$A169&amp;" HK Equity","PE_RATIO"),"")</f>
        <v/>
      </c>
      <c r="K169" s="10">
        <f>IFERROR(BDP(Database!$A169&amp;" HK Equity","A/H_SHARE_CONVERSION"),"")</f>
        <v/>
      </c>
      <c r="L169" s="16">
        <f>IF(Database!BL169="","(none found)",Database!BL169)</f>
        <v/>
      </c>
      <c r="M169" s="18">
        <f>IFERROR(BDH(Database!$A169&amp;" HK Equity","CUR_MKT_CAP",Database!$H169,Database!$H169),"")</f>
        <v/>
      </c>
      <c r="N169" s="97">
        <f>Database!Q169</f>
        <v/>
      </c>
      <c r="O169" s="24">
        <f>IFERROR(BDH(Database!$A169&amp;" HK Equity","PE_RATIO",Database!$H169,Database!$H169),"")</f>
        <v/>
      </c>
      <c r="P169" s="101">
        <f>IF(Database!BF169="","(n/m or not derivable)",Database!BF169)</f>
        <v/>
      </c>
      <c r="Q169" s="24">
        <f>IF(Database!BL169="","",IFERROR(BDH(LEFT(Database!BL169,FIND(".",Database!BL169)-1)&amp;" CH Equity","PE_RATIO",Database!$H169,Database!$H169),""))</f>
        <v/>
      </c>
      <c r="R169" s="24">
        <f>IF(Database!BL169="","",IFERROR(BDH("HSAHP Index","PX_LAST",Database!$H169,Database!$H169),""))</f>
        <v/>
      </c>
      <c r="S169" s="24">
        <f>IFERROR(BDP(Database!$A169&amp;" HK Equity","PX_TO_SALES_RATIO"),"")</f>
        <v/>
      </c>
      <c r="T169" s="18">
        <f>IF(Database!BL169="","",IFERROR(BDP(LEFT(Database!BL169,FIND(".",Database!BL169)-1)&amp;" CH Equity","CUR_MKT_CAP"),""))</f>
        <v/>
      </c>
    </row>
    <row r="170">
      <c r="A170" s="16">
        <f>Database!A170&amp;"  "&amp;Database!B170</f>
        <v/>
      </c>
      <c r="B170" s="10">
        <f>IFERROR(INDEX(BDS(Database!$A170&amp;" HK Equity","EQUITY_OFFERINGS","array=t","endcol=1"),MATCH("IPO",BDS(Database!$A170&amp;" HK Equity","EQUITY_OFFERINGS","array=t","startcol=2","endcol=2"),0)),"")</f>
        <v/>
      </c>
      <c r="C170" s="103">
        <f>IF($B170="","",IFERROR(BDP($B170&amp;" Action","CP036"),""))</f>
        <v/>
      </c>
      <c r="D170" s="104">
        <f>Database!S170</f>
        <v/>
      </c>
      <c r="E170" s="103">
        <f>IF($B170="","",IFERROR(BDP($B170&amp;" Action","CP037"),""))</f>
        <v/>
      </c>
      <c r="F170" s="104">
        <f>Database!T170</f>
        <v/>
      </c>
      <c r="G170" s="103">
        <f>IF($B170="","",IFERROR(BDP($B170&amp;" Action","GREENSHOE_FACILITY"),""))</f>
        <v/>
      </c>
      <c r="H170" s="103">
        <f>IF($B170="","",IFERROR(BDP($B170&amp;" Action","OFFERING_GREENSHOE_SHARES_EX"),""))</f>
        <v/>
      </c>
      <c r="I170" s="16">
        <f>Database!AG170</f>
        <v/>
      </c>
      <c r="J170" s="24">
        <f>IFERROR(BDP(Database!$A170&amp;" HK Equity","PE_RATIO"),"")</f>
        <v/>
      </c>
      <c r="K170" s="10">
        <f>IFERROR(BDP(Database!$A170&amp;" HK Equity","A/H_SHARE_CONVERSION"),"")</f>
        <v/>
      </c>
      <c r="L170" s="16">
        <f>IF(Database!BL170="","(none found)",Database!BL170)</f>
        <v/>
      </c>
      <c r="M170" s="18">
        <f>IFERROR(BDH(Database!$A170&amp;" HK Equity","CUR_MKT_CAP",Database!$H170,Database!$H170),"")</f>
        <v/>
      </c>
      <c r="N170" s="97">
        <f>Database!Q170</f>
        <v/>
      </c>
      <c r="O170" s="24">
        <f>IFERROR(BDH(Database!$A170&amp;" HK Equity","PE_RATIO",Database!$H170,Database!$H170),"")</f>
        <v/>
      </c>
      <c r="P170" s="101">
        <f>IF(Database!BF170="","(n/m or not derivable)",Database!BF170)</f>
        <v/>
      </c>
      <c r="Q170" s="24">
        <f>IF(Database!BL170="","",IFERROR(BDH(LEFT(Database!BL170,FIND(".",Database!BL170)-1)&amp;" CH Equity","PE_RATIO",Database!$H170,Database!$H170),""))</f>
        <v/>
      </c>
      <c r="R170" s="24">
        <f>IF(Database!BL170="","",IFERROR(BDH("HSAHP Index","PX_LAST",Database!$H170,Database!$H170),""))</f>
        <v/>
      </c>
      <c r="S170" s="24">
        <f>IFERROR(BDP(Database!$A170&amp;" HK Equity","PX_TO_SALES_RATIO"),"")</f>
        <v/>
      </c>
      <c r="T170" s="18">
        <f>IF(Database!BL170="","",IFERROR(BDP(LEFT(Database!BL170,FIND(".",Database!BL170)-1)&amp;" CH Equity","CUR_MKT_CAP"),""))</f>
        <v/>
      </c>
    </row>
    <row r="171">
      <c r="A171" s="16">
        <f>Database!A171&amp;"  "&amp;Database!B171</f>
        <v/>
      </c>
      <c r="B171" s="10">
        <f>IFERROR(INDEX(BDS(Database!$A171&amp;" HK Equity","EQUITY_OFFERINGS","array=t","endcol=1"),MATCH("IPO",BDS(Database!$A171&amp;" HK Equity","EQUITY_OFFERINGS","array=t","startcol=2","endcol=2"),0)),"")</f>
        <v/>
      </c>
      <c r="C171" s="103">
        <f>IF($B171="","",IFERROR(BDP($B171&amp;" Action","CP036"),""))</f>
        <v/>
      </c>
      <c r="D171" s="104">
        <f>Database!S171</f>
        <v/>
      </c>
      <c r="E171" s="103">
        <f>IF($B171="","",IFERROR(BDP($B171&amp;" Action","CP037"),""))</f>
        <v/>
      </c>
      <c r="F171" s="104">
        <f>Database!T171</f>
        <v/>
      </c>
      <c r="G171" s="103">
        <f>IF($B171="","",IFERROR(BDP($B171&amp;" Action","GREENSHOE_FACILITY"),""))</f>
        <v/>
      </c>
      <c r="H171" s="103">
        <f>IF($B171="","",IFERROR(BDP($B171&amp;" Action","OFFERING_GREENSHOE_SHARES_EX"),""))</f>
        <v/>
      </c>
      <c r="I171" s="16">
        <f>Database!AG171</f>
        <v/>
      </c>
      <c r="J171" s="24">
        <f>IFERROR(BDP(Database!$A171&amp;" HK Equity","PE_RATIO"),"")</f>
        <v/>
      </c>
      <c r="K171" s="10">
        <f>IFERROR(BDP(Database!$A171&amp;" HK Equity","A/H_SHARE_CONVERSION"),"")</f>
        <v/>
      </c>
      <c r="L171" s="16">
        <f>IF(Database!BL171="","(none found)",Database!BL171)</f>
        <v/>
      </c>
      <c r="M171" s="18">
        <f>IFERROR(BDH(Database!$A171&amp;" HK Equity","CUR_MKT_CAP",Database!$H171,Database!$H171),"")</f>
        <v/>
      </c>
      <c r="N171" s="97">
        <f>Database!Q171</f>
        <v/>
      </c>
      <c r="O171" s="24">
        <f>IFERROR(BDH(Database!$A171&amp;" HK Equity","PE_RATIO",Database!$H171,Database!$H171),"")</f>
        <v/>
      </c>
      <c r="P171" s="101">
        <f>IF(Database!BF171="","(n/m or not derivable)",Database!BF171)</f>
        <v/>
      </c>
      <c r="Q171" s="24">
        <f>IF(Database!BL171="","",IFERROR(BDH(LEFT(Database!BL171,FIND(".",Database!BL171)-1)&amp;" CH Equity","PE_RATIO",Database!$H171,Database!$H171),""))</f>
        <v/>
      </c>
      <c r="R171" s="24">
        <f>IF(Database!BL171="","",IFERROR(BDH("HSAHP Index","PX_LAST",Database!$H171,Database!$H171),""))</f>
        <v/>
      </c>
      <c r="S171" s="24">
        <f>IFERROR(BDP(Database!$A171&amp;" HK Equity","PX_TO_SALES_RATIO"),"")</f>
        <v/>
      </c>
      <c r="T171" s="18">
        <f>IF(Database!BL171="","",IFERROR(BDP(LEFT(Database!BL171,FIND(".",Database!BL171)-1)&amp;" CH Equity","CUR_MKT_CAP"),""))</f>
        <v/>
      </c>
    </row>
    <row r="172">
      <c r="A172" s="16">
        <f>Database!A172&amp;"  "&amp;Database!B172</f>
        <v/>
      </c>
      <c r="B172" s="10">
        <f>IFERROR(INDEX(BDS(Database!$A172&amp;" HK Equity","EQUITY_OFFERINGS","array=t","endcol=1"),MATCH("IPO",BDS(Database!$A172&amp;" HK Equity","EQUITY_OFFERINGS","array=t","startcol=2","endcol=2"),0)),"")</f>
        <v/>
      </c>
      <c r="C172" s="103">
        <f>IF($B172="","",IFERROR(BDP($B172&amp;" Action","CP036"),""))</f>
        <v/>
      </c>
      <c r="D172" s="104">
        <f>Database!S172</f>
        <v/>
      </c>
      <c r="E172" s="103">
        <f>IF($B172="","",IFERROR(BDP($B172&amp;" Action","CP037"),""))</f>
        <v/>
      </c>
      <c r="F172" s="104">
        <f>Database!T172</f>
        <v/>
      </c>
      <c r="G172" s="103">
        <f>IF($B172="","",IFERROR(BDP($B172&amp;" Action","GREENSHOE_FACILITY"),""))</f>
        <v/>
      </c>
      <c r="H172" s="103">
        <f>IF($B172="","",IFERROR(BDP($B172&amp;" Action","OFFERING_GREENSHOE_SHARES_EX"),""))</f>
        <v/>
      </c>
      <c r="I172" s="16">
        <f>Database!AG172</f>
        <v/>
      </c>
      <c r="J172" s="24">
        <f>IFERROR(BDP(Database!$A172&amp;" HK Equity","PE_RATIO"),"")</f>
        <v/>
      </c>
      <c r="K172" s="10">
        <f>IFERROR(BDP(Database!$A172&amp;" HK Equity","A/H_SHARE_CONVERSION"),"")</f>
        <v/>
      </c>
      <c r="L172" s="16">
        <f>IF(Database!BL172="","(none found)",Database!BL172)</f>
        <v/>
      </c>
      <c r="M172" s="18">
        <f>IFERROR(BDH(Database!$A172&amp;" HK Equity","CUR_MKT_CAP",Database!$H172,Database!$H172),"")</f>
        <v/>
      </c>
      <c r="N172" s="97">
        <f>Database!Q172</f>
        <v/>
      </c>
      <c r="O172" s="24">
        <f>IFERROR(BDH(Database!$A172&amp;" HK Equity","PE_RATIO",Database!$H172,Database!$H172),"")</f>
        <v/>
      </c>
      <c r="P172" s="101">
        <f>IF(Database!BF172="","(n/m or not derivable)",Database!BF172)</f>
        <v/>
      </c>
      <c r="Q172" s="24">
        <f>IF(Database!BL172="","",IFERROR(BDH(LEFT(Database!BL172,FIND(".",Database!BL172)-1)&amp;" CH Equity","PE_RATIO",Database!$H172,Database!$H172),""))</f>
        <v/>
      </c>
      <c r="R172" s="24">
        <f>IF(Database!BL172="","",IFERROR(BDH("HSAHP Index","PX_LAST",Database!$H172,Database!$H172),""))</f>
        <v/>
      </c>
      <c r="S172" s="24">
        <f>IFERROR(BDP(Database!$A172&amp;" HK Equity","PX_TO_SALES_RATIO"),"")</f>
        <v/>
      </c>
      <c r="T172" s="18">
        <f>IF(Database!BL172="","",IFERROR(BDP(LEFT(Database!BL172,FIND(".",Database!BL172)-1)&amp;" CH Equity","CUR_MKT_CAP"),""))</f>
        <v/>
      </c>
    </row>
    <row r="173">
      <c r="A173" s="16">
        <f>Database!A173&amp;"  "&amp;Database!B173</f>
        <v/>
      </c>
      <c r="B173" s="10">
        <f>IFERROR(INDEX(BDS(Database!$A173&amp;" HK Equity","EQUITY_OFFERINGS","array=t","endcol=1"),MATCH("IPO",BDS(Database!$A173&amp;" HK Equity","EQUITY_OFFERINGS","array=t","startcol=2","endcol=2"),0)),"")</f>
        <v/>
      </c>
      <c r="C173" s="103">
        <f>IF($B173="","",IFERROR(BDP($B173&amp;" Action","CP036"),""))</f>
        <v/>
      </c>
      <c r="D173" s="104">
        <f>Database!S173</f>
        <v/>
      </c>
      <c r="E173" s="103">
        <f>IF($B173="","",IFERROR(BDP($B173&amp;" Action","CP037"),""))</f>
        <v/>
      </c>
      <c r="F173" s="104">
        <f>Database!T173</f>
        <v/>
      </c>
      <c r="G173" s="103">
        <f>IF($B173="","",IFERROR(BDP($B173&amp;" Action","GREENSHOE_FACILITY"),""))</f>
        <v/>
      </c>
      <c r="H173" s="103">
        <f>IF($B173="","",IFERROR(BDP($B173&amp;" Action","OFFERING_GREENSHOE_SHARES_EX"),""))</f>
        <v/>
      </c>
      <c r="I173" s="16">
        <f>Database!AG173</f>
        <v/>
      </c>
      <c r="J173" s="24">
        <f>IFERROR(BDP(Database!$A173&amp;" HK Equity","PE_RATIO"),"")</f>
        <v/>
      </c>
      <c r="K173" s="10">
        <f>IFERROR(BDP(Database!$A173&amp;" HK Equity","A/H_SHARE_CONVERSION"),"")</f>
        <v/>
      </c>
      <c r="L173" s="16">
        <f>IF(Database!BL173="","(none found)",Database!BL173)</f>
        <v/>
      </c>
      <c r="M173" s="18">
        <f>IFERROR(BDH(Database!$A173&amp;" HK Equity","CUR_MKT_CAP",Database!$H173,Database!$H173),"")</f>
        <v/>
      </c>
      <c r="N173" s="97">
        <f>Database!Q173</f>
        <v/>
      </c>
      <c r="O173" s="24">
        <f>IFERROR(BDH(Database!$A173&amp;" HK Equity","PE_RATIO",Database!$H173,Database!$H173),"")</f>
        <v/>
      </c>
      <c r="P173" s="101">
        <f>IF(Database!BF173="","(n/m or not derivable)",Database!BF173)</f>
        <v/>
      </c>
      <c r="Q173" s="24">
        <f>IF(Database!BL173="","",IFERROR(BDH(LEFT(Database!BL173,FIND(".",Database!BL173)-1)&amp;" CH Equity","PE_RATIO",Database!$H173,Database!$H173),""))</f>
        <v/>
      </c>
      <c r="R173" s="24">
        <f>IF(Database!BL173="","",IFERROR(BDH("HSAHP Index","PX_LAST",Database!$H173,Database!$H173),""))</f>
        <v/>
      </c>
      <c r="S173" s="24">
        <f>IFERROR(BDP(Database!$A173&amp;" HK Equity","PX_TO_SALES_RATIO"),"")</f>
        <v/>
      </c>
      <c r="T173" s="18">
        <f>IF(Database!BL173="","",IFERROR(BDP(LEFT(Database!BL173,FIND(".",Database!BL173)-1)&amp;" CH Equity","CUR_MKT_CAP"),""))</f>
        <v/>
      </c>
    </row>
    <row r="174">
      <c r="A174" s="16">
        <f>Database!A174&amp;"  "&amp;Database!B174</f>
        <v/>
      </c>
      <c r="B174" s="10">
        <f>IFERROR(INDEX(BDS(Database!$A174&amp;" HK Equity","EQUITY_OFFERINGS","array=t","endcol=1"),MATCH("IPO",BDS(Database!$A174&amp;" HK Equity","EQUITY_OFFERINGS","array=t","startcol=2","endcol=2"),0)),"")</f>
        <v/>
      </c>
      <c r="C174" s="103">
        <f>IF($B174="","",IFERROR(BDP($B174&amp;" Action","CP036"),""))</f>
        <v/>
      </c>
      <c r="D174" s="104">
        <f>Database!S174</f>
        <v/>
      </c>
      <c r="E174" s="103">
        <f>IF($B174="","",IFERROR(BDP($B174&amp;" Action","CP037"),""))</f>
        <v/>
      </c>
      <c r="F174" s="104">
        <f>Database!T174</f>
        <v/>
      </c>
      <c r="G174" s="103">
        <f>IF($B174="","",IFERROR(BDP($B174&amp;" Action","GREENSHOE_FACILITY"),""))</f>
        <v/>
      </c>
      <c r="H174" s="103">
        <f>IF($B174="","",IFERROR(BDP($B174&amp;" Action","OFFERING_GREENSHOE_SHARES_EX"),""))</f>
        <v/>
      </c>
      <c r="I174" s="16">
        <f>Database!AG174</f>
        <v/>
      </c>
      <c r="J174" s="24">
        <f>IFERROR(BDP(Database!$A174&amp;" HK Equity","PE_RATIO"),"")</f>
        <v/>
      </c>
      <c r="K174" s="10">
        <f>IFERROR(BDP(Database!$A174&amp;" HK Equity","A/H_SHARE_CONVERSION"),"")</f>
        <v/>
      </c>
      <c r="L174" s="16">
        <f>IF(Database!BL174="","(none found)",Database!BL174)</f>
        <v/>
      </c>
      <c r="M174" s="18">
        <f>IFERROR(BDH(Database!$A174&amp;" HK Equity","CUR_MKT_CAP",Database!$H174,Database!$H174),"")</f>
        <v/>
      </c>
      <c r="N174" s="97">
        <f>Database!Q174</f>
        <v/>
      </c>
      <c r="O174" s="24">
        <f>IFERROR(BDH(Database!$A174&amp;" HK Equity","PE_RATIO",Database!$H174,Database!$H174),"")</f>
        <v/>
      </c>
      <c r="P174" s="101">
        <f>IF(Database!BF174="","(n/m or not derivable)",Database!BF174)</f>
        <v/>
      </c>
      <c r="Q174" s="24">
        <f>IF(Database!BL174="","",IFERROR(BDH(LEFT(Database!BL174,FIND(".",Database!BL174)-1)&amp;" CH Equity","PE_RATIO",Database!$H174,Database!$H174),""))</f>
        <v/>
      </c>
      <c r="R174" s="24">
        <f>IF(Database!BL174="","",IFERROR(BDH("HSAHP Index","PX_LAST",Database!$H174,Database!$H174),""))</f>
        <v/>
      </c>
      <c r="S174" s="24">
        <f>IFERROR(BDP(Database!$A174&amp;" HK Equity","PX_TO_SALES_RATIO"),"")</f>
        <v/>
      </c>
      <c r="T174" s="18">
        <f>IF(Database!BL174="","",IFERROR(BDP(LEFT(Database!BL174,FIND(".",Database!BL174)-1)&amp;" CH Equity","CUR_MKT_CAP"),""))</f>
        <v/>
      </c>
    </row>
    <row r="175">
      <c r="A175" s="16">
        <f>Database!A175&amp;"  "&amp;Database!B175</f>
        <v/>
      </c>
      <c r="B175" s="10">
        <f>IFERROR(INDEX(BDS(Database!$A175&amp;" HK Equity","EQUITY_OFFERINGS","array=t","endcol=1"),MATCH("IPO",BDS(Database!$A175&amp;" HK Equity","EQUITY_OFFERINGS","array=t","startcol=2","endcol=2"),0)),"")</f>
        <v/>
      </c>
      <c r="C175" s="103">
        <f>IF($B175="","",IFERROR(BDP($B175&amp;" Action","CP036"),""))</f>
        <v/>
      </c>
      <c r="D175" s="104">
        <f>Database!S175</f>
        <v/>
      </c>
      <c r="E175" s="103">
        <f>IF($B175="","",IFERROR(BDP($B175&amp;" Action","CP037"),""))</f>
        <v/>
      </c>
      <c r="F175" s="104">
        <f>Database!T175</f>
        <v/>
      </c>
      <c r="G175" s="103">
        <f>IF($B175="","",IFERROR(BDP($B175&amp;" Action","GREENSHOE_FACILITY"),""))</f>
        <v/>
      </c>
      <c r="H175" s="103">
        <f>IF($B175="","",IFERROR(BDP($B175&amp;" Action","OFFERING_GREENSHOE_SHARES_EX"),""))</f>
        <v/>
      </c>
      <c r="I175" s="16">
        <f>Database!AG175</f>
        <v/>
      </c>
      <c r="J175" s="24">
        <f>IFERROR(BDP(Database!$A175&amp;" HK Equity","PE_RATIO"),"")</f>
        <v/>
      </c>
      <c r="K175" s="10">
        <f>IFERROR(BDP(Database!$A175&amp;" HK Equity","A/H_SHARE_CONVERSION"),"")</f>
        <v/>
      </c>
      <c r="L175" s="16">
        <f>IF(Database!BL175="","(none found)",Database!BL175)</f>
        <v/>
      </c>
      <c r="M175" s="18">
        <f>IFERROR(BDH(Database!$A175&amp;" HK Equity","CUR_MKT_CAP",Database!$H175,Database!$H175),"")</f>
        <v/>
      </c>
      <c r="N175" s="97">
        <f>Database!Q175</f>
        <v/>
      </c>
      <c r="O175" s="24">
        <f>IFERROR(BDH(Database!$A175&amp;" HK Equity","PE_RATIO",Database!$H175,Database!$H175),"")</f>
        <v/>
      </c>
      <c r="P175" s="101">
        <f>IF(Database!BF175="","(n/m or not derivable)",Database!BF175)</f>
        <v/>
      </c>
      <c r="Q175" s="24">
        <f>IF(Database!BL175="","",IFERROR(BDH(LEFT(Database!BL175,FIND(".",Database!BL175)-1)&amp;" CH Equity","PE_RATIO",Database!$H175,Database!$H175),""))</f>
        <v/>
      </c>
      <c r="R175" s="24">
        <f>IF(Database!BL175="","",IFERROR(BDH("HSAHP Index","PX_LAST",Database!$H175,Database!$H175),""))</f>
        <v/>
      </c>
      <c r="S175" s="24">
        <f>IFERROR(BDP(Database!$A175&amp;" HK Equity","PX_TO_SALES_RATIO"),"")</f>
        <v/>
      </c>
      <c r="T175" s="18">
        <f>IF(Database!BL175="","",IFERROR(BDP(LEFT(Database!BL175,FIND(".",Database!BL175)-1)&amp;" CH Equity","CUR_MKT_CAP"),""))</f>
        <v/>
      </c>
    </row>
    <row r="176">
      <c r="A176" s="16">
        <f>Database!A176&amp;"  "&amp;Database!B176</f>
        <v/>
      </c>
      <c r="B176" s="10">
        <f>IFERROR(INDEX(BDS(Database!$A176&amp;" HK Equity","EQUITY_OFFERINGS","array=t","endcol=1"),MATCH("IPO",BDS(Database!$A176&amp;" HK Equity","EQUITY_OFFERINGS","array=t","startcol=2","endcol=2"),0)),"")</f>
        <v/>
      </c>
      <c r="C176" s="103">
        <f>IF($B176="","",IFERROR(BDP($B176&amp;" Action","CP036"),""))</f>
        <v/>
      </c>
      <c r="D176" s="104">
        <f>Database!S176</f>
        <v/>
      </c>
      <c r="E176" s="103">
        <f>IF($B176="","",IFERROR(BDP($B176&amp;" Action","CP037"),""))</f>
        <v/>
      </c>
      <c r="F176" s="104">
        <f>Database!T176</f>
        <v/>
      </c>
      <c r="G176" s="103">
        <f>IF($B176="","",IFERROR(BDP($B176&amp;" Action","GREENSHOE_FACILITY"),""))</f>
        <v/>
      </c>
      <c r="H176" s="103">
        <f>IF($B176="","",IFERROR(BDP($B176&amp;" Action","OFFERING_GREENSHOE_SHARES_EX"),""))</f>
        <v/>
      </c>
      <c r="I176" s="16">
        <f>Database!AG176</f>
        <v/>
      </c>
      <c r="J176" s="24">
        <f>IFERROR(BDP(Database!$A176&amp;" HK Equity","PE_RATIO"),"")</f>
        <v/>
      </c>
      <c r="K176" s="10">
        <f>IFERROR(BDP(Database!$A176&amp;" HK Equity","A/H_SHARE_CONVERSION"),"")</f>
        <v/>
      </c>
      <c r="L176" s="16">
        <f>IF(Database!BL176="","(none found)",Database!BL176)</f>
        <v/>
      </c>
      <c r="M176" s="18">
        <f>IFERROR(BDH(Database!$A176&amp;" HK Equity","CUR_MKT_CAP",Database!$H176,Database!$H176),"")</f>
        <v/>
      </c>
      <c r="N176" s="97">
        <f>Database!Q176</f>
        <v/>
      </c>
      <c r="O176" s="24">
        <f>IFERROR(BDH(Database!$A176&amp;" HK Equity","PE_RATIO",Database!$H176,Database!$H176),"")</f>
        <v/>
      </c>
      <c r="P176" s="101">
        <f>IF(Database!BF176="","(n/m or not derivable)",Database!BF176)</f>
        <v/>
      </c>
      <c r="Q176" s="24">
        <f>IF(Database!BL176="","",IFERROR(BDH(LEFT(Database!BL176,FIND(".",Database!BL176)-1)&amp;" CH Equity","PE_RATIO",Database!$H176,Database!$H176),""))</f>
        <v/>
      </c>
      <c r="R176" s="24">
        <f>IF(Database!BL176="","",IFERROR(BDH("HSAHP Index","PX_LAST",Database!$H176,Database!$H176),""))</f>
        <v/>
      </c>
      <c r="S176" s="24">
        <f>IFERROR(BDP(Database!$A176&amp;" HK Equity","PX_TO_SALES_RATIO"),"")</f>
        <v/>
      </c>
      <c r="T176" s="18">
        <f>IF(Database!BL176="","",IFERROR(BDP(LEFT(Database!BL176,FIND(".",Database!BL176)-1)&amp;" CH Equity","CUR_MKT_CAP"),""))</f>
        <v/>
      </c>
    </row>
    <row r="177">
      <c r="A177" s="16">
        <f>Database!A177&amp;"  "&amp;Database!B177</f>
        <v/>
      </c>
      <c r="B177" s="10">
        <f>IFERROR(INDEX(BDS(Database!$A177&amp;" HK Equity","EQUITY_OFFERINGS","array=t","endcol=1"),MATCH("IPO",BDS(Database!$A177&amp;" HK Equity","EQUITY_OFFERINGS","array=t","startcol=2","endcol=2"),0)),"")</f>
        <v/>
      </c>
      <c r="C177" s="103">
        <f>IF($B177="","",IFERROR(BDP($B177&amp;" Action","CP036"),""))</f>
        <v/>
      </c>
      <c r="D177" s="104">
        <f>Database!S177</f>
        <v/>
      </c>
      <c r="E177" s="103">
        <f>IF($B177="","",IFERROR(BDP($B177&amp;" Action","CP037"),""))</f>
        <v/>
      </c>
      <c r="F177" s="104">
        <f>Database!T177</f>
        <v/>
      </c>
      <c r="G177" s="103">
        <f>IF($B177="","",IFERROR(BDP($B177&amp;" Action","GREENSHOE_FACILITY"),""))</f>
        <v/>
      </c>
      <c r="H177" s="103">
        <f>IF($B177="","",IFERROR(BDP($B177&amp;" Action","OFFERING_GREENSHOE_SHARES_EX"),""))</f>
        <v/>
      </c>
      <c r="I177" s="16">
        <f>Database!AG177</f>
        <v/>
      </c>
      <c r="J177" s="24">
        <f>IFERROR(BDP(Database!$A177&amp;" HK Equity","PE_RATIO"),"")</f>
        <v/>
      </c>
      <c r="K177" s="10">
        <f>IFERROR(BDP(Database!$A177&amp;" HK Equity","A/H_SHARE_CONVERSION"),"")</f>
        <v/>
      </c>
      <c r="L177" s="16">
        <f>IF(Database!BL177="","(none found)",Database!BL177)</f>
        <v/>
      </c>
      <c r="M177" s="18">
        <f>IFERROR(BDH(Database!$A177&amp;" HK Equity","CUR_MKT_CAP",Database!$H177,Database!$H177),"")</f>
        <v/>
      </c>
      <c r="N177" s="97">
        <f>Database!Q177</f>
        <v/>
      </c>
      <c r="O177" s="24">
        <f>IFERROR(BDH(Database!$A177&amp;" HK Equity","PE_RATIO",Database!$H177,Database!$H177),"")</f>
        <v/>
      </c>
      <c r="P177" s="101">
        <f>IF(Database!BF177="","(n/m or not derivable)",Database!BF177)</f>
        <v/>
      </c>
      <c r="Q177" s="24">
        <f>IF(Database!BL177="","",IFERROR(BDH(LEFT(Database!BL177,FIND(".",Database!BL177)-1)&amp;" CH Equity","PE_RATIO",Database!$H177,Database!$H177),""))</f>
        <v/>
      </c>
      <c r="R177" s="24">
        <f>IF(Database!BL177="","",IFERROR(BDH("HSAHP Index","PX_LAST",Database!$H177,Database!$H177),""))</f>
        <v/>
      </c>
      <c r="S177" s="24">
        <f>IFERROR(BDP(Database!$A177&amp;" HK Equity","PX_TO_SALES_RATIO"),"")</f>
        <v/>
      </c>
      <c r="T177" s="18">
        <f>IF(Database!BL177="","",IFERROR(BDP(LEFT(Database!BL177,FIND(".",Database!BL177)-1)&amp;" CH Equity","CUR_MKT_CAP"),""))</f>
        <v/>
      </c>
    </row>
    <row r="178">
      <c r="A178" s="16">
        <f>Database!A178&amp;"  "&amp;Database!B178</f>
        <v/>
      </c>
      <c r="B178" s="10">
        <f>IFERROR(INDEX(BDS(Database!$A178&amp;" HK Equity","EQUITY_OFFERINGS","array=t","endcol=1"),MATCH("IPO",BDS(Database!$A178&amp;" HK Equity","EQUITY_OFFERINGS","array=t","startcol=2","endcol=2"),0)),"")</f>
        <v/>
      </c>
      <c r="C178" s="103">
        <f>IF($B178="","",IFERROR(BDP($B178&amp;" Action","CP036"),""))</f>
        <v/>
      </c>
      <c r="D178" s="104">
        <f>Database!S178</f>
        <v/>
      </c>
      <c r="E178" s="103">
        <f>IF($B178="","",IFERROR(BDP($B178&amp;" Action","CP037"),""))</f>
        <v/>
      </c>
      <c r="F178" s="104">
        <f>Database!T178</f>
        <v/>
      </c>
      <c r="G178" s="103">
        <f>IF($B178="","",IFERROR(BDP($B178&amp;" Action","GREENSHOE_FACILITY"),""))</f>
        <v/>
      </c>
      <c r="H178" s="103">
        <f>IF($B178="","",IFERROR(BDP($B178&amp;" Action","OFFERING_GREENSHOE_SHARES_EX"),""))</f>
        <v/>
      </c>
      <c r="I178" s="16">
        <f>Database!AG178</f>
        <v/>
      </c>
      <c r="J178" s="24">
        <f>IFERROR(BDP(Database!$A178&amp;" HK Equity","PE_RATIO"),"")</f>
        <v/>
      </c>
      <c r="K178" s="10">
        <f>IFERROR(BDP(Database!$A178&amp;" HK Equity","A/H_SHARE_CONVERSION"),"")</f>
        <v/>
      </c>
      <c r="L178" s="16">
        <f>IF(Database!BL178="","(none found)",Database!BL178)</f>
        <v/>
      </c>
      <c r="M178" s="18">
        <f>IFERROR(BDH(Database!$A178&amp;" HK Equity","CUR_MKT_CAP",Database!$H178,Database!$H178),"")</f>
        <v/>
      </c>
      <c r="N178" s="97">
        <f>Database!Q178</f>
        <v/>
      </c>
      <c r="O178" s="24">
        <f>IFERROR(BDH(Database!$A178&amp;" HK Equity","PE_RATIO",Database!$H178,Database!$H178),"")</f>
        <v/>
      </c>
      <c r="P178" s="101">
        <f>IF(Database!BF178="","(n/m or not derivable)",Database!BF178)</f>
        <v/>
      </c>
      <c r="Q178" s="24">
        <f>IF(Database!BL178="","",IFERROR(BDH(LEFT(Database!BL178,FIND(".",Database!BL178)-1)&amp;" CH Equity","PE_RATIO",Database!$H178,Database!$H178),""))</f>
        <v/>
      </c>
      <c r="R178" s="24">
        <f>IF(Database!BL178="","",IFERROR(BDH("HSAHP Index","PX_LAST",Database!$H178,Database!$H178),""))</f>
        <v/>
      </c>
      <c r="S178" s="24">
        <f>IFERROR(BDP(Database!$A178&amp;" HK Equity","PX_TO_SALES_RATIO"),"")</f>
        <v/>
      </c>
      <c r="T178" s="18">
        <f>IF(Database!BL178="","",IFERROR(BDP(LEFT(Database!BL178,FIND(".",Database!BL178)-1)&amp;" CH Equity","CUR_MKT_CAP"),""))</f>
        <v/>
      </c>
    </row>
    <row r="179">
      <c r="A179" s="16">
        <f>Database!A179&amp;"  "&amp;Database!B179</f>
        <v/>
      </c>
      <c r="B179" s="10">
        <f>IFERROR(INDEX(BDS(Database!$A179&amp;" HK Equity","EQUITY_OFFERINGS","array=t","endcol=1"),MATCH("IPO",BDS(Database!$A179&amp;" HK Equity","EQUITY_OFFERINGS","array=t","startcol=2","endcol=2"),0)),"")</f>
        <v/>
      </c>
      <c r="C179" s="103">
        <f>IF($B179="","",IFERROR(BDP($B179&amp;" Action","CP036"),""))</f>
        <v/>
      </c>
      <c r="D179" s="104">
        <f>Database!S179</f>
        <v/>
      </c>
      <c r="E179" s="103">
        <f>IF($B179="","",IFERROR(BDP($B179&amp;" Action","CP037"),""))</f>
        <v/>
      </c>
      <c r="F179" s="104">
        <f>Database!T179</f>
        <v/>
      </c>
      <c r="G179" s="103">
        <f>IF($B179="","",IFERROR(BDP($B179&amp;" Action","GREENSHOE_FACILITY"),""))</f>
        <v/>
      </c>
      <c r="H179" s="103">
        <f>IF($B179="","",IFERROR(BDP($B179&amp;" Action","OFFERING_GREENSHOE_SHARES_EX"),""))</f>
        <v/>
      </c>
      <c r="I179" s="16">
        <f>Database!AG179</f>
        <v/>
      </c>
      <c r="J179" s="24">
        <f>IFERROR(BDP(Database!$A179&amp;" HK Equity","PE_RATIO"),"")</f>
        <v/>
      </c>
      <c r="K179" s="10">
        <f>IFERROR(BDP(Database!$A179&amp;" HK Equity","A/H_SHARE_CONVERSION"),"")</f>
        <v/>
      </c>
      <c r="L179" s="16">
        <f>IF(Database!BL179="","(none found)",Database!BL179)</f>
        <v/>
      </c>
      <c r="M179" s="18">
        <f>IFERROR(BDH(Database!$A179&amp;" HK Equity","CUR_MKT_CAP",Database!$H179,Database!$H179),"")</f>
        <v/>
      </c>
      <c r="N179" s="97">
        <f>Database!Q179</f>
        <v/>
      </c>
      <c r="O179" s="24">
        <f>IFERROR(BDH(Database!$A179&amp;" HK Equity","PE_RATIO",Database!$H179,Database!$H179),"")</f>
        <v/>
      </c>
      <c r="P179" s="101">
        <f>IF(Database!BF179="","(n/m or not derivable)",Database!BF179)</f>
        <v/>
      </c>
      <c r="Q179" s="24">
        <f>IF(Database!BL179="","",IFERROR(BDH(LEFT(Database!BL179,FIND(".",Database!BL179)-1)&amp;" CH Equity","PE_RATIO",Database!$H179,Database!$H179),""))</f>
        <v/>
      </c>
      <c r="R179" s="24">
        <f>IF(Database!BL179="","",IFERROR(BDH("HSAHP Index","PX_LAST",Database!$H179,Database!$H179),""))</f>
        <v/>
      </c>
      <c r="S179" s="24">
        <f>IFERROR(BDP(Database!$A179&amp;" HK Equity","PX_TO_SALES_RATIO"),"")</f>
        <v/>
      </c>
      <c r="T179" s="18">
        <f>IF(Database!BL179="","",IFERROR(BDP(LEFT(Database!BL179,FIND(".",Database!BL179)-1)&amp;" CH Equity","CUR_MKT_CAP"),""))</f>
        <v/>
      </c>
    </row>
    <row r="180">
      <c r="A180" s="16">
        <f>Database!A180&amp;"  "&amp;Database!B180</f>
        <v/>
      </c>
      <c r="B180" s="10">
        <f>IFERROR(INDEX(BDS(Database!$A180&amp;" HK Equity","EQUITY_OFFERINGS","array=t","endcol=1"),MATCH("IPO",BDS(Database!$A180&amp;" HK Equity","EQUITY_OFFERINGS","array=t","startcol=2","endcol=2"),0)),"")</f>
        <v/>
      </c>
      <c r="C180" s="103">
        <f>IF($B180="","",IFERROR(BDP($B180&amp;" Action","CP036"),""))</f>
        <v/>
      </c>
      <c r="D180" s="104">
        <f>Database!S180</f>
        <v/>
      </c>
      <c r="E180" s="103">
        <f>IF($B180="","",IFERROR(BDP($B180&amp;" Action","CP037"),""))</f>
        <v/>
      </c>
      <c r="F180" s="104">
        <f>Database!T180</f>
        <v/>
      </c>
      <c r="G180" s="103">
        <f>IF($B180="","",IFERROR(BDP($B180&amp;" Action","GREENSHOE_FACILITY"),""))</f>
        <v/>
      </c>
      <c r="H180" s="103">
        <f>IF($B180="","",IFERROR(BDP($B180&amp;" Action","OFFERING_GREENSHOE_SHARES_EX"),""))</f>
        <v/>
      </c>
      <c r="I180" s="16">
        <f>Database!AG180</f>
        <v/>
      </c>
      <c r="J180" s="24">
        <f>IFERROR(BDP(Database!$A180&amp;" HK Equity","PE_RATIO"),"")</f>
        <v/>
      </c>
      <c r="K180" s="10">
        <f>IFERROR(BDP(Database!$A180&amp;" HK Equity","A/H_SHARE_CONVERSION"),"")</f>
        <v/>
      </c>
      <c r="L180" s="16">
        <f>IF(Database!BL180="","(none found)",Database!BL180)</f>
        <v/>
      </c>
      <c r="M180" s="18">
        <f>IFERROR(BDH(Database!$A180&amp;" HK Equity","CUR_MKT_CAP",Database!$H180,Database!$H180),"")</f>
        <v/>
      </c>
      <c r="N180" s="97">
        <f>Database!Q180</f>
        <v/>
      </c>
      <c r="O180" s="24">
        <f>IFERROR(BDH(Database!$A180&amp;" HK Equity","PE_RATIO",Database!$H180,Database!$H180),"")</f>
        <v/>
      </c>
      <c r="P180" s="101">
        <f>IF(Database!BF180="","(n/m or not derivable)",Database!BF180)</f>
        <v/>
      </c>
      <c r="Q180" s="24">
        <f>IF(Database!BL180="","",IFERROR(BDH(LEFT(Database!BL180,FIND(".",Database!BL180)-1)&amp;" CH Equity","PE_RATIO",Database!$H180,Database!$H180),""))</f>
        <v/>
      </c>
      <c r="R180" s="24">
        <f>IF(Database!BL180="","",IFERROR(BDH("HSAHP Index","PX_LAST",Database!$H180,Database!$H180),""))</f>
        <v/>
      </c>
      <c r="S180" s="24">
        <f>IFERROR(BDP(Database!$A180&amp;" HK Equity","PX_TO_SALES_RATIO"),"")</f>
        <v/>
      </c>
      <c r="T180" s="18">
        <f>IF(Database!BL180="","",IFERROR(BDP(LEFT(Database!BL180,FIND(".",Database!BL180)-1)&amp;" CH Equity","CUR_MKT_CAP"),""))</f>
        <v/>
      </c>
    </row>
    <row r="181">
      <c r="A181" s="16">
        <f>Database!A181&amp;"  "&amp;Database!B181</f>
        <v/>
      </c>
      <c r="B181" s="10">
        <f>IFERROR(INDEX(BDS(Database!$A181&amp;" HK Equity","EQUITY_OFFERINGS","array=t","endcol=1"),MATCH("IPO",BDS(Database!$A181&amp;" HK Equity","EQUITY_OFFERINGS","array=t","startcol=2","endcol=2"),0)),"")</f>
        <v/>
      </c>
      <c r="C181" s="103">
        <f>IF($B181="","",IFERROR(BDP($B181&amp;" Action","CP036"),""))</f>
        <v/>
      </c>
      <c r="D181" s="104">
        <f>Database!S181</f>
        <v/>
      </c>
      <c r="E181" s="103">
        <f>IF($B181="","",IFERROR(BDP($B181&amp;" Action","CP037"),""))</f>
        <v/>
      </c>
      <c r="F181" s="104">
        <f>Database!T181</f>
        <v/>
      </c>
      <c r="G181" s="103">
        <f>IF($B181="","",IFERROR(BDP($B181&amp;" Action","GREENSHOE_FACILITY"),""))</f>
        <v/>
      </c>
      <c r="H181" s="103">
        <f>IF($B181="","",IFERROR(BDP($B181&amp;" Action","OFFERING_GREENSHOE_SHARES_EX"),""))</f>
        <v/>
      </c>
      <c r="I181" s="16">
        <f>Database!AG181</f>
        <v/>
      </c>
      <c r="J181" s="24">
        <f>IFERROR(BDP(Database!$A181&amp;" HK Equity","PE_RATIO"),"")</f>
        <v/>
      </c>
      <c r="K181" s="10">
        <f>IFERROR(BDP(Database!$A181&amp;" HK Equity","A/H_SHARE_CONVERSION"),"")</f>
        <v/>
      </c>
      <c r="L181" s="16">
        <f>IF(Database!BL181="","(none found)",Database!BL181)</f>
        <v/>
      </c>
      <c r="M181" s="18">
        <f>IFERROR(BDH(Database!$A181&amp;" HK Equity","CUR_MKT_CAP",Database!$H181,Database!$H181),"")</f>
        <v/>
      </c>
      <c r="N181" s="97">
        <f>Database!Q181</f>
        <v/>
      </c>
      <c r="O181" s="24">
        <f>IFERROR(BDH(Database!$A181&amp;" HK Equity","PE_RATIO",Database!$H181,Database!$H181),"")</f>
        <v/>
      </c>
      <c r="P181" s="101">
        <f>IF(Database!BF181="","(n/m or not derivable)",Database!BF181)</f>
        <v/>
      </c>
      <c r="Q181" s="24">
        <f>IF(Database!BL181="","",IFERROR(BDH(LEFT(Database!BL181,FIND(".",Database!BL181)-1)&amp;" CH Equity","PE_RATIO",Database!$H181,Database!$H181),""))</f>
        <v/>
      </c>
      <c r="R181" s="24">
        <f>IF(Database!BL181="","",IFERROR(BDH("HSAHP Index","PX_LAST",Database!$H181,Database!$H181),""))</f>
        <v/>
      </c>
      <c r="S181" s="24">
        <f>IFERROR(BDP(Database!$A181&amp;" HK Equity","PX_TO_SALES_RATIO"),"")</f>
        <v/>
      </c>
      <c r="T181" s="18">
        <f>IF(Database!BL181="","",IFERROR(BDP(LEFT(Database!BL181,FIND(".",Database!BL181)-1)&amp;" CH Equity","CUR_MKT_CAP"),""))</f>
        <v/>
      </c>
    </row>
    <row r="182">
      <c r="A182" s="16">
        <f>Database!A182&amp;"  "&amp;Database!B182</f>
        <v/>
      </c>
      <c r="B182" s="10">
        <f>IFERROR(INDEX(BDS(Database!$A182&amp;" HK Equity","EQUITY_OFFERINGS","array=t","endcol=1"),MATCH("IPO",BDS(Database!$A182&amp;" HK Equity","EQUITY_OFFERINGS","array=t","startcol=2","endcol=2"),0)),"")</f>
        <v/>
      </c>
      <c r="C182" s="103">
        <f>IF($B182="","",IFERROR(BDP($B182&amp;" Action","CP036"),""))</f>
        <v/>
      </c>
      <c r="D182" s="104">
        <f>Database!S182</f>
        <v/>
      </c>
      <c r="E182" s="103">
        <f>IF($B182="","",IFERROR(BDP($B182&amp;" Action","CP037"),""))</f>
        <v/>
      </c>
      <c r="F182" s="104">
        <f>Database!T182</f>
        <v/>
      </c>
      <c r="G182" s="103">
        <f>IF($B182="","",IFERROR(BDP($B182&amp;" Action","GREENSHOE_FACILITY"),""))</f>
        <v/>
      </c>
      <c r="H182" s="103">
        <f>IF($B182="","",IFERROR(BDP($B182&amp;" Action","OFFERING_GREENSHOE_SHARES_EX"),""))</f>
        <v/>
      </c>
      <c r="I182" s="16">
        <f>Database!AG182</f>
        <v/>
      </c>
      <c r="J182" s="24">
        <f>IFERROR(BDP(Database!$A182&amp;" HK Equity","PE_RATIO"),"")</f>
        <v/>
      </c>
      <c r="K182" s="10">
        <f>IFERROR(BDP(Database!$A182&amp;" HK Equity","A/H_SHARE_CONVERSION"),"")</f>
        <v/>
      </c>
      <c r="L182" s="16">
        <f>IF(Database!BL182="","(none found)",Database!BL182)</f>
        <v/>
      </c>
      <c r="M182" s="18">
        <f>IFERROR(BDH(Database!$A182&amp;" HK Equity","CUR_MKT_CAP",Database!$H182,Database!$H182),"")</f>
        <v/>
      </c>
      <c r="N182" s="97">
        <f>Database!Q182</f>
        <v/>
      </c>
      <c r="O182" s="24">
        <f>IFERROR(BDH(Database!$A182&amp;" HK Equity","PE_RATIO",Database!$H182,Database!$H182),"")</f>
        <v/>
      </c>
      <c r="P182" s="101">
        <f>IF(Database!BF182="","(n/m or not derivable)",Database!BF182)</f>
        <v/>
      </c>
      <c r="Q182" s="24">
        <f>IF(Database!BL182="","",IFERROR(BDH(LEFT(Database!BL182,FIND(".",Database!BL182)-1)&amp;" CH Equity","PE_RATIO",Database!$H182,Database!$H182),""))</f>
        <v/>
      </c>
      <c r="R182" s="24">
        <f>IF(Database!BL182="","",IFERROR(BDH("HSAHP Index","PX_LAST",Database!$H182,Database!$H182),""))</f>
        <v/>
      </c>
      <c r="S182" s="24">
        <f>IFERROR(BDP(Database!$A182&amp;" HK Equity","PX_TO_SALES_RATIO"),"")</f>
        <v/>
      </c>
      <c r="T182" s="18">
        <f>IF(Database!BL182="","",IFERROR(BDP(LEFT(Database!BL182,FIND(".",Database!BL182)-1)&amp;" CH Equity","CUR_MKT_CAP"),""))</f>
        <v/>
      </c>
    </row>
    <row r="183">
      <c r="A183" s="16">
        <f>Database!A183&amp;"  "&amp;Database!B183</f>
        <v/>
      </c>
      <c r="B183" s="10">
        <f>IFERROR(INDEX(BDS(Database!$A183&amp;" HK Equity","EQUITY_OFFERINGS","array=t","endcol=1"),MATCH("IPO",BDS(Database!$A183&amp;" HK Equity","EQUITY_OFFERINGS","array=t","startcol=2","endcol=2"),0)),"")</f>
        <v/>
      </c>
      <c r="C183" s="103">
        <f>IF($B183="","",IFERROR(BDP($B183&amp;" Action","CP036"),""))</f>
        <v/>
      </c>
      <c r="D183" s="104">
        <f>Database!S183</f>
        <v/>
      </c>
      <c r="E183" s="103">
        <f>IF($B183="","",IFERROR(BDP($B183&amp;" Action","CP037"),""))</f>
        <v/>
      </c>
      <c r="F183" s="104">
        <f>Database!T183</f>
        <v/>
      </c>
      <c r="G183" s="103">
        <f>IF($B183="","",IFERROR(BDP($B183&amp;" Action","GREENSHOE_FACILITY"),""))</f>
        <v/>
      </c>
      <c r="H183" s="103">
        <f>IF($B183="","",IFERROR(BDP($B183&amp;" Action","OFFERING_GREENSHOE_SHARES_EX"),""))</f>
        <v/>
      </c>
      <c r="I183" s="16">
        <f>Database!AG183</f>
        <v/>
      </c>
      <c r="J183" s="24">
        <f>IFERROR(BDP(Database!$A183&amp;" HK Equity","PE_RATIO"),"")</f>
        <v/>
      </c>
      <c r="K183" s="10">
        <f>IFERROR(BDP(Database!$A183&amp;" HK Equity","A/H_SHARE_CONVERSION"),"")</f>
        <v/>
      </c>
      <c r="L183" s="16">
        <f>IF(Database!BL183="","(none found)",Database!BL183)</f>
        <v/>
      </c>
      <c r="M183" s="18">
        <f>IFERROR(BDH(Database!$A183&amp;" HK Equity","CUR_MKT_CAP",Database!$H183,Database!$H183),"")</f>
        <v/>
      </c>
      <c r="N183" s="97">
        <f>Database!Q183</f>
        <v/>
      </c>
      <c r="O183" s="24">
        <f>IFERROR(BDH(Database!$A183&amp;" HK Equity","PE_RATIO",Database!$H183,Database!$H183),"")</f>
        <v/>
      </c>
      <c r="P183" s="101">
        <f>IF(Database!BF183="","(n/m or not derivable)",Database!BF183)</f>
        <v/>
      </c>
      <c r="Q183" s="24">
        <f>IF(Database!BL183="","",IFERROR(BDH(LEFT(Database!BL183,FIND(".",Database!BL183)-1)&amp;" CH Equity","PE_RATIO",Database!$H183,Database!$H183),""))</f>
        <v/>
      </c>
      <c r="R183" s="24">
        <f>IF(Database!BL183="","",IFERROR(BDH("HSAHP Index","PX_LAST",Database!$H183,Database!$H183),""))</f>
        <v/>
      </c>
      <c r="S183" s="24">
        <f>IFERROR(BDP(Database!$A183&amp;" HK Equity","PX_TO_SALES_RATIO"),"")</f>
        <v/>
      </c>
      <c r="T183" s="18">
        <f>IF(Database!BL183="","",IFERROR(BDP(LEFT(Database!BL183,FIND(".",Database!BL183)-1)&amp;" CH Equity","CUR_MKT_CAP"),""))</f>
        <v/>
      </c>
    </row>
    <row r="184">
      <c r="A184" s="16">
        <f>Database!A184&amp;"  "&amp;Database!B184</f>
        <v/>
      </c>
      <c r="B184" s="10">
        <f>IFERROR(INDEX(BDS(Database!$A184&amp;" HK Equity","EQUITY_OFFERINGS","array=t","endcol=1"),MATCH("IPO",BDS(Database!$A184&amp;" HK Equity","EQUITY_OFFERINGS","array=t","startcol=2","endcol=2"),0)),"")</f>
        <v/>
      </c>
      <c r="C184" s="103">
        <f>IF($B184="","",IFERROR(BDP($B184&amp;" Action","CP036"),""))</f>
        <v/>
      </c>
      <c r="D184" s="104">
        <f>Database!S184</f>
        <v/>
      </c>
      <c r="E184" s="103">
        <f>IF($B184="","",IFERROR(BDP($B184&amp;" Action","CP037"),""))</f>
        <v/>
      </c>
      <c r="F184" s="104">
        <f>Database!T184</f>
        <v/>
      </c>
      <c r="G184" s="103">
        <f>IF($B184="","",IFERROR(BDP($B184&amp;" Action","GREENSHOE_FACILITY"),""))</f>
        <v/>
      </c>
      <c r="H184" s="103">
        <f>IF($B184="","",IFERROR(BDP($B184&amp;" Action","OFFERING_GREENSHOE_SHARES_EX"),""))</f>
        <v/>
      </c>
      <c r="I184" s="16">
        <f>Database!AG184</f>
        <v/>
      </c>
      <c r="J184" s="24">
        <f>IFERROR(BDP(Database!$A184&amp;" HK Equity","PE_RATIO"),"")</f>
        <v/>
      </c>
      <c r="K184" s="10">
        <f>IFERROR(BDP(Database!$A184&amp;" HK Equity","A/H_SHARE_CONVERSION"),"")</f>
        <v/>
      </c>
      <c r="L184" s="16">
        <f>IF(Database!BL184="","(none found)",Database!BL184)</f>
        <v/>
      </c>
      <c r="M184" s="18">
        <f>IFERROR(BDH(Database!$A184&amp;" HK Equity","CUR_MKT_CAP",Database!$H184,Database!$H184),"")</f>
        <v/>
      </c>
      <c r="N184" s="97">
        <f>Database!Q184</f>
        <v/>
      </c>
      <c r="O184" s="24">
        <f>IFERROR(BDH(Database!$A184&amp;" HK Equity","PE_RATIO",Database!$H184,Database!$H184),"")</f>
        <v/>
      </c>
      <c r="P184" s="101">
        <f>IF(Database!BF184="","(n/m or not derivable)",Database!BF184)</f>
        <v/>
      </c>
      <c r="Q184" s="24">
        <f>IF(Database!BL184="","",IFERROR(BDH(LEFT(Database!BL184,FIND(".",Database!BL184)-1)&amp;" CH Equity","PE_RATIO",Database!$H184,Database!$H184),""))</f>
        <v/>
      </c>
      <c r="R184" s="24">
        <f>IF(Database!BL184="","",IFERROR(BDH("HSAHP Index","PX_LAST",Database!$H184,Database!$H184),""))</f>
        <v/>
      </c>
      <c r="S184" s="24">
        <f>IFERROR(BDP(Database!$A184&amp;" HK Equity","PX_TO_SALES_RATIO"),"")</f>
        <v/>
      </c>
      <c r="T184" s="18">
        <f>IF(Database!BL184="","",IFERROR(BDP(LEFT(Database!BL184,FIND(".",Database!BL184)-1)&amp;" CH Equity","CUR_MKT_CAP"),""))</f>
        <v/>
      </c>
    </row>
    <row r="185">
      <c r="A185" s="16">
        <f>Database!A185&amp;"  "&amp;Database!B185</f>
        <v/>
      </c>
      <c r="B185" s="10">
        <f>IFERROR(INDEX(BDS(Database!$A185&amp;" HK Equity","EQUITY_OFFERINGS","array=t","endcol=1"),MATCH("IPO",BDS(Database!$A185&amp;" HK Equity","EQUITY_OFFERINGS","array=t","startcol=2","endcol=2"),0)),"")</f>
        <v/>
      </c>
      <c r="C185" s="103">
        <f>IF($B185="","",IFERROR(BDP($B185&amp;" Action","CP036"),""))</f>
        <v/>
      </c>
      <c r="D185" s="104">
        <f>Database!S185</f>
        <v/>
      </c>
      <c r="E185" s="103">
        <f>IF($B185="","",IFERROR(BDP($B185&amp;" Action","CP037"),""))</f>
        <v/>
      </c>
      <c r="F185" s="104">
        <f>Database!T185</f>
        <v/>
      </c>
      <c r="G185" s="103">
        <f>IF($B185="","",IFERROR(BDP($B185&amp;" Action","GREENSHOE_FACILITY"),""))</f>
        <v/>
      </c>
      <c r="H185" s="103">
        <f>IF($B185="","",IFERROR(BDP($B185&amp;" Action","OFFERING_GREENSHOE_SHARES_EX"),""))</f>
        <v/>
      </c>
      <c r="I185" s="16">
        <f>Database!AG185</f>
        <v/>
      </c>
      <c r="J185" s="24">
        <f>IFERROR(BDP(Database!$A185&amp;" HK Equity","PE_RATIO"),"")</f>
        <v/>
      </c>
      <c r="K185" s="10">
        <f>IFERROR(BDP(Database!$A185&amp;" HK Equity","A/H_SHARE_CONVERSION"),"")</f>
        <v/>
      </c>
      <c r="L185" s="16">
        <f>IF(Database!BL185="","(none found)",Database!BL185)</f>
        <v/>
      </c>
      <c r="M185" s="18">
        <f>IFERROR(BDH(Database!$A185&amp;" HK Equity","CUR_MKT_CAP",Database!$H185,Database!$H185),"")</f>
        <v/>
      </c>
      <c r="N185" s="97">
        <f>Database!Q185</f>
        <v/>
      </c>
      <c r="O185" s="24">
        <f>IFERROR(BDH(Database!$A185&amp;" HK Equity","PE_RATIO",Database!$H185,Database!$H185),"")</f>
        <v/>
      </c>
      <c r="P185" s="101">
        <f>IF(Database!BF185="","(n/m or not derivable)",Database!BF185)</f>
        <v/>
      </c>
      <c r="Q185" s="24">
        <f>IF(Database!BL185="","",IFERROR(BDH(LEFT(Database!BL185,FIND(".",Database!BL185)-1)&amp;" CH Equity","PE_RATIO",Database!$H185,Database!$H185),""))</f>
        <v/>
      </c>
      <c r="R185" s="24">
        <f>IF(Database!BL185="","",IFERROR(BDH("HSAHP Index","PX_LAST",Database!$H185,Database!$H185),""))</f>
        <v/>
      </c>
      <c r="S185" s="24">
        <f>IFERROR(BDP(Database!$A185&amp;" HK Equity","PX_TO_SALES_RATIO"),"")</f>
        <v/>
      </c>
      <c r="T185" s="18">
        <f>IF(Database!BL185="","",IFERROR(BDP(LEFT(Database!BL185,FIND(".",Database!BL185)-1)&amp;" CH Equity","CUR_MKT_CAP"),""))</f>
        <v/>
      </c>
    </row>
    <row r="186">
      <c r="A186" s="16">
        <f>Database!A186&amp;"  "&amp;Database!B186</f>
        <v/>
      </c>
      <c r="B186" s="10">
        <f>IFERROR(INDEX(BDS(Database!$A186&amp;" HK Equity","EQUITY_OFFERINGS","array=t","endcol=1"),MATCH("IPO",BDS(Database!$A186&amp;" HK Equity","EQUITY_OFFERINGS","array=t","startcol=2","endcol=2"),0)),"")</f>
        <v/>
      </c>
      <c r="C186" s="103">
        <f>IF($B186="","",IFERROR(BDP($B186&amp;" Action","CP036"),""))</f>
        <v/>
      </c>
      <c r="D186" s="104">
        <f>Database!S186</f>
        <v/>
      </c>
      <c r="E186" s="103">
        <f>IF($B186="","",IFERROR(BDP($B186&amp;" Action","CP037"),""))</f>
        <v/>
      </c>
      <c r="F186" s="104">
        <f>Database!T186</f>
        <v/>
      </c>
      <c r="G186" s="103">
        <f>IF($B186="","",IFERROR(BDP($B186&amp;" Action","GREENSHOE_FACILITY"),""))</f>
        <v/>
      </c>
      <c r="H186" s="103">
        <f>IF($B186="","",IFERROR(BDP($B186&amp;" Action","OFFERING_GREENSHOE_SHARES_EX"),""))</f>
        <v/>
      </c>
      <c r="I186" s="16">
        <f>Database!AG186</f>
        <v/>
      </c>
      <c r="J186" s="24">
        <f>IFERROR(BDP(Database!$A186&amp;" HK Equity","PE_RATIO"),"")</f>
        <v/>
      </c>
      <c r="K186" s="10">
        <f>IFERROR(BDP(Database!$A186&amp;" HK Equity","A/H_SHARE_CONVERSION"),"")</f>
        <v/>
      </c>
      <c r="L186" s="16">
        <f>IF(Database!BL186="","(none found)",Database!BL186)</f>
        <v/>
      </c>
      <c r="M186" s="18">
        <f>IFERROR(BDH(Database!$A186&amp;" HK Equity","CUR_MKT_CAP",Database!$H186,Database!$H186),"")</f>
        <v/>
      </c>
      <c r="N186" s="97">
        <f>Database!Q186</f>
        <v/>
      </c>
      <c r="O186" s="24">
        <f>IFERROR(BDH(Database!$A186&amp;" HK Equity","PE_RATIO",Database!$H186,Database!$H186),"")</f>
        <v/>
      </c>
      <c r="P186" s="101">
        <f>IF(Database!BF186="","(n/m or not derivable)",Database!BF186)</f>
        <v/>
      </c>
      <c r="Q186" s="24">
        <f>IF(Database!BL186="","",IFERROR(BDH(LEFT(Database!BL186,FIND(".",Database!BL186)-1)&amp;" CH Equity","PE_RATIO",Database!$H186,Database!$H186),""))</f>
        <v/>
      </c>
      <c r="R186" s="24">
        <f>IF(Database!BL186="","",IFERROR(BDH("HSAHP Index","PX_LAST",Database!$H186,Database!$H186),""))</f>
        <v/>
      </c>
      <c r="S186" s="24">
        <f>IFERROR(BDP(Database!$A186&amp;" HK Equity","PX_TO_SALES_RATIO"),"")</f>
        <v/>
      </c>
      <c r="T186" s="18">
        <f>IF(Database!BL186="","",IFERROR(BDP(LEFT(Database!BL186,FIND(".",Database!BL186)-1)&amp;" CH Equity","CUR_MKT_CAP"),""))</f>
        <v/>
      </c>
    </row>
    <row r="187">
      <c r="A187" s="16">
        <f>Database!A187&amp;"  "&amp;Database!B187</f>
        <v/>
      </c>
      <c r="B187" s="10">
        <f>IFERROR(INDEX(BDS(Database!$A187&amp;" HK Equity","EQUITY_OFFERINGS","array=t","endcol=1"),MATCH("IPO",BDS(Database!$A187&amp;" HK Equity","EQUITY_OFFERINGS","array=t","startcol=2","endcol=2"),0)),"")</f>
        <v/>
      </c>
      <c r="C187" s="103">
        <f>IF($B187="","",IFERROR(BDP($B187&amp;" Action","CP036"),""))</f>
        <v/>
      </c>
      <c r="D187" s="104">
        <f>Database!S187</f>
        <v/>
      </c>
      <c r="E187" s="103">
        <f>IF($B187="","",IFERROR(BDP($B187&amp;" Action","CP037"),""))</f>
        <v/>
      </c>
      <c r="F187" s="104">
        <f>Database!T187</f>
        <v/>
      </c>
      <c r="G187" s="103">
        <f>IF($B187="","",IFERROR(BDP($B187&amp;" Action","GREENSHOE_FACILITY"),""))</f>
        <v/>
      </c>
      <c r="H187" s="103">
        <f>IF($B187="","",IFERROR(BDP($B187&amp;" Action","OFFERING_GREENSHOE_SHARES_EX"),""))</f>
        <v/>
      </c>
      <c r="I187" s="16">
        <f>Database!AG187</f>
        <v/>
      </c>
      <c r="J187" s="24">
        <f>IFERROR(BDP(Database!$A187&amp;" HK Equity","PE_RATIO"),"")</f>
        <v/>
      </c>
      <c r="K187" s="10">
        <f>IFERROR(BDP(Database!$A187&amp;" HK Equity","A/H_SHARE_CONVERSION"),"")</f>
        <v/>
      </c>
      <c r="L187" s="16">
        <f>IF(Database!BL187="","(none found)",Database!BL187)</f>
        <v/>
      </c>
      <c r="M187" s="18">
        <f>IFERROR(BDH(Database!$A187&amp;" HK Equity","CUR_MKT_CAP",Database!$H187,Database!$H187),"")</f>
        <v/>
      </c>
      <c r="N187" s="97">
        <f>Database!Q187</f>
        <v/>
      </c>
      <c r="O187" s="24">
        <f>IFERROR(BDH(Database!$A187&amp;" HK Equity","PE_RATIO",Database!$H187,Database!$H187),"")</f>
        <v/>
      </c>
      <c r="P187" s="101">
        <f>IF(Database!BF187="","(n/m or not derivable)",Database!BF187)</f>
        <v/>
      </c>
      <c r="Q187" s="24">
        <f>IF(Database!BL187="","",IFERROR(BDH(LEFT(Database!BL187,FIND(".",Database!BL187)-1)&amp;" CH Equity","PE_RATIO",Database!$H187,Database!$H187),""))</f>
        <v/>
      </c>
      <c r="R187" s="24">
        <f>IF(Database!BL187="","",IFERROR(BDH("HSAHP Index","PX_LAST",Database!$H187,Database!$H187),""))</f>
        <v/>
      </c>
      <c r="S187" s="24">
        <f>IFERROR(BDP(Database!$A187&amp;" HK Equity","PX_TO_SALES_RATIO"),"")</f>
        <v/>
      </c>
      <c r="T187" s="18">
        <f>IF(Database!BL187="","",IFERROR(BDP(LEFT(Database!BL187,FIND(".",Database!BL187)-1)&amp;" CH Equity","CUR_MKT_CAP"),""))</f>
        <v/>
      </c>
    </row>
    <row r="188">
      <c r="A188" s="16">
        <f>Database!A188&amp;"  "&amp;Database!B188</f>
        <v/>
      </c>
      <c r="B188" s="10">
        <f>IFERROR(INDEX(BDS(Database!$A188&amp;" HK Equity","EQUITY_OFFERINGS","array=t","endcol=1"),MATCH("IPO",BDS(Database!$A188&amp;" HK Equity","EQUITY_OFFERINGS","array=t","startcol=2","endcol=2"),0)),"")</f>
        <v/>
      </c>
      <c r="C188" s="103">
        <f>IF($B188="","",IFERROR(BDP($B188&amp;" Action","CP036"),""))</f>
        <v/>
      </c>
      <c r="D188" s="104">
        <f>Database!S188</f>
        <v/>
      </c>
      <c r="E188" s="103">
        <f>IF($B188="","",IFERROR(BDP($B188&amp;" Action","CP037"),""))</f>
        <v/>
      </c>
      <c r="F188" s="104">
        <f>Database!T188</f>
        <v/>
      </c>
      <c r="G188" s="103">
        <f>IF($B188="","",IFERROR(BDP($B188&amp;" Action","GREENSHOE_FACILITY"),""))</f>
        <v/>
      </c>
      <c r="H188" s="103">
        <f>IF($B188="","",IFERROR(BDP($B188&amp;" Action","OFFERING_GREENSHOE_SHARES_EX"),""))</f>
        <v/>
      </c>
      <c r="I188" s="16">
        <f>Database!AG188</f>
        <v/>
      </c>
      <c r="J188" s="24">
        <f>IFERROR(BDP(Database!$A188&amp;" HK Equity","PE_RATIO"),"")</f>
        <v/>
      </c>
      <c r="K188" s="10">
        <f>IFERROR(BDP(Database!$A188&amp;" HK Equity","A/H_SHARE_CONVERSION"),"")</f>
        <v/>
      </c>
      <c r="L188" s="16">
        <f>IF(Database!BL188="","(none found)",Database!BL188)</f>
        <v/>
      </c>
      <c r="M188" s="18">
        <f>IFERROR(BDH(Database!$A188&amp;" HK Equity","CUR_MKT_CAP",Database!$H188,Database!$H188),"")</f>
        <v/>
      </c>
      <c r="N188" s="97">
        <f>Database!Q188</f>
        <v/>
      </c>
      <c r="O188" s="24">
        <f>IFERROR(BDH(Database!$A188&amp;" HK Equity","PE_RATIO",Database!$H188,Database!$H188),"")</f>
        <v/>
      </c>
      <c r="P188" s="101">
        <f>IF(Database!BF188="","(n/m or not derivable)",Database!BF188)</f>
        <v/>
      </c>
      <c r="Q188" s="24">
        <f>IF(Database!BL188="","",IFERROR(BDH(LEFT(Database!BL188,FIND(".",Database!BL188)-1)&amp;" CH Equity","PE_RATIO",Database!$H188,Database!$H188),""))</f>
        <v/>
      </c>
      <c r="R188" s="24">
        <f>IF(Database!BL188="","",IFERROR(BDH("HSAHP Index","PX_LAST",Database!$H188,Database!$H188),""))</f>
        <v/>
      </c>
      <c r="S188" s="24">
        <f>IFERROR(BDP(Database!$A188&amp;" HK Equity","PX_TO_SALES_RATIO"),"")</f>
        <v/>
      </c>
      <c r="T188" s="18">
        <f>IF(Database!BL188="","",IFERROR(BDP(LEFT(Database!BL188,FIND(".",Database!BL188)-1)&amp;" CH Equity","CUR_MKT_CAP"),""))</f>
        <v/>
      </c>
    </row>
    <row r="189">
      <c r="A189" s="16">
        <f>Database!A189&amp;"  "&amp;Database!B189</f>
        <v/>
      </c>
      <c r="B189" s="10">
        <f>IFERROR(INDEX(BDS(Database!$A189&amp;" HK Equity","EQUITY_OFFERINGS","array=t","endcol=1"),MATCH("IPO",BDS(Database!$A189&amp;" HK Equity","EQUITY_OFFERINGS","array=t","startcol=2","endcol=2"),0)),"")</f>
        <v/>
      </c>
      <c r="C189" s="103">
        <f>IF($B189="","",IFERROR(BDP($B189&amp;" Action","CP036"),""))</f>
        <v/>
      </c>
      <c r="D189" s="104">
        <f>Database!S189</f>
        <v/>
      </c>
      <c r="E189" s="103">
        <f>IF($B189="","",IFERROR(BDP($B189&amp;" Action","CP037"),""))</f>
        <v/>
      </c>
      <c r="F189" s="104">
        <f>Database!T189</f>
        <v/>
      </c>
      <c r="G189" s="103">
        <f>IF($B189="","",IFERROR(BDP($B189&amp;" Action","GREENSHOE_FACILITY"),""))</f>
        <v/>
      </c>
      <c r="H189" s="103">
        <f>IF($B189="","",IFERROR(BDP($B189&amp;" Action","OFFERING_GREENSHOE_SHARES_EX"),""))</f>
        <v/>
      </c>
      <c r="I189" s="16">
        <f>Database!AG189</f>
        <v/>
      </c>
      <c r="J189" s="24">
        <f>IFERROR(BDP(Database!$A189&amp;" HK Equity","PE_RATIO"),"")</f>
        <v/>
      </c>
      <c r="K189" s="10">
        <f>IFERROR(BDP(Database!$A189&amp;" HK Equity","A/H_SHARE_CONVERSION"),"")</f>
        <v/>
      </c>
      <c r="L189" s="16">
        <f>IF(Database!BL189="","(none found)",Database!BL189)</f>
        <v/>
      </c>
      <c r="M189" s="18">
        <f>IFERROR(BDH(Database!$A189&amp;" HK Equity","CUR_MKT_CAP",Database!$H189,Database!$H189),"")</f>
        <v/>
      </c>
      <c r="N189" s="97">
        <f>Database!Q189</f>
        <v/>
      </c>
      <c r="O189" s="24">
        <f>IFERROR(BDH(Database!$A189&amp;" HK Equity","PE_RATIO",Database!$H189,Database!$H189),"")</f>
        <v/>
      </c>
      <c r="P189" s="101">
        <f>IF(Database!BF189="","(n/m or not derivable)",Database!BF189)</f>
        <v/>
      </c>
      <c r="Q189" s="24">
        <f>IF(Database!BL189="","",IFERROR(BDH(LEFT(Database!BL189,FIND(".",Database!BL189)-1)&amp;" CH Equity","PE_RATIO",Database!$H189,Database!$H189),""))</f>
        <v/>
      </c>
      <c r="R189" s="24">
        <f>IF(Database!BL189="","",IFERROR(BDH("HSAHP Index","PX_LAST",Database!$H189,Database!$H189),""))</f>
        <v/>
      </c>
      <c r="S189" s="24">
        <f>IFERROR(BDP(Database!$A189&amp;" HK Equity","PX_TO_SALES_RATIO"),"")</f>
        <v/>
      </c>
      <c r="T189" s="18">
        <f>IF(Database!BL189="","",IFERROR(BDP(LEFT(Database!BL189,FIND(".",Database!BL189)-1)&amp;" CH Equity","CUR_MKT_CAP"),""))</f>
        <v/>
      </c>
    </row>
    <row r="190">
      <c r="A190" s="16">
        <f>Database!A190&amp;"  "&amp;Database!B190</f>
        <v/>
      </c>
      <c r="B190" s="10">
        <f>IFERROR(INDEX(BDS(Database!$A190&amp;" HK Equity","EQUITY_OFFERINGS","array=t","endcol=1"),MATCH("IPO",BDS(Database!$A190&amp;" HK Equity","EQUITY_OFFERINGS","array=t","startcol=2","endcol=2"),0)),"")</f>
        <v/>
      </c>
      <c r="C190" s="103">
        <f>IF($B190="","",IFERROR(BDP($B190&amp;" Action","CP036"),""))</f>
        <v/>
      </c>
      <c r="D190" s="104">
        <f>Database!S190</f>
        <v/>
      </c>
      <c r="E190" s="103">
        <f>IF($B190="","",IFERROR(BDP($B190&amp;" Action","CP037"),""))</f>
        <v/>
      </c>
      <c r="F190" s="104">
        <f>Database!T190</f>
        <v/>
      </c>
      <c r="G190" s="103">
        <f>IF($B190="","",IFERROR(BDP($B190&amp;" Action","GREENSHOE_FACILITY"),""))</f>
        <v/>
      </c>
      <c r="H190" s="103">
        <f>IF($B190="","",IFERROR(BDP($B190&amp;" Action","OFFERING_GREENSHOE_SHARES_EX"),""))</f>
        <v/>
      </c>
      <c r="I190" s="16">
        <f>Database!AG190</f>
        <v/>
      </c>
      <c r="J190" s="24">
        <f>IFERROR(BDP(Database!$A190&amp;" HK Equity","PE_RATIO"),"")</f>
        <v/>
      </c>
      <c r="K190" s="10">
        <f>IFERROR(BDP(Database!$A190&amp;" HK Equity","A/H_SHARE_CONVERSION"),"")</f>
        <v/>
      </c>
      <c r="L190" s="16">
        <f>IF(Database!BL190="","(none found)",Database!BL190)</f>
        <v/>
      </c>
      <c r="M190" s="18">
        <f>IFERROR(BDH(Database!$A190&amp;" HK Equity","CUR_MKT_CAP",Database!$H190,Database!$H190),"")</f>
        <v/>
      </c>
      <c r="N190" s="97">
        <f>Database!Q190</f>
        <v/>
      </c>
      <c r="O190" s="24">
        <f>IFERROR(BDH(Database!$A190&amp;" HK Equity","PE_RATIO",Database!$H190,Database!$H190),"")</f>
        <v/>
      </c>
      <c r="P190" s="101">
        <f>IF(Database!BF190="","(n/m or not derivable)",Database!BF190)</f>
        <v/>
      </c>
      <c r="Q190" s="24">
        <f>IF(Database!BL190="","",IFERROR(BDH(LEFT(Database!BL190,FIND(".",Database!BL190)-1)&amp;" CH Equity","PE_RATIO",Database!$H190,Database!$H190),""))</f>
        <v/>
      </c>
      <c r="R190" s="24">
        <f>IF(Database!BL190="","",IFERROR(BDH("HSAHP Index","PX_LAST",Database!$H190,Database!$H190),""))</f>
        <v/>
      </c>
      <c r="S190" s="24">
        <f>IFERROR(BDP(Database!$A190&amp;" HK Equity","PX_TO_SALES_RATIO"),"")</f>
        <v/>
      </c>
      <c r="T190" s="18">
        <f>IF(Database!BL190="","",IFERROR(BDP(LEFT(Database!BL190,FIND(".",Database!BL190)-1)&amp;" CH Equity","CUR_MKT_CAP"),""))</f>
        <v/>
      </c>
    </row>
    <row r="191">
      <c r="A191" s="16">
        <f>Database!A191&amp;"  "&amp;Database!B191</f>
        <v/>
      </c>
      <c r="B191" s="10">
        <f>IFERROR(INDEX(BDS(Database!$A191&amp;" HK Equity","EQUITY_OFFERINGS","array=t","endcol=1"),MATCH("IPO",BDS(Database!$A191&amp;" HK Equity","EQUITY_OFFERINGS","array=t","startcol=2","endcol=2"),0)),"")</f>
        <v/>
      </c>
      <c r="C191" s="103">
        <f>IF($B191="","",IFERROR(BDP($B191&amp;" Action","CP036"),""))</f>
        <v/>
      </c>
      <c r="D191" s="104">
        <f>Database!S191</f>
        <v/>
      </c>
      <c r="E191" s="103">
        <f>IF($B191="","",IFERROR(BDP($B191&amp;" Action","CP037"),""))</f>
        <v/>
      </c>
      <c r="F191" s="104">
        <f>Database!T191</f>
        <v/>
      </c>
      <c r="G191" s="103">
        <f>IF($B191="","",IFERROR(BDP($B191&amp;" Action","GREENSHOE_FACILITY"),""))</f>
        <v/>
      </c>
      <c r="H191" s="103">
        <f>IF($B191="","",IFERROR(BDP($B191&amp;" Action","OFFERING_GREENSHOE_SHARES_EX"),""))</f>
        <v/>
      </c>
      <c r="I191" s="16">
        <f>Database!AG191</f>
        <v/>
      </c>
      <c r="J191" s="24">
        <f>IFERROR(BDP(Database!$A191&amp;" HK Equity","PE_RATIO"),"")</f>
        <v/>
      </c>
      <c r="K191" s="10">
        <f>IFERROR(BDP(Database!$A191&amp;" HK Equity","A/H_SHARE_CONVERSION"),"")</f>
        <v/>
      </c>
      <c r="L191" s="16">
        <f>IF(Database!BL191="","(none found)",Database!BL191)</f>
        <v/>
      </c>
      <c r="M191" s="18">
        <f>IFERROR(BDH(Database!$A191&amp;" HK Equity","CUR_MKT_CAP",Database!$H191,Database!$H191),"")</f>
        <v/>
      </c>
      <c r="N191" s="97">
        <f>Database!Q191</f>
        <v/>
      </c>
      <c r="O191" s="24">
        <f>IFERROR(BDH(Database!$A191&amp;" HK Equity","PE_RATIO",Database!$H191,Database!$H191),"")</f>
        <v/>
      </c>
      <c r="P191" s="101">
        <f>IF(Database!BF191="","(n/m or not derivable)",Database!BF191)</f>
        <v/>
      </c>
      <c r="Q191" s="24">
        <f>IF(Database!BL191="","",IFERROR(BDH(LEFT(Database!BL191,FIND(".",Database!BL191)-1)&amp;" CH Equity","PE_RATIO",Database!$H191,Database!$H191),""))</f>
        <v/>
      </c>
      <c r="R191" s="24">
        <f>IF(Database!BL191="","",IFERROR(BDH("HSAHP Index","PX_LAST",Database!$H191,Database!$H191),""))</f>
        <v/>
      </c>
      <c r="S191" s="24">
        <f>IFERROR(BDP(Database!$A191&amp;" HK Equity","PX_TO_SALES_RATIO"),"")</f>
        <v/>
      </c>
      <c r="T191" s="18">
        <f>IF(Database!BL191="","",IFERROR(BDP(LEFT(Database!BL191,FIND(".",Database!BL191)-1)&amp;" CH Equity","CUR_MKT_CAP"),""))</f>
        <v/>
      </c>
    </row>
    <row r="192">
      <c r="A192" s="16">
        <f>Database!A192&amp;"  "&amp;Database!B192</f>
        <v/>
      </c>
      <c r="B192" s="10">
        <f>IFERROR(INDEX(BDS(Database!$A192&amp;" HK Equity","EQUITY_OFFERINGS","array=t","endcol=1"),MATCH("IPO",BDS(Database!$A192&amp;" HK Equity","EQUITY_OFFERINGS","array=t","startcol=2","endcol=2"),0)),"")</f>
        <v/>
      </c>
      <c r="C192" s="103">
        <f>IF($B192="","",IFERROR(BDP($B192&amp;" Action","CP036"),""))</f>
        <v/>
      </c>
      <c r="D192" s="104">
        <f>Database!S192</f>
        <v/>
      </c>
      <c r="E192" s="103">
        <f>IF($B192="","",IFERROR(BDP($B192&amp;" Action","CP037"),""))</f>
        <v/>
      </c>
      <c r="F192" s="104">
        <f>Database!T192</f>
        <v/>
      </c>
      <c r="G192" s="103">
        <f>IF($B192="","",IFERROR(BDP($B192&amp;" Action","GREENSHOE_FACILITY"),""))</f>
        <v/>
      </c>
      <c r="H192" s="103">
        <f>IF($B192="","",IFERROR(BDP($B192&amp;" Action","OFFERING_GREENSHOE_SHARES_EX"),""))</f>
        <v/>
      </c>
      <c r="I192" s="16">
        <f>Database!AG192</f>
        <v/>
      </c>
      <c r="J192" s="24">
        <f>IFERROR(BDP(Database!$A192&amp;" HK Equity","PE_RATIO"),"")</f>
        <v/>
      </c>
      <c r="K192" s="10">
        <f>IFERROR(BDP(Database!$A192&amp;" HK Equity","A/H_SHARE_CONVERSION"),"")</f>
        <v/>
      </c>
      <c r="L192" s="16">
        <f>IF(Database!BL192="","(none found)",Database!BL192)</f>
        <v/>
      </c>
      <c r="M192" s="18">
        <f>IFERROR(BDH(Database!$A192&amp;" HK Equity","CUR_MKT_CAP",Database!$H192,Database!$H192),"")</f>
        <v/>
      </c>
      <c r="N192" s="97">
        <f>Database!Q192</f>
        <v/>
      </c>
      <c r="O192" s="24">
        <f>IFERROR(BDH(Database!$A192&amp;" HK Equity","PE_RATIO",Database!$H192,Database!$H192),"")</f>
        <v/>
      </c>
      <c r="P192" s="101">
        <f>IF(Database!BF192="","(n/m or not derivable)",Database!BF192)</f>
        <v/>
      </c>
      <c r="Q192" s="24">
        <f>IF(Database!BL192="","",IFERROR(BDH(LEFT(Database!BL192,FIND(".",Database!BL192)-1)&amp;" CH Equity","PE_RATIO",Database!$H192,Database!$H192),""))</f>
        <v/>
      </c>
      <c r="R192" s="24">
        <f>IF(Database!BL192="","",IFERROR(BDH("HSAHP Index","PX_LAST",Database!$H192,Database!$H192),""))</f>
        <v/>
      </c>
      <c r="S192" s="24">
        <f>IFERROR(BDP(Database!$A192&amp;" HK Equity","PX_TO_SALES_RATIO"),"")</f>
        <v/>
      </c>
      <c r="T192" s="18">
        <f>IF(Database!BL192="","",IFERROR(BDP(LEFT(Database!BL192,FIND(".",Database!BL192)-1)&amp;" CH Equity","CUR_MKT_CAP"),""))</f>
        <v/>
      </c>
    </row>
    <row r="193">
      <c r="A193" s="16">
        <f>Database!A193&amp;"  "&amp;Database!B193</f>
        <v/>
      </c>
      <c r="B193" s="10">
        <f>IFERROR(INDEX(BDS(Database!$A193&amp;" HK Equity","EQUITY_OFFERINGS","array=t","endcol=1"),MATCH("IPO",BDS(Database!$A193&amp;" HK Equity","EQUITY_OFFERINGS","array=t","startcol=2","endcol=2"),0)),"")</f>
        <v/>
      </c>
      <c r="C193" s="103">
        <f>IF($B193="","",IFERROR(BDP($B193&amp;" Action","CP036"),""))</f>
        <v/>
      </c>
      <c r="D193" s="104">
        <f>Database!S193</f>
        <v/>
      </c>
      <c r="E193" s="103">
        <f>IF($B193="","",IFERROR(BDP($B193&amp;" Action","CP037"),""))</f>
        <v/>
      </c>
      <c r="F193" s="104">
        <f>Database!T193</f>
        <v/>
      </c>
      <c r="G193" s="103">
        <f>IF($B193="","",IFERROR(BDP($B193&amp;" Action","GREENSHOE_FACILITY"),""))</f>
        <v/>
      </c>
      <c r="H193" s="103">
        <f>IF($B193="","",IFERROR(BDP($B193&amp;" Action","OFFERING_GREENSHOE_SHARES_EX"),""))</f>
        <v/>
      </c>
      <c r="I193" s="16">
        <f>Database!AG193</f>
        <v/>
      </c>
      <c r="J193" s="24">
        <f>IFERROR(BDP(Database!$A193&amp;" HK Equity","PE_RATIO"),"")</f>
        <v/>
      </c>
      <c r="K193" s="10">
        <f>IFERROR(BDP(Database!$A193&amp;" HK Equity","A/H_SHARE_CONVERSION"),"")</f>
        <v/>
      </c>
      <c r="L193" s="16">
        <f>IF(Database!BL193="","(none found)",Database!BL193)</f>
        <v/>
      </c>
      <c r="M193" s="18">
        <f>IFERROR(BDH(Database!$A193&amp;" HK Equity","CUR_MKT_CAP",Database!$H193,Database!$H193),"")</f>
        <v/>
      </c>
      <c r="N193" s="97">
        <f>Database!Q193</f>
        <v/>
      </c>
      <c r="O193" s="24">
        <f>IFERROR(BDH(Database!$A193&amp;" HK Equity","PE_RATIO",Database!$H193,Database!$H193),"")</f>
        <v/>
      </c>
      <c r="P193" s="101">
        <f>IF(Database!BF193="","(n/m or not derivable)",Database!BF193)</f>
        <v/>
      </c>
      <c r="Q193" s="24">
        <f>IF(Database!BL193="","",IFERROR(BDH(LEFT(Database!BL193,FIND(".",Database!BL193)-1)&amp;" CH Equity","PE_RATIO",Database!$H193,Database!$H193),""))</f>
        <v/>
      </c>
      <c r="R193" s="24">
        <f>IF(Database!BL193="","",IFERROR(BDH("HSAHP Index","PX_LAST",Database!$H193,Database!$H193),""))</f>
        <v/>
      </c>
      <c r="S193" s="24">
        <f>IFERROR(BDP(Database!$A193&amp;" HK Equity","PX_TO_SALES_RATIO"),"")</f>
        <v/>
      </c>
      <c r="T193" s="18">
        <f>IF(Database!BL193="","",IFERROR(BDP(LEFT(Database!BL193,FIND(".",Database!BL193)-1)&amp;" CH Equity","CUR_MKT_CAP"),""))</f>
        <v/>
      </c>
    </row>
    <row r="194">
      <c r="A194" s="16">
        <f>Database!A194&amp;"  "&amp;Database!B194</f>
        <v/>
      </c>
      <c r="B194" s="10">
        <f>IFERROR(INDEX(BDS(Database!$A194&amp;" HK Equity","EQUITY_OFFERINGS","array=t","endcol=1"),MATCH("IPO",BDS(Database!$A194&amp;" HK Equity","EQUITY_OFFERINGS","array=t","startcol=2","endcol=2"),0)),"")</f>
        <v/>
      </c>
      <c r="C194" s="103">
        <f>IF($B194="","",IFERROR(BDP($B194&amp;" Action","CP036"),""))</f>
        <v/>
      </c>
      <c r="D194" s="104">
        <f>Database!S194</f>
        <v/>
      </c>
      <c r="E194" s="103">
        <f>IF($B194="","",IFERROR(BDP($B194&amp;" Action","CP037"),""))</f>
        <v/>
      </c>
      <c r="F194" s="104">
        <f>Database!T194</f>
        <v/>
      </c>
      <c r="G194" s="103">
        <f>IF($B194="","",IFERROR(BDP($B194&amp;" Action","GREENSHOE_FACILITY"),""))</f>
        <v/>
      </c>
      <c r="H194" s="103">
        <f>IF($B194="","",IFERROR(BDP($B194&amp;" Action","OFFERING_GREENSHOE_SHARES_EX"),""))</f>
        <v/>
      </c>
      <c r="I194" s="16">
        <f>Database!AG194</f>
        <v/>
      </c>
      <c r="J194" s="24">
        <f>IFERROR(BDP(Database!$A194&amp;" HK Equity","PE_RATIO"),"")</f>
        <v/>
      </c>
      <c r="K194" s="10">
        <f>IFERROR(BDP(Database!$A194&amp;" HK Equity","A/H_SHARE_CONVERSION"),"")</f>
        <v/>
      </c>
      <c r="L194" s="16">
        <f>IF(Database!BL194="","(none found)",Database!BL194)</f>
        <v/>
      </c>
      <c r="M194" s="18">
        <f>IFERROR(BDH(Database!$A194&amp;" HK Equity","CUR_MKT_CAP",Database!$H194,Database!$H194),"")</f>
        <v/>
      </c>
      <c r="N194" s="97">
        <f>Database!Q194</f>
        <v/>
      </c>
      <c r="O194" s="24">
        <f>IFERROR(BDH(Database!$A194&amp;" HK Equity","PE_RATIO",Database!$H194,Database!$H194),"")</f>
        <v/>
      </c>
      <c r="P194" s="101">
        <f>IF(Database!BF194="","(n/m or not derivable)",Database!BF194)</f>
        <v/>
      </c>
      <c r="Q194" s="24">
        <f>IF(Database!BL194="","",IFERROR(BDH(LEFT(Database!BL194,FIND(".",Database!BL194)-1)&amp;" CH Equity","PE_RATIO",Database!$H194,Database!$H194),""))</f>
        <v/>
      </c>
      <c r="R194" s="24">
        <f>IF(Database!BL194="","",IFERROR(BDH("HSAHP Index","PX_LAST",Database!$H194,Database!$H194),""))</f>
        <v/>
      </c>
      <c r="S194" s="24">
        <f>IFERROR(BDP(Database!$A194&amp;" HK Equity","PX_TO_SALES_RATIO"),"")</f>
        <v/>
      </c>
      <c r="T194" s="18">
        <f>IF(Database!BL194="","",IFERROR(BDP(LEFT(Database!BL194,FIND(".",Database!BL194)-1)&amp;" CH Equity","CUR_MKT_CAP"),""))</f>
        <v/>
      </c>
    </row>
    <row r="195">
      <c r="A195" s="16">
        <f>Database!A195&amp;"  "&amp;Database!B195</f>
        <v/>
      </c>
      <c r="B195" s="10">
        <f>IFERROR(INDEX(BDS(Database!$A195&amp;" HK Equity","EQUITY_OFFERINGS","array=t","endcol=1"),MATCH("IPO",BDS(Database!$A195&amp;" HK Equity","EQUITY_OFFERINGS","array=t","startcol=2","endcol=2"),0)),"")</f>
        <v/>
      </c>
      <c r="C195" s="103">
        <f>IF($B195="","",IFERROR(BDP($B195&amp;" Action","CP036"),""))</f>
        <v/>
      </c>
      <c r="D195" s="104">
        <f>Database!S195</f>
        <v/>
      </c>
      <c r="E195" s="103">
        <f>IF($B195="","",IFERROR(BDP($B195&amp;" Action","CP037"),""))</f>
        <v/>
      </c>
      <c r="F195" s="104">
        <f>Database!T195</f>
        <v/>
      </c>
      <c r="G195" s="103">
        <f>IF($B195="","",IFERROR(BDP($B195&amp;" Action","GREENSHOE_FACILITY"),""))</f>
        <v/>
      </c>
      <c r="H195" s="103">
        <f>IF($B195="","",IFERROR(BDP($B195&amp;" Action","OFFERING_GREENSHOE_SHARES_EX"),""))</f>
        <v/>
      </c>
      <c r="I195" s="16">
        <f>Database!AG195</f>
        <v/>
      </c>
      <c r="J195" s="24">
        <f>IFERROR(BDP(Database!$A195&amp;" HK Equity","PE_RATIO"),"")</f>
        <v/>
      </c>
      <c r="K195" s="10">
        <f>IFERROR(BDP(Database!$A195&amp;" HK Equity","A/H_SHARE_CONVERSION"),"")</f>
        <v/>
      </c>
      <c r="L195" s="16">
        <f>IF(Database!BL195="","(none found)",Database!BL195)</f>
        <v/>
      </c>
      <c r="M195" s="18">
        <f>IFERROR(BDH(Database!$A195&amp;" HK Equity","CUR_MKT_CAP",Database!$H195,Database!$H195),"")</f>
        <v/>
      </c>
      <c r="N195" s="97">
        <f>Database!Q195</f>
        <v/>
      </c>
      <c r="O195" s="24">
        <f>IFERROR(BDH(Database!$A195&amp;" HK Equity","PE_RATIO",Database!$H195,Database!$H195),"")</f>
        <v/>
      </c>
      <c r="P195" s="101">
        <f>IF(Database!BF195="","(n/m or not derivable)",Database!BF195)</f>
        <v/>
      </c>
      <c r="Q195" s="24">
        <f>IF(Database!BL195="","",IFERROR(BDH(LEFT(Database!BL195,FIND(".",Database!BL195)-1)&amp;" CH Equity","PE_RATIO",Database!$H195,Database!$H195),""))</f>
        <v/>
      </c>
      <c r="R195" s="24">
        <f>IF(Database!BL195="","",IFERROR(BDH("HSAHP Index","PX_LAST",Database!$H195,Database!$H195),""))</f>
        <v/>
      </c>
      <c r="S195" s="24">
        <f>IFERROR(BDP(Database!$A195&amp;" HK Equity","PX_TO_SALES_RATIO"),"")</f>
        <v/>
      </c>
      <c r="T195" s="18">
        <f>IF(Database!BL195="","",IFERROR(BDP(LEFT(Database!BL195,FIND(".",Database!BL195)-1)&amp;" CH Equity","CUR_MKT_CAP"),""))</f>
        <v/>
      </c>
    </row>
    <row r="196">
      <c r="A196" s="16">
        <f>Database!A196&amp;"  "&amp;Database!B196</f>
        <v/>
      </c>
      <c r="B196" s="10">
        <f>IFERROR(INDEX(BDS(Database!$A196&amp;" HK Equity","EQUITY_OFFERINGS","array=t","endcol=1"),MATCH("IPO",BDS(Database!$A196&amp;" HK Equity","EQUITY_OFFERINGS","array=t","startcol=2","endcol=2"),0)),"")</f>
        <v/>
      </c>
      <c r="C196" s="103">
        <f>IF($B196="","",IFERROR(BDP($B196&amp;" Action","CP036"),""))</f>
        <v/>
      </c>
      <c r="D196" s="104">
        <f>Database!S196</f>
        <v/>
      </c>
      <c r="E196" s="103">
        <f>IF($B196="","",IFERROR(BDP($B196&amp;" Action","CP037"),""))</f>
        <v/>
      </c>
      <c r="F196" s="104">
        <f>Database!T196</f>
        <v/>
      </c>
      <c r="G196" s="103">
        <f>IF($B196="","",IFERROR(BDP($B196&amp;" Action","GREENSHOE_FACILITY"),""))</f>
        <v/>
      </c>
      <c r="H196" s="103">
        <f>IF($B196="","",IFERROR(BDP($B196&amp;" Action","OFFERING_GREENSHOE_SHARES_EX"),""))</f>
        <v/>
      </c>
      <c r="I196" s="16">
        <f>Database!AG196</f>
        <v/>
      </c>
      <c r="J196" s="24">
        <f>IFERROR(BDP(Database!$A196&amp;" HK Equity","PE_RATIO"),"")</f>
        <v/>
      </c>
      <c r="K196" s="10">
        <f>IFERROR(BDP(Database!$A196&amp;" HK Equity","A/H_SHARE_CONVERSION"),"")</f>
        <v/>
      </c>
      <c r="L196" s="16">
        <f>IF(Database!BL196="","(none found)",Database!BL196)</f>
        <v/>
      </c>
      <c r="M196" s="18">
        <f>IFERROR(BDH(Database!$A196&amp;" HK Equity","CUR_MKT_CAP",Database!$H196,Database!$H196),"")</f>
        <v/>
      </c>
      <c r="N196" s="97">
        <f>Database!Q196</f>
        <v/>
      </c>
      <c r="O196" s="24">
        <f>IFERROR(BDH(Database!$A196&amp;" HK Equity","PE_RATIO",Database!$H196,Database!$H196),"")</f>
        <v/>
      </c>
      <c r="P196" s="101">
        <f>IF(Database!BF196="","(n/m or not derivable)",Database!BF196)</f>
        <v/>
      </c>
      <c r="Q196" s="24">
        <f>IF(Database!BL196="","",IFERROR(BDH(LEFT(Database!BL196,FIND(".",Database!BL196)-1)&amp;" CH Equity","PE_RATIO",Database!$H196,Database!$H196),""))</f>
        <v/>
      </c>
      <c r="R196" s="24">
        <f>IF(Database!BL196="","",IFERROR(BDH("HSAHP Index","PX_LAST",Database!$H196,Database!$H196),""))</f>
        <v/>
      </c>
      <c r="S196" s="24">
        <f>IFERROR(BDP(Database!$A196&amp;" HK Equity","PX_TO_SALES_RATIO"),"")</f>
        <v/>
      </c>
      <c r="T196" s="18">
        <f>IF(Database!BL196="","",IFERROR(BDP(LEFT(Database!BL196,FIND(".",Database!BL196)-1)&amp;" CH Equity","CUR_MKT_CAP"),""))</f>
        <v/>
      </c>
    </row>
    <row r="197">
      <c r="A197" s="16">
        <f>Database!A197&amp;"  "&amp;Database!B197</f>
        <v/>
      </c>
      <c r="B197" s="10">
        <f>IFERROR(INDEX(BDS(Database!$A197&amp;" HK Equity","EQUITY_OFFERINGS","array=t","endcol=1"),MATCH("IPO",BDS(Database!$A197&amp;" HK Equity","EQUITY_OFFERINGS","array=t","startcol=2","endcol=2"),0)),"")</f>
        <v/>
      </c>
      <c r="C197" s="103">
        <f>IF($B197="","",IFERROR(BDP($B197&amp;" Action","CP036"),""))</f>
        <v/>
      </c>
      <c r="D197" s="104">
        <f>Database!S197</f>
        <v/>
      </c>
      <c r="E197" s="103">
        <f>IF($B197="","",IFERROR(BDP($B197&amp;" Action","CP037"),""))</f>
        <v/>
      </c>
      <c r="F197" s="104">
        <f>Database!T197</f>
        <v/>
      </c>
      <c r="G197" s="103">
        <f>IF($B197="","",IFERROR(BDP($B197&amp;" Action","GREENSHOE_FACILITY"),""))</f>
        <v/>
      </c>
      <c r="H197" s="103">
        <f>IF($B197="","",IFERROR(BDP($B197&amp;" Action","OFFERING_GREENSHOE_SHARES_EX"),""))</f>
        <v/>
      </c>
      <c r="I197" s="16">
        <f>Database!AG197</f>
        <v/>
      </c>
      <c r="J197" s="24">
        <f>IFERROR(BDP(Database!$A197&amp;" HK Equity","PE_RATIO"),"")</f>
        <v/>
      </c>
      <c r="K197" s="10">
        <f>IFERROR(BDP(Database!$A197&amp;" HK Equity","A/H_SHARE_CONVERSION"),"")</f>
        <v/>
      </c>
      <c r="L197" s="16">
        <f>IF(Database!BL197="","(none found)",Database!BL197)</f>
        <v/>
      </c>
      <c r="M197" s="18">
        <f>IFERROR(BDH(Database!$A197&amp;" HK Equity","CUR_MKT_CAP",Database!$H197,Database!$H197),"")</f>
        <v/>
      </c>
      <c r="N197" s="97">
        <f>Database!Q197</f>
        <v/>
      </c>
      <c r="O197" s="24">
        <f>IFERROR(BDH(Database!$A197&amp;" HK Equity","PE_RATIO",Database!$H197,Database!$H197),"")</f>
        <v/>
      </c>
      <c r="P197" s="101">
        <f>IF(Database!BF197="","(n/m or not derivable)",Database!BF197)</f>
        <v/>
      </c>
      <c r="Q197" s="24">
        <f>IF(Database!BL197="","",IFERROR(BDH(LEFT(Database!BL197,FIND(".",Database!BL197)-1)&amp;" CH Equity","PE_RATIO",Database!$H197,Database!$H197),""))</f>
        <v/>
      </c>
      <c r="R197" s="24">
        <f>IF(Database!BL197="","",IFERROR(BDH("HSAHP Index","PX_LAST",Database!$H197,Database!$H197),""))</f>
        <v/>
      </c>
      <c r="S197" s="24">
        <f>IFERROR(BDP(Database!$A197&amp;" HK Equity","PX_TO_SALES_RATIO"),"")</f>
        <v/>
      </c>
      <c r="T197" s="18">
        <f>IF(Database!BL197="","",IFERROR(BDP(LEFT(Database!BL197,FIND(".",Database!BL197)-1)&amp;" CH Equity","CUR_MKT_CAP"),""))</f>
        <v/>
      </c>
    </row>
    <row r="198">
      <c r="A198" s="16">
        <f>Database!A198&amp;"  "&amp;Database!B198</f>
        <v/>
      </c>
      <c r="B198" s="10">
        <f>IFERROR(INDEX(BDS(Database!$A198&amp;" HK Equity","EQUITY_OFFERINGS","array=t","endcol=1"),MATCH("IPO",BDS(Database!$A198&amp;" HK Equity","EQUITY_OFFERINGS","array=t","startcol=2","endcol=2"),0)),"")</f>
        <v/>
      </c>
      <c r="C198" s="103">
        <f>IF($B198="","",IFERROR(BDP($B198&amp;" Action","CP036"),""))</f>
        <v/>
      </c>
      <c r="D198" s="104">
        <f>Database!S198</f>
        <v/>
      </c>
      <c r="E198" s="103">
        <f>IF($B198="","",IFERROR(BDP($B198&amp;" Action","CP037"),""))</f>
        <v/>
      </c>
      <c r="F198" s="104">
        <f>Database!T198</f>
        <v/>
      </c>
      <c r="G198" s="103">
        <f>IF($B198="","",IFERROR(BDP($B198&amp;" Action","GREENSHOE_FACILITY"),""))</f>
        <v/>
      </c>
      <c r="H198" s="103">
        <f>IF($B198="","",IFERROR(BDP($B198&amp;" Action","OFFERING_GREENSHOE_SHARES_EX"),""))</f>
        <v/>
      </c>
      <c r="I198" s="16">
        <f>Database!AG198</f>
        <v/>
      </c>
      <c r="J198" s="24">
        <f>IFERROR(BDP(Database!$A198&amp;" HK Equity","PE_RATIO"),"")</f>
        <v/>
      </c>
      <c r="K198" s="10">
        <f>IFERROR(BDP(Database!$A198&amp;" HK Equity","A/H_SHARE_CONVERSION"),"")</f>
        <v/>
      </c>
      <c r="L198" s="16">
        <f>IF(Database!BL198="","(none found)",Database!BL198)</f>
        <v/>
      </c>
      <c r="M198" s="18">
        <f>IFERROR(BDH(Database!$A198&amp;" HK Equity","CUR_MKT_CAP",Database!$H198,Database!$H198),"")</f>
        <v/>
      </c>
      <c r="N198" s="97">
        <f>Database!Q198</f>
        <v/>
      </c>
      <c r="O198" s="24">
        <f>IFERROR(BDH(Database!$A198&amp;" HK Equity","PE_RATIO",Database!$H198,Database!$H198),"")</f>
        <v/>
      </c>
      <c r="P198" s="101">
        <f>IF(Database!BF198="","(n/m or not derivable)",Database!BF198)</f>
        <v/>
      </c>
      <c r="Q198" s="24">
        <f>IF(Database!BL198="","",IFERROR(BDH(LEFT(Database!BL198,FIND(".",Database!BL198)-1)&amp;" CH Equity","PE_RATIO",Database!$H198,Database!$H198),""))</f>
        <v/>
      </c>
      <c r="R198" s="24">
        <f>IF(Database!BL198="","",IFERROR(BDH("HSAHP Index","PX_LAST",Database!$H198,Database!$H198),""))</f>
        <v/>
      </c>
      <c r="S198" s="24">
        <f>IFERROR(BDP(Database!$A198&amp;" HK Equity","PX_TO_SALES_RATIO"),"")</f>
        <v/>
      </c>
      <c r="T198" s="18">
        <f>IF(Database!BL198="","",IFERROR(BDP(LEFT(Database!BL198,FIND(".",Database!BL198)-1)&amp;" CH Equity","CUR_MKT_CAP"),""))</f>
        <v/>
      </c>
    </row>
    <row r="199">
      <c r="A199" s="16">
        <f>Database!A199&amp;"  "&amp;Database!B199</f>
        <v/>
      </c>
      <c r="B199" s="10">
        <f>IFERROR(INDEX(BDS(Database!$A199&amp;" HK Equity","EQUITY_OFFERINGS","array=t","endcol=1"),MATCH("IPO",BDS(Database!$A199&amp;" HK Equity","EQUITY_OFFERINGS","array=t","startcol=2","endcol=2"),0)),"")</f>
        <v/>
      </c>
      <c r="C199" s="103">
        <f>IF($B199="","",IFERROR(BDP($B199&amp;" Action","CP036"),""))</f>
        <v/>
      </c>
      <c r="D199" s="104">
        <f>Database!S199</f>
        <v/>
      </c>
      <c r="E199" s="103">
        <f>IF($B199="","",IFERROR(BDP($B199&amp;" Action","CP037"),""))</f>
        <v/>
      </c>
      <c r="F199" s="104">
        <f>Database!T199</f>
        <v/>
      </c>
      <c r="G199" s="103">
        <f>IF($B199="","",IFERROR(BDP($B199&amp;" Action","GREENSHOE_FACILITY"),""))</f>
        <v/>
      </c>
      <c r="H199" s="103">
        <f>IF($B199="","",IFERROR(BDP($B199&amp;" Action","OFFERING_GREENSHOE_SHARES_EX"),""))</f>
        <v/>
      </c>
      <c r="I199" s="16">
        <f>Database!AG199</f>
        <v/>
      </c>
      <c r="J199" s="24">
        <f>IFERROR(BDP(Database!$A199&amp;" HK Equity","PE_RATIO"),"")</f>
        <v/>
      </c>
      <c r="K199" s="10">
        <f>IFERROR(BDP(Database!$A199&amp;" HK Equity","A/H_SHARE_CONVERSION"),"")</f>
        <v/>
      </c>
      <c r="L199" s="16">
        <f>IF(Database!BL199="","(none found)",Database!BL199)</f>
        <v/>
      </c>
      <c r="M199" s="18">
        <f>IFERROR(BDH(Database!$A199&amp;" HK Equity","CUR_MKT_CAP",Database!$H199,Database!$H199),"")</f>
        <v/>
      </c>
      <c r="N199" s="97">
        <f>Database!Q199</f>
        <v/>
      </c>
      <c r="O199" s="24">
        <f>IFERROR(BDH(Database!$A199&amp;" HK Equity","PE_RATIO",Database!$H199,Database!$H199),"")</f>
        <v/>
      </c>
      <c r="P199" s="101">
        <f>IF(Database!BF199="","(n/m or not derivable)",Database!BF199)</f>
        <v/>
      </c>
      <c r="Q199" s="24">
        <f>IF(Database!BL199="","",IFERROR(BDH(LEFT(Database!BL199,FIND(".",Database!BL199)-1)&amp;" CH Equity","PE_RATIO",Database!$H199,Database!$H199),""))</f>
        <v/>
      </c>
      <c r="R199" s="24">
        <f>IF(Database!BL199="","",IFERROR(BDH("HSAHP Index","PX_LAST",Database!$H199,Database!$H199),""))</f>
        <v/>
      </c>
      <c r="S199" s="24">
        <f>IFERROR(BDP(Database!$A199&amp;" HK Equity","PX_TO_SALES_RATIO"),"")</f>
        <v/>
      </c>
      <c r="T199" s="18">
        <f>IF(Database!BL199="","",IFERROR(BDP(LEFT(Database!BL199,FIND(".",Database!BL199)-1)&amp;" CH Equity","CUR_MKT_CAP"),""))</f>
        <v/>
      </c>
    </row>
    <row r="200">
      <c r="A200" s="16">
        <f>Database!A200&amp;"  "&amp;Database!B200</f>
        <v/>
      </c>
      <c r="B200" s="10">
        <f>IFERROR(INDEX(BDS(Database!$A200&amp;" HK Equity","EQUITY_OFFERINGS","array=t","endcol=1"),MATCH("IPO",BDS(Database!$A200&amp;" HK Equity","EQUITY_OFFERINGS","array=t","startcol=2","endcol=2"),0)),"")</f>
        <v/>
      </c>
      <c r="C200" s="103">
        <f>IF($B200="","",IFERROR(BDP($B200&amp;" Action","CP036"),""))</f>
        <v/>
      </c>
      <c r="D200" s="104">
        <f>Database!S200</f>
        <v/>
      </c>
      <c r="E200" s="103">
        <f>IF($B200="","",IFERROR(BDP($B200&amp;" Action","CP037"),""))</f>
        <v/>
      </c>
      <c r="F200" s="104">
        <f>Database!T200</f>
        <v/>
      </c>
      <c r="G200" s="103">
        <f>IF($B200="","",IFERROR(BDP($B200&amp;" Action","GREENSHOE_FACILITY"),""))</f>
        <v/>
      </c>
      <c r="H200" s="103">
        <f>IF($B200="","",IFERROR(BDP($B200&amp;" Action","OFFERING_GREENSHOE_SHARES_EX"),""))</f>
        <v/>
      </c>
      <c r="I200" s="16">
        <f>Database!AG200</f>
        <v/>
      </c>
      <c r="J200" s="24">
        <f>IFERROR(BDP(Database!$A200&amp;" HK Equity","PE_RATIO"),"")</f>
        <v/>
      </c>
      <c r="K200" s="10">
        <f>IFERROR(BDP(Database!$A200&amp;" HK Equity","A/H_SHARE_CONVERSION"),"")</f>
        <v/>
      </c>
      <c r="L200" s="16">
        <f>IF(Database!BL200="","(none found)",Database!BL200)</f>
        <v/>
      </c>
      <c r="M200" s="18">
        <f>IFERROR(BDH(Database!$A200&amp;" HK Equity","CUR_MKT_CAP",Database!$H200,Database!$H200),"")</f>
        <v/>
      </c>
      <c r="N200" s="97">
        <f>Database!Q200</f>
        <v/>
      </c>
      <c r="O200" s="24">
        <f>IFERROR(BDH(Database!$A200&amp;" HK Equity","PE_RATIO",Database!$H200,Database!$H200),"")</f>
        <v/>
      </c>
      <c r="P200" s="101">
        <f>IF(Database!BF200="","(n/m or not derivable)",Database!BF200)</f>
        <v/>
      </c>
      <c r="Q200" s="24">
        <f>IF(Database!BL200="","",IFERROR(BDH(LEFT(Database!BL200,FIND(".",Database!BL200)-1)&amp;" CH Equity","PE_RATIO",Database!$H200,Database!$H200),""))</f>
        <v/>
      </c>
      <c r="R200" s="24">
        <f>IF(Database!BL200="","",IFERROR(BDH("HSAHP Index","PX_LAST",Database!$H200,Database!$H200),""))</f>
        <v/>
      </c>
      <c r="S200" s="24">
        <f>IFERROR(BDP(Database!$A200&amp;" HK Equity","PX_TO_SALES_RATIO"),"")</f>
        <v/>
      </c>
      <c r="T200" s="18">
        <f>IF(Database!BL200="","",IFERROR(BDP(LEFT(Database!BL200,FIND(".",Database!BL200)-1)&amp;" CH Equity","CUR_MKT_CAP"),""))</f>
        <v/>
      </c>
    </row>
    <row r="201">
      <c r="A201" s="16">
        <f>Database!A201&amp;"  "&amp;Database!B201</f>
        <v/>
      </c>
      <c r="B201" s="10">
        <f>IFERROR(INDEX(BDS(Database!$A201&amp;" HK Equity","EQUITY_OFFERINGS","array=t","endcol=1"),MATCH("IPO",BDS(Database!$A201&amp;" HK Equity","EQUITY_OFFERINGS","array=t","startcol=2","endcol=2"),0)),"")</f>
        <v/>
      </c>
      <c r="C201" s="103">
        <f>IF($B201="","",IFERROR(BDP($B201&amp;" Action","CP036"),""))</f>
        <v/>
      </c>
      <c r="D201" s="104">
        <f>Database!S201</f>
        <v/>
      </c>
      <c r="E201" s="103">
        <f>IF($B201="","",IFERROR(BDP($B201&amp;" Action","CP037"),""))</f>
        <v/>
      </c>
      <c r="F201" s="104">
        <f>Database!T201</f>
        <v/>
      </c>
      <c r="G201" s="103">
        <f>IF($B201="","",IFERROR(BDP($B201&amp;" Action","GREENSHOE_FACILITY"),""))</f>
        <v/>
      </c>
      <c r="H201" s="103">
        <f>IF($B201="","",IFERROR(BDP($B201&amp;" Action","OFFERING_GREENSHOE_SHARES_EX"),""))</f>
        <v/>
      </c>
      <c r="I201" s="16">
        <f>Database!AG201</f>
        <v/>
      </c>
      <c r="J201" s="24">
        <f>IFERROR(BDP(Database!$A201&amp;" HK Equity","PE_RATIO"),"")</f>
        <v/>
      </c>
      <c r="K201" s="10">
        <f>IFERROR(BDP(Database!$A201&amp;" HK Equity","A/H_SHARE_CONVERSION"),"")</f>
        <v/>
      </c>
      <c r="L201" s="16">
        <f>IF(Database!BL201="","(none found)",Database!BL201)</f>
        <v/>
      </c>
      <c r="M201" s="18">
        <f>IFERROR(BDH(Database!$A201&amp;" HK Equity","CUR_MKT_CAP",Database!$H201,Database!$H201),"")</f>
        <v/>
      </c>
      <c r="N201" s="97">
        <f>Database!Q201</f>
        <v/>
      </c>
      <c r="O201" s="24">
        <f>IFERROR(BDH(Database!$A201&amp;" HK Equity","PE_RATIO",Database!$H201,Database!$H201),"")</f>
        <v/>
      </c>
      <c r="P201" s="101">
        <f>IF(Database!BF201="","(n/m or not derivable)",Database!BF201)</f>
        <v/>
      </c>
      <c r="Q201" s="24">
        <f>IF(Database!BL201="","",IFERROR(BDH(LEFT(Database!BL201,FIND(".",Database!BL201)-1)&amp;" CH Equity","PE_RATIO",Database!$H201,Database!$H201),""))</f>
        <v/>
      </c>
      <c r="R201" s="24">
        <f>IF(Database!BL201="","",IFERROR(BDH("HSAHP Index","PX_LAST",Database!$H201,Database!$H201),""))</f>
        <v/>
      </c>
      <c r="S201" s="24">
        <f>IFERROR(BDP(Database!$A201&amp;" HK Equity","PX_TO_SALES_RATIO"),"")</f>
        <v/>
      </c>
      <c r="T201" s="18">
        <f>IF(Database!BL201="","",IFERROR(BDP(LEFT(Database!BL201,FIND(".",Database!BL201)-1)&amp;" CH Equity","CUR_MKT_CAP"),""))</f>
        <v/>
      </c>
    </row>
    <row r="202">
      <c r="A202" s="16">
        <f>Database!A202&amp;"  "&amp;Database!B202</f>
        <v/>
      </c>
      <c r="B202" s="10">
        <f>IFERROR(INDEX(BDS(Database!$A202&amp;" HK Equity","EQUITY_OFFERINGS","array=t","endcol=1"),MATCH("IPO",BDS(Database!$A202&amp;" HK Equity","EQUITY_OFFERINGS","array=t","startcol=2","endcol=2"),0)),"")</f>
        <v/>
      </c>
      <c r="C202" s="103">
        <f>IF($B202="","",IFERROR(BDP($B202&amp;" Action","CP036"),""))</f>
        <v/>
      </c>
      <c r="D202" s="104">
        <f>Database!S202</f>
        <v/>
      </c>
      <c r="E202" s="103">
        <f>IF($B202="","",IFERROR(BDP($B202&amp;" Action","CP037"),""))</f>
        <v/>
      </c>
      <c r="F202" s="104">
        <f>Database!T202</f>
        <v/>
      </c>
      <c r="G202" s="103">
        <f>IF($B202="","",IFERROR(BDP($B202&amp;" Action","GREENSHOE_FACILITY"),""))</f>
        <v/>
      </c>
      <c r="H202" s="103">
        <f>IF($B202="","",IFERROR(BDP($B202&amp;" Action","OFFERING_GREENSHOE_SHARES_EX"),""))</f>
        <v/>
      </c>
      <c r="I202" s="16">
        <f>Database!AG202</f>
        <v/>
      </c>
      <c r="J202" s="24">
        <f>IFERROR(BDP(Database!$A202&amp;" HK Equity","PE_RATIO"),"")</f>
        <v/>
      </c>
      <c r="K202" s="10">
        <f>IFERROR(BDP(Database!$A202&amp;" HK Equity","A/H_SHARE_CONVERSION"),"")</f>
        <v/>
      </c>
      <c r="L202" s="16">
        <f>IF(Database!BL202="","(none found)",Database!BL202)</f>
        <v/>
      </c>
      <c r="M202" s="18">
        <f>IFERROR(BDH(Database!$A202&amp;" HK Equity","CUR_MKT_CAP",Database!$H202,Database!$H202),"")</f>
        <v/>
      </c>
      <c r="N202" s="97">
        <f>Database!Q202</f>
        <v/>
      </c>
      <c r="O202" s="24">
        <f>IFERROR(BDH(Database!$A202&amp;" HK Equity","PE_RATIO",Database!$H202,Database!$H202),"")</f>
        <v/>
      </c>
      <c r="P202" s="101">
        <f>IF(Database!BF202="","(n/m or not derivable)",Database!BF202)</f>
        <v/>
      </c>
      <c r="Q202" s="24">
        <f>IF(Database!BL202="","",IFERROR(BDH(LEFT(Database!BL202,FIND(".",Database!BL202)-1)&amp;" CH Equity","PE_RATIO",Database!$H202,Database!$H202),""))</f>
        <v/>
      </c>
      <c r="R202" s="24">
        <f>IF(Database!BL202="","",IFERROR(BDH("HSAHP Index","PX_LAST",Database!$H202,Database!$H202),""))</f>
        <v/>
      </c>
      <c r="S202" s="24">
        <f>IFERROR(BDP(Database!$A202&amp;" HK Equity","PX_TO_SALES_RATIO"),"")</f>
        <v/>
      </c>
      <c r="T202" s="18">
        <f>IF(Database!BL202="","",IFERROR(BDP(LEFT(Database!BL202,FIND(".",Database!BL202)-1)&amp;" CH Equity","CUR_MKT_CAP"),""))</f>
        <v/>
      </c>
    </row>
    <row r="203">
      <c r="A203" s="16">
        <f>Database!A203&amp;"  "&amp;Database!B203</f>
        <v/>
      </c>
      <c r="B203" s="10">
        <f>IFERROR(INDEX(BDS(Database!$A203&amp;" HK Equity","EQUITY_OFFERINGS","array=t","endcol=1"),MATCH("IPO",BDS(Database!$A203&amp;" HK Equity","EQUITY_OFFERINGS","array=t","startcol=2","endcol=2"),0)),"")</f>
        <v/>
      </c>
      <c r="C203" s="103">
        <f>IF($B203="","",IFERROR(BDP($B203&amp;" Action","CP036"),""))</f>
        <v/>
      </c>
      <c r="D203" s="104">
        <f>Database!S203</f>
        <v/>
      </c>
      <c r="E203" s="103">
        <f>IF($B203="","",IFERROR(BDP($B203&amp;" Action","CP037"),""))</f>
        <v/>
      </c>
      <c r="F203" s="104">
        <f>Database!T203</f>
        <v/>
      </c>
      <c r="G203" s="103">
        <f>IF($B203="","",IFERROR(BDP($B203&amp;" Action","GREENSHOE_FACILITY"),""))</f>
        <v/>
      </c>
      <c r="H203" s="103">
        <f>IF($B203="","",IFERROR(BDP($B203&amp;" Action","OFFERING_GREENSHOE_SHARES_EX"),""))</f>
        <v/>
      </c>
      <c r="I203" s="16">
        <f>Database!AG203</f>
        <v/>
      </c>
      <c r="J203" s="24">
        <f>IFERROR(BDP(Database!$A203&amp;" HK Equity","PE_RATIO"),"")</f>
        <v/>
      </c>
      <c r="K203" s="10">
        <f>IFERROR(BDP(Database!$A203&amp;" HK Equity","A/H_SHARE_CONVERSION"),"")</f>
        <v/>
      </c>
      <c r="L203" s="16">
        <f>IF(Database!BL203="","(none found)",Database!BL203)</f>
        <v/>
      </c>
      <c r="M203" s="18">
        <f>IFERROR(BDH(Database!$A203&amp;" HK Equity","CUR_MKT_CAP",Database!$H203,Database!$H203),"")</f>
        <v/>
      </c>
      <c r="N203" s="97">
        <f>Database!Q203</f>
        <v/>
      </c>
      <c r="O203" s="24">
        <f>IFERROR(BDH(Database!$A203&amp;" HK Equity","PE_RATIO",Database!$H203,Database!$H203),"")</f>
        <v/>
      </c>
      <c r="P203" s="101">
        <f>IF(Database!BF203="","(n/m or not derivable)",Database!BF203)</f>
        <v/>
      </c>
      <c r="Q203" s="24">
        <f>IF(Database!BL203="","",IFERROR(BDH(LEFT(Database!BL203,FIND(".",Database!BL203)-1)&amp;" CH Equity","PE_RATIO",Database!$H203,Database!$H203),""))</f>
        <v/>
      </c>
      <c r="R203" s="24">
        <f>IF(Database!BL203="","",IFERROR(BDH("HSAHP Index","PX_LAST",Database!$H203,Database!$H203),""))</f>
        <v/>
      </c>
      <c r="S203" s="24">
        <f>IFERROR(BDP(Database!$A203&amp;" HK Equity","PX_TO_SALES_RATIO"),"")</f>
        <v/>
      </c>
      <c r="T203" s="18">
        <f>IF(Database!BL203="","",IFERROR(BDP(LEFT(Database!BL203,FIND(".",Database!BL203)-1)&amp;" CH Equity","CUR_MKT_CAP"),""))</f>
        <v/>
      </c>
    </row>
    <row r="204">
      <c r="A204" s="16">
        <f>Database!A204&amp;"  "&amp;Database!B204</f>
        <v/>
      </c>
      <c r="B204" s="10">
        <f>IFERROR(INDEX(BDS(Database!$A204&amp;" HK Equity","EQUITY_OFFERINGS","array=t","endcol=1"),MATCH("IPO",BDS(Database!$A204&amp;" HK Equity","EQUITY_OFFERINGS","array=t","startcol=2","endcol=2"),0)),"")</f>
        <v/>
      </c>
      <c r="C204" s="103">
        <f>IF($B204="","",IFERROR(BDP($B204&amp;" Action","CP036"),""))</f>
        <v/>
      </c>
      <c r="D204" s="104">
        <f>Database!S204</f>
        <v/>
      </c>
      <c r="E204" s="103">
        <f>IF($B204="","",IFERROR(BDP($B204&amp;" Action","CP037"),""))</f>
        <v/>
      </c>
      <c r="F204" s="104">
        <f>Database!T204</f>
        <v/>
      </c>
      <c r="G204" s="103">
        <f>IF($B204="","",IFERROR(BDP($B204&amp;" Action","GREENSHOE_FACILITY"),""))</f>
        <v/>
      </c>
      <c r="H204" s="103">
        <f>IF($B204="","",IFERROR(BDP($B204&amp;" Action","OFFERING_GREENSHOE_SHARES_EX"),""))</f>
        <v/>
      </c>
      <c r="I204" s="16">
        <f>Database!AG204</f>
        <v/>
      </c>
      <c r="J204" s="24">
        <f>IFERROR(BDP(Database!$A204&amp;" HK Equity","PE_RATIO"),"")</f>
        <v/>
      </c>
      <c r="K204" s="10">
        <f>IFERROR(BDP(Database!$A204&amp;" HK Equity","A/H_SHARE_CONVERSION"),"")</f>
        <v/>
      </c>
      <c r="L204" s="16">
        <f>IF(Database!BL204="","(none found)",Database!BL204)</f>
        <v/>
      </c>
      <c r="M204" s="18">
        <f>IFERROR(BDH(Database!$A204&amp;" HK Equity","CUR_MKT_CAP",Database!$H204,Database!$H204),"")</f>
        <v/>
      </c>
      <c r="N204" s="97">
        <f>Database!Q204</f>
        <v/>
      </c>
      <c r="O204" s="24">
        <f>IFERROR(BDH(Database!$A204&amp;" HK Equity","PE_RATIO",Database!$H204,Database!$H204),"")</f>
        <v/>
      </c>
      <c r="P204" s="101">
        <f>IF(Database!BF204="","(n/m or not derivable)",Database!BF204)</f>
        <v/>
      </c>
      <c r="Q204" s="24">
        <f>IF(Database!BL204="","",IFERROR(BDH(LEFT(Database!BL204,FIND(".",Database!BL204)-1)&amp;" CH Equity","PE_RATIO",Database!$H204,Database!$H204),""))</f>
        <v/>
      </c>
      <c r="R204" s="24">
        <f>IF(Database!BL204="","",IFERROR(BDH("HSAHP Index","PX_LAST",Database!$H204,Database!$H204),""))</f>
        <v/>
      </c>
      <c r="S204" s="24">
        <f>IFERROR(BDP(Database!$A204&amp;" HK Equity","PX_TO_SALES_RATIO"),"")</f>
        <v/>
      </c>
      <c r="T204" s="18">
        <f>IF(Database!BL204="","",IFERROR(BDP(LEFT(Database!BL204,FIND(".",Database!BL204)-1)&amp;" CH Equity","CUR_MKT_CAP"),""))</f>
        <v/>
      </c>
    </row>
    <row r="205">
      <c r="A205" s="16">
        <f>Database!A205&amp;"  "&amp;Database!B205</f>
        <v/>
      </c>
      <c r="B205" s="10">
        <f>IFERROR(INDEX(BDS(Database!$A205&amp;" HK Equity","EQUITY_OFFERINGS","array=t","endcol=1"),MATCH("IPO",BDS(Database!$A205&amp;" HK Equity","EQUITY_OFFERINGS","array=t","startcol=2","endcol=2"),0)),"")</f>
        <v/>
      </c>
      <c r="C205" s="103">
        <f>IF($B205="","",IFERROR(BDP($B205&amp;" Action","CP036"),""))</f>
        <v/>
      </c>
      <c r="D205" s="104">
        <f>Database!S205</f>
        <v/>
      </c>
      <c r="E205" s="103">
        <f>IF($B205="","",IFERROR(BDP($B205&amp;" Action","CP037"),""))</f>
        <v/>
      </c>
      <c r="F205" s="104">
        <f>Database!T205</f>
        <v/>
      </c>
      <c r="G205" s="103">
        <f>IF($B205="","",IFERROR(BDP($B205&amp;" Action","GREENSHOE_FACILITY"),""))</f>
        <v/>
      </c>
      <c r="H205" s="103">
        <f>IF($B205="","",IFERROR(BDP($B205&amp;" Action","OFFERING_GREENSHOE_SHARES_EX"),""))</f>
        <v/>
      </c>
      <c r="I205" s="16">
        <f>Database!AG205</f>
        <v/>
      </c>
      <c r="J205" s="24">
        <f>IFERROR(BDP(Database!$A205&amp;" HK Equity","PE_RATIO"),"")</f>
        <v/>
      </c>
      <c r="K205" s="10">
        <f>IFERROR(BDP(Database!$A205&amp;" HK Equity","A/H_SHARE_CONVERSION"),"")</f>
        <v/>
      </c>
      <c r="L205" s="16">
        <f>IF(Database!BL205="","(none found)",Database!BL205)</f>
        <v/>
      </c>
      <c r="M205" s="18">
        <f>IFERROR(BDH(Database!$A205&amp;" HK Equity","CUR_MKT_CAP",Database!$H205,Database!$H205),"")</f>
        <v/>
      </c>
      <c r="N205" s="97">
        <f>Database!Q205</f>
        <v/>
      </c>
      <c r="O205" s="24">
        <f>IFERROR(BDH(Database!$A205&amp;" HK Equity","PE_RATIO",Database!$H205,Database!$H205),"")</f>
        <v/>
      </c>
      <c r="P205" s="101">
        <f>IF(Database!BF205="","(n/m or not derivable)",Database!BF205)</f>
        <v/>
      </c>
      <c r="Q205" s="24">
        <f>IF(Database!BL205="","",IFERROR(BDH(LEFT(Database!BL205,FIND(".",Database!BL205)-1)&amp;" CH Equity","PE_RATIO",Database!$H205,Database!$H205),""))</f>
        <v/>
      </c>
      <c r="R205" s="24">
        <f>IF(Database!BL205="","",IFERROR(BDH("HSAHP Index","PX_LAST",Database!$H205,Database!$H205),""))</f>
        <v/>
      </c>
      <c r="S205" s="24">
        <f>IFERROR(BDP(Database!$A205&amp;" HK Equity","PX_TO_SALES_RATIO"),"")</f>
        <v/>
      </c>
      <c r="T205" s="18">
        <f>IF(Database!BL205="","",IFERROR(BDP(LEFT(Database!BL205,FIND(".",Database!BL205)-1)&amp;" CH Equity","CUR_MKT_CAP"),""))</f>
        <v/>
      </c>
    </row>
    <row r="206">
      <c r="A206" s="16">
        <f>Database!A206&amp;"  "&amp;Database!B206</f>
        <v/>
      </c>
      <c r="B206" s="10">
        <f>IFERROR(INDEX(BDS(Database!$A206&amp;" HK Equity","EQUITY_OFFERINGS","array=t","endcol=1"),MATCH("IPO",BDS(Database!$A206&amp;" HK Equity","EQUITY_OFFERINGS","array=t","startcol=2","endcol=2"),0)),"")</f>
        <v/>
      </c>
      <c r="C206" s="103">
        <f>IF($B206="","",IFERROR(BDP($B206&amp;" Action","CP036"),""))</f>
        <v/>
      </c>
      <c r="D206" s="104">
        <f>Database!S206</f>
        <v/>
      </c>
      <c r="E206" s="103">
        <f>IF($B206="","",IFERROR(BDP($B206&amp;" Action","CP037"),""))</f>
        <v/>
      </c>
      <c r="F206" s="104">
        <f>Database!T206</f>
        <v/>
      </c>
      <c r="G206" s="103">
        <f>IF($B206="","",IFERROR(BDP($B206&amp;" Action","GREENSHOE_FACILITY"),""))</f>
        <v/>
      </c>
      <c r="H206" s="103">
        <f>IF($B206="","",IFERROR(BDP($B206&amp;" Action","OFFERING_GREENSHOE_SHARES_EX"),""))</f>
        <v/>
      </c>
      <c r="I206" s="16">
        <f>Database!AG206</f>
        <v/>
      </c>
      <c r="J206" s="24">
        <f>IFERROR(BDP(Database!$A206&amp;" HK Equity","PE_RATIO"),"")</f>
        <v/>
      </c>
      <c r="K206" s="10">
        <f>IFERROR(BDP(Database!$A206&amp;" HK Equity","A/H_SHARE_CONVERSION"),"")</f>
        <v/>
      </c>
      <c r="L206" s="16">
        <f>IF(Database!BL206="","(none found)",Database!BL206)</f>
        <v/>
      </c>
      <c r="M206" s="18">
        <f>IFERROR(BDH(Database!$A206&amp;" HK Equity","CUR_MKT_CAP",Database!$H206,Database!$H206),"")</f>
        <v/>
      </c>
      <c r="N206" s="97">
        <f>Database!Q206</f>
        <v/>
      </c>
      <c r="O206" s="24">
        <f>IFERROR(BDH(Database!$A206&amp;" HK Equity","PE_RATIO",Database!$H206,Database!$H206),"")</f>
        <v/>
      </c>
      <c r="P206" s="101">
        <f>IF(Database!BF206="","(n/m or not derivable)",Database!BF206)</f>
        <v/>
      </c>
      <c r="Q206" s="24">
        <f>IF(Database!BL206="","",IFERROR(BDH(LEFT(Database!BL206,FIND(".",Database!BL206)-1)&amp;" CH Equity","PE_RATIO",Database!$H206,Database!$H206),""))</f>
        <v/>
      </c>
      <c r="R206" s="24">
        <f>IF(Database!BL206="","",IFERROR(BDH("HSAHP Index","PX_LAST",Database!$H206,Database!$H206),""))</f>
        <v/>
      </c>
      <c r="S206" s="24">
        <f>IFERROR(BDP(Database!$A206&amp;" HK Equity","PX_TO_SALES_RATIO"),"")</f>
        <v/>
      </c>
      <c r="T206" s="18">
        <f>IF(Database!BL206="","",IFERROR(BDP(LEFT(Database!BL206,FIND(".",Database!BL206)-1)&amp;" CH Equity","CUR_MKT_CAP"),""))</f>
        <v/>
      </c>
    </row>
    <row r="207">
      <c r="A207" s="16">
        <f>Database!A207&amp;"  "&amp;Database!B207</f>
        <v/>
      </c>
      <c r="B207" s="10">
        <f>IFERROR(INDEX(BDS(Database!$A207&amp;" HK Equity","EQUITY_OFFERINGS","array=t","endcol=1"),MATCH("IPO",BDS(Database!$A207&amp;" HK Equity","EQUITY_OFFERINGS","array=t","startcol=2","endcol=2"),0)),"")</f>
        <v/>
      </c>
      <c r="C207" s="103">
        <f>IF($B207="","",IFERROR(BDP($B207&amp;" Action","CP036"),""))</f>
        <v/>
      </c>
      <c r="D207" s="104">
        <f>Database!S207</f>
        <v/>
      </c>
      <c r="E207" s="103">
        <f>IF($B207="","",IFERROR(BDP($B207&amp;" Action","CP037"),""))</f>
        <v/>
      </c>
      <c r="F207" s="104">
        <f>Database!T207</f>
        <v/>
      </c>
      <c r="G207" s="103">
        <f>IF($B207="","",IFERROR(BDP($B207&amp;" Action","GREENSHOE_FACILITY"),""))</f>
        <v/>
      </c>
      <c r="H207" s="103">
        <f>IF($B207="","",IFERROR(BDP($B207&amp;" Action","OFFERING_GREENSHOE_SHARES_EX"),""))</f>
        <v/>
      </c>
      <c r="I207" s="16">
        <f>Database!AG207</f>
        <v/>
      </c>
      <c r="J207" s="24">
        <f>IFERROR(BDP(Database!$A207&amp;" HK Equity","PE_RATIO"),"")</f>
        <v/>
      </c>
      <c r="K207" s="10">
        <f>IFERROR(BDP(Database!$A207&amp;" HK Equity","A/H_SHARE_CONVERSION"),"")</f>
        <v/>
      </c>
      <c r="L207" s="16">
        <f>IF(Database!BL207="","(none found)",Database!BL207)</f>
        <v/>
      </c>
      <c r="M207" s="18">
        <f>IFERROR(BDH(Database!$A207&amp;" HK Equity","CUR_MKT_CAP",Database!$H207,Database!$H207),"")</f>
        <v/>
      </c>
      <c r="N207" s="97">
        <f>Database!Q207</f>
        <v/>
      </c>
      <c r="O207" s="24">
        <f>IFERROR(BDH(Database!$A207&amp;" HK Equity","PE_RATIO",Database!$H207,Database!$H207),"")</f>
        <v/>
      </c>
      <c r="P207" s="101">
        <f>IF(Database!BF207="","(n/m or not derivable)",Database!BF207)</f>
        <v/>
      </c>
      <c r="Q207" s="24">
        <f>IF(Database!BL207="","",IFERROR(BDH(LEFT(Database!BL207,FIND(".",Database!BL207)-1)&amp;" CH Equity","PE_RATIO",Database!$H207,Database!$H207),""))</f>
        <v/>
      </c>
      <c r="R207" s="24">
        <f>IF(Database!BL207="","",IFERROR(BDH("HSAHP Index","PX_LAST",Database!$H207,Database!$H207),""))</f>
        <v/>
      </c>
      <c r="S207" s="24">
        <f>IFERROR(BDP(Database!$A207&amp;" HK Equity","PX_TO_SALES_RATIO"),"")</f>
        <v/>
      </c>
      <c r="T207" s="18">
        <f>IF(Database!BL207="","",IFERROR(BDP(LEFT(Database!BL207,FIND(".",Database!BL207)-1)&amp;" CH Equity","CUR_MKT_CAP"),""))</f>
        <v/>
      </c>
    </row>
    <row r="208">
      <c r="A208" s="16">
        <f>Database!A208&amp;"  "&amp;Database!B208</f>
        <v/>
      </c>
      <c r="B208" s="10">
        <f>IFERROR(INDEX(BDS(Database!$A208&amp;" HK Equity","EQUITY_OFFERINGS","array=t","endcol=1"),MATCH("IPO",BDS(Database!$A208&amp;" HK Equity","EQUITY_OFFERINGS","array=t","startcol=2","endcol=2"),0)),"")</f>
        <v/>
      </c>
      <c r="C208" s="103">
        <f>IF($B208="","",IFERROR(BDP($B208&amp;" Action","CP036"),""))</f>
        <v/>
      </c>
      <c r="D208" s="104">
        <f>Database!S208</f>
        <v/>
      </c>
      <c r="E208" s="103">
        <f>IF($B208="","",IFERROR(BDP($B208&amp;" Action","CP037"),""))</f>
        <v/>
      </c>
      <c r="F208" s="104">
        <f>Database!T208</f>
        <v/>
      </c>
      <c r="G208" s="103">
        <f>IF($B208="","",IFERROR(BDP($B208&amp;" Action","GREENSHOE_FACILITY"),""))</f>
        <v/>
      </c>
      <c r="H208" s="103">
        <f>IF($B208="","",IFERROR(BDP($B208&amp;" Action","OFFERING_GREENSHOE_SHARES_EX"),""))</f>
        <v/>
      </c>
      <c r="I208" s="16">
        <f>Database!AG208</f>
        <v/>
      </c>
      <c r="J208" s="24">
        <f>IFERROR(BDP(Database!$A208&amp;" HK Equity","PE_RATIO"),"")</f>
        <v/>
      </c>
      <c r="K208" s="10">
        <f>IFERROR(BDP(Database!$A208&amp;" HK Equity","A/H_SHARE_CONVERSION"),"")</f>
        <v/>
      </c>
      <c r="L208" s="16">
        <f>IF(Database!BL208="","(none found)",Database!BL208)</f>
        <v/>
      </c>
      <c r="M208" s="18">
        <f>IFERROR(BDH(Database!$A208&amp;" HK Equity","CUR_MKT_CAP",Database!$H208,Database!$H208),"")</f>
        <v/>
      </c>
      <c r="N208" s="97">
        <f>Database!Q208</f>
        <v/>
      </c>
      <c r="O208" s="24">
        <f>IFERROR(BDH(Database!$A208&amp;" HK Equity","PE_RATIO",Database!$H208,Database!$H208),"")</f>
        <v/>
      </c>
      <c r="P208" s="101">
        <f>IF(Database!BF208="","(n/m or not derivable)",Database!BF208)</f>
        <v/>
      </c>
      <c r="Q208" s="24">
        <f>IF(Database!BL208="","",IFERROR(BDH(LEFT(Database!BL208,FIND(".",Database!BL208)-1)&amp;" CH Equity","PE_RATIO",Database!$H208,Database!$H208),""))</f>
        <v/>
      </c>
      <c r="R208" s="24">
        <f>IF(Database!BL208="","",IFERROR(BDH("HSAHP Index","PX_LAST",Database!$H208,Database!$H208),""))</f>
        <v/>
      </c>
      <c r="S208" s="24">
        <f>IFERROR(BDP(Database!$A208&amp;" HK Equity","PX_TO_SALES_RATIO"),"")</f>
        <v/>
      </c>
      <c r="T208" s="18">
        <f>IF(Database!BL208="","",IFERROR(BDP(LEFT(Database!BL208,FIND(".",Database!BL208)-1)&amp;" CH Equity","CUR_MKT_CAP"),""))</f>
        <v/>
      </c>
    </row>
    <row r="209">
      <c r="A209" s="16">
        <f>Database!A209&amp;"  "&amp;Database!B209</f>
        <v/>
      </c>
      <c r="B209" s="10">
        <f>IFERROR(INDEX(BDS(Database!$A209&amp;" HK Equity","EQUITY_OFFERINGS","array=t","endcol=1"),MATCH("IPO",BDS(Database!$A209&amp;" HK Equity","EQUITY_OFFERINGS","array=t","startcol=2","endcol=2"),0)),"")</f>
        <v/>
      </c>
      <c r="C209" s="103">
        <f>IF($B209="","",IFERROR(BDP($B209&amp;" Action","CP036"),""))</f>
        <v/>
      </c>
      <c r="D209" s="104">
        <f>Database!S209</f>
        <v/>
      </c>
      <c r="E209" s="103">
        <f>IF($B209="","",IFERROR(BDP($B209&amp;" Action","CP037"),""))</f>
        <v/>
      </c>
      <c r="F209" s="104">
        <f>Database!T209</f>
        <v/>
      </c>
      <c r="G209" s="103">
        <f>IF($B209="","",IFERROR(BDP($B209&amp;" Action","GREENSHOE_FACILITY"),""))</f>
        <v/>
      </c>
      <c r="H209" s="103">
        <f>IF($B209="","",IFERROR(BDP($B209&amp;" Action","OFFERING_GREENSHOE_SHARES_EX"),""))</f>
        <v/>
      </c>
      <c r="I209" s="16">
        <f>Database!AG209</f>
        <v/>
      </c>
      <c r="J209" s="24">
        <f>IFERROR(BDP(Database!$A209&amp;" HK Equity","PE_RATIO"),"")</f>
        <v/>
      </c>
      <c r="K209" s="10">
        <f>IFERROR(BDP(Database!$A209&amp;" HK Equity","A/H_SHARE_CONVERSION"),"")</f>
        <v/>
      </c>
      <c r="L209" s="16">
        <f>IF(Database!BL209="","(none found)",Database!BL209)</f>
        <v/>
      </c>
      <c r="M209" s="18">
        <f>IFERROR(BDH(Database!$A209&amp;" HK Equity","CUR_MKT_CAP",Database!$H209,Database!$H209),"")</f>
        <v/>
      </c>
      <c r="N209" s="97">
        <f>Database!Q209</f>
        <v/>
      </c>
      <c r="O209" s="24">
        <f>IFERROR(BDH(Database!$A209&amp;" HK Equity","PE_RATIO",Database!$H209,Database!$H209),"")</f>
        <v/>
      </c>
      <c r="P209" s="101">
        <f>IF(Database!BF209="","(n/m or not derivable)",Database!BF209)</f>
        <v/>
      </c>
      <c r="Q209" s="24">
        <f>IF(Database!BL209="","",IFERROR(BDH(LEFT(Database!BL209,FIND(".",Database!BL209)-1)&amp;" CH Equity","PE_RATIO",Database!$H209,Database!$H209),""))</f>
        <v/>
      </c>
      <c r="R209" s="24">
        <f>IF(Database!BL209="","",IFERROR(BDH("HSAHP Index","PX_LAST",Database!$H209,Database!$H209),""))</f>
        <v/>
      </c>
      <c r="S209" s="24">
        <f>IFERROR(BDP(Database!$A209&amp;" HK Equity","PX_TO_SALES_RATIO"),"")</f>
        <v/>
      </c>
      <c r="T209" s="18">
        <f>IF(Database!BL209="","",IFERROR(BDP(LEFT(Database!BL209,FIND(".",Database!BL209)-1)&amp;" CH Equity","CUR_MKT_CAP"),""))</f>
        <v/>
      </c>
    </row>
    <row r="210">
      <c r="A210" s="16">
        <f>Database!A210&amp;"  "&amp;Database!B210</f>
        <v/>
      </c>
      <c r="B210" s="10">
        <f>IFERROR(INDEX(BDS(Database!$A210&amp;" HK Equity","EQUITY_OFFERINGS","array=t","endcol=1"),MATCH("IPO",BDS(Database!$A210&amp;" HK Equity","EQUITY_OFFERINGS","array=t","startcol=2","endcol=2"),0)),"")</f>
        <v/>
      </c>
      <c r="C210" s="103">
        <f>IF($B210="","",IFERROR(BDP($B210&amp;" Action","CP036"),""))</f>
        <v/>
      </c>
      <c r="D210" s="104">
        <f>Database!S210</f>
        <v/>
      </c>
      <c r="E210" s="103">
        <f>IF($B210="","",IFERROR(BDP($B210&amp;" Action","CP037"),""))</f>
        <v/>
      </c>
      <c r="F210" s="104">
        <f>Database!T210</f>
        <v/>
      </c>
      <c r="G210" s="103">
        <f>IF($B210="","",IFERROR(BDP($B210&amp;" Action","GREENSHOE_FACILITY"),""))</f>
        <v/>
      </c>
      <c r="H210" s="103">
        <f>IF($B210="","",IFERROR(BDP($B210&amp;" Action","OFFERING_GREENSHOE_SHARES_EX"),""))</f>
        <v/>
      </c>
      <c r="I210" s="16">
        <f>Database!AG210</f>
        <v/>
      </c>
      <c r="J210" s="24">
        <f>IFERROR(BDP(Database!$A210&amp;" HK Equity","PE_RATIO"),"")</f>
        <v/>
      </c>
      <c r="K210" s="10">
        <f>IFERROR(BDP(Database!$A210&amp;" HK Equity","A/H_SHARE_CONVERSION"),"")</f>
        <v/>
      </c>
      <c r="L210" s="16">
        <f>IF(Database!BL210="","(none found)",Database!BL210)</f>
        <v/>
      </c>
      <c r="M210" s="18">
        <f>IFERROR(BDH(Database!$A210&amp;" HK Equity","CUR_MKT_CAP",Database!$H210,Database!$H210),"")</f>
        <v/>
      </c>
      <c r="N210" s="97">
        <f>Database!Q210</f>
        <v/>
      </c>
      <c r="O210" s="24">
        <f>IFERROR(BDH(Database!$A210&amp;" HK Equity","PE_RATIO",Database!$H210,Database!$H210),"")</f>
        <v/>
      </c>
      <c r="P210" s="101">
        <f>IF(Database!BF210="","(n/m or not derivable)",Database!BF210)</f>
        <v/>
      </c>
      <c r="Q210" s="24">
        <f>IF(Database!BL210="","",IFERROR(BDH(LEFT(Database!BL210,FIND(".",Database!BL210)-1)&amp;" CH Equity","PE_RATIO",Database!$H210,Database!$H210),""))</f>
        <v/>
      </c>
      <c r="R210" s="24">
        <f>IF(Database!BL210="","",IFERROR(BDH("HSAHP Index","PX_LAST",Database!$H210,Database!$H210),""))</f>
        <v/>
      </c>
      <c r="S210" s="24">
        <f>IFERROR(BDP(Database!$A210&amp;" HK Equity","PX_TO_SALES_RATIO"),"")</f>
        <v/>
      </c>
      <c r="T210" s="18">
        <f>IF(Database!BL210="","",IFERROR(BDP(LEFT(Database!BL210,FIND(".",Database!BL210)-1)&amp;" CH Equity","CUR_MKT_CAP"),""))</f>
        <v/>
      </c>
    </row>
    <row r="211">
      <c r="A211" s="16">
        <f>Database!A211&amp;"  "&amp;Database!B211</f>
        <v/>
      </c>
      <c r="B211" s="10">
        <f>IFERROR(INDEX(BDS(Database!$A211&amp;" HK Equity","EQUITY_OFFERINGS","array=t","endcol=1"),MATCH("IPO",BDS(Database!$A211&amp;" HK Equity","EQUITY_OFFERINGS","array=t","startcol=2","endcol=2"),0)),"")</f>
        <v/>
      </c>
      <c r="C211" s="103">
        <f>IF($B211="","",IFERROR(BDP($B211&amp;" Action","CP036"),""))</f>
        <v/>
      </c>
      <c r="D211" s="104">
        <f>Database!S211</f>
        <v/>
      </c>
      <c r="E211" s="103">
        <f>IF($B211="","",IFERROR(BDP($B211&amp;" Action","CP037"),""))</f>
        <v/>
      </c>
      <c r="F211" s="104">
        <f>Database!T211</f>
        <v/>
      </c>
      <c r="G211" s="103">
        <f>IF($B211="","",IFERROR(BDP($B211&amp;" Action","GREENSHOE_FACILITY"),""))</f>
        <v/>
      </c>
      <c r="H211" s="103">
        <f>IF($B211="","",IFERROR(BDP($B211&amp;" Action","OFFERING_GREENSHOE_SHARES_EX"),""))</f>
        <v/>
      </c>
      <c r="I211" s="16">
        <f>Database!AG211</f>
        <v/>
      </c>
      <c r="J211" s="24">
        <f>IFERROR(BDP(Database!$A211&amp;" HK Equity","PE_RATIO"),"")</f>
        <v/>
      </c>
      <c r="K211" s="10">
        <f>IFERROR(BDP(Database!$A211&amp;" HK Equity","A/H_SHARE_CONVERSION"),"")</f>
        <v/>
      </c>
      <c r="L211" s="16">
        <f>IF(Database!BL211="","(none found)",Database!BL211)</f>
        <v/>
      </c>
      <c r="M211" s="18">
        <f>IFERROR(BDH(Database!$A211&amp;" HK Equity","CUR_MKT_CAP",Database!$H211,Database!$H211),"")</f>
        <v/>
      </c>
      <c r="N211" s="97">
        <f>Database!Q211</f>
        <v/>
      </c>
      <c r="O211" s="24">
        <f>IFERROR(BDH(Database!$A211&amp;" HK Equity","PE_RATIO",Database!$H211,Database!$H211),"")</f>
        <v/>
      </c>
      <c r="P211" s="101">
        <f>IF(Database!BF211="","(n/m or not derivable)",Database!BF211)</f>
        <v/>
      </c>
      <c r="Q211" s="24">
        <f>IF(Database!BL211="","",IFERROR(BDH(LEFT(Database!BL211,FIND(".",Database!BL211)-1)&amp;" CH Equity","PE_RATIO",Database!$H211,Database!$H211),""))</f>
        <v/>
      </c>
      <c r="R211" s="24">
        <f>IF(Database!BL211="","",IFERROR(BDH("HSAHP Index","PX_LAST",Database!$H211,Database!$H211),""))</f>
        <v/>
      </c>
      <c r="S211" s="24">
        <f>IFERROR(BDP(Database!$A211&amp;" HK Equity","PX_TO_SALES_RATIO"),"")</f>
        <v/>
      </c>
      <c r="T211" s="18">
        <f>IF(Database!BL211="","",IFERROR(BDP(LEFT(Database!BL211,FIND(".",Database!BL211)-1)&amp;" CH Equity","CUR_MKT_CAP"),""))</f>
        <v/>
      </c>
    </row>
    <row r="212">
      <c r="A212" s="16">
        <f>Database!A212&amp;"  "&amp;Database!B212</f>
        <v/>
      </c>
      <c r="B212" s="10">
        <f>IFERROR(INDEX(BDS(Database!$A212&amp;" HK Equity","EQUITY_OFFERINGS","array=t","endcol=1"),MATCH("IPO",BDS(Database!$A212&amp;" HK Equity","EQUITY_OFFERINGS","array=t","startcol=2","endcol=2"),0)),"")</f>
        <v/>
      </c>
      <c r="C212" s="103">
        <f>IF($B212="","",IFERROR(BDP($B212&amp;" Action","CP036"),""))</f>
        <v/>
      </c>
      <c r="D212" s="104">
        <f>Database!S212</f>
        <v/>
      </c>
      <c r="E212" s="103">
        <f>IF($B212="","",IFERROR(BDP($B212&amp;" Action","CP037"),""))</f>
        <v/>
      </c>
      <c r="F212" s="104">
        <f>Database!T212</f>
        <v/>
      </c>
      <c r="G212" s="103">
        <f>IF($B212="","",IFERROR(BDP($B212&amp;" Action","GREENSHOE_FACILITY"),""))</f>
        <v/>
      </c>
      <c r="H212" s="103">
        <f>IF($B212="","",IFERROR(BDP($B212&amp;" Action","OFFERING_GREENSHOE_SHARES_EX"),""))</f>
        <v/>
      </c>
      <c r="I212" s="16">
        <f>Database!AG212</f>
        <v/>
      </c>
      <c r="J212" s="24">
        <f>IFERROR(BDP(Database!$A212&amp;" HK Equity","PE_RATIO"),"")</f>
        <v/>
      </c>
      <c r="K212" s="10">
        <f>IFERROR(BDP(Database!$A212&amp;" HK Equity","A/H_SHARE_CONVERSION"),"")</f>
        <v/>
      </c>
      <c r="L212" s="16">
        <f>IF(Database!BL212="","(none found)",Database!BL212)</f>
        <v/>
      </c>
      <c r="M212" s="18">
        <f>IFERROR(BDH(Database!$A212&amp;" HK Equity","CUR_MKT_CAP",Database!$H212,Database!$H212),"")</f>
        <v/>
      </c>
      <c r="N212" s="97">
        <f>Database!Q212</f>
        <v/>
      </c>
      <c r="O212" s="24">
        <f>IFERROR(BDH(Database!$A212&amp;" HK Equity","PE_RATIO",Database!$H212,Database!$H212),"")</f>
        <v/>
      </c>
      <c r="P212" s="101">
        <f>IF(Database!BF212="","(n/m or not derivable)",Database!BF212)</f>
        <v/>
      </c>
      <c r="Q212" s="24">
        <f>IF(Database!BL212="","",IFERROR(BDH(LEFT(Database!BL212,FIND(".",Database!BL212)-1)&amp;" CH Equity","PE_RATIO",Database!$H212,Database!$H212),""))</f>
        <v/>
      </c>
      <c r="R212" s="24">
        <f>IF(Database!BL212="","",IFERROR(BDH("HSAHP Index","PX_LAST",Database!$H212,Database!$H212),""))</f>
        <v/>
      </c>
      <c r="S212" s="24">
        <f>IFERROR(BDP(Database!$A212&amp;" HK Equity","PX_TO_SALES_RATIO"),"")</f>
        <v/>
      </c>
      <c r="T212" s="18">
        <f>IF(Database!BL212="","",IFERROR(BDP(LEFT(Database!BL212,FIND(".",Database!BL212)-1)&amp;" CH Equity","CUR_MKT_CAP"),""))</f>
        <v/>
      </c>
    </row>
    <row r="213">
      <c r="A213" s="16">
        <f>Database!A213&amp;"  "&amp;Database!B213</f>
        <v/>
      </c>
      <c r="B213" s="10">
        <f>IFERROR(INDEX(BDS(Database!$A213&amp;" HK Equity","EQUITY_OFFERINGS","array=t","endcol=1"),MATCH("IPO",BDS(Database!$A213&amp;" HK Equity","EQUITY_OFFERINGS","array=t","startcol=2","endcol=2"),0)),"")</f>
        <v/>
      </c>
      <c r="C213" s="103">
        <f>IF($B213="","",IFERROR(BDP($B213&amp;" Action","CP036"),""))</f>
        <v/>
      </c>
      <c r="D213" s="104">
        <f>Database!S213</f>
        <v/>
      </c>
      <c r="E213" s="103">
        <f>IF($B213="","",IFERROR(BDP($B213&amp;" Action","CP037"),""))</f>
        <v/>
      </c>
      <c r="F213" s="104">
        <f>Database!T213</f>
        <v/>
      </c>
      <c r="G213" s="103">
        <f>IF($B213="","",IFERROR(BDP($B213&amp;" Action","GREENSHOE_FACILITY"),""))</f>
        <v/>
      </c>
      <c r="H213" s="103">
        <f>IF($B213="","",IFERROR(BDP($B213&amp;" Action","OFFERING_GREENSHOE_SHARES_EX"),""))</f>
        <v/>
      </c>
      <c r="I213" s="16">
        <f>Database!AG213</f>
        <v/>
      </c>
      <c r="J213" s="24">
        <f>IFERROR(BDP(Database!$A213&amp;" HK Equity","PE_RATIO"),"")</f>
        <v/>
      </c>
      <c r="K213" s="10">
        <f>IFERROR(BDP(Database!$A213&amp;" HK Equity","A/H_SHARE_CONVERSION"),"")</f>
        <v/>
      </c>
      <c r="L213" s="16">
        <f>IF(Database!BL213="","(none found)",Database!BL213)</f>
        <v/>
      </c>
      <c r="M213" s="18">
        <f>IFERROR(BDH(Database!$A213&amp;" HK Equity","CUR_MKT_CAP",Database!$H213,Database!$H213),"")</f>
        <v/>
      </c>
      <c r="N213" s="97">
        <f>Database!Q213</f>
        <v/>
      </c>
      <c r="O213" s="24">
        <f>IFERROR(BDH(Database!$A213&amp;" HK Equity","PE_RATIO",Database!$H213,Database!$H213),"")</f>
        <v/>
      </c>
      <c r="P213" s="101">
        <f>IF(Database!BF213="","(n/m or not derivable)",Database!BF213)</f>
        <v/>
      </c>
      <c r="Q213" s="24">
        <f>IF(Database!BL213="","",IFERROR(BDH(LEFT(Database!BL213,FIND(".",Database!BL213)-1)&amp;" CH Equity","PE_RATIO",Database!$H213,Database!$H213),""))</f>
        <v/>
      </c>
      <c r="R213" s="24">
        <f>IF(Database!BL213="","",IFERROR(BDH("HSAHP Index","PX_LAST",Database!$H213,Database!$H213),""))</f>
        <v/>
      </c>
      <c r="S213" s="24">
        <f>IFERROR(BDP(Database!$A213&amp;" HK Equity","PX_TO_SALES_RATIO"),"")</f>
        <v/>
      </c>
      <c r="T213" s="18">
        <f>IF(Database!BL213="","",IFERROR(BDP(LEFT(Database!BL213,FIND(".",Database!BL213)-1)&amp;" CH Equity","CUR_MKT_CAP"),""))</f>
        <v/>
      </c>
    </row>
    <row r="214">
      <c r="A214" s="16">
        <f>Database!A214&amp;"  "&amp;Database!B214</f>
        <v/>
      </c>
      <c r="B214" s="10">
        <f>IFERROR(INDEX(BDS(Database!$A214&amp;" HK Equity","EQUITY_OFFERINGS","array=t","endcol=1"),MATCH("IPO",BDS(Database!$A214&amp;" HK Equity","EQUITY_OFFERINGS","array=t","startcol=2","endcol=2"),0)),"")</f>
        <v/>
      </c>
      <c r="C214" s="103">
        <f>IF($B214="","",IFERROR(BDP($B214&amp;" Action","CP036"),""))</f>
        <v/>
      </c>
      <c r="D214" s="104">
        <f>Database!S214</f>
        <v/>
      </c>
      <c r="E214" s="103">
        <f>IF($B214="","",IFERROR(BDP($B214&amp;" Action","CP037"),""))</f>
        <v/>
      </c>
      <c r="F214" s="104">
        <f>Database!T214</f>
        <v/>
      </c>
      <c r="G214" s="103">
        <f>IF($B214="","",IFERROR(BDP($B214&amp;" Action","GREENSHOE_FACILITY"),""))</f>
        <v/>
      </c>
      <c r="H214" s="103">
        <f>IF($B214="","",IFERROR(BDP($B214&amp;" Action","OFFERING_GREENSHOE_SHARES_EX"),""))</f>
        <v/>
      </c>
      <c r="I214" s="16">
        <f>Database!AG214</f>
        <v/>
      </c>
      <c r="J214" s="24">
        <f>IFERROR(BDP(Database!$A214&amp;" HK Equity","PE_RATIO"),"")</f>
        <v/>
      </c>
      <c r="K214" s="10">
        <f>IFERROR(BDP(Database!$A214&amp;" HK Equity","A/H_SHARE_CONVERSION"),"")</f>
        <v/>
      </c>
      <c r="L214" s="16">
        <f>IF(Database!BL214="","(none found)",Database!BL214)</f>
        <v/>
      </c>
      <c r="M214" s="18">
        <f>IFERROR(BDH(Database!$A214&amp;" HK Equity","CUR_MKT_CAP",Database!$H214,Database!$H214),"")</f>
        <v/>
      </c>
      <c r="N214" s="97">
        <f>Database!Q214</f>
        <v/>
      </c>
      <c r="O214" s="24">
        <f>IFERROR(BDH(Database!$A214&amp;" HK Equity","PE_RATIO",Database!$H214,Database!$H214),"")</f>
        <v/>
      </c>
      <c r="P214" s="101">
        <f>IF(Database!BF214="","(n/m or not derivable)",Database!BF214)</f>
        <v/>
      </c>
      <c r="Q214" s="24">
        <f>IF(Database!BL214="","",IFERROR(BDH(LEFT(Database!BL214,FIND(".",Database!BL214)-1)&amp;" CH Equity","PE_RATIO",Database!$H214,Database!$H214),""))</f>
        <v/>
      </c>
      <c r="R214" s="24">
        <f>IF(Database!BL214="","",IFERROR(BDH("HSAHP Index","PX_LAST",Database!$H214,Database!$H214),""))</f>
        <v/>
      </c>
      <c r="S214" s="24">
        <f>IFERROR(BDP(Database!$A214&amp;" HK Equity","PX_TO_SALES_RATIO"),"")</f>
        <v/>
      </c>
      <c r="T214" s="18">
        <f>IF(Database!BL214="","",IFERROR(BDP(LEFT(Database!BL214,FIND(".",Database!BL214)-1)&amp;" CH Equity","CUR_MKT_CAP"),""))</f>
        <v/>
      </c>
    </row>
    <row r="215">
      <c r="A215" s="16">
        <f>Database!A215&amp;"  "&amp;Database!B215</f>
        <v/>
      </c>
      <c r="B215" s="10">
        <f>IFERROR(INDEX(BDS(Database!$A215&amp;" HK Equity","EQUITY_OFFERINGS","array=t","endcol=1"),MATCH("IPO",BDS(Database!$A215&amp;" HK Equity","EQUITY_OFFERINGS","array=t","startcol=2","endcol=2"),0)),"")</f>
        <v/>
      </c>
      <c r="C215" s="103">
        <f>IF($B215="","",IFERROR(BDP($B215&amp;" Action","CP036"),""))</f>
        <v/>
      </c>
      <c r="D215" s="104">
        <f>Database!S215</f>
        <v/>
      </c>
      <c r="E215" s="103">
        <f>IF($B215="","",IFERROR(BDP($B215&amp;" Action","CP037"),""))</f>
        <v/>
      </c>
      <c r="F215" s="104">
        <f>Database!T215</f>
        <v/>
      </c>
      <c r="G215" s="103">
        <f>IF($B215="","",IFERROR(BDP($B215&amp;" Action","GREENSHOE_FACILITY"),""))</f>
        <v/>
      </c>
      <c r="H215" s="103">
        <f>IF($B215="","",IFERROR(BDP($B215&amp;" Action","OFFERING_GREENSHOE_SHARES_EX"),""))</f>
        <v/>
      </c>
      <c r="I215" s="16">
        <f>Database!AG215</f>
        <v/>
      </c>
      <c r="J215" s="24">
        <f>IFERROR(BDP(Database!$A215&amp;" HK Equity","PE_RATIO"),"")</f>
        <v/>
      </c>
      <c r="K215" s="10">
        <f>IFERROR(BDP(Database!$A215&amp;" HK Equity","A/H_SHARE_CONVERSION"),"")</f>
        <v/>
      </c>
      <c r="L215" s="16">
        <f>IF(Database!BL215="","(none found)",Database!BL215)</f>
        <v/>
      </c>
      <c r="M215" s="18">
        <f>IFERROR(BDH(Database!$A215&amp;" HK Equity","CUR_MKT_CAP",Database!$H215,Database!$H215),"")</f>
        <v/>
      </c>
      <c r="N215" s="97">
        <f>Database!Q215</f>
        <v/>
      </c>
      <c r="O215" s="24">
        <f>IFERROR(BDH(Database!$A215&amp;" HK Equity","PE_RATIO",Database!$H215,Database!$H215),"")</f>
        <v/>
      </c>
      <c r="P215" s="101">
        <f>IF(Database!BF215="","(n/m or not derivable)",Database!BF215)</f>
        <v/>
      </c>
      <c r="Q215" s="24">
        <f>IF(Database!BL215="","",IFERROR(BDH(LEFT(Database!BL215,FIND(".",Database!BL215)-1)&amp;" CH Equity","PE_RATIO",Database!$H215,Database!$H215),""))</f>
        <v/>
      </c>
      <c r="R215" s="24">
        <f>IF(Database!BL215="","",IFERROR(BDH("HSAHP Index","PX_LAST",Database!$H215,Database!$H215),""))</f>
        <v/>
      </c>
      <c r="S215" s="24">
        <f>IFERROR(BDP(Database!$A215&amp;" HK Equity","PX_TO_SALES_RATIO"),"")</f>
        <v/>
      </c>
      <c r="T215" s="18">
        <f>IF(Database!BL215="","",IFERROR(BDP(LEFT(Database!BL215,FIND(".",Database!BL215)-1)&amp;" CH Equity","CUR_MKT_CAP"),""))</f>
        <v/>
      </c>
    </row>
    <row r="216">
      <c r="A216" s="16">
        <f>Database!A216&amp;"  "&amp;Database!B216</f>
        <v/>
      </c>
      <c r="B216" s="10">
        <f>IFERROR(INDEX(BDS(Database!$A216&amp;" HK Equity","EQUITY_OFFERINGS","array=t","endcol=1"),MATCH("IPO",BDS(Database!$A216&amp;" HK Equity","EQUITY_OFFERINGS","array=t","startcol=2","endcol=2"),0)),"")</f>
        <v/>
      </c>
      <c r="C216" s="103">
        <f>IF($B216="","",IFERROR(BDP($B216&amp;" Action","CP036"),""))</f>
        <v/>
      </c>
      <c r="D216" s="104">
        <f>Database!S216</f>
        <v/>
      </c>
      <c r="E216" s="103">
        <f>IF($B216="","",IFERROR(BDP($B216&amp;" Action","CP037"),""))</f>
        <v/>
      </c>
      <c r="F216" s="104">
        <f>Database!T216</f>
        <v/>
      </c>
      <c r="G216" s="103">
        <f>IF($B216="","",IFERROR(BDP($B216&amp;" Action","GREENSHOE_FACILITY"),""))</f>
        <v/>
      </c>
      <c r="H216" s="103">
        <f>IF($B216="","",IFERROR(BDP($B216&amp;" Action","OFFERING_GREENSHOE_SHARES_EX"),""))</f>
        <v/>
      </c>
      <c r="I216" s="16">
        <f>Database!AG216</f>
        <v/>
      </c>
      <c r="J216" s="24">
        <f>IFERROR(BDP(Database!$A216&amp;" HK Equity","PE_RATIO"),"")</f>
        <v/>
      </c>
      <c r="K216" s="10">
        <f>IFERROR(BDP(Database!$A216&amp;" HK Equity","A/H_SHARE_CONVERSION"),"")</f>
        <v/>
      </c>
      <c r="L216" s="16">
        <f>IF(Database!BL216="","(none found)",Database!BL216)</f>
        <v/>
      </c>
      <c r="M216" s="18">
        <f>IFERROR(BDH(Database!$A216&amp;" HK Equity","CUR_MKT_CAP",Database!$H216,Database!$H216),"")</f>
        <v/>
      </c>
      <c r="N216" s="97">
        <f>Database!Q216</f>
        <v/>
      </c>
      <c r="O216" s="24">
        <f>IFERROR(BDH(Database!$A216&amp;" HK Equity","PE_RATIO",Database!$H216,Database!$H216),"")</f>
        <v/>
      </c>
      <c r="P216" s="101">
        <f>IF(Database!BF216="","(n/m or not derivable)",Database!BF216)</f>
        <v/>
      </c>
      <c r="Q216" s="24">
        <f>IF(Database!BL216="","",IFERROR(BDH(LEFT(Database!BL216,FIND(".",Database!BL216)-1)&amp;" CH Equity","PE_RATIO",Database!$H216,Database!$H216),""))</f>
        <v/>
      </c>
      <c r="R216" s="24">
        <f>IF(Database!BL216="","",IFERROR(BDH("HSAHP Index","PX_LAST",Database!$H216,Database!$H216),""))</f>
        <v/>
      </c>
      <c r="S216" s="24">
        <f>IFERROR(BDP(Database!$A216&amp;" HK Equity","PX_TO_SALES_RATIO"),"")</f>
        <v/>
      </c>
      <c r="T216" s="18">
        <f>IF(Database!BL216="","",IFERROR(BDP(LEFT(Database!BL216,FIND(".",Database!BL216)-1)&amp;" CH Equity","CUR_MKT_CAP"),""))</f>
        <v/>
      </c>
    </row>
    <row r="217">
      <c r="A217" s="16">
        <f>Database!A217&amp;"  "&amp;Database!B217</f>
        <v/>
      </c>
      <c r="B217" s="10">
        <f>IFERROR(INDEX(BDS(Database!$A217&amp;" HK Equity","EQUITY_OFFERINGS","array=t","endcol=1"),MATCH("IPO",BDS(Database!$A217&amp;" HK Equity","EQUITY_OFFERINGS","array=t","startcol=2","endcol=2"),0)),"")</f>
        <v/>
      </c>
      <c r="C217" s="103">
        <f>IF($B217="","",IFERROR(BDP($B217&amp;" Action","CP036"),""))</f>
        <v/>
      </c>
      <c r="D217" s="104">
        <f>Database!S217</f>
        <v/>
      </c>
      <c r="E217" s="103">
        <f>IF($B217="","",IFERROR(BDP($B217&amp;" Action","CP037"),""))</f>
        <v/>
      </c>
      <c r="F217" s="104">
        <f>Database!T217</f>
        <v/>
      </c>
      <c r="G217" s="103">
        <f>IF($B217="","",IFERROR(BDP($B217&amp;" Action","GREENSHOE_FACILITY"),""))</f>
        <v/>
      </c>
      <c r="H217" s="103">
        <f>IF($B217="","",IFERROR(BDP($B217&amp;" Action","OFFERING_GREENSHOE_SHARES_EX"),""))</f>
        <v/>
      </c>
      <c r="I217" s="16">
        <f>Database!AG217</f>
        <v/>
      </c>
      <c r="J217" s="24">
        <f>IFERROR(BDP(Database!$A217&amp;" HK Equity","PE_RATIO"),"")</f>
        <v/>
      </c>
      <c r="K217" s="10">
        <f>IFERROR(BDP(Database!$A217&amp;" HK Equity","A/H_SHARE_CONVERSION"),"")</f>
        <v/>
      </c>
      <c r="L217" s="16">
        <f>IF(Database!BL217="","(none found)",Database!BL217)</f>
        <v/>
      </c>
      <c r="M217" s="18">
        <f>IFERROR(BDH(Database!$A217&amp;" HK Equity","CUR_MKT_CAP",Database!$H217,Database!$H217),"")</f>
        <v/>
      </c>
      <c r="N217" s="97">
        <f>Database!Q217</f>
        <v/>
      </c>
      <c r="O217" s="24">
        <f>IFERROR(BDH(Database!$A217&amp;" HK Equity","PE_RATIO",Database!$H217,Database!$H217),"")</f>
        <v/>
      </c>
      <c r="P217" s="101">
        <f>IF(Database!BF217="","(n/m or not derivable)",Database!BF217)</f>
        <v/>
      </c>
      <c r="Q217" s="24">
        <f>IF(Database!BL217="","",IFERROR(BDH(LEFT(Database!BL217,FIND(".",Database!BL217)-1)&amp;" CH Equity","PE_RATIO",Database!$H217,Database!$H217),""))</f>
        <v/>
      </c>
      <c r="R217" s="24">
        <f>IF(Database!BL217="","",IFERROR(BDH("HSAHP Index","PX_LAST",Database!$H217,Database!$H217),""))</f>
        <v/>
      </c>
      <c r="S217" s="24">
        <f>IFERROR(BDP(Database!$A217&amp;" HK Equity","PX_TO_SALES_RATIO"),"")</f>
        <v/>
      </c>
      <c r="T217" s="18">
        <f>IF(Database!BL217="","",IFERROR(BDP(LEFT(Database!BL217,FIND(".",Database!BL217)-1)&amp;" CH Equity","CUR_MKT_CAP"),""))</f>
        <v/>
      </c>
    </row>
    <row r="218">
      <c r="A218" s="16">
        <f>Database!A218&amp;"  "&amp;Database!B218</f>
        <v/>
      </c>
      <c r="B218" s="10">
        <f>IFERROR(INDEX(BDS(Database!$A218&amp;" HK Equity","EQUITY_OFFERINGS","array=t","endcol=1"),MATCH("IPO",BDS(Database!$A218&amp;" HK Equity","EQUITY_OFFERINGS","array=t","startcol=2","endcol=2"),0)),"")</f>
        <v/>
      </c>
      <c r="C218" s="103">
        <f>IF($B218="","",IFERROR(BDP($B218&amp;" Action","CP036"),""))</f>
        <v/>
      </c>
      <c r="D218" s="104">
        <f>Database!S218</f>
        <v/>
      </c>
      <c r="E218" s="103">
        <f>IF($B218="","",IFERROR(BDP($B218&amp;" Action","CP037"),""))</f>
        <v/>
      </c>
      <c r="F218" s="104">
        <f>Database!T218</f>
        <v/>
      </c>
      <c r="G218" s="103">
        <f>IF($B218="","",IFERROR(BDP($B218&amp;" Action","GREENSHOE_FACILITY"),""))</f>
        <v/>
      </c>
      <c r="H218" s="103">
        <f>IF($B218="","",IFERROR(BDP($B218&amp;" Action","OFFERING_GREENSHOE_SHARES_EX"),""))</f>
        <v/>
      </c>
      <c r="I218" s="16">
        <f>Database!AG218</f>
        <v/>
      </c>
      <c r="J218" s="24">
        <f>IFERROR(BDP(Database!$A218&amp;" HK Equity","PE_RATIO"),"")</f>
        <v/>
      </c>
      <c r="K218" s="10">
        <f>IFERROR(BDP(Database!$A218&amp;" HK Equity","A/H_SHARE_CONVERSION"),"")</f>
        <v/>
      </c>
      <c r="L218" s="16">
        <f>IF(Database!BL218="","(none found)",Database!BL218)</f>
        <v/>
      </c>
      <c r="M218" s="18">
        <f>IFERROR(BDH(Database!$A218&amp;" HK Equity","CUR_MKT_CAP",Database!$H218,Database!$H218),"")</f>
        <v/>
      </c>
      <c r="N218" s="97">
        <f>Database!Q218</f>
        <v/>
      </c>
      <c r="O218" s="24">
        <f>IFERROR(BDH(Database!$A218&amp;" HK Equity","PE_RATIO",Database!$H218,Database!$H218),"")</f>
        <v/>
      </c>
      <c r="P218" s="101">
        <f>IF(Database!BF218="","(n/m or not derivable)",Database!BF218)</f>
        <v/>
      </c>
      <c r="Q218" s="24">
        <f>IF(Database!BL218="","",IFERROR(BDH(LEFT(Database!BL218,FIND(".",Database!BL218)-1)&amp;" CH Equity","PE_RATIO",Database!$H218,Database!$H218),""))</f>
        <v/>
      </c>
      <c r="R218" s="24">
        <f>IF(Database!BL218="","",IFERROR(BDH("HSAHP Index","PX_LAST",Database!$H218,Database!$H218),""))</f>
        <v/>
      </c>
      <c r="S218" s="24">
        <f>IFERROR(BDP(Database!$A218&amp;" HK Equity","PX_TO_SALES_RATIO"),"")</f>
        <v/>
      </c>
      <c r="T218" s="18">
        <f>IF(Database!BL218="","",IFERROR(BDP(LEFT(Database!BL218,FIND(".",Database!BL218)-1)&amp;" CH Equity","CUR_MKT_CAP"),""))</f>
        <v/>
      </c>
    </row>
    <row r="219">
      <c r="A219" s="16">
        <f>Database!A219&amp;"  "&amp;Database!B219</f>
        <v/>
      </c>
      <c r="B219" s="10">
        <f>IFERROR(INDEX(BDS(Database!$A219&amp;" HK Equity","EQUITY_OFFERINGS","array=t","endcol=1"),MATCH("IPO",BDS(Database!$A219&amp;" HK Equity","EQUITY_OFFERINGS","array=t","startcol=2","endcol=2"),0)),"")</f>
        <v/>
      </c>
      <c r="C219" s="103">
        <f>IF($B219="","",IFERROR(BDP($B219&amp;" Action","CP036"),""))</f>
        <v/>
      </c>
      <c r="D219" s="104">
        <f>Database!S219</f>
        <v/>
      </c>
      <c r="E219" s="103">
        <f>IF($B219="","",IFERROR(BDP($B219&amp;" Action","CP037"),""))</f>
        <v/>
      </c>
      <c r="F219" s="104">
        <f>Database!T219</f>
        <v/>
      </c>
      <c r="G219" s="103">
        <f>IF($B219="","",IFERROR(BDP($B219&amp;" Action","GREENSHOE_FACILITY"),""))</f>
        <v/>
      </c>
      <c r="H219" s="103">
        <f>IF($B219="","",IFERROR(BDP($B219&amp;" Action","OFFERING_GREENSHOE_SHARES_EX"),""))</f>
        <v/>
      </c>
      <c r="I219" s="16">
        <f>Database!AG219</f>
        <v/>
      </c>
      <c r="J219" s="24">
        <f>IFERROR(BDP(Database!$A219&amp;" HK Equity","PE_RATIO"),"")</f>
        <v/>
      </c>
      <c r="K219" s="10">
        <f>IFERROR(BDP(Database!$A219&amp;" HK Equity","A/H_SHARE_CONVERSION"),"")</f>
        <v/>
      </c>
      <c r="L219" s="16">
        <f>IF(Database!BL219="","(none found)",Database!BL219)</f>
        <v/>
      </c>
      <c r="M219" s="18">
        <f>IFERROR(BDH(Database!$A219&amp;" HK Equity","CUR_MKT_CAP",Database!$H219,Database!$H219),"")</f>
        <v/>
      </c>
      <c r="N219" s="97">
        <f>Database!Q219</f>
        <v/>
      </c>
      <c r="O219" s="24">
        <f>IFERROR(BDH(Database!$A219&amp;" HK Equity","PE_RATIO",Database!$H219,Database!$H219),"")</f>
        <v/>
      </c>
      <c r="P219" s="101">
        <f>IF(Database!BF219="","(n/m or not derivable)",Database!BF219)</f>
        <v/>
      </c>
      <c r="Q219" s="24">
        <f>IF(Database!BL219="","",IFERROR(BDH(LEFT(Database!BL219,FIND(".",Database!BL219)-1)&amp;" CH Equity","PE_RATIO",Database!$H219,Database!$H219),""))</f>
        <v/>
      </c>
      <c r="R219" s="24">
        <f>IF(Database!BL219="","",IFERROR(BDH("HSAHP Index","PX_LAST",Database!$H219,Database!$H219),""))</f>
        <v/>
      </c>
      <c r="S219" s="24">
        <f>IFERROR(BDP(Database!$A219&amp;" HK Equity","PX_TO_SALES_RATIO"),"")</f>
        <v/>
      </c>
      <c r="T219" s="18">
        <f>IF(Database!BL219="","",IFERROR(BDP(LEFT(Database!BL219,FIND(".",Database!BL219)-1)&amp;" CH Equity","CUR_MKT_CAP"),""))</f>
        <v/>
      </c>
    </row>
    <row r="220">
      <c r="A220" s="16">
        <f>Database!A220&amp;"  "&amp;Database!B220</f>
        <v/>
      </c>
      <c r="B220" s="10">
        <f>IFERROR(INDEX(BDS(Database!$A220&amp;" HK Equity","EQUITY_OFFERINGS","array=t","endcol=1"),MATCH("IPO",BDS(Database!$A220&amp;" HK Equity","EQUITY_OFFERINGS","array=t","startcol=2","endcol=2"),0)),"")</f>
        <v/>
      </c>
      <c r="C220" s="103">
        <f>IF($B220="","",IFERROR(BDP($B220&amp;" Action","CP036"),""))</f>
        <v/>
      </c>
      <c r="D220" s="104">
        <f>Database!S220</f>
        <v/>
      </c>
      <c r="E220" s="103">
        <f>IF($B220="","",IFERROR(BDP($B220&amp;" Action","CP037"),""))</f>
        <v/>
      </c>
      <c r="F220" s="104">
        <f>Database!T220</f>
        <v/>
      </c>
      <c r="G220" s="103">
        <f>IF($B220="","",IFERROR(BDP($B220&amp;" Action","GREENSHOE_FACILITY"),""))</f>
        <v/>
      </c>
      <c r="H220" s="103">
        <f>IF($B220="","",IFERROR(BDP($B220&amp;" Action","OFFERING_GREENSHOE_SHARES_EX"),""))</f>
        <v/>
      </c>
      <c r="I220" s="16">
        <f>Database!AG220</f>
        <v/>
      </c>
      <c r="J220" s="24">
        <f>IFERROR(BDP(Database!$A220&amp;" HK Equity","PE_RATIO"),"")</f>
        <v/>
      </c>
      <c r="K220" s="10">
        <f>IFERROR(BDP(Database!$A220&amp;" HK Equity","A/H_SHARE_CONVERSION"),"")</f>
        <v/>
      </c>
      <c r="L220" s="16">
        <f>IF(Database!BL220="","(none found)",Database!BL220)</f>
        <v/>
      </c>
      <c r="M220" s="18">
        <f>IFERROR(BDH(Database!$A220&amp;" HK Equity","CUR_MKT_CAP",Database!$H220,Database!$H220),"")</f>
        <v/>
      </c>
      <c r="N220" s="97">
        <f>Database!Q220</f>
        <v/>
      </c>
      <c r="O220" s="24">
        <f>IFERROR(BDH(Database!$A220&amp;" HK Equity","PE_RATIO",Database!$H220,Database!$H220),"")</f>
        <v/>
      </c>
      <c r="P220" s="101">
        <f>IF(Database!BF220="","(n/m or not derivable)",Database!BF220)</f>
        <v/>
      </c>
      <c r="Q220" s="24">
        <f>IF(Database!BL220="","",IFERROR(BDH(LEFT(Database!BL220,FIND(".",Database!BL220)-1)&amp;" CH Equity","PE_RATIO",Database!$H220,Database!$H220),""))</f>
        <v/>
      </c>
      <c r="R220" s="24">
        <f>IF(Database!BL220="","",IFERROR(BDH("HSAHP Index","PX_LAST",Database!$H220,Database!$H220),""))</f>
        <v/>
      </c>
      <c r="S220" s="24">
        <f>IFERROR(BDP(Database!$A220&amp;" HK Equity","PX_TO_SALES_RATIO"),"")</f>
        <v/>
      </c>
      <c r="T220" s="18">
        <f>IF(Database!BL220="","",IFERROR(BDP(LEFT(Database!BL220,FIND(".",Database!BL220)-1)&amp;" CH Equity","CUR_MKT_CAP"),""))</f>
        <v/>
      </c>
    </row>
    <row r="221">
      <c r="A221" s="16">
        <f>Database!A221&amp;"  "&amp;Database!B221</f>
        <v/>
      </c>
      <c r="B221" s="10">
        <f>IFERROR(INDEX(BDS(Database!$A221&amp;" HK Equity","EQUITY_OFFERINGS","array=t","endcol=1"),MATCH("IPO",BDS(Database!$A221&amp;" HK Equity","EQUITY_OFFERINGS","array=t","startcol=2","endcol=2"),0)),"")</f>
        <v/>
      </c>
      <c r="C221" s="103">
        <f>IF($B221="","",IFERROR(BDP($B221&amp;" Action","CP036"),""))</f>
        <v/>
      </c>
      <c r="D221" s="104">
        <f>Database!S221</f>
        <v/>
      </c>
      <c r="E221" s="103">
        <f>IF($B221="","",IFERROR(BDP($B221&amp;" Action","CP037"),""))</f>
        <v/>
      </c>
      <c r="F221" s="104">
        <f>Database!T221</f>
        <v/>
      </c>
      <c r="G221" s="103">
        <f>IF($B221="","",IFERROR(BDP($B221&amp;" Action","GREENSHOE_FACILITY"),""))</f>
        <v/>
      </c>
      <c r="H221" s="103">
        <f>IF($B221="","",IFERROR(BDP($B221&amp;" Action","OFFERING_GREENSHOE_SHARES_EX"),""))</f>
        <v/>
      </c>
      <c r="I221" s="16">
        <f>Database!AG221</f>
        <v/>
      </c>
      <c r="J221" s="24">
        <f>IFERROR(BDP(Database!$A221&amp;" HK Equity","PE_RATIO"),"")</f>
        <v/>
      </c>
      <c r="K221" s="10">
        <f>IFERROR(BDP(Database!$A221&amp;" HK Equity","A/H_SHARE_CONVERSION"),"")</f>
        <v/>
      </c>
      <c r="L221" s="16">
        <f>IF(Database!BL221="","(none found)",Database!BL221)</f>
        <v/>
      </c>
      <c r="M221" s="18">
        <f>IFERROR(BDH(Database!$A221&amp;" HK Equity","CUR_MKT_CAP",Database!$H221,Database!$H221),"")</f>
        <v/>
      </c>
      <c r="N221" s="97">
        <f>Database!Q221</f>
        <v/>
      </c>
      <c r="O221" s="24">
        <f>IFERROR(BDH(Database!$A221&amp;" HK Equity","PE_RATIO",Database!$H221,Database!$H221),"")</f>
        <v/>
      </c>
      <c r="P221" s="101">
        <f>IF(Database!BF221="","(n/m or not derivable)",Database!BF221)</f>
        <v/>
      </c>
      <c r="Q221" s="24">
        <f>IF(Database!BL221="","",IFERROR(BDH(LEFT(Database!BL221,FIND(".",Database!BL221)-1)&amp;" CH Equity","PE_RATIO",Database!$H221,Database!$H221),""))</f>
        <v/>
      </c>
      <c r="R221" s="24">
        <f>IF(Database!BL221="","",IFERROR(BDH("HSAHP Index","PX_LAST",Database!$H221,Database!$H221),""))</f>
        <v/>
      </c>
      <c r="S221" s="24">
        <f>IFERROR(BDP(Database!$A221&amp;" HK Equity","PX_TO_SALES_RATIO"),"")</f>
        <v/>
      </c>
      <c r="T221" s="18">
        <f>IF(Database!BL221="","",IFERROR(BDP(LEFT(Database!BL221,FIND(".",Database!BL221)-1)&amp;" CH Equity","CUR_MKT_CAP"),""))</f>
        <v/>
      </c>
    </row>
    <row r="222">
      <c r="A222" s="16">
        <f>Database!A222&amp;"  "&amp;Database!B222</f>
        <v/>
      </c>
      <c r="B222" s="10">
        <f>IFERROR(INDEX(BDS(Database!$A222&amp;" HK Equity","EQUITY_OFFERINGS","array=t","endcol=1"),MATCH("IPO",BDS(Database!$A222&amp;" HK Equity","EQUITY_OFFERINGS","array=t","startcol=2","endcol=2"),0)),"")</f>
        <v/>
      </c>
      <c r="C222" s="103">
        <f>IF($B222="","",IFERROR(BDP($B222&amp;" Action","CP036"),""))</f>
        <v/>
      </c>
      <c r="D222" s="104">
        <f>Database!S222</f>
        <v/>
      </c>
      <c r="E222" s="103">
        <f>IF($B222="","",IFERROR(BDP($B222&amp;" Action","CP037"),""))</f>
        <v/>
      </c>
      <c r="F222" s="104">
        <f>Database!T222</f>
        <v/>
      </c>
      <c r="G222" s="103">
        <f>IF($B222="","",IFERROR(BDP($B222&amp;" Action","GREENSHOE_FACILITY"),""))</f>
        <v/>
      </c>
      <c r="H222" s="103">
        <f>IF($B222="","",IFERROR(BDP($B222&amp;" Action","OFFERING_GREENSHOE_SHARES_EX"),""))</f>
        <v/>
      </c>
      <c r="I222" s="16">
        <f>Database!AG222</f>
        <v/>
      </c>
      <c r="J222" s="24">
        <f>IFERROR(BDP(Database!$A222&amp;" HK Equity","PE_RATIO"),"")</f>
        <v/>
      </c>
      <c r="K222" s="10">
        <f>IFERROR(BDP(Database!$A222&amp;" HK Equity","A/H_SHARE_CONVERSION"),"")</f>
        <v/>
      </c>
      <c r="L222" s="16">
        <f>IF(Database!BL222="","(none found)",Database!BL222)</f>
        <v/>
      </c>
      <c r="M222" s="18">
        <f>IFERROR(BDH(Database!$A222&amp;" HK Equity","CUR_MKT_CAP",Database!$H222,Database!$H222),"")</f>
        <v/>
      </c>
      <c r="N222" s="97">
        <f>Database!Q222</f>
        <v/>
      </c>
      <c r="O222" s="24">
        <f>IFERROR(BDH(Database!$A222&amp;" HK Equity","PE_RATIO",Database!$H222,Database!$H222),"")</f>
        <v/>
      </c>
      <c r="P222" s="101">
        <f>IF(Database!BF222="","(n/m or not derivable)",Database!BF222)</f>
        <v/>
      </c>
      <c r="Q222" s="24">
        <f>IF(Database!BL222="","",IFERROR(BDH(LEFT(Database!BL222,FIND(".",Database!BL222)-1)&amp;" CH Equity","PE_RATIO",Database!$H222,Database!$H222),""))</f>
        <v/>
      </c>
      <c r="R222" s="24">
        <f>IF(Database!BL222="","",IFERROR(BDH("HSAHP Index","PX_LAST",Database!$H222,Database!$H222),""))</f>
        <v/>
      </c>
      <c r="S222" s="24">
        <f>IFERROR(BDP(Database!$A222&amp;" HK Equity","PX_TO_SALES_RATIO"),"")</f>
        <v/>
      </c>
      <c r="T222" s="18">
        <f>IF(Database!BL222="","",IFERROR(BDP(LEFT(Database!BL222,FIND(".",Database!BL222)-1)&amp;" CH Equity","CUR_MKT_CAP"),""))</f>
        <v/>
      </c>
    </row>
    <row r="223">
      <c r="A223" s="16">
        <f>Database!A223&amp;"  "&amp;Database!B223</f>
        <v/>
      </c>
      <c r="B223" s="10">
        <f>IFERROR(INDEX(BDS(Database!$A223&amp;" HK Equity","EQUITY_OFFERINGS","array=t","endcol=1"),MATCH("IPO",BDS(Database!$A223&amp;" HK Equity","EQUITY_OFFERINGS","array=t","startcol=2","endcol=2"),0)),"")</f>
        <v/>
      </c>
      <c r="C223" s="103">
        <f>IF($B223="","",IFERROR(BDP($B223&amp;" Action","CP036"),""))</f>
        <v/>
      </c>
      <c r="D223" s="104">
        <f>Database!S223</f>
        <v/>
      </c>
      <c r="E223" s="103">
        <f>IF($B223="","",IFERROR(BDP($B223&amp;" Action","CP037"),""))</f>
        <v/>
      </c>
      <c r="F223" s="104">
        <f>Database!T223</f>
        <v/>
      </c>
      <c r="G223" s="103">
        <f>IF($B223="","",IFERROR(BDP($B223&amp;" Action","GREENSHOE_FACILITY"),""))</f>
        <v/>
      </c>
      <c r="H223" s="103">
        <f>IF($B223="","",IFERROR(BDP($B223&amp;" Action","OFFERING_GREENSHOE_SHARES_EX"),""))</f>
        <v/>
      </c>
      <c r="I223" s="16">
        <f>Database!AG223</f>
        <v/>
      </c>
      <c r="J223" s="24">
        <f>IFERROR(BDP(Database!$A223&amp;" HK Equity","PE_RATIO"),"")</f>
        <v/>
      </c>
      <c r="K223" s="10">
        <f>IFERROR(BDP(Database!$A223&amp;" HK Equity","A/H_SHARE_CONVERSION"),"")</f>
        <v/>
      </c>
      <c r="L223" s="16">
        <f>IF(Database!BL223="","(none found)",Database!BL223)</f>
        <v/>
      </c>
      <c r="M223" s="18">
        <f>IFERROR(BDH(Database!$A223&amp;" HK Equity","CUR_MKT_CAP",Database!$H223,Database!$H223),"")</f>
        <v/>
      </c>
      <c r="N223" s="97">
        <f>Database!Q223</f>
        <v/>
      </c>
      <c r="O223" s="24">
        <f>IFERROR(BDH(Database!$A223&amp;" HK Equity","PE_RATIO",Database!$H223,Database!$H223),"")</f>
        <v/>
      </c>
      <c r="P223" s="101">
        <f>IF(Database!BF223="","(n/m or not derivable)",Database!BF223)</f>
        <v/>
      </c>
      <c r="Q223" s="24">
        <f>IF(Database!BL223="","",IFERROR(BDH(LEFT(Database!BL223,FIND(".",Database!BL223)-1)&amp;" CH Equity","PE_RATIO",Database!$H223,Database!$H223),""))</f>
        <v/>
      </c>
      <c r="R223" s="24">
        <f>IF(Database!BL223="","",IFERROR(BDH("HSAHP Index","PX_LAST",Database!$H223,Database!$H223),""))</f>
        <v/>
      </c>
      <c r="S223" s="24">
        <f>IFERROR(BDP(Database!$A223&amp;" HK Equity","PX_TO_SALES_RATIO"),"")</f>
        <v/>
      </c>
      <c r="T223" s="18">
        <f>IF(Database!BL223="","",IFERROR(BDP(LEFT(Database!BL223,FIND(".",Database!BL223)-1)&amp;" CH Equity","CUR_MKT_CAP"),""))</f>
        <v/>
      </c>
    </row>
    <row r="224">
      <c r="A224" s="16">
        <f>Database!A224&amp;"  "&amp;Database!B224</f>
        <v/>
      </c>
      <c r="B224" s="10">
        <f>IFERROR(INDEX(BDS(Database!$A224&amp;" HK Equity","EQUITY_OFFERINGS","array=t","endcol=1"),MATCH("IPO",BDS(Database!$A224&amp;" HK Equity","EQUITY_OFFERINGS","array=t","startcol=2","endcol=2"),0)),"")</f>
        <v/>
      </c>
      <c r="C224" s="103">
        <f>IF($B224="","",IFERROR(BDP($B224&amp;" Action","CP036"),""))</f>
        <v/>
      </c>
      <c r="D224" s="104">
        <f>Database!S224</f>
        <v/>
      </c>
      <c r="E224" s="103">
        <f>IF($B224="","",IFERROR(BDP($B224&amp;" Action","CP037"),""))</f>
        <v/>
      </c>
      <c r="F224" s="104">
        <f>Database!T224</f>
        <v/>
      </c>
      <c r="G224" s="103">
        <f>IF($B224="","",IFERROR(BDP($B224&amp;" Action","GREENSHOE_FACILITY"),""))</f>
        <v/>
      </c>
      <c r="H224" s="103">
        <f>IF($B224="","",IFERROR(BDP($B224&amp;" Action","OFFERING_GREENSHOE_SHARES_EX"),""))</f>
        <v/>
      </c>
      <c r="I224" s="16">
        <f>Database!AG224</f>
        <v/>
      </c>
      <c r="J224" s="24">
        <f>IFERROR(BDP(Database!$A224&amp;" HK Equity","PE_RATIO"),"")</f>
        <v/>
      </c>
      <c r="K224" s="10">
        <f>IFERROR(BDP(Database!$A224&amp;" HK Equity","A/H_SHARE_CONVERSION"),"")</f>
        <v/>
      </c>
      <c r="L224" s="16">
        <f>IF(Database!BL224="","(none found)",Database!BL224)</f>
        <v/>
      </c>
      <c r="M224" s="18">
        <f>IFERROR(BDH(Database!$A224&amp;" HK Equity","CUR_MKT_CAP",Database!$H224,Database!$H224),"")</f>
        <v/>
      </c>
      <c r="N224" s="97">
        <f>Database!Q224</f>
        <v/>
      </c>
      <c r="O224" s="24">
        <f>IFERROR(BDH(Database!$A224&amp;" HK Equity","PE_RATIO",Database!$H224,Database!$H224),"")</f>
        <v/>
      </c>
      <c r="P224" s="101">
        <f>IF(Database!BF224="","(n/m or not derivable)",Database!BF224)</f>
        <v/>
      </c>
      <c r="Q224" s="24">
        <f>IF(Database!BL224="","",IFERROR(BDH(LEFT(Database!BL224,FIND(".",Database!BL224)-1)&amp;" CH Equity","PE_RATIO",Database!$H224,Database!$H224),""))</f>
        <v/>
      </c>
      <c r="R224" s="24">
        <f>IF(Database!BL224="","",IFERROR(BDH("HSAHP Index","PX_LAST",Database!$H224,Database!$H224),""))</f>
        <v/>
      </c>
      <c r="S224" s="24">
        <f>IFERROR(BDP(Database!$A224&amp;" HK Equity","PX_TO_SALES_RATIO"),"")</f>
        <v/>
      </c>
      <c r="T224" s="18">
        <f>IF(Database!BL224="","",IFERROR(BDP(LEFT(Database!BL224,FIND(".",Database!BL224)-1)&amp;" CH Equity","CUR_MKT_CAP"),""))</f>
        <v/>
      </c>
    </row>
    <row r="225">
      <c r="A225" s="16">
        <f>Database!A225&amp;"  "&amp;Database!B225</f>
        <v/>
      </c>
      <c r="B225" s="10">
        <f>IFERROR(INDEX(BDS(Database!$A225&amp;" HK Equity","EQUITY_OFFERINGS","array=t","endcol=1"),MATCH("IPO",BDS(Database!$A225&amp;" HK Equity","EQUITY_OFFERINGS","array=t","startcol=2","endcol=2"),0)),"")</f>
        <v/>
      </c>
      <c r="C225" s="103">
        <f>IF($B225="","",IFERROR(BDP($B225&amp;" Action","CP036"),""))</f>
        <v/>
      </c>
      <c r="D225" s="104">
        <f>Database!S225</f>
        <v/>
      </c>
      <c r="E225" s="103">
        <f>IF($B225="","",IFERROR(BDP($B225&amp;" Action","CP037"),""))</f>
        <v/>
      </c>
      <c r="F225" s="104">
        <f>Database!T225</f>
        <v/>
      </c>
      <c r="G225" s="103">
        <f>IF($B225="","",IFERROR(BDP($B225&amp;" Action","GREENSHOE_FACILITY"),""))</f>
        <v/>
      </c>
      <c r="H225" s="103">
        <f>IF($B225="","",IFERROR(BDP($B225&amp;" Action","OFFERING_GREENSHOE_SHARES_EX"),""))</f>
        <v/>
      </c>
      <c r="I225" s="16">
        <f>Database!AG225</f>
        <v/>
      </c>
      <c r="J225" s="24">
        <f>IFERROR(BDP(Database!$A225&amp;" HK Equity","PE_RATIO"),"")</f>
        <v/>
      </c>
      <c r="K225" s="10">
        <f>IFERROR(BDP(Database!$A225&amp;" HK Equity","A/H_SHARE_CONVERSION"),"")</f>
        <v/>
      </c>
      <c r="L225" s="16">
        <f>IF(Database!BL225="","(none found)",Database!BL225)</f>
        <v/>
      </c>
      <c r="M225" s="18">
        <f>IFERROR(BDH(Database!$A225&amp;" HK Equity","CUR_MKT_CAP",Database!$H225,Database!$H225),"")</f>
        <v/>
      </c>
      <c r="N225" s="97">
        <f>Database!Q225</f>
        <v/>
      </c>
      <c r="O225" s="24">
        <f>IFERROR(BDH(Database!$A225&amp;" HK Equity","PE_RATIO",Database!$H225,Database!$H225),"")</f>
        <v/>
      </c>
      <c r="P225" s="101">
        <f>IF(Database!BF225="","(n/m or not derivable)",Database!BF225)</f>
        <v/>
      </c>
      <c r="Q225" s="24">
        <f>IF(Database!BL225="","",IFERROR(BDH(LEFT(Database!BL225,FIND(".",Database!BL225)-1)&amp;" CH Equity","PE_RATIO",Database!$H225,Database!$H225),""))</f>
        <v/>
      </c>
      <c r="R225" s="24">
        <f>IF(Database!BL225="","",IFERROR(BDH("HSAHP Index","PX_LAST",Database!$H225,Database!$H225),""))</f>
        <v/>
      </c>
      <c r="S225" s="24">
        <f>IFERROR(BDP(Database!$A225&amp;" HK Equity","PX_TO_SALES_RATIO"),"")</f>
        <v/>
      </c>
      <c r="T225" s="18">
        <f>IF(Database!BL225="","",IFERROR(BDP(LEFT(Database!BL225,FIND(".",Database!BL225)-1)&amp;" CH Equity","CUR_MKT_CAP"),""))</f>
        <v/>
      </c>
    </row>
    <row r="226">
      <c r="A226" s="16">
        <f>Database!A226&amp;"  "&amp;Database!B226</f>
        <v/>
      </c>
      <c r="B226" s="10">
        <f>IFERROR(INDEX(BDS(Database!$A226&amp;" HK Equity","EQUITY_OFFERINGS","array=t","endcol=1"),MATCH("IPO",BDS(Database!$A226&amp;" HK Equity","EQUITY_OFFERINGS","array=t","startcol=2","endcol=2"),0)),"")</f>
        <v/>
      </c>
      <c r="C226" s="103">
        <f>IF($B226="","",IFERROR(BDP($B226&amp;" Action","CP036"),""))</f>
        <v/>
      </c>
      <c r="D226" s="104">
        <f>Database!S226</f>
        <v/>
      </c>
      <c r="E226" s="103">
        <f>IF($B226="","",IFERROR(BDP($B226&amp;" Action","CP037"),""))</f>
        <v/>
      </c>
      <c r="F226" s="104">
        <f>Database!T226</f>
        <v/>
      </c>
      <c r="G226" s="103">
        <f>IF($B226="","",IFERROR(BDP($B226&amp;" Action","GREENSHOE_FACILITY"),""))</f>
        <v/>
      </c>
      <c r="H226" s="103">
        <f>IF($B226="","",IFERROR(BDP($B226&amp;" Action","OFFERING_GREENSHOE_SHARES_EX"),""))</f>
        <v/>
      </c>
      <c r="I226" s="16">
        <f>Database!AG226</f>
        <v/>
      </c>
      <c r="J226" s="24">
        <f>IFERROR(BDP(Database!$A226&amp;" HK Equity","PE_RATIO"),"")</f>
        <v/>
      </c>
      <c r="K226" s="10">
        <f>IFERROR(BDP(Database!$A226&amp;" HK Equity","A/H_SHARE_CONVERSION"),"")</f>
        <v/>
      </c>
      <c r="L226" s="16">
        <f>IF(Database!BL226="","(none found)",Database!BL226)</f>
        <v/>
      </c>
      <c r="M226" s="18">
        <f>IFERROR(BDH(Database!$A226&amp;" HK Equity","CUR_MKT_CAP",Database!$H226,Database!$H226),"")</f>
        <v/>
      </c>
      <c r="N226" s="97">
        <f>Database!Q226</f>
        <v/>
      </c>
      <c r="O226" s="24">
        <f>IFERROR(BDH(Database!$A226&amp;" HK Equity","PE_RATIO",Database!$H226,Database!$H226),"")</f>
        <v/>
      </c>
      <c r="P226" s="101">
        <f>IF(Database!BF226="","(n/m or not derivable)",Database!BF226)</f>
        <v/>
      </c>
      <c r="Q226" s="24">
        <f>IF(Database!BL226="","",IFERROR(BDH(LEFT(Database!BL226,FIND(".",Database!BL226)-1)&amp;" CH Equity","PE_RATIO",Database!$H226,Database!$H226),""))</f>
        <v/>
      </c>
      <c r="R226" s="24">
        <f>IF(Database!BL226="","",IFERROR(BDH("HSAHP Index","PX_LAST",Database!$H226,Database!$H226),""))</f>
        <v/>
      </c>
      <c r="S226" s="24">
        <f>IFERROR(BDP(Database!$A226&amp;" HK Equity","PX_TO_SALES_RATIO"),"")</f>
        <v/>
      </c>
      <c r="T226" s="18">
        <f>IF(Database!BL226="","",IFERROR(BDP(LEFT(Database!BL226,FIND(".",Database!BL226)-1)&amp;" CH Equity","CUR_MKT_CAP"),""))</f>
        <v/>
      </c>
    </row>
    <row r="227">
      <c r="A227" s="16">
        <f>Database!A227&amp;"  "&amp;Database!B227</f>
        <v/>
      </c>
      <c r="B227" s="10">
        <f>IFERROR(INDEX(BDS(Database!$A227&amp;" HK Equity","EQUITY_OFFERINGS","array=t","endcol=1"),MATCH("IPO",BDS(Database!$A227&amp;" HK Equity","EQUITY_OFFERINGS","array=t","startcol=2","endcol=2"),0)),"")</f>
        <v/>
      </c>
      <c r="C227" s="103">
        <f>IF($B227="","",IFERROR(BDP($B227&amp;" Action","CP036"),""))</f>
        <v/>
      </c>
      <c r="D227" s="104">
        <f>Database!S227</f>
        <v/>
      </c>
      <c r="E227" s="103">
        <f>IF($B227="","",IFERROR(BDP($B227&amp;" Action","CP037"),""))</f>
        <v/>
      </c>
      <c r="F227" s="104">
        <f>Database!T227</f>
        <v/>
      </c>
      <c r="G227" s="103">
        <f>IF($B227="","",IFERROR(BDP($B227&amp;" Action","GREENSHOE_FACILITY"),""))</f>
        <v/>
      </c>
      <c r="H227" s="103">
        <f>IF($B227="","",IFERROR(BDP($B227&amp;" Action","OFFERING_GREENSHOE_SHARES_EX"),""))</f>
        <v/>
      </c>
      <c r="I227" s="16">
        <f>Database!AG227</f>
        <v/>
      </c>
      <c r="J227" s="24">
        <f>IFERROR(BDP(Database!$A227&amp;" HK Equity","PE_RATIO"),"")</f>
        <v/>
      </c>
      <c r="K227" s="10">
        <f>IFERROR(BDP(Database!$A227&amp;" HK Equity","A/H_SHARE_CONVERSION"),"")</f>
        <v/>
      </c>
      <c r="L227" s="16">
        <f>IF(Database!BL227="","(none found)",Database!BL227)</f>
        <v/>
      </c>
      <c r="M227" s="18">
        <f>IFERROR(BDH(Database!$A227&amp;" HK Equity","CUR_MKT_CAP",Database!$H227,Database!$H227),"")</f>
        <v/>
      </c>
      <c r="N227" s="97">
        <f>Database!Q227</f>
        <v/>
      </c>
      <c r="O227" s="24">
        <f>IFERROR(BDH(Database!$A227&amp;" HK Equity","PE_RATIO",Database!$H227,Database!$H227),"")</f>
        <v/>
      </c>
      <c r="P227" s="101">
        <f>IF(Database!BF227="","(n/m or not derivable)",Database!BF227)</f>
        <v/>
      </c>
      <c r="Q227" s="24">
        <f>IF(Database!BL227="","",IFERROR(BDH(LEFT(Database!BL227,FIND(".",Database!BL227)-1)&amp;" CH Equity","PE_RATIO",Database!$H227,Database!$H227),""))</f>
        <v/>
      </c>
      <c r="R227" s="24">
        <f>IF(Database!BL227="","",IFERROR(BDH("HSAHP Index","PX_LAST",Database!$H227,Database!$H227),""))</f>
        <v/>
      </c>
      <c r="S227" s="24">
        <f>IFERROR(BDP(Database!$A227&amp;" HK Equity","PX_TO_SALES_RATIO"),"")</f>
        <v/>
      </c>
      <c r="T227" s="18">
        <f>IF(Database!BL227="","",IFERROR(BDP(LEFT(Database!BL227,FIND(".",Database!BL227)-1)&amp;" CH Equity","CUR_MKT_CAP"),""))</f>
        <v/>
      </c>
    </row>
    <row r="228">
      <c r="A228" s="16">
        <f>Database!A228&amp;"  "&amp;Database!B228</f>
        <v/>
      </c>
      <c r="B228" s="10">
        <f>IFERROR(INDEX(BDS(Database!$A228&amp;" HK Equity","EQUITY_OFFERINGS","array=t","endcol=1"),MATCH("IPO",BDS(Database!$A228&amp;" HK Equity","EQUITY_OFFERINGS","array=t","startcol=2","endcol=2"),0)),"")</f>
        <v/>
      </c>
      <c r="C228" s="103">
        <f>IF($B228="","",IFERROR(BDP($B228&amp;" Action","CP036"),""))</f>
        <v/>
      </c>
      <c r="D228" s="104">
        <f>Database!S228</f>
        <v/>
      </c>
      <c r="E228" s="103">
        <f>IF($B228="","",IFERROR(BDP($B228&amp;" Action","CP037"),""))</f>
        <v/>
      </c>
      <c r="F228" s="104">
        <f>Database!T228</f>
        <v/>
      </c>
      <c r="G228" s="103">
        <f>IF($B228="","",IFERROR(BDP($B228&amp;" Action","GREENSHOE_FACILITY"),""))</f>
        <v/>
      </c>
      <c r="H228" s="103">
        <f>IF($B228="","",IFERROR(BDP($B228&amp;" Action","OFFERING_GREENSHOE_SHARES_EX"),""))</f>
        <v/>
      </c>
      <c r="I228" s="16">
        <f>Database!AG228</f>
        <v/>
      </c>
      <c r="J228" s="24">
        <f>IFERROR(BDP(Database!$A228&amp;" HK Equity","PE_RATIO"),"")</f>
        <v/>
      </c>
      <c r="K228" s="10">
        <f>IFERROR(BDP(Database!$A228&amp;" HK Equity","A/H_SHARE_CONVERSION"),"")</f>
        <v/>
      </c>
      <c r="L228" s="16">
        <f>IF(Database!BL228="","(none found)",Database!BL228)</f>
        <v/>
      </c>
      <c r="M228" s="18">
        <f>IFERROR(BDH(Database!$A228&amp;" HK Equity","CUR_MKT_CAP",Database!$H228,Database!$H228),"")</f>
        <v/>
      </c>
      <c r="N228" s="97">
        <f>Database!Q228</f>
        <v/>
      </c>
      <c r="O228" s="24">
        <f>IFERROR(BDH(Database!$A228&amp;" HK Equity","PE_RATIO",Database!$H228,Database!$H228),"")</f>
        <v/>
      </c>
      <c r="P228" s="101">
        <f>IF(Database!BF228="","(n/m or not derivable)",Database!BF228)</f>
        <v/>
      </c>
      <c r="Q228" s="24">
        <f>IF(Database!BL228="","",IFERROR(BDH(LEFT(Database!BL228,FIND(".",Database!BL228)-1)&amp;" CH Equity","PE_RATIO",Database!$H228,Database!$H228),""))</f>
        <v/>
      </c>
      <c r="R228" s="24">
        <f>IF(Database!BL228="","",IFERROR(BDH("HSAHP Index","PX_LAST",Database!$H228,Database!$H228),""))</f>
        <v/>
      </c>
      <c r="S228" s="24">
        <f>IFERROR(BDP(Database!$A228&amp;" HK Equity","PX_TO_SALES_RATIO"),"")</f>
        <v/>
      </c>
      <c r="T228" s="18">
        <f>IF(Database!BL228="","",IFERROR(BDP(LEFT(Database!BL228,FIND(".",Database!BL228)-1)&amp;" CH Equity","CUR_MKT_CAP"),""))</f>
        <v/>
      </c>
    </row>
    <row r="229">
      <c r="A229" s="16">
        <f>Database!A229&amp;"  "&amp;Database!B229</f>
        <v/>
      </c>
      <c r="B229" s="10">
        <f>IFERROR(INDEX(BDS(Database!$A229&amp;" HK Equity","EQUITY_OFFERINGS","array=t","endcol=1"),MATCH("IPO",BDS(Database!$A229&amp;" HK Equity","EQUITY_OFFERINGS","array=t","startcol=2","endcol=2"),0)),"")</f>
        <v/>
      </c>
      <c r="C229" s="103">
        <f>IF($B229="","",IFERROR(BDP($B229&amp;" Action","CP036"),""))</f>
        <v/>
      </c>
      <c r="D229" s="104">
        <f>Database!S229</f>
        <v/>
      </c>
      <c r="E229" s="103">
        <f>IF($B229="","",IFERROR(BDP($B229&amp;" Action","CP037"),""))</f>
        <v/>
      </c>
      <c r="F229" s="104">
        <f>Database!T229</f>
        <v/>
      </c>
      <c r="G229" s="103">
        <f>IF($B229="","",IFERROR(BDP($B229&amp;" Action","GREENSHOE_FACILITY"),""))</f>
        <v/>
      </c>
      <c r="H229" s="103">
        <f>IF($B229="","",IFERROR(BDP($B229&amp;" Action","OFFERING_GREENSHOE_SHARES_EX"),""))</f>
        <v/>
      </c>
      <c r="I229" s="16">
        <f>Database!AG229</f>
        <v/>
      </c>
      <c r="J229" s="24">
        <f>IFERROR(BDP(Database!$A229&amp;" HK Equity","PE_RATIO"),"")</f>
        <v/>
      </c>
      <c r="K229" s="10">
        <f>IFERROR(BDP(Database!$A229&amp;" HK Equity","A/H_SHARE_CONVERSION"),"")</f>
        <v/>
      </c>
      <c r="L229" s="16">
        <f>IF(Database!BL229="","(none found)",Database!BL229)</f>
        <v/>
      </c>
      <c r="M229" s="18">
        <f>IFERROR(BDH(Database!$A229&amp;" HK Equity","CUR_MKT_CAP",Database!$H229,Database!$H229),"")</f>
        <v/>
      </c>
      <c r="N229" s="97">
        <f>Database!Q229</f>
        <v/>
      </c>
      <c r="O229" s="24">
        <f>IFERROR(BDH(Database!$A229&amp;" HK Equity","PE_RATIO",Database!$H229,Database!$H229),"")</f>
        <v/>
      </c>
      <c r="P229" s="101">
        <f>IF(Database!BF229="","(n/m or not derivable)",Database!BF229)</f>
        <v/>
      </c>
      <c r="Q229" s="24">
        <f>IF(Database!BL229="","",IFERROR(BDH(LEFT(Database!BL229,FIND(".",Database!BL229)-1)&amp;" CH Equity","PE_RATIO",Database!$H229,Database!$H229),""))</f>
        <v/>
      </c>
      <c r="R229" s="24">
        <f>IF(Database!BL229="","",IFERROR(BDH("HSAHP Index","PX_LAST",Database!$H229,Database!$H229),""))</f>
        <v/>
      </c>
      <c r="S229" s="24">
        <f>IFERROR(BDP(Database!$A229&amp;" HK Equity","PX_TO_SALES_RATIO"),"")</f>
        <v/>
      </c>
      <c r="T229" s="18">
        <f>IF(Database!BL229="","",IFERROR(BDP(LEFT(Database!BL229,FIND(".",Database!BL229)-1)&amp;" CH Equity","CUR_MKT_CAP"),""))</f>
        <v/>
      </c>
    </row>
    <row r="230">
      <c r="A230" s="16">
        <f>Database!A230&amp;"  "&amp;Database!B230</f>
        <v/>
      </c>
      <c r="B230" s="10">
        <f>IFERROR(INDEX(BDS(Database!$A230&amp;" HK Equity","EQUITY_OFFERINGS","array=t","endcol=1"),MATCH("IPO",BDS(Database!$A230&amp;" HK Equity","EQUITY_OFFERINGS","array=t","startcol=2","endcol=2"),0)),"")</f>
        <v/>
      </c>
      <c r="C230" s="103">
        <f>IF($B230="","",IFERROR(BDP($B230&amp;" Action","CP036"),""))</f>
        <v/>
      </c>
      <c r="D230" s="104">
        <f>Database!S230</f>
        <v/>
      </c>
      <c r="E230" s="103">
        <f>IF($B230="","",IFERROR(BDP($B230&amp;" Action","CP037"),""))</f>
        <v/>
      </c>
      <c r="F230" s="104">
        <f>Database!T230</f>
        <v/>
      </c>
      <c r="G230" s="103">
        <f>IF($B230="","",IFERROR(BDP($B230&amp;" Action","GREENSHOE_FACILITY"),""))</f>
        <v/>
      </c>
      <c r="H230" s="103">
        <f>IF($B230="","",IFERROR(BDP($B230&amp;" Action","OFFERING_GREENSHOE_SHARES_EX"),""))</f>
        <v/>
      </c>
      <c r="I230" s="16">
        <f>Database!AG230</f>
        <v/>
      </c>
      <c r="J230" s="24">
        <f>IFERROR(BDP(Database!$A230&amp;" HK Equity","PE_RATIO"),"")</f>
        <v/>
      </c>
      <c r="K230" s="10">
        <f>IFERROR(BDP(Database!$A230&amp;" HK Equity","A/H_SHARE_CONVERSION"),"")</f>
        <v/>
      </c>
      <c r="L230" s="16">
        <f>IF(Database!BL230="","(none found)",Database!BL230)</f>
        <v/>
      </c>
      <c r="M230" s="18">
        <f>IFERROR(BDH(Database!$A230&amp;" HK Equity","CUR_MKT_CAP",Database!$H230,Database!$H230),"")</f>
        <v/>
      </c>
      <c r="N230" s="97">
        <f>Database!Q230</f>
        <v/>
      </c>
      <c r="O230" s="24">
        <f>IFERROR(BDH(Database!$A230&amp;" HK Equity","PE_RATIO",Database!$H230,Database!$H230),"")</f>
        <v/>
      </c>
      <c r="P230" s="101">
        <f>IF(Database!BF230="","(n/m or not derivable)",Database!BF230)</f>
        <v/>
      </c>
      <c r="Q230" s="24">
        <f>IF(Database!BL230="","",IFERROR(BDH(LEFT(Database!BL230,FIND(".",Database!BL230)-1)&amp;" CH Equity","PE_RATIO",Database!$H230,Database!$H230),""))</f>
        <v/>
      </c>
      <c r="R230" s="24">
        <f>IF(Database!BL230="","",IFERROR(BDH("HSAHP Index","PX_LAST",Database!$H230,Database!$H230),""))</f>
        <v/>
      </c>
      <c r="S230" s="24">
        <f>IFERROR(BDP(Database!$A230&amp;" HK Equity","PX_TO_SALES_RATIO"),"")</f>
        <v/>
      </c>
      <c r="T230" s="18">
        <f>IF(Database!BL230="","",IFERROR(BDP(LEFT(Database!BL230,FIND(".",Database!BL230)-1)&amp;" CH Equity","CUR_MKT_CAP"),""))</f>
        <v/>
      </c>
    </row>
    <row r="231">
      <c r="A231" s="16">
        <f>Database!A231&amp;"  "&amp;Database!B231</f>
        <v/>
      </c>
      <c r="B231" s="10">
        <f>IFERROR(INDEX(BDS(Database!$A231&amp;" HK Equity","EQUITY_OFFERINGS","array=t","endcol=1"),MATCH("IPO",BDS(Database!$A231&amp;" HK Equity","EQUITY_OFFERINGS","array=t","startcol=2","endcol=2"),0)),"")</f>
        <v/>
      </c>
      <c r="C231" s="103">
        <f>IF($B231="","",IFERROR(BDP($B231&amp;" Action","CP036"),""))</f>
        <v/>
      </c>
      <c r="D231" s="104">
        <f>Database!S231</f>
        <v/>
      </c>
      <c r="E231" s="103">
        <f>IF($B231="","",IFERROR(BDP($B231&amp;" Action","CP037"),""))</f>
        <v/>
      </c>
      <c r="F231" s="104">
        <f>Database!T231</f>
        <v/>
      </c>
      <c r="G231" s="103">
        <f>IF($B231="","",IFERROR(BDP($B231&amp;" Action","GREENSHOE_FACILITY"),""))</f>
        <v/>
      </c>
      <c r="H231" s="103">
        <f>IF($B231="","",IFERROR(BDP($B231&amp;" Action","OFFERING_GREENSHOE_SHARES_EX"),""))</f>
        <v/>
      </c>
      <c r="I231" s="16">
        <f>Database!AG231</f>
        <v/>
      </c>
      <c r="J231" s="24">
        <f>IFERROR(BDP(Database!$A231&amp;" HK Equity","PE_RATIO"),"")</f>
        <v/>
      </c>
      <c r="K231" s="10">
        <f>IFERROR(BDP(Database!$A231&amp;" HK Equity","A/H_SHARE_CONVERSION"),"")</f>
        <v/>
      </c>
      <c r="L231" s="16">
        <f>IF(Database!BL231="","(none found)",Database!BL231)</f>
        <v/>
      </c>
      <c r="M231" s="18">
        <f>IFERROR(BDH(Database!$A231&amp;" HK Equity","CUR_MKT_CAP",Database!$H231,Database!$H231),"")</f>
        <v/>
      </c>
      <c r="N231" s="97">
        <f>Database!Q231</f>
        <v/>
      </c>
      <c r="O231" s="24">
        <f>IFERROR(BDH(Database!$A231&amp;" HK Equity","PE_RATIO",Database!$H231,Database!$H231),"")</f>
        <v/>
      </c>
      <c r="P231" s="101">
        <f>IF(Database!BF231="","(n/m or not derivable)",Database!BF231)</f>
        <v/>
      </c>
      <c r="Q231" s="24">
        <f>IF(Database!BL231="","",IFERROR(BDH(LEFT(Database!BL231,FIND(".",Database!BL231)-1)&amp;" CH Equity","PE_RATIO",Database!$H231,Database!$H231),""))</f>
        <v/>
      </c>
      <c r="R231" s="24">
        <f>IF(Database!BL231="","",IFERROR(BDH("HSAHP Index","PX_LAST",Database!$H231,Database!$H231),""))</f>
        <v/>
      </c>
      <c r="S231" s="24">
        <f>IFERROR(BDP(Database!$A231&amp;" HK Equity","PX_TO_SALES_RATIO"),"")</f>
        <v/>
      </c>
      <c r="T231" s="18">
        <f>IF(Database!BL231="","",IFERROR(BDP(LEFT(Database!BL231,FIND(".",Database!BL231)-1)&amp;" CH Equity","CUR_MKT_CAP"),""))</f>
        <v/>
      </c>
    </row>
    <row r="232">
      <c r="A232" s="16">
        <f>Database!A232&amp;"  "&amp;Database!B232</f>
        <v/>
      </c>
      <c r="B232" s="10">
        <f>IFERROR(INDEX(BDS(Database!$A232&amp;" HK Equity","EQUITY_OFFERINGS","array=t","endcol=1"),MATCH("IPO",BDS(Database!$A232&amp;" HK Equity","EQUITY_OFFERINGS","array=t","startcol=2","endcol=2"),0)),"")</f>
        <v/>
      </c>
      <c r="C232" s="103">
        <f>IF($B232="","",IFERROR(BDP($B232&amp;" Action","CP036"),""))</f>
        <v/>
      </c>
      <c r="D232" s="104">
        <f>Database!S232</f>
        <v/>
      </c>
      <c r="E232" s="103">
        <f>IF($B232="","",IFERROR(BDP($B232&amp;" Action","CP037"),""))</f>
        <v/>
      </c>
      <c r="F232" s="104">
        <f>Database!T232</f>
        <v/>
      </c>
      <c r="G232" s="103">
        <f>IF($B232="","",IFERROR(BDP($B232&amp;" Action","GREENSHOE_FACILITY"),""))</f>
        <v/>
      </c>
      <c r="H232" s="103">
        <f>IF($B232="","",IFERROR(BDP($B232&amp;" Action","OFFERING_GREENSHOE_SHARES_EX"),""))</f>
        <v/>
      </c>
      <c r="I232" s="16">
        <f>Database!AG232</f>
        <v/>
      </c>
      <c r="J232" s="24">
        <f>IFERROR(BDP(Database!$A232&amp;" HK Equity","PE_RATIO"),"")</f>
        <v/>
      </c>
      <c r="K232" s="10">
        <f>IFERROR(BDP(Database!$A232&amp;" HK Equity","A/H_SHARE_CONVERSION"),"")</f>
        <v/>
      </c>
      <c r="L232" s="16">
        <f>IF(Database!BL232="","(none found)",Database!BL232)</f>
        <v/>
      </c>
      <c r="M232" s="18">
        <f>IFERROR(BDH(Database!$A232&amp;" HK Equity","CUR_MKT_CAP",Database!$H232,Database!$H232),"")</f>
        <v/>
      </c>
      <c r="N232" s="97">
        <f>Database!Q232</f>
        <v/>
      </c>
      <c r="O232" s="24">
        <f>IFERROR(BDH(Database!$A232&amp;" HK Equity","PE_RATIO",Database!$H232,Database!$H232),"")</f>
        <v/>
      </c>
      <c r="P232" s="101">
        <f>IF(Database!BF232="","(n/m or not derivable)",Database!BF232)</f>
        <v/>
      </c>
      <c r="Q232" s="24">
        <f>IF(Database!BL232="","",IFERROR(BDH(LEFT(Database!BL232,FIND(".",Database!BL232)-1)&amp;" CH Equity","PE_RATIO",Database!$H232,Database!$H232),""))</f>
        <v/>
      </c>
      <c r="R232" s="24">
        <f>IF(Database!BL232="","",IFERROR(BDH("HSAHP Index","PX_LAST",Database!$H232,Database!$H232),""))</f>
        <v/>
      </c>
      <c r="S232" s="24">
        <f>IFERROR(BDP(Database!$A232&amp;" HK Equity","PX_TO_SALES_RATIO"),"")</f>
        <v/>
      </c>
      <c r="T232" s="18">
        <f>IF(Database!BL232="","",IFERROR(BDP(LEFT(Database!BL232,FIND(".",Database!BL232)-1)&amp;" CH Equity","CUR_MKT_CAP"),""))</f>
        <v/>
      </c>
    </row>
    <row r="233">
      <c r="A233" s="16">
        <f>Database!A233&amp;"  "&amp;Database!B233</f>
        <v/>
      </c>
      <c r="B233" s="10">
        <f>IFERROR(INDEX(BDS(Database!$A233&amp;" HK Equity","EQUITY_OFFERINGS","array=t","endcol=1"),MATCH("IPO",BDS(Database!$A233&amp;" HK Equity","EQUITY_OFFERINGS","array=t","startcol=2","endcol=2"),0)),"")</f>
        <v/>
      </c>
      <c r="C233" s="103">
        <f>IF($B233="","",IFERROR(BDP($B233&amp;" Action","CP036"),""))</f>
        <v/>
      </c>
      <c r="D233" s="104">
        <f>Database!S233</f>
        <v/>
      </c>
      <c r="E233" s="103">
        <f>IF($B233="","",IFERROR(BDP($B233&amp;" Action","CP037"),""))</f>
        <v/>
      </c>
      <c r="F233" s="104">
        <f>Database!T233</f>
        <v/>
      </c>
      <c r="G233" s="103">
        <f>IF($B233="","",IFERROR(BDP($B233&amp;" Action","GREENSHOE_FACILITY"),""))</f>
        <v/>
      </c>
      <c r="H233" s="103">
        <f>IF($B233="","",IFERROR(BDP($B233&amp;" Action","OFFERING_GREENSHOE_SHARES_EX"),""))</f>
        <v/>
      </c>
      <c r="I233" s="16">
        <f>Database!AG233</f>
        <v/>
      </c>
      <c r="J233" s="24">
        <f>IFERROR(BDP(Database!$A233&amp;" HK Equity","PE_RATIO"),"")</f>
        <v/>
      </c>
      <c r="K233" s="10">
        <f>IFERROR(BDP(Database!$A233&amp;" HK Equity","A/H_SHARE_CONVERSION"),"")</f>
        <v/>
      </c>
      <c r="L233" s="16">
        <f>IF(Database!BL233="","(none found)",Database!BL233)</f>
        <v/>
      </c>
      <c r="M233" s="18">
        <f>IFERROR(BDH(Database!$A233&amp;" HK Equity","CUR_MKT_CAP",Database!$H233,Database!$H233),"")</f>
        <v/>
      </c>
      <c r="N233" s="97">
        <f>Database!Q233</f>
        <v/>
      </c>
      <c r="O233" s="24">
        <f>IFERROR(BDH(Database!$A233&amp;" HK Equity","PE_RATIO",Database!$H233,Database!$H233),"")</f>
        <v/>
      </c>
      <c r="P233" s="101">
        <f>IF(Database!BF233="","(n/m or not derivable)",Database!BF233)</f>
        <v/>
      </c>
      <c r="Q233" s="24">
        <f>IF(Database!BL233="","",IFERROR(BDH(LEFT(Database!BL233,FIND(".",Database!BL233)-1)&amp;" CH Equity","PE_RATIO",Database!$H233,Database!$H233),""))</f>
        <v/>
      </c>
      <c r="R233" s="24">
        <f>IF(Database!BL233="","",IFERROR(BDH("HSAHP Index","PX_LAST",Database!$H233,Database!$H233),""))</f>
        <v/>
      </c>
      <c r="S233" s="24">
        <f>IFERROR(BDP(Database!$A233&amp;" HK Equity","PX_TO_SALES_RATIO"),"")</f>
        <v/>
      </c>
      <c r="T233" s="18">
        <f>IF(Database!BL233="","",IFERROR(BDP(LEFT(Database!BL233,FIND(".",Database!BL233)-1)&amp;" CH Equity","CUR_MKT_CAP"),""))</f>
        <v/>
      </c>
    </row>
    <row r="234">
      <c r="A234" s="16">
        <f>Database!A234&amp;"  "&amp;Database!B234</f>
        <v/>
      </c>
      <c r="B234" s="10">
        <f>IFERROR(INDEX(BDS(Database!$A234&amp;" HK Equity","EQUITY_OFFERINGS","array=t","endcol=1"),MATCH("IPO",BDS(Database!$A234&amp;" HK Equity","EQUITY_OFFERINGS","array=t","startcol=2","endcol=2"),0)),"")</f>
        <v/>
      </c>
      <c r="C234" s="103">
        <f>IF($B234="","",IFERROR(BDP($B234&amp;" Action","CP036"),""))</f>
        <v/>
      </c>
      <c r="D234" s="104">
        <f>Database!S234</f>
        <v/>
      </c>
      <c r="E234" s="103">
        <f>IF($B234="","",IFERROR(BDP($B234&amp;" Action","CP037"),""))</f>
        <v/>
      </c>
      <c r="F234" s="104">
        <f>Database!T234</f>
        <v/>
      </c>
      <c r="G234" s="103">
        <f>IF($B234="","",IFERROR(BDP($B234&amp;" Action","GREENSHOE_FACILITY"),""))</f>
        <v/>
      </c>
      <c r="H234" s="103">
        <f>IF($B234="","",IFERROR(BDP($B234&amp;" Action","OFFERING_GREENSHOE_SHARES_EX"),""))</f>
        <v/>
      </c>
      <c r="I234" s="16">
        <f>Database!AG234</f>
        <v/>
      </c>
      <c r="J234" s="24">
        <f>IFERROR(BDP(Database!$A234&amp;" HK Equity","PE_RATIO"),"")</f>
        <v/>
      </c>
      <c r="K234" s="10">
        <f>IFERROR(BDP(Database!$A234&amp;" HK Equity","A/H_SHARE_CONVERSION"),"")</f>
        <v/>
      </c>
      <c r="L234" s="16">
        <f>IF(Database!BL234="","(none found)",Database!BL234)</f>
        <v/>
      </c>
      <c r="M234" s="18">
        <f>IFERROR(BDH(Database!$A234&amp;" HK Equity","CUR_MKT_CAP",Database!$H234,Database!$H234),"")</f>
        <v/>
      </c>
      <c r="N234" s="97">
        <f>Database!Q234</f>
        <v/>
      </c>
      <c r="O234" s="24">
        <f>IFERROR(BDH(Database!$A234&amp;" HK Equity","PE_RATIO",Database!$H234,Database!$H234),"")</f>
        <v/>
      </c>
      <c r="P234" s="101">
        <f>IF(Database!BF234="","(n/m or not derivable)",Database!BF234)</f>
        <v/>
      </c>
      <c r="Q234" s="24">
        <f>IF(Database!BL234="","",IFERROR(BDH(LEFT(Database!BL234,FIND(".",Database!BL234)-1)&amp;" CH Equity","PE_RATIO",Database!$H234,Database!$H234),""))</f>
        <v/>
      </c>
      <c r="R234" s="24">
        <f>IF(Database!BL234="","",IFERROR(BDH("HSAHP Index","PX_LAST",Database!$H234,Database!$H234),""))</f>
        <v/>
      </c>
      <c r="S234" s="24">
        <f>IFERROR(BDP(Database!$A234&amp;" HK Equity","PX_TO_SALES_RATIO"),"")</f>
        <v/>
      </c>
      <c r="T234" s="18">
        <f>IF(Database!BL234="","",IFERROR(BDP(LEFT(Database!BL234,FIND(".",Database!BL234)-1)&amp;" CH Equity","CUR_MKT_CAP"),""))</f>
        <v/>
      </c>
    </row>
    <row r="235">
      <c r="A235" s="16">
        <f>Database!A235&amp;"  "&amp;Database!B235</f>
        <v/>
      </c>
      <c r="B235" s="10">
        <f>IFERROR(INDEX(BDS(Database!$A235&amp;" HK Equity","EQUITY_OFFERINGS","array=t","endcol=1"),MATCH("IPO",BDS(Database!$A235&amp;" HK Equity","EQUITY_OFFERINGS","array=t","startcol=2","endcol=2"),0)),"")</f>
        <v/>
      </c>
      <c r="C235" s="103">
        <f>IF($B235="","",IFERROR(BDP($B235&amp;" Action","CP036"),""))</f>
        <v/>
      </c>
      <c r="D235" s="104">
        <f>Database!S235</f>
        <v/>
      </c>
      <c r="E235" s="103">
        <f>IF($B235="","",IFERROR(BDP($B235&amp;" Action","CP037"),""))</f>
        <v/>
      </c>
      <c r="F235" s="104">
        <f>Database!T235</f>
        <v/>
      </c>
      <c r="G235" s="103">
        <f>IF($B235="","",IFERROR(BDP($B235&amp;" Action","GREENSHOE_FACILITY"),""))</f>
        <v/>
      </c>
      <c r="H235" s="103">
        <f>IF($B235="","",IFERROR(BDP($B235&amp;" Action","OFFERING_GREENSHOE_SHARES_EX"),""))</f>
        <v/>
      </c>
      <c r="I235" s="16">
        <f>Database!AG235</f>
        <v/>
      </c>
      <c r="J235" s="24">
        <f>IFERROR(BDP(Database!$A235&amp;" HK Equity","PE_RATIO"),"")</f>
        <v/>
      </c>
      <c r="K235" s="10">
        <f>IFERROR(BDP(Database!$A235&amp;" HK Equity","A/H_SHARE_CONVERSION"),"")</f>
        <v/>
      </c>
      <c r="L235" s="16">
        <f>IF(Database!BL235="","(none found)",Database!BL235)</f>
        <v/>
      </c>
      <c r="M235" s="18">
        <f>IFERROR(BDH(Database!$A235&amp;" HK Equity","CUR_MKT_CAP",Database!$H235,Database!$H235),"")</f>
        <v/>
      </c>
      <c r="N235" s="97">
        <f>Database!Q235</f>
        <v/>
      </c>
      <c r="O235" s="24">
        <f>IFERROR(BDH(Database!$A235&amp;" HK Equity","PE_RATIO",Database!$H235,Database!$H235),"")</f>
        <v/>
      </c>
      <c r="P235" s="101">
        <f>IF(Database!BF235="","(n/m or not derivable)",Database!BF235)</f>
        <v/>
      </c>
      <c r="Q235" s="24">
        <f>IF(Database!BL235="","",IFERROR(BDH(LEFT(Database!BL235,FIND(".",Database!BL235)-1)&amp;" CH Equity","PE_RATIO",Database!$H235,Database!$H235),""))</f>
        <v/>
      </c>
      <c r="R235" s="24">
        <f>IF(Database!BL235="","",IFERROR(BDH("HSAHP Index","PX_LAST",Database!$H235,Database!$H235),""))</f>
        <v/>
      </c>
      <c r="S235" s="24">
        <f>IFERROR(BDP(Database!$A235&amp;" HK Equity","PX_TO_SALES_RATIO"),"")</f>
        <v/>
      </c>
      <c r="T235" s="18">
        <f>IF(Database!BL235="","",IFERROR(BDP(LEFT(Database!BL235,FIND(".",Database!BL235)-1)&amp;" CH Equity","CUR_MKT_CAP"),""))</f>
        <v/>
      </c>
    </row>
    <row r="236">
      <c r="A236" s="16">
        <f>Database!A236&amp;"  "&amp;Database!B236</f>
        <v/>
      </c>
      <c r="B236" s="10">
        <f>IFERROR(INDEX(BDS(Database!$A236&amp;" HK Equity","EQUITY_OFFERINGS","array=t","endcol=1"),MATCH("IPO",BDS(Database!$A236&amp;" HK Equity","EQUITY_OFFERINGS","array=t","startcol=2","endcol=2"),0)),"")</f>
        <v/>
      </c>
      <c r="C236" s="103">
        <f>IF($B236="","",IFERROR(BDP($B236&amp;" Action","CP036"),""))</f>
        <v/>
      </c>
      <c r="D236" s="104">
        <f>Database!S236</f>
        <v/>
      </c>
      <c r="E236" s="103">
        <f>IF($B236="","",IFERROR(BDP($B236&amp;" Action","CP037"),""))</f>
        <v/>
      </c>
      <c r="F236" s="104">
        <f>Database!T236</f>
        <v/>
      </c>
      <c r="G236" s="103">
        <f>IF($B236="","",IFERROR(BDP($B236&amp;" Action","GREENSHOE_FACILITY"),""))</f>
        <v/>
      </c>
      <c r="H236" s="103">
        <f>IF($B236="","",IFERROR(BDP($B236&amp;" Action","OFFERING_GREENSHOE_SHARES_EX"),""))</f>
        <v/>
      </c>
      <c r="I236" s="16">
        <f>Database!AG236</f>
        <v/>
      </c>
      <c r="J236" s="24">
        <f>IFERROR(BDP(Database!$A236&amp;" HK Equity","PE_RATIO"),"")</f>
        <v/>
      </c>
      <c r="K236" s="10">
        <f>IFERROR(BDP(Database!$A236&amp;" HK Equity","A/H_SHARE_CONVERSION"),"")</f>
        <v/>
      </c>
      <c r="L236" s="16">
        <f>IF(Database!BL236="","(none found)",Database!BL236)</f>
        <v/>
      </c>
      <c r="M236" s="18">
        <f>IFERROR(BDH(Database!$A236&amp;" HK Equity","CUR_MKT_CAP",Database!$H236,Database!$H236),"")</f>
        <v/>
      </c>
      <c r="N236" s="97">
        <f>Database!Q236</f>
        <v/>
      </c>
      <c r="O236" s="24">
        <f>IFERROR(BDH(Database!$A236&amp;" HK Equity","PE_RATIO",Database!$H236,Database!$H236),"")</f>
        <v/>
      </c>
      <c r="P236" s="101">
        <f>IF(Database!BF236="","(n/m or not derivable)",Database!BF236)</f>
        <v/>
      </c>
      <c r="Q236" s="24">
        <f>IF(Database!BL236="","",IFERROR(BDH(LEFT(Database!BL236,FIND(".",Database!BL236)-1)&amp;" CH Equity","PE_RATIO",Database!$H236,Database!$H236),""))</f>
        <v/>
      </c>
      <c r="R236" s="24">
        <f>IF(Database!BL236="","",IFERROR(BDH("HSAHP Index","PX_LAST",Database!$H236,Database!$H236),""))</f>
        <v/>
      </c>
      <c r="S236" s="24">
        <f>IFERROR(BDP(Database!$A236&amp;" HK Equity","PX_TO_SALES_RATIO"),"")</f>
        <v/>
      </c>
      <c r="T236" s="18">
        <f>IF(Database!BL236="","",IFERROR(BDP(LEFT(Database!BL236,FIND(".",Database!BL236)-1)&amp;" CH Equity","CUR_MKT_CAP"),""))</f>
        <v/>
      </c>
    </row>
    <row r="237">
      <c r="A237" s="16">
        <f>Database!A237&amp;"  "&amp;Database!B237</f>
        <v/>
      </c>
      <c r="B237" s="10">
        <f>IFERROR(INDEX(BDS(Database!$A237&amp;" HK Equity","EQUITY_OFFERINGS","array=t","endcol=1"),MATCH("IPO",BDS(Database!$A237&amp;" HK Equity","EQUITY_OFFERINGS","array=t","startcol=2","endcol=2"),0)),"")</f>
        <v/>
      </c>
      <c r="C237" s="103">
        <f>IF($B237="","",IFERROR(BDP($B237&amp;" Action","CP036"),""))</f>
        <v/>
      </c>
      <c r="D237" s="104">
        <f>Database!S237</f>
        <v/>
      </c>
      <c r="E237" s="103">
        <f>IF($B237="","",IFERROR(BDP($B237&amp;" Action","CP037"),""))</f>
        <v/>
      </c>
      <c r="F237" s="104">
        <f>Database!T237</f>
        <v/>
      </c>
      <c r="G237" s="103">
        <f>IF($B237="","",IFERROR(BDP($B237&amp;" Action","GREENSHOE_FACILITY"),""))</f>
        <v/>
      </c>
      <c r="H237" s="103">
        <f>IF($B237="","",IFERROR(BDP($B237&amp;" Action","OFFERING_GREENSHOE_SHARES_EX"),""))</f>
        <v/>
      </c>
      <c r="I237" s="16">
        <f>Database!AG237</f>
        <v/>
      </c>
      <c r="J237" s="24">
        <f>IFERROR(BDP(Database!$A237&amp;" HK Equity","PE_RATIO"),"")</f>
        <v/>
      </c>
      <c r="K237" s="10">
        <f>IFERROR(BDP(Database!$A237&amp;" HK Equity","A/H_SHARE_CONVERSION"),"")</f>
        <v/>
      </c>
      <c r="L237" s="16">
        <f>IF(Database!BL237="","(none found)",Database!BL237)</f>
        <v/>
      </c>
      <c r="M237" s="18">
        <f>IFERROR(BDH(Database!$A237&amp;" HK Equity","CUR_MKT_CAP",Database!$H237,Database!$H237),"")</f>
        <v/>
      </c>
      <c r="N237" s="97">
        <f>Database!Q237</f>
        <v/>
      </c>
      <c r="O237" s="24">
        <f>IFERROR(BDH(Database!$A237&amp;" HK Equity","PE_RATIO",Database!$H237,Database!$H237),"")</f>
        <v/>
      </c>
      <c r="P237" s="101">
        <f>IF(Database!BF237="","(n/m or not derivable)",Database!BF237)</f>
        <v/>
      </c>
      <c r="Q237" s="24">
        <f>IF(Database!BL237="","",IFERROR(BDH(LEFT(Database!BL237,FIND(".",Database!BL237)-1)&amp;" CH Equity","PE_RATIO",Database!$H237,Database!$H237),""))</f>
        <v/>
      </c>
      <c r="R237" s="24">
        <f>IF(Database!BL237="","",IFERROR(BDH("HSAHP Index","PX_LAST",Database!$H237,Database!$H237),""))</f>
        <v/>
      </c>
      <c r="S237" s="24">
        <f>IFERROR(BDP(Database!$A237&amp;" HK Equity","PX_TO_SALES_RATIO"),"")</f>
        <v/>
      </c>
      <c r="T237" s="18">
        <f>IF(Database!BL237="","",IFERROR(BDP(LEFT(Database!BL237,FIND(".",Database!BL237)-1)&amp;" CH Equity","CUR_MKT_CAP"),""))</f>
        <v/>
      </c>
    </row>
    <row r="238">
      <c r="A238" s="16">
        <f>Database!A238&amp;"  "&amp;Database!B238</f>
        <v/>
      </c>
      <c r="B238" s="10">
        <f>IFERROR(INDEX(BDS(Database!$A238&amp;" HK Equity","EQUITY_OFFERINGS","array=t","endcol=1"),MATCH("IPO",BDS(Database!$A238&amp;" HK Equity","EQUITY_OFFERINGS","array=t","startcol=2","endcol=2"),0)),"")</f>
        <v/>
      </c>
      <c r="C238" s="103">
        <f>IF($B238="","",IFERROR(BDP($B238&amp;" Action","CP036"),""))</f>
        <v/>
      </c>
      <c r="D238" s="104">
        <f>Database!S238</f>
        <v/>
      </c>
      <c r="E238" s="103">
        <f>IF($B238="","",IFERROR(BDP($B238&amp;" Action","CP037"),""))</f>
        <v/>
      </c>
      <c r="F238" s="104">
        <f>Database!T238</f>
        <v/>
      </c>
      <c r="G238" s="103">
        <f>IF($B238="","",IFERROR(BDP($B238&amp;" Action","GREENSHOE_FACILITY"),""))</f>
        <v/>
      </c>
      <c r="H238" s="103">
        <f>IF($B238="","",IFERROR(BDP($B238&amp;" Action","OFFERING_GREENSHOE_SHARES_EX"),""))</f>
        <v/>
      </c>
      <c r="I238" s="16">
        <f>Database!AG238</f>
        <v/>
      </c>
      <c r="J238" s="24">
        <f>IFERROR(BDP(Database!$A238&amp;" HK Equity","PE_RATIO"),"")</f>
        <v/>
      </c>
      <c r="K238" s="10">
        <f>IFERROR(BDP(Database!$A238&amp;" HK Equity","A/H_SHARE_CONVERSION"),"")</f>
        <v/>
      </c>
      <c r="L238" s="16">
        <f>IF(Database!BL238="","(none found)",Database!BL238)</f>
        <v/>
      </c>
      <c r="M238" s="18">
        <f>IFERROR(BDH(Database!$A238&amp;" HK Equity","CUR_MKT_CAP",Database!$H238,Database!$H238),"")</f>
        <v/>
      </c>
      <c r="N238" s="97">
        <f>Database!Q238</f>
        <v/>
      </c>
      <c r="O238" s="24">
        <f>IFERROR(BDH(Database!$A238&amp;" HK Equity","PE_RATIO",Database!$H238,Database!$H238),"")</f>
        <v/>
      </c>
      <c r="P238" s="101">
        <f>IF(Database!BF238="","(n/m or not derivable)",Database!BF238)</f>
        <v/>
      </c>
      <c r="Q238" s="24">
        <f>IF(Database!BL238="","",IFERROR(BDH(LEFT(Database!BL238,FIND(".",Database!BL238)-1)&amp;" CH Equity","PE_RATIO",Database!$H238,Database!$H238),""))</f>
        <v/>
      </c>
      <c r="R238" s="24">
        <f>IF(Database!BL238="","",IFERROR(BDH("HSAHP Index","PX_LAST",Database!$H238,Database!$H238),""))</f>
        <v/>
      </c>
      <c r="S238" s="24">
        <f>IFERROR(BDP(Database!$A238&amp;" HK Equity","PX_TO_SALES_RATIO"),"")</f>
        <v/>
      </c>
      <c r="T238" s="18">
        <f>IF(Database!BL238="","",IFERROR(BDP(LEFT(Database!BL238,FIND(".",Database!BL238)-1)&amp;" CH Equity","CUR_MKT_CAP"),""))</f>
        <v/>
      </c>
    </row>
    <row r="239">
      <c r="A239" s="16">
        <f>Database!A239&amp;"  "&amp;Database!B239</f>
        <v/>
      </c>
      <c r="B239" s="10">
        <f>IFERROR(INDEX(BDS(Database!$A239&amp;" HK Equity","EQUITY_OFFERINGS","array=t","endcol=1"),MATCH("IPO",BDS(Database!$A239&amp;" HK Equity","EQUITY_OFFERINGS","array=t","startcol=2","endcol=2"),0)),"")</f>
        <v/>
      </c>
      <c r="C239" s="103">
        <f>IF($B239="","",IFERROR(BDP($B239&amp;" Action","CP036"),""))</f>
        <v/>
      </c>
      <c r="D239" s="104">
        <f>Database!S239</f>
        <v/>
      </c>
      <c r="E239" s="103">
        <f>IF($B239="","",IFERROR(BDP($B239&amp;" Action","CP037"),""))</f>
        <v/>
      </c>
      <c r="F239" s="104">
        <f>Database!T239</f>
        <v/>
      </c>
      <c r="G239" s="103">
        <f>IF($B239="","",IFERROR(BDP($B239&amp;" Action","GREENSHOE_FACILITY"),""))</f>
        <v/>
      </c>
      <c r="H239" s="103">
        <f>IF($B239="","",IFERROR(BDP($B239&amp;" Action","OFFERING_GREENSHOE_SHARES_EX"),""))</f>
        <v/>
      </c>
      <c r="I239" s="16">
        <f>Database!AG239</f>
        <v/>
      </c>
      <c r="J239" s="24">
        <f>IFERROR(BDP(Database!$A239&amp;" HK Equity","PE_RATIO"),"")</f>
        <v/>
      </c>
      <c r="K239" s="10">
        <f>IFERROR(BDP(Database!$A239&amp;" HK Equity","A/H_SHARE_CONVERSION"),"")</f>
        <v/>
      </c>
      <c r="L239" s="16">
        <f>IF(Database!BL239="","(none found)",Database!BL239)</f>
        <v/>
      </c>
      <c r="M239" s="18">
        <f>IFERROR(BDH(Database!$A239&amp;" HK Equity","CUR_MKT_CAP",Database!$H239,Database!$H239),"")</f>
        <v/>
      </c>
      <c r="N239" s="97">
        <f>Database!Q239</f>
        <v/>
      </c>
      <c r="O239" s="24">
        <f>IFERROR(BDH(Database!$A239&amp;" HK Equity","PE_RATIO",Database!$H239,Database!$H239),"")</f>
        <v/>
      </c>
      <c r="P239" s="101">
        <f>IF(Database!BF239="","(n/m or not derivable)",Database!BF239)</f>
        <v/>
      </c>
      <c r="Q239" s="24">
        <f>IF(Database!BL239="","",IFERROR(BDH(LEFT(Database!BL239,FIND(".",Database!BL239)-1)&amp;" CH Equity","PE_RATIO",Database!$H239,Database!$H239),""))</f>
        <v/>
      </c>
      <c r="R239" s="24">
        <f>IF(Database!BL239="","",IFERROR(BDH("HSAHP Index","PX_LAST",Database!$H239,Database!$H239),""))</f>
        <v/>
      </c>
      <c r="S239" s="24">
        <f>IFERROR(BDP(Database!$A239&amp;" HK Equity","PX_TO_SALES_RATIO"),"")</f>
        <v/>
      </c>
      <c r="T239" s="18">
        <f>IF(Database!BL239="","",IFERROR(BDP(LEFT(Database!BL239,FIND(".",Database!BL239)-1)&amp;" CH Equity","CUR_MKT_CAP"),""))</f>
        <v/>
      </c>
    </row>
    <row r="240">
      <c r="A240" s="16">
        <f>Database!A240&amp;"  "&amp;Database!B240</f>
        <v/>
      </c>
      <c r="B240" s="10">
        <f>IFERROR(INDEX(BDS(Database!$A240&amp;" HK Equity","EQUITY_OFFERINGS","array=t","endcol=1"),MATCH("IPO",BDS(Database!$A240&amp;" HK Equity","EQUITY_OFFERINGS","array=t","startcol=2","endcol=2"),0)),"")</f>
        <v/>
      </c>
      <c r="C240" s="103">
        <f>IF($B240="","",IFERROR(BDP($B240&amp;" Action","CP036"),""))</f>
        <v/>
      </c>
      <c r="D240" s="104">
        <f>Database!S240</f>
        <v/>
      </c>
      <c r="E240" s="103">
        <f>IF($B240="","",IFERROR(BDP($B240&amp;" Action","CP037"),""))</f>
        <v/>
      </c>
      <c r="F240" s="104">
        <f>Database!T240</f>
        <v/>
      </c>
      <c r="G240" s="103">
        <f>IF($B240="","",IFERROR(BDP($B240&amp;" Action","GREENSHOE_FACILITY"),""))</f>
        <v/>
      </c>
      <c r="H240" s="103">
        <f>IF($B240="","",IFERROR(BDP($B240&amp;" Action","OFFERING_GREENSHOE_SHARES_EX"),""))</f>
        <v/>
      </c>
      <c r="I240" s="16">
        <f>Database!AG240</f>
        <v/>
      </c>
      <c r="J240" s="24">
        <f>IFERROR(BDP(Database!$A240&amp;" HK Equity","PE_RATIO"),"")</f>
        <v/>
      </c>
      <c r="K240" s="10">
        <f>IFERROR(BDP(Database!$A240&amp;" HK Equity","A/H_SHARE_CONVERSION"),"")</f>
        <v/>
      </c>
      <c r="L240" s="16">
        <f>IF(Database!BL240="","(none found)",Database!BL240)</f>
        <v/>
      </c>
      <c r="M240" s="18">
        <f>IFERROR(BDH(Database!$A240&amp;" HK Equity","CUR_MKT_CAP",Database!$H240,Database!$H240),"")</f>
        <v/>
      </c>
      <c r="N240" s="97">
        <f>Database!Q240</f>
        <v/>
      </c>
      <c r="O240" s="24">
        <f>IFERROR(BDH(Database!$A240&amp;" HK Equity","PE_RATIO",Database!$H240,Database!$H240),"")</f>
        <v/>
      </c>
      <c r="P240" s="101">
        <f>IF(Database!BF240="","(n/m or not derivable)",Database!BF240)</f>
        <v/>
      </c>
      <c r="Q240" s="24">
        <f>IF(Database!BL240="","",IFERROR(BDH(LEFT(Database!BL240,FIND(".",Database!BL240)-1)&amp;" CH Equity","PE_RATIO",Database!$H240,Database!$H240),""))</f>
        <v/>
      </c>
      <c r="R240" s="24">
        <f>IF(Database!BL240="","",IFERROR(BDH("HSAHP Index","PX_LAST",Database!$H240,Database!$H240),""))</f>
        <v/>
      </c>
      <c r="S240" s="24">
        <f>IFERROR(BDP(Database!$A240&amp;" HK Equity","PX_TO_SALES_RATIO"),"")</f>
        <v/>
      </c>
      <c r="T240" s="18">
        <f>IF(Database!BL240="","",IFERROR(BDP(LEFT(Database!BL240,FIND(".",Database!BL240)-1)&amp;" CH Equity","CUR_MKT_CAP"),""))</f>
        <v/>
      </c>
    </row>
    <row r="241">
      <c r="A241" s="16">
        <f>Database!A241&amp;"  "&amp;Database!B241</f>
        <v/>
      </c>
      <c r="B241" s="10">
        <f>IFERROR(INDEX(BDS(Database!$A241&amp;" HK Equity","EQUITY_OFFERINGS","array=t","endcol=1"),MATCH("IPO",BDS(Database!$A241&amp;" HK Equity","EQUITY_OFFERINGS","array=t","startcol=2","endcol=2"),0)),"")</f>
        <v/>
      </c>
      <c r="C241" s="103">
        <f>IF($B241="","",IFERROR(BDP($B241&amp;" Action","CP036"),""))</f>
        <v/>
      </c>
      <c r="D241" s="104">
        <f>Database!S241</f>
        <v/>
      </c>
      <c r="E241" s="103">
        <f>IF($B241="","",IFERROR(BDP($B241&amp;" Action","CP037"),""))</f>
        <v/>
      </c>
      <c r="F241" s="104">
        <f>Database!T241</f>
        <v/>
      </c>
      <c r="G241" s="103">
        <f>IF($B241="","",IFERROR(BDP($B241&amp;" Action","GREENSHOE_FACILITY"),""))</f>
        <v/>
      </c>
      <c r="H241" s="103">
        <f>IF($B241="","",IFERROR(BDP($B241&amp;" Action","OFFERING_GREENSHOE_SHARES_EX"),""))</f>
        <v/>
      </c>
      <c r="I241" s="16">
        <f>Database!AG241</f>
        <v/>
      </c>
      <c r="J241" s="24">
        <f>IFERROR(BDP(Database!$A241&amp;" HK Equity","PE_RATIO"),"")</f>
        <v/>
      </c>
      <c r="K241" s="10">
        <f>IFERROR(BDP(Database!$A241&amp;" HK Equity","A/H_SHARE_CONVERSION"),"")</f>
        <v/>
      </c>
      <c r="L241" s="16">
        <f>IF(Database!BL241="","(none found)",Database!BL241)</f>
        <v/>
      </c>
      <c r="M241" s="18">
        <f>IFERROR(BDH(Database!$A241&amp;" HK Equity","CUR_MKT_CAP",Database!$H241,Database!$H241),"")</f>
        <v/>
      </c>
      <c r="N241" s="97">
        <f>Database!Q241</f>
        <v/>
      </c>
      <c r="O241" s="24">
        <f>IFERROR(BDH(Database!$A241&amp;" HK Equity","PE_RATIO",Database!$H241,Database!$H241),"")</f>
        <v/>
      </c>
      <c r="P241" s="101">
        <f>IF(Database!BF241="","(n/m or not derivable)",Database!BF241)</f>
        <v/>
      </c>
      <c r="Q241" s="24">
        <f>IF(Database!BL241="","",IFERROR(BDH(LEFT(Database!BL241,FIND(".",Database!BL241)-1)&amp;" CH Equity","PE_RATIO",Database!$H241,Database!$H241),""))</f>
        <v/>
      </c>
      <c r="R241" s="24">
        <f>IF(Database!BL241="","",IFERROR(BDH("HSAHP Index","PX_LAST",Database!$H241,Database!$H241),""))</f>
        <v/>
      </c>
      <c r="S241" s="24">
        <f>IFERROR(BDP(Database!$A241&amp;" HK Equity","PX_TO_SALES_RATIO"),"")</f>
        <v/>
      </c>
      <c r="T241" s="18">
        <f>IF(Database!BL241="","",IFERROR(BDP(LEFT(Database!BL241,FIND(".",Database!BL241)-1)&amp;" CH Equity","CUR_MKT_CAP"),""))</f>
        <v/>
      </c>
    </row>
    <row r="242">
      <c r="A242" s="16">
        <f>Database!A242&amp;"  "&amp;Database!B242</f>
        <v/>
      </c>
      <c r="B242" s="10">
        <f>IFERROR(INDEX(BDS(Database!$A242&amp;" HK Equity","EQUITY_OFFERINGS","array=t","endcol=1"),MATCH("IPO",BDS(Database!$A242&amp;" HK Equity","EQUITY_OFFERINGS","array=t","startcol=2","endcol=2"),0)),"")</f>
        <v/>
      </c>
      <c r="C242" s="103">
        <f>IF($B242="","",IFERROR(BDP($B242&amp;" Action","CP036"),""))</f>
        <v/>
      </c>
      <c r="D242" s="104">
        <f>Database!S242</f>
        <v/>
      </c>
      <c r="E242" s="103">
        <f>IF($B242="","",IFERROR(BDP($B242&amp;" Action","CP037"),""))</f>
        <v/>
      </c>
      <c r="F242" s="104">
        <f>Database!T242</f>
        <v/>
      </c>
      <c r="G242" s="103">
        <f>IF($B242="","",IFERROR(BDP($B242&amp;" Action","GREENSHOE_FACILITY"),""))</f>
        <v/>
      </c>
      <c r="H242" s="103">
        <f>IF($B242="","",IFERROR(BDP($B242&amp;" Action","OFFERING_GREENSHOE_SHARES_EX"),""))</f>
        <v/>
      </c>
      <c r="I242" s="16">
        <f>Database!AG242</f>
        <v/>
      </c>
      <c r="J242" s="24">
        <f>IFERROR(BDP(Database!$A242&amp;" HK Equity","PE_RATIO"),"")</f>
        <v/>
      </c>
      <c r="K242" s="10">
        <f>IFERROR(BDP(Database!$A242&amp;" HK Equity","A/H_SHARE_CONVERSION"),"")</f>
        <v/>
      </c>
      <c r="L242" s="16">
        <f>IF(Database!BL242="","(none found)",Database!BL242)</f>
        <v/>
      </c>
      <c r="M242" s="18">
        <f>IFERROR(BDH(Database!$A242&amp;" HK Equity","CUR_MKT_CAP",Database!$H242,Database!$H242),"")</f>
        <v/>
      </c>
      <c r="N242" s="97">
        <f>Database!Q242</f>
        <v/>
      </c>
      <c r="O242" s="24">
        <f>IFERROR(BDH(Database!$A242&amp;" HK Equity","PE_RATIO",Database!$H242,Database!$H242),"")</f>
        <v/>
      </c>
      <c r="P242" s="101">
        <f>IF(Database!BF242="","(n/m or not derivable)",Database!BF242)</f>
        <v/>
      </c>
      <c r="Q242" s="24">
        <f>IF(Database!BL242="","",IFERROR(BDH(LEFT(Database!BL242,FIND(".",Database!BL242)-1)&amp;" CH Equity","PE_RATIO",Database!$H242,Database!$H242),""))</f>
        <v/>
      </c>
      <c r="R242" s="24">
        <f>IF(Database!BL242="","",IFERROR(BDH("HSAHP Index","PX_LAST",Database!$H242,Database!$H242),""))</f>
        <v/>
      </c>
      <c r="S242" s="24">
        <f>IFERROR(BDP(Database!$A242&amp;" HK Equity","PX_TO_SALES_RATIO"),"")</f>
        <v/>
      </c>
      <c r="T242" s="18">
        <f>IF(Database!BL242="","",IFERROR(BDP(LEFT(Database!BL242,FIND(".",Database!BL242)-1)&amp;" CH Equity","CUR_MKT_CAP"),""))</f>
        <v/>
      </c>
    </row>
    <row r="243">
      <c r="A243" s="16">
        <f>Database!A243&amp;"  "&amp;Database!B243</f>
        <v/>
      </c>
      <c r="B243" s="10">
        <f>IFERROR(INDEX(BDS(Database!$A243&amp;" HK Equity","EQUITY_OFFERINGS","array=t","endcol=1"),MATCH("IPO",BDS(Database!$A243&amp;" HK Equity","EQUITY_OFFERINGS","array=t","startcol=2","endcol=2"),0)),"")</f>
        <v/>
      </c>
      <c r="C243" s="103">
        <f>IF($B243="","",IFERROR(BDP($B243&amp;" Action","CP036"),""))</f>
        <v/>
      </c>
      <c r="D243" s="104">
        <f>Database!S243</f>
        <v/>
      </c>
      <c r="E243" s="103">
        <f>IF($B243="","",IFERROR(BDP($B243&amp;" Action","CP037"),""))</f>
        <v/>
      </c>
      <c r="F243" s="104">
        <f>Database!T243</f>
        <v/>
      </c>
      <c r="G243" s="103">
        <f>IF($B243="","",IFERROR(BDP($B243&amp;" Action","GREENSHOE_FACILITY"),""))</f>
        <v/>
      </c>
      <c r="H243" s="103">
        <f>IF($B243="","",IFERROR(BDP($B243&amp;" Action","OFFERING_GREENSHOE_SHARES_EX"),""))</f>
        <v/>
      </c>
      <c r="I243" s="16">
        <f>Database!AG243</f>
        <v/>
      </c>
      <c r="J243" s="24">
        <f>IFERROR(BDP(Database!$A243&amp;" HK Equity","PE_RATIO"),"")</f>
        <v/>
      </c>
      <c r="K243" s="10">
        <f>IFERROR(BDP(Database!$A243&amp;" HK Equity","A/H_SHARE_CONVERSION"),"")</f>
        <v/>
      </c>
      <c r="L243" s="16">
        <f>IF(Database!BL243="","(none found)",Database!BL243)</f>
        <v/>
      </c>
      <c r="M243" s="18">
        <f>IFERROR(BDH(Database!$A243&amp;" HK Equity","CUR_MKT_CAP",Database!$H243,Database!$H243),"")</f>
        <v/>
      </c>
      <c r="N243" s="97">
        <f>Database!Q243</f>
        <v/>
      </c>
      <c r="O243" s="24">
        <f>IFERROR(BDH(Database!$A243&amp;" HK Equity","PE_RATIO",Database!$H243,Database!$H243),"")</f>
        <v/>
      </c>
      <c r="P243" s="101">
        <f>IF(Database!BF243="","(n/m or not derivable)",Database!BF243)</f>
        <v/>
      </c>
      <c r="Q243" s="24">
        <f>IF(Database!BL243="","",IFERROR(BDH(LEFT(Database!BL243,FIND(".",Database!BL243)-1)&amp;" CH Equity","PE_RATIO",Database!$H243,Database!$H243),""))</f>
        <v/>
      </c>
      <c r="R243" s="24">
        <f>IF(Database!BL243="","",IFERROR(BDH("HSAHP Index","PX_LAST",Database!$H243,Database!$H243),""))</f>
        <v/>
      </c>
      <c r="S243" s="24">
        <f>IFERROR(BDP(Database!$A243&amp;" HK Equity","PX_TO_SALES_RATIO"),"")</f>
        <v/>
      </c>
      <c r="T243" s="18">
        <f>IF(Database!BL243="","",IFERROR(BDP(LEFT(Database!BL243,FIND(".",Database!BL243)-1)&amp;" CH Equity","CUR_MKT_CAP"),""))</f>
        <v/>
      </c>
    </row>
    <row r="244">
      <c r="A244" s="16">
        <f>Database!A244&amp;"  "&amp;Database!B244</f>
        <v/>
      </c>
      <c r="B244" s="10">
        <f>IFERROR(INDEX(BDS(Database!$A244&amp;" HK Equity","EQUITY_OFFERINGS","array=t","endcol=1"),MATCH("IPO",BDS(Database!$A244&amp;" HK Equity","EQUITY_OFFERINGS","array=t","startcol=2","endcol=2"),0)),"")</f>
        <v/>
      </c>
      <c r="C244" s="103">
        <f>IF($B244="","",IFERROR(BDP($B244&amp;" Action","CP036"),""))</f>
        <v/>
      </c>
      <c r="D244" s="104">
        <f>Database!S244</f>
        <v/>
      </c>
      <c r="E244" s="103">
        <f>IF($B244="","",IFERROR(BDP($B244&amp;" Action","CP037"),""))</f>
        <v/>
      </c>
      <c r="F244" s="104">
        <f>Database!T244</f>
        <v/>
      </c>
      <c r="G244" s="103">
        <f>IF($B244="","",IFERROR(BDP($B244&amp;" Action","GREENSHOE_FACILITY"),""))</f>
        <v/>
      </c>
      <c r="H244" s="103">
        <f>IF($B244="","",IFERROR(BDP($B244&amp;" Action","OFFERING_GREENSHOE_SHARES_EX"),""))</f>
        <v/>
      </c>
      <c r="I244" s="16">
        <f>Database!AG244</f>
        <v/>
      </c>
      <c r="J244" s="24">
        <f>IFERROR(BDP(Database!$A244&amp;" HK Equity","PE_RATIO"),"")</f>
        <v/>
      </c>
      <c r="K244" s="10">
        <f>IFERROR(BDP(Database!$A244&amp;" HK Equity","A/H_SHARE_CONVERSION"),"")</f>
        <v/>
      </c>
      <c r="L244" s="16">
        <f>IF(Database!BL244="","(none found)",Database!BL244)</f>
        <v/>
      </c>
      <c r="M244" s="18">
        <f>IFERROR(BDH(Database!$A244&amp;" HK Equity","CUR_MKT_CAP",Database!$H244,Database!$H244),"")</f>
        <v/>
      </c>
      <c r="N244" s="97">
        <f>Database!Q244</f>
        <v/>
      </c>
      <c r="O244" s="24">
        <f>IFERROR(BDH(Database!$A244&amp;" HK Equity","PE_RATIO",Database!$H244,Database!$H244),"")</f>
        <v/>
      </c>
      <c r="P244" s="101">
        <f>IF(Database!BF244="","(n/m or not derivable)",Database!BF244)</f>
        <v/>
      </c>
      <c r="Q244" s="24">
        <f>IF(Database!BL244="","",IFERROR(BDH(LEFT(Database!BL244,FIND(".",Database!BL244)-1)&amp;" CH Equity","PE_RATIO",Database!$H244,Database!$H244),""))</f>
        <v/>
      </c>
      <c r="R244" s="24">
        <f>IF(Database!BL244="","",IFERROR(BDH("HSAHP Index","PX_LAST",Database!$H244,Database!$H244),""))</f>
        <v/>
      </c>
      <c r="S244" s="24">
        <f>IFERROR(BDP(Database!$A244&amp;" HK Equity","PX_TO_SALES_RATIO"),"")</f>
        <v/>
      </c>
      <c r="T244" s="18">
        <f>IF(Database!BL244="","",IFERROR(BDP(LEFT(Database!BL244,FIND(".",Database!BL244)-1)&amp;" CH Equity","CUR_MKT_CAP"),""))</f>
        <v/>
      </c>
    </row>
    <row r="245">
      <c r="A245" s="16">
        <f>Database!A245&amp;"  "&amp;Database!B245</f>
        <v/>
      </c>
      <c r="B245" s="10">
        <f>IFERROR(INDEX(BDS(Database!$A245&amp;" HK Equity","EQUITY_OFFERINGS","array=t","endcol=1"),MATCH("IPO",BDS(Database!$A245&amp;" HK Equity","EQUITY_OFFERINGS","array=t","startcol=2","endcol=2"),0)),"")</f>
        <v/>
      </c>
      <c r="C245" s="103">
        <f>IF($B245="","",IFERROR(BDP($B245&amp;" Action","CP036"),""))</f>
        <v/>
      </c>
      <c r="D245" s="104">
        <f>Database!S245</f>
        <v/>
      </c>
      <c r="E245" s="103">
        <f>IF($B245="","",IFERROR(BDP($B245&amp;" Action","CP037"),""))</f>
        <v/>
      </c>
      <c r="F245" s="104">
        <f>Database!T245</f>
        <v/>
      </c>
      <c r="G245" s="103">
        <f>IF($B245="","",IFERROR(BDP($B245&amp;" Action","GREENSHOE_FACILITY"),""))</f>
        <v/>
      </c>
      <c r="H245" s="103">
        <f>IF($B245="","",IFERROR(BDP($B245&amp;" Action","OFFERING_GREENSHOE_SHARES_EX"),""))</f>
        <v/>
      </c>
      <c r="I245" s="16">
        <f>Database!AG245</f>
        <v/>
      </c>
      <c r="J245" s="24">
        <f>IFERROR(BDP(Database!$A245&amp;" HK Equity","PE_RATIO"),"")</f>
        <v/>
      </c>
      <c r="K245" s="10">
        <f>IFERROR(BDP(Database!$A245&amp;" HK Equity","A/H_SHARE_CONVERSION"),"")</f>
        <v/>
      </c>
      <c r="L245" s="16">
        <f>IF(Database!BL245="","(none found)",Database!BL245)</f>
        <v/>
      </c>
      <c r="M245" s="18">
        <f>IFERROR(BDH(Database!$A245&amp;" HK Equity","CUR_MKT_CAP",Database!$H245,Database!$H245),"")</f>
        <v/>
      </c>
      <c r="N245" s="97">
        <f>Database!Q245</f>
        <v/>
      </c>
      <c r="O245" s="24">
        <f>IFERROR(BDH(Database!$A245&amp;" HK Equity","PE_RATIO",Database!$H245,Database!$H245),"")</f>
        <v/>
      </c>
      <c r="P245" s="101">
        <f>IF(Database!BF245="","(n/m or not derivable)",Database!BF245)</f>
        <v/>
      </c>
      <c r="Q245" s="24">
        <f>IF(Database!BL245="","",IFERROR(BDH(LEFT(Database!BL245,FIND(".",Database!BL245)-1)&amp;" CH Equity","PE_RATIO",Database!$H245,Database!$H245),""))</f>
        <v/>
      </c>
      <c r="R245" s="24">
        <f>IF(Database!BL245="","",IFERROR(BDH("HSAHP Index","PX_LAST",Database!$H245,Database!$H245),""))</f>
        <v/>
      </c>
      <c r="S245" s="24">
        <f>IFERROR(BDP(Database!$A245&amp;" HK Equity","PX_TO_SALES_RATIO"),"")</f>
        <v/>
      </c>
      <c r="T245" s="18">
        <f>IF(Database!BL245="","",IFERROR(BDP(LEFT(Database!BL245,FIND(".",Database!BL245)-1)&amp;" CH Equity","CUR_MKT_CAP"),""))</f>
        <v/>
      </c>
    </row>
    <row r="246">
      <c r="A246" s="16">
        <f>Database!A246&amp;"  "&amp;Database!B246</f>
        <v/>
      </c>
      <c r="B246" s="10">
        <f>IFERROR(INDEX(BDS(Database!$A246&amp;" HK Equity","EQUITY_OFFERINGS","array=t","endcol=1"),MATCH("IPO",BDS(Database!$A246&amp;" HK Equity","EQUITY_OFFERINGS","array=t","startcol=2","endcol=2"),0)),"")</f>
        <v/>
      </c>
      <c r="C246" s="103">
        <f>IF($B246="","",IFERROR(BDP($B246&amp;" Action","CP036"),""))</f>
        <v/>
      </c>
      <c r="D246" s="104">
        <f>Database!S246</f>
        <v/>
      </c>
      <c r="E246" s="103">
        <f>IF($B246="","",IFERROR(BDP($B246&amp;" Action","CP037"),""))</f>
        <v/>
      </c>
      <c r="F246" s="104">
        <f>Database!T246</f>
        <v/>
      </c>
      <c r="G246" s="103">
        <f>IF($B246="","",IFERROR(BDP($B246&amp;" Action","GREENSHOE_FACILITY"),""))</f>
        <v/>
      </c>
      <c r="H246" s="103">
        <f>IF($B246="","",IFERROR(BDP($B246&amp;" Action","OFFERING_GREENSHOE_SHARES_EX"),""))</f>
        <v/>
      </c>
      <c r="I246" s="16">
        <f>Database!AG246</f>
        <v/>
      </c>
      <c r="J246" s="24">
        <f>IFERROR(BDP(Database!$A246&amp;" HK Equity","PE_RATIO"),"")</f>
        <v/>
      </c>
      <c r="K246" s="10">
        <f>IFERROR(BDP(Database!$A246&amp;" HK Equity","A/H_SHARE_CONVERSION"),"")</f>
        <v/>
      </c>
      <c r="L246" s="16">
        <f>IF(Database!BL246="","(none found)",Database!BL246)</f>
        <v/>
      </c>
      <c r="M246" s="18">
        <f>IFERROR(BDH(Database!$A246&amp;" HK Equity","CUR_MKT_CAP",Database!$H246,Database!$H246),"")</f>
        <v/>
      </c>
      <c r="N246" s="97">
        <f>Database!Q246</f>
        <v/>
      </c>
      <c r="O246" s="24">
        <f>IFERROR(BDH(Database!$A246&amp;" HK Equity","PE_RATIO",Database!$H246,Database!$H246),"")</f>
        <v/>
      </c>
      <c r="P246" s="101">
        <f>IF(Database!BF246="","(n/m or not derivable)",Database!BF246)</f>
        <v/>
      </c>
      <c r="Q246" s="24">
        <f>IF(Database!BL246="","",IFERROR(BDH(LEFT(Database!BL246,FIND(".",Database!BL246)-1)&amp;" CH Equity","PE_RATIO",Database!$H246,Database!$H246),""))</f>
        <v/>
      </c>
      <c r="R246" s="24">
        <f>IF(Database!BL246="","",IFERROR(BDH("HSAHP Index","PX_LAST",Database!$H246,Database!$H246),""))</f>
        <v/>
      </c>
      <c r="S246" s="24">
        <f>IFERROR(BDP(Database!$A246&amp;" HK Equity","PX_TO_SALES_RATIO"),"")</f>
        <v/>
      </c>
      <c r="T246" s="18">
        <f>IF(Database!BL246="","",IFERROR(BDP(LEFT(Database!BL246,FIND(".",Database!BL246)-1)&amp;" CH Equity","CUR_MKT_CAP"),""))</f>
        <v/>
      </c>
    </row>
    <row r="247">
      <c r="A247" s="16">
        <f>Database!A247&amp;"  "&amp;Database!B247</f>
        <v/>
      </c>
      <c r="B247" s="10">
        <f>IFERROR(INDEX(BDS(Database!$A247&amp;" HK Equity","EQUITY_OFFERINGS","array=t","endcol=1"),MATCH("IPO",BDS(Database!$A247&amp;" HK Equity","EQUITY_OFFERINGS","array=t","startcol=2","endcol=2"),0)),"")</f>
        <v/>
      </c>
      <c r="C247" s="103">
        <f>IF($B247="","",IFERROR(BDP($B247&amp;" Action","CP036"),""))</f>
        <v/>
      </c>
      <c r="D247" s="104">
        <f>Database!S247</f>
        <v/>
      </c>
      <c r="E247" s="103">
        <f>IF($B247="","",IFERROR(BDP($B247&amp;" Action","CP037"),""))</f>
        <v/>
      </c>
      <c r="F247" s="104">
        <f>Database!T247</f>
        <v/>
      </c>
      <c r="G247" s="103">
        <f>IF($B247="","",IFERROR(BDP($B247&amp;" Action","GREENSHOE_FACILITY"),""))</f>
        <v/>
      </c>
      <c r="H247" s="103">
        <f>IF($B247="","",IFERROR(BDP($B247&amp;" Action","OFFERING_GREENSHOE_SHARES_EX"),""))</f>
        <v/>
      </c>
      <c r="I247" s="16">
        <f>Database!AG247</f>
        <v/>
      </c>
      <c r="J247" s="24">
        <f>IFERROR(BDP(Database!$A247&amp;" HK Equity","PE_RATIO"),"")</f>
        <v/>
      </c>
      <c r="K247" s="10">
        <f>IFERROR(BDP(Database!$A247&amp;" HK Equity","A/H_SHARE_CONVERSION"),"")</f>
        <v/>
      </c>
      <c r="L247" s="16">
        <f>IF(Database!BL247="","(none found)",Database!BL247)</f>
        <v/>
      </c>
      <c r="M247" s="18">
        <f>IFERROR(BDH(Database!$A247&amp;" HK Equity","CUR_MKT_CAP",Database!$H247,Database!$H247),"")</f>
        <v/>
      </c>
      <c r="N247" s="97">
        <f>Database!Q247</f>
        <v/>
      </c>
      <c r="O247" s="24">
        <f>IFERROR(BDH(Database!$A247&amp;" HK Equity","PE_RATIO",Database!$H247,Database!$H247),"")</f>
        <v/>
      </c>
      <c r="P247" s="101">
        <f>IF(Database!BF247="","(n/m or not derivable)",Database!BF247)</f>
        <v/>
      </c>
      <c r="Q247" s="24">
        <f>IF(Database!BL247="","",IFERROR(BDH(LEFT(Database!BL247,FIND(".",Database!BL247)-1)&amp;" CH Equity","PE_RATIO",Database!$H247,Database!$H247),""))</f>
        <v/>
      </c>
      <c r="R247" s="24">
        <f>IF(Database!BL247="","",IFERROR(BDH("HSAHP Index","PX_LAST",Database!$H247,Database!$H247),""))</f>
        <v/>
      </c>
      <c r="S247" s="24">
        <f>IFERROR(BDP(Database!$A247&amp;" HK Equity","PX_TO_SALES_RATIO"),"")</f>
        <v/>
      </c>
      <c r="T247" s="18">
        <f>IF(Database!BL247="","",IFERROR(BDP(LEFT(Database!BL247,FIND(".",Database!BL247)-1)&amp;" CH Equity","CUR_MKT_CAP"),""))</f>
        <v/>
      </c>
    </row>
    <row r="248">
      <c r="A248" s="16">
        <f>Database!A248&amp;"  "&amp;Database!B248</f>
        <v/>
      </c>
      <c r="B248" s="10">
        <f>IFERROR(INDEX(BDS(Database!$A248&amp;" HK Equity","EQUITY_OFFERINGS","array=t","endcol=1"),MATCH("IPO",BDS(Database!$A248&amp;" HK Equity","EQUITY_OFFERINGS","array=t","startcol=2","endcol=2"),0)),"")</f>
        <v/>
      </c>
      <c r="C248" s="103">
        <f>IF($B248="","",IFERROR(BDP($B248&amp;" Action","CP036"),""))</f>
        <v/>
      </c>
      <c r="D248" s="104">
        <f>Database!S248</f>
        <v/>
      </c>
      <c r="E248" s="103">
        <f>IF($B248="","",IFERROR(BDP($B248&amp;" Action","CP037"),""))</f>
        <v/>
      </c>
      <c r="F248" s="104">
        <f>Database!T248</f>
        <v/>
      </c>
      <c r="G248" s="103">
        <f>IF($B248="","",IFERROR(BDP($B248&amp;" Action","GREENSHOE_FACILITY"),""))</f>
        <v/>
      </c>
      <c r="H248" s="103">
        <f>IF($B248="","",IFERROR(BDP($B248&amp;" Action","OFFERING_GREENSHOE_SHARES_EX"),""))</f>
        <v/>
      </c>
      <c r="I248" s="16">
        <f>Database!AG248</f>
        <v/>
      </c>
      <c r="J248" s="24">
        <f>IFERROR(BDP(Database!$A248&amp;" HK Equity","PE_RATIO"),"")</f>
        <v/>
      </c>
      <c r="K248" s="10">
        <f>IFERROR(BDP(Database!$A248&amp;" HK Equity","A/H_SHARE_CONVERSION"),"")</f>
        <v/>
      </c>
      <c r="L248" s="16">
        <f>IF(Database!BL248="","(none found)",Database!BL248)</f>
        <v/>
      </c>
      <c r="M248" s="18">
        <f>IFERROR(BDH(Database!$A248&amp;" HK Equity","CUR_MKT_CAP",Database!$H248,Database!$H248),"")</f>
        <v/>
      </c>
      <c r="N248" s="97">
        <f>Database!Q248</f>
        <v/>
      </c>
      <c r="O248" s="24">
        <f>IFERROR(BDH(Database!$A248&amp;" HK Equity","PE_RATIO",Database!$H248,Database!$H248),"")</f>
        <v/>
      </c>
      <c r="P248" s="101">
        <f>IF(Database!BF248="","(n/m or not derivable)",Database!BF248)</f>
        <v/>
      </c>
      <c r="Q248" s="24">
        <f>IF(Database!BL248="","",IFERROR(BDH(LEFT(Database!BL248,FIND(".",Database!BL248)-1)&amp;" CH Equity","PE_RATIO",Database!$H248,Database!$H248),""))</f>
        <v/>
      </c>
      <c r="R248" s="24">
        <f>IF(Database!BL248="","",IFERROR(BDH("HSAHP Index","PX_LAST",Database!$H248,Database!$H248),""))</f>
        <v/>
      </c>
      <c r="S248" s="24">
        <f>IFERROR(BDP(Database!$A248&amp;" HK Equity","PX_TO_SALES_RATIO"),"")</f>
        <v/>
      </c>
      <c r="T248" s="18">
        <f>IF(Database!BL248="","",IFERROR(BDP(LEFT(Database!BL248,FIND(".",Database!BL248)-1)&amp;" CH Equity","CUR_MKT_CAP"),""))</f>
        <v/>
      </c>
    </row>
    <row r="249">
      <c r="A249" s="16">
        <f>Database!A249&amp;"  "&amp;Database!B249</f>
        <v/>
      </c>
      <c r="B249" s="10">
        <f>IFERROR(INDEX(BDS(Database!$A249&amp;" HK Equity","EQUITY_OFFERINGS","array=t","endcol=1"),MATCH("IPO",BDS(Database!$A249&amp;" HK Equity","EQUITY_OFFERINGS","array=t","startcol=2","endcol=2"),0)),"")</f>
        <v/>
      </c>
      <c r="C249" s="103">
        <f>IF($B249="","",IFERROR(BDP($B249&amp;" Action","CP036"),""))</f>
        <v/>
      </c>
      <c r="D249" s="104">
        <f>Database!S249</f>
        <v/>
      </c>
      <c r="E249" s="103">
        <f>IF($B249="","",IFERROR(BDP($B249&amp;" Action","CP037"),""))</f>
        <v/>
      </c>
      <c r="F249" s="104">
        <f>Database!T249</f>
        <v/>
      </c>
      <c r="G249" s="103">
        <f>IF($B249="","",IFERROR(BDP($B249&amp;" Action","GREENSHOE_FACILITY"),""))</f>
        <v/>
      </c>
      <c r="H249" s="103">
        <f>IF($B249="","",IFERROR(BDP($B249&amp;" Action","OFFERING_GREENSHOE_SHARES_EX"),""))</f>
        <v/>
      </c>
      <c r="I249" s="16">
        <f>Database!AG249</f>
        <v/>
      </c>
      <c r="J249" s="24">
        <f>IFERROR(BDP(Database!$A249&amp;" HK Equity","PE_RATIO"),"")</f>
        <v/>
      </c>
      <c r="K249" s="10">
        <f>IFERROR(BDP(Database!$A249&amp;" HK Equity","A/H_SHARE_CONVERSION"),"")</f>
        <v/>
      </c>
      <c r="L249" s="16">
        <f>IF(Database!BL249="","(none found)",Database!BL249)</f>
        <v/>
      </c>
      <c r="M249" s="18">
        <f>IFERROR(BDH(Database!$A249&amp;" HK Equity","CUR_MKT_CAP",Database!$H249,Database!$H249),"")</f>
        <v/>
      </c>
      <c r="N249" s="97">
        <f>Database!Q249</f>
        <v/>
      </c>
      <c r="O249" s="24">
        <f>IFERROR(BDH(Database!$A249&amp;" HK Equity","PE_RATIO",Database!$H249,Database!$H249),"")</f>
        <v/>
      </c>
      <c r="P249" s="101">
        <f>IF(Database!BF249="","(n/m or not derivable)",Database!BF249)</f>
        <v/>
      </c>
      <c r="Q249" s="24">
        <f>IF(Database!BL249="","",IFERROR(BDH(LEFT(Database!BL249,FIND(".",Database!BL249)-1)&amp;" CH Equity","PE_RATIO",Database!$H249,Database!$H249),""))</f>
        <v/>
      </c>
      <c r="R249" s="24">
        <f>IF(Database!BL249="","",IFERROR(BDH("HSAHP Index","PX_LAST",Database!$H249,Database!$H249),""))</f>
        <v/>
      </c>
      <c r="S249" s="24">
        <f>IFERROR(BDP(Database!$A249&amp;" HK Equity","PX_TO_SALES_RATIO"),"")</f>
        <v/>
      </c>
      <c r="T249" s="18">
        <f>IF(Database!BL249="","",IFERROR(BDP(LEFT(Database!BL249,FIND(".",Database!BL249)-1)&amp;" CH Equity","CUR_MKT_CAP"),""))</f>
        <v/>
      </c>
    </row>
    <row r="250">
      <c r="A250" s="16">
        <f>Database!A250&amp;"  "&amp;Database!B250</f>
        <v/>
      </c>
      <c r="B250" s="10">
        <f>IFERROR(INDEX(BDS(Database!$A250&amp;" HK Equity","EQUITY_OFFERINGS","array=t","endcol=1"),MATCH("IPO",BDS(Database!$A250&amp;" HK Equity","EQUITY_OFFERINGS","array=t","startcol=2","endcol=2"),0)),"")</f>
        <v/>
      </c>
      <c r="C250" s="103">
        <f>IF($B250="","",IFERROR(BDP($B250&amp;" Action","CP036"),""))</f>
        <v/>
      </c>
      <c r="D250" s="104">
        <f>Database!S250</f>
        <v/>
      </c>
      <c r="E250" s="103">
        <f>IF($B250="","",IFERROR(BDP($B250&amp;" Action","CP037"),""))</f>
        <v/>
      </c>
      <c r="F250" s="104">
        <f>Database!T250</f>
        <v/>
      </c>
      <c r="G250" s="103">
        <f>IF($B250="","",IFERROR(BDP($B250&amp;" Action","GREENSHOE_FACILITY"),""))</f>
        <v/>
      </c>
      <c r="H250" s="103">
        <f>IF($B250="","",IFERROR(BDP($B250&amp;" Action","OFFERING_GREENSHOE_SHARES_EX"),""))</f>
        <v/>
      </c>
      <c r="I250" s="16">
        <f>Database!AG250</f>
        <v/>
      </c>
      <c r="J250" s="24">
        <f>IFERROR(BDP(Database!$A250&amp;" HK Equity","PE_RATIO"),"")</f>
        <v/>
      </c>
      <c r="K250" s="10">
        <f>IFERROR(BDP(Database!$A250&amp;" HK Equity","A/H_SHARE_CONVERSION"),"")</f>
        <v/>
      </c>
      <c r="L250" s="16">
        <f>IF(Database!BL250="","(none found)",Database!BL250)</f>
        <v/>
      </c>
      <c r="M250" s="18">
        <f>IFERROR(BDH(Database!$A250&amp;" HK Equity","CUR_MKT_CAP",Database!$H250,Database!$H250),"")</f>
        <v/>
      </c>
      <c r="N250" s="97">
        <f>Database!Q250</f>
        <v/>
      </c>
      <c r="O250" s="24">
        <f>IFERROR(BDH(Database!$A250&amp;" HK Equity","PE_RATIO",Database!$H250,Database!$H250),"")</f>
        <v/>
      </c>
      <c r="P250" s="101">
        <f>IF(Database!BF250="","(n/m or not derivable)",Database!BF250)</f>
        <v/>
      </c>
      <c r="Q250" s="24">
        <f>IF(Database!BL250="","",IFERROR(BDH(LEFT(Database!BL250,FIND(".",Database!BL250)-1)&amp;" CH Equity","PE_RATIO",Database!$H250,Database!$H250),""))</f>
        <v/>
      </c>
      <c r="R250" s="24">
        <f>IF(Database!BL250="","",IFERROR(BDH("HSAHP Index","PX_LAST",Database!$H250,Database!$H250),""))</f>
        <v/>
      </c>
      <c r="S250" s="24">
        <f>IFERROR(BDP(Database!$A250&amp;" HK Equity","PX_TO_SALES_RATIO"),"")</f>
        <v/>
      </c>
      <c r="T250" s="18">
        <f>IF(Database!BL250="","",IFERROR(BDP(LEFT(Database!BL250,FIND(".",Database!BL250)-1)&amp;" CH Equity","CUR_MKT_CAP"),""))</f>
        <v/>
      </c>
    </row>
    <row r="251">
      <c r="A251" s="16">
        <f>Database!A251&amp;"  "&amp;Database!B251</f>
        <v/>
      </c>
      <c r="B251" s="10">
        <f>IFERROR(INDEX(BDS(Database!$A251&amp;" HK Equity","EQUITY_OFFERINGS","array=t","endcol=1"),MATCH("IPO",BDS(Database!$A251&amp;" HK Equity","EQUITY_OFFERINGS","array=t","startcol=2","endcol=2"),0)),"")</f>
        <v/>
      </c>
      <c r="C251" s="103">
        <f>IF($B251="","",IFERROR(BDP($B251&amp;" Action","CP036"),""))</f>
        <v/>
      </c>
      <c r="D251" s="104">
        <f>Database!S251</f>
        <v/>
      </c>
      <c r="E251" s="103">
        <f>IF($B251="","",IFERROR(BDP($B251&amp;" Action","CP037"),""))</f>
        <v/>
      </c>
      <c r="F251" s="104">
        <f>Database!T251</f>
        <v/>
      </c>
      <c r="G251" s="103">
        <f>IF($B251="","",IFERROR(BDP($B251&amp;" Action","GREENSHOE_FACILITY"),""))</f>
        <v/>
      </c>
      <c r="H251" s="103">
        <f>IF($B251="","",IFERROR(BDP($B251&amp;" Action","OFFERING_GREENSHOE_SHARES_EX"),""))</f>
        <v/>
      </c>
      <c r="I251" s="16">
        <f>Database!AG251</f>
        <v/>
      </c>
      <c r="J251" s="24">
        <f>IFERROR(BDP(Database!$A251&amp;" HK Equity","PE_RATIO"),"")</f>
        <v/>
      </c>
      <c r="K251" s="10">
        <f>IFERROR(BDP(Database!$A251&amp;" HK Equity","A/H_SHARE_CONVERSION"),"")</f>
        <v/>
      </c>
      <c r="L251" s="16">
        <f>IF(Database!BL251="","(none found)",Database!BL251)</f>
        <v/>
      </c>
      <c r="M251" s="18">
        <f>IFERROR(BDH(Database!$A251&amp;" HK Equity","CUR_MKT_CAP",Database!$H251,Database!$H251),"")</f>
        <v/>
      </c>
      <c r="N251" s="97">
        <f>Database!Q251</f>
        <v/>
      </c>
      <c r="O251" s="24">
        <f>IFERROR(BDH(Database!$A251&amp;" HK Equity","PE_RATIO",Database!$H251,Database!$H251),"")</f>
        <v/>
      </c>
      <c r="P251" s="101">
        <f>IF(Database!BF251="","(n/m or not derivable)",Database!BF251)</f>
        <v/>
      </c>
      <c r="Q251" s="24">
        <f>IF(Database!BL251="","",IFERROR(BDH(LEFT(Database!BL251,FIND(".",Database!BL251)-1)&amp;" CH Equity","PE_RATIO",Database!$H251,Database!$H251),""))</f>
        <v/>
      </c>
      <c r="R251" s="24">
        <f>IF(Database!BL251="","",IFERROR(BDH("HSAHP Index","PX_LAST",Database!$H251,Database!$H251),""))</f>
        <v/>
      </c>
      <c r="S251" s="24">
        <f>IFERROR(BDP(Database!$A251&amp;" HK Equity","PX_TO_SALES_RATIO"),"")</f>
        <v/>
      </c>
      <c r="T251" s="18">
        <f>IF(Database!BL251="","",IFERROR(BDP(LEFT(Database!BL251,FIND(".",Database!BL251)-1)&amp;" CH Equity","CUR_MKT_CAP"),""))</f>
        <v/>
      </c>
    </row>
    <row r="252">
      <c r="A252" s="16">
        <f>Database!A252&amp;"  "&amp;Database!B252</f>
        <v/>
      </c>
      <c r="B252" s="10">
        <f>IFERROR(INDEX(BDS(Database!$A252&amp;" HK Equity","EQUITY_OFFERINGS","array=t","endcol=1"),MATCH("IPO",BDS(Database!$A252&amp;" HK Equity","EQUITY_OFFERINGS","array=t","startcol=2","endcol=2"),0)),"")</f>
        <v/>
      </c>
      <c r="C252" s="103">
        <f>IF($B252="","",IFERROR(BDP($B252&amp;" Action","CP036"),""))</f>
        <v/>
      </c>
      <c r="D252" s="104">
        <f>Database!S252</f>
        <v/>
      </c>
      <c r="E252" s="103">
        <f>IF($B252="","",IFERROR(BDP($B252&amp;" Action","CP037"),""))</f>
        <v/>
      </c>
      <c r="F252" s="104">
        <f>Database!T252</f>
        <v/>
      </c>
      <c r="G252" s="103">
        <f>IF($B252="","",IFERROR(BDP($B252&amp;" Action","GREENSHOE_FACILITY"),""))</f>
        <v/>
      </c>
      <c r="H252" s="103">
        <f>IF($B252="","",IFERROR(BDP($B252&amp;" Action","OFFERING_GREENSHOE_SHARES_EX"),""))</f>
        <v/>
      </c>
      <c r="I252" s="16">
        <f>Database!AG252</f>
        <v/>
      </c>
      <c r="J252" s="24">
        <f>IFERROR(BDP(Database!$A252&amp;" HK Equity","PE_RATIO"),"")</f>
        <v/>
      </c>
      <c r="K252" s="10">
        <f>IFERROR(BDP(Database!$A252&amp;" HK Equity","A/H_SHARE_CONVERSION"),"")</f>
        <v/>
      </c>
      <c r="L252" s="16">
        <f>IF(Database!BL252="","(none found)",Database!BL252)</f>
        <v/>
      </c>
      <c r="M252" s="18">
        <f>IFERROR(BDH(Database!$A252&amp;" HK Equity","CUR_MKT_CAP",Database!$H252,Database!$H252),"")</f>
        <v/>
      </c>
      <c r="N252" s="97">
        <f>Database!Q252</f>
        <v/>
      </c>
      <c r="O252" s="24">
        <f>IFERROR(BDH(Database!$A252&amp;" HK Equity","PE_RATIO",Database!$H252,Database!$H252),"")</f>
        <v/>
      </c>
      <c r="P252" s="101">
        <f>IF(Database!BF252="","(n/m or not derivable)",Database!BF252)</f>
        <v/>
      </c>
      <c r="Q252" s="24">
        <f>IF(Database!BL252="","",IFERROR(BDH(LEFT(Database!BL252,FIND(".",Database!BL252)-1)&amp;" CH Equity","PE_RATIO",Database!$H252,Database!$H252),""))</f>
        <v/>
      </c>
      <c r="R252" s="24">
        <f>IF(Database!BL252="","",IFERROR(BDH("HSAHP Index","PX_LAST",Database!$H252,Database!$H252),""))</f>
        <v/>
      </c>
      <c r="S252" s="24">
        <f>IFERROR(BDP(Database!$A252&amp;" HK Equity","PX_TO_SALES_RATIO"),"")</f>
        <v/>
      </c>
      <c r="T252" s="18">
        <f>IF(Database!BL252="","",IFERROR(BDP(LEFT(Database!BL252,FIND(".",Database!BL252)-1)&amp;" CH Equity","CUR_MKT_CAP"),""))</f>
        <v/>
      </c>
    </row>
    <row r="253">
      <c r="A253" s="16">
        <f>Database!A253&amp;"  "&amp;Database!B253</f>
        <v/>
      </c>
      <c r="B253" s="10">
        <f>IFERROR(INDEX(BDS(Database!$A253&amp;" HK Equity","EQUITY_OFFERINGS","array=t","endcol=1"),MATCH("IPO",BDS(Database!$A253&amp;" HK Equity","EQUITY_OFFERINGS","array=t","startcol=2","endcol=2"),0)),"")</f>
        <v/>
      </c>
      <c r="C253" s="103">
        <f>IF($B253="","",IFERROR(BDP($B253&amp;" Action","CP036"),""))</f>
        <v/>
      </c>
      <c r="D253" s="104">
        <f>Database!S253</f>
        <v/>
      </c>
      <c r="E253" s="103">
        <f>IF($B253="","",IFERROR(BDP($B253&amp;" Action","CP037"),""))</f>
        <v/>
      </c>
      <c r="F253" s="104">
        <f>Database!T253</f>
        <v/>
      </c>
      <c r="G253" s="103">
        <f>IF($B253="","",IFERROR(BDP($B253&amp;" Action","GREENSHOE_FACILITY"),""))</f>
        <v/>
      </c>
      <c r="H253" s="103">
        <f>IF($B253="","",IFERROR(BDP($B253&amp;" Action","OFFERING_GREENSHOE_SHARES_EX"),""))</f>
        <v/>
      </c>
      <c r="I253" s="16">
        <f>Database!AG253</f>
        <v/>
      </c>
      <c r="J253" s="24">
        <f>IFERROR(BDP(Database!$A253&amp;" HK Equity","PE_RATIO"),"")</f>
        <v/>
      </c>
      <c r="K253" s="10">
        <f>IFERROR(BDP(Database!$A253&amp;" HK Equity","A/H_SHARE_CONVERSION"),"")</f>
        <v/>
      </c>
      <c r="L253" s="16">
        <f>IF(Database!BL253="","(none found)",Database!BL253)</f>
        <v/>
      </c>
      <c r="M253" s="18">
        <f>IFERROR(BDH(Database!$A253&amp;" HK Equity","CUR_MKT_CAP",Database!$H253,Database!$H253),"")</f>
        <v/>
      </c>
      <c r="N253" s="97">
        <f>Database!Q253</f>
        <v/>
      </c>
      <c r="O253" s="24">
        <f>IFERROR(BDH(Database!$A253&amp;" HK Equity","PE_RATIO",Database!$H253,Database!$H253),"")</f>
        <v/>
      </c>
      <c r="P253" s="101">
        <f>IF(Database!BF253="","(n/m or not derivable)",Database!BF253)</f>
        <v/>
      </c>
      <c r="Q253" s="24">
        <f>IF(Database!BL253="","",IFERROR(BDH(LEFT(Database!BL253,FIND(".",Database!BL253)-1)&amp;" CH Equity","PE_RATIO",Database!$H253,Database!$H253),""))</f>
        <v/>
      </c>
      <c r="R253" s="24">
        <f>IF(Database!BL253="","",IFERROR(BDH("HSAHP Index","PX_LAST",Database!$H253,Database!$H253),""))</f>
        <v/>
      </c>
      <c r="S253" s="24">
        <f>IFERROR(BDP(Database!$A253&amp;" HK Equity","PX_TO_SALES_RATIO"),"")</f>
        <v/>
      </c>
      <c r="T253" s="18">
        <f>IF(Database!BL253="","",IFERROR(BDP(LEFT(Database!BL253,FIND(".",Database!BL253)-1)&amp;" CH Equity","CUR_MKT_CAP"),""))</f>
        <v/>
      </c>
    </row>
    <row r="254">
      <c r="A254" s="16">
        <f>Database!A254&amp;"  "&amp;Database!B254</f>
        <v/>
      </c>
      <c r="B254" s="10">
        <f>IFERROR(INDEX(BDS(Database!$A254&amp;" HK Equity","EQUITY_OFFERINGS","array=t","endcol=1"),MATCH("IPO",BDS(Database!$A254&amp;" HK Equity","EQUITY_OFFERINGS","array=t","startcol=2","endcol=2"),0)),"")</f>
        <v/>
      </c>
      <c r="C254" s="103">
        <f>IF($B254="","",IFERROR(BDP($B254&amp;" Action","CP036"),""))</f>
        <v/>
      </c>
      <c r="D254" s="104">
        <f>Database!S254</f>
        <v/>
      </c>
      <c r="E254" s="103">
        <f>IF($B254="","",IFERROR(BDP($B254&amp;" Action","CP037"),""))</f>
        <v/>
      </c>
      <c r="F254" s="104">
        <f>Database!T254</f>
        <v/>
      </c>
      <c r="G254" s="103">
        <f>IF($B254="","",IFERROR(BDP($B254&amp;" Action","GREENSHOE_FACILITY"),""))</f>
        <v/>
      </c>
      <c r="H254" s="103">
        <f>IF($B254="","",IFERROR(BDP($B254&amp;" Action","OFFERING_GREENSHOE_SHARES_EX"),""))</f>
        <v/>
      </c>
      <c r="I254" s="16">
        <f>Database!AG254</f>
        <v/>
      </c>
      <c r="J254" s="24">
        <f>IFERROR(BDP(Database!$A254&amp;" HK Equity","PE_RATIO"),"")</f>
        <v/>
      </c>
      <c r="K254" s="10">
        <f>IFERROR(BDP(Database!$A254&amp;" HK Equity","A/H_SHARE_CONVERSION"),"")</f>
        <v/>
      </c>
      <c r="L254" s="16">
        <f>IF(Database!BL254="","(none found)",Database!BL254)</f>
        <v/>
      </c>
      <c r="M254" s="18">
        <f>IFERROR(BDH(Database!$A254&amp;" HK Equity","CUR_MKT_CAP",Database!$H254,Database!$H254),"")</f>
        <v/>
      </c>
      <c r="N254" s="97">
        <f>Database!Q254</f>
        <v/>
      </c>
      <c r="O254" s="24">
        <f>IFERROR(BDH(Database!$A254&amp;" HK Equity","PE_RATIO",Database!$H254,Database!$H254),"")</f>
        <v/>
      </c>
      <c r="P254" s="101">
        <f>IF(Database!BF254="","(n/m or not derivable)",Database!BF254)</f>
        <v/>
      </c>
      <c r="Q254" s="24">
        <f>IF(Database!BL254="","",IFERROR(BDH(LEFT(Database!BL254,FIND(".",Database!BL254)-1)&amp;" CH Equity","PE_RATIO",Database!$H254,Database!$H254),""))</f>
        <v/>
      </c>
      <c r="R254" s="24">
        <f>IF(Database!BL254="","",IFERROR(BDH("HSAHP Index","PX_LAST",Database!$H254,Database!$H254),""))</f>
        <v/>
      </c>
      <c r="S254" s="24">
        <f>IFERROR(BDP(Database!$A254&amp;" HK Equity","PX_TO_SALES_RATIO"),"")</f>
        <v/>
      </c>
      <c r="T254" s="18">
        <f>IF(Database!BL254="","",IFERROR(BDP(LEFT(Database!BL254,FIND(".",Database!BL254)-1)&amp;" CH Equity","CUR_MKT_CAP"),""))</f>
        <v/>
      </c>
    </row>
    <row r="255">
      <c r="A255" s="16">
        <f>Database!A255&amp;"  "&amp;Database!B255</f>
        <v/>
      </c>
      <c r="B255" s="10">
        <f>IFERROR(INDEX(BDS(Database!$A255&amp;" HK Equity","EQUITY_OFFERINGS","array=t","endcol=1"),MATCH("IPO",BDS(Database!$A255&amp;" HK Equity","EQUITY_OFFERINGS","array=t","startcol=2","endcol=2"),0)),"")</f>
        <v/>
      </c>
      <c r="C255" s="103">
        <f>IF($B255="","",IFERROR(BDP($B255&amp;" Action","CP036"),""))</f>
        <v/>
      </c>
      <c r="D255" s="104">
        <f>Database!S255</f>
        <v/>
      </c>
      <c r="E255" s="103">
        <f>IF($B255="","",IFERROR(BDP($B255&amp;" Action","CP037"),""))</f>
        <v/>
      </c>
      <c r="F255" s="104">
        <f>Database!T255</f>
        <v/>
      </c>
      <c r="G255" s="103">
        <f>IF($B255="","",IFERROR(BDP($B255&amp;" Action","GREENSHOE_FACILITY"),""))</f>
        <v/>
      </c>
      <c r="H255" s="103">
        <f>IF($B255="","",IFERROR(BDP($B255&amp;" Action","OFFERING_GREENSHOE_SHARES_EX"),""))</f>
        <v/>
      </c>
      <c r="I255" s="16">
        <f>Database!AG255</f>
        <v/>
      </c>
      <c r="J255" s="24">
        <f>IFERROR(BDP(Database!$A255&amp;" HK Equity","PE_RATIO"),"")</f>
        <v/>
      </c>
      <c r="K255" s="10">
        <f>IFERROR(BDP(Database!$A255&amp;" HK Equity","A/H_SHARE_CONVERSION"),"")</f>
        <v/>
      </c>
      <c r="L255" s="16">
        <f>IF(Database!BL255="","(none found)",Database!BL255)</f>
        <v/>
      </c>
      <c r="M255" s="18">
        <f>IFERROR(BDH(Database!$A255&amp;" HK Equity","CUR_MKT_CAP",Database!$H255,Database!$H255),"")</f>
        <v/>
      </c>
      <c r="N255" s="97">
        <f>Database!Q255</f>
        <v/>
      </c>
      <c r="O255" s="24">
        <f>IFERROR(BDH(Database!$A255&amp;" HK Equity","PE_RATIO",Database!$H255,Database!$H255),"")</f>
        <v/>
      </c>
      <c r="P255" s="101">
        <f>IF(Database!BF255="","(n/m or not derivable)",Database!BF255)</f>
        <v/>
      </c>
      <c r="Q255" s="24">
        <f>IF(Database!BL255="","",IFERROR(BDH(LEFT(Database!BL255,FIND(".",Database!BL255)-1)&amp;" CH Equity","PE_RATIO",Database!$H255,Database!$H255),""))</f>
        <v/>
      </c>
      <c r="R255" s="24">
        <f>IF(Database!BL255="","",IFERROR(BDH("HSAHP Index","PX_LAST",Database!$H255,Database!$H255),""))</f>
        <v/>
      </c>
      <c r="S255" s="24">
        <f>IFERROR(BDP(Database!$A255&amp;" HK Equity","PX_TO_SALES_RATIO"),"")</f>
        <v/>
      </c>
      <c r="T255" s="18">
        <f>IF(Database!BL255="","",IFERROR(BDP(LEFT(Database!BL255,FIND(".",Database!BL255)-1)&amp;" CH Equity","CUR_MKT_CAP"),""))</f>
        <v/>
      </c>
    </row>
    <row r="256">
      <c r="A256" s="16">
        <f>Database!A256&amp;"  "&amp;Database!B256</f>
        <v/>
      </c>
      <c r="B256" s="10">
        <f>IFERROR(INDEX(BDS(Database!$A256&amp;" HK Equity","EQUITY_OFFERINGS","array=t","endcol=1"),MATCH("IPO",BDS(Database!$A256&amp;" HK Equity","EQUITY_OFFERINGS","array=t","startcol=2","endcol=2"),0)),"")</f>
        <v/>
      </c>
      <c r="C256" s="103">
        <f>IF($B256="","",IFERROR(BDP($B256&amp;" Action","CP036"),""))</f>
        <v/>
      </c>
      <c r="D256" s="104">
        <f>Database!S256</f>
        <v/>
      </c>
      <c r="E256" s="103">
        <f>IF($B256="","",IFERROR(BDP($B256&amp;" Action","CP037"),""))</f>
        <v/>
      </c>
      <c r="F256" s="104">
        <f>Database!T256</f>
        <v/>
      </c>
      <c r="G256" s="103">
        <f>IF($B256="","",IFERROR(BDP($B256&amp;" Action","GREENSHOE_FACILITY"),""))</f>
        <v/>
      </c>
      <c r="H256" s="103">
        <f>IF($B256="","",IFERROR(BDP($B256&amp;" Action","OFFERING_GREENSHOE_SHARES_EX"),""))</f>
        <v/>
      </c>
      <c r="I256" s="16">
        <f>Database!AG256</f>
        <v/>
      </c>
      <c r="J256" s="24">
        <f>IFERROR(BDP(Database!$A256&amp;" HK Equity","PE_RATIO"),"")</f>
        <v/>
      </c>
      <c r="K256" s="10">
        <f>IFERROR(BDP(Database!$A256&amp;" HK Equity","A/H_SHARE_CONVERSION"),"")</f>
        <v/>
      </c>
      <c r="L256" s="16">
        <f>IF(Database!BL256="","(none found)",Database!BL256)</f>
        <v/>
      </c>
      <c r="M256" s="18">
        <f>IFERROR(BDH(Database!$A256&amp;" HK Equity","CUR_MKT_CAP",Database!$H256,Database!$H256),"")</f>
        <v/>
      </c>
      <c r="N256" s="97">
        <f>Database!Q256</f>
        <v/>
      </c>
      <c r="O256" s="24">
        <f>IFERROR(BDH(Database!$A256&amp;" HK Equity","PE_RATIO",Database!$H256,Database!$H256),"")</f>
        <v/>
      </c>
      <c r="P256" s="101">
        <f>IF(Database!BF256="","(n/m or not derivable)",Database!BF256)</f>
        <v/>
      </c>
      <c r="Q256" s="24">
        <f>IF(Database!BL256="","",IFERROR(BDH(LEFT(Database!BL256,FIND(".",Database!BL256)-1)&amp;" CH Equity","PE_RATIO",Database!$H256,Database!$H256),""))</f>
        <v/>
      </c>
      <c r="R256" s="24">
        <f>IF(Database!BL256="","",IFERROR(BDH("HSAHP Index","PX_LAST",Database!$H256,Database!$H256),""))</f>
        <v/>
      </c>
      <c r="S256" s="24">
        <f>IFERROR(BDP(Database!$A256&amp;" HK Equity","PX_TO_SALES_RATIO"),"")</f>
        <v/>
      </c>
      <c r="T256" s="18">
        <f>IF(Database!BL256="","",IFERROR(BDP(LEFT(Database!BL256,FIND(".",Database!BL256)-1)&amp;" CH Equity","CUR_MKT_CAP"),""))</f>
        <v/>
      </c>
    </row>
    <row r="257">
      <c r="A257" s="16">
        <f>Database!A257&amp;"  "&amp;Database!B257</f>
        <v/>
      </c>
      <c r="B257" s="10">
        <f>IFERROR(INDEX(BDS(Database!$A257&amp;" HK Equity","EQUITY_OFFERINGS","array=t","endcol=1"),MATCH("IPO",BDS(Database!$A257&amp;" HK Equity","EQUITY_OFFERINGS","array=t","startcol=2","endcol=2"),0)),"")</f>
        <v/>
      </c>
      <c r="C257" s="103">
        <f>IF($B257="","",IFERROR(BDP($B257&amp;" Action","CP036"),""))</f>
        <v/>
      </c>
      <c r="D257" s="104">
        <f>Database!S257</f>
        <v/>
      </c>
      <c r="E257" s="103">
        <f>IF($B257="","",IFERROR(BDP($B257&amp;" Action","CP037"),""))</f>
        <v/>
      </c>
      <c r="F257" s="104">
        <f>Database!T257</f>
        <v/>
      </c>
      <c r="G257" s="103">
        <f>IF($B257="","",IFERROR(BDP($B257&amp;" Action","GREENSHOE_FACILITY"),""))</f>
        <v/>
      </c>
      <c r="H257" s="103">
        <f>IF($B257="","",IFERROR(BDP($B257&amp;" Action","OFFERING_GREENSHOE_SHARES_EX"),""))</f>
        <v/>
      </c>
      <c r="I257" s="16">
        <f>Database!AG257</f>
        <v/>
      </c>
      <c r="J257" s="24">
        <f>IFERROR(BDP(Database!$A257&amp;" HK Equity","PE_RATIO"),"")</f>
        <v/>
      </c>
      <c r="K257" s="10">
        <f>IFERROR(BDP(Database!$A257&amp;" HK Equity","A/H_SHARE_CONVERSION"),"")</f>
        <v/>
      </c>
      <c r="L257" s="16">
        <f>IF(Database!BL257="","(none found)",Database!BL257)</f>
        <v/>
      </c>
      <c r="M257" s="18">
        <f>IFERROR(BDH(Database!$A257&amp;" HK Equity","CUR_MKT_CAP",Database!$H257,Database!$H257),"")</f>
        <v/>
      </c>
      <c r="N257" s="97">
        <f>Database!Q257</f>
        <v/>
      </c>
      <c r="O257" s="24">
        <f>IFERROR(BDH(Database!$A257&amp;" HK Equity","PE_RATIO",Database!$H257,Database!$H257),"")</f>
        <v/>
      </c>
      <c r="P257" s="101">
        <f>IF(Database!BF257="","(n/m or not derivable)",Database!BF257)</f>
        <v/>
      </c>
      <c r="Q257" s="24">
        <f>IF(Database!BL257="","",IFERROR(BDH(LEFT(Database!BL257,FIND(".",Database!BL257)-1)&amp;" CH Equity","PE_RATIO",Database!$H257,Database!$H257),""))</f>
        <v/>
      </c>
      <c r="R257" s="24">
        <f>IF(Database!BL257="","",IFERROR(BDH("HSAHP Index","PX_LAST",Database!$H257,Database!$H257),""))</f>
        <v/>
      </c>
      <c r="S257" s="24">
        <f>IFERROR(BDP(Database!$A257&amp;" HK Equity","PX_TO_SALES_RATIO"),"")</f>
        <v/>
      </c>
      <c r="T257" s="18">
        <f>IF(Database!BL257="","",IFERROR(BDP(LEFT(Database!BL257,FIND(".",Database!BL257)-1)&amp;" CH Equity","CUR_MKT_CAP"),""))</f>
        <v/>
      </c>
    </row>
    <row r="258">
      <c r="A258" s="16">
        <f>Database!A258&amp;"  "&amp;Database!B258</f>
        <v/>
      </c>
      <c r="B258" s="10">
        <f>IFERROR(INDEX(BDS(Database!$A258&amp;" HK Equity","EQUITY_OFFERINGS","array=t","endcol=1"),MATCH("IPO",BDS(Database!$A258&amp;" HK Equity","EQUITY_OFFERINGS","array=t","startcol=2","endcol=2"),0)),"")</f>
        <v/>
      </c>
      <c r="C258" s="103">
        <f>IF($B258="","",IFERROR(BDP($B258&amp;" Action","CP036"),""))</f>
        <v/>
      </c>
      <c r="D258" s="104">
        <f>Database!S258</f>
        <v/>
      </c>
      <c r="E258" s="103">
        <f>IF($B258="","",IFERROR(BDP($B258&amp;" Action","CP037"),""))</f>
        <v/>
      </c>
      <c r="F258" s="104">
        <f>Database!T258</f>
        <v/>
      </c>
      <c r="G258" s="103">
        <f>IF($B258="","",IFERROR(BDP($B258&amp;" Action","GREENSHOE_FACILITY"),""))</f>
        <v/>
      </c>
      <c r="H258" s="103">
        <f>IF($B258="","",IFERROR(BDP($B258&amp;" Action","OFFERING_GREENSHOE_SHARES_EX"),""))</f>
        <v/>
      </c>
      <c r="I258" s="16">
        <f>Database!AG258</f>
        <v/>
      </c>
      <c r="J258" s="24">
        <f>IFERROR(BDP(Database!$A258&amp;" HK Equity","PE_RATIO"),"")</f>
        <v/>
      </c>
      <c r="K258" s="10">
        <f>IFERROR(BDP(Database!$A258&amp;" HK Equity","A/H_SHARE_CONVERSION"),"")</f>
        <v/>
      </c>
      <c r="L258" s="16">
        <f>IF(Database!BL258="","(none found)",Database!BL258)</f>
        <v/>
      </c>
      <c r="M258" s="18">
        <f>IFERROR(BDH(Database!$A258&amp;" HK Equity","CUR_MKT_CAP",Database!$H258,Database!$H258),"")</f>
        <v/>
      </c>
      <c r="N258" s="97">
        <f>Database!Q258</f>
        <v/>
      </c>
      <c r="O258" s="24">
        <f>IFERROR(BDH(Database!$A258&amp;" HK Equity","PE_RATIO",Database!$H258,Database!$H258),"")</f>
        <v/>
      </c>
      <c r="P258" s="101">
        <f>IF(Database!BF258="","(n/m or not derivable)",Database!BF258)</f>
        <v/>
      </c>
      <c r="Q258" s="24">
        <f>IF(Database!BL258="","",IFERROR(BDH(LEFT(Database!BL258,FIND(".",Database!BL258)-1)&amp;" CH Equity","PE_RATIO",Database!$H258,Database!$H258),""))</f>
        <v/>
      </c>
      <c r="R258" s="24">
        <f>IF(Database!BL258="","",IFERROR(BDH("HSAHP Index","PX_LAST",Database!$H258,Database!$H258),""))</f>
        <v/>
      </c>
      <c r="S258" s="24">
        <f>IFERROR(BDP(Database!$A258&amp;" HK Equity","PX_TO_SALES_RATIO"),"")</f>
        <v/>
      </c>
      <c r="T258" s="18">
        <f>IF(Database!BL258="","",IFERROR(BDP(LEFT(Database!BL258,FIND(".",Database!BL258)-1)&amp;" CH Equity","CUR_MKT_CAP"),""))</f>
        <v/>
      </c>
    </row>
    <row r="259">
      <c r="A259" s="16">
        <f>Database!A259&amp;"  "&amp;Database!B259</f>
        <v/>
      </c>
      <c r="B259" s="10">
        <f>IFERROR(INDEX(BDS(Database!$A259&amp;" HK Equity","EQUITY_OFFERINGS","array=t","endcol=1"),MATCH("IPO",BDS(Database!$A259&amp;" HK Equity","EQUITY_OFFERINGS","array=t","startcol=2","endcol=2"),0)),"")</f>
        <v/>
      </c>
      <c r="C259" s="103">
        <f>IF($B259="","",IFERROR(BDP($B259&amp;" Action","CP036"),""))</f>
        <v/>
      </c>
      <c r="D259" s="104">
        <f>Database!S259</f>
        <v/>
      </c>
      <c r="E259" s="103">
        <f>IF($B259="","",IFERROR(BDP($B259&amp;" Action","CP037"),""))</f>
        <v/>
      </c>
      <c r="F259" s="104">
        <f>Database!T259</f>
        <v/>
      </c>
      <c r="G259" s="103">
        <f>IF($B259="","",IFERROR(BDP($B259&amp;" Action","GREENSHOE_FACILITY"),""))</f>
        <v/>
      </c>
      <c r="H259" s="103">
        <f>IF($B259="","",IFERROR(BDP($B259&amp;" Action","OFFERING_GREENSHOE_SHARES_EX"),""))</f>
        <v/>
      </c>
      <c r="I259" s="16">
        <f>Database!AG259</f>
        <v/>
      </c>
      <c r="J259" s="24">
        <f>IFERROR(BDP(Database!$A259&amp;" HK Equity","PE_RATIO"),"")</f>
        <v/>
      </c>
      <c r="K259" s="10">
        <f>IFERROR(BDP(Database!$A259&amp;" HK Equity","A/H_SHARE_CONVERSION"),"")</f>
        <v/>
      </c>
      <c r="L259" s="16">
        <f>IF(Database!BL259="","(none found)",Database!BL259)</f>
        <v/>
      </c>
      <c r="M259" s="18">
        <f>IFERROR(BDH(Database!$A259&amp;" HK Equity","CUR_MKT_CAP",Database!$H259,Database!$H259),"")</f>
        <v/>
      </c>
      <c r="N259" s="97">
        <f>Database!Q259</f>
        <v/>
      </c>
      <c r="O259" s="24">
        <f>IFERROR(BDH(Database!$A259&amp;" HK Equity","PE_RATIO",Database!$H259,Database!$H259),"")</f>
        <v/>
      </c>
      <c r="P259" s="101">
        <f>IF(Database!BF259="","(n/m or not derivable)",Database!BF259)</f>
        <v/>
      </c>
      <c r="Q259" s="24">
        <f>IF(Database!BL259="","",IFERROR(BDH(LEFT(Database!BL259,FIND(".",Database!BL259)-1)&amp;" CH Equity","PE_RATIO",Database!$H259,Database!$H259),""))</f>
        <v/>
      </c>
      <c r="R259" s="24">
        <f>IF(Database!BL259="","",IFERROR(BDH("HSAHP Index","PX_LAST",Database!$H259,Database!$H259),""))</f>
        <v/>
      </c>
      <c r="S259" s="24">
        <f>IFERROR(BDP(Database!$A259&amp;" HK Equity","PX_TO_SALES_RATIO"),"")</f>
        <v/>
      </c>
      <c r="T259" s="18">
        <f>IF(Database!BL259="","",IFERROR(BDP(LEFT(Database!BL259,FIND(".",Database!BL259)-1)&amp;" CH Equity","CUR_MKT_CAP"),""))</f>
        <v/>
      </c>
    </row>
    <row r="260">
      <c r="A260" s="16">
        <f>Database!A260&amp;"  "&amp;Database!B260</f>
        <v/>
      </c>
      <c r="B260" s="10">
        <f>IFERROR(INDEX(BDS(Database!$A260&amp;" HK Equity","EQUITY_OFFERINGS","array=t","endcol=1"),MATCH("IPO",BDS(Database!$A260&amp;" HK Equity","EQUITY_OFFERINGS","array=t","startcol=2","endcol=2"),0)),"")</f>
        <v/>
      </c>
      <c r="C260" s="103">
        <f>IF($B260="","",IFERROR(BDP($B260&amp;" Action","CP036"),""))</f>
        <v/>
      </c>
      <c r="D260" s="104">
        <f>Database!S260</f>
        <v/>
      </c>
      <c r="E260" s="103">
        <f>IF($B260="","",IFERROR(BDP($B260&amp;" Action","CP037"),""))</f>
        <v/>
      </c>
      <c r="F260" s="104">
        <f>Database!T260</f>
        <v/>
      </c>
      <c r="G260" s="103">
        <f>IF($B260="","",IFERROR(BDP($B260&amp;" Action","GREENSHOE_FACILITY"),""))</f>
        <v/>
      </c>
      <c r="H260" s="103">
        <f>IF($B260="","",IFERROR(BDP($B260&amp;" Action","OFFERING_GREENSHOE_SHARES_EX"),""))</f>
        <v/>
      </c>
      <c r="I260" s="16">
        <f>Database!AG260</f>
        <v/>
      </c>
      <c r="J260" s="24">
        <f>IFERROR(BDP(Database!$A260&amp;" HK Equity","PE_RATIO"),"")</f>
        <v/>
      </c>
      <c r="K260" s="10">
        <f>IFERROR(BDP(Database!$A260&amp;" HK Equity","A/H_SHARE_CONVERSION"),"")</f>
        <v/>
      </c>
      <c r="L260" s="16">
        <f>IF(Database!BL260="","(none found)",Database!BL260)</f>
        <v/>
      </c>
      <c r="M260" s="18">
        <f>IFERROR(BDH(Database!$A260&amp;" HK Equity","CUR_MKT_CAP",Database!$H260,Database!$H260),"")</f>
        <v/>
      </c>
      <c r="N260" s="97">
        <f>Database!Q260</f>
        <v/>
      </c>
      <c r="O260" s="24">
        <f>IFERROR(BDH(Database!$A260&amp;" HK Equity","PE_RATIO",Database!$H260,Database!$H260),"")</f>
        <v/>
      </c>
      <c r="P260" s="101">
        <f>IF(Database!BF260="","(n/m or not derivable)",Database!BF260)</f>
        <v/>
      </c>
      <c r="Q260" s="24">
        <f>IF(Database!BL260="","",IFERROR(BDH(LEFT(Database!BL260,FIND(".",Database!BL260)-1)&amp;" CH Equity","PE_RATIO",Database!$H260,Database!$H260),""))</f>
        <v/>
      </c>
      <c r="R260" s="24">
        <f>IF(Database!BL260="","",IFERROR(BDH("HSAHP Index","PX_LAST",Database!$H260,Database!$H260),""))</f>
        <v/>
      </c>
      <c r="S260" s="24">
        <f>IFERROR(BDP(Database!$A260&amp;" HK Equity","PX_TO_SALES_RATIO"),"")</f>
        <v/>
      </c>
      <c r="T260" s="18">
        <f>IF(Database!BL260="","",IFERROR(BDP(LEFT(Database!BL260,FIND(".",Database!BL260)-1)&amp;" CH Equity","CUR_MKT_CAP"),""))</f>
        <v/>
      </c>
    </row>
    <row r="261">
      <c r="A261" s="16">
        <f>Database!A261&amp;"  "&amp;Database!B261</f>
        <v/>
      </c>
      <c r="B261" s="10">
        <f>IFERROR(INDEX(BDS(Database!$A261&amp;" HK Equity","EQUITY_OFFERINGS","array=t","endcol=1"),MATCH("IPO",BDS(Database!$A261&amp;" HK Equity","EQUITY_OFFERINGS","array=t","startcol=2","endcol=2"),0)),"")</f>
        <v/>
      </c>
      <c r="C261" s="103">
        <f>IF($B261="","",IFERROR(BDP($B261&amp;" Action","CP036"),""))</f>
        <v/>
      </c>
      <c r="D261" s="104">
        <f>Database!S261</f>
        <v/>
      </c>
      <c r="E261" s="103">
        <f>IF($B261="","",IFERROR(BDP($B261&amp;" Action","CP037"),""))</f>
        <v/>
      </c>
      <c r="F261" s="104">
        <f>Database!T261</f>
        <v/>
      </c>
      <c r="G261" s="103">
        <f>IF($B261="","",IFERROR(BDP($B261&amp;" Action","GREENSHOE_FACILITY"),""))</f>
        <v/>
      </c>
      <c r="H261" s="103">
        <f>IF($B261="","",IFERROR(BDP($B261&amp;" Action","OFFERING_GREENSHOE_SHARES_EX"),""))</f>
        <v/>
      </c>
      <c r="I261" s="16">
        <f>Database!AG261</f>
        <v/>
      </c>
      <c r="J261" s="24">
        <f>IFERROR(BDP(Database!$A261&amp;" HK Equity","PE_RATIO"),"")</f>
        <v/>
      </c>
      <c r="K261" s="10">
        <f>IFERROR(BDP(Database!$A261&amp;" HK Equity","A/H_SHARE_CONVERSION"),"")</f>
        <v/>
      </c>
      <c r="L261" s="16">
        <f>IF(Database!BL261="","(none found)",Database!BL261)</f>
        <v/>
      </c>
      <c r="M261" s="18">
        <f>IFERROR(BDH(Database!$A261&amp;" HK Equity","CUR_MKT_CAP",Database!$H261,Database!$H261),"")</f>
        <v/>
      </c>
      <c r="N261" s="97">
        <f>Database!Q261</f>
        <v/>
      </c>
      <c r="O261" s="24">
        <f>IFERROR(BDH(Database!$A261&amp;" HK Equity","PE_RATIO",Database!$H261,Database!$H261),"")</f>
        <v/>
      </c>
      <c r="P261" s="101">
        <f>IF(Database!BF261="","(n/m or not derivable)",Database!BF261)</f>
        <v/>
      </c>
      <c r="Q261" s="24">
        <f>IF(Database!BL261="","",IFERROR(BDH(LEFT(Database!BL261,FIND(".",Database!BL261)-1)&amp;" CH Equity","PE_RATIO",Database!$H261,Database!$H261),""))</f>
        <v/>
      </c>
      <c r="R261" s="24">
        <f>IF(Database!BL261="","",IFERROR(BDH("HSAHP Index","PX_LAST",Database!$H261,Database!$H261),""))</f>
        <v/>
      </c>
      <c r="S261" s="24">
        <f>IFERROR(BDP(Database!$A261&amp;" HK Equity","PX_TO_SALES_RATIO"),"")</f>
        <v/>
      </c>
      <c r="T261" s="18">
        <f>IF(Database!BL261="","",IFERROR(BDP(LEFT(Database!BL261,FIND(".",Database!BL261)-1)&amp;" CH Equity","CUR_MKT_CAP"),""))</f>
        <v/>
      </c>
    </row>
    <row r="262">
      <c r="A262" s="16">
        <f>Database!A262&amp;"  "&amp;Database!B262</f>
        <v/>
      </c>
      <c r="B262" s="10">
        <f>IFERROR(INDEX(BDS(Database!$A262&amp;" HK Equity","EQUITY_OFFERINGS","array=t","endcol=1"),MATCH("IPO",BDS(Database!$A262&amp;" HK Equity","EQUITY_OFFERINGS","array=t","startcol=2","endcol=2"),0)),"")</f>
        <v/>
      </c>
      <c r="C262" s="103">
        <f>IF($B262="","",IFERROR(BDP($B262&amp;" Action","CP036"),""))</f>
        <v/>
      </c>
      <c r="D262" s="104">
        <f>Database!S262</f>
        <v/>
      </c>
      <c r="E262" s="103">
        <f>IF($B262="","",IFERROR(BDP($B262&amp;" Action","CP037"),""))</f>
        <v/>
      </c>
      <c r="F262" s="104">
        <f>Database!T262</f>
        <v/>
      </c>
      <c r="G262" s="103">
        <f>IF($B262="","",IFERROR(BDP($B262&amp;" Action","GREENSHOE_FACILITY"),""))</f>
        <v/>
      </c>
      <c r="H262" s="103">
        <f>IF($B262="","",IFERROR(BDP($B262&amp;" Action","OFFERING_GREENSHOE_SHARES_EX"),""))</f>
        <v/>
      </c>
      <c r="I262" s="16">
        <f>Database!AG262</f>
        <v/>
      </c>
      <c r="J262" s="24">
        <f>IFERROR(BDP(Database!$A262&amp;" HK Equity","PE_RATIO"),"")</f>
        <v/>
      </c>
      <c r="K262" s="10">
        <f>IFERROR(BDP(Database!$A262&amp;" HK Equity","A/H_SHARE_CONVERSION"),"")</f>
        <v/>
      </c>
      <c r="L262" s="16">
        <f>IF(Database!BL262="","(none found)",Database!BL262)</f>
        <v/>
      </c>
      <c r="M262" s="18">
        <f>IFERROR(BDH(Database!$A262&amp;" HK Equity","CUR_MKT_CAP",Database!$H262,Database!$H262),"")</f>
        <v/>
      </c>
      <c r="N262" s="97">
        <f>Database!Q262</f>
        <v/>
      </c>
      <c r="O262" s="24">
        <f>IFERROR(BDH(Database!$A262&amp;" HK Equity","PE_RATIO",Database!$H262,Database!$H262),"")</f>
        <v/>
      </c>
      <c r="P262" s="101">
        <f>IF(Database!BF262="","(n/m or not derivable)",Database!BF262)</f>
        <v/>
      </c>
      <c r="Q262" s="24">
        <f>IF(Database!BL262="","",IFERROR(BDH(LEFT(Database!BL262,FIND(".",Database!BL262)-1)&amp;" CH Equity","PE_RATIO",Database!$H262,Database!$H262),""))</f>
        <v/>
      </c>
      <c r="R262" s="24">
        <f>IF(Database!BL262="","",IFERROR(BDH("HSAHP Index","PX_LAST",Database!$H262,Database!$H262),""))</f>
        <v/>
      </c>
      <c r="S262" s="24">
        <f>IFERROR(BDP(Database!$A262&amp;" HK Equity","PX_TO_SALES_RATIO"),"")</f>
        <v/>
      </c>
      <c r="T262" s="18">
        <f>IF(Database!BL262="","",IFERROR(BDP(LEFT(Database!BL262,FIND(".",Database!BL262)-1)&amp;" CH Equity","CUR_MKT_CAP"),""))</f>
        <v/>
      </c>
    </row>
    <row r="263">
      <c r="A263" s="16">
        <f>Database!A263&amp;"  "&amp;Database!B263</f>
        <v/>
      </c>
      <c r="B263" s="10">
        <f>IFERROR(INDEX(BDS(Database!$A263&amp;" HK Equity","EQUITY_OFFERINGS","array=t","endcol=1"),MATCH("IPO",BDS(Database!$A263&amp;" HK Equity","EQUITY_OFFERINGS","array=t","startcol=2","endcol=2"),0)),"")</f>
        <v/>
      </c>
      <c r="C263" s="103">
        <f>IF($B263="","",IFERROR(BDP($B263&amp;" Action","CP036"),""))</f>
        <v/>
      </c>
      <c r="D263" s="104">
        <f>Database!S263</f>
        <v/>
      </c>
      <c r="E263" s="103">
        <f>IF($B263="","",IFERROR(BDP($B263&amp;" Action","CP037"),""))</f>
        <v/>
      </c>
      <c r="F263" s="104">
        <f>Database!T263</f>
        <v/>
      </c>
      <c r="G263" s="103">
        <f>IF($B263="","",IFERROR(BDP($B263&amp;" Action","GREENSHOE_FACILITY"),""))</f>
        <v/>
      </c>
      <c r="H263" s="103">
        <f>IF($B263="","",IFERROR(BDP($B263&amp;" Action","OFFERING_GREENSHOE_SHARES_EX"),""))</f>
        <v/>
      </c>
      <c r="I263" s="16">
        <f>Database!AG263</f>
        <v/>
      </c>
      <c r="J263" s="24">
        <f>IFERROR(BDP(Database!$A263&amp;" HK Equity","PE_RATIO"),"")</f>
        <v/>
      </c>
      <c r="K263" s="10">
        <f>IFERROR(BDP(Database!$A263&amp;" HK Equity","A/H_SHARE_CONVERSION"),"")</f>
        <v/>
      </c>
      <c r="L263" s="16">
        <f>IF(Database!BL263="","(none found)",Database!BL263)</f>
        <v/>
      </c>
      <c r="M263" s="18">
        <f>IFERROR(BDH(Database!$A263&amp;" HK Equity","CUR_MKT_CAP",Database!$H263,Database!$H263),"")</f>
        <v/>
      </c>
      <c r="N263" s="97">
        <f>Database!Q263</f>
        <v/>
      </c>
      <c r="O263" s="24">
        <f>IFERROR(BDH(Database!$A263&amp;" HK Equity","PE_RATIO",Database!$H263,Database!$H263),"")</f>
        <v/>
      </c>
      <c r="P263" s="101">
        <f>IF(Database!BF263="","(n/m or not derivable)",Database!BF263)</f>
        <v/>
      </c>
      <c r="Q263" s="24">
        <f>IF(Database!BL263="","",IFERROR(BDH(LEFT(Database!BL263,FIND(".",Database!BL263)-1)&amp;" CH Equity","PE_RATIO",Database!$H263,Database!$H263),""))</f>
        <v/>
      </c>
      <c r="R263" s="24">
        <f>IF(Database!BL263="","",IFERROR(BDH("HSAHP Index","PX_LAST",Database!$H263,Database!$H263),""))</f>
        <v/>
      </c>
      <c r="S263" s="24">
        <f>IFERROR(BDP(Database!$A263&amp;" HK Equity","PX_TO_SALES_RATIO"),"")</f>
        <v/>
      </c>
      <c r="T263" s="18">
        <f>IF(Database!BL263="","",IFERROR(BDP(LEFT(Database!BL263,FIND(".",Database!BL263)-1)&amp;" CH Equity","CUR_MKT_CAP"),""))</f>
        <v/>
      </c>
    </row>
    <row r="264">
      <c r="A264" s="16">
        <f>Database!A264&amp;"  "&amp;Database!B264</f>
        <v/>
      </c>
      <c r="B264" s="10">
        <f>IFERROR(INDEX(BDS(Database!$A264&amp;" HK Equity","EQUITY_OFFERINGS","array=t","endcol=1"),MATCH("IPO",BDS(Database!$A264&amp;" HK Equity","EQUITY_OFFERINGS","array=t","startcol=2","endcol=2"),0)),"")</f>
        <v/>
      </c>
      <c r="C264" s="103">
        <f>IF($B264="","",IFERROR(BDP($B264&amp;" Action","CP036"),""))</f>
        <v/>
      </c>
      <c r="D264" s="104">
        <f>Database!S264</f>
        <v/>
      </c>
      <c r="E264" s="103">
        <f>IF($B264="","",IFERROR(BDP($B264&amp;" Action","CP037"),""))</f>
        <v/>
      </c>
      <c r="F264" s="104">
        <f>Database!T264</f>
        <v/>
      </c>
      <c r="G264" s="103">
        <f>IF($B264="","",IFERROR(BDP($B264&amp;" Action","GREENSHOE_FACILITY"),""))</f>
        <v/>
      </c>
      <c r="H264" s="103">
        <f>IF($B264="","",IFERROR(BDP($B264&amp;" Action","OFFERING_GREENSHOE_SHARES_EX"),""))</f>
        <v/>
      </c>
      <c r="I264" s="16">
        <f>Database!AG264</f>
        <v/>
      </c>
      <c r="J264" s="24">
        <f>IFERROR(BDP(Database!$A264&amp;" HK Equity","PE_RATIO"),"")</f>
        <v/>
      </c>
      <c r="K264" s="10">
        <f>IFERROR(BDP(Database!$A264&amp;" HK Equity","A/H_SHARE_CONVERSION"),"")</f>
        <v/>
      </c>
      <c r="L264" s="16">
        <f>IF(Database!BL264="","(none found)",Database!BL264)</f>
        <v/>
      </c>
      <c r="M264" s="18">
        <f>IFERROR(BDH(Database!$A264&amp;" HK Equity","CUR_MKT_CAP",Database!$H264,Database!$H264),"")</f>
        <v/>
      </c>
      <c r="N264" s="97">
        <f>Database!Q264</f>
        <v/>
      </c>
      <c r="O264" s="24">
        <f>IFERROR(BDH(Database!$A264&amp;" HK Equity","PE_RATIO",Database!$H264,Database!$H264),"")</f>
        <v/>
      </c>
      <c r="P264" s="101">
        <f>IF(Database!BF264="","(n/m or not derivable)",Database!BF264)</f>
        <v/>
      </c>
      <c r="Q264" s="24">
        <f>IF(Database!BL264="","",IFERROR(BDH(LEFT(Database!BL264,FIND(".",Database!BL264)-1)&amp;" CH Equity","PE_RATIO",Database!$H264,Database!$H264),""))</f>
        <v/>
      </c>
      <c r="R264" s="24">
        <f>IF(Database!BL264="","",IFERROR(BDH("HSAHP Index","PX_LAST",Database!$H264,Database!$H264),""))</f>
        <v/>
      </c>
      <c r="S264" s="24">
        <f>IFERROR(BDP(Database!$A264&amp;" HK Equity","PX_TO_SALES_RATIO"),"")</f>
        <v/>
      </c>
      <c r="T264" s="18">
        <f>IF(Database!BL264="","",IFERROR(BDP(LEFT(Database!BL264,FIND(".",Database!BL264)-1)&amp;" CH Equity","CUR_MKT_CAP"),""))</f>
        <v/>
      </c>
    </row>
    <row r="265">
      <c r="A265" s="16">
        <f>Database!A265&amp;"  "&amp;Database!B265</f>
        <v/>
      </c>
      <c r="B265" s="10">
        <f>IFERROR(INDEX(BDS(Database!$A265&amp;" HK Equity","EQUITY_OFFERINGS","array=t","endcol=1"),MATCH("IPO",BDS(Database!$A265&amp;" HK Equity","EQUITY_OFFERINGS","array=t","startcol=2","endcol=2"),0)),"")</f>
        <v/>
      </c>
      <c r="C265" s="103">
        <f>IF($B265="","",IFERROR(BDP($B265&amp;" Action","CP036"),""))</f>
        <v/>
      </c>
      <c r="D265" s="104">
        <f>Database!S265</f>
        <v/>
      </c>
      <c r="E265" s="103">
        <f>IF($B265="","",IFERROR(BDP($B265&amp;" Action","CP037"),""))</f>
        <v/>
      </c>
      <c r="F265" s="104">
        <f>Database!T265</f>
        <v/>
      </c>
      <c r="G265" s="103">
        <f>IF($B265="","",IFERROR(BDP($B265&amp;" Action","GREENSHOE_FACILITY"),""))</f>
        <v/>
      </c>
      <c r="H265" s="103">
        <f>IF($B265="","",IFERROR(BDP($B265&amp;" Action","OFFERING_GREENSHOE_SHARES_EX"),""))</f>
        <v/>
      </c>
      <c r="I265" s="16">
        <f>Database!AG265</f>
        <v/>
      </c>
      <c r="J265" s="24">
        <f>IFERROR(BDP(Database!$A265&amp;" HK Equity","PE_RATIO"),"")</f>
        <v/>
      </c>
      <c r="K265" s="10">
        <f>IFERROR(BDP(Database!$A265&amp;" HK Equity","A/H_SHARE_CONVERSION"),"")</f>
        <v/>
      </c>
      <c r="L265" s="16">
        <f>IF(Database!BL265="","(none found)",Database!BL265)</f>
        <v/>
      </c>
      <c r="M265" s="18">
        <f>IFERROR(BDH(Database!$A265&amp;" HK Equity","CUR_MKT_CAP",Database!$H265,Database!$H265),"")</f>
        <v/>
      </c>
      <c r="N265" s="97">
        <f>Database!Q265</f>
        <v/>
      </c>
      <c r="O265" s="24">
        <f>IFERROR(BDH(Database!$A265&amp;" HK Equity","PE_RATIO",Database!$H265,Database!$H265),"")</f>
        <v/>
      </c>
      <c r="P265" s="101">
        <f>IF(Database!BF265="","(n/m or not derivable)",Database!BF265)</f>
        <v/>
      </c>
      <c r="Q265" s="24">
        <f>IF(Database!BL265="","",IFERROR(BDH(LEFT(Database!BL265,FIND(".",Database!BL265)-1)&amp;" CH Equity","PE_RATIO",Database!$H265,Database!$H265),""))</f>
        <v/>
      </c>
      <c r="R265" s="24">
        <f>IF(Database!BL265="","",IFERROR(BDH("HSAHP Index","PX_LAST",Database!$H265,Database!$H265),""))</f>
        <v/>
      </c>
      <c r="S265" s="24">
        <f>IFERROR(BDP(Database!$A265&amp;" HK Equity","PX_TO_SALES_RATIO"),"")</f>
        <v/>
      </c>
      <c r="T265" s="18">
        <f>IF(Database!BL265="","",IFERROR(BDP(LEFT(Database!BL265,FIND(".",Database!BL265)-1)&amp;" CH Equity","CUR_MKT_CAP"),""))</f>
        <v/>
      </c>
    </row>
    <row r="266">
      <c r="A266" s="16">
        <f>Database!A266&amp;"  "&amp;Database!B266</f>
        <v/>
      </c>
      <c r="B266" s="10">
        <f>IFERROR(INDEX(BDS(Database!$A266&amp;" HK Equity","EQUITY_OFFERINGS","array=t","endcol=1"),MATCH("IPO",BDS(Database!$A266&amp;" HK Equity","EQUITY_OFFERINGS","array=t","startcol=2","endcol=2"),0)),"")</f>
        <v/>
      </c>
      <c r="C266" s="103">
        <f>IF($B266="","",IFERROR(BDP($B266&amp;" Action","CP036"),""))</f>
        <v/>
      </c>
      <c r="D266" s="104">
        <f>Database!S266</f>
        <v/>
      </c>
      <c r="E266" s="103">
        <f>IF($B266="","",IFERROR(BDP($B266&amp;" Action","CP037"),""))</f>
        <v/>
      </c>
      <c r="F266" s="104">
        <f>Database!T266</f>
        <v/>
      </c>
      <c r="G266" s="103">
        <f>IF($B266="","",IFERROR(BDP($B266&amp;" Action","GREENSHOE_FACILITY"),""))</f>
        <v/>
      </c>
      <c r="H266" s="103">
        <f>IF($B266="","",IFERROR(BDP($B266&amp;" Action","OFFERING_GREENSHOE_SHARES_EX"),""))</f>
        <v/>
      </c>
      <c r="I266" s="16">
        <f>Database!AG266</f>
        <v/>
      </c>
      <c r="J266" s="24">
        <f>IFERROR(BDP(Database!$A266&amp;" HK Equity","PE_RATIO"),"")</f>
        <v/>
      </c>
      <c r="K266" s="10">
        <f>IFERROR(BDP(Database!$A266&amp;" HK Equity","A/H_SHARE_CONVERSION"),"")</f>
        <v/>
      </c>
      <c r="L266" s="16">
        <f>IF(Database!BL266="","(none found)",Database!BL266)</f>
        <v/>
      </c>
      <c r="M266" s="18">
        <f>IFERROR(BDH(Database!$A266&amp;" HK Equity","CUR_MKT_CAP",Database!$H266,Database!$H266),"")</f>
        <v/>
      </c>
      <c r="N266" s="97">
        <f>Database!Q266</f>
        <v/>
      </c>
      <c r="O266" s="24">
        <f>IFERROR(BDH(Database!$A266&amp;" HK Equity","PE_RATIO",Database!$H266,Database!$H266),"")</f>
        <v/>
      </c>
      <c r="P266" s="101">
        <f>IF(Database!BF266="","(n/m or not derivable)",Database!BF266)</f>
        <v/>
      </c>
      <c r="Q266" s="24">
        <f>IF(Database!BL266="","",IFERROR(BDH(LEFT(Database!BL266,FIND(".",Database!BL266)-1)&amp;" CH Equity","PE_RATIO",Database!$H266,Database!$H266),""))</f>
        <v/>
      </c>
      <c r="R266" s="24">
        <f>IF(Database!BL266="","",IFERROR(BDH("HSAHP Index","PX_LAST",Database!$H266,Database!$H266),""))</f>
        <v/>
      </c>
      <c r="S266" s="24">
        <f>IFERROR(BDP(Database!$A266&amp;" HK Equity","PX_TO_SALES_RATIO"),"")</f>
        <v/>
      </c>
      <c r="T266" s="18">
        <f>IF(Database!BL266="","",IFERROR(BDP(LEFT(Database!BL266,FIND(".",Database!BL266)-1)&amp;" CH Equity","CUR_MKT_CAP"),""))</f>
        <v/>
      </c>
    </row>
    <row r="267">
      <c r="A267" s="16">
        <f>Database!A267&amp;"  "&amp;Database!B267</f>
        <v/>
      </c>
      <c r="B267" s="10">
        <f>IFERROR(INDEX(BDS(Database!$A267&amp;" HK Equity","EQUITY_OFFERINGS","array=t","endcol=1"),MATCH("IPO",BDS(Database!$A267&amp;" HK Equity","EQUITY_OFFERINGS","array=t","startcol=2","endcol=2"),0)),"")</f>
        <v/>
      </c>
      <c r="C267" s="103">
        <f>IF($B267="","",IFERROR(BDP($B267&amp;" Action","CP036"),""))</f>
        <v/>
      </c>
      <c r="D267" s="104">
        <f>Database!S267</f>
        <v/>
      </c>
      <c r="E267" s="103">
        <f>IF($B267="","",IFERROR(BDP($B267&amp;" Action","CP037"),""))</f>
        <v/>
      </c>
      <c r="F267" s="104">
        <f>Database!T267</f>
        <v/>
      </c>
      <c r="G267" s="103">
        <f>IF($B267="","",IFERROR(BDP($B267&amp;" Action","GREENSHOE_FACILITY"),""))</f>
        <v/>
      </c>
      <c r="H267" s="103">
        <f>IF($B267="","",IFERROR(BDP($B267&amp;" Action","OFFERING_GREENSHOE_SHARES_EX"),""))</f>
        <v/>
      </c>
      <c r="I267" s="16">
        <f>Database!AG267</f>
        <v/>
      </c>
      <c r="J267" s="24">
        <f>IFERROR(BDP(Database!$A267&amp;" HK Equity","PE_RATIO"),"")</f>
        <v/>
      </c>
      <c r="K267" s="10">
        <f>IFERROR(BDP(Database!$A267&amp;" HK Equity","A/H_SHARE_CONVERSION"),"")</f>
        <v/>
      </c>
      <c r="L267" s="16">
        <f>IF(Database!BL267="","(none found)",Database!BL267)</f>
        <v/>
      </c>
      <c r="M267" s="18">
        <f>IFERROR(BDH(Database!$A267&amp;" HK Equity","CUR_MKT_CAP",Database!$H267,Database!$H267),"")</f>
        <v/>
      </c>
      <c r="N267" s="97">
        <f>Database!Q267</f>
        <v/>
      </c>
      <c r="O267" s="24">
        <f>IFERROR(BDH(Database!$A267&amp;" HK Equity","PE_RATIO",Database!$H267,Database!$H267),"")</f>
        <v/>
      </c>
      <c r="P267" s="101">
        <f>IF(Database!BF267="","(n/m or not derivable)",Database!BF267)</f>
        <v/>
      </c>
      <c r="Q267" s="24">
        <f>IF(Database!BL267="","",IFERROR(BDH(LEFT(Database!BL267,FIND(".",Database!BL267)-1)&amp;" CH Equity","PE_RATIO",Database!$H267,Database!$H267),""))</f>
        <v/>
      </c>
      <c r="R267" s="24">
        <f>IF(Database!BL267="","",IFERROR(BDH("HSAHP Index","PX_LAST",Database!$H267,Database!$H267),""))</f>
        <v/>
      </c>
      <c r="S267" s="24">
        <f>IFERROR(BDP(Database!$A267&amp;" HK Equity","PX_TO_SALES_RATIO"),"")</f>
        <v/>
      </c>
      <c r="T267" s="18">
        <f>IF(Database!BL267="","",IFERROR(BDP(LEFT(Database!BL267,FIND(".",Database!BL267)-1)&amp;" CH Equity","CUR_MKT_CAP"),""))</f>
        <v/>
      </c>
    </row>
    <row r="268">
      <c r="A268" s="16">
        <f>Database!A268&amp;"  "&amp;Database!B268</f>
        <v/>
      </c>
      <c r="B268" s="10">
        <f>IFERROR(INDEX(BDS(Database!$A268&amp;" HK Equity","EQUITY_OFFERINGS","array=t","endcol=1"),MATCH("IPO",BDS(Database!$A268&amp;" HK Equity","EQUITY_OFFERINGS","array=t","startcol=2","endcol=2"),0)),"")</f>
        <v/>
      </c>
      <c r="C268" s="103">
        <f>IF($B268="","",IFERROR(BDP($B268&amp;" Action","CP036"),""))</f>
        <v/>
      </c>
      <c r="D268" s="104">
        <f>Database!S268</f>
        <v/>
      </c>
      <c r="E268" s="103">
        <f>IF($B268="","",IFERROR(BDP($B268&amp;" Action","CP037"),""))</f>
        <v/>
      </c>
      <c r="F268" s="104">
        <f>Database!T268</f>
        <v/>
      </c>
      <c r="G268" s="103">
        <f>IF($B268="","",IFERROR(BDP($B268&amp;" Action","GREENSHOE_FACILITY"),""))</f>
        <v/>
      </c>
      <c r="H268" s="103">
        <f>IF($B268="","",IFERROR(BDP($B268&amp;" Action","OFFERING_GREENSHOE_SHARES_EX"),""))</f>
        <v/>
      </c>
      <c r="I268" s="16">
        <f>Database!AG268</f>
        <v/>
      </c>
      <c r="J268" s="24">
        <f>IFERROR(BDP(Database!$A268&amp;" HK Equity","PE_RATIO"),"")</f>
        <v/>
      </c>
      <c r="K268" s="10">
        <f>IFERROR(BDP(Database!$A268&amp;" HK Equity","A/H_SHARE_CONVERSION"),"")</f>
        <v/>
      </c>
      <c r="L268" s="16">
        <f>IF(Database!BL268="","(none found)",Database!BL268)</f>
        <v/>
      </c>
      <c r="M268" s="18">
        <f>IFERROR(BDH(Database!$A268&amp;" HK Equity","CUR_MKT_CAP",Database!$H268,Database!$H268),"")</f>
        <v/>
      </c>
      <c r="N268" s="97">
        <f>Database!Q268</f>
        <v/>
      </c>
      <c r="O268" s="24">
        <f>IFERROR(BDH(Database!$A268&amp;" HK Equity","PE_RATIO",Database!$H268,Database!$H268),"")</f>
        <v/>
      </c>
      <c r="P268" s="101">
        <f>IF(Database!BF268="","(n/m or not derivable)",Database!BF268)</f>
        <v/>
      </c>
      <c r="Q268" s="24">
        <f>IF(Database!BL268="","",IFERROR(BDH(LEFT(Database!BL268,FIND(".",Database!BL268)-1)&amp;" CH Equity","PE_RATIO",Database!$H268,Database!$H268),""))</f>
        <v/>
      </c>
      <c r="R268" s="24">
        <f>IF(Database!BL268="","",IFERROR(BDH("HSAHP Index","PX_LAST",Database!$H268,Database!$H268),""))</f>
        <v/>
      </c>
      <c r="S268" s="24">
        <f>IFERROR(BDP(Database!$A268&amp;" HK Equity","PX_TO_SALES_RATIO"),"")</f>
        <v/>
      </c>
      <c r="T268" s="18">
        <f>IF(Database!BL268="","",IFERROR(BDP(LEFT(Database!BL268,FIND(".",Database!BL268)-1)&amp;" CH Equity","CUR_MKT_CAP"),""))</f>
        <v/>
      </c>
    </row>
    <row r="269">
      <c r="A269" s="16">
        <f>Database!A269&amp;"  "&amp;Database!B269</f>
        <v/>
      </c>
      <c r="B269" s="10">
        <f>IFERROR(INDEX(BDS(Database!$A269&amp;" HK Equity","EQUITY_OFFERINGS","array=t","endcol=1"),MATCH("IPO",BDS(Database!$A269&amp;" HK Equity","EQUITY_OFFERINGS","array=t","startcol=2","endcol=2"),0)),"")</f>
        <v/>
      </c>
      <c r="C269" s="103">
        <f>IF($B269="","",IFERROR(BDP($B269&amp;" Action","CP036"),""))</f>
        <v/>
      </c>
      <c r="D269" s="104">
        <f>Database!S269</f>
        <v/>
      </c>
      <c r="E269" s="103">
        <f>IF($B269="","",IFERROR(BDP($B269&amp;" Action","CP037"),""))</f>
        <v/>
      </c>
      <c r="F269" s="104">
        <f>Database!T269</f>
        <v/>
      </c>
      <c r="G269" s="103">
        <f>IF($B269="","",IFERROR(BDP($B269&amp;" Action","GREENSHOE_FACILITY"),""))</f>
        <v/>
      </c>
      <c r="H269" s="103">
        <f>IF($B269="","",IFERROR(BDP($B269&amp;" Action","OFFERING_GREENSHOE_SHARES_EX"),""))</f>
        <v/>
      </c>
      <c r="I269" s="16">
        <f>Database!AG269</f>
        <v/>
      </c>
      <c r="J269" s="24">
        <f>IFERROR(BDP(Database!$A269&amp;" HK Equity","PE_RATIO"),"")</f>
        <v/>
      </c>
      <c r="K269" s="10">
        <f>IFERROR(BDP(Database!$A269&amp;" HK Equity","A/H_SHARE_CONVERSION"),"")</f>
        <v/>
      </c>
      <c r="L269" s="16">
        <f>IF(Database!BL269="","(none found)",Database!BL269)</f>
        <v/>
      </c>
      <c r="M269" s="18">
        <f>IFERROR(BDH(Database!$A269&amp;" HK Equity","CUR_MKT_CAP",Database!$H269,Database!$H269),"")</f>
        <v/>
      </c>
      <c r="N269" s="97">
        <f>Database!Q269</f>
        <v/>
      </c>
      <c r="O269" s="24">
        <f>IFERROR(BDH(Database!$A269&amp;" HK Equity","PE_RATIO",Database!$H269,Database!$H269),"")</f>
        <v/>
      </c>
      <c r="P269" s="101">
        <f>IF(Database!BF269="","(n/m or not derivable)",Database!BF269)</f>
        <v/>
      </c>
      <c r="Q269" s="24">
        <f>IF(Database!BL269="","",IFERROR(BDH(LEFT(Database!BL269,FIND(".",Database!BL269)-1)&amp;" CH Equity","PE_RATIO",Database!$H269,Database!$H269),""))</f>
        <v/>
      </c>
      <c r="R269" s="24">
        <f>IF(Database!BL269="","",IFERROR(BDH("HSAHP Index","PX_LAST",Database!$H269,Database!$H269),""))</f>
        <v/>
      </c>
      <c r="S269" s="24">
        <f>IFERROR(BDP(Database!$A269&amp;" HK Equity","PX_TO_SALES_RATIO"),"")</f>
        <v/>
      </c>
      <c r="T269" s="18">
        <f>IF(Database!BL269="","",IFERROR(BDP(LEFT(Database!BL269,FIND(".",Database!BL269)-1)&amp;" CH Equity","CUR_MKT_CAP"),""))</f>
        <v/>
      </c>
    </row>
    <row r="270">
      <c r="A270" s="16">
        <f>Database!A270&amp;"  "&amp;Database!B270</f>
        <v/>
      </c>
      <c r="B270" s="10">
        <f>IFERROR(INDEX(BDS(Database!$A270&amp;" HK Equity","EQUITY_OFFERINGS","array=t","endcol=1"),MATCH("IPO",BDS(Database!$A270&amp;" HK Equity","EQUITY_OFFERINGS","array=t","startcol=2","endcol=2"),0)),"")</f>
        <v/>
      </c>
      <c r="C270" s="103">
        <f>IF($B270="","",IFERROR(BDP($B270&amp;" Action","CP036"),""))</f>
        <v/>
      </c>
      <c r="D270" s="104">
        <f>Database!S270</f>
        <v/>
      </c>
      <c r="E270" s="103">
        <f>IF($B270="","",IFERROR(BDP($B270&amp;" Action","CP037"),""))</f>
        <v/>
      </c>
      <c r="F270" s="104">
        <f>Database!T270</f>
        <v/>
      </c>
      <c r="G270" s="103">
        <f>IF($B270="","",IFERROR(BDP($B270&amp;" Action","GREENSHOE_FACILITY"),""))</f>
        <v/>
      </c>
      <c r="H270" s="103">
        <f>IF($B270="","",IFERROR(BDP($B270&amp;" Action","OFFERING_GREENSHOE_SHARES_EX"),""))</f>
        <v/>
      </c>
      <c r="I270" s="16">
        <f>Database!AG270</f>
        <v/>
      </c>
      <c r="J270" s="24">
        <f>IFERROR(BDP(Database!$A270&amp;" HK Equity","PE_RATIO"),"")</f>
        <v/>
      </c>
      <c r="K270" s="10">
        <f>IFERROR(BDP(Database!$A270&amp;" HK Equity","A/H_SHARE_CONVERSION"),"")</f>
        <v/>
      </c>
      <c r="L270" s="16">
        <f>IF(Database!BL270="","(none found)",Database!BL270)</f>
        <v/>
      </c>
      <c r="M270" s="18">
        <f>IFERROR(BDH(Database!$A270&amp;" HK Equity","CUR_MKT_CAP",Database!$H270,Database!$H270),"")</f>
        <v/>
      </c>
      <c r="N270" s="97">
        <f>Database!Q270</f>
        <v/>
      </c>
      <c r="O270" s="24">
        <f>IFERROR(BDH(Database!$A270&amp;" HK Equity","PE_RATIO",Database!$H270,Database!$H270),"")</f>
        <v/>
      </c>
      <c r="P270" s="101">
        <f>IF(Database!BF270="","(n/m or not derivable)",Database!BF270)</f>
        <v/>
      </c>
      <c r="Q270" s="24">
        <f>IF(Database!BL270="","",IFERROR(BDH(LEFT(Database!BL270,FIND(".",Database!BL270)-1)&amp;" CH Equity","PE_RATIO",Database!$H270,Database!$H270),""))</f>
        <v/>
      </c>
      <c r="R270" s="24">
        <f>IF(Database!BL270="","",IFERROR(BDH("HSAHP Index","PX_LAST",Database!$H270,Database!$H270),""))</f>
        <v/>
      </c>
      <c r="S270" s="24">
        <f>IFERROR(BDP(Database!$A270&amp;" HK Equity","PX_TO_SALES_RATIO"),"")</f>
        <v/>
      </c>
      <c r="T270" s="18">
        <f>IF(Database!BL270="","",IFERROR(BDP(LEFT(Database!BL270,FIND(".",Database!BL270)-1)&amp;" CH Equity","CUR_MKT_CAP"),""))</f>
        <v/>
      </c>
    </row>
    <row r="271">
      <c r="A271" s="16">
        <f>Database!A271&amp;"  "&amp;Database!B271</f>
        <v/>
      </c>
      <c r="B271" s="10">
        <f>IFERROR(INDEX(BDS(Database!$A271&amp;" HK Equity","EQUITY_OFFERINGS","array=t","endcol=1"),MATCH("IPO",BDS(Database!$A271&amp;" HK Equity","EQUITY_OFFERINGS","array=t","startcol=2","endcol=2"),0)),"")</f>
        <v/>
      </c>
      <c r="C271" s="103">
        <f>IF($B271="","",IFERROR(BDP($B271&amp;" Action","CP036"),""))</f>
        <v/>
      </c>
      <c r="D271" s="104">
        <f>Database!S271</f>
        <v/>
      </c>
      <c r="E271" s="103">
        <f>IF($B271="","",IFERROR(BDP($B271&amp;" Action","CP037"),""))</f>
        <v/>
      </c>
      <c r="F271" s="104">
        <f>Database!T271</f>
        <v/>
      </c>
      <c r="G271" s="103">
        <f>IF($B271="","",IFERROR(BDP($B271&amp;" Action","GREENSHOE_FACILITY"),""))</f>
        <v/>
      </c>
      <c r="H271" s="103">
        <f>IF($B271="","",IFERROR(BDP($B271&amp;" Action","OFFERING_GREENSHOE_SHARES_EX"),""))</f>
        <v/>
      </c>
      <c r="I271" s="16">
        <f>Database!AG271</f>
        <v/>
      </c>
      <c r="J271" s="24">
        <f>IFERROR(BDP(Database!$A271&amp;" HK Equity","PE_RATIO"),"")</f>
        <v/>
      </c>
      <c r="K271" s="10">
        <f>IFERROR(BDP(Database!$A271&amp;" HK Equity","A/H_SHARE_CONVERSION"),"")</f>
        <v/>
      </c>
      <c r="L271" s="16">
        <f>IF(Database!BL271="","(none found)",Database!BL271)</f>
        <v/>
      </c>
      <c r="M271" s="18">
        <f>IFERROR(BDH(Database!$A271&amp;" HK Equity","CUR_MKT_CAP",Database!$H271,Database!$H271),"")</f>
        <v/>
      </c>
      <c r="N271" s="97">
        <f>Database!Q271</f>
        <v/>
      </c>
      <c r="O271" s="24">
        <f>IFERROR(BDH(Database!$A271&amp;" HK Equity","PE_RATIO",Database!$H271,Database!$H271),"")</f>
        <v/>
      </c>
      <c r="P271" s="101">
        <f>IF(Database!BF271="","(n/m or not derivable)",Database!BF271)</f>
        <v/>
      </c>
      <c r="Q271" s="24">
        <f>IF(Database!BL271="","",IFERROR(BDH(LEFT(Database!BL271,FIND(".",Database!BL271)-1)&amp;" CH Equity","PE_RATIO",Database!$H271,Database!$H271),""))</f>
        <v/>
      </c>
      <c r="R271" s="24">
        <f>IF(Database!BL271="","",IFERROR(BDH("HSAHP Index","PX_LAST",Database!$H271,Database!$H271),""))</f>
        <v/>
      </c>
      <c r="S271" s="24">
        <f>IFERROR(BDP(Database!$A271&amp;" HK Equity","PX_TO_SALES_RATIO"),"")</f>
        <v/>
      </c>
      <c r="T271" s="18">
        <f>IF(Database!BL271="","",IFERROR(BDP(LEFT(Database!BL271,FIND(".",Database!BL271)-1)&amp;" CH Equity","CUR_MKT_CAP"),""))</f>
        <v/>
      </c>
    </row>
    <row r="272">
      <c r="A272" s="16">
        <f>Database!A272&amp;"  "&amp;Database!B272</f>
        <v/>
      </c>
      <c r="B272" s="10">
        <f>IFERROR(INDEX(BDS(Database!$A272&amp;" HK Equity","EQUITY_OFFERINGS","array=t","endcol=1"),MATCH("IPO",BDS(Database!$A272&amp;" HK Equity","EQUITY_OFFERINGS","array=t","startcol=2","endcol=2"),0)),"")</f>
        <v/>
      </c>
      <c r="C272" s="103">
        <f>IF($B272="","",IFERROR(BDP($B272&amp;" Action","CP036"),""))</f>
        <v/>
      </c>
      <c r="D272" s="104">
        <f>Database!S272</f>
        <v/>
      </c>
      <c r="E272" s="103">
        <f>IF($B272="","",IFERROR(BDP($B272&amp;" Action","CP037"),""))</f>
        <v/>
      </c>
      <c r="F272" s="104">
        <f>Database!T272</f>
        <v/>
      </c>
      <c r="G272" s="103">
        <f>IF($B272="","",IFERROR(BDP($B272&amp;" Action","GREENSHOE_FACILITY"),""))</f>
        <v/>
      </c>
      <c r="H272" s="103">
        <f>IF($B272="","",IFERROR(BDP($B272&amp;" Action","OFFERING_GREENSHOE_SHARES_EX"),""))</f>
        <v/>
      </c>
      <c r="I272" s="16">
        <f>Database!AG272</f>
        <v/>
      </c>
      <c r="J272" s="24">
        <f>IFERROR(BDP(Database!$A272&amp;" HK Equity","PE_RATIO"),"")</f>
        <v/>
      </c>
      <c r="K272" s="10">
        <f>IFERROR(BDP(Database!$A272&amp;" HK Equity","A/H_SHARE_CONVERSION"),"")</f>
        <v/>
      </c>
      <c r="L272" s="16">
        <f>IF(Database!BL272="","(none found)",Database!BL272)</f>
        <v/>
      </c>
      <c r="M272" s="18">
        <f>IFERROR(BDH(Database!$A272&amp;" HK Equity","CUR_MKT_CAP",Database!$H272,Database!$H272),"")</f>
        <v/>
      </c>
      <c r="N272" s="97">
        <f>Database!Q272</f>
        <v/>
      </c>
      <c r="O272" s="24">
        <f>IFERROR(BDH(Database!$A272&amp;" HK Equity","PE_RATIO",Database!$H272,Database!$H272),"")</f>
        <v/>
      </c>
      <c r="P272" s="101">
        <f>IF(Database!BF272="","(n/m or not derivable)",Database!BF272)</f>
        <v/>
      </c>
      <c r="Q272" s="24">
        <f>IF(Database!BL272="","",IFERROR(BDH(LEFT(Database!BL272,FIND(".",Database!BL272)-1)&amp;" CH Equity","PE_RATIO",Database!$H272,Database!$H272),""))</f>
        <v/>
      </c>
      <c r="R272" s="24">
        <f>IF(Database!BL272="","",IFERROR(BDH("HSAHP Index","PX_LAST",Database!$H272,Database!$H272),""))</f>
        <v/>
      </c>
      <c r="S272" s="24">
        <f>IFERROR(BDP(Database!$A272&amp;" HK Equity","PX_TO_SALES_RATIO"),"")</f>
        <v/>
      </c>
      <c r="T272" s="18">
        <f>IF(Database!BL272="","",IFERROR(BDP(LEFT(Database!BL272,FIND(".",Database!BL272)-1)&amp;" CH Equity","CUR_MKT_CAP"),""))</f>
        <v/>
      </c>
    </row>
    <row r="273">
      <c r="A273" s="16">
        <f>Database!A273&amp;"  "&amp;Database!B273</f>
        <v/>
      </c>
      <c r="B273" s="10">
        <f>IFERROR(INDEX(BDS(Database!$A273&amp;" HK Equity","EQUITY_OFFERINGS","array=t","endcol=1"),MATCH("IPO",BDS(Database!$A273&amp;" HK Equity","EQUITY_OFFERINGS","array=t","startcol=2","endcol=2"),0)),"")</f>
        <v/>
      </c>
      <c r="C273" s="103">
        <f>IF($B273="","",IFERROR(BDP($B273&amp;" Action","CP036"),""))</f>
        <v/>
      </c>
      <c r="D273" s="104">
        <f>Database!S273</f>
        <v/>
      </c>
      <c r="E273" s="103">
        <f>IF($B273="","",IFERROR(BDP($B273&amp;" Action","CP037"),""))</f>
        <v/>
      </c>
      <c r="F273" s="104">
        <f>Database!T273</f>
        <v/>
      </c>
      <c r="G273" s="103">
        <f>IF($B273="","",IFERROR(BDP($B273&amp;" Action","GREENSHOE_FACILITY"),""))</f>
        <v/>
      </c>
      <c r="H273" s="103">
        <f>IF($B273="","",IFERROR(BDP($B273&amp;" Action","OFFERING_GREENSHOE_SHARES_EX"),""))</f>
        <v/>
      </c>
      <c r="I273" s="16">
        <f>Database!AG273</f>
        <v/>
      </c>
      <c r="J273" s="24">
        <f>IFERROR(BDP(Database!$A273&amp;" HK Equity","PE_RATIO"),"")</f>
        <v/>
      </c>
      <c r="K273" s="10">
        <f>IFERROR(BDP(Database!$A273&amp;" HK Equity","A/H_SHARE_CONVERSION"),"")</f>
        <v/>
      </c>
      <c r="L273" s="16">
        <f>IF(Database!BL273="","(none found)",Database!BL273)</f>
        <v/>
      </c>
      <c r="M273" s="18">
        <f>IFERROR(BDH(Database!$A273&amp;" HK Equity","CUR_MKT_CAP",Database!$H273,Database!$H273),"")</f>
        <v/>
      </c>
      <c r="N273" s="97">
        <f>Database!Q273</f>
        <v/>
      </c>
      <c r="O273" s="24">
        <f>IFERROR(BDH(Database!$A273&amp;" HK Equity","PE_RATIO",Database!$H273,Database!$H273),"")</f>
        <v/>
      </c>
      <c r="P273" s="101">
        <f>IF(Database!BF273="","(n/m or not derivable)",Database!BF273)</f>
        <v/>
      </c>
      <c r="Q273" s="24">
        <f>IF(Database!BL273="","",IFERROR(BDH(LEFT(Database!BL273,FIND(".",Database!BL273)-1)&amp;" CH Equity","PE_RATIO",Database!$H273,Database!$H273),""))</f>
        <v/>
      </c>
      <c r="R273" s="24">
        <f>IF(Database!BL273="","",IFERROR(BDH("HSAHP Index","PX_LAST",Database!$H273,Database!$H273),""))</f>
        <v/>
      </c>
      <c r="S273" s="24">
        <f>IFERROR(BDP(Database!$A273&amp;" HK Equity","PX_TO_SALES_RATIO"),"")</f>
        <v/>
      </c>
      <c r="T273" s="18">
        <f>IF(Database!BL273="","",IFERROR(BDP(LEFT(Database!BL273,FIND(".",Database!BL273)-1)&amp;" CH Equity","CUR_MKT_CAP"),""))</f>
        <v/>
      </c>
    </row>
    <row r="274">
      <c r="A274" s="16">
        <f>Database!A274&amp;"  "&amp;Database!B274</f>
        <v/>
      </c>
      <c r="B274" s="10">
        <f>IFERROR(INDEX(BDS(Database!$A274&amp;" HK Equity","EQUITY_OFFERINGS","array=t","endcol=1"),MATCH("IPO",BDS(Database!$A274&amp;" HK Equity","EQUITY_OFFERINGS","array=t","startcol=2","endcol=2"),0)),"")</f>
        <v/>
      </c>
      <c r="C274" s="103">
        <f>IF($B274="","",IFERROR(BDP($B274&amp;" Action","CP036"),""))</f>
        <v/>
      </c>
      <c r="D274" s="104">
        <f>Database!S274</f>
        <v/>
      </c>
      <c r="E274" s="103">
        <f>IF($B274="","",IFERROR(BDP($B274&amp;" Action","CP037"),""))</f>
        <v/>
      </c>
      <c r="F274" s="104">
        <f>Database!T274</f>
        <v/>
      </c>
      <c r="G274" s="103">
        <f>IF($B274="","",IFERROR(BDP($B274&amp;" Action","GREENSHOE_FACILITY"),""))</f>
        <v/>
      </c>
      <c r="H274" s="103">
        <f>IF($B274="","",IFERROR(BDP($B274&amp;" Action","OFFERING_GREENSHOE_SHARES_EX"),""))</f>
        <v/>
      </c>
      <c r="I274" s="16">
        <f>Database!AG274</f>
        <v/>
      </c>
      <c r="J274" s="24">
        <f>IFERROR(BDP(Database!$A274&amp;" HK Equity","PE_RATIO"),"")</f>
        <v/>
      </c>
      <c r="K274" s="10">
        <f>IFERROR(BDP(Database!$A274&amp;" HK Equity","A/H_SHARE_CONVERSION"),"")</f>
        <v/>
      </c>
      <c r="L274" s="16">
        <f>IF(Database!BL274="","(none found)",Database!BL274)</f>
        <v/>
      </c>
      <c r="M274" s="18">
        <f>IFERROR(BDH(Database!$A274&amp;" HK Equity","CUR_MKT_CAP",Database!$H274,Database!$H274),"")</f>
        <v/>
      </c>
      <c r="N274" s="97">
        <f>Database!Q274</f>
        <v/>
      </c>
      <c r="O274" s="24">
        <f>IFERROR(BDH(Database!$A274&amp;" HK Equity","PE_RATIO",Database!$H274,Database!$H274),"")</f>
        <v/>
      </c>
      <c r="P274" s="101">
        <f>IF(Database!BF274="","(n/m or not derivable)",Database!BF274)</f>
        <v/>
      </c>
      <c r="Q274" s="24">
        <f>IF(Database!BL274="","",IFERROR(BDH(LEFT(Database!BL274,FIND(".",Database!BL274)-1)&amp;" CH Equity","PE_RATIO",Database!$H274,Database!$H274),""))</f>
        <v/>
      </c>
      <c r="R274" s="24">
        <f>IF(Database!BL274="","",IFERROR(BDH("HSAHP Index","PX_LAST",Database!$H274,Database!$H274),""))</f>
        <v/>
      </c>
      <c r="S274" s="24">
        <f>IFERROR(BDP(Database!$A274&amp;" HK Equity","PX_TO_SALES_RATIO"),"")</f>
        <v/>
      </c>
      <c r="T274" s="18">
        <f>IF(Database!BL274="","",IFERROR(BDP(LEFT(Database!BL274,FIND(".",Database!BL274)-1)&amp;" CH Equity","CUR_MKT_CAP"),""))</f>
        <v/>
      </c>
    </row>
    <row r="275">
      <c r="A275" s="16">
        <f>Database!A275&amp;"  "&amp;Database!B275</f>
        <v/>
      </c>
      <c r="B275" s="10">
        <f>IFERROR(INDEX(BDS(Database!$A275&amp;" HK Equity","EQUITY_OFFERINGS","array=t","endcol=1"),MATCH("IPO",BDS(Database!$A275&amp;" HK Equity","EQUITY_OFFERINGS","array=t","startcol=2","endcol=2"),0)),"")</f>
        <v/>
      </c>
      <c r="C275" s="103">
        <f>IF($B275="","",IFERROR(BDP($B275&amp;" Action","CP036"),""))</f>
        <v/>
      </c>
      <c r="D275" s="104">
        <f>Database!S275</f>
        <v/>
      </c>
      <c r="E275" s="103">
        <f>IF($B275="","",IFERROR(BDP($B275&amp;" Action","CP037"),""))</f>
        <v/>
      </c>
      <c r="F275" s="104">
        <f>Database!T275</f>
        <v/>
      </c>
      <c r="G275" s="103">
        <f>IF($B275="","",IFERROR(BDP($B275&amp;" Action","GREENSHOE_FACILITY"),""))</f>
        <v/>
      </c>
      <c r="H275" s="103">
        <f>IF($B275="","",IFERROR(BDP($B275&amp;" Action","OFFERING_GREENSHOE_SHARES_EX"),""))</f>
        <v/>
      </c>
      <c r="I275" s="16">
        <f>Database!AG275</f>
        <v/>
      </c>
      <c r="J275" s="24">
        <f>IFERROR(BDP(Database!$A275&amp;" HK Equity","PE_RATIO"),"")</f>
        <v/>
      </c>
      <c r="K275" s="10">
        <f>IFERROR(BDP(Database!$A275&amp;" HK Equity","A/H_SHARE_CONVERSION"),"")</f>
        <v/>
      </c>
      <c r="L275" s="16">
        <f>IF(Database!BL275="","(none found)",Database!BL275)</f>
        <v/>
      </c>
      <c r="M275" s="18">
        <f>IFERROR(BDH(Database!$A275&amp;" HK Equity","CUR_MKT_CAP",Database!$H275,Database!$H275),"")</f>
        <v/>
      </c>
      <c r="N275" s="97">
        <f>Database!Q275</f>
        <v/>
      </c>
      <c r="O275" s="24">
        <f>IFERROR(BDH(Database!$A275&amp;" HK Equity","PE_RATIO",Database!$H275,Database!$H275),"")</f>
        <v/>
      </c>
      <c r="P275" s="101">
        <f>IF(Database!BF275="","(n/m or not derivable)",Database!BF275)</f>
        <v/>
      </c>
      <c r="Q275" s="24">
        <f>IF(Database!BL275="","",IFERROR(BDH(LEFT(Database!BL275,FIND(".",Database!BL275)-1)&amp;" CH Equity","PE_RATIO",Database!$H275,Database!$H275),""))</f>
        <v/>
      </c>
      <c r="R275" s="24">
        <f>IF(Database!BL275="","",IFERROR(BDH("HSAHP Index","PX_LAST",Database!$H275,Database!$H275),""))</f>
        <v/>
      </c>
      <c r="S275" s="24">
        <f>IFERROR(BDP(Database!$A275&amp;" HK Equity","PX_TO_SALES_RATIO"),"")</f>
        <v/>
      </c>
      <c r="T275" s="18">
        <f>IF(Database!BL275="","",IFERROR(BDP(LEFT(Database!BL275,FIND(".",Database!BL275)-1)&amp;" CH Equity","CUR_MKT_CAP"),""))</f>
        <v/>
      </c>
    </row>
    <row r="276">
      <c r="A276" s="16">
        <f>Database!A276&amp;"  "&amp;Database!B276</f>
        <v/>
      </c>
      <c r="B276" s="10">
        <f>IFERROR(INDEX(BDS(Database!$A276&amp;" HK Equity","EQUITY_OFFERINGS","array=t","endcol=1"),MATCH("IPO",BDS(Database!$A276&amp;" HK Equity","EQUITY_OFFERINGS","array=t","startcol=2","endcol=2"),0)),"")</f>
        <v/>
      </c>
      <c r="C276" s="103">
        <f>IF($B276="","",IFERROR(BDP($B276&amp;" Action","CP036"),""))</f>
        <v/>
      </c>
      <c r="D276" s="104">
        <f>Database!S276</f>
        <v/>
      </c>
      <c r="E276" s="103">
        <f>IF($B276="","",IFERROR(BDP($B276&amp;" Action","CP037"),""))</f>
        <v/>
      </c>
      <c r="F276" s="104">
        <f>Database!T276</f>
        <v/>
      </c>
      <c r="G276" s="103">
        <f>IF($B276="","",IFERROR(BDP($B276&amp;" Action","GREENSHOE_FACILITY"),""))</f>
        <v/>
      </c>
      <c r="H276" s="103">
        <f>IF($B276="","",IFERROR(BDP($B276&amp;" Action","OFFERING_GREENSHOE_SHARES_EX"),""))</f>
        <v/>
      </c>
      <c r="I276" s="16">
        <f>Database!AG276</f>
        <v/>
      </c>
      <c r="J276" s="24">
        <f>IFERROR(BDP(Database!$A276&amp;" HK Equity","PE_RATIO"),"")</f>
        <v/>
      </c>
      <c r="K276" s="10">
        <f>IFERROR(BDP(Database!$A276&amp;" HK Equity","A/H_SHARE_CONVERSION"),"")</f>
        <v/>
      </c>
      <c r="L276" s="16">
        <f>IF(Database!BL276="","(none found)",Database!BL276)</f>
        <v/>
      </c>
      <c r="M276" s="18">
        <f>IFERROR(BDH(Database!$A276&amp;" HK Equity","CUR_MKT_CAP",Database!$H276,Database!$H276),"")</f>
        <v/>
      </c>
      <c r="N276" s="97">
        <f>Database!Q276</f>
        <v/>
      </c>
      <c r="O276" s="24">
        <f>IFERROR(BDH(Database!$A276&amp;" HK Equity","PE_RATIO",Database!$H276,Database!$H276),"")</f>
        <v/>
      </c>
      <c r="P276" s="101">
        <f>IF(Database!BF276="","(n/m or not derivable)",Database!BF276)</f>
        <v/>
      </c>
      <c r="Q276" s="24">
        <f>IF(Database!BL276="","",IFERROR(BDH(LEFT(Database!BL276,FIND(".",Database!BL276)-1)&amp;" CH Equity","PE_RATIO",Database!$H276,Database!$H276),""))</f>
        <v/>
      </c>
      <c r="R276" s="24">
        <f>IF(Database!BL276="","",IFERROR(BDH("HSAHP Index","PX_LAST",Database!$H276,Database!$H276),""))</f>
        <v/>
      </c>
      <c r="S276" s="24">
        <f>IFERROR(BDP(Database!$A276&amp;" HK Equity","PX_TO_SALES_RATIO"),"")</f>
        <v/>
      </c>
      <c r="T276" s="18">
        <f>IF(Database!BL276="","",IFERROR(BDP(LEFT(Database!BL276,FIND(".",Database!BL276)-1)&amp;" CH Equity","CUR_MKT_CAP"),""))</f>
        <v/>
      </c>
    </row>
    <row r="277">
      <c r="A277" s="16">
        <f>Database!A277&amp;"  "&amp;Database!B277</f>
        <v/>
      </c>
      <c r="B277" s="10">
        <f>IFERROR(INDEX(BDS(Database!$A277&amp;" HK Equity","EQUITY_OFFERINGS","array=t","endcol=1"),MATCH("IPO",BDS(Database!$A277&amp;" HK Equity","EQUITY_OFFERINGS","array=t","startcol=2","endcol=2"),0)),"")</f>
        <v/>
      </c>
      <c r="C277" s="103">
        <f>IF($B277="","",IFERROR(BDP($B277&amp;" Action","CP036"),""))</f>
        <v/>
      </c>
      <c r="D277" s="104">
        <f>Database!S277</f>
        <v/>
      </c>
      <c r="E277" s="103">
        <f>IF($B277="","",IFERROR(BDP($B277&amp;" Action","CP037"),""))</f>
        <v/>
      </c>
      <c r="F277" s="104">
        <f>Database!T277</f>
        <v/>
      </c>
      <c r="G277" s="103">
        <f>IF($B277="","",IFERROR(BDP($B277&amp;" Action","GREENSHOE_FACILITY"),""))</f>
        <v/>
      </c>
      <c r="H277" s="103">
        <f>IF($B277="","",IFERROR(BDP($B277&amp;" Action","OFFERING_GREENSHOE_SHARES_EX"),""))</f>
        <v/>
      </c>
      <c r="I277" s="16">
        <f>Database!AG277</f>
        <v/>
      </c>
      <c r="J277" s="24">
        <f>IFERROR(BDP(Database!$A277&amp;" HK Equity","PE_RATIO"),"")</f>
        <v/>
      </c>
      <c r="K277" s="10">
        <f>IFERROR(BDP(Database!$A277&amp;" HK Equity","A/H_SHARE_CONVERSION"),"")</f>
        <v/>
      </c>
      <c r="L277" s="16">
        <f>IF(Database!BL277="","(none found)",Database!BL277)</f>
        <v/>
      </c>
      <c r="M277" s="18">
        <f>IFERROR(BDH(Database!$A277&amp;" HK Equity","CUR_MKT_CAP",Database!$H277,Database!$H277),"")</f>
        <v/>
      </c>
      <c r="N277" s="97">
        <f>Database!Q277</f>
        <v/>
      </c>
      <c r="O277" s="24">
        <f>IFERROR(BDH(Database!$A277&amp;" HK Equity","PE_RATIO",Database!$H277,Database!$H277),"")</f>
        <v/>
      </c>
      <c r="P277" s="101">
        <f>IF(Database!BF277="","(n/m or not derivable)",Database!BF277)</f>
        <v/>
      </c>
      <c r="Q277" s="24">
        <f>IF(Database!BL277="","",IFERROR(BDH(LEFT(Database!BL277,FIND(".",Database!BL277)-1)&amp;" CH Equity","PE_RATIO",Database!$H277,Database!$H277),""))</f>
        <v/>
      </c>
      <c r="R277" s="24">
        <f>IF(Database!BL277="","",IFERROR(BDH("HSAHP Index","PX_LAST",Database!$H277,Database!$H277),""))</f>
        <v/>
      </c>
      <c r="S277" s="24">
        <f>IFERROR(BDP(Database!$A277&amp;" HK Equity","PX_TO_SALES_RATIO"),"")</f>
        <v/>
      </c>
      <c r="T277" s="18">
        <f>IF(Database!BL277="","",IFERROR(BDP(LEFT(Database!BL277,FIND(".",Database!BL277)-1)&amp;" CH Equity","CUR_MKT_CAP"),""))</f>
        <v/>
      </c>
    </row>
    <row r="278">
      <c r="A278" s="16">
        <f>Database!A278&amp;"  "&amp;Database!B278</f>
        <v/>
      </c>
      <c r="B278" s="10">
        <f>IFERROR(INDEX(BDS(Database!$A278&amp;" HK Equity","EQUITY_OFFERINGS","array=t","endcol=1"),MATCH("IPO",BDS(Database!$A278&amp;" HK Equity","EQUITY_OFFERINGS","array=t","startcol=2","endcol=2"),0)),"")</f>
        <v/>
      </c>
      <c r="C278" s="103">
        <f>IF($B278="","",IFERROR(BDP($B278&amp;" Action","CP036"),""))</f>
        <v/>
      </c>
      <c r="D278" s="104">
        <f>Database!S278</f>
        <v/>
      </c>
      <c r="E278" s="103">
        <f>IF($B278="","",IFERROR(BDP($B278&amp;" Action","CP037"),""))</f>
        <v/>
      </c>
      <c r="F278" s="104">
        <f>Database!T278</f>
        <v/>
      </c>
      <c r="G278" s="103">
        <f>IF($B278="","",IFERROR(BDP($B278&amp;" Action","GREENSHOE_FACILITY"),""))</f>
        <v/>
      </c>
      <c r="H278" s="103">
        <f>IF($B278="","",IFERROR(BDP($B278&amp;" Action","OFFERING_GREENSHOE_SHARES_EX"),""))</f>
        <v/>
      </c>
      <c r="I278" s="16">
        <f>Database!AG278</f>
        <v/>
      </c>
      <c r="J278" s="24">
        <f>IFERROR(BDP(Database!$A278&amp;" HK Equity","PE_RATIO"),"")</f>
        <v/>
      </c>
      <c r="K278" s="10">
        <f>IFERROR(BDP(Database!$A278&amp;" HK Equity","A/H_SHARE_CONVERSION"),"")</f>
        <v/>
      </c>
      <c r="L278" s="16">
        <f>IF(Database!BL278="","(none found)",Database!BL278)</f>
        <v/>
      </c>
      <c r="M278" s="18">
        <f>IFERROR(BDH(Database!$A278&amp;" HK Equity","CUR_MKT_CAP",Database!$H278,Database!$H278),"")</f>
        <v/>
      </c>
      <c r="N278" s="97">
        <f>Database!Q278</f>
        <v/>
      </c>
      <c r="O278" s="24">
        <f>IFERROR(BDH(Database!$A278&amp;" HK Equity","PE_RATIO",Database!$H278,Database!$H278),"")</f>
        <v/>
      </c>
      <c r="P278" s="101">
        <f>IF(Database!BF278="","(n/m or not derivable)",Database!BF278)</f>
        <v/>
      </c>
      <c r="Q278" s="24">
        <f>IF(Database!BL278="","",IFERROR(BDH(LEFT(Database!BL278,FIND(".",Database!BL278)-1)&amp;" CH Equity","PE_RATIO",Database!$H278,Database!$H278),""))</f>
        <v/>
      </c>
      <c r="R278" s="24">
        <f>IF(Database!BL278="","",IFERROR(BDH("HSAHP Index","PX_LAST",Database!$H278,Database!$H278),""))</f>
        <v/>
      </c>
      <c r="S278" s="24">
        <f>IFERROR(BDP(Database!$A278&amp;" HK Equity","PX_TO_SALES_RATIO"),"")</f>
        <v/>
      </c>
      <c r="T278" s="18">
        <f>IF(Database!BL278="","",IFERROR(BDP(LEFT(Database!BL278,FIND(".",Database!BL278)-1)&amp;" CH Equity","CUR_MKT_CAP"),""))</f>
        <v/>
      </c>
    </row>
    <row r="279">
      <c r="A279" s="16">
        <f>Database!A279&amp;"  "&amp;Database!B279</f>
        <v/>
      </c>
      <c r="B279" s="10">
        <f>IFERROR(INDEX(BDS(Database!$A279&amp;" HK Equity","EQUITY_OFFERINGS","array=t","endcol=1"),MATCH("IPO",BDS(Database!$A279&amp;" HK Equity","EQUITY_OFFERINGS","array=t","startcol=2","endcol=2"),0)),"")</f>
        <v/>
      </c>
      <c r="C279" s="103">
        <f>IF($B279="","",IFERROR(BDP($B279&amp;" Action","CP036"),""))</f>
        <v/>
      </c>
      <c r="D279" s="104">
        <f>Database!S279</f>
        <v/>
      </c>
      <c r="E279" s="103">
        <f>IF($B279="","",IFERROR(BDP($B279&amp;" Action","CP037"),""))</f>
        <v/>
      </c>
      <c r="F279" s="104">
        <f>Database!T279</f>
        <v/>
      </c>
      <c r="G279" s="103">
        <f>IF($B279="","",IFERROR(BDP($B279&amp;" Action","GREENSHOE_FACILITY"),""))</f>
        <v/>
      </c>
      <c r="H279" s="103">
        <f>IF($B279="","",IFERROR(BDP($B279&amp;" Action","OFFERING_GREENSHOE_SHARES_EX"),""))</f>
        <v/>
      </c>
      <c r="I279" s="16">
        <f>Database!AG279</f>
        <v/>
      </c>
      <c r="J279" s="24">
        <f>IFERROR(BDP(Database!$A279&amp;" HK Equity","PE_RATIO"),"")</f>
        <v/>
      </c>
      <c r="K279" s="10">
        <f>IFERROR(BDP(Database!$A279&amp;" HK Equity","A/H_SHARE_CONVERSION"),"")</f>
        <v/>
      </c>
      <c r="L279" s="16">
        <f>IF(Database!BL279="","(none found)",Database!BL279)</f>
        <v/>
      </c>
      <c r="M279" s="18">
        <f>IFERROR(BDH(Database!$A279&amp;" HK Equity","CUR_MKT_CAP",Database!$H279,Database!$H279),"")</f>
        <v/>
      </c>
      <c r="N279" s="97">
        <f>Database!Q279</f>
        <v/>
      </c>
      <c r="O279" s="24">
        <f>IFERROR(BDH(Database!$A279&amp;" HK Equity","PE_RATIO",Database!$H279,Database!$H279),"")</f>
        <v/>
      </c>
      <c r="P279" s="101">
        <f>IF(Database!BF279="","(n/m or not derivable)",Database!BF279)</f>
        <v/>
      </c>
      <c r="Q279" s="24">
        <f>IF(Database!BL279="","",IFERROR(BDH(LEFT(Database!BL279,FIND(".",Database!BL279)-1)&amp;" CH Equity","PE_RATIO",Database!$H279,Database!$H279),""))</f>
        <v/>
      </c>
      <c r="R279" s="24">
        <f>IF(Database!BL279="","",IFERROR(BDH("HSAHP Index","PX_LAST",Database!$H279,Database!$H279),""))</f>
        <v/>
      </c>
      <c r="S279" s="24">
        <f>IFERROR(BDP(Database!$A279&amp;" HK Equity","PX_TO_SALES_RATIO"),"")</f>
        <v/>
      </c>
      <c r="T279" s="18">
        <f>IF(Database!BL279="","",IFERROR(BDP(LEFT(Database!BL279,FIND(".",Database!BL279)-1)&amp;" CH Equity","CUR_MKT_CAP"),""))</f>
        <v/>
      </c>
    </row>
    <row r="280">
      <c r="A280" s="16">
        <f>Database!A280&amp;"  "&amp;Database!B280</f>
        <v/>
      </c>
      <c r="B280" s="10">
        <f>IFERROR(INDEX(BDS(Database!$A280&amp;" HK Equity","EQUITY_OFFERINGS","array=t","endcol=1"),MATCH("IPO",BDS(Database!$A280&amp;" HK Equity","EQUITY_OFFERINGS","array=t","startcol=2","endcol=2"),0)),"")</f>
        <v/>
      </c>
      <c r="C280" s="103">
        <f>IF($B280="","",IFERROR(BDP($B280&amp;" Action","CP036"),""))</f>
        <v/>
      </c>
      <c r="D280" s="104">
        <f>Database!S280</f>
        <v/>
      </c>
      <c r="E280" s="103">
        <f>IF($B280="","",IFERROR(BDP($B280&amp;" Action","CP037"),""))</f>
        <v/>
      </c>
      <c r="F280" s="104">
        <f>Database!T280</f>
        <v/>
      </c>
      <c r="G280" s="103">
        <f>IF($B280="","",IFERROR(BDP($B280&amp;" Action","GREENSHOE_FACILITY"),""))</f>
        <v/>
      </c>
      <c r="H280" s="103">
        <f>IF($B280="","",IFERROR(BDP($B280&amp;" Action","OFFERING_GREENSHOE_SHARES_EX"),""))</f>
        <v/>
      </c>
      <c r="I280" s="16">
        <f>Database!AG280</f>
        <v/>
      </c>
      <c r="J280" s="24">
        <f>IFERROR(BDP(Database!$A280&amp;" HK Equity","PE_RATIO"),"")</f>
        <v/>
      </c>
      <c r="K280" s="10">
        <f>IFERROR(BDP(Database!$A280&amp;" HK Equity","A/H_SHARE_CONVERSION"),"")</f>
        <v/>
      </c>
      <c r="L280" s="16">
        <f>IF(Database!BL280="","(none found)",Database!BL280)</f>
        <v/>
      </c>
      <c r="M280" s="18">
        <f>IFERROR(BDH(Database!$A280&amp;" HK Equity","CUR_MKT_CAP",Database!$H280,Database!$H280),"")</f>
        <v/>
      </c>
      <c r="N280" s="97">
        <f>Database!Q280</f>
        <v/>
      </c>
      <c r="O280" s="24">
        <f>IFERROR(BDH(Database!$A280&amp;" HK Equity","PE_RATIO",Database!$H280,Database!$H280),"")</f>
        <v/>
      </c>
      <c r="P280" s="101">
        <f>IF(Database!BF280="","(n/m or not derivable)",Database!BF280)</f>
        <v/>
      </c>
      <c r="Q280" s="24">
        <f>IF(Database!BL280="","",IFERROR(BDH(LEFT(Database!BL280,FIND(".",Database!BL280)-1)&amp;" CH Equity","PE_RATIO",Database!$H280,Database!$H280),""))</f>
        <v/>
      </c>
      <c r="R280" s="24">
        <f>IF(Database!BL280="","",IFERROR(BDH("HSAHP Index","PX_LAST",Database!$H280,Database!$H280),""))</f>
        <v/>
      </c>
      <c r="S280" s="24">
        <f>IFERROR(BDP(Database!$A280&amp;" HK Equity","PX_TO_SALES_RATIO"),"")</f>
        <v/>
      </c>
      <c r="T280" s="18">
        <f>IF(Database!BL280="","",IFERROR(BDP(LEFT(Database!BL280,FIND(".",Database!BL280)-1)&amp;" CH Equity","CUR_MKT_CAP"),""))</f>
        <v/>
      </c>
    </row>
    <row r="281">
      <c r="A281" s="16">
        <f>Database!A281&amp;"  "&amp;Database!B281</f>
        <v/>
      </c>
      <c r="B281" s="10">
        <f>IFERROR(INDEX(BDS(Database!$A281&amp;" HK Equity","EQUITY_OFFERINGS","array=t","endcol=1"),MATCH("IPO",BDS(Database!$A281&amp;" HK Equity","EQUITY_OFFERINGS","array=t","startcol=2","endcol=2"),0)),"")</f>
        <v/>
      </c>
      <c r="C281" s="103">
        <f>IF($B281="","",IFERROR(BDP($B281&amp;" Action","CP036"),""))</f>
        <v/>
      </c>
      <c r="D281" s="104">
        <f>Database!S281</f>
        <v/>
      </c>
      <c r="E281" s="103">
        <f>IF($B281="","",IFERROR(BDP($B281&amp;" Action","CP037"),""))</f>
        <v/>
      </c>
      <c r="F281" s="104">
        <f>Database!T281</f>
        <v/>
      </c>
      <c r="G281" s="103">
        <f>IF($B281="","",IFERROR(BDP($B281&amp;" Action","GREENSHOE_FACILITY"),""))</f>
        <v/>
      </c>
      <c r="H281" s="103">
        <f>IF($B281="","",IFERROR(BDP($B281&amp;" Action","OFFERING_GREENSHOE_SHARES_EX"),""))</f>
        <v/>
      </c>
      <c r="I281" s="16">
        <f>Database!AG281</f>
        <v/>
      </c>
      <c r="J281" s="24">
        <f>IFERROR(BDP(Database!$A281&amp;" HK Equity","PE_RATIO"),"")</f>
        <v/>
      </c>
      <c r="K281" s="10">
        <f>IFERROR(BDP(Database!$A281&amp;" HK Equity","A/H_SHARE_CONVERSION"),"")</f>
        <v/>
      </c>
      <c r="L281" s="16">
        <f>IF(Database!BL281="","(none found)",Database!BL281)</f>
        <v/>
      </c>
      <c r="M281" s="18">
        <f>IFERROR(BDH(Database!$A281&amp;" HK Equity","CUR_MKT_CAP",Database!$H281,Database!$H281),"")</f>
        <v/>
      </c>
      <c r="N281" s="97">
        <f>Database!Q281</f>
        <v/>
      </c>
      <c r="O281" s="24">
        <f>IFERROR(BDH(Database!$A281&amp;" HK Equity","PE_RATIO",Database!$H281,Database!$H281),"")</f>
        <v/>
      </c>
      <c r="P281" s="101">
        <f>IF(Database!BF281="","(n/m or not derivable)",Database!BF281)</f>
        <v/>
      </c>
      <c r="Q281" s="24">
        <f>IF(Database!BL281="","",IFERROR(BDH(LEFT(Database!BL281,FIND(".",Database!BL281)-1)&amp;" CH Equity","PE_RATIO",Database!$H281,Database!$H281),""))</f>
        <v/>
      </c>
      <c r="R281" s="24">
        <f>IF(Database!BL281="","",IFERROR(BDH("HSAHP Index","PX_LAST",Database!$H281,Database!$H281),""))</f>
        <v/>
      </c>
      <c r="S281" s="24">
        <f>IFERROR(BDP(Database!$A281&amp;" HK Equity","PX_TO_SALES_RATIO"),"")</f>
        <v/>
      </c>
      <c r="T281" s="18">
        <f>IF(Database!BL281="","",IFERROR(BDP(LEFT(Database!BL281,FIND(".",Database!BL281)-1)&amp;" CH Equity","CUR_MKT_CAP"),""))</f>
        <v/>
      </c>
    </row>
    <row r="282">
      <c r="A282" s="16">
        <f>Database!A282&amp;"  "&amp;Database!B282</f>
        <v/>
      </c>
      <c r="B282" s="10">
        <f>IFERROR(INDEX(BDS(Database!$A282&amp;" HK Equity","EQUITY_OFFERINGS","array=t","endcol=1"),MATCH("IPO",BDS(Database!$A282&amp;" HK Equity","EQUITY_OFFERINGS","array=t","startcol=2","endcol=2"),0)),"")</f>
        <v/>
      </c>
      <c r="C282" s="103">
        <f>IF($B282="","",IFERROR(BDP($B282&amp;" Action","CP036"),""))</f>
        <v/>
      </c>
      <c r="D282" s="104">
        <f>Database!S282</f>
        <v/>
      </c>
      <c r="E282" s="103">
        <f>IF($B282="","",IFERROR(BDP($B282&amp;" Action","CP037"),""))</f>
        <v/>
      </c>
      <c r="F282" s="104">
        <f>Database!T282</f>
        <v/>
      </c>
      <c r="G282" s="103">
        <f>IF($B282="","",IFERROR(BDP($B282&amp;" Action","GREENSHOE_FACILITY"),""))</f>
        <v/>
      </c>
      <c r="H282" s="103">
        <f>IF($B282="","",IFERROR(BDP($B282&amp;" Action","OFFERING_GREENSHOE_SHARES_EX"),""))</f>
        <v/>
      </c>
      <c r="I282" s="16">
        <f>Database!AG282</f>
        <v/>
      </c>
      <c r="J282" s="24">
        <f>IFERROR(BDP(Database!$A282&amp;" HK Equity","PE_RATIO"),"")</f>
        <v/>
      </c>
      <c r="K282" s="10">
        <f>IFERROR(BDP(Database!$A282&amp;" HK Equity","A/H_SHARE_CONVERSION"),"")</f>
        <v/>
      </c>
      <c r="L282" s="16">
        <f>IF(Database!BL282="","(none found)",Database!BL282)</f>
        <v/>
      </c>
      <c r="M282" s="18">
        <f>IFERROR(BDH(Database!$A282&amp;" HK Equity","CUR_MKT_CAP",Database!$H282,Database!$H282),"")</f>
        <v/>
      </c>
      <c r="N282" s="97">
        <f>Database!Q282</f>
        <v/>
      </c>
      <c r="O282" s="24">
        <f>IFERROR(BDH(Database!$A282&amp;" HK Equity","PE_RATIO",Database!$H282,Database!$H282),"")</f>
        <v/>
      </c>
      <c r="P282" s="101">
        <f>IF(Database!BF282="","(n/m or not derivable)",Database!BF282)</f>
        <v/>
      </c>
      <c r="Q282" s="24">
        <f>IF(Database!BL282="","",IFERROR(BDH(LEFT(Database!BL282,FIND(".",Database!BL282)-1)&amp;" CH Equity","PE_RATIO",Database!$H282,Database!$H282),""))</f>
        <v/>
      </c>
      <c r="R282" s="24">
        <f>IF(Database!BL282="","",IFERROR(BDH("HSAHP Index","PX_LAST",Database!$H282,Database!$H282),""))</f>
        <v/>
      </c>
      <c r="S282" s="24">
        <f>IFERROR(BDP(Database!$A282&amp;" HK Equity","PX_TO_SALES_RATIO"),"")</f>
        <v/>
      </c>
      <c r="T282" s="18">
        <f>IF(Database!BL282="","",IFERROR(BDP(LEFT(Database!BL282,FIND(".",Database!BL282)-1)&amp;" CH Equity","CUR_MKT_CAP"),""))</f>
        <v/>
      </c>
    </row>
    <row r="283">
      <c r="A283" s="16">
        <f>Database!A283&amp;"  "&amp;Database!B283</f>
        <v/>
      </c>
      <c r="B283" s="10">
        <f>IFERROR(INDEX(BDS(Database!$A283&amp;" HK Equity","EQUITY_OFFERINGS","array=t","endcol=1"),MATCH("IPO",BDS(Database!$A283&amp;" HK Equity","EQUITY_OFFERINGS","array=t","startcol=2","endcol=2"),0)),"")</f>
        <v/>
      </c>
      <c r="C283" s="103">
        <f>IF($B283="","",IFERROR(BDP($B283&amp;" Action","CP036"),""))</f>
        <v/>
      </c>
      <c r="D283" s="104">
        <f>Database!S283</f>
        <v/>
      </c>
      <c r="E283" s="103">
        <f>IF($B283="","",IFERROR(BDP($B283&amp;" Action","CP037"),""))</f>
        <v/>
      </c>
      <c r="F283" s="104">
        <f>Database!T283</f>
        <v/>
      </c>
      <c r="G283" s="103">
        <f>IF($B283="","",IFERROR(BDP($B283&amp;" Action","GREENSHOE_FACILITY"),""))</f>
        <v/>
      </c>
      <c r="H283" s="103">
        <f>IF($B283="","",IFERROR(BDP($B283&amp;" Action","OFFERING_GREENSHOE_SHARES_EX"),""))</f>
        <v/>
      </c>
      <c r="I283" s="16">
        <f>Database!AG283</f>
        <v/>
      </c>
      <c r="J283" s="24">
        <f>IFERROR(BDP(Database!$A283&amp;" HK Equity","PE_RATIO"),"")</f>
        <v/>
      </c>
      <c r="K283" s="10">
        <f>IFERROR(BDP(Database!$A283&amp;" HK Equity","A/H_SHARE_CONVERSION"),"")</f>
        <v/>
      </c>
      <c r="L283" s="16">
        <f>IF(Database!BL283="","(none found)",Database!BL283)</f>
        <v/>
      </c>
      <c r="M283" s="18">
        <f>IFERROR(BDH(Database!$A283&amp;" HK Equity","CUR_MKT_CAP",Database!$H283,Database!$H283),"")</f>
        <v/>
      </c>
      <c r="N283" s="97">
        <f>Database!Q283</f>
        <v/>
      </c>
      <c r="O283" s="24">
        <f>IFERROR(BDH(Database!$A283&amp;" HK Equity","PE_RATIO",Database!$H283,Database!$H283),"")</f>
        <v/>
      </c>
      <c r="P283" s="101">
        <f>IF(Database!BF283="","(n/m or not derivable)",Database!BF283)</f>
        <v/>
      </c>
      <c r="Q283" s="24">
        <f>IF(Database!BL283="","",IFERROR(BDH(LEFT(Database!BL283,FIND(".",Database!BL283)-1)&amp;" CH Equity","PE_RATIO",Database!$H283,Database!$H283),""))</f>
        <v/>
      </c>
      <c r="R283" s="24">
        <f>IF(Database!BL283="","",IFERROR(BDH("HSAHP Index","PX_LAST",Database!$H283,Database!$H283),""))</f>
        <v/>
      </c>
      <c r="S283" s="24">
        <f>IFERROR(BDP(Database!$A283&amp;" HK Equity","PX_TO_SALES_RATIO"),"")</f>
        <v/>
      </c>
      <c r="T283" s="18">
        <f>IF(Database!BL283="","",IFERROR(BDP(LEFT(Database!BL283,FIND(".",Database!BL283)-1)&amp;" CH Equity","CUR_MKT_CAP"),""))</f>
        <v/>
      </c>
    </row>
    <row r="284">
      <c r="A284" s="16">
        <f>Database!A284&amp;"  "&amp;Database!B284</f>
        <v/>
      </c>
      <c r="B284" s="10">
        <f>IFERROR(INDEX(BDS(Database!$A284&amp;" HK Equity","EQUITY_OFFERINGS","array=t","endcol=1"),MATCH("IPO",BDS(Database!$A284&amp;" HK Equity","EQUITY_OFFERINGS","array=t","startcol=2","endcol=2"),0)),"")</f>
        <v/>
      </c>
      <c r="C284" s="103">
        <f>IF($B284="","",IFERROR(BDP($B284&amp;" Action","CP036"),""))</f>
        <v/>
      </c>
      <c r="D284" s="104">
        <f>Database!S284</f>
        <v/>
      </c>
      <c r="E284" s="103">
        <f>IF($B284="","",IFERROR(BDP($B284&amp;" Action","CP037"),""))</f>
        <v/>
      </c>
      <c r="F284" s="104">
        <f>Database!T284</f>
        <v/>
      </c>
      <c r="G284" s="103">
        <f>IF($B284="","",IFERROR(BDP($B284&amp;" Action","GREENSHOE_FACILITY"),""))</f>
        <v/>
      </c>
      <c r="H284" s="103">
        <f>IF($B284="","",IFERROR(BDP($B284&amp;" Action","OFFERING_GREENSHOE_SHARES_EX"),""))</f>
        <v/>
      </c>
      <c r="I284" s="16">
        <f>Database!AG284</f>
        <v/>
      </c>
      <c r="J284" s="24">
        <f>IFERROR(BDP(Database!$A284&amp;" HK Equity","PE_RATIO"),"")</f>
        <v/>
      </c>
      <c r="K284" s="10">
        <f>IFERROR(BDP(Database!$A284&amp;" HK Equity","A/H_SHARE_CONVERSION"),"")</f>
        <v/>
      </c>
      <c r="L284" s="16">
        <f>IF(Database!BL284="","(none found)",Database!BL284)</f>
        <v/>
      </c>
      <c r="M284" s="18">
        <f>IFERROR(BDH(Database!$A284&amp;" HK Equity","CUR_MKT_CAP",Database!$H284,Database!$H284),"")</f>
        <v/>
      </c>
      <c r="N284" s="97">
        <f>Database!Q284</f>
        <v/>
      </c>
      <c r="O284" s="24">
        <f>IFERROR(BDH(Database!$A284&amp;" HK Equity","PE_RATIO",Database!$H284,Database!$H284),"")</f>
        <v/>
      </c>
      <c r="P284" s="101">
        <f>IF(Database!BF284="","(n/m or not derivable)",Database!BF284)</f>
        <v/>
      </c>
      <c r="Q284" s="24">
        <f>IF(Database!BL284="","",IFERROR(BDH(LEFT(Database!BL284,FIND(".",Database!BL284)-1)&amp;" CH Equity","PE_RATIO",Database!$H284,Database!$H284),""))</f>
        <v/>
      </c>
      <c r="R284" s="24">
        <f>IF(Database!BL284="","",IFERROR(BDH("HSAHP Index","PX_LAST",Database!$H284,Database!$H284),""))</f>
        <v/>
      </c>
      <c r="S284" s="24">
        <f>IFERROR(BDP(Database!$A284&amp;" HK Equity","PX_TO_SALES_RATIO"),"")</f>
        <v/>
      </c>
      <c r="T284" s="18">
        <f>IF(Database!BL284="","",IFERROR(BDP(LEFT(Database!BL284,FIND(".",Database!BL284)-1)&amp;" CH Equity","CUR_MKT_CAP"),""))</f>
        <v/>
      </c>
    </row>
    <row r="285">
      <c r="A285" s="16">
        <f>Database!A285&amp;"  "&amp;Database!B285</f>
        <v/>
      </c>
      <c r="B285" s="10">
        <f>IFERROR(INDEX(BDS(Database!$A285&amp;" HK Equity","EQUITY_OFFERINGS","array=t","endcol=1"),MATCH("IPO",BDS(Database!$A285&amp;" HK Equity","EQUITY_OFFERINGS","array=t","startcol=2","endcol=2"),0)),"")</f>
        <v/>
      </c>
      <c r="C285" s="103">
        <f>IF($B285="","",IFERROR(BDP($B285&amp;" Action","CP036"),""))</f>
        <v/>
      </c>
      <c r="D285" s="104">
        <f>Database!S285</f>
        <v/>
      </c>
      <c r="E285" s="103">
        <f>IF($B285="","",IFERROR(BDP($B285&amp;" Action","CP037"),""))</f>
        <v/>
      </c>
      <c r="F285" s="104">
        <f>Database!T285</f>
        <v/>
      </c>
      <c r="G285" s="103">
        <f>IF($B285="","",IFERROR(BDP($B285&amp;" Action","GREENSHOE_FACILITY"),""))</f>
        <v/>
      </c>
      <c r="H285" s="103">
        <f>IF($B285="","",IFERROR(BDP($B285&amp;" Action","OFFERING_GREENSHOE_SHARES_EX"),""))</f>
        <v/>
      </c>
      <c r="I285" s="16">
        <f>Database!AG285</f>
        <v/>
      </c>
      <c r="J285" s="24">
        <f>IFERROR(BDP(Database!$A285&amp;" HK Equity","PE_RATIO"),"")</f>
        <v/>
      </c>
      <c r="K285" s="10">
        <f>IFERROR(BDP(Database!$A285&amp;" HK Equity","A/H_SHARE_CONVERSION"),"")</f>
        <v/>
      </c>
      <c r="L285" s="16">
        <f>IF(Database!BL285="","(none found)",Database!BL285)</f>
        <v/>
      </c>
      <c r="M285" s="18">
        <f>IFERROR(BDH(Database!$A285&amp;" HK Equity","CUR_MKT_CAP",Database!$H285,Database!$H285),"")</f>
        <v/>
      </c>
      <c r="N285" s="97">
        <f>Database!Q285</f>
        <v/>
      </c>
      <c r="O285" s="24">
        <f>IFERROR(BDH(Database!$A285&amp;" HK Equity","PE_RATIO",Database!$H285,Database!$H285),"")</f>
        <v/>
      </c>
      <c r="P285" s="101">
        <f>IF(Database!BF285="","(n/m or not derivable)",Database!BF285)</f>
        <v/>
      </c>
      <c r="Q285" s="24">
        <f>IF(Database!BL285="","",IFERROR(BDH(LEFT(Database!BL285,FIND(".",Database!BL285)-1)&amp;" CH Equity","PE_RATIO",Database!$H285,Database!$H285),""))</f>
        <v/>
      </c>
      <c r="R285" s="24">
        <f>IF(Database!BL285="","",IFERROR(BDH("HSAHP Index","PX_LAST",Database!$H285,Database!$H285),""))</f>
        <v/>
      </c>
      <c r="S285" s="24">
        <f>IFERROR(BDP(Database!$A285&amp;" HK Equity","PX_TO_SALES_RATIO"),"")</f>
        <v/>
      </c>
      <c r="T285" s="18">
        <f>IF(Database!BL285="","",IFERROR(BDP(LEFT(Database!BL285,FIND(".",Database!BL285)-1)&amp;" CH Equity","CUR_MKT_CAP"),""))</f>
        <v/>
      </c>
    </row>
    <row r="286">
      <c r="A286" s="16">
        <f>Database!A286&amp;"  "&amp;Database!B286</f>
        <v/>
      </c>
      <c r="B286" s="10">
        <f>IFERROR(INDEX(BDS(Database!$A286&amp;" HK Equity","EQUITY_OFFERINGS","array=t","endcol=1"),MATCH("IPO",BDS(Database!$A286&amp;" HK Equity","EQUITY_OFFERINGS","array=t","startcol=2","endcol=2"),0)),"")</f>
        <v/>
      </c>
      <c r="C286" s="103">
        <f>IF($B286="","",IFERROR(BDP($B286&amp;" Action","CP036"),""))</f>
        <v/>
      </c>
      <c r="D286" s="104">
        <f>Database!S286</f>
        <v/>
      </c>
      <c r="E286" s="103">
        <f>IF($B286="","",IFERROR(BDP($B286&amp;" Action","CP037"),""))</f>
        <v/>
      </c>
      <c r="F286" s="104">
        <f>Database!T286</f>
        <v/>
      </c>
      <c r="G286" s="103">
        <f>IF($B286="","",IFERROR(BDP($B286&amp;" Action","GREENSHOE_FACILITY"),""))</f>
        <v/>
      </c>
      <c r="H286" s="103">
        <f>IF($B286="","",IFERROR(BDP($B286&amp;" Action","OFFERING_GREENSHOE_SHARES_EX"),""))</f>
        <v/>
      </c>
      <c r="I286" s="16">
        <f>Database!AG286</f>
        <v/>
      </c>
      <c r="J286" s="24">
        <f>IFERROR(BDP(Database!$A286&amp;" HK Equity","PE_RATIO"),"")</f>
        <v/>
      </c>
      <c r="K286" s="10">
        <f>IFERROR(BDP(Database!$A286&amp;" HK Equity","A/H_SHARE_CONVERSION"),"")</f>
        <v/>
      </c>
      <c r="L286" s="16">
        <f>IF(Database!BL286="","(none found)",Database!BL286)</f>
        <v/>
      </c>
      <c r="M286" s="18">
        <f>IFERROR(BDH(Database!$A286&amp;" HK Equity","CUR_MKT_CAP",Database!$H286,Database!$H286),"")</f>
        <v/>
      </c>
      <c r="N286" s="97">
        <f>Database!Q286</f>
        <v/>
      </c>
      <c r="O286" s="24">
        <f>IFERROR(BDH(Database!$A286&amp;" HK Equity","PE_RATIO",Database!$H286,Database!$H286),"")</f>
        <v/>
      </c>
      <c r="P286" s="101">
        <f>IF(Database!BF286="","(n/m or not derivable)",Database!BF286)</f>
        <v/>
      </c>
      <c r="Q286" s="24">
        <f>IF(Database!BL286="","",IFERROR(BDH(LEFT(Database!BL286,FIND(".",Database!BL286)-1)&amp;" CH Equity","PE_RATIO",Database!$H286,Database!$H286),""))</f>
        <v/>
      </c>
      <c r="R286" s="24">
        <f>IF(Database!BL286="","",IFERROR(BDH("HSAHP Index","PX_LAST",Database!$H286,Database!$H286),""))</f>
        <v/>
      </c>
      <c r="S286" s="24">
        <f>IFERROR(BDP(Database!$A286&amp;" HK Equity","PX_TO_SALES_RATIO"),"")</f>
        <v/>
      </c>
      <c r="T286" s="18">
        <f>IF(Database!BL286="","",IFERROR(BDP(LEFT(Database!BL286,FIND(".",Database!BL286)-1)&amp;" CH Equity","CUR_MKT_CAP"),""))</f>
        <v/>
      </c>
    </row>
    <row r="287">
      <c r="A287" s="16">
        <f>Database!A287&amp;"  "&amp;Database!B287</f>
        <v/>
      </c>
      <c r="B287" s="10">
        <f>IFERROR(INDEX(BDS(Database!$A287&amp;" HK Equity","EQUITY_OFFERINGS","array=t","endcol=1"),MATCH("IPO",BDS(Database!$A287&amp;" HK Equity","EQUITY_OFFERINGS","array=t","startcol=2","endcol=2"),0)),"")</f>
        <v/>
      </c>
      <c r="C287" s="103">
        <f>IF($B287="","",IFERROR(BDP($B287&amp;" Action","CP036"),""))</f>
        <v/>
      </c>
      <c r="D287" s="104">
        <f>Database!S287</f>
        <v/>
      </c>
      <c r="E287" s="103">
        <f>IF($B287="","",IFERROR(BDP($B287&amp;" Action","CP037"),""))</f>
        <v/>
      </c>
      <c r="F287" s="104">
        <f>Database!T287</f>
        <v/>
      </c>
      <c r="G287" s="103">
        <f>IF($B287="","",IFERROR(BDP($B287&amp;" Action","GREENSHOE_FACILITY"),""))</f>
        <v/>
      </c>
      <c r="H287" s="103">
        <f>IF($B287="","",IFERROR(BDP($B287&amp;" Action","OFFERING_GREENSHOE_SHARES_EX"),""))</f>
        <v/>
      </c>
      <c r="I287" s="16">
        <f>Database!AG287</f>
        <v/>
      </c>
      <c r="J287" s="24">
        <f>IFERROR(BDP(Database!$A287&amp;" HK Equity","PE_RATIO"),"")</f>
        <v/>
      </c>
      <c r="K287" s="10">
        <f>IFERROR(BDP(Database!$A287&amp;" HK Equity","A/H_SHARE_CONVERSION"),"")</f>
        <v/>
      </c>
      <c r="L287" s="16">
        <f>IF(Database!BL287="","(none found)",Database!BL287)</f>
        <v/>
      </c>
      <c r="M287" s="18">
        <f>IFERROR(BDH(Database!$A287&amp;" HK Equity","CUR_MKT_CAP",Database!$H287,Database!$H287),"")</f>
        <v/>
      </c>
      <c r="N287" s="97">
        <f>Database!Q287</f>
        <v/>
      </c>
      <c r="O287" s="24">
        <f>IFERROR(BDH(Database!$A287&amp;" HK Equity","PE_RATIO",Database!$H287,Database!$H287),"")</f>
        <v/>
      </c>
      <c r="P287" s="101">
        <f>IF(Database!BF287="","(n/m or not derivable)",Database!BF287)</f>
        <v/>
      </c>
      <c r="Q287" s="24">
        <f>IF(Database!BL287="","",IFERROR(BDH(LEFT(Database!BL287,FIND(".",Database!BL287)-1)&amp;" CH Equity","PE_RATIO",Database!$H287,Database!$H287),""))</f>
        <v/>
      </c>
      <c r="R287" s="24">
        <f>IF(Database!BL287="","",IFERROR(BDH("HSAHP Index","PX_LAST",Database!$H287,Database!$H287),""))</f>
        <v/>
      </c>
      <c r="S287" s="24">
        <f>IFERROR(BDP(Database!$A287&amp;" HK Equity","PX_TO_SALES_RATIO"),"")</f>
        <v/>
      </c>
      <c r="T287" s="18">
        <f>IF(Database!BL287="","",IFERROR(BDP(LEFT(Database!BL287,FIND(".",Database!BL287)-1)&amp;" CH Equity","CUR_MKT_CAP"),""))</f>
        <v/>
      </c>
    </row>
    <row r="288">
      <c r="A288" s="16">
        <f>Database!A288&amp;"  "&amp;Database!B288</f>
        <v/>
      </c>
      <c r="B288" s="10">
        <f>IFERROR(INDEX(BDS(Database!$A288&amp;" HK Equity","EQUITY_OFFERINGS","array=t","endcol=1"),MATCH("IPO",BDS(Database!$A288&amp;" HK Equity","EQUITY_OFFERINGS","array=t","startcol=2","endcol=2"),0)),"")</f>
        <v/>
      </c>
      <c r="C288" s="103">
        <f>IF($B288="","",IFERROR(BDP($B288&amp;" Action","CP036"),""))</f>
        <v/>
      </c>
      <c r="D288" s="104">
        <f>Database!S288</f>
        <v/>
      </c>
      <c r="E288" s="103">
        <f>IF($B288="","",IFERROR(BDP($B288&amp;" Action","CP037"),""))</f>
        <v/>
      </c>
      <c r="F288" s="104">
        <f>Database!T288</f>
        <v/>
      </c>
      <c r="G288" s="103">
        <f>IF($B288="","",IFERROR(BDP($B288&amp;" Action","GREENSHOE_FACILITY"),""))</f>
        <v/>
      </c>
      <c r="H288" s="103">
        <f>IF($B288="","",IFERROR(BDP($B288&amp;" Action","OFFERING_GREENSHOE_SHARES_EX"),""))</f>
        <v/>
      </c>
      <c r="I288" s="16">
        <f>Database!AG288</f>
        <v/>
      </c>
      <c r="J288" s="24">
        <f>IFERROR(BDP(Database!$A288&amp;" HK Equity","PE_RATIO"),"")</f>
        <v/>
      </c>
      <c r="K288" s="10">
        <f>IFERROR(BDP(Database!$A288&amp;" HK Equity","A/H_SHARE_CONVERSION"),"")</f>
        <v/>
      </c>
      <c r="L288" s="16">
        <f>IF(Database!BL288="","(none found)",Database!BL288)</f>
        <v/>
      </c>
      <c r="M288" s="18">
        <f>IFERROR(BDH(Database!$A288&amp;" HK Equity","CUR_MKT_CAP",Database!$H288,Database!$H288),"")</f>
        <v/>
      </c>
      <c r="N288" s="97">
        <f>Database!Q288</f>
        <v/>
      </c>
      <c r="O288" s="24">
        <f>IFERROR(BDH(Database!$A288&amp;" HK Equity","PE_RATIO",Database!$H288,Database!$H288),"")</f>
        <v/>
      </c>
      <c r="P288" s="101">
        <f>IF(Database!BF288="","(n/m or not derivable)",Database!BF288)</f>
        <v/>
      </c>
      <c r="Q288" s="24">
        <f>IF(Database!BL288="","",IFERROR(BDH(LEFT(Database!BL288,FIND(".",Database!BL288)-1)&amp;" CH Equity","PE_RATIO",Database!$H288,Database!$H288),""))</f>
        <v/>
      </c>
      <c r="R288" s="24">
        <f>IF(Database!BL288="","",IFERROR(BDH("HSAHP Index","PX_LAST",Database!$H288,Database!$H288),""))</f>
        <v/>
      </c>
      <c r="S288" s="24">
        <f>IFERROR(BDP(Database!$A288&amp;" HK Equity","PX_TO_SALES_RATIO"),"")</f>
        <v/>
      </c>
      <c r="T288" s="18">
        <f>IF(Database!BL288="","",IFERROR(BDP(LEFT(Database!BL288,FIND(".",Database!BL288)-1)&amp;" CH Equity","CUR_MKT_CAP"),""))</f>
        <v/>
      </c>
    </row>
    <row r="289">
      <c r="A289" s="16">
        <f>Database!A289&amp;"  "&amp;Database!B289</f>
        <v/>
      </c>
      <c r="B289" s="10">
        <f>IFERROR(INDEX(BDS(Database!$A289&amp;" HK Equity","EQUITY_OFFERINGS","array=t","endcol=1"),MATCH("IPO",BDS(Database!$A289&amp;" HK Equity","EQUITY_OFFERINGS","array=t","startcol=2","endcol=2"),0)),"")</f>
        <v/>
      </c>
      <c r="C289" s="103">
        <f>IF($B289="","",IFERROR(BDP($B289&amp;" Action","CP036"),""))</f>
        <v/>
      </c>
      <c r="D289" s="104">
        <f>Database!S289</f>
        <v/>
      </c>
      <c r="E289" s="103">
        <f>IF($B289="","",IFERROR(BDP($B289&amp;" Action","CP037"),""))</f>
        <v/>
      </c>
      <c r="F289" s="104">
        <f>Database!T289</f>
        <v/>
      </c>
      <c r="G289" s="103">
        <f>IF($B289="","",IFERROR(BDP($B289&amp;" Action","GREENSHOE_FACILITY"),""))</f>
        <v/>
      </c>
      <c r="H289" s="103">
        <f>IF($B289="","",IFERROR(BDP($B289&amp;" Action","OFFERING_GREENSHOE_SHARES_EX"),""))</f>
        <v/>
      </c>
      <c r="I289" s="16">
        <f>Database!AG289</f>
        <v/>
      </c>
      <c r="J289" s="24">
        <f>IFERROR(BDP(Database!$A289&amp;" HK Equity","PE_RATIO"),"")</f>
        <v/>
      </c>
      <c r="K289" s="10">
        <f>IFERROR(BDP(Database!$A289&amp;" HK Equity","A/H_SHARE_CONVERSION"),"")</f>
        <v/>
      </c>
      <c r="L289" s="16">
        <f>IF(Database!BL289="","(none found)",Database!BL289)</f>
        <v/>
      </c>
      <c r="M289" s="18">
        <f>IFERROR(BDH(Database!$A289&amp;" HK Equity","CUR_MKT_CAP",Database!$H289,Database!$H289),"")</f>
        <v/>
      </c>
      <c r="N289" s="97">
        <f>Database!Q289</f>
        <v/>
      </c>
      <c r="O289" s="24">
        <f>IFERROR(BDH(Database!$A289&amp;" HK Equity","PE_RATIO",Database!$H289,Database!$H289),"")</f>
        <v/>
      </c>
      <c r="P289" s="101">
        <f>IF(Database!BF289="","(n/m or not derivable)",Database!BF289)</f>
        <v/>
      </c>
      <c r="Q289" s="24">
        <f>IF(Database!BL289="","",IFERROR(BDH(LEFT(Database!BL289,FIND(".",Database!BL289)-1)&amp;" CH Equity","PE_RATIO",Database!$H289,Database!$H289),""))</f>
        <v/>
      </c>
      <c r="R289" s="24">
        <f>IF(Database!BL289="","",IFERROR(BDH("HSAHP Index","PX_LAST",Database!$H289,Database!$H289),""))</f>
        <v/>
      </c>
      <c r="S289" s="24">
        <f>IFERROR(BDP(Database!$A289&amp;" HK Equity","PX_TO_SALES_RATIO"),"")</f>
        <v/>
      </c>
      <c r="T289" s="18">
        <f>IF(Database!BL289="","",IFERROR(BDP(LEFT(Database!BL289,FIND(".",Database!BL289)-1)&amp;" CH Equity","CUR_MKT_CAP"),""))</f>
        <v/>
      </c>
    </row>
    <row r="290">
      <c r="A290" s="16">
        <f>Database!A290&amp;"  "&amp;Database!B290</f>
        <v/>
      </c>
      <c r="B290" s="10">
        <f>IFERROR(INDEX(BDS(Database!$A290&amp;" HK Equity","EQUITY_OFFERINGS","array=t","endcol=1"),MATCH("IPO",BDS(Database!$A290&amp;" HK Equity","EQUITY_OFFERINGS","array=t","startcol=2","endcol=2"),0)),"")</f>
        <v/>
      </c>
      <c r="C290" s="103">
        <f>IF($B290="","",IFERROR(BDP($B290&amp;" Action","CP036"),""))</f>
        <v/>
      </c>
      <c r="D290" s="104">
        <f>Database!S290</f>
        <v/>
      </c>
      <c r="E290" s="103">
        <f>IF($B290="","",IFERROR(BDP($B290&amp;" Action","CP037"),""))</f>
        <v/>
      </c>
      <c r="F290" s="104">
        <f>Database!T290</f>
        <v/>
      </c>
      <c r="G290" s="103">
        <f>IF($B290="","",IFERROR(BDP($B290&amp;" Action","GREENSHOE_FACILITY"),""))</f>
        <v/>
      </c>
      <c r="H290" s="103">
        <f>IF($B290="","",IFERROR(BDP($B290&amp;" Action","OFFERING_GREENSHOE_SHARES_EX"),""))</f>
        <v/>
      </c>
      <c r="I290" s="16">
        <f>Database!AG290</f>
        <v/>
      </c>
      <c r="J290" s="24">
        <f>IFERROR(BDP(Database!$A290&amp;" HK Equity","PE_RATIO"),"")</f>
        <v/>
      </c>
      <c r="K290" s="10">
        <f>IFERROR(BDP(Database!$A290&amp;" HK Equity","A/H_SHARE_CONVERSION"),"")</f>
        <v/>
      </c>
      <c r="L290" s="16">
        <f>IF(Database!BL290="","(none found)",Database!BL290)</f>
        <v/>
      </c>
      <c r="M290" s="18">
        <f>IFERROR(BDH(Database!$A290&amp;" HK Equity","CUR_MKT_CAP",Database!$H290,Database!$H290),"")</f>
        <v/>
      </c>
      <c r="N290" s="97">
        <f>Database!Q290</f>
        <v/>
      </c>
      <c r="O290" s="24">
        <f>IFERROR(BDH(Database!$A290&amp;" HK Equity","PE_RATIO",Database!$H290,Database!$H290),"")</f>
        <v/>
      </c>
      <c r="P290" s="101">
        <f>IF(Database!BF290="","(n/m or not derivable)",Database!BF290)</f>
        <v/>
      </c>
      <c r="Q290" s="24">
        <f>IF(Database!BL290="","",IFERROR(BDH(LEFT(Database!BL290,FIND(".",Database!BL290)-1)&amp;" CH Equity","PE_RATIO",Database!$H290,Database!$H290),""))</f>
        <v/>
      </c>
      <c r="R290" s="24">
        <f>IF(Database!BL290="","",IFERROR(BDH("HSAHP Index","PX_LAST",Database!$H290,Database!$H290),""))</f>
        <v/>
      </c>
      <c r="S290" s="24">
        <f>IFERROR(BDP(Database!$A290&amp;" HK Equity","PX_TO_SALES_RATIO"),"")</f>
        <v/>
      </c>
      <c r="T290" s="18">
        <f>IF(Database!BL290="","",IFERROR(BDP(LEFT(Database!BL290,FIND(".",Database!BL290)-1)&amp;" CH Equity","CUR_MKT_CAP"),""))</f>
        <v/>
      </c>
    </row>
    <row r="291">
      <c r="A291" s="16">
        <f>Database!A291&amp;"  "&amp;Database!B291</f>
        <v/>
      </c>
      <c r="B291" s="10">
        <f>IFERROR(INDEX(BDS(Database!$A291&amp;" HK Equity","EQUITY_OFFERINGS","array=t","endcol=1"),MATCH("IPO",BDS(Database!$A291&amp;" HK Equity","EQUITY_OFFERINGS","array=t","startcol=2","endcol=2"),0)),"")</f>
        <v/>
      </c>
      <c r="C291" s="103">
        <f>IF($B291="","",IFERROR(BDP($B291&amp;" Action","CP036"),""))</f>
        <v/>
      </c>
      <c r="D291" s="104">
        <f>Database!S291</f>
        <v/>
      </c>
      <c r="E291" s="103">
        <f>IF($B291="","",IFERROR(BDP($B291&amp;" Action","CP037"),""))</f>
        <v/>
      </c>
      <c r="F291" s="104">
        <f>Database!T291</f>
        <v/>
      </c>
      <c r="G291" s="103">
        <f>IF($B291="","",IFERROR(BDP($B291&amp;" Action","GREENSHOE_FACILITY"),""))</f>
        <v/>
      </c>
      <c r="H291" s="103">
        <f>IF($B291="","",IFERROR(BDP($B291&amp;" Action","OFFERING_GREENSHOE_SHARES_EX"),""))</f>
        <v/>
      </c>
      <c r="I291" s="16">
        <f>Database!AG291</f>
        <v/>
      </c>
      <c r="J291" s="24">
        <f>IFERROR(BDP(Database!$A291&amp;" HK Equity","PE_RATIO"),"")</f>
        <v/>
      </c>
      <c r="K291" s="10">
        <f>IFERROR(BDP(Database!$A291&amp;" HK Equity","A/H_SHARE_CONVERSION"),"")</f>
        <v/>
      </c>
      <c r="L291" s="16">
        <f>IF(Database!BL291="","(none found)",Database!BL291)</f>
        <v/>
      </c>
      <c r="M291" s="18">
        <f>IFERROR(BDH(Database!$A291&amp;" HK Equity","CUR_MKT_CAP",Database!$H291,Database!$H291),"")</f>
        <v/>
      </c>
      <c r="N291" s="97">
        <f>Database!Q291</f>
        <v/>
      </c>
      <c r="O291" s="24">
        <f>IFERROR(BDH(Database!$A291&amp;" HK Equity","PE_RATIO",Database!$H291,Database!$H291),"")</f>
        <v/>
      </c>
      <c r="P291" s="101">
        <f>IF(Database!BF291="","(n/m or not derivable)",Database!BF291)</f>
        <v/>
      </c>
      <c r="Q291" s="24">
        <f>IF(Database!BL291="","",IFERROR(BDH(LEFT(Database!BL291,FIND(".",Database!BL291)-1)&amp;" CH Equity","PE_RATIO",Database!$H291,Database!$H291),""))</f>
        <v/>
      </c>
      <c r="R291" s="24">
        <f>IF(Database!BL291="","",IFERROR(BDH("HSAHP Index","PX_LAST",Database!$H291,Database!$H291),""))</f>
        <v/>
      </c>
      <c r="S291" s="24">
        <f>IFERROR(BDP(Database!$A291&amp;" HK Equity","PX_TO_SALES_RATIO"),"")</f>
        <v/>
      </c>
      <c r="T291" s="18">
        <f>IF(Database!BL291="","",IFERROR(BDP(LEFT(Database!BL291,FIND(".",Database!BL291)-1)&amp;" CH Equity","CUR_MKT_CAP"),""))</f>
        <v/>
      </c>
    </row>
    <row r="292">
      <c r="A292" s="16">
        <f>Database!A292&amp;"  "&amp;Database!B292</f>
        <v/>
      </c>
      <c r="B292" s="10">
        <f>IFERROR(INDEX(BDS(Database!$A292&amp;" HK Equity","EQUITY_OFFERINGS","array=t","endcol=1"),MATCH("IPO",BDS(Database!$A292&amp;" HK Equity","EQUITY_OFFERINGS","array=t","startcol=2","endcol=2"),0)),"")</f>
        <v/>
      </c>
      <c r="C292" s="103">
        <f>IF($B292="","",IFERROR(BDP($B292&amp;" Action","CP036"),""))</f>
        <v/>
      </c>
      <c r="D292" s="104">
        <f>Database!S292</f>
        <v/>
      </c>
      <c r="E292" s="103">
        <f>IF($B292="","",IFERROR(BDP($B292&amp;" Action","CP037"),""))</f>
        <v/>
      </c>
      <c r="F292" s="104">
        <f>Database!T292</f>
        <v/>
      </c>
      <c r="G292" s="103">
        <f>IF($B292="","",IFERROR(BDP($B292&amp;" Action","GREENSHOE_FACILITY"),""))</f>
        <v/>
      </c>
      <c r="H292" s="103">
        <f>IF($B292="","",IFERROR(BDP($B292&amp;" Action","OFFERING_GREENSHOE_SHARES_EX"),""))</f>
        <v/>
      </c>
      <c r="I292" s="16">
        <f>Database!AG292</f>
        <v/>
      </c>
      <c r="J292" s="24">
        <f>IFERROR(BDP(Database!$A292&amp;" HK Equity","PE_RATIO"),"")</f>
        <v/>
      </c>
      <c r="K292" s="10">
        <f>IFERROR(BDP(Database!$A292&amp;" HK Equity","A/H_SHARE_CONVERSION"),"")</f>
        <v/>
      </c>
      <c r="L292" s="16">
        <f>IF(Database!BL292="","(none found)",Database!BL292)</f>
        <v/>
      </c>
      <c r="M292" s="18">
        <f>IFERROR(BDH(Database!$A292&amp;" HK Equity","CUR_MKT_CAP",Database!$H292,Database!$H292),"")</f>
        <v/>
      </c>
      <c r="N292" s="97">
        <f>Database!Q292</f>
        <v/>
      </c>
      <c r="O292" s="24">
        <f>IFERROR(BDH(Database!$A292&amp;" HK Equity","PE_RATIO",Database!$H292,Database!$H292),"")</f>
        <v/>
      </c>
      <c r="P292" s="101">
        <f>IF(Database!BF292="","(n/m or not derivable)",Database!BF292)</f>
        <v/>
      </c>
      <c r="Q292" s="24">
        <f>IF(Database!BL292="","",IFERROR(BDH(LEFT(Database!BL292,FIND(".",Database!BL292)-1)&amp;" CH Equity","PE_RATIO",Database!$H292,Database!$H292),""))</f>
        <v/>
      </c>
      <c r="R292" s="24">
        <f>IF(Database!BL292="","",IFERROR(BDH("HSAHP Index","PX_LAST",Database!$H292,Database!$H292),""))</f>
        <v/>
      </c>
      <c r="S292" s="24">
        <f>IFERROR(BDP(Database!$A292&amp;" HK Equity","PX_TO_SALES_RATIO"),"")</f>
        <v/>
      </c>
      <c r="T292" s="18">
        <f>IF(Database!BL292="","",IFERROR(BDP(LEFT(Database!BL292,FIND(".",Database!BL292)-1)&amp;" CH Equity","CUR_MKT_CAP"),""))</f>
        <v/>
      </c>
    </row>
    <row r="293">
      <c r="A293" s="16">
        <f>Database!A293&amp;"  "&amp;Database!B293</f>
        <v/>
      </c>
      <c r="B293" s="10">
        <f>IFERROR(INDEX(BDS(Database!$A293&amp;" HK Equity","EQUITY_OFFERINGS","array=t","endcol=1"),MATCH("IPO",BDS(Database!$A293&amp;" HK Equity","EQUITY_OFFERINGS","array=t","startcol=2","endcol=2"),0)),"")</f>
        <v/>
      </c>
      <c r="C293" s="103">
        <f>IF($B293="","",IFERROR(BDP($B293&amp;" Action","CP036"),""))</f>
        <v/>
      </c>
      <c r="D293" s="104">
        <f>Database!S293</f>
        <v/>
      </c>
      <c r="E293" s="103">
        <f>IF($B293="","",IFERROR(BDP($B293&amp;" Action","CP037"),""))</f>
        <v/>
      </c>
      <c r="F293" s="104">
        <f>Database!T293</f>
        <v/>
      </c>
      <c r="G293" s="103">
        <f>IF($B293="","",IFERROR(BDP($B293&amp;" Action","GREENSHOE_FACILITY"),""))</f>
        <v/>
      </c>
      <c r="H293" s="103">
        <f>IF($B293="","",IFERROR(BDP($B293&amp;" Action","OFFERING_GREENSHOE_SHARES_EX"),""))</f>
        <v/>
      </c>
      <c r="I293" s="16">
        <f>Database!AG293</f>
        <v/>
      </c>
      <c r="J293" s="24">
        <f>IFERROR(BDP(Database!$A293&amp;" HK Equity","PE_RATIO"),"")</f>
        <v/>
      </c>
      <c r="K293" s="10">
        <f>IFERROR(BDP(Database!$A293&amp;" HK Equity","A/H_SHARE_CONVERSION"),"")</f>
        <v/>
      </c>
      <c r="L293" s="16">
        <f>IF(Database!BL293="","(none found)",Database!BL293)</f>
        <v/>
      </c>
      <c r="M293" s="18">
        <f>IFERROR(BDH(Database!$A293&amp;" HK Equity","CUR_MKT_CAP",Database!$H293,Database!$H293),"")</f>
        <v/>
      </c>
      <c r="N293" s="97">
        <f>Database!Q293</f>
        <v/>
      </c>
      <c r="O293" s="24">
        <f>IFERROR(BDH(Database!$A293&amp;" HK Equity","PE_RATIO",Database!$H293,Database!$H293),"")</f>
        <v/>
      </c>
      <c r="P293" s="101">
        <f>IF(Database!BF293="","(n/m or not derivable)",Database!BF293)</f>
        <v/>
      </c>
      <c r="Q293" s="24">
        <f>IF(Database!BL293="","",IFERROR(BDH(LEFT(Database!BL293,FIND(".",Database!BL293)-1)&amp;" CH Equity","PE_RATIO",Database!$H293,Database!$H293),""))</f>
        <v/>
      </c>
      <c r="R293" s="24">
        <f>IF(Database!BL293="","",IFERROR(BDH("HSAHP Index","PX_LAST",Database!$H293,Database!$H293),""))</f>
        <v/>
      </c>
      <c r="S293" s="24">
        <f>IFERROR(BDP(Database!$A293&amp;" HK Equity","PX_TO_SALES_RATIO"),"")</f>
        <v/>
      </c>
      <c r="T293" s="18">
        <f>IF(Database!BL293="","",IFERROR(BDP(LEFT(Database!BL293,FIND(".",Database!BL293)-1)&amp;" CH Equity","CUR_MKT_CAP"),""))</f>
        <v/>
      </c>
    </row>
    <row r="294">
      <c r="A294" s="16">
        <f>Database!A294&amp;"  "&amp;Database!B294</f>
        <v/>
      </c>
      <c r="B294" s="10">
        <f>IFERROR(INDEX(BDS(Database!$A294&amp;" HK Equity","EQUITY_OFFERINGS","array=t","endcol=1"),MATCH("IPO",BDS(Database!$A294&amp;" HK Equity","EQUITY_OFFERINGS","array=t","startcol=2","endcol=2"),0)),"")</f>
        <v/>
      </c>
      <c r="C294" s="103">
        <f>IF($B294="","",IFERROR(BDP($B294&amp;" Action","CP036"),""))</f>
        <v/>
      </c>
      <c r="D294" s="104">
        <f>Database!S294</f>
        <v/>
      </c>
      <c r="E294" s="103">
        <f>IF($B294="","",IFERROR(BDP($B294&amp;" Action","CP037"),""))</f>
        <v/>
      </c>
      <c r="F294" s="104">
        <f>Database!T294</f>
        <v/>
      </c>
      <c r="G294" s="103">
        <f>IF($B294="","",IFERROR(BDP($B294&amp;" Action","GREENSHOE_FACILITY"),""))</f>
        <v/>
      </c>
      <c r="H294" s="103">
        <f>IF($B294="","",IFERROR(BDP($B294&amp;" Action","OFFERING_GREENSHOE_SHARES_EX"),""))</f>
        <v/>
      </c>
      <c r="I294" s="16">
        <f>Database!AG294</f>
        <v/>
      </c>
      <c r="J294" s="24">
        <f>IFERROR(BDP(Database!$A294&amp;" HK Equity","PE_RATIO"),"")</f>
        <v/>
      </c>
      <c r="K294" s="10">
        <f>IFERROR(BDP(Database!$A294&amp;" HK Equity","A/H_SHARE_CONVERSION"),"")</f>
        <v/>
      </c>
      <c r="L294" s="16">
        <f>IF(Database!BL294="","(none found)",Database!BL294)</f>
        <v/>
      </c>
      <c r="M294" s="18">
        <f>IFERROR(BDH(Database!$A294&amp;" HK Equity","CUR_MKT_CAP",Database!$H294,Database!$H294),"")</f>
        <v/>
      </c>
      <c r="N294" s="97">
        <f>Database!Q294</f>
        <v/>
      </c>
      <c r="O294" s="24">
        <f>IFERROR(BDH(Database!$A294&amp;" HK Equity","PE_RATIO",Database!$H294,Database!$H294),"")</f>
        <v/>
      </c>
      <c r="P294" s="101">
        <f>IF(Database!BF294="","(n/m or not derivable)",Database!BF294)</f>
        <v/>
      </c>
      <c r="Q294" s="24">
        <f>IF(Database!BL294="","",IFERROR(BDH(LEFT(Database!BL294,FIND(".",Database!BL294)-1)&amp;" CH Equity","PE_RATIO",Database!$H294,Database!$H294),""))</f>
        <v/>
      </c>
      <c r="R294" s="24">
        <f>IF(Database!BL294="","",IFERROR(BDH("HSAHP Index","PX_LAST",Database!$H294,Database!$H294),""))</f>
        <v/>
      </c>
      <c r="S294" s="24">
        <f>IFERROR(BDP(Database!$A294&amp;" HK Equity","PX_TO_SALES_RATIO"),"")</f>
        <v/>
      </c>
      <c r="T294" s="18">
        <f>IF(Database!BL294="","",IFERROR(BDP(LEFT(Database!BL294,FIND(".",Database!BL294)-1)&amp;" CH Equity","CUR_MKT_CAP"),""))</f>
        <v/>
      </c>
    </row>
    <row r="295">
      <c r="A295" s="16">
        <f>Database!A295&amp;"  "&amp;Database!B295</f>
        <v/>
      </c>
      <c r="B295" s="10">
        <f>IFERROR(INDEX(BDS(Database!$A295&amp;" HK Equity","EQUITY_OFFERINGS","array=t","endcol=1"),MATCH("IPO",BDS(Database!$A295&amp;" HK Equity","EQUITY_OFFERINGS","array=t","startcol=2","endcol=2"),0)),"")</f>
        <v/>
      </c>
      <c r="C295" s="103">
        <f>IF($B295="","",IFERROR(BDP($B295&amp;" Action","CP036"),""))</f>
        <v/>
      </c>
      <c r="D295" s="104">
        <f>Database!S295</f>
        <v/>
      </c>
      <c r="E295" s="103">
        <f>IF($B295="","",IFERROR(BDP($B295&amp;" Action","CP037"),""))</f>
        <v/>
      </c>
      <c r="F295" s="104">
        <f>Database!T295</f>
        <v/>
      </c>
      <c r="G295" s="103">
        <f>IF($B295="","",IFERROR(BDP($B295&amp;" Action","GREENSHOE_FACILITY"),""))</f>
        <v/>
      </c>
      <c r="H295" s="103">
        <f>IF($B295="","",IFERROR(BDP($B295&amp;" Action","OFFERING_GREENSHOE_SHARES_EX"),""))</f>
        <v/>
      </c>
      <c r="I295" s="16">
        <f>Database!AG295</f>
        <v/>
      </c>
      <c r="J295" s="24">
        <f>IFERROR(BDP(Database!$A295&amp;" HK Equity","PE_RATIO"),"")</f>
        <v/>
      </c>
      <c r="K295" s="10">
        <f>IFERROR(BDP(Database!$A295&amp;" HK Equity","A/H_SHARE_CONVERSION"),"")</f>
        <v/>
      </c>
      <c r="L295" s="16">
        <f>IF(Database!BL295="","(none found)",Database!BL295)</f>
        <v/>
      </c>
      <c r="M295" s="18">
        <f>IFERROR(BDH(Database!$A295&amp;" HK Equity","CUR_MKT_CAP",Database!$H295,Database!$H295),"")</f>
        <v/>
      </c>
      <c r="N295" s="97">
        <f>Database!Q295</f>
        <v/>
      </c>
      <c r="O295" s="24">
        <f>IFERROR(BDH(Database!$A295&amp;" HK Equity","PE_RATIO",Database!$H295,Database!$H295),"")</f>
        <v/>
      </c>
      <c r="P295" s="101">
        <f>IF(Database!BF295="","(n/m or not derivable)",Database!BF295)</f>
        <v/>
      </c>
      <c r="Q295" s="24">
        <f>IF(Database!BL295="","",IFERROR(BDH(LEFT(Database!BL295,FIND(".",Database!BL295)-1)&amp;" CH Equity","PE_RATIO",Database!$H295,Database!$H295),""))</f>
        <v/>
      </c>
      <c r="R295" s="24">
        <f>IF(Database!BL295="","",IFERROR(BDH("HSAHP Index","PX_LAST",Database!$H295,Database!$H295),""))</f>
        <v/>
      </c>
      <c r="S295" s="24">
        <f>IFERROR(BDP(Database!$A295&amp;" HK Equity","PX_TO_SALES_RATIO"),"")</f>
        <v/>
      </c>
      <c r="T295" s="18">
        <f>IF(Database!BL295="","",IFERROR(BDP(LEFT(Database!BL295,FIND(".",Database!BL295)-1)&amp;" CH Equity","CUR_MKT_CAP"),""))</f>
        <v/>
      </c>
    </row>
    <row r="296">
      <c r="A296" s="16">
        <f>Database!A296&amp;"  "&amp;Database!B296</f>
        <v/>
      </c>
      <c r="B296" s="10">
        <f>IFERROR(INDEX(BDS(Database!$A296&amp;" HK Equity","EQUITY_OFFERINGS","array=t","endcol=1"),MATCH("IPO",BDS(Database!$A296&amp;" HK Equity","EQUITY_OFFERINGS","array=t","startcol=2","endcol=2"),0)),"")</f>
        <v/>
      </c>
      <c r="C296" s="103">
        <f>IF($B296="","",IFERROR(BDP($B296&amp;" Action","CP036"),""))</f>
        <v/>
      </c>
      <c r="D296" s="104">
        <f>Database!S296</f>
        <v/>
      </c>
      <c r="E296" s="103">
        <f>IF($B296="","",IFERROR(BDP($B296&amp;" Action","CP037"),""))</f>
        <v/>
      </c>
      <c r="F296" s="104">
        <f>Database!T296</f>
        <v/>
      </c>
      <c r="G296" s="103">
        <f>IF($B296="","",IFERROR(BDP($B296&amp;" Action","GREENSHOE_FACILITY"),""))</f>
        <v/>
      </c>
      <c r="H296" s="103">
        <f>IF($B296="","",IFERROR(BDP($B296&amp;" Action","OFFERING_GREENSHOE_SHARES_EX"),""))</f>
        <v/>
      </c>
      <c r="I296" s="16">
        <f>Database!AG296</f>
        <v/>
      </c>
      <c r="J296" s="24">
        <f>IFERROR(BDP(Database!$A296&amp;" HK Equity","PE_RATIO"),"")</f>
        <v/>
      </c>
      <c r="K296" s="10">
        <f>IFERROR(BDP(Database!$A296&amp;" HK Equity","A/H_SHARE_CONVERSION"),"")</f>
        <v/>
      </c>
      <c r="L296" s="16">
        <f>IF(Database!BL296="","(none found)",Database!BL296)</f>
        <v/>
      </c>
      <c r="M296" s="18">
        <f>IFERROR(BDH(Database!$A296&amp;" HK Equity","CUR_MKT_CAP",Database!$H296,Database!$H296),"")</f>
        <v/>
      </c>
      <c r="N296" s="97">
        <f>Database!Q296</f>
        <v/>
      </c>
      <c r="O296" s="24">
        <f>IFERROR(BDH(Database!$A296&amp;" HK Equity","PE_RATIO",Database!$H296,Database!$H296),"")</f>
        <v/>
      </c>
      <c r="P296" s="101">
        <f>IF(Database!BF296="","(n/m or not derivable)",Database!BF296)</f>
        <v/>
      </c>
      <c r="Q296" s="24">
        <f>IF(Database!BL296="","",IFERROR(BDH(LEFT(Database!BL296,FIND(".",Database!BL296)-1)&amp;" CH Equity","PE_RATIO",Database!$H296,Database!$H296),""))</f>
        <v/>
      </c>
      <c r="R296" s="24">
        <f>IF(Database!BL296="","",IFERROR(BDH("HSAHP Index","PX_LAST",Database!$H296,Database!$H296),""))</f>
        <v/>
      </c>
      <c r="S296" s="24">
        <f>IFERROR(BDP(Database!$A296&amp;" HK Equity","PX_TO_SALES_RATIO"),"")</f>
        <v/>
      </c>
      <c r="T296" s="18">
        <f>IF(Database!BL296="","",IFERROR(BDP(LEFT(Database!BL296,FIND(".",Database!BL296)-1)&amp;" CH Equity","CUR_MKT_CAP"),""))</f>
        <v/>
      </c>
    </row>
    <row r="297">
      <c r="A297" s="16">
        <f>Database!A297&amp;"  "&amp;Database!B297</f>
        <v/>
      </c>
      <c r="B297" s="10">
        <f>IFERROR(INDEX(BDS(Database!$A297&amp;" HK Equity","EQUITY_OFFERINGS","array=t","endcol=1"),MATCH("IPO",BDS(Database!$A297&amp;" HK Equity","EQUITY_OFFERINGS","array=t","startcol=2","endcol=2"),0)),"")</f>
        <v/>
      </c>
      <c r="C297" s="103">
        <f>IF($B297="","",IFERROR(BDP($B297&amp;" Action","CP036"),""))</f>
        <v/>
      </c>
      <c r="D297" s="104">
        <f>Database!S297</f>
        <v/>
      </c>
      <c r="E297" s="103">
        <f>IF($B297="","",IFERROR(BDP($B297&amp;" Action","CP037"),""))</f>
        <v/>
      </c>
      <c r="F297" s="104">
        <f>Database!T297</f>
        <v/>
      </c>
      <c r="G297" s="103">
        <f>IF($B297="","",IFERROR(BDP($B297&amp;" Action","GREENSHOE_FACILITY"),""))</f>
        <v/>
      </c>
      <c r="H297" s="103">
        <f>IF($B297="","",IFERROR(BDP($B297&amp;" Action","OFFERING_GREENSHOE_SHARES_EX"),""))</f>
        <v/>
      </c>
      <c r="I297" s="16">
        <f>Database!AG297</f>
        <v/>
      </c>
      <c r="J297" s="24">
        <f>IFERROR(BDP(Database!$A297&amp;" HK Equity","PE_RATIO"),"")</f>
        <v/>
      </c>
      <c r="K297" s="10">
        <f>IFERROR(BDP(Database!$A297&amp;" HK Equity","A/H_SHARE_CONVERSION"),"")</f>
        <v/>
      </c>
      <c r="L297" s="16">
        <f>IF(Database!BL297="","(none found)",Database!BL297)</f>
        <v/>
      </c>
      <c r="M297" s="18">
        <f>IFERROR(BDH(Database!$A297&amp;" HK Equity","CUR_MKT_CAP",Database!$H297,Database!$H297),"")</f>
        <v/>
      </c>
      <c r="N297" s="97">
        <f>Database!Q297</f>
        <v/>
      </c>
      <c r="O297" s="24">
        <f>IFERROR(BDH(Database!$A297&amp;" HK Equity","PE_RATIO",Database!$H297,Database!$H297),"")</f>
        <v/>
      </c>
      <c r="P297" s="101">
        <f>IF(Database!BF297="","(n/m or not derivable)",Database!BF297)</f>
        <v/>
      </c>
      <c r="Q297" s="24">
        <f>IF(Database!BL297="","",IFERROR(BDH(LEFT(Database!BL297,FIND(".",Database!BL297)-1)&amp;" CH Equity","PE_RATIO",Database!$H297,Database!$H297),""))</f>
        <v/>
      </c>
      <c r="R297" s="24">
        <f>IF(Database!BL297="","",IFERROR(BDH("HSAHP Index","PX_LAST",Database!$H297,Database!$H297),""))</f>
        <v/>
      </c>
      <c r="S297" s="24">
        <f>IFERROR(BDP(Database!$A297&amp;" HK Equity","PX_TO_SALES_RATIO"),"")</f>
        <v/>
      </c>
      <c r="T297" s="18">
        <f>IF(Database!BL297="","",IFERROR(BDP(LEFT(Database!BL297,FIND(".",Database!BL297)-1)&amp;" CH Equity","CUR_MKT_CAP"),""))</f>
        <v/>
      </c>
    </row>
    <row r="298">
      <c r="A298" s="16">
        <f>Database!A298&amp;"  "&amp;Database!B298</f>
        <v/>
      </c>
      <c r="B298" s="10">
        <f>IFERROR(INDEX(BDS(Database!$A298&amp;" HK Equity","EQUITY_OFFERINGS","array=t","endcol=1"),MATCH("IPO",BDS(Database!$A298&amp;" HK Equity","EQUITY_OFFERINGS","array=t","startcol=2","endcol=2"),0)),"")</f>
        <v/>
      </c>
      <c r="C298" s="103">
        <f>IF($B298="","",IFERROR(BDP($B298&amp;" Action","CP036"),""))</f>
        <v/>
      </c>
      <c r="D298" s="104">
        <f>Database!S298</f>
        <v/>
      </c>
      <c r="E298" s="103">
        <f>IF($B298="","",IFERROR(BDP($B298&amp;" Action","CP037"),""))</f>
        <v/>
      </c>
      <c r="F298" s="104">
        <f>Database!T298</f>
        <v/>
      </c>
      <c r="G298" s="103">
        <f>IF($B298="","",IFERROR(BDP($B298&amp;" Action","GREENSHOE_FACILITY"),""))</f>
        <v/>
      </c>
      <c r="H298" s="103">
        <f>IF($B298="","",IFERROR(BDP($B298&amp;" Action","OFFERING_GREENSHOE_SHARES_EX"),""))</f>
        <v/>
      </c>
      <c r="I298" s="16">
        <f>Database!AG298</f>
        <v/>
      </c>
      <c r="J298" s="24">
        <f>IFERROR(BDP(Database!$A298&amp;" HK Equity","PE_RATIO"),"")</f>
        <v/>
      </c>
      <c r="K298" s="10">
        <f>IFERROR(BDP(Database!$A298&amp;" HK Equity","A/H_SHARE_CONVERSION"),"")</f>
        <v/>
      </c>
      <c r="L298" s="16">
        <f>IF(Database!BL298="","(none found)",Database!BL298)</f>
        <v/>
      </c>
      <c r="M298" s="18">
        <f>IFERROR(BDH(Database!$A298&amp;" HK Equity","CUR_MKT_CAP",Database!$H298,Database!$H298),"")</f>
        <v/>
      </c>
      <c r="N298" s="97">
        <f>Database!Q298</f>
        <v/>
      </c>
      <c r="O298" s="24">
        <f>IFERROR(BDH(Database!$A298&amp;" HK Equity","PE_RATIO",Database!$H298,Database!$H298),"")</f>
        <v/>
      </c>
      <c r="P298" s="101">
        <f>IF(Database!BF298="","(n/m or not derivable)",Database!BF298)</f>
        <v/>
      </c>
      <c r="Q298" s="24">
        <f>IF(Database!BL298="","",IFERROR(BDH(LEFT(Database!BL298,FIND(".",Database!BL298)-1)&amp;" CH Equity","PE_RATIO",Database!$H298,Database!$H298),""))</f>
        <v/>
      </c>
      <c r="R298" s="24">
        <f>IF(Database!BL298="","",IFERROR(BDH("HSAHP Index","PX_LAST",Database!$H298,Database!$H298),""))</f>
        <v/>
      </c>
      <c r="S298" s="24">
        <f>IFERROR(BDP(Database!$A298&amp;" HK Equity","PX_TO_SALES_RATIO"),"")</f>
        <v/>
      </c>
      <c r="T298" s="18">
        <f>IF(Database!BL298="","",IFERROR(BDP(LEFT(Database!BL298,FIND(".",Database!BL298)-1)&amp;" CH Equity","CUR_MKT_CAP"),""))</f>
        <v/>
      </c>
    </row>
    <row r="299">
      <c r="A299" s="16">
        <f>Database!A299&amp;"  "&amp;Database!B299</f>
        <v/>
      </c>
      <c r="B299" s="10">
        <f>IFERROR(INDEX(BDS(Database!$A299&amp;" HK Equity","EQUITY_OFFERINGS","array=t","endcol=1"),MATCH("IPO",BDS(Database!$A299&amp;" HK Equity","EQUITY_OFFERINGS","array=t","startcol=2","endcol=2"),0)),"")</f>
        <v/>
      </c>
      <c r="C299" s="103">
        <f>IF($B299="","",IFERROR(BDP($B299&amp;" Action","CP036"),""))</f>
        <v/>
      </c>
      <c r="D299" s="104">
        <f>Database!S299</f>
        <v/>
      </c>
      <c r="E299" s="103">
        <f>IF($B299="","",IFERROR(BDP($B299&amp;" Action","CP037"),""))</f>
        <v/>
      </c>
      <c r="F299" s="104">
        <f>Database!T299</f>
        <v/>
      </c>
      <c r="G299" s="103">
        <f>IF($B299="","",IFERROR(BDP($B299&amp;" Action","GREENSHOE_FACILITY"),""))</f>
        <v/>
      </c>
      <c r="H299" s="103">
        <f>IF($B299="","",IFERROR(BDP($B299&amp;" Action","OFFERING_GREENSHOE_SHARES_EX"),""))</f>
        <v/>
      </c>
      <c r="I299" s="16">
        <f>Database!AG299</f>
        <v/>
      </c>
      <c r="J299" s="24">
        <f>IFERROR(BDP(Database!$A299&amp;" HK Equity","PE_RATIO"),"")</f>
        <v/>
      </c>
      <c r="K299" s="10">
        <f>IFERROR(BDP(Database!$A299&amp;" HK Equity","A/H_SHARE_CONVERSION"),"")</f>
        <v/>
      </c>
      <c r="L299" s="16">
        <f>IF(Database!BL299="","(none found)",Database!BL299)</f>
        <v/>
      </c>
      <c r="M299" s="18">
        <f>IFERROR(BDH(Database!$A299&amp;" HK Equity","CUR_MKT_CAP",Database!$H299,Database!$H299),"")</f>
        <v/>
      </c>
      <c r="N299" s="97">
        <f>Database!Q299</f>
        <v/>
      </c>
      <c r="O299" s="24">
        <f>IFERROR(BDH(Database!$A299&amp;" HK Equity","PE_RATIO",Database!$H299,Database!$H299),"")</f>
        <v/>
      </c>
      <c r="P299" s="101">
        <f>IF(Database!BF299="","(n/m or not derivable)",Database!BF299)</f>
        <v/>
      </c>
      <c r="Q299" s="24">
        <f>IF(Database!BL299="","",IFERROR(BDH(LEFT(Database!BL299,FIND(".",Database!BL299)-1)&amp;" CH Equity","PE_RATIO",Database!$H299,Database!$H299),""))</f>
        <v/>
      </c>
      <c r="R299" s="24">
        <f>IF(Database!BL299="","",IFERROR(BDH("HSAHP Index","PX_LAST",Database!$H299,Database!$H299),""))</f>
        <v/>
      </c>
      <c r="S299" s="24">
        <f>IFERROR(BDP(Database!$A299&amp;" HK Equity","PX_TO_SALES_RATIO"),"")</f>
        <v/>
      </c>
      <c r="T299" s="18">
        <f>IF(Database!BL299="","",IFERROR(BDP(LEFT(Database!BL299,FIND(".",Database!BL299)-1)&amp;" CH Equity","CUR_MKT_CAP"),""))</f>
        <v/>
      </c>
    </row>
    <row r="300">
      <c r="A300" s="16">
        <f>Database!A300&amp;"  "&amp;Database!B300</f>
        <v/>
      </c>
      <c r="B300" s="10">
        <f>IFERROR(INDEX(BDS(Database!$A300&amp;" HK Equity","EQUITY_OFFERINGS","array=t","endcol=1"),MATCH("IPO",BDS(Database!$A300&amp;" HK Equity","EQUITY_OFFERINGS","array=t","startcol=2","endcol=2"),0)),"")</f>
        <v/>
      </c>
      <c r="C300" s="103">
        <f>IF($B300="","",IFERROR(BDP($B300&amp;" Action","CP036"),""))</f>
        <v/>
      </c>
      <c r="D300" s="104">
        <f>Database!S300</f>
        <v/>
      </c>
      <c r="E300" s="103">
        <f>IF($B300="","",IFERROR(BDP($B300&amp;" Action","CP037"),""))</f>
        <v/>
      </c>
      <c r="F300" s="104">
        <f>Database!T300</f>
        <v/>
      </c>
      <c r="G300" s="103">
        <f>IF($B300="","",IFERROR(BDP($B300&amp;" Action","GREENSHOE_FACILITY"),""))</f>
        <v/>
      </c>
      <c r="H300" s="103">
        <f>IF($B300="","",IFERROR(BDP($B300&amp;" Action","OFFERING_GREENSHOE_SHARES_EX"),""))</f>
        <v/>
      </c>
      <c r="I300" s="16">
        <f>Database!AG300</f>
        <v/>
      </c>
      <c r="J300" s="24">
        <f>IFERROR(BDP(Database!$A300&amp;" HK Equity","PE_RATIO"),"")</f>
        <v/>
      </c>
      <c r="K300" s="10">
        <f>IFERROR(BDP(Database!$A300&amp;" HK Equity","A/H_SHARE_CONVERSION"),"")</f>
        <v/>
      </c>
      <c r="L300" s="16">
        <f>IF(Database!BL300="","(none found)",Database!BL300)</f>
        <v/>
      </c>
      <c r="M300" s="18">
        <f>IFERROR(BDH(Database!$A300&amp;" HK Equity","CUR_MKT_CAP",Database!$H300,Database!$H300),"")</f>
        <v/>
      </c>
      <c r="N300" s="97">
        <f>Database!Q300</f>
        <v/>
      </c>
      <c r="O300" s="24">
        <f>IFERROR(BDH(Database!$A300&amp;" HK Equity","PE_RATIO",Database!$H300,Database!$H300),"")</f>
        <v/>
      </c>
      <c r="P300" s="101">
        <f>IF(Database!BF300="","(n/m or not derivable)",Database!BF300)</f>
        <v/>
      </c>
      <c r="Q300" s="24">
        <f>IF(Database!BL300="","",IFERROR(BDH(LEFT(Database!BL300,FIND(".",Database!BL300)-1)&amp;" CH Equity","PE_RATIO",Database!$H300,Database!$H300),""))</f>
        <v/>
      </c>
      <c r="R300" s="24">
        <f>IF(Database!BL300="","",IFERROR(BDH("HSAHP Index","PX_LAST",Database!$H300,Database!$H300),""))</f>
        <v/>
      </c>
      <c r="S300" s="24">
        <f>IFERROR(BDP(Database!$A300&amp;" HK Equity","PX_TO_SALES_RATIO"),"")</f>
        <v/>
      </c>
      <c r="T300" s="18">
        <f>IF(Database!BL300="","",IFERROR(BDP(LEFT(Database!BL300,FIND(".",Database!BL300)-1)&amp;" CH Equity","CUR_MKT_CAP"),""))</f>
        <v/>
      </c>
    </row>
    <row r="301">
      <c r="A301" s="16">
        <f>Database!A301&amp;"  "&amp;Database!B301</f>
        <v/>
      </c>
      <c r="B301" s="10">
        <f>IFERROR(INDEX(BDS(Database!$A301&amp;" HK Equity","EQUITY_OFFERINGS","array=t","endcol=1"),MATCH("IPO",BDS(Database!$A301&amp;" HK Equity","EQUITY_OFFERINGS","array=t","startcol=2","endcol=2"),0)),"")</f>
        <v/>
      </c>
      <c r="C301" s="103">
        <f>IF($B301="","",IFERROR(BDP($B301&amp;" Action","CP036"),""))</f>
        <v/>
      </c>
      <c r="D301" s="104">
        <f>Database!S301</f>
        <v/>
      </c>
      <c r="E301" s="103">
        <f>IF($B301="","",IFERROR(BDP($B301&amp;" Action","CP037"),""))</f>
        <v/>
      </c>
      <c r="F301" s="104">
        <f>Database!T301</f>
        <v/>
      </c>
      <c r="G301" s="103">
        <f>IF($B301="","",IFERROR(BDP($B301&amp;" Action","GREENSHOE_FACILITY"),""))</f>
        <v/>
      </c>
      <c r="H301" s="103">
        <f>IF($B301="","",IFERROR(BDP($B301&amp;" Action","OFFERING_GREENSHOE_SHARES_EX"),""))</f>
        <v/>
      </c>
      <c r="I301" s="16">
        <f>Database!AG301</f>
        <v/>
      </c>
      <c r="J301" s="24">
        <f>IFERROR(BDP(Database!$A301&amp;" HK Equity","PE_RATIO"),"")</f>
        <v/>
      </c>
      <c r="K301" s="10">
        <f>IFERROR(BDP(Database!$A301&amp;" HK Equity","A/H_SHARE_CONVERSION"),"")</f>
        <v/>
      </c>
      <c r="L301" s="16">
        <f>IF(Database!BL301="","(none found)",Database!BL301)</f>
        <v/>
      </c>
      <c r="M301" s="18">
        <f>IFERROR(BDH(Database!$A301&amp;" HK Equity","CUR_MKT_CAP",Database!$H301,Database!$H301),"")</f>
        <v/>
      </c>
      <c r="N301" s="97">
        <f>Database!Q301</f>
        <v/>
      </c>
      <c r="O301" s="24">
        <f>IFERROR(BDH(Database!$A301&amp;" HK Equity","PE_RATIO",Database!$H301,Database!$H301),"")</f>
        <v/>
      </c>
      <c r="P301" s="101">
        <f>IF(Database!BF301="","(n/m or not derivable)",Database!BF301)</f>
        <v/>
      </c>
      <c r="Q301" s="24">
        <f>IF(Database!BL301="","",IFERROR(BDH(LEFT(Database!BL301,FIND(".",Database!BL301)-1)&amp;" CH Equity","PE_RATIO",Database!$H301,Database!$H301),""))</f>
        <v/>
      </c>
      <c r="R301" s="24">
        <f>IF(Database!BL301="","",IFERROR(BDH("HSAHP Index","PX_LAST",Database!$H301,Database!$H301),""))</f>
        <v/>
      </c>
      <c r="S301" s="24">
        <f>IFERROR(BDP(Database!$A301&amp;" HK Equity","PX_TO_SALES_RATIO"),"")</f>
        <v/>
      </c>
      <c r="T301" s="18">
        <f>IF(Database!BL301="","",IFERROR(BDP(LEFT(Database!BL301,FIND(".",Database!BL301)-1)&amp;" CH Equity","CUR_MKT_CAP"),""))</f>
        <v/>
      </c>
    </row>
    <row r="302">
      <c r="A302" s="16">
        <f>Database!A302&amp;"  "&amp;Database!B302</f>
        <v/>
      </c>
      <c r="B302" s="10">
        <f>IFERROR(INDEX(BDS(Database!$A302&amp;" HK Equity","EQUITY_OFFERINGS","array=t","endcol=1"),MATCH("IPO",BDS(Database!$A302&amp;" HK Equity","EQUITY_OFFERINGS","array=t","startcol=2","endcol=2"),0)),"")</f>
        <v/>
      </c>
      <c r="C302" s="103">
        <f>IF($B302="","",IFERROR(BDP($B302&amp;" Action","CP036"),""))</f>
        <v/>
      </c>
      <c r="D302" s="104">
        <f>Database!S302</f>
        <v/>
      </c>
      <c r="E302" s="103">
        <f>IF($B302="","",IFERROR(BDP($B302&amp;" Action","CP037"),""))</f>
        <v/>
      </c>
      <c r="F302" s="104">
        <f>Database!T302</f>
        <v/>
      </c>
      <c r="G302" s="103">
        <f>IF($B302="","",IFERROR(BDP($B302&amp;" Action","GREENSHOE_FACILITY"),""))</f>
        <v/>
      </c>
      <c r="H302" s="103">
        <f>IF($B302="","",IFERROR(BDP($B302&amp;" Action","OFFERING_GREENSHOE_SHARES_EX"),""))</f>
        <v/>
      </c>
      <c r="I302" s="16">
        <f>Database!AG302</f>
        <v/>
      </c>
      <c r="J302" s="24">
        <f>IFERROR(BDP(Database!$A302&amp;" HK Equity","PE_RATIO"),"")</f>
        <v/>
      </c>
      <c r="K302" s="10">
        <f>IFERROR(BDP(Database!$A302&amp;" HK Equity","A/H_SHARE_CONVERSION"),"")</f>
        <v/>
      </c>
      <c r="L302" s="16">
        <f>IF(Database!BL302="","(none found)",Database!BL302)</f>
        <v/>
      </c>
      <c r="M302" s="18">
        <f>IFERROR(BDH(Database!$A302&amp;" HK Equity","CUR_MKT_CAP",Database!$H302,Database!$H302),"")</f>
        <v/>
      </c>
      <c r="N302" s="97">
        <f>Database!Q302</f>
        <v/>
      </c>
      <c r="O302" s="24">
        <f>IFERROR(BDH(Database!$A302&amp;" HK Equity","PE_RATIO",Database!$H302,Database!$H302),"")</f>
        <v/>
      </c>
      <c r="P302" s="101">
        <f>IF(Database!BF302="","(n/m or not derivable)",Database!BF302)</f>
        <v/>
      </c>
      <c r="Q302" s="24">
        <f>IF(Database!BL302="","",IFERROR(BDH(LEFT(Database!BL302,FIND(".",Database!BL302)-1)&amp;" CH Equity","PE_RATIO",Database!$H302,Database!$H302),""))</f>
        <v/>
      </c>
      <c r="R302" s="24">
        <f>IF(Database!BL302="","",IFERROR(BDH("HSAHP Index","PX_LAST",Database!$H302,Database!$H302),""))</f>
        <v/>
      </c>
      <c r="S302" s="24">
        <f>IFERROR(BDP(Database!$A302&amp;" HK Equity","PX_TO_SALES_RATIO"),"")</f>
        <v/>
      </c>
      <c r="T302" s="18">
        <f>IF(Database!BL302="","",IFERROR(BDP(LEFT(Database!BL302,FIND(".",Database!BL302)-1)&amp;" CH Equity","CUR_MKT_CAP"),""))</f>
        <v/>
      </c>
    </row>
    <row r="303">
      <c r="A303" s="16">
        <f>Database!A303&amp;"  "&amp;Database!B303</f>
        <v/>
      </c>
      <c r="B303" s="10">
        <f>IFERROR(INDEX(BDS(Database!$A303&amp;" HK Equity","EQUITY_OFFERINGS","array=t","endcol=1"),MATCH("IPO",BDS(Database!$A303&amp;" HK Equity","EQUITY_OFFERINGS","array=t","startcol=2","endcol=2"),0)),"")</f>
        <v/>
      </c>
      <c r="C303" s="103">
        <f>IF($B303="","",IFERROR(BDP($B303&amp;" Action","CP036"),""))</f>
        <v/>
      </c>
      <c r="D303" s="104">
        <f>Database!S303</f>
        <v/>
      </c>
      <c r="E303" s="103">
        <f>IF($B303="","",IFERROR(BDP($B303&amp;" Action","CP037"),""))</f>
        <v/>
      </c>
      <c r="F303" s="104">
        <f>Database!T303</f>
        <v/>
      </c>
      <c r="G303" s="103">
        <f>IF($B303="","",IFERROR(BDP($B303&amp;" Action","GREENSHOE_FACILITY"),""))</f>
        <v/>
      </c>
      <c r="H303" s="103">
        <f>IF($B303="","",IFERROR(BDP($B303&amp;" Action","OFFERING_GREENSHOE_SHARES_EX"),""))</f>
        <v/>
      </c>
      <c r="I303" s="16">
        <f>Database!AG303</f>
        <v/>
      </c>
      <c r="J303" s="24">
        <f>IFERROR(BDP(Database!$A303&amp;" HK Equity","PE_RATIO"),"")</f>
        <v/>
      </c>
      <c r="K303" s="10">
        <f>IFERROR(BDP(Database!$A303&amp;" HK Equity","A/H_SHARE_CONVERSION"),"")</f>
        <v/>
      </c>
      <c r="L303" s="16">
        <f>IF(Database!BL303="","(none found)",Database!BL303)</f>
        <v/>
      </c>
      <c r="M303" s="18">
        <f>IFERROR(BDH(Database!$A303&amp;" HK Equity","CUR_MKT_CAP",Database!$H303,Database!$H303),"")</f>
        <v/>
      </c>
      <c r="N303" s="97">
        <f>Database!Q303</f>
        <v/>
      </c>
      <c r="O303" s="24">
        <f>IFERROR(BDH(Database!$A303&amp;" HK Equity","PE_RATIO",Database!$H303,Database!$H303),"")</f>
        <v/>
      </c>
      <c r="P303" s="101">
        <f>IF(Database!BF303="","(n/m or not derivable)",Database!BF303)</f>
        <v/>
      </c>
      <c r="Q303" s="24">
        <f>IF(Database!BL303="","",IFERROR(BDH(LEFT(Database!BL303,FIND(".",Database!BL303)-1)&amp;" CH Equity","PE_RATIO",Database!$H303,Database!$H303),""))</f>
        <v/>
      </c>
      <c r="R303" s="24">
        <f>IF(Database!BL303="","",IFERROR(BDH("HSAHP Index","PX_LAST",Database!$H303,Database!$H303),""))</f>
        <v/>
      </c>
      <c r="S303" s="24">
        <f>IFERROR(BDP(Database!$A303&amp;" HK Equity","PX_TO_SALES_RATIO"),"")</f>
        <v/>
      </c>
      <c r="T303" s="18">
        <f>IF(Database!BL303="","",IFERROR(BDP(LEFT(Database!BL303,FIND(".",Database!BL303)-1)&amp;" CH Equity","CUR_MKT_CAP"),""))</f>
        <v/>
      </c>
    </row>
    <row r="304">
      <c r="A304" s="16">
        <f>Database!A304&amp;"  "&amp;Database!B304</f>
        <v/>
      </c>
      <c r="B304" s="10">
        <f>IFERROR(INDEX(BDS(Database!$A304&amp;" HK Equity","EQUITY_OFFERINGS","array=t","endcol=1"),MATCH("IPO",BDS(Database!$A304&amp;" HK Equity","EQUITY_OFFERINGS","array=t","startcol=2","endcol=2"),0)),"")</f>
        <v/>
      </c>
      <c r="C304" s="103">
        <f>IF($B304="","",IFERROR(BDP($B304&amp;" Action","CP036"),""))</f>
        <v/>
      </c>
      <c r="D304" s="104">
        <f>Database!S304</f>
        <v/>
      </c>
      <c r="E304" s="103">
        <f>IF($B304="","",IFERROR(BDP($B304&amp;" Action","CP037"),""))</f>
        <v/>
      </c>
      <c r="F304" s="104">
        <f>Database!T304</f>
        <v/>
      </c>
      <c r="G304" s="103">
        <f>IF($B304="","",IFERROR(BDP($B304&amp;" Action","GREENSHOE_FACILITY"),""))</f>
        <v/>
      </c>
      <c r="H304" s="103">
        <f>IF($B304="","",IFERROR(BDP($B304&amp;" Action","OFFERING_GREENSHOE_SHARES_EX"),""))</f>
        <v/>
      </c>
      <c r="I304" s="16">
        <f>Database!AG304</f>
        <v/>
      </c>
      <c r="J304" s="24">
        <f>IFERROR(BDP(Database!$A304&amp;" HK Equity","PE_RATIO"),"")</f>
        <v/>
      </c>
      <c r="K304" s="10">
        <f>IFERROR(BDP(Database!$A304&amp;" HK Equity","A/H_SHARE_CONVERSION"),"")</f>
        <v/>
      </c>
      <c r="L304" s="16">
        <f>IF(Database!BL304="","(none found)",Database!BL304)</f>
        <v/>
      </c>
      <c r="M304" s="18">
        <f>IFERROR(BDH(Database!$A304&amp;" HK Equity","CUR_MKT_CAP",Database!$H304,Database!$H304),"")</f>
        <v/>
      </c>
      <c r="N304" s="97">
        <f>Database!Q304</f>
        <v/>
      </c>
      <c r="O304" s="24">
        <f>IFERROR(BDH(Database!$A304&amp;" HK Equity","PE_RATIO",Database!$H304,Database!$H304),"")</f>
        <v/>
      </c>
      <c r="P304" s="101">
        <f>IF(Database!BF304="","(n/m or not derivable)",Database!BF304)</f>
        <v/>
      </c>
      <c r="Q304" s="24">
        <f>IF(Database!BL304="","",IFERROR(BDH(LEFT(Database!BL304,FIND(".",Database!BL304)-1)&amp;" CH Equity","PE_RATIO",Database!$H304,Database!$H304),""))</f>
        <v/>
      </c>
      <c r="R304" s="24">
        <f>IF(Database!BL304="","",IFERROR(BDH("HSAHP Index","PX_LAST",Database!$H304,Database!$H304),""))</f>
        <v/>
      </c>
      <c r="S304" s="24">
        <f>IFERROR(BDP(Database!$A304&amp;" HK Equity","PX_TO_SALES_RATIO"),"")</f>
        <v/>
      </c>
      <c r="T304" s="18">
        <f>IF(Database!BL304="","",IFERROR(BDP(LEFT(Database!BL304,FIND(".",Database!BL304)-1)&amp;" CH Equity","CUR_MKT_CAP"),""))</f>
        <v/>
      </c>
    </row>
    <row r="305">
      <c r="A305" s="16">
        <f>Database!A305&amp;"  "&amp;Database!B305</f>
        <v/>
      </c>
      <c r="B305" s="10">
        <f>IFERROR(INDEX(BDS(Database!$A305&amp;" HK Equity","EQUITY_OFFERINGS","array=t","endcol=1"),MATCH("IPO",BDS(Database!$A305&amp;" HK Equity","EQUITY_OFFERINGS","array=t","startcol=2","endcol=2"),0)),"")</f>
        <v/>
      </c>
      <c r="C305" s="103">
        <f>IF($B305="","",IFERROR(BDP($B305&amp;" Action","CP036"),""))</f>
        <v/>
      </c>
      <c r="D305" s="104">
        <f>Database!S305</f>
        <v/>
      </c>
      <c r="E305" s="103">
        <f>IF($B305="","",IFERROR(BDP($B305&amp;" Action","CP037"),""))</f>
        <v/>
      </c>
      <c r="F305" s="104">
        <f>Database!T305</f>
        <v/>
      </c>
      <c r="G305" s="103">
        <f>IF($B305="","",IFERROR(BDP($B305&amp;" Action","GREENSHOE_FACILITY"),""))</f>
        <v/>
      </c>
      <c r="H305" s="103">
        <f>IF($B305="","",IFERROR(BDP($B305&amp;" Action","OFFERING_GREENSHOE_SHARES_EX"),""))</f>
        <v/>
      </c>
      <c r="I305" s="16">
        <f>Database!AG305</f>
        <v/>
      </c>
      <c r="J305" s="24">
        <f>IFERROR(BDP(Database!$A305&amp;" HK Equity","PE_RATIO"),"")</f>
        <v/>
      </c>
      <c r="K305" s="10">
        <f>IFERROR(BDP(Database!$A305&amp;" HK Equity","A/H_SHARE_CONVERSION"),"")</f>
        <v/>
      </c>
      <c r="L305" s="16">
        <f>IF(Database!BL305="","(none found)",Database!BL305)</f>
        <v/>
      </c>
      <c r="M305" s="18">
        <f>IFERROR(BDH(Database!$A305&amp;" HK Equity","CUR_MKT_CAP",Database!$H305,Database!$H305),"")</f>
        <v/>
      </c>
      <c r="N305" s="97">
        <f>Database!Q305</f>
        <v/>
      </c>
      <c r="O305" s="24">
        <f>IFERROR(BDH(Database!$A305&amp;" HK Equity","PE_RATIO",Database!$H305,Database!$H305),"")</f>
        <v/>
      </c>
      <c r="P305" s="101">
        <f>IF(Database!BF305="","(n/m or not derivable)",Database!BF305)</f>
        <v/>
      </c>
      <c r="Q305" s="24">
        <f>IF(Database!BL305="","",IFERROR(BDH(LEFT(Database!BL305,FIND(".",Database!BL305)-1)&amp;" CH Equity","PE_RATIO",Database!$H305,Database!$H305),""))</f>
        <v/>
      </c>
      <c r="R305" s="24">
        <f>IF(Database!BL305="","",IFERROR(BDH("HSAHP Index","PX_LAST",Database!$H305,Database!$H305),""))</f>
        <v/>
      </c>
      <c r="S305" s="24">
        <f>IFERROR(BDP(Database!$A305&amp;" HK Equity","PX_TO_SALES_RATIO"),"")</f>
        <v/>
      </c>
      <c r="T305" s="18">
        <f>IF(Database!BL305="","",IFERROR(BDP(LEFT(Database!BL305,FIND(".",Database!BL305)-1)&amp;" CH Equity","CUR_MKT_CAP"),""))</f>
        <v/>
      </c>
    </row>
    <row r="306">
      <c r="A306" s="16">
        <f>Database!A306&amp;"  "&amp;Database!B306</f>
        <v/>
      </c>
      <c r="B306" s="10">
        <f>IFERROR(INDEX(BDS(Database!$A306&amp;" HK Equity","EQUITY_OFFERINGS","array=t","endcol=1"),MATCH("IPO",BDS(Database!$A306&amp;" HK Equity","EQUITY_OFFERINGS","array=t","startcol=2","endcol=2"),0)),"")</f>
        <v/>
      </c>
      <c r="C306" s="103">
        <f>IF($B306="","",IFERROR(BDP($B306&amp;" Action","CP036"),""))</f>
        <v/>
      </c>
      <c r="D306" s="104">
        <f>Database!S306</f>
        <v/>
      </c>
      <c r="E306" s="103">
        <f>IF($B306="","",IFERROR(BDP($B306&amp;" Action","CP037"),""))</f>
        <v/>
      </c>
      <c r="F306" s="104">
        <f>Database!T306</f>
        <v/>
      </c>
      <c r="G306" s="103">
        <f>IF($B306="","",IFERROR(BDP($B306&amp;" Action","GREENSHOE_FACILITY"),""))</f>
        <v/>
      </c>
      <c r="H306" s="103">
        <f>IF($B306="","",IFERROR(BDP($B306&amp;" Action","OFFERING_GREENSHOE_SHARES_EX"),""))</f>
        <v/>
      </c>
      <c r="I306" s="16">
        <f>Database!AG306</f>
        <v/>
      </c>
      <c r="J306" s="24">
        <f>IFERROR(BDP(Database!$A306&amp;" HK Equity","PE_RATIO"),"")</f>
        <v/>
      </c>
      <c r="K306" s="10">
        <f>IFERROR(BDP(Database!$A306&amp;" HK Equity","A/H_SHARE_CONVERSION"),"")</f>
        <v/>
      </c>
      <c r="L306" s="16">
        <f>IF(Database!BL306="","(none found)",Database!BL306)</f>
        <v/>
      </c>
      <c r="M306" s="18">
        <f>IFERROR(BDH(Database!$A306&amp;" HK Equity","CUR_MKT_CAP",Database!$H306,Database!$H306),"")</f>
        <v/>
      </c>
      <c r="N306" s="97">
        <f>Database!Q306</f>
        <v/>
      </c>
      <c r="O306" s="24">
        <f>IFERROR(BDH(Database!$A306&amp;" HK Equity","PE_RATIO",Database!$H306,Database!$H306),"")</f>
        <v/>
      </c>
      <c r="P306" s="101">
        <f>IF(Database!BF306="","(n/m or not derivable)",Database!BF306)</f>
        <v/>
      </c>
      <c r="Q306" s="24">
        <f>IF(Database!BL306="","",IFERROR(BDH(LEFT(Database!BL306,FIND(".",Database!BL306)-1)&amp;" CH Equity","PE_RATIO",Database!$H306,Database!$H306),""))</f>
        <v/>
      </c>
      <c r="R306" s="24">
        <f>IF(Database!BL306="","",IFERROR(BDH("HSAHP Index","PX_LAST",Database!$H306,Database!$H306),""))</f>
        <v/>
      </c>
      <c r="S306" s="24">
        <f>IFERROR(BDP(Database!$A306&amp;" HK Equity","PX_TO_SALES_RATIO"),"")</f>
        <v/>
      </c>
      <c r="T306" s="18">
        <f>IF(Database!BL306="","",IFERROR(BDP(LEFT(Database!BL306,FIND(".",Database!BL306)-1)&amp;" CH Equity","CUR_MKT_CAP"),""))</f>
        <v/>
      </c>
    </row>
    <row r="307">
      <c r="A307" s="16">
        <f>Database!A307&amp;"  "&amp;Database!B307</f>
        <v/>
      </c>
      <c r="B307" s="10">
        <f>IFERROR(INDEX(BDS(Database!$A307&amp;" HK Equity","EQUITY_OFFERINGS","array=t","endcol=1"),MATCH("IPO",BDS(Database!$A307&amp;" HK Equity","EQUITY_OFFERINGS","array=t","startcol=2","endcol=2"),0)),"")</f>
        <v/>
      </c>
      <c r="C307" s="103">
        <f>IF($B307="","",IFERROR(BDP($B307&amp;" Action","CP036"),""))</f>
        <v/>
      </c>
      <c r="D307" s="104">
        <f>Database!S307</f>
        <v/>
      </c>
      <c r="E307" s="103">
        <f>IF($B307="","",IFERROR(BDP($B307&amp;" Action","CP037"),""))</f>
        <v/>
      </c>
      <c r="F307" s="104">
        <f>Database!T307</f>
        <v/>
      </c>
      <c r="G307" s="103">
        <f>IF($B307="","",IFERROR(BDP($B307&amp;" Action","GREENSHOE_FACILITY"),""))</f>
        <v/>
      </c>
      <c r="H307" s="103">
        <f>IF($B307="","",IFERROR(BDP($B307&amp;" Action","OFFERING_GREENSHOE_SHARES_EX"),""))</f>
        <v/>
      </c>
      <c r="I307" s="16">
        <f>Database!AG307</f>
        <v/>
      </c>
      <c r="J307" s="24">
        <f>IFERROR(BDP(Database!$A307&amp;" HK Equity","PE_RATIO"),"")</f>
        <v/>
      </c>
      <c r="K307" s="10">
        <f>IFERROR(BDP(Database!$A307&amp;" HK Equity","A/H_SHARE_CONVERSION"),"")</f>
        <v/>
      </c>
      <c r="L307" s="16">
        <f>IF(Database!BL307="","(none found)",Database!BL307)</f>
        <v/>
      </c>
      <c r="M307" s="18">
        <f>IFERROR(BDH(Database!$A307&amp;" HK Equity","CUR_MKT_CAP",Database!$H307,Database!$H307),"")</f>
        <v/>
      </c>
      <c r="N307" s="97">
        <f>Database!Q307</f>
        <v/>
      </c>
      <c r="O307" s="24">
        <f>IFERROR(BDH(Database!$A307&amp;" HK Equity","PE_RATIO",Database!$H307,Database!$H307),"")</f>
        <v/>
      </c>
      <c r="P307" s="101">
        <f>IF(Database!BF307="","(n/m or not derivable)",Database!BF307)</f>
        <v/>
      </c>
      <c r="Q307" s="24">
        <f>IF(Database!BL307="","",IFERROR(BDH(LEFT(Database!BL307,FIND(".",Database!BL307)-1)&amp;" CH Equity","PE_RATIO",Database!$H307,Database!$H307),""))</f>
        <v/>
      </c>
      <c r="R307" s="24">
        <f>IF(Database!BL307="","",IFERROR(BDH("HSAHP Index","PX_LAST",Database!$H307,Database!$H307),""))</f>
        <v/>
      </c>
      <c r="S307" s="24">
        <f>IFERROR(BDP(Database!$A307&amp;" HK Equity","PX_TO_SALES_RATIO"),"")</f>
        <v/>
      </c>
      <c r="T307" s="18">
        <f>IF(Database!BL307="","",IFERROR(BDP(LEFT(Database!BL307,FIND(".",Database!BL307)-1)&amp;" CH Equity","CUR_MKT_CAP"),""))</f>
        <v/>
      </c>
    </row>
    <row r="308">
      <c r="A308" s="16">
        <f>Database!A308&amp;"  "&amp;Database!B308</f>
        <v/>
      </c>
      <c r="B308" s="10">
        <f>IFERROR(INDEX(BDS(Database!$A308&amp;" HK Equity","EQUITY_OFFERINGS","array=t","endcol=1"),MATCH("IPO",BDS(Database!$A308&amp;" HK Equity","EQUITY_OFFERINGS","array=t","startcol=2","endcol=2"),0)),"")</f>
        <v/>
      </c>
      <c r="C308" s="103">
        <f>IF($B308="","",IFERROR(BDP($B308&amp;" Action","CP036"),""))</f>
        <v/>
      </c>
      <c r="D308" s="104">
        <f>Database!S308</f>
        <v/>
      </c>
      <c r="E308" s="103">
        <f>IF($B308="","",IFERROR(BDP($B308&amp;" Action","CP037"),""))</f>
        <v/>
      </c>
      <c r="F308" s="104">
        <f>Database!T308</f>
        <v/>
      </c>
      <c r="G308" s="103">
        <f>IF($B308="","",IFERROR(BDP($B308&amp;" Action","GREENSHOE_FACILITY"),""))</f>
        <v/>
      </c>
      <c r="H308" s="103">
        <f>IF($B308="","",IFERROR(BDP($B308&amp;" Action","OFFERING_GREENSHOE_SHARES_EX"),""))</f>
        <v/>
      </c>
      <c r="I308" s="16">
        <f>Database!AG308</f>
        <v/>
      </c>
      <c r="J308" s="24">
        <f>IFERROR(BDP(Database!$A308&amp;" HK Equity","PE_RATIO"),"")</f>
        <v/>
      </c>
      <c r="K308" s="10">
        <f>IFERROR(BDP(Database!$A308&amp;" HK Equity","A/H_SHARE_CONVERSION"),"")</f>
        <v/>
      </c>
      <c r="L308" s="16">
        <f>IF(Database!BL308="","(none found)",Database!BL308)</f>
        <v/>
      </c>
      <c r="M308" s="18">
        <f>IFERROR(BDH(Database!$A308&amp;" HK Equity","CUR_MKT_CAP",Database!$H308,Database!$H308),"")</f>
        <v/>
      </c>
      <c r="N308" s="97">
        <f>Database!Q308</f>
        <v/>
      </c>
      <c r="O308" s="24">
        <f>IFERROR(BDH(Database!$A308&amp;" HK Equity","PE_RATIO",Database!$H308,Database!$H308),"")</f>
        <v/>
      </c>
      <c r="P308" s="101">
        <f>IF(Database!BF308="","(n/m or not derivable)",Database!BF308)</f>
        <v/>
      </c>
      <c r="Q308" s="24">
        <f>IF(Database!BL308="","",IFERROR(BDH(LEFT(Database!BL308,FIND(".",Database!BL308)-1)&amp;" CH Equity","PE_RATIO",Database!$H308,Database!$H308),""))</f>
        <v/>
      </c>
      <c r="R308" s="24">
        <f>IF(Database!BL308="","",IFERROR(BDH("HSAHP Index","PX_LAST",Database!$H308,Database!$H308),""))</f>
        <v/>
      </c>
      <c r="S308" s="24">
        <f>IFERROR(BDP(Database!$A308&amp;" HK Equity","PX_TO_SALES_RATIO"),"")</f>
        <v/>
      </c>
      <c r="T308" s="18">
        <f>IF(Database!BL308="","",IFERROR(BDP(LEFT(Database!BL308,FIND(".",Database!BL308)-1)&amp;" CH Equity","CUR_MKT_CAP"),""))</f>
        <v/>
      </c>
    </row>
    <row r="309">
      <c r="A309" s="16">
        <f>Database!A309&amp;"  "&amp;Database!B309</f>
        <v/>
      </c>
      <c r="B309" s="10">
        <f>IFERROR(INDEX(BDS(Database!$A309&amp;" HK Equity","EQUITY_OFFERINGS","array=t","endcol=1"),MATCH("IPO",BDS(Database!$A309&amp;" HK Equity","EQUITY_OFFERINGS","array=t","startcol=2","endcol=2"),0)),"")</f>
        <v/>
      </c>
      <c r="C309" s="103">
        <f>IF($B309="","",IFERROR(BDP($B309&amp;" Action","CP036"),""))</f>
        <v/>
      </c>
      <c r="D309" s="104">
        <f>Database!S309</f>
        <v/>
      </c>
      <c r="E309" s="103">
        <f>IF($B309="","",IFERROR(BDP($B309&amp;" Action","CP037"),""))</f>
        <v/>
      </c>
      <c r="F309" s="104">
        <f>Database!T309</f>
        <v/>
      </c>
      <c r="G309" s="103">
        <f>IF($B309="","",IFERROR(BDP($B309&amp;" Action","GREENSHOE_FACILITY"),""))</f>
        <v/>
      </c>
      <c r="H309" s="103">
        <f>IF($B309="","",IFERROR(BDP($B309&amp;" Action","OFFERING_GREENSHOE_SHARES_EX"),""))</f>
        <v/>
      </c>
      <c r="I309" s="16">
        <f>Database!AG309</f>
        <v/>
      </c>
      <c r="J309" s="24">
        <f>IFERROR(BDP(Database!$A309&amp;" HK Equity","PE_RATIO"),"")</f>
        <v/>
      </c>
      <c r="K309" s="10">
        <f>IFERROR(BDP(Database!$A309&amp;" HK Equity","A/H_SHARE_CONVERSION"),"")</f>
        <v/>
      </c>
      <c r="L309" s="16">
        <f>IF(Database!BL309="","(none found)",Database!BL309)</f>
        <v/>
      </c>
      <c r="M309" s="18">
        <f>IFERROR(BDH(Database!$A309&amp;" HK Equity","CUR_MKT_CAP",Database!$H309,Database!$H309),"")</f>
        <v/>
      </c>
      <c r="N309" s="97">
        <f>Database!Q309</f>
        <v/>
      </c>
      <c r="O309" s="24">
        <f>IFERROR(BDH(Database!$A309&amp;" HK Equity","PE_RATIO",Database!$H309,Database!$H309),"")</f>
        <v/>
      </c>
      <c r="P309" s="101">
        <f>IF(Database!BF309="","(n/m or not derivable)",Database!BF309)</f>
        <v/>
      </c>
      <c r="Q309" s="24">
        <f>IF(Database!BL309="","",IFERROR(BDH(LEFT(Database!BL309,FIND(".",Database!BL309)-1)&amp;" CH Equity","PE_RATIO",Database!$H309,Database!$H309),""))</f>
        <v/>
      </c>
      <c r="R309" s="24">
        <f>IF(Database!BL309="","",IFERROR(BDH("HSAHP Index","PX_LAST",Database!$H309,Database!$H309),""))</f>
        <v/>
      </c>
      <c r="S309" s="24">
        <f>IFERROR(BDP(Database!$A309&amp;" HK Equity","PX_TO_SALES_RATIO"),"")</f>
        <v/>
      </c>
      <c r="T309" s="18">
        <f>IF(Database!BL309="","",IFERROR(BDP(LEFT(Database!BL309,FIND(".",Database!BL309)-1)&amp;" CH Equity","CUR_MKT_CAP"),""))</f>
        <v/>
      </c>
    </row>
    <row r="310">
      <c r="A310" s="16">
        <f>Database!A310&amp;"  "&amp;Database!B310</f>
        <v/>
      </c>
      <c r="B310" s="10">
        <f>IFERROR(INDEX(BDS(Database!$A310&amp;" HK Equity","EQUITY_OFFERINGS","array=t","endcol=1"),MATCH("IPO",BDS(Database!$A310&amp;" HK Equity","EQUITY_OFFERINGS","array=t","startcol=2","endcol=2"),0)),"")</f>
        <v/>
      </c>
      <c r="C310" s="103">
        <f>IF($B310="","",IFERROR(BDP($B310&amp;" Action","CP036"),""))</f>
        <v/>
      </c>
      <c r="D310" s="104">
        <f>Database!S310</f>
        <v/>
      </c>
      <c r="E310" s="103">
        <f>IF($B310="","",IFERROR(BDP($B310&amp;" Action","CP037"),""))</f>
        <v/>
      </c>
      <c r="F310" s="104">
        <f>Database!T310</f>
        <v/>
      </c>
      <c r="G310" s="103">
        <f>IF($B310="","",IFERROR(BDP($B310&amp;" Action","GREENSHOE_FACILITY"),""))</f>
        <v/>
      </c>
      <c r="H310" s="103">
        <f>IF($B310="","",IFERROR(BDP($B310&amp;" Action","OFFERING_GREENSHOE_SHARES_EX"),""))</f>
        <v/>
      </c>
      <c r="I310" s="16">
        <f>Database!AG310</f>
        <v/>
      </c>
      <c r="J310" s="24">
        <f>IFERROR(BDP(Database!$A310&amp;" HK Equity","PE_RATIO"),"")</f>
        <v/>
      </c>
      <c r="K310" s="10">
        <f>IFERROR(BDP(Database!$A310&amp;" HK Equity","A/H_SHARE_CONVERSION"),"")</f>
        <v/>
      </c>
      <c r="L310" s="16">
        <f>IF(Database!BL310="","(none found)",Database!BL310)</f>
        <v/>
      </c>
      <c r="M310" s="18">
        <f>IFERROR(BDH(Database!$A310&amp;" HK Equity","CUR_MKT_CAP",Database!$H310,Database!$H310),"")</f>
        <v/>
      </c>
      <c r="N310" s="97">
        <f>Database!Q310</f>
        <v/>
      </c>
      <c r="O310" s="24">
        <f>IFERROR(BDH(Database!$A310&amp;" HK Equity","PE_RATIO",Database!$H310,Database!$H310),"")</f>
        <v/>
      </c>
      <c r="P310" s="101">
        <f>IF(Database!BF310="","(n/m or not derivable)",Database!BF310)</f>
        <v/>
      </c>
      <c r="Q310" s="24">
        <f>IF(Database!BL310="","",IFERROR(BDH(LEFT(Database!BL310,FIND(".",Database!BL310)-1)&amp;" CH Equity","PE_RATIO",Database!$H310,Database!$H310),""))</f>
        <v/>
      </c>
      <c r="R310" s="24">
        <f>IF(Database!BL310="","",IFERROR(BDH("HSAHP Index","PX_LAST",Database!$H310,Database!$H310),""))</f>
        <v/>
      </c>
      <c r="S310" s="24">
        <f>IFERROR(BDP(Database!$A310&amp;" HK Equity","PX_TO_SALES_RATIO"),"")</f>
        <v/>
      </c>
      <c r="T310" s="18">
        <f>IF(Database!BL310="","",IFERROR(BDP(LEFT(Database!BL310,FIND(".",Database!BL310)-1)&amp;" CH Equity","CUR_MKT_CAP"),""))</f>
        <v/>
      </c>
    </row>
    <row r="311">
      <c r="A311" s="16">
        <f>Database!A311&amp;"  "&amp;Database!B311</f>
        <v/>
      </c>
      <c r="B311" s="10">
        <f>IFERROR(INDEX(BDS(Database!$A311&amp;" HK Equity","EQUITY_OFFERINGS","array=t","endcol=1"),MATCH("IPO",BDS(Database!$A311&amp;" HK Equity","EQUITY_OFFERINGS","array=t","startcol=2","endcol=2"),0)),"")</f>
        <v/>
      </c>
      <c r="C311" s="103">
        <f>IF($B311="","",IFERROR(BDP($B311&amp;" Action","CP036"),""))</f>
        <v/>
      </c>
      <c r="D311" s="104">
        <f>Database!S311</f>
        <v/>
      </c>
      <c r="E311" s="103">
        <f>IF($B311="","",IFERROR(BDP($B311&amp;" Action","CP037"),""))</f>
        <v/>
      </c>
      <c r="F311" s="104">
        <f>Database!T311</f>
        <v/>
      </c>
      <c r="G311" s="103">
        <f>IF($B311="","",IFERROR(BDP($B311&amp;" Action","GREENSHOE_FACILITY"),""))</f>
        <v/>
      </c>
      <c r="H311" s="103">
        <f>IF($B311="","",IFERROR(BDP($B311&amp;" Action","OFFERING_GREENSHOE_SHARES_EX"),""))</f>
        <v/>
      </c>
      <c r="I311" s="16">
        <f>Database!AG311</f>
        <v/>
      </c>
      <c r="J311" s="24">
        <f>IFERROR(BDP(Database!$A311&amp;" HK Equity","PE_RATIO"),"")</f>
        <v/>
      </c>
      <c r="K311" s="10">
        <f>IFERROR(BDP(Database!$A311&amp;" HK Equity","A/H_SHARE_CONVERSION"),"")</f>
        <v/>
      </c>
      <c r="L311" s="16">
        <f>IF(Database!BL311="","(none found)",Database!BL311)</f>
        <v/>
      </c>
      <c r="M311" s="18">
        <f>IFERROR(BDH(Database!$A311&amp;" HK Equity","CUR_MKT_CAP",Database!$H311,Database!$H311),"")</f>
        <v/>
      </c>
      <c r="N311" s="97">
        <f>Database!Q311</f>
        <v/>
      </c>
      <c r="O311" s="24">
        <f>IFERROR(BDH(Database!$A311&amp;" HK Equity","PE_RATIO",Database!$H311,Database!$H311),"")</f>
        <v/>
      </c>
      <c r="P311" s="101">
        <f>IF(Database!BF311="","(n/m or not derivable)",Database!BF311)</f>
        <v/>
      </c>
      <c r="Q311" s="24">
        <f>IF(Database!BL311="","",IFERROR(BDH(LEFT(Database!BL311,FIND(".",Database!BL311)-1)&amp;" CH Equity","PE_RATIO",Database!$H311,Database!$H311),""))</f>
        <v/>
      </c>
      <c r="R311" s="24">
        <f>IF(Database!BL311="","",IFERROR(BDH("HSAHP Index","PX_LAST",Database!$H311,Database!$H311),""))</f>
        <v/>
      </c>
      <c r="S311" s="24">
        <f>IFERROR(BDP(Database!$A311&amp;" HK Equity","PX_TO_SALES_RATIO"),"")</f>
        <v/>
      </c>
      <c r="T311" s="18">
        <f>IF(Database!BL311="","",IFERROR(BDP(LEFT(Database!BL311,FIND(".",Database!BL311)-1)&amp;" CH Equity","CUR_MKT_CAP"),""))</f>
        <v/>
      </c>
    </row>
    <row r="312">
      <c r="A312" s="16">
        <f>Database!A312&amp;"  "&amp;Database!B312</f>
        <v/>
      </c>
      <c r="B312" s="10">
        <f>IFERROR(INDEX(BDS(Database!$A312&amp;" HK Equity","EQUITY_OFFERINGS","array=t","endcol=1"),MATCH("IPO",BDS(Database!$A312&amp;" HK Equity","EQUITY_OFFERINGS","array=t","startcol=2","endcol=2"),0)),"")</f>
        <v/>
      </c>
      <c r="C312" s="103">
        <f>IF($B312="","",IFERROR(BDP($B312&amp;" Action","CP036"),""))</f>
        <v/>
      </c>
      <c r="D312" s="104">
        <f>Database!S312</f>
        <v/>
      </c>
      <c r="E312" s="103">
        <f>IF($B312="","",IFERROR(BDP($B312&amp;" Action","CP037"),""))</f>
        <v/>
      </c>
      <c r="F312" s="104">
        <f>Database!T312</f>
        <v/>
      </c>
      <c r="G312" s="103">
        <f>IF($B312="","",IFERROR(BDP($B312&amp;" Action","GREENSHOE_FACILITY"),""))</f>
        <v/>
      </c>
      <c r="H312" s="103">
        <f>IF($B312="","",IFERROR(BDP($B312&amp;" Action","OFFERING_GREENSHOE_SHARES_EX"),""))</f>
        <v/>
      </c>
      <c r="I312" s="16">
        <f>Database!AG312</f>
        <v/>
      </c>
      <c r="J312" s="24">
        <f>IFERROR(BDP(Database!$A312&amp;" HK Equity","PE_RATIO"),"")</f>
        <v/>
      </c>
      <c r="K312" s="10">
        <f>IFERROR(BDP(Database!$A312&amp;" HK Equity","A/H_SHARE_CONVERSION"),"")</f>
        <v/>
      </c>
      <c r="L312" s="16">
        <f>IF(Database!BL312="","(none found)",Database!BL312)</f>
        <v/>
      </c>
      <c r="M312" s="18">
        <f>IFERROR(BDH(Database!$A312&amp;" HK Equity","CUR_MKT_CAP",Database!$H312,Database!$H312),"")</f>
        <v/>
      </c>
      <c r="N312" s="97">
        <f>Database!Q312</f>
        <v/>
      </c>
      <c r="O312" s="24">
        <f>IFERROR(BDH(Database!$A312&amp;" HK Equity","PE_RATIO",Database!$H312,Database!$H312),"")</f>
        <v/>
      </c>
      <c r="P312" s="101">
        <f>IF(Database!BF312="","(n/m or not derivable)",Database!BF312)</f>
        <v/>
      </c>
      <c r="Q312" s="24">
        <f>IF(Database!BL312="","",IFERROR(BDH(LEFT(Database!BL312,FIND(".",Database!BL312)-1)&amp;" CH Equity","PE_RATIO",Database!$H312,Database!$H312),""))</f>
        <v/>
      </c>
      <c r="R312" s="24">
        <f>IF(Database!BL312="","",IFERROR(BDH("HSAHP Index","PX_LAST",Database!$H312,Database!$H312),""))</f>
        <v/>
      </c>
      <c r="S312" s="24">
        <f>IFERROR(BDP(Database!$A312&amp;" HK Equity","PX_TO_SALES_RATIO"),"")</f>
        <v/>
      </c>
      <c r="T312" s="18">
        <f>IF(Database!BL312="","",IFERROR(BDP(LEFT(Database!BL312,FIND(".",Database!BL312)-1)&amp;" CH Equity","CUR_MKT_CAP"),""))</f>
        <v/>
      </c>
    </row>
    <row r="313">
      <c r="A313" s="16">
        <f>Database!A313&amp;"  "&amp;Database!B313</f>
        <v/>
      </c>
      <c r="B313" s="10">
        <f>IFERROR(INDEX(BDS(Database!$A313&amp;" HK Equity","EQUITY_OFFERINGS","array=t","endcol=1"),MATCH("IPO",BDS(Database!$A313&amp;" HK Equity","EQUITY_OFFERINGS","array=t","startcol=2","endcol=2"),0)),"")</f>
        <v/>
      </c>
      <c r="C313" s="103">
        <f>IF($B313="","",IFERROR(BDP($B313&amp;" Action","CP036"),""))</f>
        <v/>
      </c>
      <c r="D313" s="104">
        <f>Database!S313</f>
        <v/>
      </c>
      <c r="E313" s="103">
        <f>IF($B313="","",IFERROR(BDP($B313&amp;" Action","CP037"),""))</f>
        <v/>
      </c>
      <c r="F313" s="104">
        <f>Database!T313</f>
        <v/>
      </c>
      <c r="G313" s="103">
        <f>IF($B313="","",IFERROR(BDP($B313&amp;" Action","GREENSHOE_FACILITY"),""))</f>
        <v/>
      </c>
      <c r="H313" s="103">
        <f>IF($B313="","",IFERROR(BDP($B313&amp;" Action","OFFERING_GREENSHOE_SHARES_EX"),""))</f>
        <v/>
      </c>
      <c r="I313" s="16">
        <f>Database!AG313</f>
        <v/>
      </c>
      <c r="J313" s="24">
        <f>IFERROR(BDP(Database!$A313&amp;" HK Equity","PE_RATIO"),"")</f>
        <v/>
      </c>
      <c r="K313" s="10">
        <f>IFERROR(BDP(Database!$A313&amp;" HK Equity","A/H_SHARE_CONVERSION"),"")</f>
        <v/>
      </c>
      <c r="L313" s="16">
        <f>IF(Database!BL313="","(none found)",Database!BL313)</f>
        <v/>
      </c>
      <c r="M313" s="18">
        <f>IFERROR(BDH(Database!$A313&amp;" HK Equity","CUR_MKT_CAP",Database!$H313,Database!$H313),"")</f>
        <v/>
      </c>
      <c r="N313" s="97">
        <f>Database!Q313</f>
        <v/>
      </c>
      <c r="O313" s="24">
        <f>IFERROR(BDH(Database!$A313&amp;" HK Equity","PE_RATIO",Database!$H313,Database!$H313),"")</f>
        <v/>
      </c>
      <c r="P313" s="101">
        <f>IF(Database!BF313="","(n/m or not derivable)",Database!BF313)</f>
        <v/>
      </c>
      <c r="Q313" s="24">
        <f>IF(Database!BL313="","",IFERROR(BDH(LEFT(Database!BL313,FIND(".",Database!BL313)-1)&amp;" CH Equity","PE_RATIO",Database!$H313,Database!$H313),""))</f>
        <v/>
      </c>
      <c r="R313" s="24">
        <f>IF(Database!BL313="","",IFERROR(BDH("HSAHP Index","PX_LAST",Database!$H313,Database!$H313),""))</f>
        <v/>
      </c>
      <c r="S313" s="24">
        <f>IFERROR(BDP(Database!$A313&amp;" HK Equity","PX_TO_SALES_RATIO"),"")</f>
        <v/>
      </c>
      <c r="T313" s="18">
        <f>IF(Database!BL313="","",IFERROR(BDP(LEFT(Database!BL313,FIND(".",Database!BL313)-1)&amp;" CH Equity","CUR_MKT_CAP"),""))</f>
        <v/>
      </c>
    </row>
    <row r="314">
      <c r="A314" s="16">
        <f>Database!A314&amp;"  "&amp;Database!B314</f>
        <v/>
      </c>
      <c r="B314" s="10">
        <f>IFERROR(INDEX(BDS(Database!$A314&amp;" HK Equity","EQUITY_OFFERINGS","array=t","endcol=1"),MATCH("IPO",BDS(Database!$A314&amp;" HK Equity","EQUITY_OFFERINGS","array=t","startcol=2","endcol=2"),0)),"")</f>
        <v/>
      </c>
      <c r="C314" s="103">
        <f>IF($B314="","",IFERROR(BDP($B314&amp;" Action","CP036"),""))</f>
        <v/>
      </c>
      <c r="D314" s="104">
        <f>Database!S314</f>
        <v/>
      </c>
      <c r="E314" s="103">
        <f>IF($B314="","",IFERROR(BDP($B314&amp;" Action","CP037"),""))</f>
        <v/>
      </c>
      <c r="F314" s="104">
        <f>Database!T314</f>
        <v/>
      </c>
      <c r="G314" s="103">
        <f>IF($B314="","",IFERROR(BDP($B314&amp;" Action","GREENSHOE_FACILITY"),""))</f>
        <v/>
      </c>
      <c r="H314" s="103">
        <f>IF($B314="","",IFERROR(BDP($B314&amp;" Action","OFFERING_GREENSHOE_SHARES_EX"),""))</f>
        <v/>
      </c>
      <c r="I314" s="16">
        <f>Database!AG314</f>
        <v/>
      </c>
      <c r="J314" s="24">
        <f>IFERROR(BDP(Database!$A314&amp;" HK Equity","PE_RATIO"),"")</f>
        <v/>
      </c>
      <c r="K314" s="10">
        <f>IFERROR(BDP(Database!$A314&amp;" HK Equity","A/H_SHARE_CONVERSION"),"")</f>
        <v/>
      </c>
      <c r="L314" s="16">
        <f>IF(Database!BL314="","(none found)",Database!BL314)</f>
        <v/>
      </c>
      <c r="M314" s="18">
        <f>IFERROR(BDH(Database!$A314&amp;" HK Equity","CUR_MKT_CAP",Database!$H314,Database!$H314),"")</f>
        <v/>
      </c>
      <c r="N314" s="97">
        <f>Database!Q314</f>
        <v/>
      </c>
      <c r="O314" s="24">
        <f>IFERROR(BDH(Database!$A314&amp;" HK Equity","PE_RATIO",Database!$H314,Database!$H314),"")</f>
        <v/>
      </c>
      <c r="P314" s="101">
        <f>IF(Database!BF314="","(n/m or not derivable)",Database!BF314)</f>
        <v/>
      </c>
      <c r="Q314" s="24">
        <f>IF(Database!BL314="","",IFERROR(BDH(LEFT(Database!BL314,FIND(".",Database!BL314)-1)&amp;" CH Equity","PE_RATIO",Database!$H314,Database!$H314),""))</f>
        <v/>
      </c>
      <c r="R314" s="24">
        <f>IF(Database!BL314="","",IFERROR(BDH("HSAHP Index","PX_LAST",Database!$H314,Database!$H314),""))</f>
        <v/>
      </c>
      <c r="S314" s="24">
        <f>IFERROR(BDP(Database!$A314&amp;" HK Equity","PX_TO_SALES_RATIO"),"")</f>
        <v/>
      </c>
      <c r="T314" s="18">
        <f>IF(Database!BL314="","",IFERROR(BDP(LEFT(Database!BL314,FIND(".",Database!BL314)-1)&amp;" CH Equity","CUR_MKT_CAP"),""))</f>
        <v/>
      </c>
    </row>
    <row r="315">
      <c r="A315" s="16">
        <f>Database!A315&amp;"  "&amp;Database!B315</f>
        <v/>
      </c>
      <c r="B315" s="10">
        <f>IFERROR(INDEX(BDS(Database!$A315&amp;" HK Equity","EQUITY_OFFERINGS","array=t","endcol=1"),MATCH("IPO",BDS(Database!$A315&amp;" HK Equity","EQUITY_OFFERINGS","array=t","startcol=2","endcol=2"),0)),"")</f>
        <v/>
      </c>
      <c r="C315" s="103">
        <f>IF($B315="","",IFERROR(BDP($B315&amp;" Action","CP036"),""))</f>
        <v/>
      </c>
      <c r="D315" s="104">
        <f>Database!S315</f>
        <v/>
      </c>
      <c r="E315" s="103">
        <f>IF($B315="","",IFERROR(BDP($B315&amp;" Action","CP037"),""))</f>
        <v/>
      </c>
      <c r="F315" s="104">
        <f>Database!T315</f>
        <v/>
      </c>
      <c r="G315" s="103">
        <f>IF($B315="","",IFERROR(BDP($B315&amp;" Action","GREENSHOE_FACILITY"),""))</f>
        <v/>
      </c>
      <c r="H315" s="103">
        <f>IF($B315="","",IFERROR(BDP($B315&amp;" Action","OFFERING_GREENSHOE_SHARES_EX"),""))</f>
        <v/>
      </c>
      <c r="I315" s="16">
        <f>Database!AG315</f>
        <v/>
      </c>
      <c r="J315" s="24">
        <f>IFERROR(BDP(Database!$A315&amp;" HK Equity","PE_RATIO"),"")</f>
        <v/>
      </c>
      <c r="K315" s="10">
        <f>IFERROR(BDP(Database!$A315&amp;" HK Equity","A/H_SHARE_CONVERSION"),"")</f>
        <v/>
      </c>
      <c r="L315" s="16">
        <f>IF(Database!BL315="","(none found)",Database!BL315)</f>
        <v/>
      </c>
      <c r="M315" s="18">
        <f>IFERROR(BDH(Database!$A315&amp;" HK Equity","CUR_MKT_CAP",Database!$H315,Database!$H315),"")</f>
        <v/>
      </c>
      <c r="N315" s="97">
        <f>Database!Q315</f>
        <v/>
      </c>
      <c r="O315" s="24">
        <f>IFERROR(BDH(Database!$A315&amp;" HK Equity","PE_RATIO",Database!$H315,Database!$H315),"")</f>
        <v/>
      </c>
      <c r="P315" s="101">
        <f>IF(Database!BF315="","(n/m or not derivable)",Database!BF315)</f>
        <v/>
      </c>
      <c r="Q315" s="24">
        <f>IF(Database!BL315="","",IFERROR(BDH(LEFT(Database!BL315,FIND(".",Database!BL315)-1)&amp;" CH Equity","PE_RATIO",Database!$H315,Database!$H315),""))</f>
        <v/>
      </c>
      <c r="R315" s="24">
        <f>IF(Database!BL315="","",IFERROR(BDH("HSAHP Index","PX_LAST",Database!$H315,Database!$H315),""))</f>
        <v/>
      </c>
      <c r="S315" s="24">
        <f>IFERROR(BDP(Database!$A315&amp;" HK Equity","PX_TO_SALES_RATIO"),"")</f>
        <v/>
      </c>
      <c r="T315" s="18">
        <f>IF(Database!BL315="","",IFERROR(BDP(LEFT(Database!BL315,FIND(".",Database!BL315)-1)&amp;" CH Equity","CUR_MKT_CAP"),""))</f>
        <v/>
      </c>
    </row>
    <row r="316">
      <c r="A316" s="16">
        <f>Database!A316&amp;"  "&amp;Database!B316</f>
        <v/>
      </c>
      <c r="B316" s="10">
        <f>IFERROR(INDEX(BDS(Database!$A316&amp;" HK Equity","EQUITY_OFFERINGS","array=t","endcol=1"),MATCH("IPO",BDS(Database!$A316&amp;" HK Equity","EQUITY_OFFERINGS","array=t","startcol=2","endcol=2"),0)),"")</f>
        <v/>
      </c>
      <c r="C316" s="103">
        <f>IF($B316="","",IFERROR(BDP($B316&amp;" Action","CP036"),""))</f>
        <v/>
      </c>
      <c r="D316" s="104">
        <f>Database!S316</f>
        <v/>
      </c>
      <c r="E316" s="103">
        <f>IF($B316="","",IFERROR(BDP($B316&amp;" Action","CP037"),""))</f>
        <v/>
      </c>
      <c r="F316" s="104">
        <f>Database!T316</f>
        <v/>
      </c>
      <c r="G316" s="103">
        <f>IF($B316="","",IFERROR(BDP($B316&amp;" Action","GREENSHOE_FACILITY"),""))</f>
        <v/>
      </c>
      <c r="H316" s="103">
        <f>IF($B316="","",IFERROR(BDP($B316&amp;" Action","OFFERING_GREENSHOE_SHARES_EX"),""))</f>
        <v/>
      </c>
      <c r="I316" s="16">
        <f>Database!AG316</f>
        <v/>
      </c>
      <c r="J316" s="24">
        <f>IFERROR(BDP(Database!$A316&amp;" HK Equity","PE_RATIO"),"")</f>
        <v/>
      </c>
      <c r="K316" s="10">
        <f>IFERROR(BDP(Database!$A316&amp;" HK Equity","A/H_SHARE_CONVERSION"),"")</f>
        <v/>
      </c>
      <c r="L316" s="16">
        <f>IF(Database!BL316="","(none found)",Database!BL316)</f>
        <v/>
      </c>
      <c r="M316" s="18">
        <f>IFERROR(BDH(Database!$A316&amp;" HK Equity","CUR_MKT_CAP",Database!$H316,Database!$H316),"")</f>
        <v/>
      </c>
      <c r="N316" s="97">
        <f>Database!Q316</f>
        <v/>
      </c>
      <c r="O316" s="24">
        <f>IFERROR(BDH(Database!$A316&amp;" HK Equity","PE_RATIO",Database!$H316,Database!$H316),"")</f>
        <v/>
      </c>
      <c r="P316" s="101">
        <f>IF(Database!BF316="","(n/m or not derivable)",Database!BF316)</f>
        <v/>
      </c>
      <c r="Q316" s="24">
        <f>IF(Database!BL316="","",IFERROR(BDH(LEFT(Database!BL316,FIND(".",Database!BL316)-1)&amp;" CH Equity","PE_RATIO",Database!$H316,Database!$H316),""))</f>
        <v/>
      </c>
      <c r="R316" s="24">
        <f>IF(Database!BL316="","",IFERROR(BDH("HSAHP Index","PX_LAST",Database!$H316,Database!$H316),""))</f>
        <v/>
      </c>
      <c r="S316" s="24">
        <f>IFERROR(BDP(Database!$A316&amp;" HK Equity","PX_TO_SALES_RATIO"),"")</f>
        <v/>
      </c>
      <c r="T316" s="18">
        <f>IF(Database!BL316="","",IFERROR(BDP(LEFT(Database!BL316,FIND(".",Database!BL316)-1)&amp;" CH Equity","CUR_MKT_CAP"),""))</f>
        <v/>
      </c>
    </row>
    <row r="317">
      <c r="A317" s="16">
        <f>Database!A317&amp;"  "&amp;Database!B317</f>
        <v/>
      </c>
      <c r="B317" s="10">
        <f>IFERROR(INDEX(BDS(Database!$A317&amp;" HK Equity","EQUITY_OFFERINGS","array=t","endcol=1"),MATCH("IPO",BDS(Database!$A317&amp;" HK Equity","EQUITY_OFFERINGS","array=t","startcol=2","endcol=2"),0)),"")</f>
        <v/>
      </c>
      <c r="C317" s="103">
        <f>IF($B317="","",IFERROR(BDP($B317&amp;" Action","CP036"),""))</f>
        <v/>
      </c>
      <c r="D317" s="104">
        <f>Database!S317</f>
        <v/>
      </c>
      <c r="E317" s="103">
        <f>IF($B317="","",IFERROR(BDP($B317&amp;" Action","CP037"),""))</f>
        <v/>
      </c>
      <c r="F317" s="104">
        <f>Database!T317</f>
        <v/>
      </c>
      <c r="G317" s="103">
        <f>IF($B317="","",IFERROR(BDP($B317&amp;" Action","GREENSHOE_FACILITY"),""))</f>
        <v/>
      </c>
      <c r="H317" s="103">
        <f>IF($B317="","",IFERROR(BDP($B317&amp;" Action","OFFERING_GREENSHOE_SHARES_EX"),""))</f>
        <v/>
      </c>
      <c r="I317" s="16">
        <f>Database!AG317</f>
        <v/>
      </c>
      <c r="J317" s="24">
        <f>IFERROR(BDP(Database!$A317&amp;" HK Equity","PE_RATIO"),"")</f>
        <v/>
      </c>
      <c r="K317" s="10">
        <f>IFERROR(BDP(Database!$A317&amp;" HK Equity","A/H_SHARE_CONVERSION"),"")</f>
        <v/>
      </c>
      <c r="L317" s="16">
        <f>IF(Database!BL317="","(none found)",Database!BL317)</f>
        <v/>
      </c>
      <c r="M317" s="18">
        <f>IFERROR(BDH(Database!$A317&amp;" HK Equity","CUR_MKT_CAP",Database!$H317,Database!$H317),"")</f>
        <v/>
      </c>
      <c r="N317" s="97">
        <f>Database!Q317</f>
        <v/>
      </c>
      <c r="O317" s="24">
        <f>IFERROR(BDH(Database!$A317&amp;" HK Equity","PE_RATIO",Database!$H317,Database!$H317),"")</f>
        <v/>
      </c>
      <c r="P317" s="101">
        <f>IF(Database!BF317="","(n/m or not derivable)",Database!BF317)</f>
        <v/>
      </c>
      <c r="Q317" s="24">
        <f>IF(Database!BL317="","",IFERROR(BDH(LEFT(Database!BL317,FIND(".",Database!BL317)-1)&amp;" CH Equity","PE_RATIO",Database!$H317,Database!$H317),""))</f>
        <v/>
      </c>
      <c r="R317" s="24">
        <f>IF(Database!BL317="","",IFERROR(BDH("HSAHP Index","PX_LAST",Database!$H317,Database!$H317),""))</f>
        <v/>
      </c>
      <c r="S317" s="24">
        <f>IFERROR(BDP(Database!$A317&amp;" HK Equity","PX_TO_SALES_RATIO"),"")</f>
        <v/>
      </c>
      <c r="T317" s="18">
        <f>IF(Database!BL317="","",IFERROR(BDP(LEFT(Database!BL317,FIND(".",Database!BL317)-1)&amp;" CH Equity","CUR_MKT_CAP"),""))</f>
        <v/>
      </c>
    </row>
    <row r="318">
      <c r="A318" s="16">
        <f>Database!A318&amp;"  "&amp;Database!B318</f>
        <v/>
      </c>
      <c r="B318" s="10">
        <f>IFERROR(INDEX(BDS(Database!$A318&amp;" HK Equity","EQUITY_OFFERINGS","array=t","endcol=1"),MATCH("IPO",BDS(Database!$A318&amp;" HK Equity","EQUITY_OFFERINGS","array=t","startcol=2","endcol=2"),0)),"")</f>
        <v/>
      </c>
      <c r="C318" s="103">
        <f>IF($B318="","",IFERROR(BDP($B318&amp;" Action","CP036"),""))</f>
        <v/>
      </c>
      <c r="D318" s="104">
        <f>Database!S318</f>
        <v/>
      </c>
      <c r="E318" s="103">
        <f>IF($B318="","",IFERROR(BDP($B318&amp;" Action","CP037"),""))</f>
        <v/>
      </c>
      <c r="F318" s="104">
        <f>Database!T318</f>
        <v/>
      </c>
      <c r="G318" s="103">
        <f>IF($B318="","",IFERROR(BDP($B318&amp;" Action","GREENSHOE_FACILITY"),""))</f>
        <v/>
      </c>
      <c r="H318" s="103">
        <f>IF($B318="","",IFERROR(BDP($B318&amp;" Action","OFFERING_GREENSHOE_SHARES_EX"),""))</f>
        <v/>
      </c>
      <c r="I318" s="16">
        <f>Database!AG318</f>
        <v/>
      </c>
      <c r="J318" s="24">
        <f>IFERROR(BDP(Database!$A318&amp;" HK Equity","PE_RATIO"),"")</f>
        <v/>
      </c>
      <c r="K318" s="10">
        <f>IFERROR(BDP(Database!$A318&amp;" HK Equity","A/H_SHARE_CONVERSION"),"")</f>
        <v/>
      </c>
      <c r="L318" s="16">
        <f>IF(Database!BL318="","(none found)",Database!BL318)</f>
        <v/>
      </c>
      <c r="M318" s="18">
        <f>IFERROR(BDH(Database!$A318&amp;" HK Equity","CUR_MKT_CAP",Database!$H318,Database!$H318),"")</f>
        <v/>
      </c>
      <c r="N318" s="97">
        <f>Database!Q318</f>
        <v/>
      </c>
      <c r="O318" s="24">
        <f>IFERROR(BDH(Database!$A318&amp;" HK Equity","PE_RATIO",Database!$H318,Database!$H318),"")</f>
        <v/>
      </c>
      <c r="P318" s="101">
        <f>IF(Database!BF318="","(n/m or not derivable)",Database!BF318)</f>
        <v/>
      </c>
      <c r="Q318" s="24">
        <f>IF(Database!BL318="","",IFERROR(BDH(LEFT(Database!BL318,FIND(".",Database!BL318)-1)&amp;" CH Equity","PE_RATIO",Database!$H318,Database!$H318),""))</f>
        <v/>
      </c>
      <c r="R318" s="24">
        <f>IF(Database!BL318="","",IFERROR(BDH("HSAHP Index","PX_LAST",Database!$H318,Database!$H318),""))</f>
        <v/>
      </c>
      <c r="S318" s="24">
        <f>IFERROR(BDP(Database!$A318&amp;" HK Equity","PX_TO_SALES_RATIO"),"")</f>
        <v/>
      </c>
      <c r="T318" s="18">
        <f>IF(Database!BL318="","",IFERROR(BDP(LEFT(Database!BL318,FIND(".",Database!BL318)-1)&amp;" CH Equity","CUR_MKT_CAP"),""))</f>
        <v/>
      </c>
    </row>
    <row r="319">
      <c r="A319" s="16">
        <f>Database!A319&amp;"  "&amp;Database!B319</f>
        <v/>
      </c>
      <c r="B319" s="10">
        <f>IFERROR(INDEX(BDS(Database!$A319&amp;" HK Equity","EQUITY_OFFERINGS","array=t","endcol=1"),MATCH("IPO",BDS(Database!$A319&amp;" HK Equity","EQUITY_OFFERINGS","array=t","startcol=2","endcol=2"),0)),"")</f>
        <v/>
      </c>
      <c r="C319" s="103">
        <f>IF($B319="","",IFERROR(BDP($B319&amp;" Action","CP036"),""))</f>
        <v/>
      </c>
      <c r="D319" s="104">
        <f>Database!S319</f>
        <v/>
      </c>
      <c r="E319" s="103">
        <f>IF($B319="","",IFERROR(BDP($B319&amp;" Action","CP037"),""))</f>
        <v/>
      </c>
      <c r="F319" s="104">
        <f>Database!T319</f>
        <v/>
      </c>
      <c r="G319" s="103">
        <f>IF($B319="","",IFERROR(BDP($B319&amp;" Action","GREENSHOE_FACILITY"),""))</f>
        <v/>
      </c>
      <c r="H319" s="103">
        <f>IF($B319="","",IFERROR(BDP($B319&amp;" Action","OFFERING_GREENSHOE_SHARES_EX"),""))</f>
        <v/>
      </c>
      <c r="I319" s="16">
        <f>Database!AG319</f>
        <v/>
      </c>
      <c r="J319" s="24">
        <f>IFERROR(BDP(Database!$A319&amp;" HK Equity","PE_RATIO"),"")</f>
        <v/>
      </c>
      <c r="K319" s="10">
        <f>IFERROR(BDP(Database!$A319&amp;" HK Equity","A/H_SHARE_CONVERSION"),"")</f>
        <v/>
      </c>
      <c r="L319" s="16">
        <f>IF(Database!BL319="","(none found)",Database!BL319)</f>
        <v/>
      </c>
      <c r="M319" s="18">
        <f>IFERROR(BDH(Database!$A319&amp;" HK Equity","CUR_MKT_CAP",Database!$H319,Database!$H319),"")</f>
        <v/>
      </c>
      <c r="N319" s="97">
        <f>Database!Q319</f>
        <v/>
      </c>
      <c r="O319" s="24">
        <f>IFERROR(BDH(Database!$A319&amp;" HK Equity","PE_RATIO",Database!$H319,Database!$H319),"")</f>
        <v/>
      </c>
      <c r="P319" s="101">
        <f>IF(Database!BF319="","(n/m or not derivable)",Database!BF319)</f>
        <v/>
      </c>
      <c r="Q319" s="24">
        <f>IF(Database!BL319="","",IFERROR(BDH(LEFT(Database!BL319,FIND(".",Database!BL319)-1)&amp;" CH Equity","PE_RATIO",Database!$H319,Database!$H319),""))</f>
        <v/>
      </c>
      <c r="R319" s="24">
        <f>IF(Database!BL319="","",IFERROR(BDH("HSAHP Index","PX_LAST",Database!$H319,Database!$H319),""))</f>
        <v/>
      </c>
      <c r="S319" s="24">
        <f>IFERROR(BDP(Database!$A319&amp;" HK Equity","PX_TO_SALES_RATIO"),"")</f>
        <v/>
      </c>
      <c r="T319" s="18">
        <f>IF(Database!BL319="","",IFERROR(BDP(LEFT(Database!BL319,FIND(".",Database!BL319)-1)&amp;" CH Equity","CUR_MKT_CAP"),""))</f>
        <v/>
      </c>
    </row>
    <row r="320">
      <c r="A320" s="16">
        <f>Database!A320&amp;"  "&amp;Database!B320</f>
        <v/>
      </c>
      <c r="B320" s="10">
        <f>IFERROR(INDEX(BDS(Database!$A320&amp;" HK Equity","EQUITY_OFFERINGS","array=t","endcol=1"),MATCH("IPO",BDS(Database!$A320&amp;" HK Equity","EQUITY_OFFERINGS","array=t","startcol=2","endcol=2"),0)),"")</f>
        <v/>
      </c>
      <c r="C320" s="103">
        <f>IF($B320="","",IFERROR(BDP($B320&amp;" Action","CP036"),""))</f>
        <v/>
      </c>
      <c r="D320" s="104">
        <f>Database!S320</f>
        <v/>
      </c>
      <c r="E320" s="103">
        <f>IF($B320="","",IFERROR(BDP($B320&amp;" Action","CP037"),""))</f>
        <v/>
      </c>
      <c r="F320" s="104">
        <f>Database!T320</f>
        <v/>
      </c>
      <c r="G320" s="103">
        <f>IF($B320="","",IFERROR(BDP($B320&amp;" Action","GREENSHOE_FACILITY"),""))</f>
        <v/>
      </c>
      <c r="H320" s="103">
        <f>IF($B320="","",IFERROR(BDP($B320&amp;" Action","OFFERING_GREENSHOE_SHARES_EX"),""))</f>
        <v/>
      </c>
      <c r="I320" s="16">
        <f>Database!AG320</f>
        <v/>
      </c>
      <c r="J320" s="24">
        <f>IFERROR(BDP(Database!$A320&amp;" HK Equity","PE_RATIO"),"")</f>
        <v/>
      </c>
      <c r="K320" s="10">
        <f>IFERROR(BDP(Database!$A320&amp;" HK Equity","A/H_SHARE_CONVERSION"),"")</f>
        <v/>
      </c>
      <c r="L320" s="16">
        <f>IF(Database!BL320="","(none found)",Database!BL320)</f>
        <v/>
      </c>
      <c r="M320" s="18">
        <f>IFERROR(BDH(Database!$A320&amp;" HK Equity","CUR_MKT_CAP",Database!$H320,Database!$H320),"")</f>
        <v/>
      </c>
      <c r="N320" s="97">
        <f>Database!Q320</f>
        <v/>
      </c>
      <c r="O320" s="24">
        <f>IFERROR(BDH(Database!$A320&amp;" HK Equity","PE_RATIO",Database!$H320,Database!$H320),"")</f>
        <v/>
      </c>
      <c r="P320" s="101">
        <f>IF(Database!BF320="","(n/m or not derivable)",Database!BF320)</f>
        <v/>
      </c>
      <c r="Q320" s="24">
        <f>IF(Database!BL320="","",IFERROR(BDH(LEFT(Database!BL320,FIND(".",Database!BL320)-1)&amp;" CH Equity","PE_RATIO",Database!$H320,Database!$H320),""))</f>
        <v/>
      </c>
      <c r="R320" s="24">
        <f>IF(Database!BL320="","",IFERROR(BDH("HSAHP Index","PX_LAST",Database!$H320,Database!$H320),""))</f>
        <v/>
      </c>
      <c r="S320" s="24">
        <f>IFERROR(BDP(Database!$A320&amp;" HK Equity","PX_TO_SALES_RATIO"),"")</f>
        <v/>
      </c>
      <c r="T320" s="18">
        <f>IF(Database!BL320="","",IFERROR(BDP(LEFT(Database!BL320,FIND(".",Database!BL320)-1)&amp;" CH Equity","CUR_MKT_CAP"),""))</f>
        <v/>
      </c>
    </row>
    <row r="321">
      <c r="A321" s="16">
        <f>Database!A321&amp;"  "&amp;Database!B321</f>
        <v/>
      </c>
      <c r="B321" s="10">
        <f>IFERROR(INDEX(BDS(Database!$A321&amp;" HK Equity","EQUITY_OFFERINGS","array=t","endcol=1"),MATCH("IPO",BDS(Database!$A321&amp;" HK Equity","EQUITY_OFFERINGS","array=t","startcol=2","endcol=2"),0)),"")</f>
        <v/>
      </c>
      <c r="C321" s="103">
        <f>IF($B321="","",IFERROR(BDP($B321&amp;" Action","CP036"),""))</f>
        <v/>
      </c>
      <c r="D321" s="104">
        <f>Database!S321</f>
        <v/>
      </c>
      <c r="E321" s="103">
        <f>IF($B321="","",IFERROR(BDP($B321&amp;" Action","CP037"),""))</f>
        <v/>
      </c>
      <c r="F321" s="104">
        <f>Database!T321</f>
        <v/>
      </c>
      <c r="G321" s="103">
        <f>IF($B321="","",IFERROR(BDP($B321&amp;" Action","GREENSHOE_FACILITY"),""))</f>
        <v/>
      </c>
      <c r="H321" s="103">
        <f>IF($B321="","",IFERROR(BDP($B321&amp;" Action","OFFERING_GREENSHOE_SHARES_EX"),""))</f>
        <v/>
      </c>
      <c r="I321" s="16">
        <f>Database!AG321</f>
        <v/>
      </c>
      <c r="J321" s="24">
        <f>IFERROR(BDP(Database!$A321&amp;" HK Equity","PE_RATIO"),"")</f>
        <v/>
      </c>
      <c r="K321" s="10">
        <f>IFERROR(BDP(Database!$A321&amp;" HK Equity","A/H_SHARE_CONVERSION"),"")</f>
        <v/>
      </c>
      <c r="L321" s="16">
        <f>IF(Database!BL321="","(none found)",Database!BL321)</f>
        <v/>
      </c>
      <c r="M321" s="18">
        <f>IFERROR(BDH(Database!$A321&amp;" HK Equity","CUR_MKT_CAP",Database!$H321,Database!$H321),"")</f>
        <v/>
      </c>
      <c r="N321" s="97">
        <f>Database!Q321</f>
        <v/>
      </c>
      <c r="O321" s="24">
        <f>IFERROR(BDH(Database!$A321&amp;" HK Equity","PE_RATIO",Database!$H321,Database!$H321),"")</f>
        <v/>
      </c>
      <c r="P321" s="101">
        <f>IF(Database!BF321="","(n/m or not derivable)",Database!BF321)</f>
        <v/>
      </c>
      <c r="Q321" s="24">
        <f>IF(Database!BL321="","",IFERROR(BDH(LEFT(Database!BL321,FIND(".",Database!BL321)-1)&amp;" CH Equity","PE_RATIO",Database!$H321,Database!$H321),""))</f>
        <v/>
      </c>
      <c r="R321" s="24">
        <f>IF(Database!BL321="","",IFERROR(BDH("HSAHP Index","PX_LAST",Database!$H321,Database!$H321),""))</f>
        <v/>
      </c>
      <c r="S321" s="24">
        <f>IFERROR(BDP(Database!$A321&amp;" HK Equity","PX_TO_SALES_RATIO"),"")</f>
        <v/>
      </c>
      <c r="T321" s="18">
        <f>IF(Database!BL321="","",IFERROR(BDP(LEFT(Database!BL321,FIND(".",Database!BL321)-1)&amp;" CH Equity","CUR_MKT_CAP"),""))</f>
        <v/>
      </c>
    </row>
    <row r="322">
      <c r="A322" s="16">
        <f>Database!A322&amp;"  "&amp;Database!B322</f>
        <v/>
      </c>
      <c r="B322" s="10">
        <f>IFERROR(INDEX(BDS(Database!$A322&amp;" HK Equity","EQUITY_OFFERINGS","array=t","endcol=1"),MATCH("IPO",BDS(Database!$A322&amp;" HK Equity","EQUITY_OFFERINGS","array=t","startcol=2","endcol=2"),0)),"")</f>
        <v/>
      </c>
      <c r="C322" s="103">
        <f>IF($B322="","",IFERROR(BDP($B322&amp;" Action","CP036"),""))</f>
        <v/>
      </c>
      <c r="D322" s="104">
        <f>Database!S322</f>
        <v/>
      </c>
      <c r="E322" s="103">
        <f>IF($B322="","",IFERROR(BDP($B322&amp;" Action","CP037"),""))</f>
        <v/>
      </c>
      <c r="F322" s="104">
        <f>Database!T322</f>
        <v/>
      </c>
      <c r="G322" s="103">
        <f>IF($B322="","",IFERROR(BDP($B322&amp;" Action","GREENSHOE_FACILITY"),""))</f>
        <v/>
      </c>
      <c r="H322" s="103">
        <f>IF($B322="","",IFERROR(BDP($B322&amp;" Action","OFFERING_GREENSHOE_SHARES_EX"),""))</f>
        <v/>
      </c>
      <c r="I322" s="16">
        <f>Database!AG322</f>
        <v/>
      </c>
      <c r="J322" s="24">
        <f>IFERROR(BDP(Database!$A322&amp;" HK Equity","PE_RATIO"),"")</f>
        <v/>
      </c>
      <c r="K322" s="10">
        <f>IFERROR(BDP(Database!$A322&amp;" HK Equity","A/H_SHARE_CONVERSION"),"")</f>
        <v/>
      </c>
      <c r="L322" s="16">
        <f>IF(Database!BL322="","(none found)",Database!BL322)</f>
        <v/>
      </c>
      <c r="M322" s="18">
        <f>IFERROR(BDH(Database!$A322&amp;" HK Equity","CUR_MKT_CAP",Database!$H322,Database!$H322),"")</f>
        <v/>
      </c>
      <c r="N322" s="97">
        <f>Database!Q322</f>
        <v/>
      </c>
      <c r="O322" s="24">
        <f>IFERROR(BDH(Database!$A322&amp;" HK Equity","PE_RATIO",Database!$H322,Database!$H322),"")</f>
        <v/>
      </c>
      <c r="P322" s="101">
        <f>IF(Database!BF322="","(n/m or not derivable)",Database!BF322)</f>
        <v/>
      </c>
      <c r="Q322" s="24">
        <f>IF(Database!BL322="","",IFERROR(BDH(LEFT(Database!BL322,FIND(".",Database!BL322)-1)&amp;" CH Equity","PE_RATIO",Database!$H322,Database!$H322),""))</f>
        <v/>
      </c>
      <c r="R322" s="24">
        <f>IF(Database!BL322="","",IFERROR(BDH("HSAHP Index","PX_LAST",Database!$H322,Database!$H322),""))</f>
        <v/>
      </c>
      <c r="S322" s="24">
        <f>IFERROR(BDP(Database!$A322&amp;" HK Equity","PX_TO_SALES_RATIO"),"")</f>
        <v/>
      </c>
      <c r="T322" s="18">
        <f>IF(Database!BL322="","",IFERROR(BDP(LEFT(Database!BL322,FIND(".",Database!BL322)-1)&amp;" CH Equity","CUR_MKT_CAP"),""))</f>
        <v/>
      </c>
    </row>
    <row r="323">
      <c r="A323" s="16">
        <f>Database!A323&amp;"  "&amp;Database!B323</f>
        <v/>
      </c>
      <c r="B323" s="10">
        <f>IFERROR(INDEX(BDS(Database!$A323&amp;" HK Equity","EQUITY_OFFERINGS","array=t","endcol=1"),MATCH("IPO",BDS(Database!$A323&amp;" HK Equity","EQUITY_OFFERINGS","array=t","startcol=2","endcol=2"),0)),"")</f>
        <v/>
      </c>
      <c r="C323" s="103">
        <f>IF($B323="","",IFERROR(BDP($B323&amp;" Action","CP036"),""))</f>
        <v/>
      </c>
      <c r="D323" s="104">
        <f>Database!S323</f>
        <v/>
      </c>
      <c r="E323" s="103">
        <f>IF($B323="","",IFERROR(BDP($B323&amp;" Action","CP037"),""))</f>
        <v/>
      </c>
      <c r="F323" s="104">
        <f>Database!T323</f>
        <v/>
      </c>
      <c r="G323" s="103">
        <f>IF($B323="","",IFERROR(BDP($B323&amp;" Action","GREENSHOE_FACILITY"),""))</f>
        <v/>
      </c>
      <c r="H323" s="103">
        <f>IF($B323="","",IFERROR(BDP($B323&amp;" Action","OFFERING_GREENSHOE_SHARES_EX"),""))</f>
        <v/>
      </c>
      <c r="I323" s="16">
        <f>Database!AG323</f>
        <v/>
      </c>
      <c r="J323" s="24">
        <f>IFERROR(BDP(Database!$A323&amp;" HK Equity","PE_RATIO"),"")</f>
        <v/>
      </c>
      <c r="K323" s="10">
        <f>IFERROR(BDP(Database!$A323&amp;" HK Equity","A/H_SHARE_CONVERSION"),"")</f>
        <v/>
      </c>
      <c r="L323" s="16">
        <f>IF(Database!BL323="","(none found)",Database!BL323)</f>
        <v/>
      </c>
      <c r="M323" s="18">
        <f>IFERROR(BDH(Database!$A323&amp;" HK Equity","CUR_MKT_CAP",Database!$H323,Database!$H323),"")</f>
        <v/>
      </c>
      <c r="N323" s="97">
        <f>Database!Q323</f>
        <v/>
      </c>
      <c r="O323" s="24">
        <f>IFERROR(BDH(Database!$A323&amp;" HK Equity","PE_RATIO",Database!$H323,Database!$H323),"")</f>
        <v/>
      </c>
      <c r="P323" s="101">
        <f>IF(Database!BF323="","(n/m or not derivable)",Database!BF323)</f>
        <v/>
      </c>
      <c r="Q323" s="24">
        <f>IF(Database!BL323="","",IFERROR(BDH(LEFT(Database!BL323,FIND(".",Database!BL323)-1)&amp;" CH Equity","PE_RATIO",Database!$H323,Database!$H323),""))</f>
        <v/>
      </c>
      <c r="R323" s="24">
        <f>IF(Database!BL323="","",IFERROR(BDH("HSAHP Index","PX_LAST",Database!$H323,Database!$H323),""))</f>
        <v/>
      </c>
      <c r="S323" s="24">
        <f>IFERROR(BDP(Database!$A323&amp;" HK Equity","PX_TO_SALES_RATIO"),"")</f>
        <v/>
      </c>
      <c r="T323" s="18">
        <f>IF(Database!BL323="","",IFERROR(BDP(LEFT(Database!BL323,FIND(".",Database!BL323)-1)&amp;" CH Equity","CUR_MKT_CAP"),""))</f>
        <v/>
      </c>
    </row>
    <row r="324">
      <c r="A324" s="16">
        <f>Database!A324&amp;"  "&amp;Database!B324</f>
        <v/>
      </c>
      <c r="B324" s="10">
        <f>IFERROR(INDEX(BDS(Database!$A324&amp;" HK Equity","EQUITY_OFFERINGS","array=t","endcol=1"),MATCH("IPO",BDS(Database!$A324&amp;" HK Equity","EQUITY_OFFERINGS","array=t","startcol=2","endcol=2"),0)),"")</f>
        <v/>
      </c>
      <c r="C324" s="103">
        <f>IF($B324="","",IFERROR(BDP($B324&amp;" Action","CP036"),""))</f>
        <v/>
      </c>
      <c r="D324" s="104">
        <f>Database!S324</f>
        <v/>
      </c>
      <c r="E324" s="103">
        <f>IF($B324="","",IFERROR(BDP($B324&amp;" Action","CP037"),""))</f>
        <v/>
      </c>
      <c r="F324" s="104">
        <f>Database!T324</f>
        <v/>
      </c>
      <c r="G324" s="103">
        <f>IF($B324="","",IFERROR(BDP($B324&amp;" Action","GREENSHOE_FACILITY"),""))</f>
        <v/>
      </c>
      <c r="H324" s="103">
        <f>IF($B324="","",IFERROR(BDP($B324&amp;" Action","OFFERING_GREENSHOE_SHARES_EX"),""))</f>
        <v/>
      </c>
      <c r="I324" s="16">
        <f>Database!AG324</f>
        <v/>
      </c>
      <c r="J324" s="24">
        <f>IFERROR(BDP(Database!$A324&amp;" HK Equity","PE_RATIO"),"")</f>
        <v/>
      </c>
      <c r="K324" s="10">
        <f>IFERROR(BDP(Database!$A324&amp;" HK Equity","A/H_SHARE_CONVERSION"),"")</f>
        <v/>
      </c>
      <c r="L324" s="16">
        <f>IF(Database!BL324="","(none found)",Database!BL324)</f>
        <v/>
      </c>
      <c r="M324" s="18">
        <f>IFERROR(BDH(Database!$A324&amp;" HK Equity","CUR_MKT_CAP",Database!$H324,Database!$H324),"")</f>
        <v/>
      </c>
      <c r="N324" s="97">
        <f>Database!Q324</f>
        <v/>
      </c>
      <c r="O324" s="24">
        <f>IFERROR(BDH(Database!$A324&amp;" HK Equity","PE_RATIO",Database!$H324,Database!$H324),"")</f>
        <v/>
      </c>
      <c r="P324" s="101">
        <f>IF(Database!BF324="","(n/m or not derivable)",Database!BF324)</f>
        <v/>
      </c>
      <c r="Q324" s="24">
        <f>IF(Database!BL324="","",IFERROR(BDH(LEFT(Database!BL324,FIND(".",Database!BL324)-1)&amp;" CH Equity","PE_RATIO",Database!$H324,Database!$H324),""))</f>
        <v/>
      </c>
      <c r="R324" s="24">
        <f>IF(Database!BL324="","",IFERROR(BDH("HSAHP Index","PX_LAST",Database!$H324,Database!$H324),""))</f>
        <v/>
      </c>
      <c r="S324" s="24">
        <f>IFERROR(BDP(Database!$A324&amp;" HK Equity","PX_TO_SALES_RATIO"),"")</f>
        <v/>
      </c>
      <c r="T324" s="18">
        <f>IF(Database!BL324="","",IFERROR(BDP(LEFT(Database!BL324,FIND(".",Database!BL324)-1)&amp;" CH Equity","CUR_MKT_CAP"),""))</f>
        <v/>
      </c>
    </row>
    <row r="325">
      <c r="A325" s="16">
        <f>Database!A325&amp;"  "&amp;Database!B325</f>
        <v/>
      </c>
      <c r="B325" s="10">
        <f>IFERROR(INDEX(BDS(Database!$A325&amp;" HK Equity","EQUITY_OFFERINGS","array=t","endcol=1"),MATCH("IPO",BDS(Database!$A325&amp;" HK Equity","EQUITY_OFFERINGS","array=t","startcol=2","endcol=2"),0)),"")</f>
        <v/>
      </c>
      <c r="C325" s="103">
        <f>IF($B325="","",IFERROR(BDP($B325&amp;" Action","CP036"),""))</f>
        <v/>
      </c>
      <c r="D325" s="104">
        <f>Database!S325</f>
        <v/>
      </c>
      <c r="E325" s="103">
        <f>IF($B325="","",IFERROR(BDP($B325&amp;" Action","CP037"),""))</f>
        <v/>
      </c>
      <c r="F325" s="104">
        <f>Database!T325</f>
        <v/>
      </c>
      <c r="G325" s="103">
        <f>IF($B325="","",IFERROR(BDP($B325&amp;" Action","GREENSHOE_FACILITY"),""))</f>
        <v/>
      </c>
      <c r="H325" s="103">
        <f>IF($B325="","",IFERROR(BDP($B325&amp;" Action","OFFERING_GREENSHOE_SHARES_EX"),""))</f>
        <v/>
      </c>
      <c r="I325" s="16">
        <f>Database!AG325</f>
        <v/>
      </c>
      <c r="J325" s="24">
        <f>IFERROR(BDP(Database!$A325&amp;" HK Equity","PE_RATIO"),"")</f>
        <v/>
      </c>
      <c r="K325" s="10">
        <f>IFERROR(BDP(Database!$A325&amp;" HK Equity","A/H_SHARE_CONVERSION"),"")</f>
        <v/>
      </c>
      <c r="L325" s="16">
        <f>IF(Database!BL325="","(none found)",Database!BL325)</f>
        <v/>
      </c>
      <c r="M325" s="18">
        <f>IFERROR(BDH(Database!$A325&amp;" HK Equity","CUR_MKT_CAP",Database!$H325,Database!$H325),"")</f>
        <v/>
      </c>
      <c r="N325" s="97">
        <f>Database!Q325</f>
        <v/>
      </c>
      <c r="O325" s="24">
        <f>IFERROR(BDH(Database!$A325&amp;" HK Equity","PE_RATIO",Database!$H325,Database!$H325),"")</f>
        <v/>
      </c>
      <c r="P325" s="101">
        <f>IF(Database!BF325="","(n/m or not derivable)",Database!BF325)</f>
        <v/>
      </c>
      <c r="Q325" s="24">
        <f>IF(Database!BL325="","",IFERROR(BDH(LEFT(Database!BL325,FIND(".",Database!BL325)-1)&amp;" CH Equity","PE_RATIO",Database!$H325,Database!$H325),""))</f>
        <v/>
      </c>
      <c r="R325" s="24">
        <f>IF(Database!BL325="","",IFERROR(BDH("HSAHP Index","PX_LAST",Database!$H325,Database!$H325),""))</f>
        <v/>
      </c>
      <c r="S325" s="24">
        <f>IFERROR(BDP(Database!$A325&amp;" HK Equity","PX_TO_SALES_RATIO"),"")</f>
        <v/>
      </c>
      <c r="T325" s="18">
        <f>IF(Database!BL325="","",IFERROR(BDP(LEFT(Database!BL325,FIND(".",Database!BL325)-1)&amp;" CH Equity","CUR_MKT_CAP"),""))</f>
        <v/>
      </c>
    </row>
    <row r="326">
      <c r="A326" s="16">
        <f>Database!A326&amp;"  "&amp;Database!B326</f>
        <v/>
      </c>
      <c r="B326" s="10">
        <f>IFERROR(INDEX(BDS(Database!$A326&amp;" HK Equity","EQUITY_OFFERINGS","array=t","endcol=1"),MATCH("IPO",BDS(Database!$A326&amp;" HK Equity","EQUITY_OFFERINGS","array=t","startcol=2","endcol=2"),0)),"")</f>
        <v/>
      </c>
      <c r="C326" s="103">
        <f>IF($B326="","",IFERROR(BDP($B326&amp;" Action","CP036"),""))</f>
        <v/>
      </c>
      <c r="D326" s="104">
        <f>Database!S326</f>
        <v/>
      </c>
      <c r="E326" s="103">
        <f>IF($B326="","",IFERROR(BDP($B326&amp;" Action","CP037"),""))</f>
        <v/>
      </c>
      <c r="F326" s="104">
        <f>Database!T326</f>
        <v/>
      </c>
      <c r="G326" s="103">
        <f>IF($B326="","",IFERROR(BDP($B326&amp;" Action","GREENSHOE_FACILITY"),""))</f>
        <v/>
      </c>
      <c r="H326" s="103">
        <f>IF($B326="","",IFERROR(BDP($B326&amp;" Action","OFFERING_GREENSHOE_SHARES_EX"),""))</f>
        <v/>
      </c>
      <c r="I326" s="16">
        <f>Database!AG326</f>
        <v/>
      </c>
      <c r="J326" s="24">
        <f>IFERROR(BDP(Database!$A326&amp;" HK Equity","PE_RATIO"),"")</f>
        <v/>
      </c>
      <c r="K326" s="10">
        <f>IFERROR(BDP(Database!$A326&amp;" HK Equity","A/H_SHARE_CONVERSION"),"")</f>
        <v/>
      </c>
      <c r="L326" s="16">
        <f>IF(Database!BL326="","(none found)",Database!BL326)</f>
        <v/>
      </c>
      <c r="M326" s="18">
        <f>IFERROR(BDH(Database!$A326&amp;" HK Equity","CUR_MKT_CAP",Database!$H326,Database!$H326),"")</f>
        <v/>
      </c>
      <c r="N326" s="97">
        <f>Database!Q326</f>
        <v/>
      </c>
      <c r="O326" s="24">
        <f>IFERROR(BDH(Database!$A326&amp;" HK Equity","PE_RATIO",Database!$H326,Database!$H326),"")</f>
        <v/>
      </c>
      <c r="P326" s="101">
        <f>IF(Database!BF326="","(n/m or not derivable)",Database!BF326)</f>
        <v/>
      </c>
      <c r="Q326" s="24">
        <f>IF(Database!BL326="","",IFERROR(BDH(LEFT(Database!BL326,FIND(".",Database!BL326)-1)&amp;" CH Equity","PE_RATIO",Database!$H326,Database!$H326),""))</f>
        <v/>
      </c>
      <c r="R326" s="24">
        <f>IF(Database!BL326="","",IFERROR(BDH("HSAHP Index","PX_LAST",Database!$H326,Database!$H326),""))</f>
        <v/>
      </c>
      <c r="S326" s="24">
        <f>IFERROR(BDP(Database!$A326&amp;" HK Equity","PX_TO_SALES_RATIO"),"")</f>
        <v/>
      </c>
      <c r="T326" s="18">
        <f>IF(Database!BL326="","",IFERROR(BDP(LEFT(Database!BL326,FIND(".",Database!BL326)-1)&amp;" CH Equity","CUR_MKT_CAP"),""))</f>
        <v/>
      </c>
    </row>
    <row r="327">
      <c r="A327" s="16">
        <f>Database!A327&amp;"  "&amp;Database!B327</f>
        <v/>
      </c>
      <c r="B327" s="10">
        <f>IFERROR(INDEX(BDS(Database!$A327&amp;" HK Equity","EQUITY_OFFERINGS","array=t","endcol=1"),MATCH("IPO",BDS(Database!$A327&amp;" HK Equity","EQUITY_OFFERINGS","array=t","startcol=2","endcol=2"),0)),"")</f>
        <v/>
      </c>
      <c r="C327" s="103">
        <f>IF($B327="","",IFERROR(BDP($B327&amp;" Action","CP036"),""))</f>
        <v/>
      </c>
      <c r="D327" s="104">
        <f>Database!S327</f>
        <v/>
      </c>
      <c r="E327" s="103">
        <f>IF($B327="","",IFERROR(BDP($B327&amp;" Action","CP037"),""))</f>
        <v/>
      </c>
      <c r="F327" s="104">
        <f>Database!T327</f>
        <v/>
      </c>
      <c r="G327" s="103">
        <f>IF($B327="","",IFERROR(BDP($B327&amp;" Action","GREENSHOE_FACILITY"),""))</f>
        <v/>
      </c>
      <c r="H327" s="103">
        <f>IF($B327="","",IFERROR(BDP($B327&amp;" Action","OFFERING_GREENSHOE_SHARES_EX"),""))</f>
        <v/>
      </c>
      <c r="I327" s="16">
        <f>Database!AG327</f>
        <v/>
      </c>
      <c r="J327" s="24">
        <f>IFERROR(BDP(Database!$A327&amp;" HK Equity","PE_RATIO"),"")</f>
        <v/>
      </c>
      <c r="K327" s="10">
        <f>IFERROR(BDP(Database!$A327&amp;" HK Equity","A/H_SHARE_CONVERSION"),"")</f>
        <v/>
      </c>
      <c r="L327" s="16">
        <f>IF(Database!BL327="","(none found)",Database!BL327)</f>
        <v/>
      </c>
      <c r="M327" s="18">
        <f>IFERROR(BDH(Database!$A327&amp;" HK Equity","CUR_MKT_CAP",Database!$H327,Database!$H327),"")</f>
        <v/>
      </c>
      <c r="N327" s="97">
        <f>Database!Q327</f>
        <v/>
      </c>
      <c r="O327" s="24">
        <f>IFERROR(BDH(Database!$A327&amp;" HK Equity","PE_RATIO",Database!$H327,Database!$H327),"")</f>
        <v/>
      </c>
      <c r="P327" s="101">
        <f>IF(Database!BF327="","(n/m or not derivable)",Database!BF327)</f>
        <v/>
      </c>
      <c r="Q327" s="24">
        <f>IF(Database!BL327="","",IFERROR(BDH(LEFT(Database!BL327,FIND(".",Database!BL327)-1)&amp;" CH Equity","PE_RATIO",Database!$H327,Database!$H327),""))</f>
        <v/>
      </c>
      <c r="R327" s="24">
        <f>IF(Database!BL327="","",IFERROR(BDH("HSAHP Index","PX_LAST",Database!$H327,Database!$H327),""))</f>
        <v/>
      </c>
      <c r="S327" s="24">
        <f>IFERROR(BDP(Database!$A327&amp;" HK Equity","PX_TO_SALES_RATIO"),"")</f>
        <v/>
      </c>
      <c r="T327" s="18">
        <f>IF(Database!BL327="","",IFERROR(BDP(LEFT(Database!BL327,FIND(".",Database!BL327)-1)&amp;" CH Equity","CUR_MKT_CAP"),""))</f>
        <v/>
      </c>
    </row>
    <row r="328">
      <c r="A328" s="16">
        <f>Database!A328&amp;"  "&amp;Database!B328</f>
        <v/>
      </c>
      <c r="B328" s="10">
        <f>IFERROR(INDEX(BDS(Database!$A328&amp;" HK Equity","EQUITY_OFFERINGS","array=t","endcol=1"),MATCH("IPO",BDS(Database!$A328&amp;" HK Equity","EQUITY_OFFERINGS","array=t","startcol=2","endcol=2"),0)),"")</f>
        <v/>
      </c>
      <c r="C328" s="103">
        <f>IF($B328="","",IFERROR(BDP($B328&amp;" Action","CP036"),""))</f>
        <v/>
      </c>
      <c r="D328" s="104">
        <f>Database!S328</f>
        <v/>
      </c>
      <c r="E328" s="103">
        <f>IF($B328="","",IFERROR(BDP($B328&amp;" Action","CP037"),""))</f>
        <v/>
      </c>
      <c r="F328" s="104">
        <f>Database!T328</f>
        <v/>
      </c>
      <c r="G328" s="103">
        <f>IF($B328="","",IFERROR(BDP($B328&amp;" Action","GREENSHOE_FACILITY"),""))</f>
        <v/>
      </c>
      <c r="H328" s="103">
        <f>IF($B328="","",IFERROR(BDP($B328&amp;" Action","OFFERING_GREENSHOE_SHARES_EX"),""))</f>
        <v/>
      </c>
      <c r="I328" s="16">
        <f>Database!AG328</f>
        <v/>
      </c>
      <c r="J328" s="24">
        <f>IFERROR(BDP(Database!$A328&amp;" HK Equity","PE_RATIO"),"")</f>
        <v/>
      </c>
      <c r="K328" s="10">
        <f>IFERROR(BDP(Database!$A328&amp;" HK Equity","A/H_SHARE_CONVERSION"),"")</f>
        <v/>
      </c>
      <c r="L328" s="16">
        <f>IF(Database!BL328="","(none found)",Database!BL328)</f>
        <v/>
      </c>
      <c r="M328" s="18">
        <f>IFERROR(BDH(Database!$A328&amp;" HK Equity","CUR_MKT_CAP",Database!$H328,Database!$H328),"")</f>
        <v/>
      </c>
      <c r="N328" s="97">
        <f>Database!Q328</f>
        <v/>
      </c>
      <c r="O328" s="24">
        <f>IFERROR(BDH(Database!$A328&amp;" HK Equity","PE_RATIO",Database!$H328,Database!$H328),"")</f>
        <v/>
      </c>
      <c r="P328" s="101">
        <f>IF(Database!BF328="","(n/m or not derivable)",Database!BF328)</f>
        <v/>
      </c>
      <c r="Q328" s="24">
        <f>IF(Database!BL328="","",IFERROR(BDH(LEFT(Database!BL328,FIND(".",Database!BL328)-1)&amp;" CH Equity","PE_RATIO",Database!$H328,Database!$H328),""))</f>
        <v/>
      </c>
      <c r="R328" s="24">
        <f>IF(Database!BL328="","",IFERROR(BDH("HSAHP Index","PX_LAST",Database!$H328,Database!$H328),""))</f>
        <v/>
      </c>
      <c r="S328" s="24">
        <f>IFERROR(BDP(Database!$A328&amp;" HK Equity","PX_TO_SALES_RATIO"),"")</f>
        <v/>
      </c>
      <c r="T328" s="18">
        <f>IF(Database!BL328="","",IFERROR(BDP(LEFT(Database!BL328,FIND(".",Database!BL328)-1)&amp;" CH Equity","CUR_MKT_CAP"),""))</f>
        <v/>
      </c>
    </row>
    <row r="329">
      <c r="A329" s="16">
        <f>Database!A329&amp;"  "&amp;Database!B329</f>
        <v/>
      </c>
      <c r="B329" s="10">
        <f>IFERROR(INDEX(BDS(Database!$A329&amp;" HK Equity","EQUITY_OFFERINGS","array=t","endcol=1"),MATCH("IPO",BDS(Database!$A329&amp;" HK Equity","EQUITY_OFFERINGS","array=t","startcol=2","endcol=2"),0)),"")</f>
        <v/>
      </c>
      <c r="C329" s="103">
        <f>IF($B329="","",IFERROR(BDP($B329&amp;" Action","CP036"),""))</f>
        <v/>
      </c>
      <c r="D329" s="104">
        <f>Database!S329</f>
        <v/>
      </c>
      <c r="E329" s="103">
        <f>IF($B329="","",IFERROR(BDP($B329&amp;" Action","CP037"),""))</f>
        <v/>
      </c>
      <c r="F329" s="104">
        <f>Database!T329</f>
        <v/>
      </c>
      <c r="G329" s="103">
        <f>IF($B329="","",IFERROR(BDP($B329&amp;" Action","GREENSHOE_FACILITY"),""))</f>
        <v/>
      </c>
      <c r="H329" s="103">
        <f>IF($B329="","",IFERROR(BDP($B329&amp;" Action","OFFERING_GREENSHOE_SHARES_EX"),""))</f>
        <v/>
      </c>
      <c r="I329" s="16">
        <f>Database!AG329</f>
        <v/>
      </c>
      <c r="J329" s="24">
        <f>IFERROR(BDP(Database!$A329&amp;" HK Equity","PE_RATIO"),"")</f>
        <v/>
      </c>
      <c r="K329" s="10">
        <f>IFERROR(BDP(Database!$A329&amp;" HK Equity","A/H_SHARE_CONVERSION"),"")</f>
        <v/>
      </c>
      <c r="L329" s="16">
        <f>IF(Database!BL329="","(none found)",Database!BL329)</f>
        <v/>
      </c>
      <c r="M329" s="18">
        <f>IFERROR(BDH(Database!$A329&amp;" HK Equity","CUR_MKT_CAP",Database!$H329,Database!$H329),"")</f>
        <v/>
      </c>
      <c r="N329" s="97">
        <f>Database!Q329</f>
        <v/>
      </c>
      <c r="O329" s="24">
        <f>IFERROR(BDH(Database!$A329&amp;" HK Equity","PE_RATIO",Database!$H329,Database!$H329),"")</f>
        <v/>
      </c>
      <c r="P329" s="101">
        <f>IF(Database!BF329="","(n/m or not derivable)",Database!BF329)</f>
        <v/>
      </c>
      <c r="Q329" s="24">
        <f>IF(Database!BL329="","",IFERROR(BDH(LEFT(Database!BL329,FIND(".",Database!BL329)-1)&amp;" CH Equity","PE_RATIO",Database!$H329,Database!$H329),""))</f>
        <v/>
      </c>
      <c r="R329" s="24">
        <f>IF(Database!BL329="","",IFERROR(BDH("HSAHP Index","PX_LAST",Database!$H329,Database!$H329),""))</f>
        <v/>
      </c>
      <c r="S329" s="24">
        <f>IFERROR(BDP(Database!$A329&amp;" HK Equity","PX_TO_SALES_RATIO"),"")</f>
        <v/>
      </c>
      <c r="T329" s="18">
        <f>IF(Database!BL329="","",IFERROR(BDP(LEFT(Database!BL329,FIND(".",Database!BL329)-1)&amp;" CH Equity","CUR_MKT_CAP"),""))</f>
        <v/>
      </c>
    </row>
    <row r="330">
      <c r="A330" s="16">
        <f>Database!A330&amp;"  "&amp;Database!B330</f>
        <v/>
      </c>
      <c r="B330" s="10">
        <f>IFERROR(INDEX(BDS(Database!$A330&amp;" HK Equity","EQUITY_OFFERINGS","array=t","endcol=1"),MATCH("IPO",BDS(Database!$A330&amp;" HK Equity","EQUITY_OFFERINGS","array=t","startcol=2","endcol=2"),0)),"")</f>
        <v/>
      </c>
      <c r="C330" s="103">
        <f>IF($B330="","",IFERROR(BDP($B330&amp;" Action","CP036"),""))</f>
        <v/>
      </c>
      <c r="D330" s="104">
        <f>Database!S330</f>
        <v/>
      </c>
      <c r="E330" s="103">
        <f>IF($B330="","",IFERROR(BDP($B330&amp;" Action","CP037"),""))</f>
        <v/>
      </c>
      <c r="F330" s="104">
        <f>Database!T330</f>
        <v/>
      </c>
      <c r="G330" s="103">
        <f>IF($B330="","",IFERROR(BDP($B330&amp;" Action","GREENSHOE_FACILITY"),""))</f>
        <v/>
      </c>
      <c r="H330" s="103">
        <f>IF($B330="","",IFERROR(BDP($B330&amp;" Action","OFFERING_GREENSHOE_SHARES_EX"),""))</f>
        <v/>
      </c>
      <c r="I330" s="16">
        <f>Database!AG330</f>
        <v/>
      </c>
      <c r="J330" s="24">
        <f>IFERROR(BDP(Database!$A330&amp;" HK Equity","PE_RATIO"),"")</f>
        <v/>
      </c>
      <c r="K330" s="10">
        <f>IFERROR(BDP(Database!$A330&amp;" HK Equity","A/H_SHARE_CONVERSION"),"")</f>
        <v/>
      </c>
      <c r="L330" s="16">
        <f>IF(Database!BL330="","(none found)",Database!BL330)</f>
        <v/>
      </c>
      <c r="M330" s="18">
        <f>IFERROR(BDH(Database!$A330&amp;" HK Equity","CUR_MKT_CAP",Database!$H330,Database!$H330),"")</f>
        <v/>
      </c>
      <c r="N330" s="97">
        <f>Database!Q330</f>
        <v/>
      </c>
      <c r="O330" s="24">
        <f>IFERROR(BDH(Database!$A330&amp;" HK Equity","PE_RATIO",Database!$H330,Database!$H330),"")</f>
        <v/>
      </c>
      <c r="P330" s="101">
        <f>IF(Database!BF330="","(n/m or not derivable)",Database!BF330)</f>
        <v/>
      </c>
      <c r="Q330" s="24">
        <f>IF(Database!BL330="","",IFERROR(BDH(LEFT(Database!BL330,FIND(".",Database!BL330)-1)&amp;" CH Equity","PE_RATIO",Database!$H330,Database!$H330),""))</f>
        <v/>
      </c>
      <c r="R330" s="24">
        <f>IF(Database!BL330="","",IFERROR(BDH("HSAHP Index","PX_LAST",Database!$H330,Database!$H330),""))</f>
        <v/>
      </c>
      <c r="S330" s="24">
        <f>IFERROR(BDP(Database!$A330&amp;" HK Equity","PX_TO_SALES_RATIO"),"")</f>
        <v/>
      </c>
      <c r="T330" s="18">
        <f>IF(Database!BL330="","",IFERROR(BDP(LEFT(Database!BL330,FIND(".",Database!BL330)-1)&amp;" CH Equity","CUR_MKT_CAP"),""))</f>
        <v/>
      </c>
    </row>
    <row r="331">
      <c r="A331" s="16">
        <f>Database!A331&amp;"  "&amp;Database!B331</f>
        <v/>
      </c>
      <c r="B331" s="10">
        <f>IFERROR(INDEX(BDS(Database!$A331&amp;" HK Equity","EQUITY_OFFERINGS","array=t","endcol=1"),MATCH("IPO",BDS(Database!$A331&amp;" HK Equity","EQUITY_OFFERINGS","array=t","startcol=2","endcol=2"),0)),"")</f>
        <v/>
      </c>
      <c r="C331" s="103">
        <f>IF($B331="","",IFERROR(BDP($B331&amp;" Action","CP036"),""))</f>
        <v/>
      </c>
      <c r="D331" s="104">
        <f>Database!S331</f>
        <v/>
      </c>
      <c r="E331" s="103">
        <f>IF($B331="","",IFERROR(BDP($B331&amp;" Action","CP037"),""))</f>
        <v/>
      </c>
      <c r="F331" s="104">
        <f>Database!T331</f>
        <v/>
      </c>
      <c r="G331" s="103">
        <f>IF($B331="","",IFERROR(BDP($B331&amp;" Action","GREENSHOE_FACILITY"),""))</f>
        <v/>
      </c>
      <c r="H331" s="103">
        <f>IF($B331="","",IFERROR(BDP($B331&amp;" Action","OFFERING_GREENSHOE_SHARES_EX"),""))</f>
        <v/>
      </c>
      <c r="I331" s="16">
        <f>Database!AG331</f>
        <v/>
      </c>
      <c r="J331" s="24">
        <f>IFERROR(BDP(Database!$A331&amp;" HK Equity","PE_RATIO"),"")</f>
        <v/>
      </c>
      <c r="K331" s="10">
        <f>IFERROR(BDP(Database!$A331&amp;" HK Equity","A/H_SHARE_CONVERSION"),"")</f>
        <v/>
      </c>
      <c r="L331" s="16">
        <f>IF(Database!BL331="","(none found)",Database!BL331)</f>
        <v/>
      </c>
      <c r="M331" s="18">
        <f>IFERROR(BDH(Database!$A331&amp;" HK Equity","CUR_MKT_CAP",Database!$H331,Database!$H331),"")</f>
        <v/>
      </c>
      <c r="N331" s="97">
        <f>Database!Q331</f>
        <v/>
      </c>
      <c r="O331" s="24">
        <f>IFERROR(BDH(Database!$A331&amp;" HK Equity","PE_RATIO",Database!$H331,Database!$H331),"")</f>
        <v/>
      </c>
      <c r="P331" s="101">
        <f>IF(Database!BF331="","(n/m or not derivable)",Database!BF331)</f>
        <v/>
      </c>
      <c r="Q331" s="24">
        <f>IF(Database!BL331="","",IFERROR(BDH(LEFT(Database!BL331,FIND(".",Database!BL331)-1)&amp;" CH Equity","PE_RATIO",Database!$H331,Database!$H331),""))</f>
        <v/>
      </c>
      <c r="R331" s="24">
        <f>IF(Database!BL331="","",IFERROR(BDH("HSAHP Index","PX_LAST",Database!$H331,Database!$H331),""))</f>
        <v/>
      </c>
      <c r="S331" s="24">
        <f>IFERROR(BDP(Database!$A331&amp;" HK Equity","PX_TO_SALES_RATIO"),"")</f>
        <v/>
      </c>
      <c r="T331" s="18">
        <f>IF(Database!BL331="","",IFERROR(BDP(LEFT(Database!BL331,FIND(".",Database!BL331)-1)&amp;" CH Equity","CUR_MKT_CAP"),""))</f>
        <v/>
      </c>
    </row>
    <row r="332">
      <c r="A332" s="16">
        <f>Database!A332&amp;"  "&amp;Database!B332</f>
        <v/>
      </c>
      <c r="B332" s="10">
        <f>IFERROR(INDEX(BDS(Database!$A332&amp;" HK Equity","EQUITY_OFFERINGS","array=t","endcol=1"),MATCH("IPO",BDS(Database!$A332&amp;" HK Equity","EQUITY_OFFERINGS","array=t","startcol=2","endcol=2"),0)),"")</f>
        <v/>
      </c>
      <c r="C332" s="103">
        <f>IF($B332="","",IFERROR(BDP($B332&amp;" Action","CP036"),""))</f>
        <v/>
      </c>
      <c r="D332" s="104">
        <f>Database!S332</f>
        <v/>
      </c>
      <c r="E332" s="103">
        <f>IF($B332="","",IFERROR(BDP($B332&amp;" Action","CP037"),""))</f>
        <v/>
      </c>
      <c r="F332" s="104">
        <f>Database!T332</f>
        <v/>
      </c>
      <c r="G332" s="103">
        <f>IF($B332="","",IFERROR(BDP($B332&amp;" Action","GREENSHOE_FACILITY"),""))</f>
        <v/>
      </c>
      <c r="H332" s="103">
        <f>IF($B332="","",IFERROR(BDP($B332&amp;" Action","OFFERING_GREENSHOE_SHARES_EX"),""))</f>
        <v/>
      </c>
      <c r="I332" s="16">
        <f>Database!AG332</f>
        <v/>
      </c>
      <c r="J332" s="24">
        <f>IFERROR(BDP(Database!$A332&amp;" HK Equity","PE_RATIO"),"")</f>
        <v/>
      </c>
      <c r="K332" s="10">
        <f>IFERROR(BDP(Database!$A332&amp;" HK Equity","A/H_SHARE_CONVERSION"),"")</f>
        <v/>
      </c>
      <c r="L332" s="16">
        <f>IF(Database!BL332="","(none found)",Database!BL332)</f>
        <v/>
      </c>
      <c r="M332" s="18">
        <f>IFERROR(BDH(Database!$A332&amp;" HK Equity","CUR_MKT_CAP",Database!$H332,Database!$H332),"")</f>
        <v/>
      </c>
      <c r="N332" s="97">
        <f>Database!Q332</f>
        <v/>
      </c>
      <c r="O332" s="24">
        <f>IFERROR(BDH(Database!$A332&amp;" HK Equity","PE_RATIO",Database!$H332,Database!$H332),"")</f>
        <v/>
      </c>
      <c r="P332" s="101">
        <f>IF(Database!BF332="","(n/m or not derivable)",Database!BF332)</f>
        <v/>
      </c>
      <c r="Q332" s="24">
        <f>IF(Database!BL332="","",IFERROR(BDH(LEFT(Database!BL332,FIND(".",Database!BL332)-1)&amp;" CH Equity","PE_RATIO",Database!$H332,Database!$H332),""))</f>
        <v/>
      </c>
      <c r="R332" s="24">
        <f>IF(Database!BL332="","",IFERROR(BDH("HSAHP Index","PX_LAST",Database!$H332,Database!$H332),""))</f>
        <v/>
      </c>
      <c r="S332" s="24">
        <f>IFERROR(BDP(Database!$A332&amp;" HK Equity","PX_TO_SALES_RATIO"),"")</f>
        <v/>
      </c>
      <c r="T332" s="18">
        <f>IF(Database!BL332="","",IFERROR(BDP(LEFT(Database!BL332,FIND(".",Database!BL332)-1)&amp;" CH Equity","CUR_MKT_CAP"),""))</f>
        <v/>
      </c>
    </row>
    <row r="333">
      <c r="A333" s="16">
        <f>Database!A333&amp;"  "&amp;Database!B333</f>
        <v/>
      </c>
      <c r="B333" s="10">
        <f>IFERROR(INDEX(BDS(Database!$A333&amp;" HK Equity","EQUITY_OFFERINGS","array=t","endcol=1"),MATCH("IPO",BDS(Database!$A333&amp;" HK Equity","EQUITY_OFFERINGS","array=t","startcol=2","endcol=2"),0)),"")</f>
        <v/>
      </c>
      <c r="C333" s="103">
        <f>IF($B333="","",IFERROR(BDP($B333&amp;" Action","CP036"),""))</f>
        <v/>
      </c>
      <c r="D333" s="104">
        <f>Database!S333</f>
        <v/>
      </c>
      <c r="E333" s="103">
        <f>IF($B333="","",IFERROR(BDP($B333&amp;" Action","CP037"),""))</f>
        <v/>
      </c>
      <c r="F333" s="104">
        <f>Database!T333</f>
        <v/>
      </c>
      <c r="G333" s="103">
        <f>IF($B333="","",IFERROR(BDP($B333&amp;" Action","GREENSHOE_FACILITY"),""))</f>
        <v/>
      </c>
      <c r="H333" s="103">
        <f>IF($B333="","",IFERROR(BDP($B333&amp;" Action","OFFERING_GREENSHOE_SHARES_EX"),""))</f>
        <v/>
      </c>
      <c r="I333" s="16">
        <f>Database!AG333</f>
        <v/>
      </c>
      <c r="J333" s="24">
        <f>IFERROR(BDP(Database!$A333&amp;" HK Equity","PE_RATIO"),"")</f>
        <v/>
      </c>
      <c r="K333" s="10">
        <f>IFERROR(BDP(Database!$A333&amp;" HK Equity","A/H_SHARE_CONVERSION"),"")</f>
        <v/>
      </c>
      <c r="L333" s="16">
        <f>IF(Database!BL333="","(none found)",Database!BL333)</f>
        <v/>
      </c>
      <c r="M333" s="18">
        <f>IFERROR(BDH(Database!$A333&amp;" HK Equity","CUR_MKT_CAP",Database!$H333,Database!$H333),"")</f>
        <v/>
      </c>
      <c r="N333" s="97">
        <f>Database!Q333</f>
        <v/>
      </c>
      <c r="O333" s="24">
        <f>IFERROR(BDH(Database!$A333&amp;" HK Equity","PE_RATIO",Database!$H333,Database!$H333),"")</f>
        <v/>
      </c>
      <c r="P333" s="101">
        <f>IF(Database!BF333="","(n/m or not derivable)",Database!BF333)</f>
        <v/>
      </c>
      <c r="Q333" s="24">
        <f>IF(Database!BL333="","",IFERROR(BDH(LEFT(Database!BL333,FIND(".",Database!BL333)-1)&amp;" CH Equity","PE_RATIO",Database!$H333,Database!$H333),""))</f>
        <v/>
      </c>
      <c r="R333" s="24">
        <f>IF(Database!BL333="","",IFERROR(BDH("HSAHP Index","PX_LAST",Database!$H333,Database!$H333),""))</f>
        <v/>
      </c>
      <c r="S333" s="24">
        <f>IFERROR(BDP(Database!$A333&amp;" HK Equity","PX_TO_SALES_RATIO"),"")</f>
        <v/>
      </c>
      <c r="T333" s="18">
        <f>IF(Database!BL333="","",IFERROR(BDP(LEFT(Database!BL333,FIND(".",Database!BL333)-1)&amp;" CH Equity","CUR_MKT_CAP"),""))</f>
        <v/>
      </c>
    </row>
    <row r="334">
      <c r="A334" s="16">
        <f>Database!A334&amp;"  "&amp;Database!B334</f>
        <v/>
      </c>
      <c r="B334" s="10">
        <f>IFERROR(INDEX(BDS(Database!$A334&amp;" HK Equity","EQUITY_OFFERINGS","array=t","endcol=1"),MATCH("IPO",BDS(Database!$A334&amp;" HK Equity","EQUITY_OFFERINGS","array=t","startcol=2","endcol=2"),0)),"")</f>
        <v/>
      </c>
      <c r="C334" s="103">
        <f>IF($B334="","",IFERROR(BDP($B334&amp;" Action","CP036"),""))</f>
        <v/>
      </c>
      <c r="D334" s="104">
        <f>Database!S334</f>
        <v/>
      </c>
      <c r="E334" s="103">
        <f>IF($B334="","",IFERROR(BDP($B334&amp;" Action","CP037"),""))</f>
        <v/>
      </c>
      <c r="F334" s="104">
        <f>Database!T334</f>
        <v/>
      </c>
      <c r="G334" s="103">
        <f>IF($B334="","",IFERROR(BDP($B334&amp;" Action","GREENSHOE_FACILITY"),""))</f>
        <v/>
      </c>
      <c r="H334" s="103">
        <f>IF($B334="","",IFERROR(BDP($B334&amp;" Action","OFFERING_GREENSHOE_SHARES_EX"),""))</f>
        <v/>
      </c>
      <c r="I334" s="16">
        <f>Database!AG334</f>
        <v/>
      </c>
      <c r="J334" s="24">
        <f>IFERROR(BDP(Database!$A334&amp;" HK Equity","PE_RATIO"),"")</f>
        <v/>
      </c>
      <c r="K334" s="10">
        <f>IFERROR(BDP(Database!$A334&amp;" HK Equity","A/H_SHARE_CONVERSION"),"")</f>
        <v/>
      </c>
      <c r="L334" s="16">
        <f>IF(Database!BL334="","(none found)",Database!BL334)</f>
        <v/>
      </c>
      <c r="M334" s="18">
        <f>IFERROR(BDH(Database!$A334&amp;" HK Equity","CUR_MKT_CAP",Database!$H334,Database!$H334),"")</f>
        <v/>
      </c>
      <c r="N334" s="97">
        <f>Database!Q334</f>
        <v/>
      </c>
      <c r="O334" s="24">
        <f>IFERROR(BDH(Database!$A334&amp;" HK Equity","PE_RATIO",Database!$H334,Database!$H334),"")</f>
        <v/>
      </c>
      <c r="P334" s="101">
        <f>IF(Database!BF334="","(n/m or not derivable)",Database!BF334)</f>
        <v/>
      </c>
      <c r="Q334" s="24">
        <f>IF(Database!BL334="","",IFERROR(BDH(LEFT(Database!BL334,FIND(".",Database!BL334)-1)&amp;" CH Equity","PE_RATIO",Database!$H334,Database!$H334),""))</f>
        <v/>
      </c>
      <c r="R334" s="24">
        <f>IF(Database!BL334="","",IFERROR(BDH("HSAHP Index","PX_LAST",Database!$H334,Database!$H334),""))</f>
        <v/>
      </c>
      <c r="S334" s="24">
        <f>IFERROR(BDP(Database!$A334&amp;" HK Equity","PX_TO_SALES_RATIO"),"")</f>
        <v/>
      </c>
      <c r="T334" s="18">
        <f>IF(Database!BL334="","",IFERROR(BDP(LEFT(Database!BL334,FIND(".",Database!BL334)-1)&amp;" CH Equity","CUR_MKT_CAP"),""))</f>
        <v/>
      </c>
    </row>
    <row r="335">
      <c r="A335" s="16">
        <f>Database!A335&amp;"  "&amp;Database!B335</f>
        <v/>
      </c>
      <c r="B335" s="10">
        <f>IFERROR(INDEX(BDS(Database!$A335&amp;" HK Equity","EQUITY_OFFERINGS","array=t","endcol=1"),MATCH("IPO",BDS(Database!$A335&amp;" HK Equity","EQUITY_OFFERINGS","array=t","startcol=2","endcol=2"),0)),"")</f>
        <v/>
      </c>
      <c r="C335" s="103">
        <f>IF($B335="","",IFERROR(BDP($B335&amp;" Action","CP036"),""))</f>
        <v/>
      </c>
      <c r="D335" s="104">
        <f>Database!S335</f>
        <v/>
      </c>
      <c r="E335" s="103">
        <f>IF($B335="","",IFERROR(BDP($B335&amp;" Action","CP037"),""))</f>
        <v/>
      </c>
      <c r="F335" s="104">
        <f>Database!T335</f>
        <v/>
      </c>
      <c r="G335" s="103">
        <f>IF($B335="","",IFERROR(BDP($B335&amp;" Action","GREENSHOE_FACILITY"),""))</f>
        <v/>
      </c>
      <c r="H335" s="103">
        <f>IF($B335="","",IFERROR(BDP($B335&amp;" Action","OFFERING_GREENSHOE_SHARES_EX"),""))</f>
        <v/>
      </c>
      <c r="I335" s="16">
        <f>Database!AG335</f>
        <v/>
      </c>
      <c r="J335" s="24">
        <f>IFERROR(BDP(Database!$A335&amp;" HK Equity","PE_RATIO"),"")</f>
        <v/>
      </c>
      <c r="K335" s="10">
        <f>IFERROR(BDP(Database!$A335&amp;" HK Equity","A/H_SHARE_CONVERSION"),"")</f>
        <v/>
      </c>
      <c r="L335" s="16">
        <f>IF(Database!BL335="","(none found)",Database!BL335)</f>
        <v/>
      </c>
      <c r="M335" s="18">
        <f>IFERROR(BDH(Database!$A335&amp;" HK Equity","CUR_MKT_CAP",Database!$H335,Database!$H335),"")</f>
        <v/>
      </c>
      <c r="N335" s="97">
        <f>Database!Q335</f>
        <v/>
      </c>
      <c r="O335" s="24">
        <f>IFERROR(BDH(Database!$A335&amp;" HK Equity","PE_RATIO",Database!$H335,Database!$H335),"")</f>
        <v/>
      </c>
      <c r="P335" s="101">
        <f>IF(Database!BF335="","(n/m or not derivable)",Database!BF335)</f>
        <v/>
      </c>
      <c r="Q335" s="24">
        <f>IF(Database!BL335="","",IFERROR(BDH(LEFT(Database!BL335,FIND(".",Database!BL335)-1)&amp;" CH Equity","PE_RATIO",Database!$H335,Database!$H335),""))</f>
        <v/>
      </c>
      <c r="R335" s="24">
        <f>IF(Database!BL335="","",IFERROR(BDH("HSAHP Index","PX_LAST",Database!$H335,Database!$H335),""))</f>
        <v/>
      </c>
      <c r="S335" s="24">
        <f>IFERROR(BDP(Database!$A335&amp;" HK Equity","PX_TO_SALES_RATIO"),"")</f>
        <v/>
      </c>
      <c r="T335" s="18">
        <f>IF(Database!BL335="","",IFERROR(BDP(LEFT(Database!BL335,FIND(".",Database!BL335)-1)&amp;" CH Equity","CUR_MKT_CAP"),""))</f>
        <v/>
      </c>
    </row>
    <row r="336">
      <c r="A336" s="16">
        <f>Database!A336&amp;"  "&amp;Database!B336</f>
        <v/>
      </c>
      <c r="B336" s="10">
        <f>IFERROR(INDEX(BDS(Database!$A336&amp;" HK Equity","EQUITY_OFFERINGS","array=t","endcol=1"),MATCH("IPO",BDS(Database!$A336&amp;" HK Equity","EQUITY_OFFERINGS","array=t","startcol=2","endcol=2"),0)),"")</f>
        <v/>
      </c>
      <c r="C336" s="103">
        <f>IF($B336="","",IFERROR(BDP($B336&amp;" Action","CP036"),""))</f>
        <v/>
      </c>
      <c r="D336" s="104">
        <f>Database!S336</f>
        <v/>
      </c>
      <c r="E336" s="103">
        <f>IF($B336="","",IFERROR(BDP($B336&amp;" Action","CP037"),""))</f>
        <v/>
      </c>
      <c r="F336" s="104">
        <f>Database!T336</f>
        <v/>
      </c>
      <c r="G336" s="103">
        <f>IF($B336="","",IFERROR(BDP($B336&amp;" Action","GREENSHOE_FACILITY"),""))</f>
        <v/>
      </c>
      <c r="H336" s="103">
        <f>IF($B336="","",IFERROR(BDP($B336&amp;" Action","OFFERING_GREENSHOE_SHARES_EX"),""))</f>
        <v/>
      </c>
      <c r="I336" s="16">
        <f>Database!AG336</f>
        <v/>
      </c>
      <c r="J336" s="24">
        <f>IFERROR(BDP(Database!$A336&amp;" HK Equity","PE_RATIO"),"")</f>
        <v/>
      </c>
      <c r="K336" s="10">
        <f>IFERROR(BDP(Database!$A336&amp;" HK Equity","A/H_SHARE_CONVERSION"),"")</f>
        <v/>
      </c>
      <c r="L336" s="16">
        <f>IF(Database!BL336="","(none found)",Database!BL336)</f>
        <v/>
      </c>
      <c r="M336" s="18">
        <f>IFERROR(BDH(Database!$A336&amp;" HK Equity","CUR_MKT_CAP",Database!$H336,Database!$H336),"")</f>
        <v/>
      </c>
      <c r="N336" s="97">
        <f>Database!Q336</f>
        <v/>
      </c>
      <c r="O336" s="24">
        <f>IFERROR(BDH(Database!$A336&amp;" HK Equity","PE_RATIO",Database!$H336,Database!$H336),"")</f>
        <v/>
      </c>
      <c r="P336" s="101">
        <f>IF(Database!BF336="","(n/m or not derivable)",Database!BF336)</f>
        <v/>
      </c>
      <c r="Q336" s="24">
        <f>IF(Database!BL336="","",IFERROR(BDH(LEFT(Database!BL336,FIND(".",Database!BL336)-1)&amp;" CH Equity","PE_RATIO",Database!$H336,Database!$H336),""))</f>
        <v/>
      </c>
      <c r="R336" s="24">
        <f>IF(Database!BL336="","",IFERROR(BDH("HSAHP Index","PX_LAST",Database!$H336,Database!$H336),""))</f>
        <v/>
      </c>
      <c r="S336" s="24">
        <f>IFERROR(BDP(Database!$A336&amp;" HK Equity","PX_TO_SALES_RATIO"),"")</f>
        <v/>
      </c>
      <c r="T336" s="18">
        <f>IF(Database!BL336="","",IFERROR(BDP(LEFT(Database!BL336,FIND(".",Database!BL336)-1)&amp;" CH Equity","CUR_MKT_CAP"),""))</f>
        <v/>
      </c>
    </row>
    <row r="337">
      <c r="A337" s="16">
        <f>Database!A337&amp;"  "&amp;Database!B337</f>
        <v/>
      </c>
      <c r="B337" s="10">
        <f>IFERROR(INDEX(BDS(Database!$A337&amp;" HK Equity","EQUITY_OFFERINGS","array=t","endcol=1"),MATCH("IPO",BDS(Database!$A337&amp;" HK Equity","EQUITY_OFFERINGS","array=t","startcol=2","endcol=2"),0)),"")</f>
        <v/>
      </c>
      <c r="C337" s="103">
        <f>IF($B337="","",IFERROR(BDP($B337&amp;" Action","CP036"),""))</f>
        <v/>
      </c>
      <c r="D337" s="104">
        <f>Database!S337</f>
        <v/>
      </c>
      <c r="E337" s="103">
        <f>IF($B337="","",IFERROR(BDP($B337&amp;" Action","CP037"),""))</f>
        <v/>
      </c>
      <c r="F337" s="104">
        <f>Database!T337</f>
        <v/>
      </c>
      <c r="G337" s="103">
        <f>IF($B337="","",IFERROR(BDP($B337&amp;" Action","GREENSHOE_FACILITY"),""))</f>
        <v/>
      </c>
      <c r="H337" s="103">
        <f>IF($B337="","",IFERROR(BDP($B337&amp;" Action","OFFERING_GREENSHOE_SHARES_EX"),""))</f>
        <v/>
      </c>
      <c r="I337" s="16">
        <f>Database!AG337</f>
        <v/>
      </c>
      <c r="J337" s="24">
        <f>IFERROR(BDP(Database!$A337&amp;" HK Equity","PE_RATIO"),"")</f>
        <v/>
      </c>
      <c r="K337" s="10">
        <f>IFERROR(BDP(Database!$A337&amp;" HK Equity","A/H_SHARE_CONVERSION"),"")</f>
        <v/>
      </c>
      <c r="L337" s="16">
        <f>IF(Database!BL337="","(none found)",Database!BL337)</f>
        <v/>
      </c>
      <c r="M337" s="18">
        <f>IFERROR(BDH(Database!$A337&amp;" HK Equity","CUR_MKT_CAP",Database!$H337,Database!$H337),"")</f>
        <v/>
      </c>
      <c r="N337" s="97">
        <f>Database!Q337</f>
        <v/>
      </c>
      <c r="O337" s="24">
        <f>IFERROR(BDH(Database!$A337&amp;" HK Equity","PE_RATIO",Database!$H337,Database!$H337),"")</f>
        <v/>
      </c>
      <c r="P337" s="101">
        <f>IF(Database!BF337="","(n/m or not derivable)",Database!BF337)</f>
        <v/>
      </c>
      <c r="Q337" s="24">
        <f>IF(Database!BL337="","",IFERROR(BDH(LEFT(Database!BL337,FIND(".",Database!BL337)-1)&amp;" CH Equity","PE_RATIO",Database!$H337,Database!$H337),""))</f>
        <v/>
      </c>
      <c r="R337" s="24">
        <f>IF(Database!BL337="","",IFERROR(BDH("HSAHP Index","PX_LAST",Database!$H337,Database!$H337),""))</f>
        <v/>
      </c>
      <c r="S337" s="24">
        <f>IFERROR(BDP(Database!$A337&amp;" HK Equity","PX_TO_SALES_RATIO"),"")</f>
        <v/>
      </c>
      <c r="T337" s="18">
        <f>IF(Database!BL337="","",IFERROR(BDP(LEFT(Database!BL337,FIND(".",Database!BL337)-1)&amp;" CH Equity","CUR_MKT_CAP"),""))</f>
        <v/>
      </c>
    </row>
    <row r="338">
      <c r="A338" s="16">
        <f>Database!A338&amp;"  "&amp;Database!B338</f>
        <v/>
      </c>
      <c r="B338" s="10">
        <f>IFERROR(INDEX(BDS(Database!$A338&amp;" HK Equity","EQUITY_OFFERINGS","array=t","endcol=1"),MATCH("IPO",BDS(Database!$A338&amp;" HK Equity","EQUITY_OFFERINGS","array=t","startcol=2","endcol=2"),0)),"")</f>
        <v/>
      </c>
      <c r="C338" s="103">
        <f>IF($B338="","",IFERROR(BDP($B338&amp;" Action","CP036"),""))</f>
        <v/>
      </c>
      <c r="D338" s="104">
        <f>Database!S338</f>
        <v/>
      </c>
      <c r="E338" s="103">
        <f>IF($B338="","",IFERROR(BDP($B338&amp;" Action","CP037"),""))</f>
        <v/>
      </c>
      <c r="F338" s="104">
        <f>Database!T338</f>
        <v/>
      </c>
      <c r="G338" s="103">
        <f>IF($B338="","",IFERROR(BDP($B338&amp;" Action","GREENSHOE_FACILITY"),""))</f>
        <v/>
      </c>
      <c r="H338" s="103">
        <f>IF($B338="","",IFERROR(BDP($B338&amp;" Action","OFFERING_GREENSHOE_SHARES_EX"),""))</f>
        <v/>
      </c>
      <c r="I338" s="16">
        <f>Database!AG338</f>
        <v/>
      </c>
      <c r="J338" s="24">
        <f>IFERROR(BDP(Database!$A338&amp;" HK Equity","PE_RATIO"),"")</f>
        <v/>
      </c>
      <c r="K338" s="10">
        <f>IFERROR(BDP(Database!$A338&amp;" HK Equity","A/H_SHARE_CONVERSION"),"")</f>
        <v/>
      </c>
      <c r="L338" s="16">
        <f>IF(Database!BL338="","(none found)",Database!BL338)</f>
        <v/>
      </c>
      <c r="M338" s="18">
        <f>IFERROR(BDH(Database!$A338&amp;" HK Equity","CUR_MKT_CAP",Database!$H338,Database!$H338),"")</f>
        <v/>
      </c>
      <c r="N338" s="97">
        <f>Database!Q338</f>
        <v/>
      </c>
      <c r="O338" s="24">
        <f>IFERROR(BDH(Database!$A338&amp;" HK Equity","PE_RATIO",Database!$H338,Database!$H338),"")</f>
        <v/>
      </c>
      <c r="P338" s="101">
        <f>IF(Database!BF338="","(n/m or not derivable)",Database!BF338)</f>
        <v/>
      </c>
      <c r="Q338" s="24">
        <f>IF(Database!BL338="","",IFERROR(BDH(LEFT(Database!BL338,FIND(".",Database!BL338)-1)&amp;" CH Equity","PE_RATIO",Database!$H338,Database!$H338),""))</f>
        <v/>
      </c>
      <c r="R338" s="24">
        <f>IF(Database!BL338="","",IFERROR(BDH("HSAHP Index","PX_LAST",Database!$H338,Database!$H338),""))</f>
        <v/>
      </c>
      <c r="S338" s="24">
        <f>IFERROR(BDP(Database!$A338&amp;" HK Equity","PX_TO_SALES_RATIO"),"")</f>
        <v/>
      </c>
      <c r="T338" s="18">
        <f>IF(Database!BL338="","",IFERROR(BDP(LEFT(Database!BL338,FIND(".",Database!BL338)-1)&amp;" CH Equity","CUR_MKT_CAP"),""))</f>
        <v/>
      </c>
    </row>
    <row r="339">
      <c r="A339" s="16">
        <f>Database!A339&amp;"  "&amp;Database!B339</f>
        <v/>
      </c>
      <c r="B339" s="10">
        <f>IFERROR(INDEX(BDS(Database!$A339&amp;" HK Equity","EQUITY_OFFERINGS","array=t","endcol=1"),MATCH("IPO",BDS(Database!$A339&amp;" HK Equity","EQUITY_OFFERINGS","array=t","startcol=2","endcol=2"),0)),"")</f>
        <v/>
      </c>
      <c r="C339" s="103">
        <f>IF($B339="","",IFERROR(BDP($B339&amp;" Action","CP036"),""))</f>
        <v/>
      </c>
      <c r="D339" s="104">
        <f>Database!S339</f>
        <v/>
      </c>
      <c r="E339" s="103">
        <f>IF($B339="","",IFERROR(BDP($B339&amp;" Action","CP037"),""))</f>
        <v/>
      </c>
      <c r="F339" s="104">
        <f>Database!T339</f>
        <v/>
      </c>
      <c r="G339" s="103">
        <f>IF($B339="","",IFERROR(BDP($B339&amp;" Action","GREENSHOE_FACILITY"),""))</f>
        <v/>
      </c>
      <c r="H339" s="103">
        <f>IF($B339="","",IFERROR(BDP($B339&amp;" Action","OFFERING_GREENSHOE_SHARES_EX"),""))</f>
        <v/>
      </c>
      <c r="I339" s="16">
        <f>Database!AG339</f>
        <v/>
      </c>
      <c r="J339" s="24">
        <f>IFERROR(BDP(Database!$A339&amp;" HK Equity","PE_RATIO"),"")</f>
        <v/>
      </c>
      <c r="K339" s="10">
        <f>IFERROR(BDP(Database!$A339&amp;" HK Equity","A/H_SHARE_CONVERSION"),"")</f>
        <v/>
      </c>
      <c r="L339" s="16">
        <f>IF(Database!BL339="","(none found)",Database!BL339)</f>
        <v/>
      </c>
      <c r="M339" s="18">
        <f>IFERROR(BDH(Database!$A339&amp;" HK Equity","CUR_MKT_CAP",Database!$H339,Database!$H339),"")</f>
        <v/>
      </c>
      <c r="N339" s="97">
        <f>Database!Q339</f>
        <v/>
      </c>
      <c r="O339" s="24">
        <f>IFERROR(BDH(Database!$A339&amp;" HK Equity","PE_RATIO",Database!$H339,Database!$H339),"")</f>
        <v/>
      </c>
      <c r="P339" s="101">
        <f>IF(Database!BF339="","(n/m or not derivable)",Database!BF339)</f>
        <v/>
      </c>
      <c r="Q339" s="24">
        <f>IF(Database!BL339="","",IFERROR(BDH(LEFT(Database!BL339,FIND(".",Database!BL339)-1)&amp;" CH Equity","PE_RATIO",Database!$H339,Database!$H339),""))</f>
        <v/>
      </c>
      <c r="R339" s="24">
        <f>IF(Database!BL339="","",IFERROR(BDH("HSAHP Index","PX_LAST",Database!$H339,Database!$H339),""))</f>
        <v/>
      </c>
      <c r="S339" s="24">
        <f>IFERROR(BDP(Database!$A339&amp;" HK Equity","PX_TO_SALES_RATIO"),"")</f>
        <v/>
      </c>
      <c r="T339" s="18">
        <f>IF(Database!BL339="","",IFERROR(BDP(LEFT(Database!BL339,FIND(".",Database!BL339)-1)&amp;" CH Equity","CUR_MKT_CAP"),""))</f>
        <v/>
      </c>
    </row>
    <row r="340">
      <c r="A340" s="16">
        <f>Database!A340&amp;"  "&amp;Database!B340</f>
        <v/>
      </c>
      <c r="B340" s="10">
        <f>IFERROR(INDEX(BDS(Database!$A340&amp;" HK Equity","EQUITY_OFFERINGS","array=t","endcol=1"),MATCH("IPO",BDS(Database!$A340&amp;" HK Equity","EQUITY_OFFERINGS","array=t","startcol=2","endcol=2"),0)),"")</f>
        <v/>
      </c>
      <c r="C340" s="103">
        <f>IF($B340="","",IFERROR(BDP($B340&amp;" Action","CP036"),""))</f>
        <v/>
      </c>
      <c r="D340" s="104">
        <f>Database!S340</f>
        <v/>
      </c>
      <c r="E340" s="103">
        <f>IF($B340="","",IFERROR(BDP($B340&amp;" Action","CP037"),""))</f>
        <v/>
      </c>
      <c r="F340" s="104">
        <f>Database!T340</f>
        <v/>
      </c>
      <c r="G340" s="103">
        <f>IF($B340="","",IFERROR(BDP($B340&amp;" Action","GREENSHOE_FACILITY"),""))</f>
        <v/>
      </c>
      <c r="H340" s="103">
        <f>IF($B340="","",IFERROR(BDP($B340&amp;" Action","OFFERING_GREENSHOE_SHARES_EX"),""))</f>
        <v/>
      </c>
      <c r="I340" s="16">
        <f>Database!AG340</f>
        <v/>
      </c>
      <c r="J340" s="24">
        <f>IFERROR(BDP(Database!$A340&amp;" HK Equity","PE_RATIO"),"")</f>
        <v/>
      </c>
      <c r="K340" s="10">
        <f>IFERROR(BDP(Database!$A340&amp;" HK Equity","A/H_SHARE_CONVERSION"),"")</f>
        <v/>
      </c>
      <c r="L340" s="16">
        <f>IF(Database!BL340="","(none found)",Database!BL340)</f>
        <v/>
      </c>
      <c r="M340" s="18">
        <f>IFERROR(BDH(Database!$A340&amp;" HK Equity","CUR_MKT_CAP",Database!$H340,Database!$H340),"")</f>
        <v/>
      </c>
      <c r="N340" s="97">
        <f>Database!Q340</f>
        <v/>
      </c>
      <c r="O340" s="24">
        <f>IFERROR(BDH(Database!$A340&amp;" HK Equity","PE_RATIO",Database!$H340,Database!$H340),"")</f>
        <v/>
      </c>
      <c r="P340" s="101">
        <f>IF(Database!BF340="","(n/m or not derivable)",Database!BF340)</f>
        <v/>
      </c>
      <c r="Q340" s="24">
        <f>IF(Database!BL340="","",IFERROR(BDH(LEFT(Database!BL340,FIND(".",Database!BL340)-1)&amp;" CH Equity","PE_RATIO",Database!$H340,Database!$H340),""))</f>
        <v/>
      </c>
      <c r="R340" s="24">
        <f>IF(Database!BL340="","",IFERROR(BDH("HSAHP Index","PX_LAST",Database!$H340,Database!$H340),""))</f>
        <v/>
      </c>
      <c r="S340" s="24">
        <f>IFERROR(BDP(Database!$A340&amp;" HK Equity","PX_TO_SALES_RATIO"),"")</f>
        <v/>
      </c>
      <c r="T340" s="18">
        <f>IF(Database!BL340="","",IFERROR(BDP(LEFT(Database!BL340,FIND(".",Database!BL340)-1)&amp;" CH Equity","CUR_MKT_CAP"),""))</f>
        <v/>
      </c>
    </row>
    <row r="341">
      <c r="A341" s="16">
        <f>Database!A341&amp;"  "&amp;Database!B341</f>
        <v/>
      </c>
      <c r="B341" s="10">
        <f>IFERROR(INDEX(BDS(Database!$A341&amp;" HK Equity","EQUITY_OFFERINGS","array=t","endcol=1"),MATCH("IPO",BDS(Database!$A341&amp;" HK Equity","EQUITY_OFFERINGS","array=t","startcol=2","endcol=2"),0)),"")</f>
        <v/>
      </c>
      <c r="C341" s="103">
        <f>IF($B341="","",IFERROR(BDP($B341&amp;" Action","CP036"),""))</f>
        <v/>
      </c>
      <c r="D341" s="104">
        <f>Database!S341</f>
        <v/>
      </c>
      <c r="E341" s="103">
        <f>IF($B341="","",IFERROR(BDP($B341&amp;" Action","CP037"),""))</f>
        <v/>
      </c>
      <c r="F341" s="104">
        <f>Database!T341</f>
        <v/>
      </c>
      <c r="G341" s="103">
        <f>IF($B341="","",IFERROR(BDP($B341&amp;" Action","GREENSHOE_FACILITY"),""))</f>
        <v/>
      </c>
      <c r="H341" s="103">
        <f>IF($B341="","",IFERROR(BDP($B341&amp;" Action","OFFERING_GREENSHOE_SHARES_EX"),""))</f>
        <v/>
      </c>
      <c r="I341" s="16">
        <f>Database!AG341</f>
        <v/>
      </c>
      <c r="J341" s="24">
        <f>IFERROR(BDP(Database!$A341&amp;" HK Equity","PE_RATIO"),"")</f>
        <v/>
      </c>
      <c r="K341" s="10">
        <f>IFERROR(BDP(Database!$A341&amp;" HK Equity","A/H_SHARE_CONVERSION"),"")</f>
        <v/>
      </c>
      <c r="L341" s="16">
        <f>IF(Database!BL341="","(none found)",Database!BL341)</f>
        <v/>
      </c>
      <c r="M341" s="18">
        <f>IFERROR(BDH(Database!$A341&amp;" HK Equity","CUR_MKT_CAP",Database!$H341,Database!$H341),"")</f>
        <v/>
      </c>
      <c r="N341" s="97">
        <f>Database!Q341</f>
        <v/>
      </c>
      <c r="O341" s="24">
        <f>IFERROR(BDH(Database!$A341&amp;" HK Equity","PE_RATIO",Database!$H341,Database!$H341),"")</f>
        <v/>
      </c>
      <c r="P341" s="101">
        <f>IF(Database!BF341="","(n/m or not derivable)",Database!BF341)</f>
        <v/>
      </c>
      <c r="Q341" s="24">
        <f>IF(Database!BL341="","",IFERROR(BDH(LEFT(Database!BL341,FIND(".",Database!BL341)-1)&amp;" CH Equity","PE_RATIO",Database!$H341,Database!$H341),""))</f>
        <v/>
      </c>
      <c r="R341" s="24">
        <f>IF(Database!BL341="","",IFERROR(BDH("HSAHP Index","PX_LAST",Database!$H341,Database!$H341),""))</f>
        <v/>
      </c>
      <c r="S341" s="24">
        <f>IFERROR(BDP(Database!$A341&amp;" HK Equity","PX_TO_SALES_RATIO"),"")</f>
        <v/>
      </c>
      <c r="T341" s="18">
        <f>IF(Database!BL341="","",IFERROR(BDP(LEFT(Database!BL341,FIND(".",Database!BL341)-1)&amp;" CH Equity","CUR_MKT_CAP"),""))</f>
        <v/>
      </c>
    </row>
    <row r="342">
      <c r="A342" s="16">
        <f>Database!A342&amp;"  "&amp;Database!B342</f>
        <v/>
      </c>
      <c r="B342" s="10">
        <f>IFERROR(INDEX(BDS(Database!$A342&amp;" HK Equity","EQUITY_OFFERINGS","array=t","endcol=1"),MATCH("IPO",BDS(Database!$A342&amp;" HK Equity","EQUITY_OFFERINGS","array=t","startcol=2","endcol=2"),0)),"")</f>
        <v/>
      </c>
      <c r="C342" s="103">
        <f>IF($B342="","",IFERROR(BDP($B342&amp;" Action","CP036"),""))</f>
        <v/>
      </c>
      <c r="D342" s="104">
        <f>Database!S342</f>
        <v/>
      </c>
      <c r="E342" s="103">
        <f>IF($B342="","",IFERROR(BDP($B342&amp;" Action","CP037"),""))</f>
        <v/>
      </c>
      <c r="F342" s="104">
        <f>Database!T342</f>
        <v/>
      </c>
      <c r="G342" s="103">
        <f>IF($B342="","",IFERROR(BDP($B342&amp;" Action","GREENSHOE_FACILITY"),""))</f>
        <v/>
      </c>
      <c r="H342" s="103">
        <f>IF($B342="","",IFERROR(BDP($B342&amp;" Action","OFFERING_GREENSHOE_SHARES_EX"),""))</f>
        <v/>
      </c>
      <c r="I342" s="16">
        <f>Database!AG342</f>
        <v/>
      </c>
      <c r="J342" s="24">
        <f>IFERROR(BDP(Database!$A342&amp;" HK Equity","PE_RATIO"),"")</f>
        <v/>
      </c>
      <c r="K342" s="10">
        <f>IFERROR(BDP(Database!$A342&amp;" HK Equity","A/H_SHARE_CONVERSION"),"")</f>
        <v/>
      </c>
      <c r="L342" s="16">
        <f>IF(Database!BL342="","(none found)",Database!BL342)</f>
        <v/>
      </c>
      <c r="M342" s="18">
        <f>IFERROR(BDH(Database!$A342&amp;" HK Equity","CUR_MKT_CAP",Database!$H342,Database!$H342),"")</f>
        <v/>
      </c>
      <c r="N342" s="97">
        <f>Database!Q342</f>
        <v/>
      </c>
      <c r="O342" s="24">
        <f>IFERROR(BDH(Database!$A342&amp;" HK Equity","PE_RATIO",Database!$H342,Database!$H342),"")</f>
        <v/>
      </c>
      <c r="P342" s="101">
        <f>IF(Database!BF342="","(n/m or not derivable)",Database!BF342)</f>
        <v/>
      </c>
      <c r="Q342" s="24">
        <f>IF(Database!BL342="","",IFERROR(BDH(LEFT(Database!BL342,FIND(".",Database!BL342)-1)&amp;" CH Equity","PE_RATIO",Database!$H342,Database!$H342),""))</f>
        <v/>
      </c>
      <c r="R342" s="24">
        <f>IF(Database!BL342="","",IFERROR(BDH("HSAHP Index","PX_LAST",Database!$H342,Database!$H342),""))</f>
        <v/>
      </c>
      <c r="S342" s="24">
        <f>IFERROR(BDP(Database!$A342&amp;" HK Equity","PX_TO_SALES_RATIO"),"")</f>
        <v/>
      </c>
      <c r="T342" s="18">
        <f>IF(Database!BL342="","",IFERROR(BDP(LEFT(Database!BL342,FIND(".",Database!BL342)-1)&amp;" CH Equity","CUR_MKT_CAP"),""))</f>
        <v/>
      </c>
    </row>
    <row r="343">
      <c r="A343" s="16">
        <f>Database!A343&amp;"  "&amp;Database!B343</f>
        <v/>
      </c>
      <c r="B343" s="10">
        <f>IFERROR(INDEX(BDS(Database!$A343&amp;" HK Equity","EQUITY_OFFERINGS","array=t","endcol=1"),MATCH("IPO",BDS(Database!$A343&amp;" HK Equity","EQUITY_OFFERINGS","array=t","startcol=2","endcol=2"),0)),"")</f>
        <v/>
      </c>
      <c r="C343" s="103">
        <f>IF($B343="","",IFERROR(BDP($B343&amp;" Action","CP036"),""))</f>
        <v/>
      </c>
      <c r="D343" s="104">
        <f>Database!S343</f>
        <v/>
      </c>
      <c r="E343" s="103">
        <f>IF($B343="","",IFERROR(BDP($B343&amp;" Action","CP037"),""))</f>
        <v/>
      </c>
      <c r="F343" s="104">
        <f>Database!T343</f>
        <v/>
      </c>
      <c r="G343" s="103">
        <f>IF($B343="","",IFERROR(BDP($B343&amp;" Action","GREENSHOE_FACILITY"),""))</f>
        <v/>
      </c>
      <c r="H343" s="103">
        <f>IF($B343="","",IFERROR(BDP($B343&amp;" Action","OFFERING_GREENSHOE_SHARES_EX"),""))</f>
        <v/>
      </c>
      <c r="I343" s="16">
        <f>Database!AG343</f>
        <v/>
      </c>
      <c r="J343" s="24">
        <f>IFERROR(BDP(Database!$A343&amp;" HK Equity","PE_RATIO"),"")</f>
        <v/>
      </c>
      <c r="K343" s="10">
        <f>IFERROR(BDP(Database!$A343&amp;" HK Equity","A/H_SHARE_CONVERSION"),"")</f>
        <v/>
      </c>
      <c r="L343" s="16">
        <f>IF(Database!BL343="","(none found)",Database!BL343)</f>
        <v/>
      </c>
      <c r="M343" s="18">
        <f>IFERROR(BDH(Database!$A343&amp;" HK Equity","CUR_MKT_CAP",Database!$H343,Database!$H343),"")</f>
        <v/>
      </c>
      <c r="N343" s="97">
        <f>Database!Q343</f>
        <v/>
      </c>
      <c r="O343" s="24">
        <f>IFERROR(BDH(Database!$A343&amp;" HK Equity","PE_RATIO",Database!$H343,Database!$H343),"")</f>
        <v/>
      </c>
      <c r="P343" s="101">
        <f>IF(Database!BF343="","(n/m or not derivable)",Database!BF343)</f>
        <v/>
      </c>
      <c r="Q343" s="24">
        <f>IF(Database!BL343="","",IFERROR(BDH(LEFT(Database!BL343,FIND(".",Database!BL343)-1)&amp;" CH Equity","PE_RATIO",Database!$H343,Database!$H343),""))</f>
        <v/>
      </c>
      <c r="R343" s="24">
        <f>IF(Database!BL343="","",IFERROR(BDH("HSAHP Index","PX_LAST",Database!$H343,Database!$H343),""))</f>
        <v/>
      </c>
      <c r="S343" s="24">
        <f>IFERROR(BDP(Database!$A343&amp;" HK Equity","PX_TO_SALES_RATIO"),"")</f>
        <v/>
      </c>
      <c r="T343" s="18">
        <f>IF(Database!BL343="","",IFERROR(BDP(LEFT(Database!BL343,FIND(".",Database!BL343)-1)&amp;" CH Equity","CUR_MKT_CAP"),""))</f>
        <v/>
      </c>
    </row>
    <row r="344">
      <c r="A344" s="16">
        <f>Database!A344&amp;"  "&amp;Database!B344</f>
        <v/>
      </c>
      <c r="B344" s="10">
        <f>IFERROR(INDEX(BDS(Database!$A344&amp;" HK Equity","EQUITY_OFFERINGS","array=t","endcol=1"),MATCH("IPO",BDS(Database!$A344&amp;" HK Equity","EQUITY_OFFERINGS","array=t","startcol=2","endcol=2"),0)),"")</f>
        <v/>
      </c>
      <c r="C344" s="103">
        <f>IF($B344="","",IFERROR(BDP($B344&amp;" Action","CP036"),""))</f>
        <v/>
      </c>
      <c r="D344" s="104">
        <f>Database!S344</f>
        <v/>
      </c>
      <c r="E344" s="103">
        <f>IF($B344="","",IFERROR(BDP($B344&amp;" Action","CP037"),""))</f>
        <v/>
      </c>
      <c r="F344" s="104">
        <f>Database!T344</f>
        <v/>
      </c>
      <c r="G344" s="103">
        <f>IF($B344="","",IFERROR(BDP($B344&amp;" Action","GREENSHOE_FACILITY"),""))</f>
        <v/>
      </c>
      <c r="H344" s="103">
        <f>IF($B344="","",IFERROR(BDP($B344&amp;" Action","OFFERING_GREENSHOE_SHARES_EX"),""))</f>
        <v/>
      </c>
      <c r="I344" s="16">
        <f>Database!AG344</f>
        <v/>
      </c>
      <c r="J344" s="24">
        <f>IFERROR(BDP(Database!$A344&amp;" HK Equity","PE_RATIO"),"")</f>
        <v/>
      </c>
      <c r="K344" s="10">
        <f>IFERROR(BDP(Database!$A344&amp;" HK Equity","A/H_SHARE_CONVERSION"),"")</f>
        <v/>
      </c>
      <c r="L344" s="16">
        <f>IF(Database!BL344="","(none found)",Database!BL344)</f>
        <v/>
      </c>
      <c r="M344" s="18">
        <f>IFERROR(BDH(Database!$A344&amp;" HK Equity","CUR_MKT_CAP",Database!$H344,Database!$H344),"")</f>
        <v/>
      </c>
      <c r="N344" s="97">
        <f>Database!Q344</f>
        <v/>
      </c>
      <c r="O344" s="24">
        <f>IFERROR(BDH(Database!$A344&amp;" HK Equity","PE_RATIO",Database!$H344,Database!$H344),"")</f>
        <v/>
      </c>
      <c r="P344" s="101">
        <f>IF(Database!BF344="","(n/m or not derivable)",Database!BF344)</f>
        <v/>
      </c>
      <c r="Q344" s="24">
        <f>IF(Database!BL344="","",IFERROR(BDH(LEFT(Database!BL344,FIND(".",Database!BL344)-1)&amp;" CH Equity","PE_RATIO",Database!$H344,Database!$H344),""))</f>
        <v/>
      </c>
      <c r="R344" s="24">
        <f>IF(Database!BL344="","",IFERROR(BDH("HSAHP Index","PX_LAST",Database!$H344,Database!$H344),""))</f>
        <v/>
      </c>
      <c r="S344" s="24">
        <f>IFERROR(BDP(Database!$A344&amp;" HK Equity","PX_TO_SALES_RATIO"),"")</f>
        <v/>
      </c>
      <c r="T344" s="18">
        <f>IF(Database!BL344="","",IFERROR(BDP(LEFT(Database!BL344,FIND(".",Database!BL344)-1)&amp;" CH Equity","CUR_MKT_CAP"),""))</f>
        <v/>
      </c>
    </row>
    <row r="345">
      <c r="A345" s="16">
        <f>Database!A345&amp;"  "&amp;Database!B345</f>
        <v/>
      </c>
      <c r="B345" s="10">
        <f>IFERROR(INDEX(BDS(Database!$A345&amp;" HK Equity","EQUITY_OFFERINGS","array=t","endcol=1"),MATCH("IPO",BDS(Database!$A345&amp;" HK Equity","EQUITY_OFFERINGS","array=t","startcol=2","endcol=2"),0)),"")</f>
        <v/>
      </c>
      <c r="C345" s="103">
        <f>IF($B345="","",IFERROR(BDP($B345&amp;" Action","CP036"),""))</f>
        <v/>
      </c>
      <c r="D345" s="104">
        <f>Database!S345</f>
        <v/>
      </c>
      <c r="E345" s="103">
        <f>IF($B345="","",IFERROR(BDP($B345&amp;" Action","CP037"),""))</f>
        <v/>
      </c>
      <c r="F345" s="104">
        <f>Database!T345</f>
        <v/>
      </c>
      <c r="G345" s="103">
        <f>IF($B345="","",IFERROR(BDP($B345&amp;" Action","GREENSHOE_FACILITY"),""))</f>
        <v/>
      </c>
      <c r="H345" s="103">
        <f>IF($B345="","",IFERROR(BDP($B345&amp;" Action","OFFERING_GREENSHOE_SHARES_EX"),""))</f>
        <v/>
      </c>
      <c r="I345" s="16">
        <f>Database!AG345</f>
        <v/>
      </c>
      <c r="J345" s="24">
        <f>IFERROR(BDP(Database!$A345&amp;" HK Equity","PE_RATIO"),"")</f>
        <v/>
      </c>
      <c r="K345" s="10">
        <f>IFERROR(BDP(Database!$A345&amp;" HK Equity","A/H_SHARE_CONVERSION"),"")</f>
        <v/>
      </c>
      <c r="L345" s="16">
        <f>IF(Database!BL345="","(none found)",Database!BL345)</f>
        <v/>
      </c>
      <c r="M345" s="18">
        <f>IFERROR(BDH(Database!$A345&amp;" HK Equity","CUR_MKT_CAP",Database!$H345,Database!$H345),"")</f>
        <v/>
      </c>
      <c r="N345" s="97">
        <f>Database!Q345</f>
        <v/>
      </c>
      <c r="O345" s="24">
        <f>IFERROR(BDH(Database!$A345&amp;" HK Equity","PE_RATIO",Database!$H345,Database!$H345),"")</f>
        <v/>
      </c>
      <c r="P345" s="101">
        <f>IF(Database!BF345="","(n/m or not derivable)",Database!BF345)</f>
        <v/>
      </c>
      <c r="Q345" s="24">
        <f>IF(Database!BL345="","",IFERROR(BDH(LEFT(Database!BL345,FIND(".",Database!BL345)-1)&amp;" CH Equity","PE_RATIO",Database!$H345,Database!$H345),""))</f>
        <v/>
      </c>
      <c r="R345" s="24">
        <f>IF(Database!BL345="","",IFERROR(BDH("HSAHP Index","PX_LAST",Database!$H345,Database!$H345),""))</f>
        <v/>
      </c>
      <c r="S345" s="24">
        <f>IFERROR(BDP(Database!$A345&amp;" HK Equity","PX_TO_SALES_RATIO"),"")</f>
        <v/>
      </c>
      <c r="T345" s="18">
        <f>IF(Database!BL345="","",IFERROR(BDP(LEFT(Database!BL345,FIND(".",Database!BL345)-1)&amp;" CH Equity","CUR_MKT_CAP"),""))</f>
        <v/>
      </c>
    </row>
    <row r="346">
      <c r="A346" s="16">
        <f>Database!A346&amp;"  "&amp;Database!B346</f>
        <v/>
      </c>
      <c r="B346" s="10">
        <f>IFERROR(INDEX(BDS(Database!$A346&amp;" HK Equity","EQUITY_OFFERINGS","array=t","endcol=1"),MATCH("IPO",BDS(Database!$A346&amp;" HK Equity","EQUITY_OFFERINGS","array=t","startcol=2","endcol=2"),0)),"")</f>
        <v/>
      </c>
      <c r="C346" s="103">
        <f>IF($B346="","",IFERROR(BDP($B346&amp;" Action","CP036"),""))</f>
        <v/>
      </c>
      <c r="D346" s="104">
        <f>Database!S346</f>
        <v/>
      </c>
      <c r="E346" s="103">
        <f>IF($B346="","",IFERROR(BDP($B346&amp;" Action","CP037"),""))</f>
        <v/>
      </c>
      <c r="F346" s="104">
        <f>Database!T346</f>
        <v/>
      </c>
      <c r="G346" s="103">
        <f>IF($B346="","",IFERROR(BDP($B346&amp;" Action","GREENSHOE_FACILITY"),""))</f>
        <v/>
      </c>
      <c r="H346" s="103">
        <f>IF($B346="","",IFERROR(BDP($B346&amp;" Action","OFFERING_GREENSHOE_SHARES_EX"),""))</f>
        <v/>
      </c>
      <c r="I346" s="16">
        <f>Database!AG346</f>
        <v/>
      </c>
      <c r="J346" s="24">
        <f>IFERROR(BDP(Database!$A346&amp;" HK Equity","PE_RATIO"),"")</f>
        <v/>
      </c>
      <c r="K346" s="10">
        <f>IFERROR(BDP(Database!$A346&amp;" HK Equity","A/H_SHARE_CONVERSION"),"")</f>
        <v/>
      </c>
      <c r="L346" s="16">
        <f>IF(Database!BL346="","(none found)",Database!BL346)</f>
        <v/>
      </c>
      <c r="M346" s="18">
        <f>IFERROR(BDH(Database!$A346&amp;" HK Equity","CUR_MKT_CAP",Database!$H346,Database!$H346),"")</f>
        <v/>
      </c>
      <c r="N346" s="97">
        <f>Database!Q346</f>
        <v/>
      </c>
      <c r="O346" s="24">
        <f>IFERROR(BDH(Database!$A346&amp;" HK Equity","PE_RATIO",Database!$H346,Database!$H346),"")</f>
        <v/>
      </c>
      <c r="P346" s="101">
        <f>IF(Database!BF346="","(n/m or not derivable)",Database!BF346)</f>
        <v/>
      </c>
      <c r="Q346" s="24">
        <f>IF(Database!BL346="","",IFERROR(BDH(LEFT(Database!BL346,FIND(".",Database!BL346)-1)&amp;" CH Equity","PE_RATIO",Database!$H346,Database!$H346),""))</f>
        <v/>
      </c>
      <c r="R346" s="24">
        <f>IF(Database!BL346="","",IFERROR(BDH("HSAHP Index","PX_LAST",Database!$H346,Database!$H346),""))</f>
        <v/>
      </c>
      <c r="S346" s="24">
        <f>IFERROR(BDP(Database!$A346&amp;" HK Equity","PX_TO_SALES_RATIO"),"")</f>
        <v/>
      </c>
      <c r="T346" s="18">
        <f>IF(Database!BL346="","",IFERROR(BDP(LEFT(Database!BL346,FIND(".",Database!BL346)-1)&amp;" CH Equity","CUR_MKT_CAP"),""))</f>
        <v/>
      </c>
    </row>
    <row r="347">
      <c r="A347" s="16">
        <f>Database!A347&amp;"  "&amp;Database!B347</f>
        <v/>
      </c>
      <c r="B347" s="10">
        <f>IFERROR(INDEX(BDS(Database!$A347&amp;" HK Equity","EQUITY_OFFERINGS","array=t","endcol=1"),MATCH("IPO",BDS(Database!$A347&amp;" HK Equity","EQUITY_OFFERINGS","array=t","startcol=2","endcol=2"),0)),"")</f>
        <v/>
      </c>
      <c r="C347" s="103">
        <f>IF($B347="","",IFERROR(BDP($B347&amp;" Action","CP036"),""))</f>
        <v/>
      </c>
      <c r="D347" s="104">
        <f>Database!S347</f>
        <v/>
      </c>
      <c r="E347" s="103">
        <f>IF($B347="","",IFERROR(BDP($B347&amp;" Action","CP037"),""))</f>
        <v/>
      </c>
      <c r="F347" s="104">
        <f>Database!T347</f>
        <v/>
      </c>
      <c r="G347" s="103">
        <f>IF($B347="","",IFERROR(BDP($B347&amp;" Action","GREENSHOE_FACILITY"),""))</f>
        <v/>
      </c>
      <c r="H347" s="103">
        <f>IF($B347="","",IFERROR(BDP($B347&amp;" Action","OFFERING_GREENSHOE_SHARES_EX"),""))</f>
        <v/>
      </c>
      <c r="I347" s="16">
        <f>Database!AG347</f>
        <v/>
      </c>
      <c r="J347" s="24">
        <f>IFERROR(BDP(Database!$A347&amp;" HK Equity","PE_RATIO"),"")</f>
        <v/>
      </c>
      <c r="K347" s="10">
        <f>IFERROR(BDP(Database!$A347&amp;" HK Equity","A/H_SHARE_CONVERSION"),"")</f>
        <v/>
      </c>
      <c r="L347" s="16">
        <f>IF(Database!BL347="","(none found)",Database!BL347)</f>
        <v/>
      </c>
      <c r="M347" s="18">
        <f>IFERROR(BDH(Database!$A347&amp;" HK Equity","CUR_MKT_CAP",Database!$H347,Database!$H347),"")</f>
        <v/>
      </c>
      <c r="N347" s="97">
        <f>Database!Q347</f>
        <v/>
      </c>
      <c r="O347" s="24">
        <f>IFERROR(BDH(Database!$A347&amp;" HK Equity","PE_RATIO",Database!$H347,Database!$H347),"")</f>
        <v/>
      </c>
      <c r="P347" s="101">
        <f>IF(Database!BF347="","(n/m or not derivable)",Database!BF347)</f>
        <v/>
      </c>
      <c r="Q347" s="24">
        <f>IF(Database!BL347="","",IFERROR(BDH(LEFT(Database!BL347,FIND(".",Database!BL347)-1)&amp;" CH Equity","PE_RATIO",Database!$H347,Database!$H347),""))</f>
        <v/>
      </c>
      <c r="R347" s="24">
        <f>IF(Database!BL347="","",IFERROR(BDH("HSAHP Index","PX_LAST",Database!$H347,Database!$H347),""))</f>
        <v/>
      </c>
      <c r="S347" s="24">
        <f>IFERROR(BDP(Database!$A347&amp;" HK Equity","PX_TO_SALES_RATIO"),"")</f>
        <v/>
      </c>
      <c r="T347" s="18">
        <f>IF(Database!BL347="","",IFERROR(BDP(LEFT(Database!BL347,FIND(".",Database!BL347)-1)&amp;" CH Equity","CUR_MKT_CAP"),""))</f>
        <v/>
      </c>
    </row>
    <row r="348">
      <c r="A348" s="16">
        <f>Database!A348&amp;"  "&amp;Database!B348</f>
        <v/>
      </c>
      <c r="B348" s="10">
        <f>IFERROR(INDEX(BDS(Database!$A348&amp;" HK Equity","EQUITY_OFFERINGS","array=t","endcol=1"),MATCH("IPO",BDS(Database!$A348&amp;" HK Equity","EQUITY_OFFERINGS","array=t","startcol=2","endcol=2"),0)),"")</f>
        <v/>
      </c>
      <c r="C348" s="103">
        <f>IF($B348="","",IFERROR(BDP($B348&amp;" Action","CP036"),""))</f>
        <v/>
      </c>
      <c r="D348" s="104">
        <f>Database!S348</f>
        <v/>
      </c>
      <c r="E348" s="103">
        <f>IF($B348="","",IFERROR(BDP($B348&amp;" Action","CP037"),""))</f>
        <v/>
      </c>
      <c r="F348" s="104">
        <f>Database!T348</f>
        <v/>
      </c>
      <c r="G348" s="103">
        <f>IF($B348="","",IFERROR(BDP($B348&amp;" Action","GREENSHOE_FACILITY"),""))</f>
        <v/>
      </c>
      <c r="H348" s="103">
        <f>IF($B348="","",IFERROR(BDP($B348&amp;" Action","OFFERING_GREENSHOE_SHARES_EX"),""))</f>
        <v/>
      </c>
      <c r="I348" s="16">
        <f>Database!AG348</f>
        <v/>
      </c>
      <c r="J348" s="24">
        <f>IFERROR(BDP(Database!$A348&amp;" HK Equity","PE_RATIO"),"")</f>
        <v/>
      </c>
      <c r="K348" s="10">
        <f>IFERROR(BDP(Database!$A348&amp;" HK Equity","A/H_SHARE_CONVERSION"),"")</f>
        <v/>
      </c>
      <c r="L348" s="16">
        <f>IF(Database!BL348="","(none found)",Database!BL348)</f>
        <v/>
      </c>
      <c r="M348" s="18">
        <f>IFERROR(BDH(Database!$A348&amp;" HK Equity","CUR_MKT_CAP",Database!$H348,Database!$H348),"")</f>
        <v/>
      </c>
      <c r="N348" s="97">
        <f>Database!Q348</f>
        <v/>
      </c>
      <c r="O348" s="24">
        <f>IFERROR(BDH(Database!$A348&amp;" HK Equity","PE_RATIO",Database!$H348,Database!$H348),"")</f>
        <v/>
      </c>
      <c r="P348" s="101">
        <f>IF(Database!BF348="","(n/m or not derivable)",Database!BF348)</f>
        <v/>
      </c>
      <c r="Q348" s="24">
        <f>IF(Database!BL348="","",IFERROR(BDH(LEFT(Database!BL348,FIND(".",Database!BL348)-1)&amp;" CH Equity","PE_RATIO",Database!$H348,Database!$H348),""))</f>
        <v/>
      </c>
      <c r="R348" s="24">
        <f>IF(Database!BL348="","",IFERROR(BDH("HSAHP Index","PX_LAST",Database!$H348,Database!$H348),""))</f>
        <v/>
      </c>
      <c r="S348" s="24">
        <f>IFERROR(BDP(Database!$A348&amp;" HK Equity","PX_TO_SALES_RATIO"),"")</f>
        <v/>
      </c>
      <c r="T348" s="18">
        <f>IF(Database!BL348="","",IFERROR(BDP(LEFT(Database!BL348,FIND(".",Database!BL348)-1)&amp;" CH Equity","CUR_MKT_CAP"),""))</f>
        <v/>
      </c>
    </row>
    <row r="349">
      <c r="A349" s="16">
        <f>Database!A349&amp;"  "&amp;Database!B349</f>
        <v/>
      </c>
      <c r="B349" s="10">
        <f>IFERROR(INDEX(BDS(Database!$A349&amp;" HK Equity","EQUITY_OFFERINGS","array=t","endcol=1"),MATCH("IPO",BDS(Database!$A349&amp;" HK Equity","EQUITY_OFFERINGS","array=t","startcol=2","endcol=2"),0)),"")</f>
        <v/>
      </c>
      <c r="C349" s="103">
        <f>IF($B349="","",IFERROR(BDP($B349&amp;" Action","CP036"),""))</f>
        <v/>
      </c>
      <c r="D349" s="104">
        <f>Database!S349</f>
        <v/>
      </c>
      <c r="E349" s="103">
        <f>IF($B349="","",IFERROR(BDP($B349&amp;" Action","CP037"),""))</f>
        <v/>
      </c>
      <c r="F349" s="104">
        <f>Database!T349</f>
        <v/>
      </c>
      <c r="G349" s="103">
        <f>IF($B349="","",IFERROR(BDP($B349&amp;" Action","GREENSHOE_FACILITY"),""))</f>
        <v/>
      </c>
      <c r="H349" s="103">
        <f>IF($B349="","",IFERROR(BDP($B349&amp;" Action","OFFERING_GREENSHOE_SHARES_EX"),""))</f>
        <v/>
      </c>
      <c r="I349" s="16">
        <f>Database!AG349</f>
        <v/>
      </c>
      <c r="J349" s="24">
        <f>IFERROR(BDP(Database!$A349&amp;" HK Equity","PE_RATIO"),"")</f>
        <v/>
      </c>
      <c r="K349" s="10">
        <f>IFERROR(BDP(Database!$A349&amp;" HK Equity","A/H_SHARE_CONVERSION"),"")</f>
        <v/>
      </c>
      <c r="L349" s="16">
        <f>IF(Database!BL349="","(none found)",Database!BL349)</f>
        <v/>
      </c>
      <c r="M349" s="18">
        <f>IFERROR(BDH(Database!$A349&amp;" HK Equity","CUR_MKT_CAP",Database!$H349,Database!$H349),"")</f>
        <v/>
      </c>
      <c r="N349" s="97">
        <f>Database!Q349</f>
        <v/>
      </c>
      <c r="O349" s="24">
        <f>IFERROR(BDH(Database!$A349&amp;" HK Equity","PE_RATIO",Database!$H349,Database!$H349),"")</f>
        <v/>
      </c>
      <c r="P349" s="101">
        <f>IF(Database!BF349="","(n/m or not derivable)",Database!BF349)</f>
        <v/>
      </c>
      <c r="Q349" s="24">
        <f>IF(Database!BL349="","",IFERROR(BDH(LEFT(Database!BL349,FIND(".",Database!BL349)-1)&amp;" CH Equity","PE_RATIO",Database!$H349,Database!$H349),""))</f>
        <v/>
      </c>
      <c r="R349" s="24">
        <f>IF(Database!BL349="","",IFERROR(BDH("HSAHP Index","PX_LAST",Database!$H349,Database!$H349),""))</f>
        <v/>
      </c>
      <c r="S349" s="24">
        <f>IFERROR(BDP(Database!$A349&amp;" HK Equity","PX_TO_SALES_RATIO"),"")</f>
        <v/>
      </c>
      <c r="T349" s="18">
        <f>IF(Database!BL349="","",IFERROR(BDP(LEFT(Database!BL349,FIND(".",Database!BL349)-1)&amp;" CH Equity","CUR_MKT_CAP"),""))</f>
        <v/>
      </c>
    </row>
    <row r="350">
      <c r="A350" s="16">
        <f>Database!A350&amp;"  "&amp;Database!B350</f>
        <v/>
      </c>
      <c r="B350" s="10">
        <f>IFERROR(INDEX(BDS(Database!$A350&amp;" HK Equity","EQUITY_OFFERINGS","array=t","endcol=1"),MATCH("IPO",BDS(Database!$A350&amp;" HK Equity","EQUITY_OFFERINGS","array=t","startcol=2","endcol=2"),0)),"")</f>
        <v/>
      </c>
      <c r="C350" s="103">
        <f>IF($B350="","",IFERROR(BDP($B350&amp;" Action","CP036"),""))</f>
        <v/>
      </c>
      <c r="D350" s="104">
        <f>Database!S350</f>
        <v/>
      </c>
      <c r="E350" s="103">
        <f>IF($B350="","",IFERROR(BDP($B350&amp;" Action","CP037"),""))</f>
        <v/>
      </c>
      <c r="F350" s="104">
        <f>Database!T350</f>
        <v/>
      </c>
      <c r="G350" s="103">
        <f>IF($B350="","",IFERROR(BDP($B350&amp;" Action","GREENSHOE_FACILITY"),""))</f>
        <v/>
      </c>
      <c r="H350" s="103">
        <f>IF($B350="","",IFERROR(BDP($B350&amp;" Action","OFFERING_GREENSHOE_SHARES_EX"),""))</f>
        <v/>
      </c>
      <c r="I350" s="16">
        <f>Database!AG350</f>
        <v/>
      </c>
      <c r="J350" s="24">
        <f>IFERROR(BDP(Database!$A350&amp;" HK Equity","PE_RATIO"),"")</f>
        <v/>
      </c>
      <c r="K350" s="10">
        <f>IFERROR(BDP(Database!$A350&amp;" HK Equity","A/H_SHARE_CONVERSION"),"")</f>
        <v/>
      </c>
      <c r="L350" s="16">
        <f>IF(Database!BL350="","(none found)",Database!BL350)</f>
        <v/>
      </c>
      <c r="M350" s="18">
        <f>IFERROR(BDH(Database!$A350&amp;" HK Equity","CUR_MKT_CAP",Database!$H350,Database!$H350),"")</f>
        <v/>
      </c>
      <c r="N350" s="97">
        <f>Database!Q350</f>
        <v/>
      </c>
      <c r="O350" s="24">
        <f>IFERROR(BDH(Database!$A350&amp;" HK Equity","PE_RATIO",Database!$H350,Database!$H350),"")</f>
        <v/>
      </c>
      <c r="P350" s="101">
        <f>IF(Database!BF350="","(n/m or not derivable)",Database!BF350)</f>
        <v/>
      </c>
      <c r="Q350" s="24">
        <f>IF(Database!BL350="","",IFERROR(BDH(LEFT(Database!BL350,FIND(".",Database!BL350)-1)&amp;" CH Equity","PE_RATIO",Database!$H350,Database!$H350),""))</f>
        <v/>
      </c>
      <c r="R350" s="24">
        <f>IF(Database!BL350="","",IFERROR(BDH("HSAHP Index","PX_LAST",Database!$H350,Database!$H350),""))</f>
        <v/>
      </c>
      <c r="S350" s="24">
        <f>IFERROR(BDP(Database!$A350&amp;" HK Equity","PX_TO_SALES_RATIO"),"")</f>
        <v/>
      </c>
      <c r="T350" s="18">
        <f>IF(Database!BL350="","",IFERROR(BDP(LEFT(Database!BL350,FIND(".",Database!BL350)-1)&amp;" CH Equity","CUR_MKT_CAP"),""))</f>
        <v/>
      </c>
    </row>
    <row r="351">
      <c r="A351" s="16">
        <f>Database!A351&amp;"  "&amp;Database!B351</f>
        <v/>
      </c>
      <c r="B351" s="10">
        <f>IFERROR(INDEX(BDS(Database!$A351&amp;" HK Equity","EQUITY_OFFERINGS","array=t","endcol=1"),MATCH("IPO",BDS(Database!$A351&amp;" HK Equity","EQUITY_OFFERINGS","array=t","startcol=2","endcol=2"),0)),"")</f>
        <v/>
      </c>
      <c r="C351" s="103">
        <f>IF($B351="","",IFERROR(BDP($B351&amp;" Action","CP036"),""))</f>
        <v/>
      </c>
      <c r="D351" s="104">
        <f>Database!S351</f>
        <v/>
      </c>
      <c r="E351" s="103">
        <f>IF($B351="","",IFERROR(BDP($B351&amp;" Action","CP037"),""))</f>
        <v/>
      </c>
      <c r="F351" s="104">
        <f>Database!T351</f>
        <v/>
      </c>
      <c r="G351" s="103">
        <f>IF($B351="","",IFERROR(BDP($B351&amp;" Action","GREENSHOE_FACILITY"),""))</f>
        <v/>
      </c>
      <c r="H351" s="103">
        <f>IF($B351="","",IFERROR(BDP($B351&amp;" Action","OFFERING_GREENSHOE_SHARES_EX"),""))</f>
        <v/>
      </c>
      <c r="I351" s="16">
        <f>Database!AG351</f>
        <v/>
      </c>
      <c r="J351" s="24">
        <f>IFERROR(BDP(Database!$A351&amp;" HK Equity","PE_RATIO"),"")</f>
        <v/>
      </c>
      <c r="K351" s="10">
        <f>IFERROR(BDP(Database!$A351&amp;" HK Equity","A/H_SHARE_CONVERSION"),"")</f>
        <v/>
      </c>
      <c r="L351" s="16">
        <f>IF(Database!BL351="","(none found)",Database!BL351)</f>
        <v/>
      </c>
      <c r="M351" s="18">
        <f>IFERROR(BDH(Database!$A351&amp;" HK Equity","CUR_MKT_CAP",Database!$H351,Database!$H351),"")</f>
        <v/>
      </c>
      <c r="N351" s="97">
        <f>Database!Q351</f>
        <v/>
      </c>
      <c r="O351" s="24">
        <f>IFERROR(BDH(Database!$A351&amp;" HK Equity","PE_RATIO",Database!$H351,Database!$H351),"")</f>
        <v/>
      </c>
      <c r="P351" s="101">
        <f>IF(Database!BF351="","(n/m or not derivable)",Database!BF351)</f>
        <v/>
      </c>
      <c r="Q351" s="24">
        <f>IF(Database!BL351="","",IFERROR(BDH(LEFT(Database!BL351,FIND(".",Database!BL351)-1)&amp;" CH Equity","PE_RATIO",Database!$H351,Database!$H351),""))</f>
        <v/>
      </c>
      <c r="R351" s="24">
        <f>IF(Database!BL351="","",IFERROR(BDH("HSAHP Index","PX_LAST",Database!$H351,Database!$H351),""))</f>
        <v/>
      </c>
      <c r="S351" s="24">
        <f>IFERROR(BDP(Database!$A351&amp;" HK Equity","PX_TO_SALES_RATIO"),"")</f>
        <v/>
      </c>
      <c r="T351" s="18">
        <f>IF(Database!BL351="","",IFERROR(BDP(LEFT(Database!BL351,FIND(".",Database!BL351)-1)&amp;" CH Equity","CUR_MKT_CAP"),""))</f>
        <v/>
      </c>
    </row>
    <row r="352">
      <c r="A352" s="16">
        <f>Database!A352&amp;"  "&amp;Database!B352</f>
        <v/>
      </c>
      <c r="B352" s="10">
        <f>IFERROR(INDEX(BDS(Database!$A352&amp;" HK Equity","EQUITY_OFFERINGS","array=t","endcol=1"),MATCH("IPO",BDS(Database!$A352&amp;" HK Equity","EQUITY_OFFERINGS","array=t","startcol=2","endcol=2"),0)),"")</f>
        <v/>
      </c>
      <c r="C352" s="103">
        <f>IF($B352="","",IFERROR(BDP($B352&amp;" Action","CP036"),""))</f>
        <v/>
      </c>
      <c r="D352" s="104">
        <f>Database!S352</f>
        <v/>
      </c>
      <c r="E352" s="103">
        <f>IF($B352="","",IFERROR(BDP($B352&amp;" Action","CP037"),""))</f>
        <v/>
      </c>
      <c r="F352" s="104">
        <f>Database!T352</f>
        <v/>
      </c>
      <c r="G352" s="103">
        <f>IF($B352="","",IFERROR(BDP($B352&amp;" Action","GREENSHOE_FACILITY"),""))</f>
        <v/>
      </c>
      <c r="H352" s="103">
        <f>IF($B352="","",IFERROR(BDP($B352&amp;" Action","OFFERING_GREENSHOE_SHARES_EX"),""))</f>
        <v/>
      </c>
      <c r="I352" s="16">
        <f>Database!AG352</f>
        <v/>
      </c>
      <c r="J352" s="24">
        <f>IFERROR(BDP(Database!$A352&amp;" HK Equity","PE_RATIO"),"")</f>
        <v/>
      </c>
      <c r="K352" s="10">
        <f>IFERROR(BDP(Database!$A352&amp;" HK Equity","A/H_SHARE_CONVERSION"),"")</f>
        <v/>
      </c>
      <c r="L352" s="16">
        <f>IF(Database!BL352="","(none found)",Database!BL352)</f>
        <v/>
      </c>
      <c r="M352" s="18">
        <f>IFERROR(BDH(Database!$A352&amp;" HK Equity","CUR_MKT_CAP",Database!$H352,Database!$H352),"")</f>
        <v/>
      </c>
      <c r="N352" s="97">
        <f>Database!Q352</f>
        <v/>
      </c>
      <c r="O352" s="24">
        <f>IFERROR(BDH(Database!$A352&amp;" HK Equity","PE_RATIO",Database!$H352,Database!$H352),"")</f>
        <v/>
      </c>
      <c r="P352" s="101">
        <f>IF(Database!BF352="","(n/m or not derivable)",Database!BF352)</f>
        <v/>
      </c>
      <c r="Q352" s="24">
        <f>IF(Database!BL352="","",IFERROR(BDH(LEFT(Database!BL352,FIND(".",Database!BL352)-1)&amp;" CH Equity","PE_RATIO",Database!$H352,Database!$H352),""))</f>
        <v/>
      </c>
      <c r="R352" s="24">
        <f>IF(Database!BL352="","",IFERROR(BDH("HSAHP Index","PX_LAST",Database!$H352,Database!$H352),""))</f>
        <v/>
      </c>
      <c r="S352" s="24">
        <f>IFERROR(BDP(Database!$A352&amp;" HK Equity","PX_TO_SALES_RATIO"),"")</f>
        <v/>
      </c>
      <c r="T352" s="18">
        <f>IF(Database!BL352="","",IFERROR(BDP(LEFT(Database!BL352,FIND(".",Database!BL352)-1)&amp;" CH Equity","CUR_MKT_CAP"),""))</f>
        <v/>
      </c>
    </row>
    <row r="353">
      <c r="A353" s="16">
        <f>Database!A353&amp;"  "&amp;Database!B353</f>
        <v/>
      </c>
      <c r="B353" s="10">
        <f>IFERROR(INDEX(BDS(Database!$A353&amp;" HK Equity","EQUITY_OFFERINGS","array=t","endcol=1"),MATCH("IPO",BDS(Database!$A353&amp;" HK Equity","EQUITY_OFFERINGS","array=t","startcol=2","endcol=2"),0)),"")</f>
        <v/>
      </c>
      <c r="C353" s="103">
        <f>IF($B353="","",IFERROR(BDP($B353&amp;" Action","CP036"),""))</f>
        <v/>
      </c>
      <c r="D353" s="104">
        <f>Database!S353</f>
        <v/>
      </c>
      <c r="E353" s="103">
        <f>IF($B353="","",IFERROR(BDP($B353&amp;" Action","CP037"),""))</f>
        <v/>
      </c>
      <c r="F353" s="104">
        <f>Database!T353</f>
        <v/>
      </c>
      <c r="G353" s="103">
        <f>IF($B353="","",IFERROR(BDP($B353&amp;" Action","GREENSHOE_FACILITY"),""))</f>
        <v/>
      </c>
      <c r="H353" s="103">
        <f>IF($B353="","",IFERROR(BDP($B353&amp;" Action","OFFERING_GREENSHOE_SHARES_EX"),""))</f>
        <v/>
      </c>
      <c r="I353" s="16">
        <f>Database!AG353</f>
        <v/>
      </c>
      <c r="J353" s="24">
        <f>IFERROR(BDP(Database!$A353&amp;" HK Equity","PE_RATIO"),"")</f>
        <v/>
      </c>
      <c r="K353" s="10">
        <f>IFERROR(BDP(Database!$A353&amp;" HK Equity","A/H_SHARE_CONVERSION"),"")</f>
        <v/>
      </c>
      <c r="L353" s="16">
        <f>IF(Database!BL353="","(none found)",Database!BL353)</f>
        <v/>
      </c>
      <c r="M353" s="18">
        <f>IFERROR(BDH(Database!$A353&amp;" HK Equity","CUR_MKT_CAP",Database!$H353,Database!$H353),"")</f>
        <v/>
      </c>
      <c r="N353" s="97">
        <f>Database!Q353</f>
        <v/>
      </c>
      <c r="O353" s="24">
        <f>IFERROR(BDH(Database!$A353&amp;" HK Equity","PE_RATIO",Database!$H353,Database!$H353),"")</f>
        <v/>
      </c>
      <c r="P353" s="101">
        <f>IF(Database!BF353="","(n/m or not derivable)",Database!BF353)</f>
        <v/>
      </c>
      <c r="Q353" s="24">
        <f>IF(Database!BL353="","",IFERROR(BDH(LEFT(Database!BL353,FIND(".",Database!BL353)-1)&amp;" CH Equity","PE_RATIO",Database!$H353,Database!$H353),""))</f>
        <v/>
      </c>
      <c r="R353" s="24">
        <f>IF(Database!BL353="","",IFERROR(BDH("HSAHP Index","PX_LAST",Database!$H353,Database!$H353),""))</f>
        <v/>
      </c>
      <c r="S353" s="24">
        <f>IFERROR(BDP(Database!$A353&amp;" HK Equity","PX_TO_SALES_RATIO"),"")</f>
        <v/>
      </c>
      <c r="T353" s="18">
        <f>IF(Database!BL353="","",IFERROR(BDP(LEFT(Database!BL353,FIND(".",Database!BL353)-1)&amp;" CH Equity","CUR_MKT_CAP"),""))</f>
        <v/>
      </c>
    </row>
    <row r="354">
      <c r="A354" s="16">
        <f>Database!A354&amp;"  "&amp;Database!B354</f>
        <v/>
      </c>
      <c r="B354" s="10">
        <f>IFERROR(INDEX(BDS(Database!$A354&amp;" HK Equity","EQUITY_OFFERINGS","array=t","endcol=1"),MATCH("IPO",BDS(Database!$A354&amp;" HK Equity","EQUITY_OFFERINGS","array=t","startcol=2","endcol=2"),0)),"")</f>
        <v/>
      </c>
      <c r="C354" s="103">
        <f>IF($B354="","",IFERROR(BDP($B354&amp;" Action","CP036"),""))</f>
        <v/>
      </c>
      <c r="D354" s="104">
        <f>Database!S354</f>
        <v/>
      </c>
      <c r="E354" s="103">
        <f>IF($B354="","",IFERROR(BDP($B354&amp;" Action","CP037"),""))</f>
        <v/>
      </c>
      <c r="F354" s="104">
        <f>Database!T354</f>
        <v/>
      </c>
      <c r="G354" s="103">
        <f>IF($B354="","",IFERROR(BDP($B354&amp;" Action","GREENSHOE_FACILITY"),""))</f>
        <v/>
      </c>
      <c r="H354" s="103">
        <f>IF($B354="","",IFERROR(BDP($B354&amp;" Action","OFFERING_GREENSHOE_SHARES_EX"),""))</f>
        <v/>
      </c>
      <c r="I354" s="16">
        <f>Database!AG354</f>
        <v/>
      </c>
      <c r="J354" s="24">
        <f>IFERROR(BDP(Database!$A354&amp;" HK Equity","PE_RATIO"),"")</f>
        <v/>
      </c>
      <c r="K354" s="10">
        <f>IFERROR(BDP(Database!$A354&amp;" HK Equity","A/H_SHARE_CONVERSION"),"")</f>
        <v/>
      </c>
      <c r="L354" s="16">
        <f>IF(Database!BL354="","(none found)",Database!BL354)</f>
        <v/>
      </c>
      <c r="M354" s="18">
        <f>IFERROR(BDH(Database!$A354&amp;" HK Equity","CUR_MKT_CAP",Database!$H354,Database!$H354),"")</f>
        <v/>
      </c>
      <c r="N354" s="97">
        <f>Database!Q354</f>
        <v/>
      </c>
      <c r="O354" s="24">
        <f>IFERROR(BDH(Database!$A354&amp;" HK Equity","PE_RATIO",Database!$H354,Database!$H354),"")</f>
        <v/>
      </c>
      <c r="P354" s="101">
        <f>IF(Database!BF354="","(n/m or not derivable)",Database!BF354)</f>
        <v/>
      </c>
      <c r="Q354" s="24">
        <f>IF(Database!BL354="","",IFERROR(BDH(LEFT(Database!BL354,FIND(".",Database!BL354)-1)&amp;" CH Equity","PE_RATIO",Database!$H354,Database!$H354),""))</f>
        <v/>
      </c>
      <c r="R354" s="24">
        <f>IF(Database!BL354="","",IFERROR(BDH("HSAHP Index","PX_LAST",Database!$H354,Database!$H354),""))</f>
        <v/>
      </c>
      <c r="S354" s="24">
        <f>IFERROR(BDP(Database!$A354&amp;" HK Equity","PX_TO_SALES_RATIO"),"")</f>
        <v/>
      </c>
      <c r="T354" s="18">
        <f>IF(Database!BL354="","",IFERROR(BDP(LEFT(Database!BL354,FIND(".",Database!BL354)-1)&amp;" CH Equity","CUR_MKT_CAP"),""))</f>
        <v/>
      </c>
    </row>
    <row r="355">
      <c r="A355" s="16">
        <f>Database!A355&amp;"  "&amp;Database!B355</f>
        <v/>
      </c>
      <c r="B355" s="10">
        <f>IFERROR(INDEX(BDS(Database!$A355&amp;" HK Equity","EQUITY_OFFERINGS","array=t","endcol=1"),MATCH("IPO",BDS(Database!$A355&amp;" HK Equity","EQUITY_OFFERINGS","array=t","startcol=2","endcol=2"),0)),"")</f>
        <v/>
      </c>
      <c r="C355" s="103">
        <f>IF($B355="","",IFERROR(BDP($B355&amp;" Action","CP036"),""))</f>
        <v/>
      </c>
      <c r="D355" s="104">
        <f>Database!S355</f>
        <v/>
      </c>
      <c r="E355" s="103">
        <f>IF($B355="","",IFERROR(BDP($B355&amp;" Action","CP037"),""))</f>
        <v/>
      </c>
      <c r="F355" s="104">
        <f>Database!T355</f>
        <v/>
      </c>
      <c r="G355" s="103">
        <f>IF($B355="","",IFERROR(BDP($B355&amp;" Action","GREENSHOE_FACILITY"),""))</f>
        <v/>
      </c>
      <c r="H355" s="103">
        <f>IF($B355="","",IFERROR(BDP($B355&amp;" Action","OFFERING_GREENSHOE_SHARES_EX"),""))</f>
        <v/>
      </c>
      <c r="I355" s="16">
        <f>Database!AG355</f>
        <v/>
      </c>
      <c r="J355" s="24">
        <f>IFERROR(BDP(Database!$A355&amp;" HK Equity","PE_RATIO"),"")</f>
        <v/>
      </c>
      <c r="K355" s="10">
        <f>IFERROR(BDP(Database!$A355&amp;" HK Equity","A/H_SHARE_CONVERSION"),"")</f>
        <v/>
      </c>
      <c r="L355" s="16">
        <f>IF(Database!BL355="","(none found)",Database!BL355)</f>
        <v/>
      </c>
      <c r="M355" s="18">
        <f>IFERROR(BDH(Database!$A355&amp;" HK Equity","CUR_MKT_CAP",Database!$H355,Database!$H355),"")</f>
        <v/>
      </c>
      <c r="N355" s="97">
        <f>Database!Q355</f>
        <v/>
      </c>
      <c r="O355" s="24">
        <f>IFERROR(BDH(Database!$A355&amp;" HK Equity","PE_RATIO",Database!$H355,Database!$H355),"")</f>
        <v/>
      </c>
      <c r="P355" s="101">
        <f>IF(Database!BF355="","(n/m or not derivable)",Database!BF355)</f>
        <v/>
      </c>
      <c r="Q355" s="24">
        <f>IF(Database!BL355="","",IFERROR(BDH(LEFT(Database!BL355,FIND(".",Database!BL355)-1)&amp;" CH Equity","PE_RATIO",Database!$H355,Database!$H355),""))</f>
        <v/>
      </c>
      <c r="R355" s="24">
        <f>IF(Database!BL355="","",IFERROR(BDH("HSAHP Index","PX_LAST",Database!$H355,Database!$H355),""))</f>
        <v/>
      </c>
      <c r="S355" s="24">
        <f>IFERROR(BDP(Database!$A355&amp;" HK Equity","PX_TO_SALES_RATIO"),"")</f>
        <v/>
      </c>
      <c r="T355" s="18">
        <f>IF(Database!BL355="","",IFERROR(BDP(LEFT(Database!BL355,FIND(".",Database!BL355)-1)&amp;" CH Equity","CUR_MKT_CAP"),""))</f>
        <v/>
      </c>
    </row>
    <row r="356">
      <c r="A356" s="16">
        <f>Database!A356&amp;"  "&amp;Database!B356</f>
        <v/>
      </c>
      <c r="B356" s="10">
        <f>IFERROR(INDEX(BDS(Database!$A356&amp;" HK Equity","EQUITY_OFFERINGS","array=t","endcol=1"),MATCH("IPO",BDS(Database!$A356&amp;" HK Equity","EQUITY_OFFERINGS","array=t","startcol=2","endcol=2"),0)),"")</f>
        <v/>
      </c>
      <c r="C356" s="103">
        <f>IF($B356="","",IFERROR(BDP($B356&amp;" Action","CP036"),""))</f>
        <v/>
      </c>
      <c r="D356" s="104">
        <f>Database!S356</f>
        <v/>
      </c>
      <c r="E356" s="103">
        <f>IF($B356="","",IFERROR(BDP($B356&amp;" Action","CP037"),""))</f>
        <v/>
      </c>
      <c r="F356" s="104">
        <f>Database!T356</f>
        <v/>
      </c>
      <c r="G356" s="103">
        <f>IF($B356="","",IFERROR(BDP($B356&amp;" Action","GREENSHOE_FACILITY"),""))</f>
        <v/>
      </c>
      <c r="H356" s="103">
        <f>IF($B356="","",IFERROR(BDP($B356&amp;" Action","OFFERING_GREENSHOE_SHARES_EX"),""))</f>
        <v/>
      </c>
      <c r="I356" s="16">
        <f>Database!AG356</f>
        <v/>
      </c>
      <c r="J356" s="24">
        <f>IFERROR(BDP(Database!$A356&amp;" HK Equity","PE_RATIO"),"")</f>
        <v/>
      </c>
      <c r="K356" s="10">
        <f>IFERROR(BDP(Database!$A356&amp;" HK Equity","A/H_SHARE_CONVERSION"),"")</f>
        <v/>
      </c>
      <c r="L356" s="16">
        <f>IF(Database!BL356="","(none found)",Database!BL356)</f>
        <v/>
      </c>
      <c r="M356" s="18">
        <f>IFERROR(BDH(Database!$A356&amp;" HK Equity","CUR_MKT_CAP",Database!$H356,Database!$H356),"")</f>
        <v/>
      </c>
      <c r="N356" s="97">
        <f>Database!Q356</f>
        <v/>
      </c>
      <c r="O356" s="24">
        <f>IFERROR(BDH(Database!$A356&amp;" HK Equity","PE_RATIO",Database!$H356,Database!$H356),"")</f>
        <v/>
      </c>
      <c r="P356" s="101">
        <f>IF(Database!BF356="","(n/m or not derivable)",Database!BF356)</f>
        <v/>
      </c>
      <c r="Q356" s="24">
        <f>IF(Database!BL356="","",IFERROR(BDH(LEFT(Database!BL356,FIND(".",Database!BL356)-1)&amp;" CH Equity","PE_RATIO",Database!$H356,Database!$H356),""))</f>
        <v/>
      </c>
      <c r="R356" s="24">
        <f>IF(Database!BL356="","",IFERROR(BDH("HSAHP Index","PX_LAST",Database!$H356,Database!$H356),""))</f>
        <v/>
      </c>
      <c r="S356" s="24">
        <f>IFERROR(BDP(Database!$A356&amp;" HK Equity","PX_TO_SALES_RATIO"),"")</f>
        <v/>
      </c>
      <c r="T356" s="18">
        <f>IF(Database!BL356="","",IFERROR(BDP(LEFT(Database!BL356,FIND(".",Database!BL356)-1)&amp;" CH Equity","CUR_MKT_CAP"),""))</f>
        <v/>
      </c>
    </row>
    <row r="357">
      <c r="A357" s="16">
        <f>Database!A357&amp;"  "&amp;Database!B357</f>
        <v/>
      </c>
      <c r="B357" s="10">
        <f>IFERROR(INDEX(BDS(Database!$A357&amp;" HK Equity","EQUITY_OFFERINGS","array=t","endcol=1"),MATCH("IPO",BDS(Database!$A357&amp;" HK Equity","EQUITY_OFFERINGS","array=t","startcol=2","endcol=2"),0)),"")</f>
        <v/>
      </c>
      <c r="C357" s="103">
        <f>IF($B357="","",IFERROR(BDP($B357&amp;" Action","CP036"),""))</f>
        <v/>
      </c>
      <c r="D357" s="104">
        <f>Database!S357</f>
        <v/>
      </c>
      <c r="E357" s="103">
        <f>IF($B357="","",IFERROR(BDP($B357&amp;" Action","CP037"),""))</f>
        <v/>
      </c>
      <c r="F357" s="104">
        <f>Database!T357</f>
        <v/>
      </c>
      <c r="G357" s="103">
        <f>IF($B357="","",IFERROR(BDP($B357&amp;" Action","GREENSHOE_FACILITY"),""))</f>
        <v/>
      </c>
      <c r="H357" s="103">
        <f>IF($B357="","",IFERROR(BDP($B357&amp;" Action","OFFERING_GREENSHOE_SHARES_EX"),""))</f>
        <v/>
      </c>
      <c r="I357" s="16">
        <f>Database!AG357</f>
        <v/>
      </c>
      <c r="J357" s="24">
        <f>IFERROR(BDP(Database!$A357&amp;" HK Equity","PE_RATIO"),"")</f>
        <v/>
      </c>
      <c r="K357" s="10">
        <f>IFERROR(BDP(Database!$A357&amp;" HK Equity","A/H_SHARE_CONVERSION"),"")</f>
        <v/>
      </c>
      <c r="L357" s="16">
        <f>IF(Database!BL357="","(none found)",Database!BL357)</f>
        <v/>
      </c>
      <c r="M357" s="18">
        <f>IFERROR(BDH(Database!$A357&amp;" HK Equity","CUR_MKT_CAP",Database!$H357,Database!$H357),"")</f>
        <v/>
      </c>
      <c r="N357" s="97">
        <f>Database!Q357</f>
        <v/>
      </c>
      <c r="O357" s="24">
        <f>IFERROR(BDH(Database!$A357&amp;" HK Equity","PE_RATIO",Database!$H357,Database!$H357),"")</f>
        <v/>
      </c>
      <c r="P357" s="101">
        <f>IF(Database!BF357="","(n/m or not derivable)",Database!BF357)</f>
        <v/>
      </c>
      <c r="Q357" s="24">
        <f>IF(Database!BL357="","",IFERROR(BDH(LEFT(Database!BL357,FIND(".",Database!BL357)-1)&amp;" CH Equity","PE_RATIO",Database!$H357,Database!$H357),""))</f>
        <v/>
      </c>
      <c r="R357" s="24">
        <f>IF(Database!BL357="","",IFERROR(BDH("HSAHP Index","PX_LAST",Database!$H357,Database!$H357),""))</f>
        <v/>
      </c>
      <c r="S357" s="24">
        <f>IFERROR(BDP(Database!$A357&amp;" HK Equity","PX_TO_SALES_RATIO"),"")</f>
        <v/>
      </c>
      <c r="T357" s="18">
        <f>IF(Database!BL357="","",IFERROR(BDP(LEFT(Database!BL357,FIND(".",Database!BL357)-1)&amp;" CH Equity","CUR_MKT_CAP"),""))</f>
        <v/>
      </c>
    </row>
    <row r="358">
      <c r="A358" s="16">
        <f>Database!A358&amp;"  "&amp;Database!B358</f>
        <v/>
      </c>
      <c r="B358" s="10">
        <f>IFERROR(INDEX(BDS(Database!$A358&amp;" HK Equity","EQUITY_OFFERINGS","array=t","endcol=1"),MATCH("IPO",BDS(Database!$A358&amp;" HK Equity","EQUITY_OFFERINGS","array=t","startcol=2","endcol=2"),0)),"")</f>
        <v/>
      </c>
      <c r="C358" s="103">
        <f>IF($B358="","",IFERROR(BDP($B358&amp;" Action","CP036"),""))</f>
        <v/>
      </c>
      <c r="D358" s="104">
        <f>Database!S358</f>
        <v/>
      </c>
      <c r="E358" s="103">
        <f>IF($B358="","",IFERROR(BDP($B358&amp;" Action","CP037"),""))</f>
        <v/>
      </c>
      <c r="F358" s="104">
        <f>Database!T358</f>
        <v/>
      </c>
      <c r="G358" s="103">
        <f>IF($B358="","",IFERROR(BDP($B358&amp;" Action","GREENSHOE_FACILITY"),""))</f>
        <v/>
      </c>
      <c r="H358" s="103">
        <f>IF($B358="","",IFERROR(BDP($B358&amp;" Action","OFFERING_GREENSHOE_SHARES_EX"),""))</f>
        <v/>
      </c>
      <c r="I358" s="16">
        <f>Database!AG358</f>
        <v/>
      </c>
      <c r="J358" s="24">
        <f>IFERROR(BDP(Database!$A358&amp;" HK Equity","PE_RATIO"),"")</f>
        <v/>
      </c>
      <c r="K358" s="10">
        <f>IFERROR(BDP(Database!$A358&amp;" HK Equity","A/H_SHARE_CONVERSION"),"")</f>
        <v/>
      </c>
      <c r="L358" s="16">
        <f>IF(Database!BL358="","(none found)",Database!BL358)</f>
        <v/>
      </c>
      <c r="M358" s="18">
        <f>IFERROR(BDH(Database!$A358&amp;" HK Equity","CUR_MKT_CAP",Database!$H358,Database!$H358),"")</f>
        <v/>
      </c>
      <c r="N358" s="97">
        <f>Database!Q358</f>
        <v/>
      </c>
      <c r="O358" s="24">
        <f>IFERROR(BDH(Database!$A358&amp;" HK Equity","PE_RATIO",Database!$H358,Database!$H358),"")</f>
        <v/>
      </c>
      <c r="P358" s="101">
        <f>IF(Database!BF358="","(n/m or not derivable)",Database!BF358)</f>
        <v/>
      </c>
      <c r="Q358" s="24">
        <f>IF(Database!BL358="","",IFERROR(BDH(LEFT(Database!BL358,FIND(".",Database!BL358)-1)&amp;" CH Equity","PE_RATIO",Database!$H358,Database!$H358),""))</f>
        <v/>
      </c>
      <c r="R358" s="24">
        <f>IF(Database!BL358="","",IFERROR(BDH("HSAHP Index","PX_LAST",Database!$H358,Database!$H358),""))</f>
        <v/>
      </c>
      <c r="S358" s="24">
        <f>IFERROR(BDP(Database!$A358&amp;" HK Equity","PX_TO_SALES_RATIO"),"")</f>
        <v/>
      </c>
      <c r="T358" s="18">
        <f>IF(Database!BL358="","",IFERROR(BDP(LEFT(Database!BL358,FIND(".",Database!BL358)-1)&amp;" CH Equity","CUR_MKT_CAP"),""))</f>
        <v/>
      </c>
    </row>
    <row r="359">
      <c r="A359" s="16">
        <f>Database!A359&amp;"  "&amp;Database!B359</f>
        <v/>
      </c>
      <c r="B359" s="10">
        <f>IFERROR(INDEX(BDS(Database!$A359&amp;" HK Equity","EQUITY_OFFERINGS","array=t","endcol=1"),MATCH("IPO",BDS(Database!$A359&amp;" HK Equity","EQUITY_OFFERINGS","array=t","startcol=2","endcol=2"),0)),"")</f>
        <v/>
      </c>
      <c r="C359" s="103">
        <f>IF($B359="","",IFERROR(BDP($B359&amp;" Action","CP036"),""))</f>
        <v/>
      </c>
      <c r="D359" s="104">
        <f>Database!S359</f>
        <v/>
      </c>
      <c r="E359" s="103">
        <f>IF($B359="","",IFERROR(BDP($B359&amp;" Action","CP037"),""))</f>
        <v/>
      </c>
      <c r="F359" s="104">
        <f>Database!T359</f>
        <v/>
      </c>
      <c r="G359" s="103">
        <f>IF($B359="","",IFERROR(BDP($B359&amp;" Action","GREENSHOE_FACILITY"),""))</f>
        <v/>
      </c>
      <c r="H359" s="103">
        <f>IF($B359="","",IFERROR(BDP($B359&amp;" Action","OFFERING_GREENSHOE_SHARES_EX"),""))</f>
        <v/>
      </c>
      <c r="I359" s="16">
        <f>Database!AG359</f>
        <v/>
      </c>
      <c r="J359" s="24">
        <f>IFERROR(BDP(Database!$A359&amp;" HK Equity","PE_RATIO"),"")</f>
        <v/>
      </c>
      <c r="K359" s="10">
        <f>IFERROR(BDP(Database!$A359&amp;" HK Equity","A/H_SHARE_CONVERSION"),"")</f>
        <v/>
      </c>
      <c r="L359" s="16">
        <f>IF(Database!BL359="","(none found)",Database!BL359)</f>
        <v/>
      </c>
      <c r="M359" s="18">
        <f>IFERROR(BDH(Database!$A359&amp;" HK Equity","CUR_MKT_CAP",Database!$H359,Database!$H359),"")</f>
        <v/>
      </c>
      <c r="N359" s="97">
        <f>Database!Q359</f>
        <v/>
      </c>
      <c r="O359" s="24">
        <f>IFERROR(BDH(Database!$A359&amp;" HK Equity","PE_RATIO",Database!$H359,Database!$H359),"")</f>
        <v/>
      </c>
      <c r="P359" s="101">
        <f>IF(Database!BF359="","(n/m or not derivable)",Database!BF359)</f>
        <v/>
      </c>
      <c r="Q359" s="24">
        <f>IF(Database!BL359="","",IFERROR(BDH(LEFT(Database!BL359,FIND(".",Database!BL359)-1)&amp;" CH Equity","PE_RATIO",Database!$H359,Database!$H359),""))</f>
        <v/>
      </c>
      <c r="R359" s="24">
        <f>IF(Database!BL359="","",IFERROR(BDH("HSAHP Index","PX_LAST",Database!$H359,Database!$H359),""))</f>
        <v/>
      </c>
      <c r="S359" s="24">
        <f>IFERROR(BDP(Database!$A359&amp;" HK Equity","PX_TO_SALES_RATIO"),"")</f>
        <v/>
      </c>
      <c r="T359" s="18">
        <f>IF(Database!BL359="","",IFERROR(BDP(LEFT(Database!BL359,FIND(".",Database!BL359)-1)&amp;" CH Equity","CUR_MKT_CAP"),""))</f>
        <v/>
      </c>
    </row>
    <row r="360">
      <c r="A360" s="16">
        <f>Database!A360&amp;"  "&amp;Database!B360</f>
        <v/>
      </c>
      <c r="B360" s="10">
        <f>IFERROR(INDEX(BDS(Database!$A360&amp;" HK Equity","EQUITY_OFFERINGS","array=t","endcol=1"),MATCH("IPO",BDS(Database!$A360&amp;" HK Equity","EQUITY_OFFERINGS","array=t","startcol=2","endcol=2"),0)),"")</f>
        <v/>
      </c>
      <c r="C360" s="103">
        <f>IF($B360="","",IFERROR(BDP($B360&amp;" Action","CP036"),""))</f>
        <v/>
      </c>
      <c r="D360" s="104">
        <f>Database!S360</f>
        <v/>
      </c>
      <c r="E360" s="103">
        <f>IF($B360="","",IFERROR(BDP($B360&amp;" Action","CP037"),""))</f>
        <v/>
      </c>
      <c r="F360" s="104">
        <f>Database!T360</f>
        <v/>
      </c>
      <c r="G360" s="103">
        <f>IF($B360="","",IFERROR(BDP($B360&amp;" Action","GREENSHOE_FACILITY"),""))</f>
        <v/>
      </c>
      <c r="H360" s="103">
        <f>IF($B360="","",IFERROR(BDP($B360&amp;" Action","OFFERING_GREENSHOE_SHARES_EX"),""))</f>
        <v/>
      </c>
      <c r="I360" s="16">
        <f>Database!AG360</f>
        <v/>
      </c>
      <c r="J360" s="24">
        <f>IFERROR(BDP(Database!$A360&amp;" HK Equity","PE_RATIO"),"")</f>
        <v/>
      </c>
      <c r="K360" s="10">
        <f>IFERROR(BDP(Database!$A360&amp;" HK Equity","A/H_SHARE_CONVERSION"),"")</f>
        <v/>
      </c>
      <c r="L360" s="16">
        <f>IF(Database!BL360="","(none found)",Database!BL360)</f>
        <v/>
      </c>
      <c r="M360" s="18">
        <f>IFERROR(BDH(Database!$A360&amp;" HK Equity","CUR_MKT_CAP",Database!$H360,Database!$H360),"")</f>
        <v/>
      </c>
      <c r="N360" s="97">
        <f>Database!Q360</f>
        <v/>
      </c>
      <c r="O360" s="24">
        <f>IFERROR(BDH(Database!$A360&amp;" HK Equity","PE_RATIO",Database!$H360,Database!$H360),"")</f>
        <v/>
      </c>
      <c r="P360" s="101">
        <f>IF(Database!BF360="","(n/m or not derivable)",Database!BF360)</f>
        <v/>
      </c>
      <c r="Q360" s="24">
        <f>IF(Database!BL360="","",IFERROR(BDH(LEFT(Database!BL360,FIND(".",Database!BL360)-1)&amp;" CH Equity","PE_RATIO",Database!$H360,Database!$H360),""))</f>
        <v/>
      </c>
      <c r="R360" s="24">
        <f>IF(Database!BL360="","",IFERROR(BDH("HSAHP Index","PX_LAST",Database!$H360,Database!$H360),""))</f>
        <v/>
      </c>
      <c r="S360" s="24">
        <f>IFERROR(BDP(Database!$A360&amp;" HK Equity","PX_TO_SALES_RATIO"),"")</f>
        <v/>
      </c>
      <c r="T360" s="18">
        <f>IF(Database!BL360="","",IFERROR(BDP(LEFT(Database!BL360,FIND(".",Database!BL360)-1)&amp;" CH Equity","CUR_MKT_CAP"),""))</f>
        <v/>
      </c>
    </row>
    <row r="361">
      <c r="A361" s="16">
        <f>Database!A361&amp;"  "&amp;Database!B361</f>
        <v/>
      </c>
      <c r="B361" s="10">
        <f>IFERROR(INDEX(BDS(Database!$A361&amp;" HK Equity","EQUITY_OFFERINGS","array=t","endcol=1"),MATCH("IPO",BDS(Database!$A361&amp;" HK Equity","EQUITY_OFFERINGS","array=t","startcol=2","endcol=2"),0)),"")</f>
        <v/>
      </c>
      <c r="C361" s="103">
        <f>IF($B361="","",IFERROR(BDP($B361&amp;" Action","CP036"),""))</f>
        <v/>
      </c>
      <c r="D361" s="104">
        <f>Database!S361</f>
        <v/>
      </c>
      <c r="E361" s="103">
        <f>IF($B361="","",IFERROR(BDP($B361&amp;" Action","CP037"),""))</f>
        <v/>
      </c>
      <c r="F361" s="104">
        <f>Database!T361</f>
        <v/>
      </c>
      <c r="G361" s="103">
        <f>IF($B361="","",IFERROR(BDP($B361&amp;" Action","GREENSHOE_FACILITY"),""))</f>
        <v/>
      </c>
      <c r="H361" s="103">
        <f>IF($B361="","",IFERROR(BDP($B361&amp;" Action","OFFERING_GREENSHOE_SHARES_EX"),""))</f>
        <v/>
      </c>
      <c r="I361" s="16">
        <f>Database!AG361</f>
        <v/>
      </c>
      <c r="J361" s="24">
        <f>IFERROR(BDP(Database!$A361&amp;" HK Equity","PE_RATIO"),"")</f>
        <v/>
      </c>
      <c r="K361" s="10">
        <f>IFERROR(BDP(Database!$A361&amp;" HK Equity","A/H_SHARE_CONVERSION"),"")</f>
        <v/>
      </c>
      <c r="L361" s="16">
        <f>IF(Database!BL361="","(none found)",Database!BL361)</f>
        <v/>
      </c>
      <c r="M361" s="18">
        <f>IFERROR(BDH(Database!$A361&amp;" HK Equity","CUR_MKT_CAP",Database!$H361,Database!$H361),"")</f>
        <v/>
      </c>
      <c r="N361" s="97">
        <f>Database!Q361</f>
        <v/>
      </c>
      <c r="O361" s="24">
        <f>IFERROR(BDH(Database!$A361&amp;" HK Equity","PE_RATIO",Database!$H361,Database!$H361),"")</f>
        <v/>
      </c>
      <c r="P361" s="101">
        <f>IF(Database!BF361="","(n/m or not derivable)",Database!BF361)</f>
        <v/>
      </c>
      <c r="Q361" s="24">
        <f>IF(Database!BL361="","",IFERROR(BDH(LEFT(Database!BL361,FIND(".",Database!BL361)-1)&amp;" CH Equity","PE_RATIO",Database!$H361,Database!$H361),""))</f>
        <v/>
      </c>
      <c r="R361" s="24">
        <f>IF(Database!BL361="","",IFERROR(BDH("HSAHP Index","PX_LAST",Database!$H361,Database!$H361),""))</f>
        <v/>
      </c>
      <c r="S361" s="24">
        <f>IFERROR(BDP(Database!$A361&amp;" HK Equity","PX_TO_SALES_RATIO"),"")</f>
        <v/>
      </c>
      <c r="T361" s="18">
        <f>IF(Database!BL361="","",IFERROR(BDP(LEFT(Database!BL361,FIND(".",Database!BL361)-1)&amp;" CH Equity","CUR_MKT_CAP"),""))</f>
        <v/>
      </c>
    </row>
    <row r="362">
      <c r="A362" s="16">
        <f>Database!A362&amp;"  "&amp;Database!B362</f>
        <v/>
      </c>
      <c r="B362" s="10">
        <f>IFERROR(INDEX(BDS(Database!$A362&amp;" HK Equity","EQUITY_OFFERINGS","array=t","endcol=1"),MATCH("IPO",BDS(Database!$A362&amp;" HK Equity","EQUITY_OFFERINGS","array=t","startcol=2","endcol=2"),0)),"")</f>
        <v/>
      </c>
      <c r="C362" s="103">
        <f>IF($B362="","",IFERROR(BDP($B362&amp;" Action","CP036"),""))</f>
        <v/>
      </c>
      <c r="D362" s="104">
        <f>Database!S362</f>
        <v/>
      </c>
      <c r="E362" s="103">
        <f>IF($B362="","",IFERROR(BDP($B362&amp;" Action","CP037"),""))</f>
        <v/>
      </c>
      <c r="F362" s="104">
        <f>Database!T362</f>
        <v/>
      </c>
      <c r="G362" s="103">
        <f>IF($B362="","",IFERROR(BDP($B362&amp;" Action","GREENSHOE_FACILITY"),""))</f>
        <v/>
      </c>
      <c r="H362" s="103">
        <f>IF($B362="","",IFERROR(BDP($B362&amp;" Action","OFFERING_GREENSHOE_SHARES_EX"),""))</f>
        <v/>
      </c>
      <c r="I362" s="16">
        <f>Database!AG362</f>
        <v/>
      </c>
      <c r="J362" s="24">
        <f>IFERROR(BDP(Database!$A362&amp;" HK Equity","PE_RATIO"),"")</f>
        <v/>
      </c>
      <c r="K362" s="10">
        <f>IFERROR(BDP(Database!$A362&amp;" HK Equity","A/H_SHARE_CONVERSION"),"")</f>
        <v/>
      </c>
      <c r="L362" s="16">
        <f>IF(Database!BL362="","(none found)",Database!BL362)</f>
        <v/>
      </c>
      <c r="M362" s="18">
        <f>IFERROR(BDH(Database!$A362&amp;" HK Equity","CUR_MKT_CAP",Database!$H362,Database!$H362),"")</f>
        <v/>
      </c>
      <c r="N362" s="97">
        <f>Database!Q362</f>
        <v/>
      </c>
      <c r="O362" s="24">
        <f>IFERROR(BDH(Database!$A362&amp;" HK Equity","PE_RATIO",Database!$H362,Database!$H362),"")</f>
        <v/>
      </c>
      <c r="P362" s="101">
        <f>IF(Database!BF362="","(n/m or not derivable)",Database!BF362)</f>
        <v/>
      </c>
      <c r="Q362" s="24">
        <f>IF(Database!BL362="","",IFERROR(BDH(LEFT(Database!BL362,FIND(".",Database!BL362)-1)&amp;" CH Equity","PE_RATIO",Database!$H362,Database!$H362),""))</f>
        <v/>
      </c>
      <c r="R362" s="24">
        <f>IF(Database!BL362="","",IFERROR(BDH("HSAHP Index","PX_LAST",Database!$H362,Database!$H362),""))</f>
        <v/>
      </c>
      <c r="S362" s="24">
        <f>IFERROR(BDP(Database!$A362&amp;" HK Equity","PX_TO_SALES_RATIO"),"")</f>
        <v/>
      </c>
      <c r="T362" s="18">
        <f>IF(Database!BL362="","",IFERROR(BDP(LEFT(Database!BL362,FIND(".",Database!BL362)-1)&amp;" CH Equity","CUR_MKT_CAP"),""))</f>
        <v/>
      </c>
    </row>
    <row r="363">
      <c r="A363" s="16">
        <f>Database!A363&amp;"  "&amp;Database!B363</f>
        <v/>
      </c>
      <c r="B363" s="10">
        <f>IFERROR(INDEX(BDS(Database!$A363&amp;" HK Equity","EQUITY_OFFERINGS","array=t","endcol=1"),MATCH("IPO",BDS(Database!$A363&amp;" HK Equity","EQUITY_OFFERINGS","array=t","startcol=2","endcol=2"),0)),"")</f>
        <v/>
      </c>
      <c r="C363" s="103">
        <f>IF($B363="","",IFERROR(BDP($B363&amp;" Action","CP036"),""))</f>
        <v/>
      </c>
      <c r="D363" s="104">
        <f>Database!S363</f>
        <v/>
      </c>
      <c r="E363" s="103">
        <f>IF($B363="","",IFERROR(BDP($B363&amp;" Action","CP037"),""))</f>
        <v/>
      </c>
      <c r="F363" s="104">
        <f>Database!T363</f>
        <v/>
      </c>
      <c r="G363" s="103">
        <f>IF($B363="","",IFERROR(BDP($B363&amp;" Action","GREENSHOE_FACILITY"),""))</f>
        <v/>
      </c>
      <c r="H363" s="103">
        <f>IF($B363="","",IFERROR(BDP($B363&amp;" Action","OFFERING_GREENSHOE_SHARES_EX"),""))</f>
        <v/>
      </c>
      <c r="I363" s="16">
        <f>Database!AG363</f>
        <v/>
      </c>
      <c r="J363" s="24">
        <f>IFERROR(BDP(Database!$A363&amp;" HK Equity","PE_RATIO"),"")</f>
        <v/>
      </c>
      <c r="K363" s="10">
        <f>IFERROR(BDP(Database!$A363&amp;" HK Equity","A/H_SHARE_CONVERSION"),"")</f>
        <v/>
      </c>
      <c r="L363" s="16">
        <f>IF(Database!BL363="","(none found)",Database!BL363)</f>
        <v/>
      </c>
      <c r="M363" s="18">
        <f>IFERROR(BDH(Database!$A363&amp;" HK Equity","CUR_MKT_CAP",Database!$H363,Database!$H363),"")</f>
        <v/>
      </c>
      <c r="N363" s="97">
        <f>Database!Q363</f>
        <v/>
      </c>
      <c r="O363" s="24">
        <f>IFERROR(BDH(Database!$A363&amp;" HK Equity","PE_RATIO",Database!$H363,Database!$H363),"")</f>
        <v/>
      </c>
      <c r="P363" s="101">
        <f>IF(Database!BF363="","(n/m or not derivable)",Database!BF363)</f>
        <v/>
      </c>
      <c r="Q363" s="24">
        <f>IF(Database!BL363="","",IFERROR(BDH(LEFT(Database!BL363,FIND(".",Database!BL363)-1)&amp;" CH Equity","PE_RATIO",Database!$H363,Database!$H363),""))</f>
        <v/>
      </c>
      <c r="R363" s="24">
        <f>IF(Database!BL363="","",IFERROR(BDH("HSAHP Index","PX_LAST",Database!$H363,Database!$H363),""))</f>
        <v/>
      </c>
      <c r="S363" s="24">
        <f>IFERROR(BDP(Database!$A363&amp;" HK Equity","PX_TO_SALES_RATIO"),"")</f>
        <v/>
      </c>
      <c r="T363" s="18">
        <f>IF(Database!BL363="","",IFERROR(BDP(LEFT(Database!BL363,FIND(".",Database!BL363)-1)&amp;" CH Equity","CUR_MKT_CAP"),""))</f>
        <v/>
      </c>
    </row>
    <row r="364">
      <c r="A364" s="16">
        <f>Database!A364&amp;"  "&amp;Database!B364</f>
        <v/>
      </c>
      <c r="B364" s="10">
        <f>IFERROR(INDEX(BDS(Database!$A364&amp;" HK Equity","EQUITY_OFFERINGS","array=t","endcol=1"),MATCH("IPO",BDS(Database!$A364&amp;" HK Equity","EQUITY_OFFERINGS","array=t","startcol=2","endcol=2"),0)),"")</f>
        <v/>
      </c>
      <c r="C364" s="103">
        <f>IF($B364="","",IFERROR(BDP($B364&amp;" Action","CP036"),""))</f>
        <v/>
      </c>
      <c r="D364" s="104">
        <f>Database!S364</f>
        <v/>
      </c>
      <c r="E364" s="103">
        <f>IF($B364="","",IFERROR(BDP($B364&amp;" Action","CP037"),""))</f>
        <v/>
      </c>
      <c r="F364" s="104">
        <f>Database!T364</f>
        <v/>
      </c>
      <c r="G364" s="103">
        <f>IF($B364="","",IFERROR(BDP($B364&amp;" Action","GREENSHOE_FACILITY"),""))</f>
        <v/>
      </c>
      <c r="H364" s="103">
        <f>IF($B364="","",IFERROR(BDP($B364&amp;" Action","OFFERING_GREENSHOE_SHARES_EX"),""))</f>
        <v/>
      </c>
      <c r="I364" s="16">
        <f>Database!AG364</f>
        <v/>
      </c>
      <c r="J364" s="24">
        <f>IFERROR(BDP(Database!$A364&amp;" HK Equity","PE_RATIO"),"")</f>
        <v/>
      </c>
      <c r="K364" s="10">
        <f>IFERROR(BDP(Database!$A364&amp;" HK Equity","A/H_SHARE_CONVERSION"),"")</f>
        <v/>
      </c>
      <c r="L364" s="16">
        <f>IF(Database!BL364="","(none found)",Database!BL364)</f>
        <v/>
      </c>
      <c r="M364" s="18">
        <f>IFERROR(BDH(Database!$A364&amp;" HK Equity","CUR_MKT_CAP",Database!$H364,Database!$H364),"")</f>
        <v/>
      </c>
      <c r="N364" s="97">
        <f>Database!Q364</f>
        <v/>
      </c>
      <c r="O364" s="24">
        <f>IFERROR(BDH(Database!$A364&amp;" HK Equity","PE_RATIO",Database!$H364,Database!$H364),"")</f>
        <v/>
      </c>
      <c r="P364" s="101">
        <f>IF(Database!BF364="","(n/m or not derivable)",Database!BF364)</f>
        <v/>
      </c>
      <c r="Q364" s="24">
        <f>IF(Database!BL364="","",IFERROR(BDH(LEFT(Database!BL364,FIND(".",Database!BL364)-1)&amp;" CH Equity","PE_RATIO",Database!$H364,Database!$H364),""))</f>
        <v/>
      </c>
      <c r="R364" s="24">
        <f>IF(Database!BL364="","",IFERROR(BDH("HSAHP Index","PX_LAST",Database!$H364,Database!$H364),""))</f>
        <v/>
      </c>
      <c r="S364" s="24">
        <f>IFERROR(BDP(Database!$A364&amp;" HK Equity","PX_TO_SALES_RATIO"),"")</f>
        <v/>
      </c>
      <c r="T364" s="18">
        <f>IF(Database!BL364="","",IFERROR(BDP(LEFT(Database!BL364,FIND(".",Database!BL364)-1)&amp;" CH Equity","CUR_MKT_CAP"),""))</f>
        <v/>
      </c>
    </row>
    <row r="365">
      <c r="A365" s="16">
        <f>Database!A365&amp;"  "&amp;Database!B365</f>
        <v/>
      </c>
      <c r="B365" s="10">
        <f>IFERROR(INDEX(BDS(Database!$A365&amp;" HK Equity","EQUITY_OFFERINGS","array=t","endcol=1"),MATCH("IPO",BDS(Database!$A365&amp;" HK Equity","EQUITY_OFFERINGS","array=t","startcol=2","endcol=2"),0)),"")</f>
        <v/>
      </c>
      <c r="C365" s="103">
        <f>IF($B365="","",IFERROR(BDP($B365&amp;" Action","CP036"),""))</f>
        <v/>
      </c>
      <c r="D365" s="104">
        <f>Database!S365</f>
        <v/>
      </c>
      <c r="E365" s="103">
        <f>IF($B365="","",IFERROR(BDP($B365&amp;" Action","CP037"),""))</f>
        <v/>
      </c>
      <c r="F365" s="104">
        <f>Database!T365</f>
        <v/>
      </c>
      <c r="G365" s="103">
        <f>IF($B365="","",IFERROR(BDP($B365&amp;" Action","GREENSHOE_FACILITY"),""))</f>
        <v/>
      </c>
      <c r="H365" s="103">
        <f>IF($B365="","",IFERROR(BDP($B365&amp;" Action","OFFERING_GREENSHOE_SHARES_EX"),""))</f>
        <v/>
      </c>
      <c r="I365" s="16">
        <f>Database!AG365</f>
        <v/>
      </c>
      <c r="J365" s="24">
        <f>IFERROR(BDP(Database!$A365&amp;" HK Equity","PE_RATIO"),"")</f>
        <v/>
      </c>
      <c r="K365" s="10">
        <f>IFERROR(BDP(Database!$A365&amp;" HK Equity","A/H_SHARE_CONVERSION"),"")</f>
        <v/>
      </c>
      <c r="L365" s="16">
        <f>IF(Database!BL365="","(none found)",Database!BL365)</f>
        <v/>
      </c>
      <c r="M365" s="18">
        <f>IFERROR(BDH(Database!$A365&amp;" HK Equity","CUR_MKT_CAP",Database!$H365,Database!$H365),"")</f>
        <v/>
      </c>
      <c r="N365" s="97">
        <f>Database!Q365</f>
        <v/>
      </c>
      <c r="O365" s="24">
        <f>IFERROR(BDH(Database!$A365&amp;" HK Equity","PE_RATIO",Database!$H365,Database!$H365),"")</f>
        <v/>
      </c>
      <c r="P365" s="101">
        <f>IF(Database!BF365="","(n/m or not derivable)",Database!BF365)</f>
        <v/>
      </c>
      <c r="Q365" s="24">
        <f>IF(Database!BL365="","",IFERROR(BDH(LEFT(Database!BL365,FIND(".",Database!BL365)-1)&amp;" CH Equity","PE_RATIO",Database!$H365,Database!$H365),""))</f>
        <v/>
      </c>
      <c r="R365" s="24">
        <f>IF(Database!BL365="","",IFERROR(BDH("HSAHP Index","PX_LAST",Database!$H365,Database!$H365),""))</f>
        <v/>
      </c>
      <c r="S365" s="24">
        <f>IFERROR(BDP(Database!$A365&amp;" HK Equity","PX_TO_SALES_RATIO"),"")</f>
        <v/>
      </c>
      <c r="T365" s="18">
        <f>IF(Database!BL365="","",IFERROR(BDP(LEFT(Database!BL365,FIND(".",Database!BL365)-1)&amp;" CH Equity","CUR_MKT_CAP"),""))</f>
        <v/>
      </c>
    </row>
    <row r="366">
      <c r="A366" s="16">
        <f>Database!A366&amp;"  "&amp;Database!B366</f>
        <v/>
      </c>
      <c r="B366" s="10">
        <f>IFERROR(INDEX(BDS(Database!$A366&amp;" HK Equity","EQUITY_OFFERINGS","array=t","endcol=1"),MATCH("IPO",BDS(Database!$A366&amp;" HK Equity","EQUITY_OFFERINGS","array=t","startcol=2","endcol=2"),0)),"")</f>
        <v/>
      </c>
      <c r="C366" s="103">
        <f>IF($B366="","",IFERROR(BDP($B366&amp;" Action","CP036"),""))</f>
        <v/>
      </c>
      <c r="D366" s="104">
        <f>Database!S366</f>
        <v/>
      </c>
      <c r="E366" s="103">
        <f>IF($B366="","",IFERROR(BDP($B366&amp;" Action","CP037"),""))</f>
        <v/>
      </c>
      <c r="F366" s="104">
        <f>Database!T366</f>
        <v/>
      </c>
      <c r="G366" s="103">
        <f>IF($B366="","",IFERROR(BDP($B366&amp;" Action","GREENSHOE_FACILITY"),""))</f>
        <v/>
      </c>
      <c r="H366" s="103">
        <f>IF($B366="","",IFERROR(BDP($B366&amp;" Action","OFFERING_GREENSHOE_SHARES_EX"),""))</f>
        <v/>
      </c>
      <c r="I366" s="16">
        <f>Database!AG366</f>
        <v/>
      </c>
      <c r="J366" s="24">
        <f>IFERROR(BDP(Database!$A366&amp;" HK Equity","PE_RATIO"),"")</f>
        <v/>
      </c>
      <c r="K366" s="10">
        <f>IFERROR(BDP(Database!$A366&amp;" HK Equity","A/H_SHARE_CONVERSION"),"")</f>
        <v/>
      </c>
      <c r="L366" s="16">
        <f>IF(Database!BL366="","(none found)",Database!BL366)</f>
        <v/>
      </c>
      <c r="M366" s="18">
        <f>IFERROR(BDH(Database!$A366&amp;" HK Equity","CUR_MKT_CAP",Database!$H366,Database!$H366),"")</f>
        <v/>
      </c>
      <c r="N366" s="97">
        <f>Database!Q366</f>
        <v/>
      </c>
      <c r="O366" s="24">
        <f>IFERROR(BDH(Database!$A366&amp;" HK Equity","PE_RATIO",Database!$H366,Database!$H366),"")</f>
        <v/>
      </c>
      <c r="P366" s="101">
        <f>IF(Database!BF366="","(n/m or not derivable)",Database!BF366)</f>
        <v/>
      </c>
      <c r="Q366" s="24">
        <f>IF(Database!BL366="","",IFERROR(BDH(LEFT(Database!BL366,FIND(".",Database!BL366)-1)&amp;" CH Equity","PE_RATIO",Database!$H366,Database!$H366),""))</f>
        <v/>
      </c>
      <c r="R366" s="24">
        <f>IF(Database!BL366="","",IFERROR(BDH("HSAHP Index","PX_LAST",Database!$H366,Database!$H366),""))</f>
        <v/>
      </c>
      <c r="S366" s="24">
        <f>IFERROR(BDP(Database!$A366&amp;" HK Equity","PX_TO_SALES_RATIO"),"")</f>
        <v/>
      </c>
      <c r="T366" s="18">
        <f>IF(Database!BL366="","",IFERROR(BDP(LEFT(Database!BL366,FIND(".",Database!BL366)-1)&amp;" CH Equity","CUR_MKT_CAP"),""))</f>
        <v/>
      </c>
    </row>
    <row r="367">
      <c r="A367" s="16">
        <f>Database!A367&amp;"  "&amp;Database!B367</f>
        <v/>
      </c>
      <c r="B367" s="10">
        <f>IFERROR(INDEX(BDS(Database!$A367&amp;" HK Equity","EQUITY_OFFERINGS","array=t","endcol=1"),MATCH("IPO",BDS(Database!$A367&amp;" HK Equity","EQUITY_OFFERINGS","array=t","startcol=2","endcol=2"),0)),"")</f>
        <v/>
      </c>
      <c r="C367" s="103">
        <f>IF($B367="","",IFERROR(BDP($B367&amp;" Action","CP036"),""))</f>
        <v/>
      </c>
      <c r="D367" s="104">
        <f>Database!S367</f>
        <v/>
      </c>
      <c r="E367" s="103">
        <f>IF($B367="","",IFERROR(BDP($B367&amp;" Action","CP037"),""))</f>
        <v/>
      </c>
      <c r="F367" s="104">
        <f>Database!T367</f>
        <v/>
      </c>
      <c r="G367" s="103">
        <f>IF($B367="","",IFERROR(BDP($B367&amp;" Action","GREENSHOE_FACILITY"),""))</f>
        <v/>
      </c>
      <c r="H367" s="103">
        <f>IF($B367="","",IFERROR(BDP($B367&amp;" Action","OFFERING_GREENSHOE_SHARES_EX"),""))</f>
        <v/>
      </c>
      <c r="I367" s="16">
        <f>Database!AG367</f>
        <v/>
      </c>
      <c r="J367" s="24">
        <f>IFERROR(BDP(Database!$A367&amp;" HK Equity","PE_RATIO"),"")</f>
        <v/>
      </c>
      <c r="K367" s="10">
        <f>IFERROR(BDP(Database!$A367&amp;" HK Equity","A/H_SHARE_CONVERSION"),"")</f>
        <v/>
      </c>
      <c r="L367" s="16">
        <f>IF(Database!BL367="","(none found)",Database!BL367)</f>
        <v/>
      </c>
      <c r="M367" s="18">
        <f>IFERROR(BDH(Database!$A367&amp;" HK Equity","CUR_MKT_CAP",Database!$H367,Database!$H367),"")</f>
        <v/>
      </c>
      <c r="N367" s="97">
        <f>Database!Q367</f>
        <v/>
      </c>
      <c r="O367" s="24">
        <f>IFERROR(BDH(Database!$A367&amp;" HK Equity","PE_RATIO",Database!$H367,Database!$H367),"")</f>
        <v/>
      </c>
      <c r="P367" s="101">
        <f>IF(Database!BF367="","(n/m or not derivable)",Database!BF367)</f>
        <v/>
      </c>
      <c r="Q367" s="24">
        <f>IF(Database!BL367="","",IFERROR(BDH(LEFT(Database!BL367,FIND(".",Database!BL367)-1)&amp;" CH Equity","PE_RATIO",Database!$H367,Database!$H367),""))</f>
        <v/>
      </c>
      <c r="R367" s="24">
        <f>IF(Database!BL367="","",IFERROR(BDH("HSAHP Index","PX_LAST",Database!$H367,Database!$H367),""))</f>
        <v/>
      </c>
      <c r="S367" s="24">
        <f>IFERROR(BDP(Database!$A367&amp;" HK Equity","PX_TO_SALES_RATIO"),"")</f>
        <v/>
      </c>
      <c r="T367" s="18">
        <f>IF(Database!BL367="","",IFERROR(BDP(LEFT(Database!BL367,FIND(".",Database!BL367)-1)&amp;" CH Equity","CUR_MKT_CAP"),""))</f>
        <v/>
      </c>
    </row>
    <row r="368">
      <c r="A368" s="16">
        <f>Database!A368&amp;"  "&amp;Database!B368</f>
        <v/>
      </c>
      <c r="B368" s="10">
        <f>IFERROR(INDEX(BDS(Database!$A368&amp;" HK Equity","EQUITY_OFFERINGS","array=t","endcol=1"),MATCH("IPO",BDS(Database!$A368&amp;" HK Equity","EQUITY_OFFERINGS","array=t","startcol=2","endcol=2"),0)),"")</f>
        <v/>
      </c>
      <c r="C368" s="103">
        <f>IF($B368="","",IFERROR(BDP($B368&amp;" Action","CP036"),""))</f>
        <v/>
      </c>
      <c r="D368" s="104">
        <f>Database!S368</f>
        <v/>
      </c>
      <c r="E368" s="103">
        <f>IF($B368="","",IFERROR(BDP($B368&amp;" Action","CP037"),""))</f>
        <v/>
      </c>
      <c r="F368" s="104">
        <f>Database!T368</f>
        <v/>
      </c>
      <c r="G368" s="103">
        <f>IF($B368="","",IFERROR(BDP($B368&amp;" Action","GREENSHOE_FACILITY"),""))</f>
        <v/>
      </c>
      <c r="H368" s="103">
        <f>IF($B368="","",IFERROR(BDP($B368&amp;" Action","OFFERING_GREENSHOE_SHARES_EX"),""))</f>
        <v/>
      </c>
      <c r="I368" s="16">
        <f>Database!AG368</f>
        <v/>
      </c>
      <c r="J368" s="24">
        <f>IFERROR(BDP(Database!$A368&amp;" HK Equity","PE_RATIO"),"")</f>
        <v/>
      </c>
      <c r="K368" s="10">
        <f>IFERROR(BDP(Database!$A368&amp;" HK Equity","A/H_SHARE_CONVERSION"),"")</f>
        <v/>
      </c>
      <c r="L368" s="16">
        <f>IF(Database!BL368="","(none found)",Database!BL368)</f>
        <v/>
      </c>
      <c r="M368" s="18">
        <f>IFERROR(BDH(Database!$A368&amp;" HK Equity","CUR_MKT_CAP",Database!$H368,Database!$H368),"")</f>
        <v/>
      </c>
      <c r="N368" s="97">
        <f>Database!Q368</f>
        <v/>
      </c>
      <c r="O368" s="24">
        <f>IFERROR(BDH(Database!$A368&amp;" HK Equity","PE_RATIO",Database!$H368,Database!$H368),"")</f>
        <v/>
      </c>
      <c r="P368" s="101">
        <f>IF(Database!BF368="","(n/m or not derivable)",Database!BF368)</f>
        <v/>
      </c>
      <c r="Q368" s="24">
        <f>IF(Database!BL368="","",IFERROR(BDH(LEFT(Database!BL368,FIND(".",Database!BL368)-1)&amp;" CH Equity","PE_RATIO",Database!$H368,Database!$H368),""))</f>
        <v/>
      </c>
      <c r="R368" s="24">
        <f>IF(Database!BL368="","",IFERROR(BDH("HSAHP Index","PX_LAST",Database!$H368,Database!$H368),""))</f>
        <v/>
      </c>
      <c r="S368" s="24">
        <f>IFERROR(BDP(Database!$A368&amp;" HK Equity","PX_TO_SALES_RATIO"),"")</f>
        <v/>
      </c>
      <c r="T368" s="18">
        <f>IF(Database!BL368="","",IFERROR(BDP(LEFT(Database!BL368,FIND(".",Database!BL368)-1)&amp;" CH Equity","CUR_MKT_CAP"),""))</f>
        <v/>
      </c>
    </row>
    <row r="369">
      <c r="A369" s="16">
        <f>Database!A369&amp;"  "&amp;Database!B369</f>
        <v/>
      </c>
      <c r="B369" s="10">
        <f>IFERROR(INDEX(BDS(Database!$A369&amp;" HK Equity","EQUITY_OFFERINGS","array=t","endcol=1"),MATCH("IPO",BDS(Database!$A369&amp;" HK Equity","EQUITY_OFFERINGS","array=t","startcol=2","endcol=2"),0)),"")</f>
        <v/>
      </c>
      <c r="C369" s="103">
        <f>IF($B369="","",IFERROR(BDP($B369&amp;" Action","CP036"),""))</f>
        <v/>
      </c>
      <c r="D369" s="104">
        <f>Database!S369</f>
        <v/>
      </c>
      <c r="E369" s="103">
        <f>IF($B369="","",IFERROR(BDP($B369&amp;" Action","CP037"),""))</f>
        <v/>
      </c>
      <c r="F369" s="104">
        <f>Database!T369</f>
        <v/>
      </c>
      <c r="G369" s="103">
        <f>IF($B369="","",IFERROR(BDP($B369&amp;" Action","GREENSHOE_FACILITY"),""))</f>
        <v/>
      </c>
      <c r="H369" s="103">
        <f>IF($B369="","",IFERROR(BDP($B369&amp;" Action","OFFERING_GREENSHOE_SHARES_EX"),""))</f>
        <v/>
      </c>
      <c r="I369" s="16">
        <f>Database!AG369</f>
        <v/>
      </c>
      <c r="J369" s="24">
        <f>IFERROR(BDP(Database!$A369&amp;" HK Equity","PE_RATIO"),"")</f>
        <v/>
      </c>
      <c r="K369" s="10">
        <f>IFERROR(BDP(Database!$A369&amp;" HK Equity","A/H_SHARE_CONVERSION"),"")</f>
        <v/>
      </c>
      <c r="L369" s="16">
        <f>IF(Database!BL369="","(none found)",Database!BL369)</f>
        <v/>
      </c>
      <c r="M369" s="18">
        <f>IFERROR(BDH(Database!$A369&amp;" HK Equity","CUR_MKT_CAP",Database!$H369,Database!$H369),"")</f>
        <v/>
      </c>
      <c r="N369" s="97">
        <f>Database!Q369</f>
        <v/>
      </c>
      <c r="O369" s="24">
        <f>IFERROR(BDH(Database!$A369&amp;" HK Equity","PE_RATIO",Database!$H369,Database!$H369),"")</f>
        <v/>
      </c>
      <c r="P369" s="101">
        <f>IF(Database!BF369="","(n/m or not derivable)",Database!BF369)</f>
        <v/>
      </c>
      <c r="Q369" s="24">
        <f>IF(Database!BL369="","",IFERROR(BDH(LEFT(Database!BL369,FIND(".",Database!BL369)-1)&amp;" CH Equity","PE_RATIO",Database!$H369,Database!$H369),""))</f>
        <v/>
      </c>
      <c r="R369" s="24">
        <f>IF(Database!BL369="","",IFERROR(BDH("HSAHP Index","PX_LAST",Database!$H369,Database!$H369),""))</f>
        <v/>
      </c>
      <c r="S369" s="24">
        <f>IFERROR(BDP(Database!$A369&amp;" HK Equity","PX_TO_SALES_RATIO"),"")</f>
        <v/>
      </c>
      <c r="T369" s="18">
        <f>IF(Database!BL369="","",IFERROR(BDP(LEFT(Database!BL369,FIND(".",Database!BL369)-1)&amp;" CH Equity","CUR_MKT_CAP"),""))</f>
        <v/>
      </c>
    </row>
    <row r="370">
      <c r="A370" s="16">
        <f>Database!A370&amp;"  "&amp;Database!B370</f>
        <v/>
      </c>
      <c r="B370" s="10">
        <f>IFERROR(INDEX(BDS(Database!$A370&amp;" HK Equity","EQUITY_OFFERINGS","array=t","endcol=1"),MATCH("IPO",BDS(Database!$A370&amp;" HK Equity","EQUITY_OFFERINGS","array=t","startcol=2","endcol=2"),0)),"")</f>
        <v/>
      </c>
      <c r="C370" s="103">
        <f>IF($B370="","",IFERROR(BDP($B370&amp;" Action","CP036"),""))</f>
        <v/>
      </c>
      <c r="D370" s="104">
        <f>Database!S370</f>
        <v/>
      </c>
      <c r="E370" s="103">
        <f>IF($B370="","",IFERROR(BDP($B370&amp;" Action","CP037"),""))</f>
        <v/>
      </c>
      <c r="F370" s="104">
        <f>Database!T370</f>
        <v/>
      </c>
      <c r="G370" s="103">
        <f>IF($B370="","",IFERROR(BDP($B370&amp;" Action","GREENSHOE_FACILITY"),""))</f>
        <v/>
      </c>
      <c r="H370" s="103">
        <f>IF($B370="","",IFERROR(BDP($B370&amp;" Action","OFFERING_GREENSHOE_SHARES_EX"),""))</f>
        <v/>
      </c>
      <c r="I370" s="16">
        <f>Database!AG370</f>
        <v/>
      </c>
      <c r="J370" s="24">
        <f>IFERROR(BDP(Database!$A370&amp;" HK Equity","PE_RATIO"),"")</f>
        <v/>
      </c>
      <c r="K370" s="10">
        <f>IFERROR(BDP(Database!$A370&amp;" HK Equity","A/H_SHARE_CONVERSION"),"")</f>
        <v/>
      </c>
      <c r="L370" s="16">
        <f>IF(Database!BL370="","(none found)",Database!BL370)</f>
        <v/>
      </c>
      <c r="M370" s="18">
        <f>IFERROR(BDH(Database!$A370&amp;" HK Equity","CUR_MKT_CAP",Database!$H370,Database!$H370),"")</f>
        <v/>
      </c>
      <c r="N370" s="97">
        <f>Database!Q370</f>
        <v/>
      </c>
      <c r="O370" s="24">
        <f>IFERROR(BDH(Database!$A370&amp;" HK Equity","PE_RATIO",Database!$H370,Database!$H370),"")</f>
        <v/>
      </c>
      <c r="P370" s="101">
        <f>IF(Database!BF370="","(n/m or not derivable)",Database!BF370)</f>
        <v/>
      </c>
      <c r="Q370" s="24">
        <f>IF(Database!BL370="","",IFERROR(BDH(LEFT(Database!BL370,FIND(".",Database!BL370)-1)&amp;" CH Equity","PE_RATIO",Database!$H370,Database!$H370),""))</f>
        <v/>
      </c>
      <c r="R370" s="24">
        <f>IF(Database!BL370="","",IFERROR(BDH("HSAHP Index","PX_LAST",Database!$H370,Database!$H370),""))</f>
        <v/>
      </c>
      <c r="S370" s="24">
        <f>IFERROR(BDP(Database!$A370&amp;" HK Equity","PX_TO_SALES_RATIO"),"")</f>
        <v/>
      </c>
      <c r="T370" s="18">
        <f>IF(Database!BL370="","",IFERROR(BDP(LEFT(Database!BL370,FIND(".",Database!BL370)-1)&amp;" CH Equity","CUR_MKT_CAP"),""))</f>
        <v/>
      </c>
    </row>
    <row r="371">
      <c r="A371" s="16">
        <f>Database!A371&amp;"  "&amp;Database!B371</f>
        <v/>
      </c>
      <c r="B371" s="10">
        <f>IFERROR(INDEX(BDS(Database!$A371&amp;" HK Equity","EQUITY_OFFERINGS","array=t","endcol=1"),MATCH("IPO",BDS(Database!$A371&amp;" HK Equity","EQUITY_OFFERINGS","array=t","startcol=2","endcol=2"),0)),"")</f>
        <v/>
      </c>
      <c r="C371" s="103">
        <f>IF($B371="","",IFERROR(BDP($B371&amp;" Action","CP036"),""))</f>
        <v/>
      </c>
      <c r="D371" s="104">
        <f>Database!S371</f>
        <v/>
      </c>
      <c r="E371" s="103">
        <f>IF($B371="","",IFERROR(BDP($B371&amp;" Action","CP037"),""))</f>
        <v/>
      </c>
      <c r="F371" s="104">
        <f>Database!T371</f>
        <v/>
      </c>
      <c r="G371" s="103">
        <f>IF($B371="","",IFERROR(BDP($B371&amp;" Action","GREENSHOE_FACILITY"),""))</f>
        <v/>
      </c>
      <c r="H371" s="103">
        <f>IF($B371="","",IFERROR(BDP($B371&amp;" Action","OFFERING_GREENSHOE_SHARES_EX"),""))</f>
        <v/>
      </c>
      <c r="I371" s="16">
        <f>Database!AG371</f>
        <v/>
      </c>
      <c r="J371" s="24">
        <f>IFERROR(BDP(Database!$A371&amp;" HK Equity","PE_RATIO"),"")</f>
        <v/>
      </c>
      <c r="K371" s="10">
        <f>IFERROR(BDP(Database!$A371&amp;" HK Equity","A/H_SHARE_CONVERSION"),"")</f>
        <v/>
      </c>
      <c r="L371" s="16">
        <f>IF(Database!BL371="","(none found)",Database!BL371)</f>
        <v/>
      </c>
      <c r="M371" s="18">
        <f>IFERROR(BDH(Database!$A371&amp;" HK Equity","CUR_MKT_CAP",Database!$H371,Database!$H371),"")</f>
        <v/>
      </c>
      <c r="N371" s="97">
        <f>Database!Q371</f>
        <v/>
      </c>
      <c r="O371" s="24">
        <f>IFERROR(BDH(Database!$A371&amp;" HK Equity","PE_RATIO",Database!$H371,Database!$H371),"")</f>
        <v/>
      </c>
      <c r="P371" s="101">
        <f>IF(Database!BF371="","(n/m or not derivable)",Database!BF371)</f>
        <v/>
      </c>
      <c r="Q371" s="24">
        <f>IF(Database!BL371="","",IFERROR(BDH(LEFT(Database!BL371,FIND(".",Database!BL371)-1)&amp;" CH Equity","PE_RATIO",Database!$H371,Database!$H371),""))</f>
        <v/>
      </c>
      <c r="R371" s="24">
        <f>IF(Database!BL371="","",IFERROR(BDH("HSAHP Index","PX_LAST",Database!$H371,Database!$H371),""))</f>
        <v/>
      </c>
      <c r="S371" s="24">
        <f>IFERROR(BDP(Database!$A371&amp;" HK Equity","PX_TO_SALES_RATIO"),"")</f>
        <v/>
      </c>
      <c r="T371" s="18">
        <f>IF(Database!BL371="","",IFERROR(BDP(LEFT(Database!BL371,FIND(".",Database!BL371)-1)&amp;" CH Equity","CUR_MKT_CAP"),""))</f>
        <v/>
      </c>
    </row>
    <row r="372">
      <c r="A372" s="16">
        <f>Database!A372&amp;"  "&amp;Database!B372</f>
        <v/>
      </c>
      <c r="B372" s="10">
        <f>IFERROR(INDEX(BDS(Database!$A372&amp;" HK Equity","EQUITY_OFFERINGS","array=t","endcol=1"),MATCH("IPO",BDS(Database!$A372&amp;" HK Equity","EQUITY_OFFERINGS","array=t","startcol=2","endcol=2"),0)),"")</f>
        <v/>
      </c>
      <c r="C372" s="103">
        <f>IF($B372="","",IFERROR(BDP($B372&amp;" Action","CP036"),""))</f>
        <v/>
      </c>
      <c r="D372" s="104">
        <f>Database!S372</f>
        <v/>
      </c>
      <c r="E372" s="103">
        <f>IF($B372="","",IFERROR(BDP($B372&amp;" Action","CP037"),""))</f>
        <v/>
      </c>
      <c r="F372" s="104">
        <f>Database!T372</f>
        <v/>
      </c>
      <c r="G372" s="103">
        <f>IF($B372="","",IFERROR(BDP($B372&amp;" Action","GREENSHOE_FACILITY"),""))</f>
        <v/>
      </c>
      <c r="H372" s="103">
        <f>IF($B372="","",IFERROR(BDP($B372&amp;" Action","OFFERING_GREENSHOE_SHARES_EX"),""))</f>
        <v/>
      </c>
      <c r="I372" s="16">
        <f>Database!AG372</f>
        <v/>
      </c>
      <c r="J372" s="24">
        <f>IFERROR(BDP(Database!$A372&amp;" HK Equity","PE_RATIO"),"")</f>
        <v/>
      </c>
      <c r="K372" s="10">
        <f>IFERROR(BDP(Database!$A372&amp;" HK Equity","A/H_SHARE_CONVERSION"),"")</f>
        <v/>
      </c>
      <c r="L372" s="16">
        <f>IF(Database!BL372="","(none found)",Database!BL372)</f>
        <v/>
      </c>
      <c r="M372" s="18">
        <f>IFERROR(BDH(Database!$A372&amp;" HK Equity","CUR_MKT_CAP",Database!$H372,Database!$H372),"")</f>
        <v/>
      </c>
      <c r="N372" s="97">
        <f>Database!Q372</f>
        <v/>
      </c>
      <c r="O372" s="24">
        <f>IFERROR(BDH(Database!$A372&amp;" HK Equity","PE_RATIO",Database!$H372,Database!$H372),"")</f>
        <v/>
      </c>
      <c r="P372" s="101">
        <f>IF(Database!BF372="","(n/m or not derivable)",Database!BF372)</f>
        <v/>
      </c>
      <c r="Q372" s="24">
        <f>IF(Database!BL372="","",IFERROR(BDH(LEFT(Database!BL372,FIND(".",Database!BL372)-1)&amp;" CH Equity","PE_RATIO",Database!$H372,Database!$H372),""))</f>
        <v/>
      </c>
      <c r="R372" s="24">
        <f>IF(Database!BL372="","",IFERROR(BDH("HSAHP Index","PX_LAST",Database!$H372,Database!$H372),""))</f>
        <v/>
      </c>
      <c r="S372" s="24">
        <f>IFERROR(BDP(Database!$A372&amp;" HK Equity","PX_TO_SALES_RATIO"),"")</f>
        <v/>
      </c>
      <c r="T372" s="18">
        <f>IF(Database!BL372="","",IFERROR(BDP(LEFT(Database!BL372,FIND(".",Database!BL372)-1)&amp;" CH Equity","CUR_MKT_CAP"),""))</f>
        <v/>
      </c>
    </row>
    <row r="373">
      <c r="A373" s="16">
        <f>Database!A373&amp;"  "&amp;Database!B373</f>
        <v/>
      </c>
      <c r="B373" s="10">
        <f>IFERROR(INDEX(BDS(Database!$A373&amp;" HK Equity","EQUITY_OFFERINGS","array=t","endcol=1"),MATCH("IPO",BDS(Database!$A373&amp;" HK Equity","EQUITY_OFFERINGS","array=t","startcol=2","endcol=2"),0)),"")</f>
        <v/>
      </c>
      <c r="C373" s="103">
        <f>IF($B373="","",IFERROR(BDP($B373&amp;" Action","CP036"),""))</f>
        <v/>
      </c>
      <c r="D373" s="104">
        <f>Database!S373</f>
        <v/>
      </c>
      <c r="E373" s="103">
        <f>IF($B373="","",IFERROR(BDP($B373&amp;" Action","CP037"),""))</f>
        <v/>
      </c>
      <c r="F373" s="104">
        <f>Database!T373</f>
        <v/>
      </c>
      <c r="G373" s="103">
        <f>IF($B373="","",IFERROR(BDP($B373&amp;" Action","GREENSHOE_FACILITY"),""))</f>
        <v/>
      </c>
      <c r="H373" s="103">
        <f>IF($B373="","",IFERROR(BDP($B373&amp;" Action","OFFERING_GREENSHOE_SHARES_EX"),""))</f>
        <v/>
      </c>
      <c r="I373" s="16">
        <f>Database!AG373</f>
        <v/>
      </c>
      <c r="J373" s="24">
        <f>IFERROR(BDP(Database!$A373&amp;" HK Equity","PE_RATIO"),"")</f>
        <v/>
      </c>
      <c r="K373" s="10">
        <f>IFERROR(BDP(Database!$A373&amp;" HK Equity","A/H_SHARE_CONVERSION"),"")</f>
        <v/>
      </c>
      <c r="L373" s="16">
        <f>IF(Database!BL373="","(none found)",Database!BL373)</f>
        <v/>
      </c>
      <c r="M373" s="18">
        <f>IFERROR(BDH(Database!$A373&amp;" HK Equity","CUR_MKT_CAP",Database!$H373,Database!$H373),"")</f>
        <v/>
      </c>
      <c r="N373" s="97">
        <f>Database!Q373</f>
        <v/>
      </c>
      <c r="O373" s="24">
        <f>IFERROR(BDH(Database!$A373&amp;" HK Equity","PE_RATIO",Database!$H373,Database!$H373),"")</f>
        <v/>
      </c>
      <c r="P373" s="101">
        <f>IF(Database!BF373="","(n/m or not derivable)",Database!BF373)</f>
        <v/>
      </c>
      <c r="Q373" s="24">
        <f>IF(Database!BL373="","",IFERROR(BDH(LEFT(Database!BL373,FIND(".",Database!BL373)-1)&amp;" CH Equity","PE_RATIO",Database!$H373,Database!$H373),""))</f>
        <v/>
      </c>
      <c r="R373" s="24">
        <f>IF(Database!BL373="","",IFERROR(BDH("HSAHP Index","PX_LAST",Database!$H373,Database!$H373),""))</f>
        <v/>
      </c>
      <c r="S373" s="24">
        <f>IFERROR(BDP(Database!$A373&amp;" HK Equity","PX_TO_SALES_RATIO"),"")</f>
        <v/>
      </c>
      <c r="T373" s="18">
        <f>IF(Database!BL373="","",IFERROR(BDP(LEFT(Database!BL373,FIND(".",Database!BL373)-1)&amp;" CH Equity","CUR_MKT_CAP"),""))</f>
        <v/>
      </c>
    </row>
    <row r="374">
      <c r="A374" s="16">
        <f>Database!A374&amp;"  "&amp;Database!B374</f>
        <v/>
      </c>
      <c r="B374" s="10">
        <f>IFERROR(INDEX(BDS(Database!$A374&amp;" HK Equity","EQUITY_OFFERINGS","array=t","endcol=1"),MATCH("IPO",BDS(Database!$A374&amp;" HK Equity","EQUITY_OFFERINGS","array=t","startcol=2","endcol=2"),0)),"")</f>
        <v/>
      </c>
      <c r="C374" s="103">
        <f>IF($B374="","",IFERROR(BDP($B374&amp;" Action","CP036"),""))</f>
        <v/>
      </c>
      <c r="D374" s="104">
        <f>Database!S374</f>
        <v/>
      </c>
      <c r="E374" s="103">
        <f>IF($B374="","",IFERROR(BDP($B374&amp;" Action","CP037"),""))</f>
        <v/>
      </c>
      <c r="F374" s="104">
        <f>Database!T374</f>
        <v/>
      </c>
      <c r="G374" s="103">
        <f>IF($B374="","",IFERROR(BDP($B374&amp;" Action","GREENSHOE_FACILITY"),""))</f>
        <v/>
      </c>
      <c r="H374" s="103">
        <f>IF($B374="","",IFERROR(BDP($B374&amp;" Action","OFFERING_GREENSHOE_SHARES_EX"),""))</f>
        <v/>
      </c>
      <c r="I374" s="16">
        <f>Database!AG374</f>
        <v/>
      </c>
      <c r="J374" s="24">
        <f>IFERROR(BDP(Database!$A374&amp;" HK Equity","PE_RATIO"),"")</f>
        <v/>
      </c>
      <c r="K374" s="10">
        <f>IFERROR(BDP(Database!$A374&amp;" HK Equity","A/H_SHARE_CONVERSION"),"")</f>
        <v/>
      </c>
      <c r="L374" s="16">
        <f>IF(Database!BL374="","(none found)",Database!BL374)</f>
        <v/>
      </c>
      <c r="M374" s="18">
        <f>IFERROR(BDH(Database!$A374&amp;" HK Equity","CUR_MKT_CAP",Database!$H374,Database!$H374),"")</f>
        <v/>
      </c>
      <c r="N374" s="97">
        <f>Database!Q374</f>
        <v/>
      </c>
      <c r="O374" s="24">
        <f>IFERROR(BDH(Database!$A374&amp;" HK Equity","PE_RATIO",Database!$H374,Database!$H374),"")</f>
        <v/>
      </c>
      <c r="P374" s="101">
        <f>IF(Database!BF374="","(n/m or not derivable)",Database!BF374)</f>
        <v/>
      </c>
      <c r="Q374" s="24">
        <f>IF(Database!BL374="","",IFERROR(BDH(LEFT(Database!BL374,FIND(".",Database!BL374)-1)&amp;" CH Equity","PE_RATIO",Database!$H374,Database!$H374),""))</f>
        <v/>
      </c>
      <c r="R374" s="24">
        <f>IF(Database!BL374="","",IFERROR(BDH("HSAHP Index","PX_LAST",Database!$H374,Database!$H374),""))</f>
        <v/>
      </c>
      <c r="S374" s="24">
        <f>IFERROR(BDP(Database!$A374&amp;" HK Equity","PX_TO_SALES_RATIO"),"")</f>
        <v/>
      </c>
      <c r="T374" s="18">
        <f>IF(Database!BL374="","",IFERROR(BDP(LEFT(Database!BL374,FIND(".",Database!BL374)-1)&amp;" CH Equity","CUR_MKT_CAP"),""))</f>
        <v/>
      </c>
    </row>
    <row r="375">
      <c r="A375" s="16">
        <f>Database!A375&amp;"  "&amp;Database!B375</f>
        <v/>
      </c>
      <c r="B375" s="10">
        <f>IFERROR(INDEX(BDS(Database!$A375&amp;" HK Equity","EQUITY_OFFERINGS","array=t","endcol=1"),MATCH("IPO",BDS(Database!$A375&amp;" HK Equity","EQUITY_OFFERINGS","array=t","startcol=2","endcol=2"),0)),"")</f>
        <v/>
      </c>
      <c r="C375" s="103">
        <f>IF($B375="","",IFERROR(BDP($B375&amp;" Action","CP036"),""))</f>
        <v/>
      </c>
      <c r="D375" s="104">
        <f>Database!S375</f>
        <v/>
      </c>
      <c r="E375" s="103">
        <f>IF($B375="","",IFERROR(BDP($B375&amp;" Action","CP037"),""))</f>
        <v/>
      </c>
      <c r="F375" s="104">
        <f>Database!T375</f>
        <v/>
      </c>
      <c r="G375" s="103">
        <f>IF($B375="","",IFERROR(BDP($B375&amp;" Action","GREENSHOE_FACILITY"),""))</f>
        <v/>
      </c>
      <c r="H375" s="103">
        <f>IF($B375="","",IFERROR(BDP($B375&amp;" Action","OFFERING_GREENSHOE_SHARES_EX"),""))</f>
        <v/>
      </c>
      <c r="I375" s="16">
        <f>Database!AG375</f>
        <v/>
      </c>
      <c r="J375" s="24">
        <f>IFERROR(BDP(Database!$A375&amp;" HK Equity","PE_RATIO"),"")</f>
        <v/>
      </c>
      <c r="K375" s="10">
        <f>IFERROR(BDP(Database!$A375&amp;" HK Equity","A/H_SHARE_CONVERSION"),"")</f>
        <v/>
      </c>
      <c r="L375" s="16">
        <f>IF(Database!BL375="","(none found)",Database!BL375)</f>
        <v/>
      </c>
      <c r="M375" s="18">
        <f>IFERROR(BDH(Database!$A375&amp;" HK Equity","CUR_MKT_CAP",Database!$H375,Database!$H375),"")</f>
        <v/>
      </c>
      <c r="N375" s="97">
        <f>Database!Q375</f>
        <v/>
      </c>
      <c r="O375" s="24">
        <f>IFERROR(BDH(Database!$A375&amp;" HK Equity","PE_RATIO",Database!$H375,Database!$H375),"")</f>
        <v/>
      </c>
      <c r="P375" s="101">
        <f>IF(Database!BF375="","(n/m or not derivable)",Database!BF375)</f>
        <v/>
      </c>
      <c r="Q375" s="24">
        <f>IF(Database!BL375="","",IFERROR(BDH(LEFT(Database!BL375,FIND(".",Database!BL375)-1)&amp;" CH Equity","PE_RATIO",Database!$H375,Database!$H375),""))</f>
        <v/>
      </c>
      <c r="R375" s="24">
        <f>IF(Database!BL375="","",IFERROR(BDH("HSAHP Index","PX_LAST",Database!$H375,Database!$H375),""))</f>
        <v/>
      </c>
      <c r="S375" s="24">
        <f>IFERROR(BDP(Database!$A375&amp;" HK Equity","PX_TO_SALES_RATIO"),"")</f>
        <v/>
      </c>
      <c r="T375" s="18">
        <f>IF(Database!BL375="","",IFERROR(BDP(LEFT(Database!BL375,FIND(".",Database!BL375)-1)&amp;" CH Equity","CUR_MKT_CAP"),""))</f>
        <v/>
      </c>
    </row>
    <row r="376">
      <c r="A376" s="16">
        <f>Database!A376&amp;"  "&amp;Database!B376</f>
        <v/>
      </c>
      <c r="B376" s="10">
        <f>IFERROR(INDEX(BDS(Database!$A376&amp;" HK Equity","EQUITY_OFFERINGS","array=t","endcol=1"),MATCH("IPO",BDS(Database!$A376&amp;" HK Equity","EQUITY_OFFERINGS","array=t","startcol=2","endcol=2"),0)),"")</f>
        <v/>
      </c>
      <c r="C376" s="103">
        <f>IF($B376="","",IFERROR(BDP($B376&amp;" Action","CP036"),""))</f>
        <v/>
      </c>
      <c r="D376" s="104">
        <f>Database!S376</f>
        <v/>
      </c>
      <c r="E376" s="103">
        <f>IF($B376="","",IFERROR(BDP($B376&amp;" Action","CP037"),""))</f>
        <v/>
      </c>
      <c r="F376" s="104">
        <f>Database!T376</f>
        <v/>
      </c>
      <c r="G376" s="103">
        <f>IF($B376="","",IFERROR(BDP($B376&amp;" Action","GREENSHOE_FACILITY"),""))</f>
        <v/>
      </c>
      <c r="H376" s="103">
        <f>IF($B376="","",IFERROR(BDP($B376&amp;" Action","OFFERING_GREENSHOE_SHARES_EX"),""))</f>
        <v/>
      </c>
      <c r="I376" s="16">
        <f>Database!AG376</f>
        <v/>
      </c>
      <c r="J376" s="24">
        <f>IFERROR(BDP(Database!$A376&amp;" HK Equity","PE_RATIO"),"")</f>
        <v/>
      </c>
      <c r="K376" s="10">
        <f>IFERROR(BDP(Database!$A376&amp;" HK Equity","A/H_SHARE_CONVERSION"),"")</f>
        <v/>
      </c>
      <c r="L376" s="16">
        <f>IF(Database!BL376="","(none found)",Database!BL376)</f>
        <v/>
      </c>
      <c r="M376" s="18">
        <f>IFERROR(BDH(Database!$A376&amp;" HK Equity","CUR_MKT_CAP",Database!$H376,Database!$H376),"")</f>
        <v/>
      </c>
      <c r="N376" s="97">
        <f>Database!Q376</f>
        <v/>
      </c>
      <c r="O376" s="24">
        <f>IFERROR(BDH(Database!$A376&amp;" HK Equity","PE_RATIO",Database!$H376,Database!$H376),"")</f>
        <v/>
      </c>
      <c r="P376" s="101">
        <f>IF(Database!BF376="","(n/m or not derivable)",Database!BF376)</f>
        <v/>
      </c>
      <c r="Q376" s="24">
        <f>IF(Database!BL376="","",IFERROR(BDH(LEFT(Database!BL376,FIND(".",Database!BL376)-1)&amp;" CH Equity","PE_RATIO",Database!$H376,Database!$H376),""))</f>
        <v/>
      </c>
      <c r="R376" s="24">
        <f>IF(Database!BL376="","",IFERROR(BDH("HSAHP Index","PX_LAST",Database!$H376,Database!$H376),""))</f>
        <v/>
      </c>
      <c r="S376" s="24">
        <f>IFERROR(BDP(Database!$A376&amp;" HK Equity","PX_TO_SALES_RATIO"),"")</f>
        <v/>
      </c>
      <c r="T376" s="18">
        <f>IF(Database!BL376="","",IFERROR(BDP(LEFT(Database!BL376,FIND(".",Database!BL376)-1)&amp;" CH Equity","CUR_MKT_CAP"),""))</f>
        <v/>
      </c>
    </row>
    <row r="377">
      <c r="A377" s="16">
        <f>Database!A377&amp;"  "&amp;Database!B377</f>
        <v/>
      </c>
      <c r="B377" s="10">
        <f>IFERROR(INDEX(BDS(Database!$A377&amp;" HK Equity","EQUITY_OFFERINGS","array=t","endcol=1"),MATCH("IPO",BDS(Database!$A377&amp;" HK Equity","EQUITY_OFFERINGS","array=t","startcol=2","endcol=2"),0)),"")</f>
        <v/>
      </c>
      <c r="C377" s="103">
        <f>IF($B377="","",IFERROR(BDP($B377&amp;" Action","CP036"),""))</f>
        <v/>
      </c>
      <c r="D377" s="104">
        <f>Database!S377</f>
        <v/>
      </c>
      <c r="E377" s="103">
        <f>IF($B377="","",IFERROR(BDP($B377&amp;" Action","CP037"),""))</f>
        <v/>
      </c>
      <c r="F377" s="104">
        <f>Database!T377</f>
        <v/>
      </c>
      <c r="G377" s="103">
        <f>IF($B377="","",IFERROR(BDP($B377&amp;" Action","GREENSHOE_FACILITY"),""))</f>
        <v/>
      </c>
      <c r="H377" s="103">
        <f>IF($B377="","",IFERROR(BDP($B377&amp;" Action","OFFERING_GREENSHOE_SHARES_EX"),""))</f>
        <v/>
      </c>
      <c r="I377" s="16">
        <f>Database!AG377</f>
        <v/>
      </c>
      <c r="J377" s="24">
        <f>IFERROR(BDP(Database!$A377&amp;" HK Equity","PE_RATIO"),"")</f>
        <v/>
      </c>
      <c r="K377" s="10">
        <f>IFERROR(BDP(Database!$A377&amp;" HK Equity","A/H_SHARE_CONVERSION"),"")</f>
        <v/>
      </c>
      <c r="L377" s="16">
        <f>IF(Database!BL377="","(none found)",Database!BL377)</f>
        <v/>
      </c>
      <c r="M377" s="18">
        <f>IFERROR(BDH(Database!$A377&amp;" HK Equity","CUR_MKT_CAP",Database!$H377,Database!$H377),"")</f>
        <v/>
      </c>
      <c r="N377" s="97">
        <f>Database!Q377</f>
        <v/>
      </c>
      <c r="O377" s="24">
        <f>IFERROR(BDH(Database!$A377&amp;" HK Equity","PE_RATIO",Database!$H377,Database!$H377),"")</f>
        <v/>
      </c>
      <c r="P377" s="101">
        <f>IF(Database!BF377="","(n/m or not derivable)",Database!BF377)</f>
        <v/>
      </c>
      <c r="Q377" s="24">
        <f>IF(Database!BL377="","",IFERROR(BDH(LEFT(Database!BL377,FIND(".",Database!BL377)-1)&amp;" CH Equity","PE_RATIO",Database!$H377,Database!$H377),""))</f>
        <v/>
      </c>
      <c r="R377" s="24">
        <f>IF(Database!BL377="","",IFERROR(BDH("HSAHP Index","PX_LAST",Database!$H377,Database!$H377),""))</f>
        <v/>
      </c>
      <c r="S377" s="24">
        <f>IFERROR(BDP(Database!$A377&amp;" HK Equity","PX_TO_SALES_RATIO"),"")</f>
        <v/>
      </c>
      <c r="T377" s="18">
        <f>IF(Database!BL377="","",IFERROR(BDP(LEFT(Database!BL377,FIND(".",Database!BL377)-1)&amp;" CH Equity","CUR_MKT_CAP"),""))</f>
        <v/>
      </c>
    </row>
    <row r="378">
      <c r="A378" s="16">
        <f>Database!A378&amp;"  "&amp;Database!B378</f>
        <v/>
      </c>
      <c r="B378" s="10">
        <f>IFERROR(INDEX(BDS(Database!$A378&amp;" HK Equity","EQUITY_OFFERINGS","array=t","endcol=1"),MATCH("IPO",BDS(Database!$A378&amp;" HK Equity","EQUITY_OFFERINGS","array=t","startcol=2","endcol=2"),0)),"")</f>
        <v/>
      </c>
      <c r="C378" s="103">
        <f>IF($B378="","",IFERROR(BDP($B378&amp;" Action","CP036"),""))</f>
        <v/>
      </c>
      <c r="D378" s="104">
        <f>Database!S378</f>
        <v/>
      </c>
      <c r="E378" s="103">
        <f>IF($B378="","",IFERROR(BDP($B378&amp;" Action","CP037"),""))</f>
        <v/>
      </c>
      <c r="F378" s="104">
        <f>Database!T378</f>
        <v/>
      </c>
      <c r="G378" s="103">
        <f>IF($B378="","",IFERROR(BDP($B378&amp;" Action","GREENSHOE_FACILITY"),""))</f>
        <v/>
      </c>
      <c r="H378" s="103">
        <f>IF($B378="","",IFERROR(BDP($B378&amp;" Action","OFFERING_GREENSHOE_SHARES_EX"),""))</f>
        <v/>
      </c>
      <c r="I378" s="16">
        <f>Database!AG378</f>
        <v/>
      </c>
      <c r="J378" s="24">
        <f>IFERROR(BDP(Database!$A378&amp;" HK Equity","PE_RATIO"),"")</f>
        <v/>
      </c>
      <c r="K378" s="10">
        <f>IFERROR(BDP(Database!$A378&amp;" HK Equity","A/H_SHARE_CONVERSION"),"")</f>
        <v/>
      </c>
      <c r="L378" s="16">
        <f>IF(Database!BL378="","(none found)",Database!BL378)</f>
        <v/>
      </c>
      <c r="M378" s="18">
        <f>IFERROR(BDH(Database!$A378&amp;" HK Equity","CUR_MKT_CAP",Database!$H378,Database!$H378),"")</f>
        <v/>
      </c>
      <c r="N378" s="97">
        <f>Database!Q378</f>
        <v/>
      </c>
      <c r="O378" s="24">
        <f>IFERROR(BDH(Database!$A378&amp;" HK Equity","PE_RATIO",Database!$H378,Database!$H378),"")</f>
        <v/>
      </c>
      <c r="P378" s="101">
        <f>IF(Database!BF378="","(n/m or not derivable)",Database!BF378)</f>
        <v/>
      </c>
      <c r="Q378" s="24">
        <f>IF(Database!BL378="","",IFERROR(BDH(LEFT(Database!BL378,FIND(".",Database!BL378)-1)&amp;" CH Equity","PE_RATIO",Database!$H378,Database!$H378),""))</f>
        <v/>
      </c>
      <c r="R378" s="24">
        <f>IF(Database!BL378="","",IFERROR(BDH("HSAHP Index","PX_LAST",Database!$H378,Database!$H378),""))</f>
        <v/>
      </c>
      <c r="S378" s="24">
        <f>IFERROR(BDP(Database!$A378&amp;" HK Equity","PX_TO_SALES_RATIO"),"")</f>
        <v/>
      </c>
      <c r="T378" s="18">
        <f>IF(Database!BL378="","",IFERROR(BDP(LEFT(Database!BL378,FIND(".",Database!BL378)-1)&amp;" CH Equity","CUR_MKT_CAP"),""))</f>
        <v/>
      </c>
    </row>
    <row r="379">
      <c r="A379" s="16">
        <f>Database!A379&amp;"  "&amp;Database!B379</f>
        <v/>
      </c>
      <c r="B379" s="10">
        <f>IFERROR(INDEX(BDS(Database!$A379&amp;" HK Equity","EQUITY_OFFERINGS","array=t","endcol=1"),MATCH("IPO",BDS(Database!$A379&amp;" HK Equity","EQUITY_OFFERINGS","array=t","startcol=2","endcol=2"),0)),"")</f>
        <v/>
      </c>
      <c r="C379" s="103">
        <f>IF($B379="","",IFERROR(BDP($B379&amp;" Action","CP036"),""))</f>
        <v/>
      </c>
      <c r="D379" s="104">
        <f>Database!S379</f>
        <v/>
      </c>
      <c r="E379" s="103">
        <f>IF($B379="","",IFERROR(BDP($B379&amp;" Action","CP037"),""))</f>
        <v/>
      </c>
      <c r="F379" s="104">
        <f>Database!T379</f>
        <v/>
      </c>
      <c r="G379" s="103">
        <f>IF($B379="","",IFERROR(BDP($B379&amp;" Action","GREENSHOE_FACILITY"),""))</f>
        <v/>
      </c>
      <c r="H379" s="103">
        <f>IF($B379="","",IFERROR(BDP($B379&amp;" Action","OFFERING_GREENSHOE_SHARES_EX"),""))</f>
        <v/>
      </c>
      <c r="I379" s="16">
        <f>Database!AG379</f>
        <v/>
      </c>
      <c r="J379" s="24">
        <f>IFERROR(BDP(Database!$A379&amp;" HK Equity","PE_RATIO"),"")</f>
        <v/>
      </c>
      <c r="K379" s="10">
        <f>IFERROR(BDP(Database!$A379&amp;" HK Equity","A/H_SHARE_CONVERSION"),"")</f>
        <v/>
      </c>
      <c r="L379" s="16">
        <f>IF(Database!BL379="","(none found)",Database!BL379)</f>
        <v/>
      </c>
      <c r="M379" s="18">
        <f>IFERROR(BDH(Database!$A379&amp;" HK Equity","CUR_MKT_CAP",Database!$H379,Database!$H379),"")</f>
        <v/>
      </c>
      <c r="N379" s="97">
        <f>Database!Q379</f>
        <v/>
      </c>
      <c r="O379" s="24">
        <f>IFERROR(BDH(Database!$A379&amp;" HK Equity","PE_RATIO",Database!$H379,Database!$H379),"")</f>
        <v/>
      </c>
      <c r="P379" s="101">
        <f>IF(Database!BF379="","(n/m or not derivable)",Database!BF379)</f>
        <v/>
      </c>
      <c r="Q379" s="24">
        <f>IF(Database!BL379="","",IFERROR(BDH(LEFT(Database!BL379,FIND(".",Database!BL379)-1)&amp;" CH Equity","PE_RATIO",Database!$H379,Database!$H379),""))</f>
        <v/>
      </c>
      <c r="R379" s="24">
        <f>IF(Database!BL379="","",IFERROR(BDH("HSAHP Index","PX_LAST",Database!$H379,Database!$H379),""))</f>
        <v/>
      </c>
      <c r="S379" s="24">
        <f>IFERROR(BDP(Database!$A379&amp;" HK Equity","PX_TO_SALES_RATIO"),"")</f>
        <v/>
      </c>
      <c r="T379" s="18">
        <f>IF(Database!BL379="","",IFERROR(BDP(LEFT(Database!BL379,FIND(".",Database!BL379)-1)&amp;" CH Equity","CUR_MKT_CAP"),""))</f>
        <v/>
      </c>
    </row>
    <row r="380">
      <c r="A380" s="16">
        <f>Database!A380&amp;"  "&amp;Database!B380</f>
        <v/>
      </c>
      <c r="B380" s="10">
        <f>IFERROR(INDEX(BDS(Database!$A380&amp;" HK Equity","EQUITY_OFFERINGS","array=t","endcol=1"),MATCH("IPO",BDS(Database!$A380&amp;" HK Equity","EQUITY_OFFERINGS","array=t","startcol=2","endcol=2"),0)),"")</f>
        <v/>
      </c>
      <c r="C380" s="103">
        <f>IF($B380="","",IFERROR(BDP($B380&amp;" Action","CP036"),""))</f>
        <v/>
      </c>
      <c r="D380" s="104">
        <f>Database!S380</f>
        <v/>
      </c>
      <c r="E380" s="103">
        <f>IF($B380="","",IFERROR(BDP($B380&amp;" Action","CP037"),""))</f>
        <v/>
      </c>
      <c r="F380" s="104">
        <f>Database!T380</f>
        <v/>
      </c>
      <c r="G380" s="103">
        <f>IF($B380="","",IFERROR(BDP($B380&amp;" Action","GREENSHOE_FACILITY"),""))</f>
        <v/>
      </c>
      <c r="H380" s="103">
        <f>IF($B380="","",IFERROR(BDP($B380&amp;" Action","OFFERING_GREENSHOE_SHARES_EX"),""))</f>
        <v/>
      </c>
      <c r="I380" s="16">
        <f>Database!AG380</f>
        <v/>
      </c>
      <c r="J380" s="24">
        <f>IFERROR(BDP(Database!$A380&amp;" HK Equity","PE_RATIO"),"")</f>
        <v/>
      </c>
      <c r="K380" s="10">
        <f>IFERROR(BDP(Database!$A380&amp;" HK Equity","A/H_SHARE_CONVERSION"),"")</f>
        <v/>
      </c>
      <c r="L380" s="16">
        <f>IF(Database!BL380="","(none found)",Database!BL380)</f>
        <v/>
      </c>
      <c r="M380" s="18">
        <f>IFERROR(BDH(Database!$A380&amp;" HK Equity","CUR_MKT_CAP",Database!$H380,Database!$H380),"")</f>
        <v/>
      </c>
      <c r="N380" s="97">
        <f>Database!Q380</f>
        <v/>
      </c>
      <c r="O380" s="24">
        <f>IFERROR(BDH(Database!$A380&amp;" HK Equity","PE_RATIO",Database!$H380,Database!$H380),"")</f>
        <v/>
      </c>
      <c r="P380" s="101">
        <f>IF(Database!BF380="","(n/m or not derivable)",Database!BF380)</f>
        <v/>
      </c>
      <c r="Q380" s="24">
        <f>IF(Database!BL380="","",IFERROR(BDH(LEFT(Database!BL380,FIND(".",Database!BL380)-1)&amp;" CH Equity","PE_RATIO",Database!$H380,Database!$H380),""))</f>
        <v/>
      </c>
      <c r="R380" s="24">
        <f>IF(Database!BL380="","",IFERROR(BDH("HSAHP Index","PX_LAST",Database!$H380,Database!$H380),""))</f>
        <v/>
      </c>
      <c r="S380" s="24">
        <f>IFERROR(BDP(Database!$A380&amp;" HK Equity","PX_TO_SALES_RATIO"),"")</f>
        <v/>
      </c>
      <c r="T380" s="18">
        <f>IF(Database!BL380="","",IFERROR(BDP(LEFT(Database!BL380,FIND(".",Database!BL380)-1)&amp;" CH Equity","CUR_MKT_CAP"),""))</f>
        <v/>
      </c>
    </row>
    <row r="381">
      <c r="A381" s="16">
        <f>Database!A381&amp;"  "&amp;Database!B381</f>
        <v/>
      </c>
      <c r="B381" s="10">
        <f>IFERROR(INDEX(BDS(Database!$A381&amp;" HK Equity","EQUITY_OFFERINGS","array=t","endcol=1"),MATCH("IPO",BDS(Database!$A381&amp;" HK Equity","EQUITY_OFFERINGS","array=t","startcol=2","endcol=2"),0)),"")</f>
        <v/>
      </c>
      <c r="C381" s="103">
        <f>IF($B381="","",IFERROR(BDP($B381&amp;" Action","CP036"),""))</f>
        <v/>
      </c>
      <c r="D381" s="104">
        <f>Database!S381</f>
        <v/>
      </c>
      <c r="E381" s="103">
        <f>IF($B381="","",IFERROR(BDP($B381&amp;" Action","CP037"),""))</f>
        <v/>
      </c>
      <c r="F381" s="104">
        <f>Database!T381</f>
        <v/>
      </c>
      <c r="G381" s="103">
        <f>IF($B381="","",IFERROR(BDP($B381&amp;" Action","GREENSHOE_FACILITY"),""))</f>
        <v/>
      </c>
      <c r="H381" s="103">
        <f>IF($B381="","",IFERROR(BDP($B381&amp;" Action","OFFERING_GREENSHOE_SHARES_EX"),""))</f>
        <v/>
      </c>
      <c r="I381" s="16">
        <f>Database!AG381</f>
        <v/>
      </c>
      <c r="J381" s="24">
        <f>IFERROR(BDP(Database!$A381&amp;" HK Equity","PE_RATIO"),"")</f>
        <v/>
      </c>
      <c r="K381" s="10">
        <f>IFERROR(BDP(Database!$A381&amp;" HK Equity","A/H_SHARE_CONVERSION"),"")</f>
        <v/>
      </c>
      <c r="L381" s="16">
        <f>IF(Database!BL381="","(none found)",Database!BL381)</f>
        <v/>
      </c>
      <c r="M381" s="18">
        <f>IFERROR(BDH(Database!$A381&amp;" HK Equity","CUR_MKT_CAP",Database!$H381,Database!$H381),"")</f>
        <v/>
      </c>
      <c r="N381" s="97">
        <f>Database!Q381</f>
        <v/>
      </c>
      <c r="O381" s="24">
        <f>IFERROR(BDH(Database!$A381&amp;" HK Equity","PE_RATIO",Database!$H381,Database!$H381),"")</f>
        <v/>
      </c>
      <c r="P381" s="101">
        <f>IF(Database!BF381="","(n/m or not derivable)",Database!BF381)</f>
        <v/>
      </c>
      <c r="Q381" s="24">
        <f>IF(Database!BL381="","",IFERROR(BDH(LEFT(Database!BL381,FIND(".",Database!BL381)-1)&amp;" CH Equity","PE_RATIO",Database!$H381,Database!$H381),""))</f>
        <v/>
      </c>
      <c r="R381" s="24">
        <f>IF(Database!BL381="","",IFERROR(BDH("HSAHP Index","PX_LAST",Database!$H381,Database!$H381),""))</f>
        <v/>
      </c>
      <c r="S381" s="24">
        <f>IFERROR(BDP(Database!$A381&amp;" HK Equity","PX_TO_SALES_RATIO"),"")</f>
        <v/>
      </c>
      <c r="T381" s="18">
        <f>IF(Database!BL381="","",IFERROR(BDP(LEFT(Database!BL381,FIND(".",Database!BL381)-1)&amp;" CH Equity","CUR_MKT_CAP"),""))</f>
        <v/>
      </c>
    </row>
    <row r="382">
      <c r="A382" s="16">
        <f>Database!A382&amp;"  "&amp;Database!B382</f>
        <v/>
      </c>
      <c r="B382" s="10">
        <f>IFERROR(INDEX(BDS(Database!$A382&amp;" HK Equity","EQUITY_OFFERINGS","array=t","endcol=1"),MATCH("IPO",BDS(Database!$A382&amp;" HK Equity","EQUITY_OFFERINGS","array=t","startcol=2","endcol=2"),0)),"")</f>
        <v/>
      </c>
      <c r="C382" s="103">
        <f>IF($B382="","",IFERROR(BDP($B382&amp;" Action","CP036"),""))</f>
        <v/>
      </c>
      <c r="D382" s="104">
        <f>Database!S382</f>
        <v/>
      </c>
      <c r="E382" s="103">
        <f>IF($B382="","",IFERROR(BDP($B382&amp;" Action","CP037"),""))</f>
        <v/>
      </c>
      <c r="F382" s="104">
        <f>Database!T382</f>
        <v/>
      </c>
      <c r="G382" s="103">
        <f>IF($B382="","",IFERROR(BDP($B382&amp;" Action","GREENSHOE_FACILITY"),""))</f>
        <v/>
      </c>
      <c r="H382" s="103">
        <f>IF($B382="","",IFERROR(BDP($B382&amp;" Action","OFFERING_GREENSHOE_SHARES_EX"),""))</f>
        <v/>
      </c>
      <c r="I382" s="16">
        <f>Database!AG382</f>
        <v/>
      </c>
      <c r="J382" s="24">
        <f>IFERROR(BDP(Database!$A382&amp;" HK Equity","PE_RATIO"),"")</f>
        <v/>
      </c>
      <c r="K382" s="10">
        <f>IFERROR(BDP(Database!$A382&amp;" HK Equity","A/H_SHARE_CONVERSION"),"")</f>
        <v/>
      </c>
      <c r="L382" s="16">
        <f>IF(Database!BL382="","(none found)",Database!BL382)</f>
        <v/>
      </c>
      <c r="M382" s="18">
        <f>IFERROR(BDH(Database!$A382&amp;" HK Equity","CUR_MKT_CAP",Database!$H382,Database!$H382),"")</f>
        <v/>
      </c>
      <c r="N382" s="97">
        <f>Database!Q382</f>
        <v/>
      </c>
      <c r="O382" s="24">
        <f>IFERROR(BDH(Database!$A382&amp;" HK Equity","PE_RATIO",Database!$H382,Database!$H382),"")</f>
        <v/>
      </c>
      <c r="P382" s="101">
        <f>IF(Database!BF382="","(n/m or not derivable)",Database!BF382)</f>
        <v/>
      </c>
      <c r="Q382" s="24">
        <f>IF(Database!BL382="","",IFERROR(BDH(LEFT(Database!BL382,FIND(".",Database!BL382)-1)&amp;" CH Equity","PE_RATIO",Database!$H382,Database!$H382),""))</f>
        <v/>
      </c>
      <c r="R382" s="24">
        <f>IF(Database!BL382="","",IFERROR(BDH("HSAHP Index","PX_LAST",Database!$H382,Database!$H382),""))</f>
        <v/>
      </c>
      <c r="S382" s="24">
        <f>IFERROR(BDP(Database!$A382&amp;" HK Equity","PX_TO_SALES_RATIO"),"")</f>
        <v/>
      </c>
      <c r="T382" s="18">
        <f>IF(Database!BL382="","",IFERROR(BDP(LEFT(Database!BL382,FIND(".",Database!BL382)-1)&amp;" CH Equity","CUR_MKT_CAP"),""))</f>
        <v/>
      </c>
    </row>
    <row r="383">
      <c r="A383" s="16">
        <f>Database!A383&amp;"  "&amp;Database!B383</f>
        <v/>
      </c>
      <c r="B383" s="10">
        <f>IFERROR(INDEX(BDS(Database!$A383&amp;" HK Equity","EQUITY_OFFERINGS","array=t","endcol=1"),MATCH("IPO",BDS(Database!$A383&amp;" HK Equity","EQUITY_OFFERINGS","array=t","startcol=2","endcol=2"),0)),"")</f>
        <v/>
      </c>
      <c r="C383" s="103">
        <f>IF($B383="","",IFERROR(BDP($B383&amp;" Action","CP036"),""))</f>
        <v/>
      </c>
      <c r="D383" s="104">
        <f>Database!S383</f>
        <v/>
      </c>
      <c r="E383" s="103">
        <f>IF($B383="","",IFERROR(BDP($B383&amp;" Action","CP037"),""))</f>
        <v/>
      </c>
      <c r="F383" s="104">
        <f>Database!T383</f>
        <v/>
      </c>
      <c r="G383" s="103">
        <f>IF($B383="","",IFERROR(BDP($B383&amp;" Action","GREENSHOE_FACILITY"),""))</f>
        <v/>
      </c>
      <c r="H383" s="103">
        <f>IF($B383="","",IFERROR(BDP($B383&amp;" Action","OFFERING_GREENSHOE_SHARES_EX"),""))</f>
        <v/>
      </c>
      <c r="I383" s="16">
        <f>Database!AG383</f>
        <v/>
      </c>
      <c r="J383" s="24">
        <f>IFERROR(BDP(Database!$A383&amp;" HK Equity","PE_RATIO"),"")</f>
        <v/>
      </c>
      <c r="K383" s="10">
        <f>IFERROR(BDP(Database!$A383&amp;" HK Equity","A/H_SHARE_CONVERSION"),"")</f>
        <v/>
      </c>
      <c r="L383" s="16">
        <f>IF(Database!BL383="","(none found)",Database!BL383)</f>
        <v/>
      </c>
      <c r="M383" s="18">
        <f>IFERROR(BDH(Database!$A383&amp;" HK Equity","CUR_MKT_CAP",Database!$H383,Database!$H383),"")</f>
        <v/>
      </c>
      <c r="N383" s="97">
        <f>Database!Q383</f>
        <v/>
      </c>
      <c r="O383" s="24">
        <f>IFERROR(BDH(Database!$A383&amp;" HK Equity","PE_RATIO",Database!$H383,Database!$H383),"")</f>
        <v/>
      </c>
      <c r="P383" s="101">
        <f>IF(Database!BF383="","(n/m or not derivable)",Database!BF383)</f>
        <v/>
      </c>
      <c r="Q383" s="24">
        <f>IF(Database!BL383="","",IFERROR(BDH(LEFT(Database!BL383,FIND(".",Database!BL383)-1)&amp;" CH Equity","PE_RATIO",Database!$H383,Database!$H383),""))</f>
        <v/>
      </c>
      <c r="R383" s="24">
        <f>IF(Database!BL383="","",IFERROR(BDH("HSAHP Index","PX_LAST",Database!$H383,Database!$H383),""))</f>
        <v/>
      </c>
      <c r="S383" s="24">
        <f>IFERROR(BDP(Database!$A383&amp;" HK Equity","PX_TO_SALES_RATIO"),"")</f>
        <v/>
      </c>
      <c r="T383" s="18">
        <f>IF(Database!BL383="","",IFERROR(BDP(LEFT(Database!BL383,FIND(".",Database!BL383)-1)&amp;" CH Equity","CUR_MKT_CAP"),""))</f>
        <v/>
      </c>
    </row>
    <row r="384">
      <c r="A384" s="16">
        <f>Database!A384&amp;"  "&amp;Database!B384</f>
        <v/>
      </c>
      <c r="B384" s="10">
        <f>IFERROR(INDEX(BDS(Database!$A384&amp;" HK Equity","EQUITY_OFFERINGS","array=t","endcol=1"),MATCH("IPO",BDS(Database!$A384&amp;" HK Equity","EQUITY_OFFERINGS","array=t","startcol=2","endcol=2"),0)),"")</f>
        <v/>
      </c>
      <c r="C384" s="103">
        <f>IF($B384="","",IFERROR(BDP($B384&amp;" Action","CP036"),""))</f>
        <v/>
      </c>
      <c r="D384" s="104">
        <f>Database!S384</f>
        <v/>
      </c>
      <c r="E384" s="103">
        <f>IF($B384="","",IFERROR(BDP($B384&amp;" Action","CP037"),""))</f>
        <v/>
      </c>
      <c r="F384" s="104">
        <f>Database!T384</f>
        <v/>
      </c>
      <c r="G384" s="103">
        <f>IF($B384="","",IFERROR(BDP($B384&amp;" Action","GREENSHOE_FACILITY"),""))</f>
        <v/>
      </c>
      <c r="H384" s="103">
        <f>IF($B384="","",IFERROR(BDP($B384&amp;" Action","OFFERING_GREENSHOE_SHARES_EX"),""))</f>
        <v/>
      </c>
      <c r="I384" s="16">
        <f>Database!AG384</f>
        <v/>
      </c>
      <c r="J384" s="24">
        <f>IFERROR(BDP(Database!$A384&amp;" HK Equity","PE_RATIO"),"")</f>
        <v/>
      </c>
      <c r="K384" s="10">
        <f>IFERROR(BDP(Database!$A384&amp;" HK Equity","A/H_SHARE_CONVERSION"),"")</f>
        <v/>
      </c>
      <c r="L384" s="16">
        <f>IF(Database!BL384="","(none found)",Database!BL384)</f>
        <v/>
      </c>
      <c r="M384" s="18">
        <f>IFERROR(BDH(Database!$A384&amp;" HK Equity","CUR_MKT_CAP",Database!$H384,Database!$H384),"")</f>
        <v/>
      </c>
      <c r="N384" s="97">
        <f>Database!Q384</f>
        <v/>
      </c>
      <c r="O384" s="24">
        <f>IFERROR(BDH(Database!$A384&amp;" HK Equity","PE_RATIO",Database!$H384,Database!$H384),"")</f>
        <v/>
      </c>
      <c r="P384" s="101">
        <f>IF(Database!BF384="","(n/m or not derivable)",Database!BF384)</f>
        <v/>
      </c>
      <c r="Q384" s="24">
        <f>IF(Database!BL384="","",IFERROR(BDH(LEFT(Database!BL384,FIND(".",Database!BL384)-1)&amp;" CH Equity","PE_RATIO",Database!$H384,Database!$H384),""))</f>
        <v/>
      </c>
      <c r="R384" s="24">
        <f>IF(Database!BL384="","",IFERROR(BDH("HSAHP Index","PX_LAST",Database!$H384,Database!$H384),""))</f>
        <v/>
      </c>
      <c r="S384" s="24">
        <f>IFERROR(BDP(Database!$A384&amp;" HK Equity","PX_TO_SALES_RATIO"),"")</f>
        <v/>
      </c>
      <c r="T384" s="18">
        <f>IF(Database!BL384="","",IFERROR(BDP(LEFT(Database!BL384,FIND(".",Database!BL384)-1)&amp;" CH Equity","CUR_MKT_CAP"),""))</f>
        <v/>
      </c>
    </row>
    <row r="385">
      <c r="A385" s="16">
        <f>Database!A385&amp;"  "&amp;Database!B385</f>
        <v/>
      </c>
      <c r="B385" s="10">
        <f>IFERROR(INDEX(BDS(Database!$A385&amp;" HK Equity","EQUITY_OFFERINGS","array=t","endcol=1"),MATCH("IPO",BDS(Database!$A385&amp;" HK Equity","EQUITY_OFFERINGS","array=t","startcol=2","endcol=2"),0)),"")</f>
        <v/>
      </c>
      <c r="C385" s="103">
        <f>IF($B385="","",IFERROR(BDP($B385&amp;" Action","CP036"),""))</f>
        <v/>
      </c>
      <c r="D385" s="104">
        <f>Database!S385</f>
        <v/>
      </c>
      <c r="E385" s="103">
        <f>IF($B385="","",IFERROR(BDP($B385&amp;" Action","CP037"),""))</f>
        <v/>
      </c>
      <c r="F385" s="104">
        <f>Database!T385</f>
        <v/>
      </c>
      <c r="G385" s="103">
        <f>IF($B385="","",IFERROR(BDP($B385&amp;" Action","GREENSHOE_FACILITY"),""))</f>
        <v/>
      </c>
      <c r="H385" s="103">
        <f>IF($B385="","",IFERROR(BDP($B385&amp;" Action","OFFERING_GREENSHOE_SHARES_EX"),""))</f>
        <v/>
      </c>
      <c r="I385" s="16">
        <f>Database!AG385</f>
        <v/>
      </c>
      <c r="J385" s="24">
        <f>IFERROR(BDP(Database!$A385&amp;" HK Equity","PE_RATIO"),"")</f>
        <v/>
      </c>
      <c r="K385" s="10">
        <f>IFERROR(BDP(Database!$A385&amp;" HK Equity","A/H_SHARE_CONVERSION"),"")</f>
        <v/>
      </c>
      <c r="L385" s="16">
        <f>IF(Database!BL385="","(none found)",Database!BL385)</f>
        <v/>
      </c>
      <c r="M385" s="18">
        <f>IFERROR(BDH(Database!$A385&amp;" HK Equity","CUR_MKT_CAP",Database!$H385,Database!$H385),"")</f>
        <v/>
      </c>
      <c r="N385" s="97">
        <f>Database!Q385</f>
        <v/>
      </c>
      <c r="O385" s="24">
        <f>IFERROR(BDH(Database!$A385&amp;" HK Equity","PE_RATIO",Database!$H385,Database!$H385),"")</f>
        <v/>
      </c>
      <c r="P385" s="101">
        <f>IF(Database!BF385="","(n/m or not derivable)",Database!BF385)</f>
        <v/>
      </c>
      <c r="Q385" s="24">
        <f>IF(Database!BL385="","",IFERROR(BDH(LEFT(Database!BL385,FIND(".",Database!BL385)-1)&amp;" CH Equity","PE_RATIO",Database!$H385,Database!$H385),""))</f>
        <v/>
      </c>
      <c r="R385" s="24">
        <f>IF(Database!BL385="","",IFERROR(BDH("HSAHP Index","PX_LAST",Database!$H385,Database!$H385),""))</f>
        <v/>
      </c>
      <c r="S385" s="24">
        <f>IFERROR(BDP(Database!$A385&amp;" HK Equity","PX_TO_SALES_RATIO"),"")</f>
        <v/>
      </c>
      <c r="T385" s="18">
        <f>IF(Database!BL385="","",IFERROR(BDP(LEFT(Database!BL385,FIND(".",Database!BL385)-1)&amp;" CH Equity","CUR_MKT_CAP"),""))</f>
        <v/>
      </c>
    </row>
    <row r="386">
      <c r="A386" s="16">
        <f>Database!A386&amp;"  "&amp;Database!B386</f>
        <v/>
      </c>
      <c r="B386" s="10">
        <f>IFERROR(INDEX(BDS(Database!$A386&amp;" HK Equity","EQUITY_OFFERINGS","array=t","endcol=1"),MATCH("IPO",BDS(Database!$A386&amp;" HK Equity","EQUITY_OFFERINGS","array=t","startcol=2","endcol=2"),0)),"")</f>
        <v/>
      </c>
      <c r="C386" s="103">
        <f>IF($B386="","",IFERROR(BDP($B386&amp;" Action","CP036"),""))</f>
        <v/>
      </c>
      <c r="D386" s="104">
        <f>Database!S386</f>
        <v/>
      </c>
      <c r="E386" s="103">
        <f>IF($B386="","",IFERROR(BDP($B386&amp;" Action","CP037"),""))</f>
        <v/>
      </c>
      <c r="F386" s="104">
        <f>Database!T386</f>
        <v/>
      </c>
      <c r="G386" s="103">
        <f>IF($B386="","",IFERROR(BDP($B386&amp;" Action","GREENSHOE_FACILITY"),""))</f>
        <v/>
      </c>
      <c r="H386" s="103">
        <f>IF($B386="","",IFERROR(BDP($B386&amp;" Action","OFFERING_GREENSHOE_SHARES_EX"),""))</f>
        <v/>
      </c>
      <c r="I386" s="16">
        <f>Database!AG386</f>
        <v/>
      </c>
      <c r="J386" s="24">
        <f>IFERROR(BDP(Database!$A386&amp;" HK Equity","PE_RATIO"),"")</f>
        <v/>
      </c>
      <c r="K386" s="10">
        <f>IFERROR(BDP(Database!$A386&amp;" HK Equity","A/H_SHARE_CONVERSION"),"")</f>
        <v/>
      </c>
      <c r="L386" s="16">
        <f>IF(Database!BL386="","(none found)",Database!BL386)</f>
        <v/>
      </c>
      <c r="M386" s="18">
        <f>IFERROR(BDH(Database!$A386&amp;" HK Equity","CUR_MKT_CAP",Database!$H386,Database!$H386),"")</f>
        <v/>
      </c>
      <c r="N386" s="97">
        <f>Database!Q386</f>
        <v/>
      </c>
      <c r="O386" s="24">
        <f>IFERROR(BDH(Database!$A386&amp;" HK Equity","PE_RATIO",Database!$H386,Database!$H386),"")</f>
        <v/>
      </c>
      <c r="P386" s="101">
        <f>IF(Database!BF386="","(n/m or not derivable)",Database!BF386)</f>
        <v/>
      </c>
      <c r="Q386" s="24">
        <f>IF(Database!BL386="","",IFERROR(BDH(LEFT(Database!BL386,FIND(".",Database!BL386)-1)&amp;" CH Equity","PE_RATIO",Database!$H386,Database!$H386),""))</f>
        <v/>
      </c>
      <c r="R386" s="24">
        <f>IF(Database!BL386="","",IFERROR(BDH("HSAHP Index","PX_LAST",Database!$H386,Database!$H386),""))</f>
        <v/>
      </c>
      <c r="S386" s="24">
        <f>IFERROR(BDP(Database!$A386&amp;" HK Equity","PX_TO_SALES_RATIO"),"")</f>
        <v/>
      </c>
      <c r="T386" s="18">
        <f>IF(Database!BL386="","",IFERROR(BDP(LEFT(Database!BL386,FIND(".",Database!BL386)-1)&amp;" CH Equity","CUR_MKT_CAP"),""))</f>
        <v/>
      </c>
    </row>
    <row r="387">
      <c r="A387" s="16">
        <f>Database!A387&amp;"  "&amp;Database!B387</f>
        <v/>
      </c>
      <c r="B387" s="10">
        <f>IFERROR(INDEX(BDS(Database!$A387&amp;" HK Equity","EQUITY_OFFERINGS","array=t","endcol=1"),MATCH("IPO",BDS(Database!$A387&amp;" HK Equity","EQUITY_OFFERINGS","array=t","startcol=2","endcol=2"),0)),"")</f>
        <v/>
      </c>
      <c r="C387" s="103">
        <f>IF($B387="","",IFERROR(BDP($B387&amp;" Action","CP036"),""))</f>
        <v/>
      </c>
      <c r="D387" s="104">
        <f>Database!S387</f>
        <v/>
      </c>
      <c r="E387" s="103">
        <f>IF($B387="","",IFERROR(BDP($B387&amp;" Action","CP037"),""))</f>
        <v/>
      </c>
      <c r="F387" s="104">
        <f>Database!T387</f>
        <v/>
      </c>
      <c r="G387" s="103">
        <f>IF($B387="","",IFERROR(BDP($B387&amp;" Action","GREENSHOE_FACILITY"),""))</f>
        <v/>
      </c>
      <c r="H387" s="103">
        <f>IF($B387="","",IFERROR(BDP($B387&amp;" Action","OFFERING_GREENSHOE_SHARES_EX"),""))</f>
        <v/>
      </c>
      <c r="I387" s="16">
        <f>Database!AG387</f>
        <v/>
      </c>
      <c r="J387" s="24">
        <f>IFERROR(BDP(Database!$A387&amp;" HK Equity","PE_RATIO"),"")</f>
        <v/>
      </c>
      <c r="K387" s="10">
        <f>IFERROR(BDP(Database!$A387&amp;" HK Equity","A/H_SHARE_CONVERSION"),"")</f>
        <v/>
      </c>
      <c r="L387" s="16">
        <f>IF(Database!BL387="","(none found)",Database!BL387)</f>
        <v/>
      </c>
      <c r="M387" s="18">
        <f>IFERROR(BDH(Database!$A387&amp;" HK Equity","CUR_MKT_CAP",Database!$H387,Database!$H387),"")</f>
        <v/>
      </c>
      <c r="N387" s="97">
        <f>Database!Q387</f>
        <v/>
      </c>
      <c r="O387" s="24">
        <f>IFERROR(BDH(Database!$A387&amp;" HK Equity","PE_RATIO",Database!$H387,Database!$H387),"")</f>
        <v/>
      </c>
      <c r="P387" s="101">
        <f>IF(Database!BF387="","(n/m or not derivable)",Database!BF387)</f>
        <v/>
      </c>
      <c r="Q387" s="24">
        <f>IF(Database!BL387="","",IFERROR(BDH(LEFT(Database!BL387,FIND(".",Database!BL387)-1)&amp;" CH Equity","PE_RATIO",Database!$H387,Database!$H387),""))</f>
        <v/>
      </c>
      <c r="R387" s="24">
        <f>IF(Database!BL387="","",IFERROR(BDH("HSAHP Index","PX_LAST",Database!$H387,Database!$H387),""))</f>
        <v/>
      </c>
      <c r="S387" s="24">
        <f>IFERROR(BDP(Database!$A387&amp;" HK Equity","PX_TO_SALES_RATIO"),"")</f>
        <v/>
      </c>
      <c r="T387" s="18">
        <f>IF(Database!BL387="","",IFERROR(BDP(LEFT(Database!BL387,FIND(".",Database!BL387)-1)&amp;" CH Equity","CUR_MKT_CAP"),""))</f>
        <v/>
      </c>
    </row>
    <row r="388">
      <c r="A388" s="16">
        <f>Database!A388&amp;"  "&amp;Database!B388</f>
        <v/>
      </c>
      <c r="B388" s="10">
        <f>IFERROR(INDEX(BDS(Database!$A388&amp;" HK Equity","EQUITY_OFFERINGS","array=t","endcol=1"),MATCH("IPO",BDS(Database!$A388&amp;" HK Equity","EQUITY_OFFERINGS","array=t","startcol=2","endcol=2"),0)),"")</f>
        <v/>
      </c>
      <c r="C388" s="103">
        <f>IF($B388="","",IFERROR(BDP($B388&amp;" Action","CP036"),""))</f>
        <v/>
      </c>
      <c r="D388" s="104">
        <f>Database!S388</f>
        <v/>
      </c>
      <c r="E388" s="103">
        <f>IF($B388="","",IFERROR(BDP($B388&amp;" Action","CP037"),""))</f>
        <v/>
      </c>
      <c r="F388" s="104">
        <f>Database!T388</f>
        <v/>
      </c>
      <c r="G388" s="103">
        <f>IF($B388="","",IFERROR(BDP($B388&amp;" Action","GREENSHOE_FACILITY"),""))</f>
        <v/>
      </c>
      <c r="H388" s="103">
        <f>IF($B388="","",IFERROR(BDP($B388&amp;" Action","OFFERING_GREENSHOE_SHARES_EX"),""))</f>
        <v/>
      </c>
      <c r="I388" s="16">
        <f>Database!AG388</f>
        <v/>
      </c>
      <c r="J388" s="24">
        <f>IFERROR(BDP(Database!$A388&amp;" HK Equity","PE_RATIO"),"")</f>
        <v/>
      </c>
      <c r="K388" s="10">
        <f>IFERROR(BDP(Database!$A388&amp;" HK Equity","A/H_SHARE_CONVERSION"),"")</f>
        <v/>
      </c>
      <c r="L388" s="16">
        <f>IF(Database!BL388="","(none found)",Database!BL388)</f>
        <v/>
      </c>
      <c r="M388" s="18">
        <f>IFERROR(BDH(Database!$A388&amp;" HK Equity","CUR_MKT_CAP",Database!$H388,Database!$H388),"")</f>
        <v/>
      </c>
      <c r="N388" s="97">
        <f>Database!Q388</f>
        <v/>
      </c>
      <c r="O388" s="24">
        <f>IFERROR(BDH(Database!$A388&amp;" HK Equity","PE_RATIO",Database!$H388,Database!$H388),"")</f>
        <v/>
      </c>
      <c r="P388" s="101">
        <f>IF(Database!BF388="","(n/m or not derivable)",Database!BF388)</f>
        <v/>
      </c>
      <c r="Q388" s="24">
        <f>IF(Database!BL388="","",IFERROR(BDH(LEFT(Database!BL388,FIND(".",Database!BL388)-1)&amp;" CH Equity","PE_RATIO",Database!$H388,Database!$H388),""))</f>
        <v/>
      </c>
      <c r="R388" s="24">
        <f>IF(Database!BL388="","",IFERROR(BDH("HSAHP Index","PX_LAST",Database!$H388,Database!$H388),""))</f>
        <v/>
      </c>
      <c r="S388" s="24">
        <f>IFERROR(BDP(Database!$A388&amp;" HK Equity","PX_TO_SALES_RATIO"),"")</f>
        <v/>
      </c>
      <c r="T388" s="18">
        <f>IF(Database!BL388="","",IFERROR(BDP(LEFT(Database!BL388,FIND(".",Database!BL388)-1)&amp;" CH Equity","CUR_MKT_CAP"),""))</f>
        <v/>
      </c>
    </row>
    <row r="389">
      <c r="A389" s="16">
        <f>Database!A389&amp;"  "&amp;Database!B389</f>
        <v/>
      </c>
      <c r="B389" s="10">
        <f>IFERROR(INDEX(BDS(Database!$A389&amp;" HK Equity","EQUITY_OFFERINGS","array=t","endcol=1"),MATCH("IPO",BDS(Database!$A389&amp;" HK Equity","EQUITY_OFFERINGS","array=t","startcol=2","endcol=2"),0)),"")</f>
        <v/>
      </c>
      <c r="C389" s="103">
        <f>IF($B389="","",IFERROR(BDP($B389&amp;" Action","CP036"),""))</f>
        <v/>
      </c>
      <c r="D389" s="104">
        <f>Database!S389</f>
        <v/>
      </c>
      <c r="E389" s="103">
        <f>IF($B389="","",IFERROR(BDP($B389&amp;" Action","CP037"),""))</f>
        <v/>
      </c>
      <c r="F389" s="104">
        <f>Database!T389</f>
        <v/>
      </c>
      <c r="G389" s="103">
        <f>IF($B389="","",IFERROR(BDP($B389&amp;" Action","GREENSHOE_FACILITY"),""))</f>
        <v/>
      </c>
      <c r="H389" s="103">
        <f>IF($B389="","",IFERROR(BDP($B389&amp;" Action","OFFERING_GREENSHOE_SHARES_EX"),""))</f>
        <v/>
      </c>
      <c r="I389" s="16">
        <f>Database!AG389</f>
        <v/>
      </c>
      <c r="J389" s="24">
        <f>IFERROR(BDP(Database!$A389&amp;" HK Equity","PE_RATIO"),"")</f>
        <v/>
      </c>
      <c r="K389" s="10">
        <f>IFERROR(BDP(Database!$A389&amp;" HK Equity","A/H_SHARE_CONVERSION"),"")</f>
        <v/>
      </c>
      <c r="L389" s="16">
        <f>IF(Database!BL389="","(none found)",Database!BL389)</f>
        <v/>
      </c>
      <c r="M389" s="18">
        <f>IFERROR(BDH(Database!$A389&amp;" HK Equity","CUR_MKT_CAP",Database!$H389,Database!$H389),"")</f>
        <v/>
      </c>
      <c r="N389" s="97">
        <f>Database!Q389</f>
        <v/>
      </c>
      <c r="O389" s="24">
        <f>IFERROR(BDH(Database!$A389&amp;" HK Equity","PE_RATIO",Database!$H389,Database!$H389),"")</f>
        <v/>
      </c>
      <c r="P389" s="101">
        <f>IF(Database!BF389="","(n/m or not derivable)",Database!BF389)</f>
        <v/>
      </c>
      <c r="Q389" s="24">
        <f>IF(Database!BL389="","",IFERROR(BDH(LEFT(Database!BL389,FIND(".",Database!BL389)-1)&amp;" CH Equity","PE_RATIO",Database!$H389,Database!$H389),""))</f>
        <v/>
      </c>
      <c r="R389" s="24">
        <f>IF(Database!BL389="","",IFERROR(BDH("HSAHP Index","PX_LAST",Database!$H389,Database!$H389),""))</f>
        <v/>
      </c>
      <c r="S389" s="24">
        <f>IFERROR(BDP(Database!$A389&amp;" HK Equity","PX_TO_SALES_RATIO"),"")</f>
        <v/>
      </c>
      <c r="T389" s="18">
        <f>IF(Database!BL389="","",IFERROR(BDP(LEFT(Database!BL389,FIND(".",Database!BL389)-1)&amp;" CH Equity","CUR_MKT_CAP"),""))</f>
        <v/>
      </c>
    </row>
    <row r="390">
      <c r="A390" s="16">
        <f>Database!A390&amp;"  "&amp;Database!B390</f>
        <v/>
      </c>
      <c r="B390" s="10">
        <f>IFERROR(INDEX(BDS(Database!$A390&amp;" HK Equity","EQUITY_OFFERINGS","array=t","endcol=1"),MATCH("IPO",BDS(Database!$A390&amp;" HK Equity","EQUITY_OFFERINGS","array=t","startcol=2","endcol=2"),0)),"")</f>
        <v/>
      </c>
      <c r="C390" s="103">
        <f>IF($B390="","",IFERROR(BDP($B390&amp;" Action","CP036"),""))</f>
        <v/>
      </c>
      <c r="D390" s="104">
        <f>Database!S390</f>
        <v/>
      </c>
      <c r="E390" s="103">
        <f>IF($B390="","",IFERROR(BDP($B390&amp;" Action","CP037"),""))</f>
        <v/>
      </c>
      <c r="F390" s="104">
        <f>Database!T390</f>
        <v/>
      </c>
      <c r="G390" s="103">
        <f>IF($B390="","",IFERROR(BDP($B390&amp;" Action","GREENSHOE_FACILITY"),""))</f>
        <v/>
      </c>
      <c r="H390" s="103">
        <f>IF($B390="","",IFERROR(BDP($B390&amp;" Action","OFFERING_GREENSHOE_SHARES_EX"),""))</f>
        <v/>
      </c>
      <c r="I390" s="16">
        <f>Database!AG390</f>
        <v/>
      </c>
      <c r="J390" s="24">
        <f>IFERROR(BDP(Database!$A390&amp;" HK Equity","PE_RATIO"),"")</f>
        <v/>
      </c>
      <c r="K390" s="10">
        <f>IFERROR(BDP(Database!$A390&amp;" HK Equity","A/H_SHARE_CONVERSION"),"")</f>
        <v/>
      </c>
      <c r="L390" s="16">
        <f>IF(Database!BL390="","(none found)",Database!BL390)</f>
        <v/>
      </c>
      <c r="M390" s="18">
        <f>IFERROR(BDH(Database!$A390&amp;" HK Equity","CUR_MKT_CAP",Database!$H390,Database!$H390),"")</f>
        <v/>
      </c>
      <c r="N390" s="97">
        <f>Database!Q390</f>
        <v/>
      </c>
      <c r="O390" s="24">
        <f>IFERROR(BDH(Database!$A390&amp;" HK Equity","PE_RATIO",Database!$H390,Database!$H390),"")</f>
        <v/>
      </c>
      <c r="P390" s="101">
        <f>IF(Database!BF390="","(n/m or not derivable)",Database!BF390)</f>
        <v/>
      </c>
      <c r="Q390" s="24">
        <f>IF(Database!BL390="","",IFERROR(BDH(LEFT(Database!BL390,FIND(".",Database!BL390)-1)&amp;" CH Equity","PE_RATIO",Database!$H390,Database!$H390),""))</f>
        <v/>
      </c>
      <c r="R390" s="24">
        <f>IF(Database!BL390="","",IFERROR(BDH("HSAHP Index","PX_LAST",Database!$H390,Database!$H390),""))</f>
        <v/>
      </c>
      <c r="S390" s="24">
        <f>IFERROR(BDP(Database!$A390&amp;" HK Equity","PX_TO_SALES_RATIO"),"")</f>
        <v/>
      </c>
      <c r="T390" s="18">
        <f>IF(Database!BL390="","",IFERROR(BDP(LEFT(Database!BL390,FIND(".",Database!BL390)-1)&amp;" CH Equity","CUR_MKT_CAP"),""))</f>
        <v/>
      </c>
    </row>
    <row r="391">
      <c r="A391" s="16">
        <f>Database!A391&amp;"  "&amp;Database!B391</f>
        <v/>
      </c>
      <c r="B391" s="10">
        <f>IFERROR(INDEX(BDS(Database!$A391&amp;" HK Equity","EQUITY_OFFERINGS","array=t","endcol=1"),MATCH("IPO",BDS(Database!$A391&amp;" HK Equity","EQUITY_OFFERINGS","array=t","startcol=2","endcol=2"),0)),"")</f>
        <v/>
      </c>
      <c r="C391" s="103">
        <f>IF($B391="","",IFERROR(BDP($B391&amp;" Action","CP036"),""))</f>
        <v/>
      </c>
      <c r="D391" s="104">
        <f>Database!S391</f>
        <v/>
      </c>
      <c r="E391" s="103">
        <f>IF($B391="","",IFERROR(BDP($B391&amp;" Action","CP037"),""))</f>
        <v/>
      </c>
      <c r="F391" s="104">
        <f>Database!T391</f>
        <v/>
      </c>
      <c r="G391" s="103">
        <f>IF($B391="","",IFERROR(BDP($B391&amp;" Action","GREENSHOE_FACILITY"),""))</f>
        <v/>
      </c>
      <c r="H391" s="103">
        <f>IF($B391="","",IFERROR(BDP($B391&amp;" Action","OFFERING_GREENSHOE_SHARES_EX"),""))</f>
        <v/>
      </c>
      <c r="I391" s="16">
        <f>Database!AG391</f>
        <v/>
      </c>
      <c r="J391" s="24">
        <f>IFERROR(BDP(Database!$A391&amp;" HK Equity","PE_RATIO"),"")</f>
        <v/>
      </c>
      <c r="K391" s="10">
        <f>IFERROR(BDP(Database!$A391&amp;" HK Equity","A/H_SHARE_CONVERSION"),"")</f>
        <v/>
      </c>
      <c r="L391" s="16">
        <f>IF(Database!BL391="","(none found)",Database!BL391)</f>
        <v/>
      </c>
      <c r="M391" s="18">
        <f>IFERROR(BDH(Database!$A391&amp;" HK Equity","CUR_MKT_CAP",Database!$H391,Database!$H391),"")</f>
        <v/>
      </c>
      <c r="N391" s="97">
        <f>Database!Q391</f>
        <v/>
      </c>
      <c r="O391" s="24">
        <f>IFERROR(BDH(Database!$A391&amp;" HK Equity","PE_RATIO",Database!$H391,Database!$H391),"")</f>
        <v/>
      </c>
      <c r="P391" s="101">
        <f>IF(Database!BF391="","(n/m or not derivable)",Database!BF391)</f>
        <v/>
      </c>
      <c r="Q391" s="24">
        <f>IF(Database!BL391="","",IFERROR(BDH(LEFT(Database!BL391,FIND(".",Database!BL391)-1)&amp;" CH Equity","PE_RATIO",Database!$H391,Database!$H391),""))</f>
        <v/>
      </c>
      <c r="R391" s="24">
        <f>IF(Database!BL391="","",IFERROR(BDH("HSAHP Index","PX_LAST",Database!$H391,Database!$H391),""))</f>
        <v/>
      </c>
      <c r="S391" s="24">
        <f>IFERROR(BDP(Database!$A391&amp;" HK Equity","PX_TO_SALES_RATIO"),"")</f>
        <v/>
      </c>
      <c r="T391" s="18">
        <f>IF(Database!BL391="","",IFERROR(BDP(LEFT(Database!BL391,FIND(".",Database!BL391)-1)&amp;" CH Equity","CUR_MKT_CAP"),""))</f>
        <v/>
      </c>
    </row>
    <row r="392">
      <c r="A392" s="16">
        <f>Database!A392&amp;"  "&amp;Database!B392</f>
        <v/>
      </c>
      <c r="B392" s="10">
        <f>IFERROR(INDEX(BDS(Database!$A392&amp;" HK Equity","EQUITY_OFFERINGS","array=t","endcol=1"),MATCH("IPO",BDS(Database!$A392&amp;" HK Equity","EQUITY_OFFERINGS","array=t","startcol=2","endcol=2"),0)),"")</f>
        <v/>
      </c>
      <c r="C392" s="103">
        <f>IF($B392="","",IFERROR(BDP($B392&amp;" Action","CP036"),""))</f>
        <v/>
      </c>
      <c r="D392" s="104">
        <f>Database!S392</f>
        <v/>
      </c>
      <c r="E392" s="103">
        <f>IF($B392="","",IFERROR(BDP($B392&amp;" Action","CP037"),""))</f>
        <v/>
      </c>
      <c r="F392" s="104">
        <f>Database!T392</f>
        <v/>
      </c>
      <c r="G392" s="103">
        <f>IF($B392="","",IFERROR(BDP($B392&amp;" Action","GREENSHOE_FACILITY"),""))</f>
        <v/>
      </c>
      <c r="H392" s="103">
        <f>IF($B392="","",IFERROR(BDP($B392&amp;" Action","OFFERING_GREENSHOE_SHARES_EX"),""))</f>
        <v/>
      </c>
      <c r="I392" s="16">
        <f>Database!AG392</f>
        <v/>
      </c>
      <c r="J392" s="24">
        <f>IFERROR(BDP(Database!$A392&amp;" HK Equity","PE_RATIO"),"")</f>
        <v/>
      </c>
      <c r="K392" s="10">
        <f>IFERROR(BDP(Database!$A392&amp;" HK Equity","A/H_SHARE_CONVERSION"),"")</f>
        <v/>
      </c>
      <c r="L392" s="16">
        <f>IF(Database!BL392="","(none found)",Database!BL392)</f>
        <v/>
      </c>
      <c r="M392" s="18">
        <f>IFERROR(BDH(Database!$A392&amp;" HK Equity","CUR_MKT_CAP",Database!$H392,Database!$H392),"")</f>
        <v/>
      </c>
      <c r="N392" s="97">
        <f>Database!Q392</f>
        <v/>
      </c>
      <c r="O392" s="24">
        <f>IFERROR(BDH(Database!$A392&amp;" HK Equity","PE_RATIO",Database!$H392,Database!$H392),"")</f>
        <v/>
      </c>
      <c r="P392" s="101">
        <f>IF(Database!BF392="","(n/m or not derivable)",Database!BF392)</f>
        <v/>
      </c>
      <c r="Q392" s="24">
        <f>IF(Database!BL392="","",IFERROR(BDH(LEFT(Database!BL392,FIND(".",Database!BL392)-1)&amp;" CH Equity","PE_RATIO",Database!$H392,Database!$H392),""))</f>
        <v/>
      </c>
      <c r="R392" s="24">
        <f>IF(Database!BL392="","",IFERROR(BDH("HSAHP Index","PX_LAST",Database!$H392,Database!$H392),""))</f>
        <v/>
      </c>
      <c r="S392" s="24">
        <f>IFERROR(BDP(Database!$A392&amp;" HK Equity","PX_TO_SALES_RATIO"),"")</f>
        <v/>
      </c>
      <c r="T392" s="18">
        <f>IF(Database!BL392="","",IFERROR(BDP(LEFT(Database!BL392,FIND(".",Database!BL392)-1)&amp;" CH Equity","CUR_MKT_CAP"),""))</f>
        <v/>
      </c>
    </row>
    <row r="393">
      <c r="A393" s="16">
        <f>Database!A393&amp;"  "&amp;Database!B393</f>
        <v/>
      </c>
      <c r="B393" s="10">
        <f>IFERROR(INDEX(BDS(Database!$A393&amp;" HK Equity","EQUITY_OFFERINGS","array=t","endcol=1"),MATCH("IPO",BDS(Database!$A393&amp;" HK Equity","EQUITY_OFFERINGS","array=t","startcol=2","endcol=2"),0)),"")</f>
        <v/>
      </c>
      <c r="C393" s="103">
        <f>IF($B393="","",IFERROR(BDP($B393&amp;" Action","CP036"),""))</f>
        <v/>
      </c>
      <c r="D393" s="104">
        <f>Database!S393</f>
        <v/>
      </c>
      <c r="E393" s="103">
        <f>IF($B393="","",IFERROR(BDP($B393&amp;" Action","CP037"),""))</f>
        <v/>
      </c>
      <c r="F393" s="104">
        <f>Database!T393</f>
        <v/>
      </c>
      <c r="G393" s="103">
        <f>IF($B393="","",IFERROR(BDP($B393&amp;" Action","GREENSHOE_FACILITY"),""))</f>
        <v/>
      </c>
      <c r="H393" s="103">
        <f>IF($B393="","",IFERROR(BDP($B393&amp;" Action","OFFERING_GREENSHOE_SHARES_EX"),""))</f>
        <v/>
      </c>
      <c r="I393" s="16">
        <f>Database!AG393</f>
        <v/>
      </c>
      <c r="J393" s="24">
        <f>IFERROR(BDP(Database!$A393&amp;" HK Equity","PE_RATIO"),"")</f>
        <v/>
      </c>
      <c r="K393" s="10">
        <f>IFERROR(BDP(Database!$A393&amp;" HK Equity","A/H_SHARE_CONVERSION"),"")</f>
        <v/>
      </c>
      <c r="L393" s="16">
        <f>IF(Database!BL393="","(none found)",Database!BL393)</f>
        <v/>
      </c>
      <c r="M393" s="18">
        <f>IFERROR(BDH(Database!$A393&amp;" HK Equity","CUR_MKT_CAP",Database!$H393,Database!$H393),"")</f>
        <v/>
      </c>
      <c r="N393" s="97">
        <f>Database!Q393</f>
        <v/>
      </c>
      <c r="O393" s="24">
        <f>IFERROR(BDH(Database!$A393&amp;" HK Equity","PE_RATIO",Database!$H393,Database!$H393),"")</f>
        <v/>
      </c>
      <c r="P393" s="101">
        <f>IF(Database!BF393="","(n/m or not derivable)",Database!BF393)</f>
        <v/>
      </c>
      <c r="Q393" s="24">
        <f>IF(Database!BL393="","",IFERROR(BDH(LEFT(Database!BL393,FIND(".",Database!BL393)-1)&amp;" CH Equity","PE_RATIO",Database!$H393,Database!$H393),""))</f>
        <v/>
      </c>
      <c r="R393" s="24">
        <f>IF(Database!BL393="","",IFERROR(BDH("HSAHP Index","PX_LAST",Database!$H393,Database!$H393),""))</f>
        <v/>
      </c>
      <c r="S393" s="24">
        <f>IFERROR(BDP(Database!$A393&amp;" HK Equity","PX_TO_SALES_RATIO"),"")</f>
        <v/>
      </c>
      <c r="T393" s="18">
        <f>IF(Database!BL393="","",IFERROR(BDP(LEFT(Database!BL393,FIND(".",Database!BL393)-1)&amp;" CH Equity","CUR_MKT_CAP"),""))</f>
        <v/>
      </c>
    </row>
    <row r="394">
      <c r="A394" s="16">
        <f>Database!A394&amp;"  "&amp;Database!B394</f>
        <v/>
      </c>
      <c r="B394" s="10">
        <f>IFERROR(INDEX(BDS(Database!$A394&amp;" HK Equity","EQUITY_OFFERINGS","array=t","endcol=1"),MATCH("IPO",BDS(Database!$A394&amp;" HK Equity","EQUITY_OFFERINGS","array=t","startcol=2","endcol=2"),0)),"")</f>
        <v/>
      </c>
      <c r="C394" s="103">
        <f>IF($B394="","",IFERROR(BDP($B394&amp;" Action","CP036"),""))</f>
        <v/>
      </c>
      <c r="D394" s="104">
        <f>Database!S394</f>
        <v/>
      </c>
      <c r="E394" s="103">
        <f>IF($B394="","",IFERROR(BDP($B394&amp;" Action","CP037"),""))</f>
        <v/>
      </c>
      <c r="F394" s="104">
        <f>Database!T394</f>
        <v/>
      </c>
      <c r="G394" s="103">
        <f>IF($B394="","",IFERROR(BDP($B394&amp;" Action","GREENSHOE_FACILITY"),""))</f>
        <v/>
      </c>
      <c r="H394" s="103">
        <f>IF($B394="","",IFERROR(BDP($B394&amp;" Action","OFFERING_GREENSHOE_SHARES_EX"),""))</f>
        <v/>
      </c>
      <c r="I394" s="16">
        <f>Database!AG394</f>
        <v/>
      </c>
      <c r="J394" s="24">
        <f>IFERROR(BDP(Database!$A394&amp;" HK Equity","PE_RATIO"),"")</f>
        <v/>
      </c>
      <c r="K394" s="10">
        <f>IFERROR(BDP(Database!$A394&amp;" HK Equity","A/H_SHARE_CONVERSION"),"")</f>
        <v/>
      </c>
      <c r="L394" s="16">
        <f>IF(Database!BL394="","(none found)",Database!BL394)</f>
        <v/>
      </c>
      <c r="M394" s="18">
        <f>IFERROR(BDH(Database!$A394&amp;" HK Equity","CUR_MKT_CAP",Database!$H394,Database!$H394),"")</f>
        <v/>
      </c>
      <c r="N394" s="97">
        <f>Database!Q394</f>
        <v/>
      </c>
      <c r="O394" s="24">
        <f>IFERROR(BDH(Database!$A394&amp;" HK Equity","PE_RATIO",Database!$H394,Database!$H394),"")</f>
        <v/>
      </c>
      <c r="P394" s="101">
        <f>IF(Database!BF394="","(n/m or not derivable)",Database!BF394)</f>
        <v/>
      </c>
      <c r="Q394" s="24">
        <f>IF(Database!BL394="","",IFERROR(BDH(LEFT(Database!BL394,FIND(".",Database!BL394)-1)&amp;" CH Equity","PE_RATIO",Database!$H394,Database!$H394),""))</f>
        <v/>
      </c>
      <c r="R394" s="24">
        <f>IF(Database!BL394="","",IFERROR(BDH("HSAHP Index","PX_LAST",Database!$H394,Database!$H394),""))</f>
        <v/>
      </c>
      <c r="S394" s="24">
        <f>IFERROR(BDP(Database!$A394&amp;" HK Equity","PX_TO_SALES_RATIO"),"")</f>
        <v/>
      </c>
      <c r="T394" s="18">
        <f>IF(Database!BL394="","",IFERROR(BDP(LEFT(Database!BL394,FIND(".",Database!BL394)-1)&amp;" CH Equity","CUR_MKT_CAP"),""))</f>
        <v/>
      </c>
    </row>
    <row r="395">
      <c r="A395" s="16">
        <f>Database!A395&amp;"  "&amp;Database!B395</f>
        <v/>
      </c>
      <c r="B395" s="10">
        <f>IFERROR(INDEX(BDS(Database!$A395&amp;" HK Equity","EQUITY_OFFERINGS","array=t","endcol=1"),MATCH("IPO",BDS(Database!$A395&amp;" HK Equity","EQUITY_OFFERINGS","array=t","startcol=2","endcol=2"),0)),"")</f>
        <v/>
      </c>
      <c r="C395" s="103">
        <f>IF($B395="","",IFERROR(BDP($B395&amp;" Action","CP036"),""))</f>
        <v/>
      </c>
      <c r="D395" s="104">
        <f>Database!S395</f>
        <v/>
      </c>
      <c r="E395" s="103">
        <f>IF($B395="","",IFERROR(BDP($B395&amp;" Action","CP037"),""))</f>
        <v/>
      </c>
      <c r="F395" s="104">
        <f>Database!T395</f>
        <v/>
      </c>
      <c r="G395" s="103">
        <f>IF($B395="","",IFERROR(BDP($B395&amp;" Action","GREENSHOE_FACILITY"),""))</f>
        <v/>
      </c>
      <c r="H395" s="103">
        <f>IF($B395="","",IFERROR(BDP($B395&amp;" Action","OFFERING_GREENSHOE_SHARES_EX"),""))</f>
        <v/>
      </c>
      <c r="I395" s="16">
        <f>Database!AG395</f>
        <v/>
      </c>
      <c r="J395" s="24">
        <f>IFERROR(BDP(Database!$A395&amp;" HK Equity","PE_RATIO"),"")</f>
        <v/>
      </c>
      <c r="K395" s="10">
        <f>IFERROR(BDP(Database!$A395&amp;" HK Equity","A/H_SHARE_CONVERSION"),"")</f>
        <v/>
      </c>
      <c r="L395" s="16">
        <f>IF(Database!BL395="","(none found)",Database!BL395)</f>
        <v/>
      </c>
      <c r="M395" s="18">
        <f>IFERROR(BDH(Database!$A395&amp;" HK Equity","CUR_MKT_CAP",Database!$H395,Database!$H395),"")</f>
        <v/>
      </c>
      <c r="N395" s="97">
        <f>Database!Q395</f>
        <v/>
      </c>
      <c r="O395" s="24">
        <f>IFERROR(BDH(Database!$A395&amp;" HK Equity","PE_RATIO",Database!$H395,Database!$H395),"")</f>
        <v/>
      </c>
      <c r="P395" s="101">
        <f>IF(Database!BF395="","(n/m or not derivable)",Database!BF395)</f>
        <v/>
      </c>
      <c r="Q395" s="24">
        <f>IF(Database!BL395="","",IFERROR(BDH(LEFT(Database!BL395,FIND(".",Database!BL395)-1)&amp;" CH Equity","PE_RATIO",Database!$H395,Database!$H395),""))</f>
        <v/>
      </c>
      <c r="R395" s="24">
        <f>IF(Database!BL395="","",IFERROR(BDH("HSAHP Index","PX_LAST",Database!$H395,Database!$H395),""))</f>
        <v/>
      </c>
      <c r="S395" s="24">
        <f>IFERROR(BDP(Database!$A395&amp;" HK Equity","PX_TO_SALES_RATIO"),"")</f>
        <v/>
      </c>
      <c r="T395" s="18">
        <f>IF(Database!BL395="","",IFERROR(BDP(LEFT(Database!BL395,FIND(".",Database!BL395)-1)&amp;" CH Equity","CUR_MKT_CAP"),""))</f>
        <v/>
      </c>
    </row>
    <row r="396">
      <c r="A396" s="16">
        <f>Database!A396&amp;"  "&amp;Database!B396</f>
        <v/>
      </c>
      <c r="B396" s="10">
        <f>IFERROR(INDEX(BDS(Database!$A396&amp;" HK Equity","EQUITY_OFFERINGS","array=t","endcol=1"),MATCH("IPO",BDS(Database!$A396&amp;" HK Equity","EQUITY_OFFERINGS","array=t","startcol=2","endcol=2"),0)),"")</f>
        <v/>
      </c>
      <c r="C396" s="103">
        <f>IF($B396="","",IFERROR(BDP($B396&amp;" Action","CP036"),""))</f>
        <v/>
      </c>
      <c r="D396" s="104">
        <f>Database!S396</f>
        <v/>
      </c>
      <c r="E396" s="103">
        <f>IF($B396="","",IFERROR(BDP($B396&amp;" Action","CP037"),""))</f>
        <v/>
      </c>
      <c r="F396" s="104">
        <f>Database!T396</f>
        <v/>
      </c>
      <c r="G396" s="103">
        <f>IF($B396="","",IFERROR(BDP($B396&amp;" Action","GREENSHOE_FACILITY"),""))</f>
        <v/>
      </c>
      <c r="H396" s="103">
        <f>IF($B396="","",IFERROR(BDP($B396&amp;" Action","OFFERING_GREENSHOE_SHARES_EX"),""))</f>
        <v/>
      </c>
      <c r="I396" s="16">
        <f>Database!AG396</f>
        <v/>
      </c>
      <c r="J396" s="24">
        <f>IFERROR(BDP(Database!$A396&amp;" HK Equity","PE_RATIO"),"")</f>
        <v/>
      </c>
      <c r="K396" s="10">
        <f>IFERROR(BDP(Database!$A396&amp;" HK Equity","A/H_SHARE_CONVERSION"),"")</f>
        <v/>
      </c>
      <c r="L396" s="16">
        <f>IF(Database!BL396="","(none found)",Database!BL396)</f>
        <v/>
      </c>
      <c r="M396" s="18">
        <f>IFERROR(BDH(Database!$A396&amp;" HK Equity","CUR_MKT_CAP",Database!$H396,Database!$H396),"")</f>
        <v/>
      </c>
      <c r="N396" s="97">
        <f>Database!Q396</f>
        <v/>
      </c>
      <c r="O396" s="24">
        <f>IFERROR(BDH(Database!$A396&amp;" HK Equity","PE_RATIO",Database!$H396,Database!$H396),"")</f>
        <v/>
      </c>
      <c r="P396" s="101">
        <f>IF(Database!BF396="","(n/m or not derivable)",Database!BF396)</f>
        <v/>
      </c>
      <c r="Q396" s="24">
        <f>IF(Database!BL396="","",IFERROR(BDH(LEFT(Database!BL396,FIND(".",Database!BL396)-1)&amp;" CH Equity","PE_RATIO",Database!$H396,Database!$H396),""))</f>
        <v/>
      </c>
      <c r="R396" s="24">
        <f>IF(Database!BL396="","",IFERROR(BDH("HSAHP Index","PX_LAST",Database!$H396,Database!$H396),""))</f>
        <v/>
      </c>
      <c r="S396" s="24">
        <f>IFERROR(BDP(Database!$A396&amp;" HK Equity","PX_TO_SALES_RATIO"),"")</f>
        <v/>
      </c>
      <c r="T396" s="18">
        <f>IF(Database!BL396="","",IFERROR(BDP(LEFT(Database!BL396,FIND(".",Database!BL396)-1)&amp;" CH Equity","CUR_MKT_CAP"),""))</f>
        <v/>
      </c>
    </row>
    <row r="397">
      <c r="A397" s="16">
        <f>Database!A397&amp;"  "&amp;Database!B397</f>
        <v/>
      </c>
      <c r="B397" s="10">
        <f>IFERROR(INDEX(BDS(Database!$A397&amp;" HK Equity","EQUITY_OFFERINGS","array=t","endcol=1"),MATCH("IPO",BDS(Database!$A397&amp;" HK Equity","EQUITY_OFFERINGS","array=t","startcol=2","endcol=2"),0)),"")</f>
        <v/>
      </c>
      <c r="C397" s="103">
        <f>IF($B397="","",IFERROR(BDP($B397&amp;" Action","CP036"),""))</f>
        <v/>
      </c>
      <c r="D397" s="104">
        <f>Database!S397</f>
        <v/>
      </c>
      <c r="E397" s="103">
        <f>IF($B397="","",IFERROR(BDP($B397&amp;" Action","CP037"),""))</f>
        <v/>
      </c>
      <c r="F397" s="104">
        <f>Database!T397</f>
        <v/>
      </c>
      <c r="G397" s="103">
        <f>IF($B397="","",IFERROR(BDP($B397&amp;" Action","GREENSHOE_FACILITY"),""))</f>
        <v/>
      </c>
      <c r="H397" s="103">
        <f>IF($B397="","",IFERROR(BDP($B397&amp;" Action","OFFERING_GREENSHOE_SHARES_EX"),""))</f>
        <v/>
      </c>
      <c r="I397" s="16">
        <f>Database!AG397</f>
        <v/>
      </c>
      <c r="J397" s="24">
        <f>IFERROR(BDP(Database!$A397&amp;" HK Equity","PE_RATIO"),"")</f>
        <v/>
      </c>
      <c r="K397" s="10">
        <f>IFERROR(BDP(Database!$A397&amp;" HK Equity","A/H_SHARE_CONVERSION"),"")</f>
        <v/>
      </c>
      <c r="L397" s="16">
        <f>IF(Database!BL397="","(none found)",Database!BL397)</f>
        <v/>
      </c>
      <c r="M397" s="18">
        <f>IFERROR(BDH(Database!$A397&amp;" HK Equity","CUR_MKT_CAP",Database!$H397,Database!$H397),"")</f>
        <v/>
      </c>
      <c r="N397" s="97">
        <f>Database!Q397</f>
        <v/>
      </c>
      <c r="O397" s="24">
        <f>IFERROR(BDH(Database!$A397&amp;" HK Equity","PE_RATIO",Database!$H397,Database!$H397),"")</f>
        <v/>
      </c>
      <c r="P397" s="101">
        <f>IF(Database!BF397="","(n/m or not derivable)",Database!BF397)</f>
        <v/>
      </c>
      <c r="Q397" s="24">
        <f>IF(Database!BL397="","",IFERROR(BDH(LEFT(Database!BL397,FIND(".",Database!BL397)-1)&amp;" CH Equity","PE_RATIO",Database!$H397,Database!$H397),""))</f>
        <v/>
      </c>
      <c r="R397" s="24">
        <f>IF(Database!BL397="","",IFERROR(BDH("HSAHP Index","PX_LAST",Database!$H397,Database!$H397),""))</f>
        <v/>
      </c>
      <c r="S397" s="24">
        <f>IFERROR(BDP(Database!$A397&amp;" HK Equity","PX_TO_SALES_RATIO"),"")</f>
        <v/>
      </c>
      <c r="T397" s="18">
        <f>IF(Database!BL397="","",IFERROR(BDP(LEFT(Database!BL397,FIND(".",Database!BL397)-1)&amp;" CH Equity","CUR_MKT_CAP"),""))</f>
        <v/>
      </c>
    </row>
    <row r="398">
      <c r="A398" s="16">
        <f>Database!A398&amp;"  "&amp;Database!B398</f>
        <v/>
      </c>
      <c r="B398" s="10">
        <f>IFERROR(INDEX(BDS(Database!$A398&amp;" HK Equity","EQUITY_OFFERINGS","array=t","endcol=1"),MATCH("IPO",BDS(Database!$A398&amp;" HK Equity","EQUITY_OFFERINGS","array=t","startcol=2","endcol=2"),0)),"")</f>
        <v/>
      </c>
      <c r="C398" s="103">
        <f>IF($B398="","",IFERROR(BDP($B398&amp;" Action","CP036"),""))</f>
        <v/>
      </c>
      <c r="D398" s="104">
        <f>Database!S398</f>
        <v/>
      </c>
      <c r="E398" s="103">
        <f>IF($B398="","",IFERROR(BDP($B398&amp;" Action","CP037"),""))</f>
        <v/>
      </c>
      <c r="F398" s="104">
        <f>Database!T398</f>
        <v/>
      </c>
      <c r="G398" s="103">
        <f>IF($B398="","",IFERROR(BDP($B398&amp;" Action","GREENSHOE_FACILITY"),""))</f>
        <v/>
      </c>
      <c r="H398" s="103">
        <f>IF($B398="","",IFERROR(BDP($B398&amp;" Action","OFFERING_GREENSHOE_SHARES_EX"),""))</f>
        <v/>
      </c>
      <c r="I398" s="16">
        <f>Database!AG398</f>
        <v/>
      </c>
      <c r="J398" s="24">
        <f>IFERROR(BDP(Database!$A398&amp;" HK Equity","PE_RATIO"),"")</f>
        <v/>
      </c>
      <c r="K398" s="10">
        <f>IFERROR(BDP(Database!$A398&amp;" HK Equity","A/H_SHARE_CONVERSION"),"")</f>
        <v/>
      </c>
      <c r="L398" s="16">
        <f>IF(Database!BL398="","(none found)",Database!BL398)</f>
        <v/>
      </c>
      <c r="M398" s="18">
        <f>IFERROR(BDH(Database!$A398&amp;" HK Equity","CUR_MKT_CAP",Database!$H398,Database!$H398),"")</f>
        <v/>
      </c>
      <c r="N398" s="97">
        <f>Database!Q398</f>
        <v/>
      </c>
      <c r="O398" s="24">
        <f>IFERROR(BDH(Database!$A398&amp;" HK Equity","PE_RATIO",Database!$H398,Database!$H398),"")</f>
        <v/>
      </c>
      <c r="P398" s="101">
        <f>IF(Database!BF398="","(n/m or not derivable)",Database!BF398)</f>
        <v/>
      </c>
      <c r="Q398" s="24">
        <f>IF(Database!BL398="","",IFERROR(BDH(LEFT(Database!BL398,FIND(".",Database!BL398)-1)&amp;" CH Equity","PE_RATIO",Database!$H398,Database!$H398),""))</f>
        <v/>
      </c>
      <c r="R398" s="24">
        <f>IF(Database!BL398="","",IFERROR(BDH("HSAHP Index","PX_LAST",Database!$H398,Database!$H398),""))</f>
        <v/>
      </c>
      <c r="S398" s="24">
        <f>IFERROR(BDP(Database!$A398&amp;" HK Equity","PX_TO_SALES_RATIO"),"")</f>
        <v/>
      </c>
      <c r="T398" s="18">
        <f>IF(Database!BL398="","",IFERROR(BDP(LEFT(Database!BL398,FIND(".",Database!BL398)-1)&amp;" CH Equity","CUR_MKT_CAP"),""))</f>
        <v/>
      </c>
    </row>
    <row r="399">
      <c r="A399" s="16">
        <f>Database!A399&amp;"  "&amp;Database!B399</f>
        <v/>
      </c>
      <c r="B399" s="10">
        <f>IFERROR(INDEX(BDS(Database!$A399&amp;" HK Equity","EQUITY_OFFERINGS","array=t","endcol=1"),MATCH("IPO",BDS(Database!$A399&amp;" HK Equity","EQUITY_OFFERINGS","array=t","startcol=2","endcol=2"),0)),"")</f>
        <v/>
      </c>
      <c r="C399" s="103">
        <f>IF($B399="","",IFERROR(BDP($B399&amp;" Action","CP036"),""))</f>
        <v/>
      </c>
      <c r="D399" s="104">
        <f>Database!S399</f>
        <v/>
      </c>
      <c r="E399" s="103">
        <f>IF($B399="","",IFERROR(BDP($B399&amp;" Action","CP037"),""))</f>
        <v/>
      </c>
      <c r="F399" s="104">
        <f>Database!T399</f>
        <v/>
      </c>
      <c r="G399" s="103">
        <f>IF($B399="","",IFERROR(BDP($B399&amp;" Action","GREENSHOE_FACILITY"),""))</f>
        <v/>
      </c>
      <c r="H399" s="103">
        <f>IF($B399="","",IFERROR(BDP($B399&amp;" Action","OFFERING_GREENSHOE_SHARES_EX"),""))</f>
        <v/>
      </c>
      <c r="I399" s="16">
        <f>Database!AG399</f>
        <v/>
      </c>
      <c r="J399" s="24">
        <f>IFERROR(BDP(Database!$A399&amp;" HK Equity","PE_RATIO"),"")</f>
        <v/>
      </c>
      <c r="K399" s="10">
        <f>IFERROR(BDP(Database!$A399&amp;" HK Equity","A/H_SHARE_CONVERSION"),"")</f>
        <v/>
      </c>
      <c r="L399" s="16">
        <f>IF(Database!BL399="","(none found)",Database!BL399)</f>
        <v/>
      </c>
      <c r="M399" s="18">
        <f>IFERROR(BDH(Database!$A399&amp;" HK Equity","CUR_MKT_CAP",Database!$H399,Database!$H399),"")</f>
        <v/>
      </c>
      <c r="N399" s="97">
        <f>Database!Q399</f>
        <v/>
      </c>
      <c r="O399" s="24">
        <f>IFERROR(BDH(Database!$A399&amp;" HK Equity","PE_RATIO",Database!$H399,Database!$H399),"")</f>
        <v/>
      </c>
      <c r="P399" s="101">
        <f>IF(Database!BF399="","(n/m or not derivable)",Database!BF399)</f>
        <v/>
      </c>
      <c r="Q399" s="24">
        <f>IF(Database!BL399="","",IFERROR(BDH(LEFT(Database!BL399,FIND(".",Database!BL399)-1)&amp;" CH Equity","PE_RATIO",Database!$H399,Database!$H399),""))</f>
        <v/>
      </c>
      <c r="R399" s="24">
        <f>IF(Database!BL399="","",IFERROR(BDH("HSAHP Index","PX_LAST",Database!$H399,Database!$H399),""))</f>
        <v/>
      </c>
      <c r="S399" s="24">
        <f>IFERROR(BDP(Database!$A399&amp;" HK Equity","PX_TO_SALES_RATIO"),"")</f>
        <v/>
      </c>
      <c r="T399" s="18">
        <f>IF(Database!BL399="","",IFERROR(BDP(LEFT(Database!BL399,FIND(".",Database!BL399)-1)&amp;" CH Equity","CUR_MKT_CAP"),""))</f>
        <v/>
      </c>
    </row>
    <row r="400">
      <c r="A400" s="16">
        <f>Database!A400&amp;"  "&amp;Database!B400</f>
        <v/>
      </c>
      <c r="B400" s="10">
        <f>IFERROR(INDEX(BDS(Database!$A400&amp;" HK Equity","EQUITY_OFFERINGS","array=t","endcol=1"),MATCH("IPO",BDS(Database!$A400&amp;" HK Equity","EQUITY_OFFERINGS","array=t","startcol=2","endcol=2"),0)),"")</f>
        <v/>
      </c>
      <c r="C400" s="103">
        <f>IF($B400="","",IFERROR(BDP($B400&amp;" Action","CP036"),""))</f>
        <v/>
      </c>
      <c r="D400" s="104">
        <f>Database!S400</f>
        <v/>
      </c>
      <c r="E400" s="103">
        <f>IF($B400="","",IFERROR(BDP($B400&amp;" Action","CP037"),""))</f>
        <v/>
      </c>
      <c r="F400" s="104">
        <f>Database!T400</f>
        <v/>
      </c>
      <c r="G400" s="103">
        <f>IF($B400="","",IFERROR(BDP($B400&amp;" Action","GREENSHOE_FACILITY"),""))</f>
        <v/>
      </c>
      <c r="H400" s="103">
        <f>IF($B400="","",IFERROR(BDP($B400&amp;" Action","OFFERING_GREENSHOE_SHARES_EX"),""))</f>
        <v/>
      </c>
      <c r="I400" s="16">
        <f>Database!AG400</f>
        <v/>
      </c>
      <c r="J400" s="24">
        <f>IFERROR(BDP(Database!$A400&amp;" HK Equity","PE_RATIO"),"")</f>
        <v/>
      </c>
      <c r="K400" s="10">
        <f>IFERROR(BDP(Database!$A400&amp;" HK Equity","A/H_SHARE_CONVERSION"),"")</f>
        <v/>
      </c>
      <c r="L400" s="16">
        <f>IF(Database!BL400="","(none found)",Database!BL400)</f>
        <v/>
      </c>
      <c r="M400" s="18">
        <f>IFERROR(BDH(Database!$A400&amp;" HK Equity","CUR_MKT_CAP",Database!$H400,Database!$H400),"")</f>
        <v/>
      </c>
      <c r="N400" s="97">
        <f>Database!Q400</f>
        <v/>
      </c>
      <c r="O400" s="24">
        <f>IFERROR(BDH(Database!$A400&amp;" HK Equity","PE_RATIO",Database!$H400,Database!$H400),"")</f>
        <v/>
      </c>
      <c r="P400" s="101">
        <f>IF(Database!BF400="","(n/m or not derivable)",Database!BF400)</f>
        <v/>
      </c>
      <c r="Q400" s="24">
        <f>IF(Database!BL400="","",IFERROR(BDH(LEFT(Database!BL400,FIND(".",Database!BL400)-1)&amp;" CH Equity","PE_RATIO",Database!$H400,Database!$H400),""))</f>
        <v/>
      </c>
      <c r="R400" s="24">
        <f>IF(Database!BL400="","",IFERROR(BDH("HSAHP Index","PX_LAST",Database!$H400,Database!$H400),""))</f>
        <v/>
      </c>
      <c r="S400" s="24">
        <f>IFERROR(BDP(Database!$A400&amp;" HK Equity","PX_TO_SALES_RATIO"),"")</f>
        <v/>
      </c>
      <c r="T400" s="18">
        <f>IF(Database!BL400="","",IFERROR(BDP(LEFT(Database!BL400,FIND(".",Database!BL400)-1)&amp;" CH Equity","CUR_MKT_CAP"),""))</f>
        <v/>
      </c>
    </row>
    <row r="401">
      <c r="A401" s="16">
        <f>Database!A401&amp;"  "&amp;Database!B401</f>
        <v/>
      </c>
      <c r="B401" s="10">
        <f>IFERROR(INDEX(BDS(Database!$A401&amp;" HK Equity","EQUITY_OFFERINGS","array=t","endcol=1"),MATCH("IPO",BDS(Database!$A401&amp;" HK Equity","EQUITY_OFFERINGS","array=t","startcol=2","endcol=2"),0)),"")</f>
        <v/>
      </c>
      <c r="C401" s="103">
        <f>IF($B401="","",IFERROR(BDP($B401&amp;" Action","CP036"),""))</f>
        <v/>
      </c>
      <c r="D401" s="104">
        <f>Database!S401</f>
        <v/>
      </c>
      <c r="E401" s="103">
        <f>IF($B401="","",IFERROR(BDP($B401&amp;" Action","CP037"),""))</f>
        <v/>
      </c>
      <c r="F401" s="104">
        <f>Database!T401</f>
        <v/>
      </c>
      <c r="G401" s="103">
        <f>IF($B401="","",IFERROR(BDP($B401&amp;" Action","GREENSHOE_FACILITY"),""))</f>
        <v/>
      </c>
      <c r="H401" s="103">
        <f>IF($B401="","",IFERROR(BDP($B401&amp;" Action","OFFERING_GREENSHOE_SHARES_EX"),""))</f>
        <v/>
      </c>
      <c r="I401" s="16">
        <f>Database!AG401</f>
        <v/>
      </c>
      <c r="J401" s="24">
        <f>IFERROR(BDP(Database!$A401&amp;" HK Equity","PE_RATIO"),"")</f>
        <v/>
      </c>
      <c r="K401" s="10">
        <f>IFERROR(BDP(Database!$A401&amp;" HK Equity","A/H_SHARE_CONVERSION"),"")</f>
        <v/>
      </c>
      <c r="L401" s="16">
        <f>IF(Database!BL401="","(none found)",Database!BL401)</f>
        <v/>
      </c>
      <c r="M401" s="18">
        <f>IFERROR(BDH(Database!$A401&amp;" HK Equity","CUR_MKT_CAP",Database!$H401,Database!$H401),"")</f>
        <v/>
      </c>
      <c r="N401" s="97">
        <f>Database!Q401</f>
        <v/>
      </c>
      <c r="O401" s="24">
        <f>IFERROR(BDH(Database!$A401&amp;" HK Equity","PE_RATIO",Database!$H401,Database!$H401),"")</f>
        <v/>
      </c>
      <c r="P401" s="101">
        <f>IF(Database!BF401="","(n/m or not derivable)",Database!BF401)</f>
        <v/>
      </c>
      <c r="Q401" s="24">
        <f>IF(Database!BL401="","",IFERROR(BDH(LEFT(Database!BL401,FIND(".",Database!BL401)-1)&amp;" CH Equity","PE_RATIO",Database!$H401,Database!$H401),""))</f>
        <v/>
      </c>
      <c r="R401" s="24">
        <f>IF(Database!BL401="","",IFERROR(BDH("HSAHP Index","PX_LAST",Database!$H401,Database!$H401),""))</f>
        <v/>
      </c>
      <c r="S401" s="24">
        <f>IFERROR(BDP(Database!$A401&amp;" HK Equity","PX_TO_SALES_RATIO"),"")</f>
        <v/>
      </c>
      <c r="T401" s="18">
        <f>IF(Database!BL401="","",IFERROR(BDP(LEFT(Database!BL401,FIND(".",Database!BL401)-1)&amp;" CH Equity","CUR_MKT_CAP"),""))</f>
        <v/>
      </c>
    </row>
    <row r="402">
      <c r="A402" s="16">
        <f>Database!A402&amp;"  "&amp;Database!B402</f>
        <v/>
      </c>
      <c r="B402" s="10">
        <f>IFERROR(INDEX(BDS(Database!$A402&amp;" HK Equity","EQUITY_OFFERINGS","array=t","endcol=1"),MATCH("IPO",BDS(Database!$A402&amp;" HK Equity","EQUITY_OFFERINGS","array=t","startcol=2","endcol=2"),0)),"")</f>
        <v/>
      </c>
      <c r="C402" s="103">
        <f>IF($B402="","",IFERROR(BDP($B402&amp;" Action","CP036"),""))</f>
        <v/>
      </c>
      <c r="D402" s="104">
        <f>Database!S402</f>
        <v/>
      </c>
      <c r="E402" s="103">
        <f>IF($B402="","",IFERROR(BDP($B402&amp;" Action","CP037"),""))</f>
        <v/>
      </c>
      <c r="F402" s="104">
        <f>Database!T402</f>
        <v/>
      </c>
      <c r="G402" s="103">
        <f>IF($B402="","",IFERROR(BDP($B402&amp;" Action","GREENSHOE_FACILITY"),""))</f>
        <v/>
      </c>
      <c r="H402" s="103">
        <f>IF($B402="","",IFERROR(BDP($B402&amp;" Action","OFFERING_GREENSHOE_SHARES_EX"),""))</f>
        <v/>
      </c>
      <c r="I402" s="16">
        <f>Database!AG402</f>
        <v/>
      </c>
      <c r="J402" s="24">
        <f>IFERROR(BDP(Database!$A402&amp;" HK Equity","PE_RATIO"),"")</f>
        <v/>
      </c>
      <c r="K402" s="10">
        <f>IFERROR(BDP(Database!$A402&amp;" HK Equity","A/H_SHARE_CONVERSION"),"")</f>
        <v/>
      </c>
      <c r="L402" s="16">
        <f>IF(Database!BL402="","(none found)",Database!BL402)</f>
        <v/>
      </c>
      <c r="M402" s="18">
        <f>IFERROR(BDH(Database!$A402&amp;" HK Equity","CUR_MKT_CAP",Database!$H402,Database!$H402),"")</f>
        <v/>
      </c>
      <c r="N402" s="97">
        <f>Database!Q402</f>
        <v/>
      </c>
      <c r="O402" s="24">
        <f>IFERROR(BDH(Database!$A402&amp;" HK Equity","PE_RATIO",Database!$H402,Database!$H402),"")</f>
        <v/>
      </c>
      <c r="P402" s="101">
        <f>IF(Database!BF402="","(n/m or not derivable)",Database!BF402)</f>
        <v/>
      </c>
      <c r="Q402" s="24">
        <f>IF(Database!BL402="","",IFERROR(BDH(LEFT(Database!BL402,FIND(".",Database!BL402)-1)&amp;" CH Equity","PE_RATIO",Database!$H402,Database!$H402),""))</f>
        <v/>
      </c>
      <c r="R402" s="24">
        <f>IF(Database!BL402="","",IFERROR(BDH("HSAHP Index","PX_LAST",Database!$H402,Database!$H402),""))</f>
        <v/>
      </c>
      <c r="S402" s="24">
        <f>IFERROR(BDP(Database!$A402&amp;" HK Equity","PX_TO_SALES_RATIO"),"")</f>
        <v/>
      </c>
      <c r="T402" s="18">
        <f>IF(Database!BL402="","",IFERROR(BDP(LEFT(Database!BL402,FIND(".",Database!BL402)-1)&amp;" CH Equity","CUR_MKT_CAP"),""))</f>
        <v/>
      </c>
    </row>
    <row r="403">
      <c r="A403" s="16">
        <f>Database!A403&amp;"  "&amp;Database!B403</f>
        <v/>
      </c>
      <c r="B403" s="10">
        <f>IFERROR(INDEX(BDS(Database!$A403&amp;" HK Equity","EQUITY_OFFERINGS","array=t","endcol=1"),MATCH("IPO",BDS(Database!$A403&amp;" HK Equity","EQUITY_OFFERINGS","array=t","startcol=2","endcol=2"),0)),"")</f>
        <v/>
      </c>
      <c r="C403" s="103">
        <f>IF($B403="","",IFERROR(BDP($B403&amp;" Action","CP036"),""))</f>
        <v/>
      </c>
      <c r="D403" s="104">
        <f>Database!S403</f>
        <v/>
      </c>
      <c r="E403" s="103">
        <f>IF($B403="","",IFERROR(BDP($B403&amp;" Action","CP037"),""))</f>
        <v/>
      </c>
      <c r="F403" s="104">
        <f>Database!T403</f>
        <v/>
      </c>
      <c r="G403" s="103">
        <f>IF($B403="","",IFERROR(BDP($B403&amp;" Action","GREENSHOE_FACILITY"),""))</f>
        <v/>
      </c>
      <c r="H403" s="103">
        <f>IF($B403="","",IFERROR(BDP($B403&amp;" Action","OFFERING_GREENSHOE_SHARES_EX"),""))</f>
        <v/>
      </c>
      <c r="I403" s="16">
        <f>Database!AG403</f>
        <v/>
      </c>
      <c r="J403" s="24">
        <f>IFERROR(BDP(Database!$A403&amp;" HK Equity","PE_RATIO"),"")</f>
        <v/>
      </c>
      <c r="K403" s="10">
        <f>IFERROR(BDP(Database!$A403&amp;" HK Equity","A/H_SHARE_CONVERSION"),"")</f>
        <v/>
      </c>
      <c r="L403" s="16">
        <f>IF(Database!BL403="","(none found)",Database!BL403)</f>
        <v/>
      </c>
      <c r="M403" s="18">
        <f>IFERROR(BDH(Database!$A403&amp;" HK Equity","CUR_MKT_CAP",Database!$H403,Database!$H403),"")</f>
        <v/>
      </c>
      <c r="N403" s="97">
        <f>Database!Q403</f>
        <v/>
      </c>
      <c r="O403" s="24">
        <f>IFERROR(BDH(Database!$A403&amp;" HK Equity","PE_RATIO",Database!$H403,Database!$H403),"")</f>
        <v/>
      </c>
      <c r="P403" s="101">
        <f>IF(Database!BF403="","(n/m or not derivable)",Database!BF403)</f>
        <v/>
      </c>
      <c r="Q403" s="24">
        <f>IF(Database!BL403="","",IFERROR(BDH(LEFT(Database!BL403,FIND(".",Database!BL403)-1)&amp;" CH Equity","PE_RATIO",Database!$H403,Database!$H403),""))</f>
        <v/>
      </c>
      <c r="R403" s="24">
        <f>IF(Database!BL403="","",IFERROR(BDH("HSAHP Index","PX_LAST",Database!$H403,Database!$H403),""))</f>
        <v/>
      </c>
      <c r="S403" s="24">
        <f>IFERROR(BDP(Database!$A403&amp;" HK Equity","PX_TO_SALES_RATIO"),"")</f>
        <v/>
      </c>
      <c r="T403" s="18">
        <f>IF(Database!BL403="","",IFERROR(BDP(LEFT(Database!BL403,FIND(".",Database!BL403)-1)&amp;" CH Equity","CUR_MKT_CAP"),""))</f>
        <v/>
      </c>
    </row>
    <row r="404">
      <c r="A404" s="16">
        <f>Database!A404&amp;"  "&amp;Database!B404</f>
        <v/>
      </c>
      <c r="B404" s="10">
        <f>IFERROR(INDEX(BDS(Database!$A404&amp;" HK Equity","EQUITY_OFFERINGS","array=t","endcol=1"),MATCH("IPO",BDS(Database!$A404&amp;" HK Equity","EQUITY_OFFERINGS","array=t","startcol=2","endcol=2"),0)),"")</f>
        <v/>
      </c>
      <c r="C404" s="103">
        <f>IF($B404="","",IFERROR(BDP($B404&amp;" Action","CP036"),""))</f>
        <v/>
      </c>
      <c r="D404" s="104">
        <f>Database!S404</f>
        <v/>
      </c>
      <c r="E404" s="103">
        <f>IF($B404="","",IFERROR(BDP($B404&amp;" Action","CP037"),""))</f>
        <v/>
      </c>
      <c r="F404" s="104">
        <f>Database!T404</f>
        <v/>
      </c>
      <c r="G404" s="103">
        <f>IF($B404="","",IFERROR(BDP($B404&amp;" Action","GREENSHOE_FACILITY"),""))</f>
        <v/>
      </c>
      <c r="H404" s="103">
        <f>IF($B404="","",IFERROR(BDP($B404&amp;" Action","OFFERING_GREENSHOE_SHARES_EX"),""))</f>
        <v/>
      </c>
      <c r="I404" s="16">
        <f>Database!AG404</f>
        <v/>
      </c>
      <c r="J404" s="24">
        <f>IFERROR(BDP(Database!$A404&amp;" HK Equity","PE_RATIO"),"")</f>
        <v/>
      </c>
      <c r="K404" s="10">
        <f>IFERROR(BDP(Database!$A404&amp;" HK Equity","A/H_SHARE_CONVERSION"),"")</f>
        <v/>
      </c>
      <c r="L404" s="16">
        <f>IF(Database!BL404="","(none found)",Database!BL404)</f>
        <v/>
      </c>
      <c r="M404" s="18">
        <f>IFERROR(BDH(Database!$A404&amp;" HK Equity","CUR_MKT_CAP",Database!$H404,Database!$H404),"")</f>
        <v/>
      </c>
      <c r="N404" s="97">
        <f>Database!Q404</f>
        <v/>
      </c>
      <c r="O404" s="24">
        <f>IFERROR(BDH(Database!$A404&amp;" HK Equity","PE_RATIO",Database!$H404,Database!$H404),"")</f>
        <v/>
      </c>
      <c r="P404" s="101">
        <f>IF(Database!BF404="","(n/m or not derivable)",Database!BF404)</f>
        <v/>
      </c>
      <c r="Q404" s="24">
        <f>IF(Database!BL404="","",IFERROR(BDH(LEFT(Database!BL404,FIND(".",Database!BL404)-1)&amp;" CH Equity","PE_RATIO",Database!$H404,Database!$H404),""))</f>
        <v/>
      </c>
      <c r="R404" s="24">
        <f>IF(Database!BL404="","",IFERROR(BDH("HSAHP Index","PX_LAST",Database!$H404,Database!$H404),""))</f>
        <v/>
      </c>
      <c r="S404" s="24">
        <f>IFERROR(BDP(Database!$A404&amp;" HK Equity","PX_TO_SALES_RATIO"),"")</f>
        <v/>
      </c>
      <c r="T404" s="18">
        <f>IF(Database!BL404="","",IFERROR(BDP(LEFT(Database!BL404,FIND(".",Database!BL404)-1)&amp;" CH Equity","CUR_MKT_CAP"),""))</f>
        <v/>
      </c>
    </row>
    <row r="405">
      <c r="A405" s="16">
        <f>Database!A405&amp;"  "&amp;Database!B405</f>
        <v/>
      </c>
      <c r="B405" s="10">
        <f>IFERROR(INDEX(BDS(Database!$A405&amp;" HK Equity","EQUITY_OFFERINGS","array=t","endcol=1"),MATCH("IPO",BDS(Database!$A405&amp;" HK Equity","EQUITY_OFFERINGS","array=t","startcol=2","endcol=2"),0)),"")</f>
        <v/>
      </c>
      <c r="C405" s="103">
        <f>IF($B405="","",IFERROR(BDP($B405&amp;" Action","CP036"),""))</f>
        <v/>
      </c>
      <c r="D405" s="104">
        <f>Database!S405</f>
        <v/>
      </c>
      <c r="E405" s="103">
        <f>IF($B405="","",IFERROR(BDP($B405&amp;" Action","CP037"),""))</f>
        <v/>
      </c>
      <c r="F405" s="104">
        <f>Database!T405</f>
        <v/>
      </c>
      <c r="G405" s="103">
        <f>IF($B405="","",IFERROR(BDP($B405&amp;" Action","GREENSHOE_FACILITY"),""))</f>
        <v/>
      </c>
      <c r="H405" s="103">
        <f>IF($B405="","",IFERROR(BDP($B405&amp;" Action","OFFERING_GREENSHOE_SHARES_EX"),""))</f>
        <v/>
      </c>
      <c r="I405" s="16">
        <f>Database!AG405</f>
        <v/>
      </c>
      <c r="J405" s="24">
        <f>IFERROR(BDP(Database!$A405&amp;" HK Equity","PE_RATIO"),"")</f>
        <v/>
      </c>
      <c r="K405" s="10">
        <f>IFERROR(BDP(Database!$A405&amp;" HK Equity","A/H_SHARE_CONVERSION"),"")</f>
        <v/>
      </c>
      <c r="L405" s="16">
        <f>IF(Database!BL405="","(none found)",Database!BL405)</f>
        <v/>
      </c>
      <c r="M405" s="18">
        <f>IFERROR(BDH(Database!$A405&amp;" HK Equity","CUR_MKT_CAP",Database!$H405,Database!$H405),"")</f>
        <v/>
      </c>
      <c r="N405" s="97">
        <f>Database!Q405</f>
        <v/>
      </c>
      <c r="O405" s="24">
        <f>IFERROR(BDH(Database!$A405&amp;" HK Equity","PE_RATIO",Database!$H405,Database!$H405),"")</f>
        <v/>
      </c>
      <c r="P405" s="101">
        <f>IF(Database!BF405="","(n/m or not derivable)",Database!BF405)</f>
        <v/>
      </c>
      <c r="Q405" s="24">
        <f>IF(Database!BL405="","",IFERROR(BDH(LEFT(Database!BL405,FIND(".",Database!BL405)-1)&amp;" CH Equity","PE_RATIO",Database!$H405,Database!$H405),""))</f>
        <v/>
      </c>
      <c r="R405" s="24">
        <f>IF(Database!BL405="","",IFERROR(BDH("HSAHP Index","PX_LAST",Database!$H405,Database!$H405),""))</f>
        <v/>
      </c>
      <c r="S405" s="24">
        <f>IFERROR(BDP(Database!$A405&amp;" HK Equity","PX_TO_SALES_RATIO"),"")</f>
        <v/>
      </c>
      <c r="T405" s="18">
        <f>IF(Database!BL405="","",IFERROR(BDP(LEFT(Database!BL405,FIND(".",Database!BL405)-1)&amp;" CH Equity","CUR_MKT_CAP"),""))</f>
        <v/>
      </c>
    </row>
    <row r="406">
      <c r="A406" s="16">
        <f>Database!A406&amp;"  "&amp;Database!B406</f>
        <v/>
      </c>
      <c r="B406" s="10">
        <f>IFERROR(INDEX(BDS(Database!$A406&amp;" HK Equity","EQUITY_OFFERINGS","array=t","endcol=1"),MATCH("IPO",BDS(Database!$A406&amp;" HK Equity","EQUITY_OFFERINGS","array=t","startcol=2","endcol=2"),0)),"")</f>
        <v/>
      </c>
      <c r="C406" s="103">
        <f>IF($B406="","",IFERROR(BDP($B406&amp;" Action","CP036"),""))</f>
        <v/>
      </c>
      <c r="D406" s="104">
        <f>Database!S406</f>
        <v/>
      </c>
      <c r="E406" s="103">
        <f>IF($B406="","",IFERROR(BDP($B406&amp;" Action","CP037"),""))</f>
        <v/>
      </c>
      <c r="F406" s="104">
        <f>Database!T406</f>
        <v/>
      </c>
      <c r="G406" s="103">
        <f>IF($B406="","",IFERROR(BDP($B406&amp;" Action","GREENSHOE_FACILITY"),""))</f>
        <v/>
      </c>
      <c r="H406" s="103">
        <f>IF($B406="","",IFERROR(BDP($B406&amp;" Action","OFFERING_GREENSHOE_SHARES_EX"),""))</f>
        <v/>
      </c>
      <c r="I406" s="16">
        <f>Database!AG406</f>
        <v/>
      </c>
      <c r="J406" s="24">
        <f>IFERROR(BDP(Database!$A406&amp;" HK Equity","PE_RATIO"),"")</f>
        <v/>
      </c>
      <c r="K406" s="10">
        <f>IFERROR(BDP(Database!$A406&amp;" HK Equity","A/H_SHARE_CONVERSION"),"")</f>
        <v/>
      </c>
      <c r="L406" s="16">
        <f>IF(Database!BL406="","(none found)",Database!BL406)</f>
        <v/>
      </c>
      <c r="M406" s="18">
        <f>IFERROR(BDH(Database!$A406&amp;" HK Equity","CUR_MKT_CAP",Database!$H406,Database!$H406),"")</f>
        <v/>
      </c>
      <c r="N406" s="97">
        <f>Database!Q406</f>
        <v/>
      </c>
      <c r="O406" s="24">
        <f>IFERROR(BDH(Database!$A406&amp;" HK Equity","PE_RATIO",Database!$H406,Database!$H406),"")</f>
        <v/>
      </c>
      <c r="P406" s="101">
        <f>IF(Database!BF406="","(n/m or not derivable)",Database!BF406)</f>
        <v/>
      </c>
      <c r="Q406" s="24">
        <f>IF(Database!BL406="","",IFERROR(BDH(LEFT(Database!BL406,FIND(".",Database!BL406)-1)&amp;" CH Equity","PE_RATIO",Database!$H406,Database!$H406),""))</f>
        <v/>
      </c>
      <c r="R406" s="24">
        <f>IF(Database!BL406="","",IFERROR(BDH("HSAHP Index","PX_LAST",Database!$H406,Database!$H406),""))</f>
        <v/>
      </c>
      <c r="S406" s="24">
        <f>IFERROR(BDP(Database!$A406&amp;" HK Equity","PX_TO_SALES_RATIO"),"")</f>
        <v/>
      </c>
      <c r="T406" s="18">
        <f>IF(Database!BL406="","",IFERROR(BDP(LEFT(Database!BL406,FIND(".",Database!BL406)-1)&amp;" CH Equity","CUR_MKT_CAP"),""))</f>
        <v/>
      </c>
    </row>
    <row r="407">
      <c r="A407" s="16">
        <f>Database!A407&amp;"  "&amp;Database!B407</f>
        <v/>
      </c>
      <c r="B407" s="10">
        <f>IFERROR(INDEX(BDS(Database!$A407&amp;" HK Equity","EQUITY_OFFERINGS","array=t","endcol=1"),MATCH("IPO",BDS(Database!$A407&amp;" HK Equity","EQUITY_OFFERINGS","array=t","startcol=2","endcol=2"),0)),"")</f>
        <v/>
      </c>
      <c r="C407" s="103">
        <f>IF($B407="","",IFERROR(BDP($B407&amp;" Action","CP036"),""))</f>
        <v/>
      </c>
      <c r="D407" s="104">
        <f>Database!S407</f>
        <v/>
      </c>
      <c r="E407" s="103">
        <f>IF($B407="","",IFERROR(BDP($B407&amp;" Action","CP037"),""))</f>
        <v/>
      </c>
      <c r="F407" s="104">
        <f>Database!T407</f>
        <v/>
      </c>
      <c r="G407" s="103">
        <f>IF($B407="","",IFERROR(BDP($B407&amp;" Action","GREENSHOE_FACILITY"),""))</f>
        <v/>
      </c>
      <c r="H407" s="103">
        <f>IF($B407="","",IFERROR(BDP($B407&amp;" Action","OFFERING_GREENSHOE_SHARES_EX"),""))</f>
        <v/>
      </c>
      <c r="I407" s="16">
        <f>Database!AG407</f>
        <v/>
      </c>
      <c r="J407" s="24">
        <f>IFERROR(BDP(Database!$A407&amp;" HK Equity","PE_RATIO"),"")</f>
        <v/>
      </c>
      <c r="K407" s="10">
        <f>IFERROR(BDP(Database!$A407&amp;" HK Equity","A/H_SHARE_CONVERSION"),"")</f>
        <v/>
      </c>
      <c r="L407" s="16">
        <f>IF(Database!BL407="","(none found)",Database!BL407)</f>
        <v/>
      </c>
      <c r="M407" s="18">
        <f>IFERROR(BDH(Database!$A407&amp;" HK Equity","CUR_MKT_CAP",Database!$H407,Database!$H407),"")</f>
        <v/>
      </c>
      <c r="N407" s="97">
        <f>Database!Q407</f>
        <v/>
      </c>
      <c r="O407" s="24">
        <f>IFERROR(BDH(Database!$A407&amp;" HK Equity","PE_RATIO",Database!$H407,Database!$H407),"")</f>
        <v/>
      </c>
      <c r="P407" s="101">
        <f>IF(Database!BF407="","(n/m or not derivable)",Database!BF407)</f>
        <v/>
      </c>
      <c r="Q407" s="24">
        <f>IF(Database!BL407="","",IFERROR(BDH(LEFT(Database!BL407,FIND(".",Database!BL407)-1)&amp;" CH Equity","PE_RATIO",Database!$H407,Database!$H407),""))</f>
        <v/>
      </c>
      <c r="R407" s="24">
        <f>IF(Database!BL407="","",IFERROR(BDH("HSAHP Index","PX_LAST",Database!$H407,Database!$H407),""))</f>
        <v/>
      </c>
      <c r="S407" s="24">
        <f>IFERROR(BDP(Database!$A407&amp;" HK Equity","PX_TO_SALES_RATIO"),"")</f>
        <v/>
      </c>
      <c r="T407" s="18">
        <f>IF(Database!BL407="","",IFERROR(BDP(LEFT(Database!BL407,FIND(".",Database!BL407)-1)&amp;" CH Equity","CUR_MKT_CAP"),""))</f>
        <v/>
      </c>
    </row>
    <row r="408">
      <c r="A408" s="16">
        <f>Database!A408&amp;"  "&amp;Database!B408</f>
        <v/>
      </c>
      <c r="B408" s="10">
        <f>IFERROR(INDEX(BDS(Database!$A408&amp;" HK Equity","EQUITY_OFFERINGS","array=t","endcol=1"),MATCH("IPO",BDS(Database!$A408&amp;" HK Equity","EQUITY_OFFERINGS","array=t","startcol=2","endcol=2"),0)),"")</f>
        <v/>
      </c>
      <c r="C408" s="103">
        <f>IF($B408="","",IFERROR(BDP($B408&amp;" Action","CP036"),""))</f>
        <v/>
      </c>
      <c r="D408" s="104">
        <f>Database!S408</f>
        <v/>
      </c>
      <c r="E408" s="103">
        <f>IF($B408="","",IFERROR(BDP($B408&amp;" Action","CP037"),""))</f>
        <v/>
      </c>
      <c r="F408" s="104">
        <f>Database!T408</f>
        <v/>
      </c>
      <c r="G408" s="103">
        <f>IF($B408="","",IFERROR(BDP($B408&amp;" Action","GREENSHOE_FACILITY"),""))</f>
        <v/>
      </c>
      <c r="H408" s="103">
        <f>IF($B408="","",IFERROR(BDP($B408&amp;" Action","OFFERING_GREENSHOE_SHARES_EX"),""))</f>
        <v/>
      </c>
      <c r="I408" s="16">
        <f>Database!AG408</f>
        <v/>
      </c>
      <c r="J408" s="24">
        <f>IFERROR(BDP(Database!$A408&amp;" HK Equity","PE_RATIO"),"")</f>
        <v/>
      </c>
      <c r="K408" s="10">
        <f>IFERROR(BDP(Database!$A408&amp;" HK Equity","A/H_SHARE_CONVERSION"),"")</f>
        <v/>
      </c>
      <c r="L408" s="16">
        <f>IF(Database!BL408="","(none found)",Database!BL408)</f>
        <v/>
      </c>
      <c r="M408" s="18">
        <f>IFERROR(BDH(Database!$A408&amp;" HK Equity","CUR_MKT_CAP",Database!$H408,Database!$H408),"")</f>
        <v/>
      </c>
      <c r="N408" s="97">
        <f>Database!Q408</f>
        <v/>
      </c>
      <c r="O408" s="24">
        <f>IFERROR(BDH(Database!$A408&amp;" HK Equity","PE_RATIO",Database!$H408,Database!$H408),"")</f>
        <v/>
      </c>
      <c r="P408" s="101">
        <f>IF(Database!BF408="","(n/m or not derivable)",Database!BF408)</f>
        <v/>
      </c>
      <c r="Q408" s="24">
        <f>IF(Database!BL408="","",IFERROR(BDH(LEFT(Database!BL408,FIND(".",Database!BL408)-1)&amp;" CH Equity","PE_RATIO",Database!$H408,Database!$H408),""))</f>
        <v/>
      </c>
      <c r="R408" s="24">
        <f>IF(Database!BL408="","",IFERROR(BDH("HSAHP Index","PX_LAST",Database!$H408,Database!$H408),""))</f>
        <v/>
      </c>
      <c r="S408" s="24">
        <f>IFERROR(BDP(Database!$A408&amp;" HK Equity","PX_TO_SALES_RATIO"),"")</f>
        <v/>
      </c>
      <c r="T408" s="18">
        <f>IF(Database!BL408="","",IFERROR(BDP(LEFT(Database!BL408,FIND(".",Database!BL408)-1)&amp;" CH Equity","CUR_MKT_CAP"),""))</f>
        <v/>
      </c>
    </row>
    <row r="409">
      <c r="A409" s="16">
        <f>Database!A409&amp;"  "&amp;Database!B409</f>
        <v/>
      </c>
      <c r="B409" s="10">
        <f>IFERROR(INDEX(BDS(Database!$A409&amp;" HK Equity","EQUITY_OFFERINGS","array=t","endcol=1"),MATCH("IPO",BDS(Database!$A409&amp;" HK Equity","EQUITY_OFFERINGS","array=t","startcol=2","endcol=2"),0)),"")</f>
        <v/>
      </c>
      <c r="C409" s="103">
        <f>IF($B409="","",IFERROR(BDP($B409&amp;" Action","CP036"),""))</f>
        <v/>
      </c>
      <c r="D409" s="104">
        <f>Database!S409</f>
        <v/>
      </c>
      <c r="E409" s="103">
        <f>IF($B409="","",IFERROR(BDP($B409&amp;" Action","CP037"),""))</f>
        <v/>
      </c>
      <c r="F409" s="104">
        <f>Database!T409</f>
        <v/>
      </c>
      <c r="G409" s="103">
        <f>IF($B409="","",IFERROR(BDP($B409&amp;" Action","GREENSHOE_FACILITY"),""))</f>
        <v/>
      </c>
      <c r="H409" s="103">
        <f>IF($B409="","",IFERROR(BDP($B409&amp;" Action","OFFERING_GREENSHOE_SHARES_EX"),""))</f>
        <v/>
      </c>
      <c r="I409" s="16">
        <f>Database!AG409</f>
        <v/>
      </c>
      <c r="J409" s="24">
        <f>IFERROR(BDP(Database!$A409&amp;" HK Equity","PE_RATIO"),"")</f>
        <v/>
      </c>
      <c r="K409" s="10">
        <f>IFERROR(BDP(Database!$A409&amp;" HK Equity","A/H_SHARE_CONVERSION"),"")</f>
        <v/>
      </c>
      <c r="L409" s="16">
        <f>IF(Database!BL409="","(none found)",Database!BL409)</f>
        <v/>
      </c>
      <c r="M409" s="18">
        <f>IFERROR(BDH(Database!$A409&amp;" HK Equity","CUR_MKT_CAP",Database!$H409,Database!$H409),"")</f>
        <v/>
      </c>
      <c r="N409" s="97">
        <f>Database!Q409</f>
        <v/>
      </c>
      <c r="O409" s="24">
        <f>IFERROR(BDH(Database!$A409&amp;" HK Equity","PE_RATIO",Database!$H409,Database!$H409),"")</f>
        <v/>
      </c>
      <c r="P409" s="101">
        <f>IF(Database!BF409="","(n/m or not derivable)",Database!BF409)</f>
        <v/>
      </c>
      <c r="Q409" s="24">
        <f>IF(Database!BL409="","",IFERROR(BDH(LEFT(Database!BL409,FIND(".",Database!BL409)-1)&amp;" CH Equity","PE_RATIO",Database!$H409,Database!$H409),""))</f>
        <v/>
      </c>
      <c r="R409" s="24">
        <f>IF(Database!BL409="","",IFERROR(BDH("HSAHP Index","PX_LAST",Database!$H409,Database!$H409),""))</f>
        <v/>
      </c>
      <c r="S409" s="24">
        <f>IFERROR(BDP(Database!$A409&amp;" HK Equity","PX_TO_SALES_RATIO"),"")</f>
        <v/>
      </c>
      <c r="T409" s="18">
        <f>IF(Database!BL409="","",IFERROR(BDP(LEFT(Database!BL409,FIND(".",Database!BL409)-1)&amp;" CH Equity","CUR_MKT_CAP"),""))</f>
        <v/>
      </c>
    </row>
    <row r="410">
      <c r="A410" s="16">
        <f>Database!A410&amp;"  "&amp;Database!B410</f>
        <v/>
      </c>
      <c r="B410" s="10">
        <f>IFERROR(INDEX(BDS(Database!$A410&amp;" HK Equity","EQUITY_OFFERINGS","array=t","endcol=1"),MATCH("IPO",BDS(Database!$A410&amp;" HK Equity","EQUITY_OFFERINGS","array=t","startcol=2","endcol=2"),0)),"")</f>
        <v/>
      </c>
      <c r="C410" s="103">
        <f>IF($B410="","",IFERROR(BDP($B410&amp;" Action","CP036"),""))</f>
        <v/>
      </c>
      <c r="D410" s="104">
        <f>Database!S410</f>
        <v/>
      </c>
      <c r="E410" s="103">
        <f>IF($B410="","",IFERROR(BDP($B410&amp;" Action","CP037"),""))</f>
        <v/>
      </c>
      <c r="F410" s="104">
        <f>Database!T410</f>
        <v/>
      </c>
      <c r="G410" s="103">
        <f>IF($B410="","",IFERROR(BDP($B410&amp;" Action","GREENSHOE_FACILITY"),""))</f>
        <v/>
      </c>
      <c r="H410" s="103">
        <f>IF($B410="","",IFERROR(BDP($B410&amp;" Action","OFFERING_GREENSHOE_SHARES_EX"),""))</f>
        <v/>
      </c>
      <c r="I410" s="16">
        <f>Database!AG410</f>
        <v/>
      </c>
      <c r="J410" s="24">
        <f>IFERROR(BDP(Database!$A410&amp;" HK Equity","PE_RATIO"),"")</f>
        <v/>
      </c>
      <c r="K410" s="10">
        <f>IFERROR(BDP(Database!$A410&amp;" HK Equity","A/H_SHARE_CONVERSION"),"")</f>
        <v/>
      </c>
      <c r="L410" s="16">
        <f>IF(Database!BL410="","(none found)",Database!BL410)</f>
        <v/>
      </c>
      <c r="M410" s="18">
        <f>IFERROR(BDH(Database!$A410&amp;" HK Equity","CUR_MKT_CAP",Database!$H410,Database!$H410),"")</f>
        <v/>
      </c>
      <c r="N410" s="97">
        <f>Database!Q410</f>
        <v/>
      </c>
      <c r="O410" s="24">
        <f>IFERROR(BDH(Database!$A410&amp;" HK Equity","PE_RATIO",Database!$H410,Database!$H410),"")</f>
        <v/>
      </c>
      <c r="P410" s="101">
        <f>IF(Database!BF410="","(n/m or not derivable)",Database!BF410)</f>
        <v/>
      </c>
      <c r="Q410" s="24">
        <f>IF(Database!BL410="","",IFERROR(BDH(LEFT(Database!BL410,FIND(".",Database!BL410)-1)&amp;" CH Equity","PE_RATIO",Database!$H410,Database!$H410),""))</f>
        <v/>
      </c>
      <c r="R410" s="24">
        <f>IF(Database!BL410="","",IFERROR(BDH("HSAHP Index","PX_LAST",Database!$H410,Database!$H410),""))</f>
        <v/>
      </c>
      <c r="S410" s="24">
        <f>IFERROR(BDP(Database!$A410&amp;" HK Equity","PX_TO_SALES_RATIO"),"")</f>
        <v/>
      </c>
      <c r="T410" s="18">
        <f>IF(Database!BL410="","",IFERROR(BDP(LEFT(Database!BL410,FIND(".",Database!BL410)-1)&amp;" CH Equity","CUR_MKT_CAP"),""))</f>
        <v/>
      </c>
    </row>
    <row r="411">
      <c r="A411" s="16">
        <f>Database!A411&amp;"  "&amp;Database!B411</f>
        <v/>
      </c>
      <c r="B411" s="10">
        <f>IFERROR(INDEX(BDS(Database!$A411&amp;" HK Equity","EQUITY_OFFERINGS","array=t","endcol=1"),MATCH("IPO",BDS(Database!$A411&amp;" HK Equity","EQUITY_OFFERINGS","array=t","startcol=2","endcol=2"),0)),"")</f>
        <v/>
      </c>
      <c r="C411" s="103">
        <f>IF($B411="","",IFERROR(BDP($B411&amp;" Action","CP036"),""))</f>
        <v/>
      </c>
      <c r="D411" s="104">
        <f>Database!S411</f>
        <v/>
      </c>
      <c r="E411" s="103">
        <f>IF($B411="","",IFERROR(BDP($B411&amp;" Action","CP037"),""))</f>
        <v/>
      </c>
      <c r="F411" s="104">
        <f>Database!T411</f>
        <v/>
      </c>
      <c r="G411" s="103">
        <f>IF($B411="","",IFERROR(BDP($B411&amp;" Action","GREENSHOE_FACILITY"),""))</f>
        <v/>
      </c>
      <c r="H411" s="103">
        <f>IF($B411="","",IFERROR(BDP($B411&amp;" Action","OFFERING_GREENSHOE_SHARES_EX"),""))</f>
        <v/>
      </c>
      <c r="I411" s="16">
        <f>Database!AG411</f>
        <v/>
      </c>
      <c r="J411" s="24">
        <f>IFERROR(BDP(Database!$A411&amp;" HK Equity","PE_RATIO"),"")</f>
        <v/>
      </c>
      <c r="K411" s="10">
        <f>IFERROR(BDP(Database!$A411&amp;" HK Equity","A/H_SHARE_CONVERSION"),"")</f>
        <v/>
      </c>
      <c r="L411" s="16">
        <f>IF(Database!BL411="","(none found)",Database!BL411)</f>
        <v/>
      </c>
      <c r="M411" s="18">
        <f>IFERROR(BDH(Database!$A411&amp;" HK Equity","CUR_MKT_CAP",Database!$H411,Database!$H411),"")</f>
        <v/>
      </c>
      <c r="N411" s="97">
        <f>Database!Q411</f>
        <v/>
      </c>
      <c r="O411" s="24">
        <f>IFERROR(BDH(Database!$A411&amp;" HK Equity","PE_RATIO",Database!$H411,Database!$H411),"")</f>
        <v/>
      </c>
      <c r="P411" s="101">
        <f>IF(Database!BF411="","(n/m or not derivable)",Database!BF411)</f>
        <v/>
      </c>
      <c r="Q411" s="24">
        <f>IF(Database!BL411="","",IFERROR(BDH(LEFT(Database!BL411,FIND(".",Database!BL411)-1)&amp;" CH Equity","PE_RATIO",Database!$H411,Database!$H411),""))</f>
        <v/>
      </c>
      <c r="R411" s="24">
        <f>IF(Database!BL411="","",IFERROR(BDH("HSAHP Index","PX_LAST",Database!$H411,Database!$H411),""))</f>
        <v/>
      </c>
      <c r="S411" s="24">
        <f>IFERROR(BDP(Database!$A411&amp;" HK Equity","PX_TO_SALES_RATIO"),"")</f>
        <v/>
      </c>
      <c r="T411" s="18">
        <f>IF(Database!BL411="","",IFERROR(BDP(LEFT(Database!BL411,FIND(".",Database!BL411)-1)&amp;" CH Equity","CUR_MKT_CAP"),""))</f>
        <v/>
      </c>
    </row>
    <row r="412">
      <c r="A412" s="16">
        <f>Database!A412&amp;"  "&amp;Database!B412</f>
        <v/>
      </c>
      <c r="B412" s="10">
        <f>IFERROR(INDEX(BDS(Database!$A412&amp;" HK Equity","EQUITY_OFFERINGS","array=t","endcol=1"),MATCH("IPO",BDS(Database!$A412&amp;" HK Equity","EQUITY_OFFERINGS","array=t","startcol=2","endcol=2"),0)),"")</f>
        <v/>
      </c>
      <c r="C412" s="103">
        <f>IF($B412="","",IFERROR(BDP($B412&amp;" Action","CP036"),""))</f>
        <v/>
      </c>
      <c r="D412" s="104">
        <f>Database!S412</f>
        <v/>
      </c>
      <c r="E412" s="103">
        <f>IF($B412="","",IFERROR(BDP($B412&amp;" Action","CP037"),""))</f>
        <v/>
      </c>
      <c r="F412" s="104">
        <f>Database!T412</f>
        <v/>
      </c>
      <c r="G412" s="103">
        <f>IF($B412="","",IFERROR(BDP($B412&amp;" Action","GREENSHOE_FACILITY"),""))</f>
        <v/>
      </c>
      <c r="H412" s="103">
        <f>IF($B412="","",IFERROR(BDP($B412&amp;" Action","OFFERING_GREENSHOE_SHARES_EX"),""))</f>
        <v/>
      </c>
      <c r="I412" s="16">
        <f>Database!AG412</f>
        <v/>
      </c>
      <c r="J412" s="24">
        <f>IFERROR(BDP(Database!$A412&amp;" HK Equity","PE_RATIO"),"")</f>
        <v/>
      </c>
      <c r="K412" s="10">
        <f>IFERROR(BDP(Database!$A412&amp;" HK Equity","A/H_SHARE_CONVERSION"),"")</f>
        <v/>
      </c>
      <c r="L412" s="16">
        <f>IF(Database!BL412="","(none found)",Database!BL412)</f>
        <v/>
      </c>
      <c r="M412" s="18">
        <f>IFERROR(BDH(Database!$A412&amp;" HK Equity","CUR_MKT_CAP",Database!$H412,Database!$H412),"")</f>
        <v/>
      </c>
      <c r="N412" s="97">
        <f>Database!Q412</f>
        <v/>
      </c>
      <c r="O412" s="24">
        <f>IFERROR(BDH(Database!$A412&amp;" HK Equity","PE_RATIO",Database!$H412,Database!$H412),"")</f>
        <v/>
      </c>
      <c r="P412" s="101">
        <f>IF(Database!BF412="","(n/m or not derivable)",Database!BF412)</f>
        <v/>
      </c>
      <c r="Q412" s="24">
        <f>IF(Database!BL412="","",IFERROR(BDH(LEFT(Database!BL412,FIND(".",Database!BL412)-1)&amp;" CH Equity","PE_RATIO",Database!$H412,Database!$H412),""))</f>
        <v/>
      </c>
      <c r="R412" s="24">
        <f>IF(Database!BL412="","",IFERROR(BDH("HSAHP Index","PX_LAST",Database!$H412,Database!$H412),""))</f>
        <v/>
      </c>
      <c r="S412" s="24">
        <f>IFERROR(BDP(Database!$A412&amp;" HK Equity","PX_TO_SALES_RATIO"),"")</f>
        <v/>
      </c>
      <c r="T412" s="18">
        <f>IF(Database!BL412="","",IFERROR(BDP(LEFT(Database!BL412,FIND(".",Database!BL412)-1)&amp;" CH Equity","CUR_MKT_CAP"),""))</f>
        <v/>
      </c>
    </row>
    <row r="413">
      <c r="A413" s="16">
        <f>Database!A413&amp;"  "&amp;Database!B413</f>
        <v/>
      </c>
      <c r="B413" s="10">
        <f>IFERROR(INDEX(BDS(Database!$A413&amp;" HK Equity","EQUITY_OFFERINGS","array=t","endcol=1"),MATCH("IPO",BDS(Database!$A413&amp;" HK Equity","EQUITY_OFFERINGS","array=t","startcol=2","endcol=2"),0)),"")</f>
        <v/>
      </c>
      <c r="C413" s="103">
        <f>IF($B413="","",IFERROR(BDP($B413&amp;" Action","CP036"),""))</f>
        <v/>
      </c>
      <c r="D413" s="104">
        <f>Database!S413</f>
        <v/>
      </c>
      <c r="E413" s="103">
        <f>IF($B413="","",IFERROR(BDP($B413&amp;" Action","CP037"),""))</f>
        <v/>
      </c>
      <c r="F413" s="104">
        <f>Database!T413</f>
        <v/>
      </c>
      <c r="G413" s="103">
        <f>IF($B413="","",IFERROR(BDP($B413&amp;" Action","GREENSHOE_FACILITY"),""))</f>
        <v/>
      </c>
      <c r="H413" s="103">
        <f>IF($B413="","",IFERROR(BDP($B413&amp;" Action","OFFERING_GREENSHOE_SHARES_EX"),""))</f>
        <v/>
      </c>
      <c r="I413" s="16">
        <f>Database!AG413</f>
        <v/>
      </c>
      <c r="J413" s="24">
        <f>IFERROR(BDP(Database!$A413&amp;" HK Equity","PE_RATIO"),"")</f>
        <v/>
      </c>
      <c r="K413" s="10">
        <f>IFERROR(BDP(Database!$A413&amp;" HK Equity","A/H_SHARE_CONVERSION"),"")</f>
        <v/>
      </c>
      <c r="L413" s="16">
        <f>IF(Database!BL413="","(none found)",Database!BL413)</f>
        <v/>
      </c>
      <c r="M413" s="18">
        <f>IFERROR(BDH(Database!$A413&amp;" HK Equity","CUR_MKT_CAP",Database!$H413,Database!$H413),"")</f>
        <v/>
      </c>
      <c r="N413" s="97">
        <f>Database!Q413</f>
        <v/>
      </c>
      <c r="O413" s="24">
        <f>IFERROR(BDH(Database!$A413&amp;" HK Equity","PE_RATIO",Database!$H413,Database!$H413),"")</f>
        <v/>
      </c>
      <c r="P413" s="101">
        <f>IF(Database!BF413="","(n/m or not derivable)",Database!BF413)</f>
        <v/>
      </c>
      <c r="Q413" s="24">
        <f>IF(Database!BL413="","",IFERROR(BDH(LEFT(Database!BL413,FIND(".",Database!BL413)-1)&amp;" CH Equity","PE_RATIO",Database!$H413,Database!$H413),""))</f>
        <v/>
      </c>
      <c r="R413" s="24">
        <f>IF(Database!BL413="","",IFERROR(BDH("HSAHP Index","PX_LAST",Database!$H413,Database!$H413),""))</f>
        <v/>
      </c>
      <c r="S413" s="24">
        <f>IFERROR(BDP(Database!$A413&amp;" HK Equity","PX_TO_SALES_RATIO"),"")</f>
        <v/>
      </c>
      <c r="T413" s="18">
        <f>IF(Database!BL413="","",IFERROR(BDP(LEFT(Database!BL413,FIND(".",Database!BL413)-1)&amp;" CH Equity","CUR_MKT_CAP"),""))</f>
        <v/>
      </c>
    </row>
    <row r="414">
      <c r="A414" s="16">
        <f>Database!A414&amp;"  "&amp;Database!B414</f>
        <v/>
      </c>
      <c r="B414" s="10">
        <f>IFERROR(INDEX(BDS(Database!$A414&amp;" HK Equity","EQUITY_OFFERINGS","array=t","endcol=1"),MATCH("IPO",BDS(Database!$A414&amp;" HK Equity","EQUITY_OFFERINGS","array=t","startcol=2","endcol=2"),0)),"")</f>
        <v/>
      </c>
      <c r="C414" s="103">
        <f>IF($B414="","",IFERROR(BDP($B414&amp;" Action","CP036"),""))</f>
        <v/>
      </c>
      <c r="D414" s="104">
        <f>Database!S414</f>
        <v/>
      </c>
      <c r="E414" s="103">
        <f>IF($B414="","",IFERROR(BDP($B414&amp;" Action","CP037"),""))</f>
        <v/>
      </c>
      <c r="F414" s="104">
        <f>Database!T414</f>
        <v/>
      </c>
      <c r="G414" s="103">
        <f>IF($B414="","",IFERROR(BDP($B414&amp;" Action","GREENSHOE_FACILITY"),""))</f>
        <v/>
      </c>
      <c r="H414" s="103">
        <f>IF($B414="","",IFERROR(BDP($B414&amp;" Action","OFFERING_GREENSHOE_SHARES_EX"),""))</f>
        <v/>
      </c>
      <c r="I414" s="16">
        <f>Database!AG414</f>
        <v/>
      </c>
      <c r="J414" s="24">
        <f>IFERROR(BDP(Database!$A414&amp;" HK Equity","PE_RATIO"),"")</f>
        <v/>
      </c>
      <c r="K414" s="10">
        <f>IFERROR(BDP(Database!$A414&amp;" HK Equity","A/H_SHARE_CONVERSION"),"")</f>
        <v/>
      </c>
      <c r="L414" s="16">
        <f>IF(Database!BL414="","(none found)",Database!BL414)</f>
        <v/>
      </c>
      <c r="M414" s="18">
        <f>IFERROR(BDH(Database!$A414&amp;" HK Equity","CUR_MKT_CAP",Database!$H414,Database!$H414),"")</f>
        <v/>
      </c>
      <c r="N414" s="97">
        <f>Database!Q414</f>
        <v/>
      </c>
      <c r="O414" s="24">
        <f>IFERROR(BDH(Database!$A414&amp;" HK Equity","PE_RATIO",Database!$H414,Database!$H414),"")</f>
        <v/>
      </c>
      <c r="P414" s="101">
        <f>IF(Database!BF414="","(n/m or not derivable)",Database!BF414)</f>
        <v/>
      </c>
      <c r="Q414" s="24">
        <f>IF(Database!BL414="","",IFERROR(BDH(LEFT(Database!BL414,FIND(".",Database!BL414)-1)&amp;" CH Equity","PE_RATIO",Database!$H414,Database!$H414),""))</f>
        <v/>
      </c>
      <c r="R414" s="24">
        <f>IF(Database!BL414="","",IFERROR(BDH("HSAHP Index","PX_LAST",Database!$H414,Database!$H414),""))</f>
        <v/>
      </c>
      <c r="S414" s="24">
        <f>IFERROR(BDP(Database!$A414&amp;" HK Equity","PX_TO_SALES_RATIO"),"")</f>
        <v/>
      </c>
      <c r="T414" s="18">
        <f>IF(Database!BL414="","",IFERROR(BDP(LEFT(Database!BL414,FIND(".",Database!BL414)-1)&amp;" CH Equity","CUR_MKT_CAP"),""))</f>
        <v/>
      </c>
    </row>
    <row r="415">
      <c r="A415" s="16">
        <f>Database!A415&amp;"  "&amp;Database!B415</f>
        <v/>
      </c>
      <c r="B415" s="10">
        <f>IFERROR(INDEX(BDS(Database!$A415&amp;" HK Equity","EQUITY_OFFERINGS","array=t","endcol=1"),MATCH("IPO",BDS(Database!$A415&amp;" HK Equity","EQUITY_OFFERINGS","array=t","startcol=2","endcol=2"),0)),"")</f>
        <v/>
      </c>
      <c r="C415" s="103">
        <f>IF($B415="","",IFERROR(BDP($B415&amp;" Action","CP036"),""))</f>
        <v/>
      </c>
      <c r="D415" s="104">
        <f>Database!S415</f>
        <v/>
      </c>
      <c r="E415" s="103">
        <f>IF($B415="","",IFERROR(BDP($B415&amp;" Action","CP037"),""))</f>
        <v/>
      </c>
      <c r="F415" s="104">
        <f>Database!T415</f>
        <v/>
      </c>
      <c r="G415" s="103">
        <f>IF($B415="","",IFERROR(BDP($B415&amp;" Action","GREENSHOE_FACILITY"),""))</f>
        <v/>
      </c>
      <c r="H415" s="103">
        <f>IF($B415="","",IFERROR(BDP($B415&amp;" Action","OFFERING_GREENSHOE_SHARES_EX"),""))</f>
        <v/>
      </c>
      <c r="I415" s="16">
        <f>Database!AG415</f>
        <v/>
      </c>
      <c r="J415" s="24">
        <f>IFERROR(BDP(Database!$A415&amp;" HK Equity","PE_RATIO"),"")</f>
        <v/>
      </c>
      <c r="K415" s="10">
        <f>IFERROR(BDP(Database!$A415&amp;" HK Equity","A/H_SHARE_CONVERSION"),"")</f>
        <v/>
      </c>
      <c r="L415" s="16">
        <f>IF(Database!BL415="","(none found)",Database!BL415)</f>
        <v/>
      </c>
      <c r="M415" s="18">
        <f>IFERROR(BDH(Database!$A415&amp;" HK Equity","CUR_MKT_CAP",Database!$H415,Database!$H415),"")</f>
        <v/>
      </c>
      <c r="N415" s="97">
        <f>Database!Q415</f>
        <v/>
      </c>
      <c r="O415" s="24">
        <f>IFERROR(BDH(Database!$A415&amp;" HK Equity","PE_RATIO",Database!$H415,Database!$H415),"")</f>
        <v/>
      </c>
      <c r="P415" s="101">
        <f>IF(Database!BF415="","(n/m or not derivable)",Database!BF415)</f>
        <v/>
      </c>
      <c r="Q415" s="24">
        <f>IF(Database!BL415="","",IFERROR(BDH(LEFT(Database!BL415,FIND(".",Database!BL415)-1)&amp;" CH Equity","PE_RATIO",Database!$H415,Database!$H415),""))</f>
        <v/>
      </c>
      <c r="R415" s="24">
        <f>IF(Database!BL415="","",IFERROR(BDH("HSAHP Index","PX_LAST",Database!$H415,Database!$H415),""))</f>
        <v/>
      </c>
      <c r="S415" s="24">
        <f>IFERROR(BDP(Database!$A415&amp;" HK Equity","PX_TO_SALES_RATIO"),"")</f>
        <v/>
      </c>
      <c r="T415" s="18">
        <f>IF(Database!BL415="","",IFERROR(BDP(LEFT(Database!BL415,FIND(".",Database!BL415)-1)&amp;" CH Equity","CUR_MKT_CAP"),""))</f>
        <v/>
      </c>
    </row>
    <row r="416">
      <c r="A416" s="16">
        <f>Database!A416&amp;"  "&amp;Database!B416</f>
        <v/>
      </c>
      <c r="B416" s="10">
        <f>IFERROR(INDEX(BDS(Database!$A416&amp;" HK Equity","EQUITY_OFFERINGS","array=t","endcol=1"),MATCH("IPO",BDS(Database!$A416&amp;" HK Equity","EQUITY_OFFERINGS","array=t","startcol=2","endcol=2"),0)),"")</f>
        <v/>
      </c>
      <c r="C416" s="103">
        <f>IF($B416="","",IFERROR(BDP($B416&amp;" Action","CP036"),""))</f>
        <v/>
      </c>
      <c r="D416" s="104">
        <f>Database!S416</f>
        <v/>
      </c>
      <c r="E416" s="103">
        <f>IF($B416="","",IFERROR(BDP($B416&amp;" Action","CP037"),""))</f>
        <v/>
      </c>
      <c r="F416" s="104">
        <f>Database!T416</f>
        <v/>
      </c>
      <c r="G416" s="103">
        <f>IF($B416="","",IFERROR(BDP($B416&amp;" Action","GREENSHOE_FACILITY"),""))</f>
        <v/>
      </c>
      <c r="H416" s="103">
        <f>IF($B416="","",IFERROR(BDP($B416&amp;" Action","OFFERING_GREENSHOE_SHARES_EX"),""))</f>
        <v/>
      </c>
      <c r="I416" s="16">
        <f>Database!AG416</f>
        <v/>
      </c>
      <c r="J416" s="24">
        <f>IFERROR(BDP(Database!$A416&amp;" HK Equity","PE_RATIO"),"")</f>
        <v/>
      </c>
      <c r="K416" s="10">
        <f>IFERROR(BDP(Database!$A416&amp;" HK Equity","A/H_SHARE_CONVERSION"),"")</f>
        <v/>
      </c>
      <c r="L416" s="16">
        <f>IF(Database!BL416="","(none found)",Database!BL416)</f>
        <v/>
      </c>
      <c r="M416" s="18">
        <f>IFERROR(BDH(Database!$A416&amp;" HK Equity","CUR_MKT_CAP",Database!$H416,Database!$H416),"")</f>
        <v/>
      </c>
      <c r="N416" s="97">
        <f>Database!Q416</f>
        <v/>
      </c>
      <c r="O416" s="24">
        <f>IFERROR(BDH(Database!$A416&amp;" HK Equity","PE_RATIO",Database!$H416,Database!$H416),"")</f>
        <v/>
      </c>
      <c r="P416" s="101">
        <f>IF(Database!BF416="","(n/m or not derivable)",Database!BF416)</f>
        <v/>
      </c>
      <c r="Q416" s="24">
        <f>IF(Database!BL416="","",IFERROR(BDH(LEFT(Database!BL416,FIND(".",Database!BL416)-1)&amp;" CH Equity","PE_RATIO",Database!$H416,Database!$H416),""))</f>
        <v/>
      </c>
      <c r="R416" s="24">
        <f>IF(Database!BL416="","",IFERROR(BDH("HSAHP Index","PX_LAST",Database!$H416,Database!$H416),""))</f>
        <v/>
      </c>
      <c r="S416" s="24">
        <f>IFERROR(BDP(Database!$A416&amp;" HK Equity","PX_TO_SALES_RATIO"),"")</f>
        <v/>
      </c>
      <c r="T416" s="18">
        <f>IF(Database!BL416="","",IFERROR(BDP(LEFT(Database!BL416,FIND(".",Database!BL416)-1)&amp;" CH Equity","CUR_MKT_CAP"),""))</f>
        <v/>
      </c>
    </row>
    <row r="417">
      <c r="A417" s="16">
        <f>Database!A417&amp;"  "&amp;Database!B417</f>
        <v/>
      </c>
      <c r="B417" s="10">
        <f>IFERROR(INDEX(BDS(Database!$A417&amp;" HK Equity","EQUITY_OFFERINGS","array=t","endcol=1"),MATCH("IPO",BDS(Database!$A417&amp;" HK Equity","EQUITY_OFFERINGS","array=t","startcol=2","endcol=2"),0)),"")</f>
        <v/>
      </c>
      <c r="C417" s="103">
        <f>IF($B417="","",IFERROR(BDP($B417&amp;" Action","CP036"),""))</f>
        <v/>
      </c>
      <c r="D417" s="104">
        <f>Database!S417</f>
        <v/>
      </c>
      <c r="E417" s="103">
        <f>IF($B417="","",IFERROR(BDP($B417&amp;" Action","CP037"),""))</f>
        <v/>
      </c>
      <c r="F417" s="104">
        <f>Database!T417</f>
        <v/>
      </c>
      <c r="G417" s="103">
        <f>IF($B417="","",IFERROR(BDP($B417&amp;" Action","GREENSHOE_FACILITY"),""))</f>
        <v/>
      </c>
      <c r="H417" s="103">
        <f>IF($B417="","",IFERROR(BDP($B417&amp;" Action","OFFERING_GREENSHOE_SHARES_EX"),""))</f>
        <v/>
      </c>
      <c r="I417" s="16">
        <f>Database!AG417</f>
        <v/>
      </c>
      <c r="J417" s="24">
        <f>IFERROR(BDP(Database!$A417&amp;" HK Equity","PE_RATIO"),"")</f>
        <v/>
      </c>
      <c r="K417" s="10">
        <f>IFERROR(BDP(Database!$A417&amp;" HK Equity","A/H_SHARE_CONVERSION"),"")</f>
        <v/>
      </c>
      <c r="L417" s="16">
        <f>IF(Database!BL417="","(none found)",Database!BL417)</f>
        <v/>
      </c>
      <c r="M417" s="18">
        <f>IFERROR(BDH(Database!$A417&amp;" HK Equity","CUR_MKT_CAP",Database!$H417,Database!$H417),"")</f>
        <v/>
      </c>
      <c r="N417" s="97">
        <f>Database!Q417</f>
        <v/>
      </c>
      <c r="O417" s="24">
        <f>IFERROR(BDH(Database!$A417&amp;" HK Equity","PE_RATIO",Database!$H417,Database!$H417),"")</f>
        <v/>
      </c>
      <c r="P417" s="101">
        <f>IF(Database!BF417="","(n/m or not derivable)",Database!BF417)</f>
        <v/>
      </c>
      <c r="Q417" s="24">
        <f>IF(Database!BL417="","",IFERROR(BDH(LEFT(Database!BL417,FIND(".",Database!BL417)-1)&amp;" CH Equity","PE_RATIO",Database!$H417,Database!$H417),""))</f>
        <v/>
      </c>
      <c r="R417" s="24">
        <f>IF(Database!BL417="","",IFERROR(BDH("HSAHP Index","PX_LAST",Database!$H417,Database!$H417),""))</f>
        <v/>
      </c>
      <c r="S417" s="24">
        <f>IFERROR(BDP(Database!$A417&amp;" HK Equity","PX_TO_SALES_RATIO"),"")</f>
        <v/>
      </c>
      <c r="T417" s="18">
        <f>IF(Database!BL417="","",IFERROR(BDP(LEFT(Database!BL417,FIND(".",Database!BL417)-1)&amp;" CH Equity","CUR_MKT_CAP"),""))</f>
        <v/>
      </c>
    </row>
    <row r="418">
      <c r="A418" s="16">
        <f>Database!A418&amp;"  "&amp;Database!B418</f>
        <v/>
      </c>
      <c r="B418" s="10">
        <f>IFERROR(INDEX(BDS(Database!$A418&amp;" HK Equity","EQUITY_OFFERINGS","array=t","endcol=1"),MATCH("IPO",BDS(Database!$A418&amp;" HK Equity","EQUITY_OFFERINGS","array=t","startcol=2","endcol=2"),0)),"")</f>
        <v/>
      </c>
      <c r="C418" s="103">
        <f>IF($B418="","",IFERROR(BDP($B418&amp;" Action","CP036"),""))</f>
        <v/>
      </c>
      <c r="D418" s="104">
        <f>Database!S418</f>
        <v/>
      </c>
      <c r="E418" s="103">
        <f>IF($B418="","",IFERROR(BDP($B418&amp;" Action","CP037"),""))</f>
        <v/>
      </c>
      <c r="F418" s="104">
        <f>Database!T418</f>
        <v/>
      </c>
      <c r="G418" s="103">
        <f>IF($B418="","",IFERROR(BDP($B418&amp;" Action","GREENSHOE_FACILITY"),""))</f>
        <v/>
      </c>
      <c r="H418" s="103">
        <f>IF($B418="","",IFERROR(BDP($B418&amp;" Action","OFFERING_GREENSHOE_SHARES_EX"),""))</f>
        <v/>
      </c>
      <c r="I418" s="16">
        <f>Database!AG418</f>
        <v/>
      </c>
      <c r="J418" s="24">
        <f>IFERROR(BDP(Database!$A418&amp;" HK Equity","PE_RATIO"),"")</f>
        <v/>
      </c>
      <c r="K418" s="10">
        <f>IFERROR(BDP(Database!$A418&amp;" HK Equity","A/H_SHARE_CONVERSION"),"")</f>
        <v/>
      </c>
      <c r="L418" s="16">
        <f>IF(Database!BL418="","(none found)",Database!BL418)</f>
        <v/>
      </c>
      <c r="M418" s="18">
        <f>IFERROR(BDH(Database!$A418&amp;" HK Equity","CUR_MKT_CAP",Database!$H418,Database!$H418),"")</f>
        <v/>
      </c>
      <c r="N418" s="97">
        <f>Database!Q418</f>
        <v/>
      </c>
      <c r="O418" s="24">
        <f>IFERROR(BDH(Database!$A418&amp;" HK Equity","PE_RATIO",Database!$H418,Database!$H418),"")</f>
        <v/>
      </c>
      <c r="P418" s="101">
        <f>IF(Database!BF418="","(n/m or not derivable)",Database!BF418)</f>
        <v/>
      </c>
      <c r="Q418" s="24">
        <f>IF(Database!BL418="","",IFERROR(BDH(LEFT(Database!BL418,FIND(".",Database!BL418)-1)&amp;" CH Equity","PE_RATIO",Database!$H418,Database!$H418),""))</f>
        <v/>
      </c>
      <c r="R418" s="24">
        <f>IF(Database!BL418="","",IFERROR(BDH("HSAHP Index","PX_LAST",Database!$H418,Database!$H418),""))</f>
        <v/>
      </c>
      <c r="S418" s="24">
        <f>IFERROR(BDP(Database!$A418&amp;" HK Equity","PX_TO_SALES_RATIO"),"")</f>
        <v/>
      </c>
      <c r="T418" s="18">
        <f>IF(Database!BL418="","",IFERROR(BDP(LEFT(Database!BL418,FIND(".",Database!BL418)-1)&amp;" CH Equity","CUR_MKT_CAP"),""))</f>
        <v/>
      </c>
    </row>
    <row r="419">
      <c r="A419" s="16">
        <f>Database!A419&amp;"  "&amp;Database!B419</f>
        <v/>
      </c>
      <c r="B419" s="10">
        <f>IFERROR(INDEX(BDS(Database!$A419&amp;" HK Equity","EQUITY_OFFERINGS","array=t","endcol=1"),MATCH("IPO",BDS(Database!$A419&amp;" HK Equity","EQUITY_OFFERINGS","array=t","startcol=2","endcol=2"),0)),"")</f>
        <v/>
      </c>
      <c r="C419" s="103">
        <f>IF($B419="","",IFERROR(BDP($B419&amp;" Action","CP036"),""))</f>
        <v/>
      </c>
      <c r="D419" s="104">
        <f>Database!S419</f>
        <v/>
      </c>
      <c r="E419" s="103">
        <f>IF($B419="","",IFERROR(BDP($B419&amp;" Action","CP037"),""))</f>
        <v/>
      </c>
      <c r="F419" s="104">
        <f>Database!T419</f>
        <v/>
      </c>
      <c r="G419" s="103">
        <f>IF($B419="","",IFERROR(BDP($B419&amp;" Action","GREENSHOE_FACILITY"),""))</f>
        <v/>
      </c>
      <c r="H419" s="103">
        <f>IF($B419="","",IFERROR(BDP($B419&amp;" Action","OFFERING_GREENSHOE_SHARES_EX"),""))</f>
        <v/>
      </c>
      <c r="I419" s="16">
        <f>Database!AG419</f>
        <v/>
      </c>
      <c r="J419" s="24">
        <f>IFERROR(BDP(Database!$A419&amp;" HK Equity","PE_RATIO"),"")</f>
        <v/>
      </c>
      <c r="K419" s="10">
        <f>IFERROR(BDP(Database!$A419&amp;" HK Equity","A/H_SHARE_CONVERSION"),"")</f>
        <v/>
      </c>
      <c r="L419" s="16">
        <f>IF(Database!BL419="","(none found)",Database!BL419)</f>
        <v/>
      </c>
      <c r="M419" s="18">
        <f>IFERROR(BDH(Database!$A419&amp;" HK Equity","CUR_MKT_CAP",Database!$H419,Database!$H419),"")</f>
        <v/>
      </c>
      <c r="N419" s="97">
        <f>Database!Q419</f>
        <v/>
      </c>
      <c r="O419" s="24">
        <f>IFERROR(BDH(Database!$A419&amp;" HK Equity","PE_RATIO",Database!$H419,Database!$H419),"")</f>
        <v/>
      </c>
      <c r="P419" s="101">
        <f>IF(Database!BF419="","(n/m or not derivable)",Database!BF419)</f>
        <v/>
      </c>
      <c r="Q419" s="24">
        <f>IF(Database!BL419="","",IFERROR(BDH(LEFT(Database!BL419,FIND(".",Database!BL419)-1)&amp;" CH Equity","PE_RATIO",Database!$H419,Database!$H419),""))</f>
        <v/>
      </c>
      <c r="R419" s="24">
        <f>IF(Database!BL419="","",IFERROR(BDH("HSAHP Index","PX_LAST",Database!$H419,Database!$H419),""))</f>
        <v/>
      </c>
      <c r="S419" s="24">
        <f>IFERROR(BDP(Database!$A419&amp;" HK Equity","PX_TO_SALES_RATIO"),"")</f>
        <v/>
      </c>
      <c r="T419" s="18">
        <f>IF(Database!BL419="","",IFERROR(BDP(LEFT(Database!BL419,FIND(".",Database!BL419)-1)&amp;" CH Equity","CUR_MKT_CAP"),""))</f>
        <v/>
      </c>
    </row>
    <row r="420">
      <c r="A420" s="16">
        <f>Database!A420&amp;"  "&amp;Database!B420</f>
        <v/>
      </c>
      <c r="B420" s="10">
        <f>IFERROR(INDEX(BDS(Database!$A420&amp;" HK Equity","EQUITY_OFFERINGS","array=t","endcol=1"),MATCH("IPO",BDS(Database!$A420&amp;" HK Equity","EQUITY_OFFERINGS","array=t","startcol=2","endcol=2"),0)),"")</f>
        <v/>
      </c>
      <c r="C420" s="103">
        <f>IF($B420="","",IFERROR(BDP($B420&amp;" Action","CP036"),""))</f>
        <v/>
      </c>
      <c r="D420" s="104">
        <f>Database!S420</f>
        <v/>
      </c>
      <c r="E420" s="103">
        <f>IF($B420="","",IFERROR(BDP($B420&amp;" Action","CP037"),""))</f>
        <v/>
      </c>
      <c r="F420" s="104">
        <f>Database!T420</f>
        <v/>
      </c>
      <c r="G420" s="103">
        <f>IF($B420="","",IFERROR(BDP($B420&amp;" Action","GREENSHOE_FACILITY"),""))</f>
        <v/>
      </c>
      <c r="H420" s="103">
        <f>IF($B420="","",IFERROR(BDP($B420&amp;" Action","OFFERING_GREENSHOE_SHARES_EX"),""))</f>
        <v/>
      </c>
      <c r="I420" s="16">
        <f>Database!AG420</f>
        <v/>
      </c>
      <c r="J420" s="24">
        <f>IFERROR(BDP(Database!$A420&amp;" HK Equity","PE_RATIO"),"")</f>
        <v/>
      </c>
      <c r="K420" s="10">
        <f>IFERROR(BDP(Database!$A420&amp;" HK Equity","A/H_SHARE_CONVERSION"),"")</f>
        <v/>
      </c>
      <c r="L420" s="16">
        <f>IF(Database!BL420="","(none found)",Database!BL420)</f>
        <v/>
      </c>
      <c r="M420" s="18">
        <f>IFERROR(BDH(Database!$A420&amp;" HK Equity","CUR_MKT_CAP",Database!$H420,Database!$H420),"")</f>
        <v/>
      </c>
      <c r="N420" s="97">
        <f>Database!Q420</f>
        <v/>
      </c>
      <c r="O420" s="24">
        <f>IFERROR(BDH(Database!$A420&amp;" HK Equity","PE_RATIO",Database!$H420,Database!$H420),"")</f>
        <v/>
      </c>
      <c r="P420" s="101">
        <f>IF(Database!BF420="","(n/m or not derivable)",Database!BF420)</f>
        <v/>
      </c>
      <c r="Q420" s="24">
        <f>IF(Database!BL420="","",IFERROR(BDH(LEFT(Database!BL420,FIND(".",Database!BL420)-1)&amp;" CH Equity","PE_RATIO",Database!$H420,Database!$H420),""))</f>
        <v/>
      </c>
      <c r="R420" s="24">
        <f>IF(Database!BL420="","",IFERROR(BDH("HSAHP Index","PX_LAST",Database!$H420,Database!$H420),""))</f>
        <v/>
      </c>
      <c r="S420" s="24">
        <f>IFERROR(BDP(Database!$A420&amp;" HK Equity","PX_TO_SALES_RATIO"),"")</f>
        <v/>
      </c>
      <c r="T420" s="18">
        <f>IF(Database!BL420="","",IFERROR(BDP(LEFT(Database!BL420,FIND(".",Database!BL420)-1)&amp;" CH Equity","CUR_MKT_CAP"),""))</f>
        <v/>
      </c>
    </row>
    <row r="421">
      <c r="A421" s="16">
        <f>Database!A421&amp;"  "&amp;Database!B421</f>
        <v/>
      </c>
      <c r="B421" s="10">
        <f>IFERROR(INDEX(BDS(Database!$A421&amp;" HK Equity","EQUITY_OFFERINGS","array=t","endcol=1"),MATCH("IPO",BDS(Database!$A421&amp;" HK Equity","EQUITY_OFFERINGS","array=t","startcol=2","endcol=2"),0)),"")</f>
        <v/>
      </c>
      <c r="C421" s="103">
        <f>IF($B421="","",IFERROR(BDP($B421&amp;" Action","CP036"),""))</f>
        <v/>
      </c>
      <c r="D421" s="104">
        <f>Database!S421</f>
        <v/>
      </c>
      <c r="E421" s="103">
        <f>IF($B421="","",IFERROR(BDP($B421&amp;" Action","CP037"),""))</f>
        <v/>
      </c>
      <c r="F421" s="104">
        <f>Database!T421</f>
        <v/>
      </c>
      <c r="G421" s="103">
        <f>IF($B421="","",IFERROR(BDP($B421&amp;" Action","GREENSHOE_FACILITY"),""))</f>
        <v/>
      </c>
      <c r="H421" s="103">
        <f>IF($B421="","",IFERROR(BDP($B421&amp;" Action","OFFERING_GREENSHOE_SHARES_EX"),""))</f>
        <v/>
      </c>
      <c r="I421" s="16">
        <f>Database!AG421</f>
        <v/>
      </c>
      <c r="J421" s="24">
        <f>IFERROR(BDP(Database!$A421&amp;" HK Equity","PE_RATIO"),"")</f>
        <v/>
      </c>
      <c r="K421" s="10">
        <f>IFERROR(BDP(Database!$A421&amp;" HK Equity","A/H_SHARE_CONVERSION"),"")</f>
        <v/>
      </c>
      <c r="L421" s="16">
        <f>IF(Database!BL421="","(none found)",Database!BL421)</f>
        <v/>
      </c>
      <c r="M421" s="18">
        <f>IFERROR(BDH(Database!$A421&amp;" HK Equity","CUR_MKT_CAP",Database!$H421,Database!$H421),"")</f>
        <v/>
      </c>
      <c r="N421" s="97">
        <f>Database!Q421</f>
        <v/>
      </c>
      <c r="O421" s="24">
        <f>IFERROR(BDH(Database!$A421&amp;" HK Equity","PE_RATIO",Database!$H421,Database!$H421),"")</f>
        <v/>
      </c>
      <c r="P421" s="101">
        <f>IF(Database!BF421="","(n/m or not derivable)",Database!BF421)</f>
        <v/>
      </c>
      <c r="Q421" s="24">
        <f>IF(Database!BL421="","",IFERROR(BDH(LEFT(Database!BL421,FIND(".",Database!BL421)-1)&amp;" CH Equity","PE_RATIO",Database!$H421,Database!$H421),""))</f>
        <v/>
      </c>
      <c r="R421" s="24">
        <f>IF(Database!BL421="","",IFERROR(BDH("HSAHP Index","PX_LAST",Database!$H421,Database!$H421),""))</f>
        <v/>
      </c>
      <c r="S421" s="24">
        <f>IFERROR(BDP(Database!$A421&amp;" HK Equity","PX_TO_SALES_RATIO"),"")</f>
        <v/>
      </c>
      <c r="T421" s="18">
        <f>IF(Database!BL421="","",IFERROR(BDP(LEFT(Database!BL421,FIND(".",Database!BL421)-1)&amp;" CH Equity","CUR_MKT_CAP"),""))</f>
        <v/>
      </c>
    </row>
    <row r="422">
      <c r="A422" s="16">
        <f>Database!A422&amp;"  "&amp;Database!B422</f>
        <v/>
      </c>
      <c r="B422" s="10">
        <f>IFERROR(INDEX(BDS(Database!$A422&amp;" HK Equity","EQUITY_OFFERINGS","array=t","endcol=1"),MATCH("IPO",BDS(Database!$A422&amp;" HK Equity","EQUITY_OFFERINGS","array=t","startcol=2","endcol=2"),0)),"")</f>
        <v/>
      </c>
      <c r="C422" s="103">
        <f>IF($B422="","",IFERROR(BDP($B422&amp;" Action","CP036"),""))</f>
        <v/>
      </c>
      <c r="D422" s="104">
        <f>Database!S422</f>
        <v/>
      </c>
      <c r="E422" s="103">
        <f>IF($B422="","",IFERROR(BDP($B422&amp;" Action","CP037"),""))</f>
        <v/>
      </c>
      <c r="F422" s="104">
        <f>Database!T422</f>
        <v/>
      </c>
      <c r="G422" s="103">
        <f>IF($B422="","",IFERROR(BDP($B422&amp;" Action","GREENSHOE_FACILITY"),""))</f>
        <v/>
      </c>
      <c r="H422" s="103">
        <f>IF($B422="","",IFERROR(BDP($B422&amp;" Action","OFFERING_GREENSHOE_SHARES_EX"),""))</f>
        <v/>
      </c>
      <c r="I422" s="16">
        <f>Database!AG422</f>
        <v/>
      </c>
      <c r="J422" s="24">
        <f>IFERROR(BDP(Database!$A422&amp;" HK Equity","PE_RATIO"),"")</f>
        <v/>
      </c>
      <c r="K422" s="10">
        <f>IFERROR(BDP(Database!$A422&amp;" HK Equity","A/H_SHARE_CONVERSION"),"")</f>
        <v/>
      </c>
      <c r="L422" s="16">
        <f>IF(Database!BL422="","(none found)",Database!BL422)</f>
        <v/>
      </c>
      <c r="M422" s="18">
        <f>IFERROR(BDH(Database!$A422&amp;" HK Equity","CUR_MKT_CAP",Database!$H422,Database!$H422),"")</f>
        <v/>
      </c>
      <c r="N422" s="97">
        <f>Database!Q422</f>
        <v/>
      </c>
      <c r="O422" s="24">
        <f>IFERROR(BDH(Database!$A422&amp;" HK Equity","PE_RATIO",Database!$H422,Database!$H422),"")</f>
        <v/>
      </c>
      <c r="P422" s="101">
        <f>IF(Database!BF422="","(n/m or not derivable)",Database!BF422)</f>
        <v/>
      </c>
      <c r="Q422" s="24">
        <f>IF(Database!BL422="","",IFERROR(BDH(LEFT(Database!BL422,FIND(".",Database!BL422)-1)&amp;" CH Equity","PE_RATIO",Database!$H422,Database!$H422),""))</f>
        <v/>
      </c>
      <c r="R422" s="24">
        <f>IF(Database!BL422="","",IFERROR(BDH("HSAHP Index","PX_LAST",Database!$H422,Database!$H422),""))</f>
        <v/>
      </c>
      <c r="S422" s="24">
        <f>IFERROR(BDP(Database!$A422&amp;" HK Equity","PX_TO_SALES_RATIO"),"")</f>
        <v/>
      </c>
      <c r="T422" s="18">
        <f>IF(Database!BL422="","",IFERROR(BDP(LEFT(Database!BL422,FIND(".",Database!BL422)-1)&amp;" CH Equity","CUR_MKT_CAP"),""))</f>
        <v/>
      </c>
    </row>
    <row r="423">
      <c r="A423" s="16">
        <f>Database!A423&amp;"  "&amp;Database!B423</f>
        <v/>
      </c>
      <c r="B423" s="10">
        <f>IFERROR(INDEX(BDS(Database!$A423&amp;" HK Equity","EQUITY_OFFERINGS","array=t","endcol=1"),MATCH("IPO",BDS(Database!$A423&amp;" HK Equity","EQUITY_OFFERINGS","array=t","startcol=2","endcol=2"),0)),"")</f>
        <v/>
      </c>
      <c r="C423" s="103">
        <f>IF($B423="","",IFERROR(BDP($B423&amp;" Action","CP036"),""))</f>
        <v/>
      </c>
      <c r="D423" s="104">
        <f>Database!S423</f>
        <v/>
      </c>
      <c r="E423" s="103">
        <f>IF($B423="","",IFERROR(BDP($B423&amp;" Action","CP037"),""))</f>
        <v/>
      </c>
      <c r="F423" s="104">
        <f>Database!T423</f>
        <v/>
      </c>
      <c r="G423" s="103">
        <f>IF($B423="","",IFERROR(BDP($B423&amp;" Action","GREENSHOE_FACILITY"),""))</f>
        <v/>
      </c>
      <c r="H423" s="103">
        <f>IF($B423="","",IFERROR(BDP($B423&amp;" Action","OFFERING_GREENSHOE_SHARES_EX"),""))</f>
        <v/>
      </c>
      <c r="I423" s="16">
        <f>Database!AG423</f>
        <v/>
      </c>
      <c r="J423" s="24">
        <f>IFERROR(BDP(Database!$A423&amp;" HK Equity","PE_RATIO"),"")</f>
        <v/>
      </c>
      <c r="K423" s="10">
        <f>IFERROR(BDP(Database!$A423&amp;" HK Equity","A/H_SHARE_CONVERSION"),"")</f>
        <v/>
      </c>
      <c r="L423" s="16">
        <f>IF(Database!BL423="","(none found)",Database!BL423)</f>
        <v/>
      </c>
      <c r="M423" s="18">
        <f>IFERROR(BDH(Database!$A423&amp;" HK Equity","CUR_MKT_CAP",Database!$H423,Database!$H423),"")</f>
        <v/>
      </c>
      <c r="N423" s="97">
        <f>Database!Q423</f>
        <v/>
      </c>
      <c r="O423" s="24">
        <f>IFERROR(BDH(Database!$A423&amp;" HK Equity","PE_RATIO",Database!$H423,Database!$H423),"")</f>
        <v/>
      </c>
      <c r="P423" s="101">
        <f>IF(Database!BF423="","(n/m or not derivable)",Database!BF423)</f>
        <v/>
      </c>
      <c r="Q423" s="24">
        <f>IF(Database!BL423="","",IFERROR(BDH(LEFT(Database!BL423,FIND(".",Database!BL423)-1)&amp;" CH Equity","PE_RATIO",Database!$H423,Database!$H423),""))</f>
        <v/>
      </c>
      <c r="R423" s="24">
        <f>IF(Database!BL423="","",IFERROR(BDH("HSAHP Index","PX_LAST",Database!$H423,Database!$H423),""))</f>
        <v/>
      </c>
      <c r="S423" s="24">
        <f>IFERROR(BDP(Database!$A423&amp;" HK Equity","PX_TO_SALES_RATIO"),"")</f>
        <v/>
      </c>
      <c r="T423" s="18">
        <f>IF(Database!BL423="","",IFERROR(BDP(LEFT(Database!BL423,FIND(".",Database!BL423)-1)&amp;" CH Equity","CUR_MKT_CAP"),""))</f>
        <v/>
      </c>
    </row>
    <row r="424">
      <c r="A424" s="16">
        <f>Database!A424&amp;"  "&amp;Database!B424</f>
        <v/>
      </c>
      <c r="B424" s="10">
        <f>IFERROR(INDEX(BDS(Database!$A424&amp;" HK Equity","EQUITY_OFFERINGS","array=t","endcol=1"),MATCH("IPO",BDS(Database!$A424&amp;" HK Equity","EQUITY_OFFERINGS","array=t","startcol=2","endcol=2"),0)),"")</f>
        <v/>
      </c>
      <c r="C424" s="103">
        <f>IF($B424="","",IFERROR(BDP($B424&amp;" Action","CP036"),""))</f>
        <v/>
      </c>
      <c r="D424" s="104">
        <f>Database!S424</f>
        <v/>
      </c>
      <c r="E424" s="103">
        <f>IF($B424="","",IFERROR(BDP($B424&amp;" Action","CP037"),""))</f>
        <v/>
      </c>
      <c r="F424" s="104">
        <f>Database!T424</f>
        <v/>
      </c>
      <c r="G424" s="103">
        <f>IF($B424="","",IFERROR(BDP($B424&amp;" Action","GREENSHOE_FACILITY"),""))</f>
        <v/>
      </c>
      <c r="H424" s="103">
        <f>IF($B424="","",IFERROR(BDP($B424&amp;" Action","OFFERING_GREENSHOE_SHARES_EX"),""))</f>
        <v/>
      </c>
      <c r="I424" s="16">
        <f>Database!AG424</f>
        <v/>
      </c>
      <c r="J424" s="24">
        <f>IFERROR(BDP(Database!$A424&amp;" HK Equity","PE_RATIO"),"")</f>
        <v/>
      </c>
      <c r="K424" s="10">
        <f>IFERROR(BDP(Database!$A424&amp;" HK Equity","A/H_SHARE_CONVERSION"),"")</f>
        <v/>
      </c>
      <c r="L424" s="16">
        <f>IF(Database!BL424="","(none found)",Database!BL424)</f>
        <v/>
      </c>
      <c r="M424" s="18">
        <f>IFERROR(BDH(Database!$A424&amp;" HK Equity","CUR_MKT_CAP",Database!$H424,Database!$H424),"")</f>
        <v/>
      </c>
      <c r="N424" s="97">
        <f>Database!Q424</f>
        <v/>
      </c>
      <c r="O424" s="24">
        <f>IFERROR(BDH(Database!$A424&amp;" HK Equity","PE_RATIO",Database!$H424,Database!$H424),"")</f>
        <v/>
      </c>
      <c r="P424" s="101">
        <f>IF(Database!BF424="","(n/m or not derivable)",Database!BF424)</f>
        <v/>
      </c>
      <c r="Q424" s="24">
        <f>IF(Database!BL424="","",IFERROR(BDH(LEFT(Database!BL424,FIND(".",Database!BL424)-1)&amp;" CH Equity","PE_RATIO",Database!$H424,Database!$H424),""))</f>
        <v/>
      </c>
      <c r="R424" s="24">
        <f>IF(Database!BL424="","",IFERROR(BDH("HSAHP Index","PX_LAST",Database!$H424,Database!$H424),""))</f>
        <v/>
      </c>
      <c r="S424" s="24">
        <f>IFERROR(BDP(Database!$A424&amp;" HK Equity","PX_TO_SALES_RATIO"),"")</f>
        <v/>
      </c>
      <c r="T424" s="18">
        <f>IF(Database!BL424="","",IFERROR(BDP(LEFT(Database!BL424,FIND(".",Database!BL424)-1)&amp;" CH Equity","CUR_MKT_CAP"),""))</f>
        <v/>
      </c>
    </row>
    <row r="425">
      <c r="A425" s="16">
        <f>Database!A425&amp;"  "&amp;Database!B425</f>
        <v/>
      </c>
      <c r="B425" s="10">
        <f>IFERROR(INDEX(BDS(Database!$A425&amp;" HK Equity","EQUITY_OFFERINGS","array=t","endcol=1"),MATCH("IPO",BDS(Database!$A425&amp;" HK Equity","EQUITY_OFFERINGS","array=t","startcol=2","endcol=2"),0)),"")</f>
        <v/>
      </c>
      <c r="C425" s="103">
        <f>IF($B425="","",IFERROR(BDP($B425&amp;" Action","CP036"),""))</f>
        <v/>
      </c>
      <c r="D425" s="104">
        <f>Database!S425</f>
        <v/>
      </c>
      <c r="E425" s="103">
        <f>IF($B425="","",IFERROR(BDP($B425&amp;" Action","CP037"),""))</f>
        <v/>
      </c>
      <c r="F425" s="104">
        <f>Database!T425</f>
        <v/>
      </c>
      <c r="G425" s="103">
        <f>IF($B425="","",IFERROR(BDP($B425&amp;" Action","GREENSHOE_FACILITY"),""))</f>
        <v/>
      </c>
      <c r="H425" s="103">
        <f>IF($B425="","",IFERROR(BDP($B425&amp;" Action","OFFERING_GREENSHOE_SHARES_EX"),""))</f>
        <v/>
      </c>
      <c r="I425" s="16">
        <f>Database!AG425</f>
        <v/>
      </c>
      <c r="J425" s="24">
        <f>IFERROR(BDP(Database!$A425&amp;" HK Equity","PE_RATIO"),"")</f>
        <v/>
      </c>
      <c r="K425" s="10">
        <f>IFERROR(BDP(Database!$A425&amp;" HK Equity","A/H_SHARE_CONVERSION"),"")</f>
        <v/>
      </c>
      <c r="L425" s="16">
        <f>IF(Database!BL425="","(none found)",Database!BL425)</f>
        <v/>
      </c>
      <c r="M425" s="18">
        <f>IFERROR(BDH(Database!$A425&amp;" HK Equity","CUR_MKT_CAP",Database!$H425,Database!$H425),"")</f>
        <v/>
      </c>
      <c r="N425" s="97">
        <f>Database!Q425</f>
        <v/>
      </c>
      <c r="O425" s="24">
        <f>IFERROR(BDH(Database!$A425&amp;" HK Equity","PE_RATIO",Database!$H425,Database!$H425),"")</f>
        <v/>
      </c>
      <c r="P425" s="101">
        <f>IF(Database!BF425="","(n/m or not derivable)",Database!BF425)</f>
        <v/>
      </c>
      <c r="Q425" s="24">
        <f>IF(Database!BL425="","",IFERROR(BDH(LEFT(Database!BL425,FIND(".",Database!BL425)-1)&amp;" CH Equity","PE_RATIO",Database!$H425,Database!$H425),""))</f>
        <v/>
      </c>
      <c r="R425" s="24">
        <f>IF(Database!BL425="","",IFERROR(BDH("HSAHP Index","PX_LAST",Database!$H425,Database!$H425),""))</f>
        <v/>
      </c>
      <c r="S425" s="24">
        <f>IFERROR(BDP(Database!$A425&amp;" HK Equity","PX_TO_SALES_RATIO"),"")</f>
        <v/>
      </c>
      <c r="T425" s="18">
        <f>IF(Database!BL425="","",IFERROR(BDP(LEFT(Database!BL425,FIND(".",Database!BL425)-1)&amp;" CH Equity","CUR_MKT_CAP"),""))</f>
        <v/>
      </c>
    </row>
    <row r="426">
      <c r="A426" s="16">
        <f>Database!A426&amp;"  "&amp;Database!B426</f>
        <v/>
      </c>
      <c r="B426" s="10">
        <f>IFERROR(INDEX(BDS(Database!$A426&amp;" HK Equity","EQUITY_OFFERINGS","array=t","endcol=1"),MATCH("IPO",BDS(Database!$A426&amp;" HK Equity","EQUITY_OFFERINGS","array=t","startcol=2","endcol=2"),0)),"")</f>
        <v/>
      </c>
      <c r="C426" s="103">
        <f>IF($B426="","",IFERROR(BDP($B426&amp;" Action","CP036"),""))</f>
        <v/>
      </c>
      <c r="D426" s="104">
        <f>Database!S426</f>
        <v/>
      </c>
      <c r="E426" s="103">
        <f>IF($B426="","",IFERROR(BDP($B426&amp;" Action","CP037"),""))</f>
        <v/>
      </c>
      <c r="F426" s="104">
        <f>Database!T426</f>
        <v/>
      </c>
      <c r="G426" s="103">
        <f>IF($B426="","",IFERROR(BDP($B426&amp;" Action","GREENSHOE_FACILITY"),""))</f>
        <v/>
      </c>
      <c r="H426" s="103">
        <f>IF($B426="","",IFERROR(BDP($B426&amp;" Action","OFFERING_GREENSHOE_SHARES_EX"),""))</f>
        <v/>
      </c>
      <c r="I426" s="16">
        <f>Database!AG426</f>
        <v/>
      </c>
      <c r="J426" s="24">
        <f>IFERROR(BDP(Database!$A426&amp;" HK Equity","PE_RATIO"),"")</f>
        <v/>
      </c>
      <c r="K426" s="10">
        <f>IFERROR(BDP(Database!$A426&amp;" HK Equity","A/H_SHARE_CONVERSION"),"")</f>
        <v/>
      </c>
      <c r="L426" s="16">
        <f>IF(Database!BL426="","(none found)",Database!BL426)</f>
        <v/>
      </c>
      <c r="M426" s="18">
        <f>IFERROR(BDH(Database!$A426&amp;" HK Equity","CUR_MKT_CAP",Database!$H426,Database!$H426),"")</f>
        <v/>
      </c>
      <c r="N426" s="97">
        <f>Database!Q426</f>
        <v/>
      </c>
      <c r="O426" s="24">
        <f>IFERROR(BDH(Database!$A426&amp;" HK Equity","PE_RATIO",Database!$H426,Database!$H426),"")</f>
        <v/>
      </c>
      <c r="P426" s="101">
        <f>IF(Database!BF426="","(n/m or not derivable)",Database!BF426)</f>
        <v/>
      </c>
      <c r="Q426" s="24">
        <f>IF(Database!BL426="","",IFERROR(BDH(LEFT(Database!BL426,FIND(".",Database!BL426)-1)&amp;" CH Equity","PE_RATIO",Database!$H426,Database!$H426),""))</f>
        <v/>
      </c>
      <c r="R426" s="24">
        <f>IF(Database!BL426="","",IFERROR(BDH("HSAHP Index","PX_LAST",Database!$H426,Database!$H426),""))</f>
        <v/>
      </c>
      <c r="S426" s="24">
        <f>IFERROR(BDP(Database!$A426&amp;" HK Equity","PX_TO_SALES_RATIO"),"")</f>
        <v/>
      </c>
      <c r="T426" s="18">
        <f>IF(Database!BL426="","",IFERROR(BDP(LEFT(Database!BL426,FIND(".",Database!BL426)-1)&amp;" CH Equity","CUR_MKT_CAP"),""))</f>
        <v/>
      </c>
    </row>
    <row r="427">
      <c r="A427" s="16">
        <f>Database!A427&amp;"  "&amp;Database!B427</f>
        <v/>
      </c>
      <c r="B427" s="10">
        <f>IFERROR(INDEX(BDS(Database!$A427&amp;" HK Equity","EQUITY_OFFERINGS","array=t","endcol=1"),MATCH("IPO",BDS(Database!$A427&amp;" HK Equity","EQUITY_OFFERINGS","array=t","startcol=2","endcol=2"),0)),"")</f>
        <v/>
      </c>
      <c r="C427" s="103">
        <f>IF($B427="","",IFERROR(BDP($B427&amp;" Action","CP036"),""))</f>
        <v/>
      </c>
      <c r="D427" s="104">
        <f>Database!S427</f>
        <v/>
      </c>
      <c r="E427" s="103">
        <f>IF($B427="","",IFERROR(BDP($B427&amp;" Action","CP037"),""))</f>
        <v/>
      </c>
      <c r="F427" s="104">
        <f>Database!T427</f>
        <v/>
      </c>
      <c r="G427" s="103">
        <f>IF($B427="","",IFERROR(BDP($B427&amp;" Action","GREENSHOE_FACILITY"),""))</f>
        <v/>
      </c>
      <c r="H427" s="103">
        <f>IF($B427="","",IFERROR(BDP($B427&amp;" Action","OFFERING_GREENSHOE_SHARES_EX"),""))</f>
        <v/>
      </c>
      <c r="I427" s="16">
        <f>Database!AG427</f>
        <v/>
      </c>
      <c r="J427" s="24">
        <f>IFERROR(BDP(Database!$A427&amp;" HK Equity","PE_RATIO"),"")</f>
        <v/>
      </c>
      <c r="K427" s="10">
        <f>IFERROR(BDP(Database!$A427&amp;" HK Equity","A/H_SHARE_CONVERSION"),"")</f>
        <v/>
      </c>
      <c r="L427" s="16">
        <f>IF(Database!BL427="","(none found)",Database!BL427)</f>
        <v/>
      </c>
      <c r="M427" s="18">
        <f>IFERROR(BDH(Database!$A427&amp;" HK Equity","CUR_MKT_CAP",Database!$H427,Database!$H427),"")</f>
        <v/>
      </c>
      <c r="N427" s="97">
        <f>Database!Q427</f>
        <v/>
      </c>
      <c r="O427" s="24">
        <f>IFERROR(BDH(Database!$A427&amp;" HK Equity","PE_RATIO",Database!$H427,Database!$H427),"")</f>
        <v/>
      </c>
      <c r="P427" s="101">
        <f>IF(Database!BF427="","(n/m or not derivable)",Database!BF427)</f>
        <v/>
      </c>
      <c r="Q427" s="24">
        <f>IF(Database!BL427="","",IFERROR(BDH(LEFT(Database!BL427,FIND(".",Database!BL427)-1)&amp;" CH Equity","PE_RATIO",Database!$H427,Database!$H427),""))</f>
        <v/>
      </c>
      <c r="R427" s="24">
        <f>IF(Database!BL427="","",IFERROR(BDH("HSAHP Index","PX_LAST",Database!$H427,Database!$H427),""))</f>
        <v/>
      </c>
      <c r="S427" s="24">
        <f>IFERROR(BDP(Database!$A427&amp;" HK Equity","PX_TO_SALES_RATIO"),"")</f>
        <v/>
      </c>
      <c r="T427" s="18">
        <f>IF(Database!BL427="","",IFERROR(BDP(LEFT(Database!BL427,FIND(".",Database!BL427)-1)&amp;" CH Equity","CUR_MKT_CAP"),""))</f>
        <v/>
      </c>
    </row>
    <row r="428">
      <c r="A428" s="16">
        <f>Database!A428&amp;"  "&amp;Database!B428</f>
        <v/>
      </c>
      <c r="B428" s="10">
        <f>IFERROR(INDEX(BDS(Database!$A428&amp;" HK Equity","EQUITY_OFFERINGS","array=t","endcol=1"),MATCH("IPO",BDS(Database!$A428&amp;" HK Equity","EQUITY_OFFERINGS","array=t","startcol=2","endcol=2"),0)),"")</f>
        <v/>
      </c>
      <c r="C428" s="103">
        <f>IF($B428="","",IFERROR(BDP($B428&amp;" Action","CP036"),""))</f>
        <v/>
      </c>
      <c r="D428" s="104">
        <f>Database!S428</f>
        <v/>
      </c>
      <c r="E428" s="103">
        <f>IF($B428="","",IFERROR(BDP($B428&amp;" Action","CP037"),""))</f>
        <v/>
      </c>
      <c r="F428" s="104">
        <f>Database!T428</f>
        <v/>
      </c>
      <c r="G428" s="103">
        <f>IF($B428="","",IFERROR(BDP($B428&amp;" Action","GREENSHOE_FACILITY"),""))</f>
        <v/>
      </c>
      <c r="H428" s="103">
        <f>IF($B428="","",IFERROR(BDP($B428&amp;" Action","OFFERING_GREENSHOE_SHARES_EX"),""))</f>
        <v/>
      </c>
      <c r="I428" s="16">
        <f>Database!AG428</f>
        <v/>
      </c>
      <c r="J428" s="24">
        <f>IFERROR(BDP(Database!$A428&amp;" HK Equity","PE_RATIO"),"")</f>
        <v/>
      </c>
      <c r="K428" s="10">
        <f>IFERROR(BDP(Database!$A428&amp;" HK Equity","A/H_SHARE_CONVERSION"),"")</f>
        <v/>
      </c>
      <c r="L428" s="16">
        <f>IF(Database!BL428="","(none found)",Database!BL428)</f>
        <v/>
      </c>
      <c r="M428" s="18">
        <f>IFERROR(BDH(Database!$A428&amp;" HK Equity","CUR_MKT_CAP",Database!$H428,Database!$H428),"")</f>
        <v/>
      </c>
      <c r="N428" s="97">
        <f>Database!Q428</f>
        <v/>
      </c>
      <c r="O428" s="24">
        <f>IFERROR(BDH(Database!$A428&amp;" HK Equity","PE_RATIO",Database!$H428,Database!$H428),"")</f>
        <v/>
      </c>
      <c r="P428" s="101">
        <f>IF(Database!BF428="","(n/m or not derivable)",Database!BF428)</f>
        <v/>
      </c>
      <c r="Q428" s="24">
        <f>IF(Database!BL428="","",IFERROR(BDH(LEFT(Database!BL428,FIND(".",Database!BL428)-1)&amp;" CH Equity","PE_RATIO",Database!$H428,Database!$H428),""))</f>
        <v/>
      </c>
      <c r="R428" s="24">
        <f>IF(Database!BL428="","",IFERROR(BDH("HSAHP Index","PX_LAST",Database!$H428,Database!$H428),""))</f>
        <v/>
      </c>
      <c r="S428" s="24">
        <f>IFERROR(BDP(Database!$A428&amp;" HK Equity","PX_TO_SALES_RATIO"),"")</f>
        <v/>
      </c>
      <c r="T428" s="18">
        <f>IF(Database!BL428="","",IFERROR(BDP(LEFT(Database!BL428,FIND(".",Database!BL428)-1)&amp;" CH Equity","CUR_MKT_CAP"),""))</f>
        <v/>
      </c>
    </row>
    <row r="429">
      <c r="A429" s="16">
        <f>Database!A429&amp;"  "&amp;Database!B429</f>
        <v/>
      </c>
      <c r="B429" s="10">
        <f>IFERROR(INDEX(BDS(Database!$A429&amp;" HK Equity","EQUITY_OFFERINGS","array=t","endcol=1"),MATCH("IPO",BDS(Database!$A429&amp;" HK Equity","EQUITY_OFFERINGS","array=t","startcol=2","endcol=2"),0)),"")</f>
        <v/>
      </c>
      <c r="C429" s="103">
        <f>IF($B429="","",IFERROR(BDP($B429&amp;" Action","CP036"),""))</f>
        <v/>
      </c>
      <c r="D429" s="104">
        <f>Database!S429</f>
        <v/>
      </c>
      <c r="E429" s="103">
        <f>IF($B429="","",IFERROR(BDP($B429&amp;" Action","CP037"),""))</f>
        <v/>
      </c>
      <c r="F429" s="104">
        <f>Database!T429</f>
        <v/>
      </c>
      <c r="G429" s="103">
        <f>IF($B429="","",IFERROR(BDP($B429&amp;" Action","GREENSHOE_FACILITY"),""))</f>
        <v/>
      </c>
      <c r="H429" s="103">
        <f>IF($B429="","",IFERROR(BDP($B429&amp;" Action","OFFERING_GREENSHOE_SHARES_EX"),""))</f>
        <v/>
      </c>
      <c r="I429" s="16">
        <f>Database!AG429</f>
        <v/>
      </c>
      <c r="J429" s="24">
        <f>IFERROR(BDP(Database!$A429&amp;" HK Equity","PE_RATIO"),"")</f>
        <v/>
      </c>
      <c r="K429" s="10">
        <f>IFERROR(BDP(Database!$A429&amp;" HK Equity","A/H_SHARE_CONVERSION"),"")</f>
        <v/>
      </c>
      <c r="L429" s="16">
        <f>IF(Database!BL429="","(none found)",Database!BL429)</f>
        <v/>
      </c>
      <c r="M429" s="18">
        <f>IFERROR(BDH(Database!$A429&amp;" HK Equity","CUR_MKT_CAP",Database!$H429,Database!$H429),"")</f>
        <v/>
      </c>
      <c r="N429" s="97">
        <f>Database!Q429</f>
        <v/>
      </c>
      <c r="O429" s="24">
        <f>IFERROR(BDH(Database!$A429&amp;" HK Equity","PE_RATIO",Database!$H429,Database!$H429),"")</f>
        <v/>
      </c>
      <c r="P429" s="101">
        <f>IF(Database!BF429="","(n/m or not derivable)",Database!BF429)</f>
        <v/>
      </c>
      <c r="Q429" s="24">
        <f>IF(Database!BL429="","",IFERROR(BDH(LEFT(Database!BL429,FIND(".",Database!BL429)-1)&amp;" CH Equity","PE_RATIO",Database!$H429,Database!$H429),""))</f>
        <v/>
      </c>
      <c r="R429" s="24">
        <f>IF(Database!BL429="","",IFERROR(BDH("HSAHP Index","PX_LAST",Database!$H429,Database!$H429),""))</f>
        <v/>
      </c>
      <c r="S429" s="24">
        <f>IFERROR(BDP(Database!$A429&amp;" HK Equity","PX_TO_SALES_RATIO"),"")</f>
        <v/>
      </c>
      <c r="T429" s="18">
        <f>IF(Database!BL429="","",IFERROR(BDP(LEFT(Database!BL429,FIND(".",Database!BL429)-1)&amp;" CH Equity","CUR_MKT_CAP"),""))</f>
        <v/>
      </c>
    </row>
    <row r="430">
      <c r="A430" s="16">
        <f>Database!A430&amp;"  "&amp;Database!B430</f>
        <v/>
      </c>
      <c r="B430" s="10">
        <f>IFERROR(INDEX(BDS(Database!$A430&amp;" HK Equity","EQUITY_OFFERINGS","array=t","endcol=1"),MATCH("IPO",BDS(Database!$A430&amp;" HK Equity","EQUITY_OFFERINGS","array=t","startcol=2","endcol=2"),0)),"")</f>
        <v/>
      </c>
      <c r="C430" s="103">
        <f>IF($B430="","",IFERROR(BDP($B430&amp;" Action","CP036"),""))</f>
        <v/>
      </c>
      <c r="D430" s="104">
        <f>Database!S430</f>
        <v/>
      </c>
      <c r="E430" s="103">
        <f>IF($B430="","",IFERROR(BDP($B430&amp;" Action","CP037"),""))</f>
        <v/>
      </c>
      <c r="F430" s="104">
        <f>Database!T430</f>
        <v/>
      </c>
      <c r="G430" s="103">
        <f>IF($B430="","",IFERROR(BDP($B430&amp;" Action","GREENSHOE_FACILITY"),""))</f>
        <v/>
      </c>
      <c r="H430" s="103">
        <f>IF($B430="","",IFERROR(BDP($B430&amp;" Action","OFFERING_GREENSHOE_SHARES_EX"),""))</f>
        <v/>
      </c>
      <c r="I430" s="16">
        <f>Database!AG430</f>
        <v/>
      </c>
      <c r="J430" s="24">
        <f>IFERROR(BDP(Database!$A430&amp;" HK Equity","PE_RATIO"),"")</f>
        <v/>
      </c>
      <c r="K430" s="10">
        <f>IFERROR(BDP(Database!$A430&amp;" HK Equity","A/H_SHARE_CONVERSION"),"")</f>
        <v/>
      </c>
      <c r="L430" s="16">
        <f>IF(Database!BL430="","(none found)",Database!BL430)</f>
        <v/>
      </c>
      <c r="M430" s="18">
        <f>IFERROR(BDH(Database!$A430&amp;" HK Equity","CUR_MKT_CAP",Database!$H430,Database!$H430),"")</f>
        <v/>
      </c>
      <c r="N430" s="97">
        <f>Database!Q430</f>
        <v/>
      </c>
      <c r="O430" s="24">
        <f>IFERROR(BDH(Database!$A430&amp;" HK Equity","PE_RATIO",Database!$H430,Database!$H430),"")</f>
        <v/>
      </c>
      <c r="P430" s="101">
        <f>IF(Database!BF430="","(n/m or not derivable)",Database!BF430)</f>
        <v/>
      </c>
      <c r="Q430" s="24">
        <f>IF(Database!BL430="","",IFERROR(BDH(LEFT(Database!BL430,FIND(".",Database!BL430)-1)&amp;" CH Equity","PE_RATIO",Database!$H430,Database!$H430),""))</f>
        <v/>
      </c>
      <c r="R430" s="24">
        <f>IF(Database!BL430="","",IFERROR(BDH("HSAHP Index","PX_LAST",Database!$H430,Database!$H430),""))</f>
        <v/>
      </c>
      <c r="S430" s="24">
        <f>IFERROR(BDP(Database!$A430&amp;" HK Equity","PX_TO_SALES_RATIO"),"")</f>
        <v/>
      </c>
      <c r="T430" s="18">
        <f>IF(Database!BL430="","",IFERROR(BDP(LEFT(Database!BL430,FIND(".",Database!BL430)-1)&amp;" CH Equity","CUR_MKT_CAP"),""))</f>
        <v/>
      </c>
    </row>
    <row r="431">
      <c r="A431" s="16">
        <f>Database!A431&amp;"  "&amp;Database!B431</f>
        <v/>
      </c>
      <c r="B431" s="10">
        <f>IFERROR(INDEX(BDS(Database!$A431&amp;" HK Equity","EQUITY_OFFERINGS","array=t","endcol=1"),MATCH("IPO",BDS(Database!$A431&amp;" HK Equity","EQUITY_OFFERINGS","array=t","startcol=2","endcol=2"),0)),"")</f>
        <v/>
      </c>
      <c r="C431" s="103">
        <f>IF($B431="","",IFERROR(BDP($B431&amp;" Action","CP036"),""))</f>
        <v/>
      </c>
      <c r="D431" s="104">
        <f>Database!S431</f>
        <v/>
      </c>
      <c r="E431" s="103">
        <f>IF($B431="","",IFERROR(BDP($B431&amp;" Action","CP037"),""))</f>
        <v/>
      </c>
      <c r="F431" s="104">
        <f>Database!T431</f>
        <v/>
      </c>
      <c r="G431" s="103">
        <f>IF($B431="","",IFERROR(BDP($B431&amp;" Action","GREENSHOE_FACILITY"),""))</f>
        <v/>
      </c>
      <c r="H431" s="103">
        <f>IF($B431="","",IFERROR(BDP($B431&amp;" Action","OFFERING_GREENSHOE_SHARES_EX"),""))</f>
        <v/>
      </c>
      <c r="I431" s="16">
        <f>Database!AG431</f>
        <v/>
      </c>
      <c r="J431" s="24">
        <f>IFERROR(BDP(Database!$A431&amp;" HK Equity","PE_RATIO"),"")</f>
        <v/>
      </c>
      <c r="K431" s="10">
        <f>IFERROR(BDP(Database!$A431&amp;" HK Equity","A/H_SHARE_CONVERSION"),"")</f>
        <v/>
      </c>
      <c r="L431" s="16">
        <f>IF(Database!BL431="","(none found)",Database!BL431)</f>
        <v/>
      </c>
      <c r="M431" s="18">
        <f>IFERROR(BDH(Database!$A431&amp;" HK Equity","CUR_MKT_CAP",Database!$H431,Database!$H431),"")</f>
        <v/>
      </c>
      <c r="N431" s="97">
        <f>Database!Q431</f>
        <v/>
      </c>
      <c r="O431" s="24">
        <f>IFERROR(BDH(Database!$A431&amp;" HK Equity","PE_RATIO",Database!$H431,Database!$H431),"")</f>
        <v/>
      </c>
      <c r="P431" s="101">
        <f>IF(Database!BF431="","(n/m or not derivable)",Database!BF431)</f>
        <v/>
      </c>
      <c r="Q431" s="24">
        <f>IF(Database!BL431="","",IFERROR(BDH(LEFT(Database!BL431,FIND(".",Database!BL431)-1)&amp;" CH Equity","PE_RATIO",Database!$H431,Database!$H431),""))</f>
        <v/>
      </c>
      <c r="R431" s="24">
        <f>IF(Database!BL431="","",IFERROR(BDH("HSAHP Index","PX_LAST",Database!$H431,Database!$H431),""))</f>
        <v/>
      </c>
      <c r="S431" s="24">
        <f>IFERROR(BDP(Database!$A431&amp;" HK Equity","PX_TO_SALES_RATIO"),"")</f>
        <v/>
      </c>
      <c r="T431" s="18">
        <f>IF(Database!BL431="","",IFERROR(BDP(LEFT(Database!BL431,FIND(".",Database!BL431)-1)&amp;" CH Equity","CUR_MKT_CAP"),""))</f>
        <v/>
      </c>
    </row>
    <row r="432">
      <c r="A432" s="16">
        <f>Database!A432&amp;"  "&amp;Database!B432</f>
        <v/>
      </c>
      <c r="B432" s="10">
        <f>IFERROR(INDEX(BDS(Database!$A432&amp;" HK Equity","EQUITY_OFFERINGS","array=t","endcol=1"),MATCH("IPO",BDS(Database!$A432&amp;" HK Equity","EQUITY_OFFERINGS","array=t","startcol=2","endcol=2"),0)),"")</f>
        <v/>
      </c>
      <c r="C432" s="103">
        <f>IF($B432="","",IFERROR(BDP($B432&amp;" Action","CP036"),""))</f>
        <v/>
      </c>
      <c r="D432" s="104">
        <f>Database!S432</f>
        <v/>
      </c>
      <c r="E432" s="103">
        <f>IF($B432="","",IFERROR(BDP($B432&amp;" Action","CP037"),""))</f>
        <v/>
      </c>
      <c r="F432" s="104">
        <f>Database!T432</f>
        <v/>
      </c>
      <c r="G432" s="103">
        <f>IF($B432="","",IFERROR(BDP($B432&amp;" Action","GREENSHOE_FACILITY"),""))</f>
        <v/>
      </c>
      <c r="H432" s="103">
        <f>IF($B432="","",IFERROR(BDP($B432&amp;" Action","OFFERING_GREENSHOE_SHARES_EX"),""))</f>
        <v/>
      </c>
      <c r="I432" s="16">
        <f>Database!AG432</f>
        <v/>
      </c>
      <c r="J432" s="24">
        <f>IFERROR(BDP(Database!$A432&amp;" HK Equity","PE_RATIO"),"")</f>
        <v/>
      </c>
      <c r="K432" s="10">
        <f>IFERROR(BDP(Database!$A432&amp;" HK Equity","A/H_SHARE_CONVERSION"),"")</f>
        <v/>
      </c>
      <c r="L432" s="16">
        <f>IF(Database!BL432="","(none found)",Database!BL432)</f>
        <v/>
      </c>
      <c r="M432" s="18">
        <f>IFERROR(BDH(Database!$A432&amp;" HK Equity","CUR_MKT_CAP",Database!$H432,Database!$H432),"")</f>
        <v/>
      </c>
      <c r="N432" s="97">
        <f>Database!Q432</f>
        <v/>
      </c>
      <c r="O432" s="24">
        <f>IFERROR(BDH(Database!$A432&amp;" HK Equity","PE_RATIO",Database!$H432,Database!$H432),"")</f>
        <v/>
      </c>
      <c r="P432" s="101">
        <f>IF(Database!BF432="","(n/m or not derivable)",Database!BF432)</f>
        <v/>
      </c>
      <c r="Q432" s="24">
        <f>IF(Database!BL432="","",IFERROR(BDH(LEFT(Database!BL432,FIND(".",Database!BL432)-1)&amp;" CH Equity","PE_RATIO",Database!$H432,Database!$H432),""))</f>
        <v/>
      </c>
      <c r="R432" s="24">
        <f>IF(Database!BL432="","",IFERROR(BDH("HSAHP Index","PX_LAST",Database!$H432,Database!$H432),""))</f>
        <v/>
      </c>
      <c r="S432" s="24">
        <f>IFERROR(BDP(Database!$A432&amp;" HK Equity","PX_TO_SALES_RATIO"),"")</f>
        <v/>
      </c>
      <c r="T432" s="18">
        <f>IF(Database!BL432="","",IFERROR(BDP(LEFT(Database!BL432,FIND(".",Database!BL432)-1)&amp;" CH Equity","CUR_MKT_CAP"),""))</f>
        <v/>
      </c>
    </row>
    <row r="433">
      <c r="A433" s="16">
        <f>Database!A433&amp;"  "&amp;Database!B433</f>
        <v/>
      </c>
      <c r="B433" s="10">
        <f>IFERROR(INDEX(BDS(Database!$A433&amp;" HK Equity","EQUITY_OFFERINGS","array=t","endcol=1"),MATCH("IPO",BDS(Database!$A433&amp;" HK Equity","EQUITY_OFFERINGS","array=t","startcol=2","endcol=2"),0)),"")</f>
        <v/>
      </c>
      <c r="C433" s="103">
        <f>IF($B433="","",IFERROR(BDP($B433&amp;" Action","CP036"),""))</f>
        <v/>
      </c>
      <c r="D433" s="104">
        <f>Database!S433</f>
        <v/>
      </c>
      <c r="E433" s="103">
        <f>IF($B433="","",IFERROR(BDP($B433&amp;" Action","CP037"),""))</f>
        <v/>
      </c>
      <c r="F433" s="104">
        <f>Database!T433</f>
        <v/>
      </c>
      <c r="G433" s="103">
        <f>IF($B433="","",IFERROR(BDP($B433&amp;" Action","GREENSHOE_FACILITY"),""))</f>
        <v/>
      </c>
      <c r="H433" s="103">
        <f>IF($B433="","",IFERROR(BDP($B433&amp;" Action","OFFERING_GREENSHOE_SHARES_EX"),""))</f>
        <v/>
      </c>
      <c r="I433" s="16">
        <f>Database!AG433</f>
        <v/>
      </c>
      <c r="J433" s="24">
        <f>IFERROR(BDP(Database!$A433&amp;" HK Equity","PE_RATIO"),"")</f>
        <v/>
      </c>
      <c r="K433" s="10">
        <f>IFERROR(BDP(Database!$A433&amp;" HK Equity","A/H_SHARE_CONVERSION"),"")</f>
        <v/>
      </c>
      <c r="L433" s="16">
        <f>IF(Database!BL433="","(none found)",Database!BL433)</f>
        <v/>
      </c>
      <c r="M433" s="18">
        <f>IFERROR(BDH(Database!$A433&amp;" HK Equity","CUR_MKT_CAP",Database!$H433,Database!$H433),"")</f>
        <v/>
      </c>
      <c r="N433" s="97">
        <f>Database!Q433</f>
        <v/>
      </c>
      <c r="O433" s="24">
        <f>IFERROR(BDH(Database!$A433&amp;" HK Equity","PE_RATIO",Database!$H433,Database!$H433),"")</f>
        <v/>
      </c>
      <c r="P433" s="101">
        <f>IF(Database!BF433="","(n/m or not derivable)",Database!BF433)</f>
        <v/>
      </c>
      <c r="Q433" s="24">
        <f>IF(Database!BL433="","",IFERROR(BDH(LEFT(Database!BL433,FIND(".",Database!BL433)-1)&amp;" CH Equity","PE_RATIO",Database!$H433,Database!$H433),""))</f>
        <v/>
      </c>
      <c r="R433" s="24">
        <f>IF(Database!BL433="","",IFERROR(BDH("HSAHP Index","PX_LAST",Database!$H433,Database!$H433),""))</f>
        <v/>
      </c>
      <c r="S433" s="24">
        <f>IFERROR(BDP(Database!$A433&amp;" HK Equity","PX_TO_SALES_RATIO"),"")</f>
        <v/>
      </c>
      <c r="T433" s="18">
        <f>IF(Database!BL433="","",IFERROR(BDP(LEFT(Database!BL433,FIND(".",Database!BL433)-1)&amp;" CH Equity","CUR_MKT_CAP"),""))</f>
        <v/>
      </c>
    </row>
    <row r="434">
      <c r="A434" s="16">
        <f>Database!A434&amp;"  "&amp;Database!B434</f>
        <v/>
      </c>
      <c r="B434" s="10">
        <f>IFERROR(INDEX(BDS(Database!$A434&amp;" HK Equity","EQUITY_OFFERINGS","array=t","endcol=1"),MATCH("IPO",BDS(Database!$A434&amp;" HK Equity","EQUITY_OFFERINGS","array=t","startcol=2","endcol=2"),0)),"")</f>
        <v/>
      </c>
      <c r="C434" s="103">
        <f>IF($B434="","",IFERROR(BDP($B434&amp;" Action","CP036"),""))</f>
        <v/>
      </c>
      <c r="D434" s="104">
        <f>Database!S434</f>
        <v/>
      </c>
      <c r="E434" s="103">
        <f>IF($B434="","",IFERROR(BDP($B434&amp;" Action","CP037"),""))</f>
        <v/>
      </c>
      <c r="F434" s="104">
        <f>Database!T434</f>
        <v/>
      </c>
      <c r="G434" s="103">
        <f>IF($B434="","",IFERROR(BDP($B434&amp;" Action","GREENSHOE_FACILITY"),""))</f>
        <v/>
      </c>
      <c r="H434" s="103">
        <f>IF($B434="","",IFERROR(BDP($B434&amp;" Action","OFFERING_GREENSHOE_SHARES_EX"),""))</f>
        <v/>
      </c>
      <c r="I434" s="16">
        <f>Database!AG434</f>
        <v/>
      </c>
      <c r="J434" s="24">
        <f>IFERROR(BDP(Database!$A434&amp;" HK Equity","PE_RATIO"),"")</f>
        <v/>
      </c>
      <c r="K434" s="10">
        <f>IFERROR(BDP(Database!$A434&amp;" HK Equity","A/H_SHARE_CONVERSION"),"")</f>
        <v/>
      </c>
      <c r="L434" s="16">
        <f>IF(Database!BL434="","(none found)",Database!BL434)</f>
        <v/>
      </c>
      <c r="M434" s="18">
        <f>IFERROR(BDH(Database!$A434&amp;" HK Equity","CUR_MKT_CAP",Database!$H434,Database!$H434),"")</f>
        <v/>
      </c>
      <c r="N434" s="97">
        <f>Database!Q434</f>
        <v/>
      </c>
      <c r="O434" s="24">
        <f>IFERROR(BDH(Database!$A434&amp;" HK Equity","PE_RATIO",Database!$H434,Database!$H434),"")</f>
        <v/>
      </c>
      <c r="P434" s="101">
        <f>IF(Database!BF434="","(n/m or not derivable)",Database!BF434)</f>
        <v/>
      </c>
      <c r="Q434" s="24">
        <f>IF(Database!BL434="","",IFERROR(BDH(LEFT(Database!BL434,FIND(".",Database!BL434)-1)&amp;" CH Equity","PE_RATIO",Database!$H434,Database!$H434),""))</f>
        <v/>
      </c>
      <c r="R434" s="24">
        <f>IF(Database!BL434="","",IFERROR(BDH("HSAHP Index","PX_LAST",Database!$H434,Database!$H434),""))</f>
        <v/>
      </c>
      <c r="S434" s="24">
        <f>IFERROR(BDP(Database!$A434&amp;" HK Equity","PX_TO_SALES_RATIO"),"")</f>
        <v/>
      </c>
      <c r="T434" s="18">
        <f>IF(Database!BL434="","",IFERROR(BDP(LEFT(Database!BL434,FIND(".",Database!BL434)-1)&amp;" CH Equity","CUR_MKT_CAP"),""))</f>
        <v/>
      </c>
    </row>
    <row r="435">
      <c r="A435" s="16">
        <f>Database!A435&amp;"  "&amp;Database!B435</f>
        <v/>
      </c>
      <c r="B435" s="10">
        <f>IFERROR(INDEX(BDS(Database!$A435&amp;" HK Equity","EQUITY_OFFERINGS","array=t","endcol=1"),MATCH("IPO",BDS(Database!$A435&amp;" HK Equity","EQUITY_OFFERINGS","array=t","startcol=2","endcol=2"),0)),"")</f>
        <v/>
      </c>
      <c r="C435" s="103">
        <f>IF($B435="","",IFERROR(BDP($B435&amp;" Action","CP036"),""))</f>
        <v/>
      </c>
      <c r="D435" s="104">
        <f>Database!S435</f>
        <v/>
      </c>
      <c r="E435" s="103">
        <f>IF($B435="","",IFERROR(BDP($B435&amp;" Action","CP037"),""))</f>
        <v/>
      </c>
      <c r="F435" s="104">
        <f>Database!T435</f>
        <v/>
      </c>
      <c r="G435" s="103">
        <f>IF($B435="","",IFERROR(BDP($B435&amp;" Action","GREENSHOE_FACILITY"),""))</f>
        <v/>
      </c>
      <c r="H435" s="103">
        <f>IF($B435="","",IFERROR(BDP($B435&amp;" Action","OFFERING_GREENSHOE_SHARES_EX"),""))</f>
        <v/>
      </c>
      <c r="I435" s="16">
        <f>Database!AG435</f>
        <v/>
      </c>
      <c r="J435" s="24">
        <f>IFERROR(BDP(Database!$A435&amp;" HK Equity","PE_RATIO"),"")</f>
        <v/>
      </c>
      <c r="K435" s="10">
        <f>IFERROR(BDP(Database!$A435&amp;" HK Equity","A/H_SHARE_CONVERSION"),"")</f>
        <v/>
      </c>
      <c r="L435" s="16">
        <f>IF(Database!BL435="","(none found)",Database!BL435)</f>
        <v/>
      </c>
      <c r="M435" s="18">
        <f>IFERROR(BDH(Database!$A435&amp;" HK Equity","CUR_MKT_CAP",Database!$H435,Database!$H435),"")</f>
        <v/>
      </c>
      <c r="N435" s="97">
        <f>Database!Q435</f>
        <v/>
      </c>
      <c r="O435" s="24">
        <f>IFERROR(BDH(Database!$A435&amp;" HK Equity","PE_RATIO",Database!$H435,Database!$H435),"")</f>
        <v/>
      </c>
      <c r="P435" s="101">
        <f>IF(Database!BF435="","(n/m or not derivable)",Database!BF435)</f>
        <v/>
      </c>
      <c r="Q435" s="24">
        <f>IF(Database!BL435="","",IFERROR(BDH(LEFT(Database!BL435,FIND(".",Database!BL435)-1)&amp;" CH Equity","PE_RATIO",Database!$H435,Database!$H435),""))</f>
        <v/>
      </c>
      <c r="R435" s="24">
        <f>IF(Database!BL435="","",IFERROR(BDH("HSAHP Index","PX_LAST",Database!$H435,Database!$H435),""))</f>
        <v/>
      </c>
      <c r="S435" s="24">
        <f>IFERROR(BDP(Database!$A435&amp;" HK Equity","PX_TO_SALES_RATIO"),"")</f>
        <v/>
      </c>
      <c r="T435" s="18">
        <f>IF(Database!BL435="","",IFERROR(BDP(LEFT(Database!BL435,FIND(".",Database!BL435)-1)&amp;" CH Equity","CUR_MKT_CAP"),""))</f>
        <v/>
      </c>
    </row>
    <row r="436">
      <c r="A436" s="16">
        <f>Database!A436&amp;"  "&amp;Database!B436</f>
        <v/>
      </c>
      <c r="B436" s="10">
        <f>IFERROR(INDEX(BDS(Database!$A436&amp;" HK Equity","EQUITY_OFFERINGS","array=t","endcol=1"),MATCH("IPO",BDS(Database!$A436&amp;" HK Equity","EQUITY_OFFERINGS","array=t","startcol=2","endcol=2"),0)),"")</f>
        <v/>
      </c>
      <c r="C436" s="103">
        <f>IF($B436="","",IFERROR(BDP($B436&amp;" Action","CP036"),""))</f>
        <v/>
      </c>
      <c r="D436" s="104">
        <f>Database!S436</f>
        <v/>
      </c>
      <c r="E436" s="103">
        <f>IF($B436="","",IFERROR(BDP($B436&amp;" Action","CP037"),""))</f>
        <v/>
      </c>
      <c r="F436" s="104">
        <f>Database!T436</f>
        <v/>
      </c>
      <c r="G436" s="103">
        <f>IF($B436="","",IFERROR(BDP($B436&amp;" Action","GREENSHOE_FACILITY"),""))</f>
        <v/>
      </c>
      <c r="H436" s="103">
        <f>IF($B436="","",IFERROR(BDP($B436&amp;" Action","OFFERING_GREENSHOE_SHARES_EX"),""))</f>
        <v/>
      </c>
      <c r="I436" s="16">
        <f>Database!AG436</f>
        <v/>
      </c>
      <c r="J436" s="24">
        <f>IFERROR(BDP(Database!$A436&amp;" HK Equity","PE_RATIO"),"")</f>
        <v/>
      </c>
      <c r="K436" s="10">
        <f>IFERROR(BDP(Database!$A436&amp;" HK Equity","A/H_SHARE_CONVERSION"),"")</f>
        <v/>
      </c>
      <c r="L436" s="16">
        <f>IF(Database!BL436="","(none found)",Database!BL436)</f>
        <v/>
      </c>
      <c r="M436" s="18">
        <f>IFERROR(BDH(Database!$A436&amp;" HK Equity","CUR_MKT_CAP",Database!$H436,Database!$H436),"")</f>
        <v/>
      </c>
      <c r="N436" s="97">
        <f>Database!Q436</f>
        <v/>
      </c>
      <c r="O436" s="24">
        <f>IFERROR(BDH(Database!$A436&amp;" HK Equity","PE_RATIO",Database!$H436,Database!$H436),"")</f>
        <v/>
      </c>
      <c r="P436" s="101">
        <f>IF(Database!BF436="","(n/m or not derivable)",Database!BF436)</f>
        <v/>
      </c>
      <c r="Q436" s="24">
        <f>IF(Database!BL436="","",IFERROR(BDH(LEFT(Database!BL436,FIND(".",Database!BL436)-1)&amp;" CH Equity","PE_RATIO",Database!$H436,Database!$H436),""))</f>
        <v/>
      </c>
      <c r="R436" s="24">
        <f>IF(Database!BL436="","",IFERROR(BDH("HSAHP Index","PX_LAST",Database!$H436,Database!$H436),""))</f>
        <v/>
      </c>
      <c r="S436" s="24">
        <f>IFERROR(BDP(Database!$A436&amp;" HK Equity","PX_TO_SALES_RATIO"),"")</f>
        <v/>
      </c>
      <c r="T436" s="18">
        <f>IF(Database!BL436="","",IFERROR(BDP(LEFT(Database!BL436,FIND(".",Database!BL436)-1)&amp;" CH Equity","CUR_MKT_CAP"),""))</f>
        <v/>
      </c>
    </row>
    <row r="437">
      <c r="A437" s="16">
        <f>Database!A437&amp;"  "&amp;Database!B437</f>
        <v/>
      </c>
      <c r="B437" s="10">
        <f>IFERROR(INDEX(BDS(Database!$A437&amp;" HK Equity","EQUITY_OFFERINGS","array=t","endcol=1"),MATCH("IPO",BDS(Database!$A437&amp;" HK Equity","EQUITY_OFFERINGS","array=t","startcol=2","endcol=2"),0)),"")</f>
        <v/>
      </c>
      <c r="C437" s="103">
        <f>IF($B437="","",IFERROR(BDP($B437&amp;" Action","CP036"),""))</f>
        <v/>
      </c>
      <c r="D437" s="104">
        <f>Database!S437</f>
        <v/>
      </c>
      <c r="E437" s="103">
        <f>IF($B437="","",IFERROR(BDP($B437&amp;" Action","CP037"),""))</f>
        <v/>
      </c>
      <c r="F437" s="104">
        <f>Database!T437</f>
        <v/>
      </c>
      <c r="G437" s="103">
        <f>IF($B437="","",IFERROR(BDP($B437&amp;" Action","GREENSHOE_FACILITY"),""))</f>
        <v/>
      </c>
      <c r="H437" s="103">
        <f>IF($B437="","",IFERROR(BDP($B437&amp;" Action","OFFERING_GREENSHOE_SHARES_EX"),""))</f>
        <v/>
      </c>
      <c r="I437" s="16">
        <f>Database!AG437</f>
        <v/>
      </c>
      <c r="J437" s="24">
        <f>IFERROR(BDP(Database!$A437&amp;" HK Equity","PE_RATIO"),"")</f>
        <v/>
      </c>
      <c r="K437" s="10">
        <f>IFERROR(BDP(Database!$A437&amp;" HK Equity","A/H_SHARE_CONVERSION"),"")</f>
        <v/>
      </c>
      <c r="L437" s="16">
        <f>IF(Database!BL437="","(none found)",Database!BL437)</f>
        <v/>
      </c>
      <c r="M437" s="18">
        <f>IFERROR(BDH(Database!$A437&amp;" HK Equity","CUR_MKT_CAP",Database!$H437,Database!$H437),"")</f>
        <v/>
      </c>
      <c r="N437" s="97">
        <f>Database!Q437</f>
        <v/>
      </c>
      <c r="O437" s="24">
        <f>IFERROR(BDH(Database!$A437&amp;" HK Equity","PE_RATIO",Database!$H437,Database!$H437),"")</f>
        <v/>
      </c>
      <c r="P437" s="101">
        <f>IF(Database!BF437="","(n/m or not derivable)",Database!BF437)</f>
        <v/>
      </c>
      <c r="Q437" s="24">
        <f>IF(Database!BL437="","",IFERROR(BDH(LEFT(Database!BL437,FIND(".",Database!BL437)-1)&amp;" CH Equity","PE_RATIO",Database!$H437,Database!$H437),""))</f>
        <v/>
      </c>
      <c r="R437" s="24">
        <f>IF(Database!BL437="","",IFERROR(BDH("HSAHP Index","PX_LAST",Database!$H437,Database!$H437),""))</f>
        <v/>
      </c>
      <c r="S437" s="24">
        <f>IFERROR(BDP(Database!$A437&amp;" HK Equity","PX_TO_SALES_RATIO"),"")</f>
        <v/>
      </c>
      <c r="T437" s="18">
        <f>IF(Database!BL437="","",IFERROR(BDP(LEFT(Database!BL437,FIND(".",Database!BL437)-1)&amp;" CH Equity","CUR_MKT_CAP"),""))</f>
        <v/>
      </c>
    </row>
    <row r="438">
      <c r="A438" s="16">
        <f>Database!A438&amp;"  "&amp;Database!B438</f>
        <v/>
      </c>
      <c r="B438" s="10">
        <f>IFERROR(INDEX(BDS(Database!$A438&amp;" HK Equity","EQUITY_OFFERINGS","array=t","endcol=1"),MATCH("IPO",BDS(Database!$A438&amp;" HK Equity","EQUITY_OFFERINGS","array=t","startcol=2","endcol=2"),0)),"")</f>
        <v/>
      </c>
      <c r="C438" s="103">
        <f>IF($B438="","",IFERROR(BDP($B438&amp;" Action","CP036"),""))</f>
        <v/>
      </c>
      <c r="D438" s="104">
        <f>Database!S438</f>
        <v/>
      </c>
      <c r="E438" s="103">
        <f>IF($B438="","",IFERROR(BDP($B438&amp;" Action","CP037"),""))</f>
        <v/>
      </c>
      <c r="F438" s="104">
        <f>Database!T438</f>
        <v/>
      </c>
      <c r="G438" s="103">
        <f>IF($B438="","",IFERROR(BDP($B438&amp;" Action","GREENSHOE_FACILITY"),""))</f>
        <v/>
      </c>
      <c r="H438" s="103">
        <f>IF($B438="","",IFERROR(BDP($B438&amp;" Action","OFFERING_GREENSHOE_SHARES_EX"),""))</f>
        <v/>
      </c>
      <c r="I438" s="16">
        <f>Database!AG438</f>
        <v/>
      </c>
      <c r="J438" s="24">
        <f>IFERROR(BDP(Database!$A438&amp;" HK Equity","PE_RATIO"),"")</f>
        <v/>
      </c>
      <c r="K438" s="10">
        <f>IFERROR(BDP(Database!$A438&amp;" HK Equity","A/H_SHARE_CONVERSION"),"")</f>
        <v/>
      </c>
      <c r="L438" s="16">
        <f>IF(Database!BL438="","(none found)",Database!BL438)</f>
        <v/>
      </c>
      <c r="M438" s="18">
        <f>IFERROR(BDH(Database!$A438&amp;" HK Equity","CUR_MKT_CAP",Database!$H438,Database!$H438),"")</f>
        <v/>
      </c>
      <c r="N438" s="97">
        <f>Database!Q438</f>
        <v/>
      </c>
      <c r="O438" s="24">
        <f>IFERROR(BDH(Database!$A438&amp;" HK Equity","PE_RATIO",Database!$H438,Database!$H438),"")</f>
        <v/>
      </c>
      <c r="P438" s="101">
        <f>IF(Database!BF438="","(n/m or not derivable)",Database!BF438)</f>
        <v/>
      </c>
      <c r="Q438" s="24">
        <f>IF(Database!BL438="","",IFERROR(BDH(LEFT(Database!BL438,FIND(".",Database!BL438)-1)&amp;" CH Equity","PE_RATIO",Database!$H438,Database!$H438),""))</f>
        <v/>
      </c>
      <c r="R438" s="24">
        <f>IF(Database!BL438="","",IFERROR(BDH("HSAHP Index","PX_LAST",Database!$H438,Database!$H438),""))</f>
        <v/>
      </c>
      <c r="S438" s="24">
        <f>IFERROR(BDP(Database!$A438&amp;" HK Equity","PX_TO_SALES_RATIO"),"")</f>
        <v/>
      </c>
      <c r="T438" s="18">
        <f>IF(Database!BL438="","",IFERROR(BDP(LEFT(Database!BL438,FIND(".",Database!BL438)-1)&amp;" CH Equity","CUR_MKT_CAP"),""))</f>
        <v/>
      </c>
    </row>
    <row r="439">
      <c r="A439" s="16">
        <f>Database!A439&amp;"  "&amp;Database!B439</f>
        <v/>
      </c>
      <c r="B439" s="10">
        <f>IFERROR(INDEX(BDS(Database!$A439&amp;" HK Equity","EQUITY_OFFERINGS","array=t","endcol=1"),MATCH("IPO",BDS(Database!$A439&amp;" HK Equity","EQUITY_OFFERINGS","array=t","startcol=2","endcol=2"),0)),"")</f>
        <v/>
      </c>
      <c r="C439" s="103">
        <f>IF($B439="","",IFERROR(BDP($B439&amp;" Action","CP036"),""))</f>
        <v/>
      </c>
      <c r="D439" s="104">
        <f>Database!S439</f>
        <v/>
      </c>
      <c r="E439" s="103">
        <f>IF($B439="","",IFERROR(BDP($B439&amp;" Action","CP037"),""))</f>
        <v/>
      </c>
      <c r="F439" s="104">
        <f>Database!T439</f>
        <v/>
      </c>
      <c r="G439" s="103">
        <f>IF($B439="","",IFERROR(BDP($B439&amp;" Action","GREENSHOE_FACILITY"),""))</f>
        <v/>
      </c>
      <c r="H439" s="103">
        <f>IF($B439="","",IFERROR(BDP($B439&amp;" Action","OFFERING_GREENSHOE_SHARES_EX"),""))</f>
        <v/>
      </c>
      <c r="I439" s="16">
        <f>Database!AG439</f>
        <v/>
      </c>
      <c r="J439" s="24">
        <f>IFERROR(BDP(Database!$A439&amp;" HK Equity","PE_RATIO"),"")</f>
        <v/>
      </c>
      <c r="K439" s="10">
        <f>IFERROR(BDP(Database!$A439&amp;" HK Equity","A/H_SHARE_CONVERSION"),"")</f>
        <v/>
      </c>
      <c r="L439" s="16">
        <f>IF(Database!BL439="","(none found)",Database!BL439)</f>
        <v/>
      </c>
      <c r="M439" s="18">
        <f>IFERROR(BDH(Database!$A439&amp;" HK Equity","CUR_MKT_CAP",Database!$H439,Database!$H439),"")</f>
        <v/>
      </c>
      <c r="N439" s="97">
        <f>Database!Q439</f>
        <v/>
      </c>
      <c r="O439" s="24">
        <f>IFERROR(BDH(Database!$A439&amp;" HK Equity","PE_RATIO",Database!$H439,Database!$H439),"")</f>
        <v/>
      </c>
      <c r="P439" s="101">
        <f>IF(Database!BF439="","(n/m or not derivable)",Database!BF439)</f>
        <v/>
      </c>
      <c r="Q439" s="24">
        <f>IF(Database!BL439="","",IFERROR(BDH(LEFT(Database!BL439,FIND(".",Database!BL439)-1)&amp;" CH Equity","PE_RATIO",Database!$H439,Database!$H439),""))</f>
        <v/>
      </c>
      <c r="R439" s="24">
        <f>IF(Database!BL439="","",IFERROR(BDH("HSAHP Index","PX_LAST",Database!$H439,Database!$H439),""))</f>
        <v/>
      </c>
      <c r="S439" s="24">
        <f>IFERROR(BDP(Database!$A439&amp;" HK Equity","PX_TO_SALES_RATIO"),"")</f>
        <v/>
      </c>
      <c r="T439" s="18">
        <f>IF(Database!BL439="","",IFERROR(BDP(LEFT(Database!BL439,FIND(".",Database!BL439)-1)&amp;" CH Equity","CUR_MKT_CAP"),""))</f>
        <v/>
      </c>
    </row>
    <row r="440">
      <c r="A440" s="16">
        <f>Database!A440&amp;"  "&amp;Database!B440</f>
        <v/>
      </c>
      <c r="B440" s="10">
        <f>IFERROR(INDEX(BDS(Database!$A440&amp;" HK Equity","EQUITY_OFFERINGS","array=t","endcol=1"),MATCH("IPO",BDS(Database!$A440&amp;" HK Equity","EQUITY_OFFERINGS","array=t","startcol=2","endcol=2"),0)),"")</f>
        <v/>
      </c>
      <c r="C440" s="103">
        <f>IF($B440="","",IFERROR(BDP($B440&amp;" Action","CP036"),""))</f>
        <v/>
      </c>
      <c r="D440" s="104">
        <f>Database!S440</f>
        <v/>
      </c>
      <c r="E440" s="103">
        <f>IF($B440="","",IFERROR(BDP($B440&amp;" Action","CP037"),""))</f>
        <v/>
      </c>
      <c r="F440" s="104">
        <f>Database!T440</f>
        <v/>
      </c>
      <c r="G440" s="103">
        <f>IF($B440="","",IFERROR(BDP($B440&amp;" Action","GREENSHOE_FACILITY"),""))</f>
        <v/>
      </c>
      <c r="H440" s="103">
        <f>IF($B440="","",IFERROR(BDP($B440&amp;" Action","OFFERING_GREENSHOE_SHARES_EX"),""))</f>
        <v/>
      </c>
      <c r="I440" s="16">
        <f>Database!AG440</f>
        <v/>
      </c>
      <c r="J440" s="24">
        <f>IFERROR(BDP(Database!$A440&amp;" HK Equity","PE_RATIO"),"")</f>
        <v/>
      </c>
      <c r="K440" s="10">
        <f>IFERROR(BDP(Database!$A440&amp;" HK Equity","A/H_SHARE_CONVERSION"),"")</f>
        <v/>
      </c>
      <c r="L440" s="16">
        <f>IF(Database!BL440="","(none found)",Database!BL440)</f>
        <v/>
      </c>
      <c r="M440" s="18">
        <f>IFERROR(BDH(Database!$A440&amp;" HK Equity","CUR_MKT_CAP",Database!$H440,Database!$H440),"")</f>
        <v/>
      </c>
      <c r="N440" s="97">
        <f>Database!Q440</f>
        <v/>
      </c>
      <c r="O440" s="24">
        <f>IFERROR(BDH(Database!$A440&amp;" HK Equity","PE_RATIO",Database!$H440,Database!$H440),"")</f>
        <v/>
      </c>
      <c r="P440" s="101">
        <f>IF(Database!BF440="","(n/m or not derivable)",Database!BF440)</f>
        <v/>
      </c>
      <c r="Q440" s="24">
        <f>IF(Database!BL440="","",IFERROR(BDH(LEFT(Database!BL440,FIND(".",Database!BL440)-1)&amp;" CH Equity","PE_RATIO",Database!$H440,Database!$H440),""))</f>
        <v/>
      </c>
      <c r="R440" s="24">
        <f>IF(Database!BL440="","",IFERROR(BDH("HSAHP Index","PX_LAST",Database!$H440,Database!$H440),""))</f>
        <v/>
      </c>
      <c r="S440" s="24">
        <f>IFERROR(BDP(Database!$A440&amp;" HK Equity","PX_TO_SALES_RATIO"),"")</f>
        <v/>
      </c>
      <c r="T440" s="18">
        <f>IF(Database!BL440="","",IFERROR(BDP(LEFT(Database!BL440,FIND(".",Database!BL440)-1)&amp;" CH Equity","CUR_MKT_CAP"),""))</f>
        <v/>
      </c>
    </row>
    <row r="441">
      <c r="A441" s="16">
        <f>Database!A441&amp;"  "&amp;Database!B441</f>
        <v/>
      </c>
      <c r="B441" s="10">
        <f>IFERROR(INDEX(BDS(Database!$A441&amp;" HK Equity","EQUITY_OFFERINGS","array=t","endcol=1"),MATCH("IPO",BDS(Database!$A441&amp;" HK Equity","EQUITY_OFFERINGS","array=t","startcol=2","endcol=2"),0)),"")</f>
        <v/>
      </c>
      <c r="C441" s="103">
        <f>IF($B441="","",IFERROR(BDP($B441&amp;" Action","CP036"),""))</f>
        <v/>
      </c>
      <c r="D441" s="104">
        <f>Database!S441</f>
        <v/>
      </c>
      <c r="E441" s="103">
        <f>IF($B441="","",IFERROR(BDP($B441&amp;" Action","CP037"),""))</f>
        <v/>
      </c>
      <c r="F441" s="104">
        <f>Database!T441</f>
        <v/>
      </c>
      <c r="G441" s="103">
        <f>IF($B441="","",IFERROR(BDP($B441&amp;" Action","GREENSHOE_FACILITY"),""))</f>
        <v/>
      </c>
      <c r="H441" s="103">
        <f>IF($B441="","",IFERROR(BDP($B441&amp;" Action","OFFERING_GREENSHOE_SHARES_EX"),""))</f>
        <v/>
      </c>
      <c r="I441" s="16">
        <f>Database!AG441</f>
        <v/>
      </c>
      <c r="J441" s="24">
        <f>IFERROR(BDP(Database!$A441&amp;" HK Equity","PE_RATIO"),"")</f>
        <v/>
      </c>
      <c r="K441" s="10">
        <f>IFERROR(BDP(Database!$A441&amp;" HK Equity","A/H_SHARE_CONVERSION"),"")</f>
        <v/>
      </c>
      <c r="L441" s="16">
        <f>IF(Database!BL441="","(none found)",Database!BL441)</f>
        <v/>
      </c>
      <c r="M441" s="18">
        <f>IFERROR(BDH(Database!$A441&amp;" HK Equity","CUR_MKT_CAP",Database!$H441,Database!$H441),"")</f>
        <v/>
      </c>
      <c r="N441" s="97">
        <f>Database!Q441</f>
        <v/>
      </c>
      <c r="O441" s="24">
        <f>IFERROR(BDH(Database!$A441&amp;" HK Equity","PE_RATIO",Database!$H441,Database!$H441),"")</f>
        <v/>
      </c>
      <c r="P441" s="101">
        <f>IF(Database!BF441="","(n/m or not derivable)",Database!BF441)</f>
        <v/>
      </c>
      <c r="Q441" s="24">
        <f>IF(Database!BL441="","",IFERROR(BDH(LEFT(Database!BL441,FIND(".",Database!BL441)-1)&amp;" CH Equity","PE_RATIO",Database!$H441,Database!$H441),""))</f>
        <v/>
      </c>
      <c r="R441" s="24">
        <f>IF(Database!BL441="","",IFERROR(BDH("HSAHP Index","PX_LAST",Database!$H441,Database!$H441),""))</f>
        <v/>
      </c>
      <c r="S441" s="24">
        <f>IFERROR(BDP(Database!$A441&amp;" HK Equity","PX_TO_SALES_RATIO"),"")</f>
        <v/>
      </c>
      <c r="T441" s="18">
        <f>IF(Database!BL441="","",IFERROR(BDP(LEFT(Database!BL441,FIND(".",Database!BL441)-1)&amp;" CH Equity","CUR_MKT_CAP"),""))</f>
        <v/>
      </c>
    </row>
    <row r="442">
      <c r="A442" s="16">
        <f>Database!A442&amp;"  "&amp;Database!B442</f>
        <v/>
      </c>
      <c r="B442" s="10">
        <f>IFERROR(INDEX(BDS(Database!$A442&amp;" HK Equity","EQUITY_OFFERINGS","array=t","endcol=1"),MATCH("IPO",BDS(Database!$A442&amp;" HK Equity","EQUITY_OFFERINGS","array=t","startcol=2","endcol=2"),0)),"")</f>
        <v/>
      </c>
      <c r="C442" s="103">
        <f>IF($B442="","",IFERROR(BDP($B442&amp;" Action","CP036"),""))</f>
        <v/>
      </c>
      <c r="D442" s="104">
        <f>Database!S442</f>
        <v/>
      </c>
      <c r="E442" s="103">
        <f>IF($B442="","",IFERROR(BDP($B442&amp;" Action","CP037"),""))</f>
        <v/>
      </c>
      <c r="F442" s="104">
        <f>Database!T442</f>
        <v/>
      </c>
      <c r="G442" s="103">
        <f>IF($B442="","",IFERROR(BDP($B442&amp;" Action","GREENSHOE_FACILITY"),""))</f>
        <v/>
      </c>
      <c r="H442" s="103">
        <f>IF($B442="","",IFERROR(BDP($B442&amp;" Action","OFFERING_GREENSHOE_SHARES_EX"),""))</f>
        <v/>
      </c>
      <c r="I442" s="16">
        <f>Database!AG442</f>
        <v/>
      </c>
      <c r="J442" s="24">
        <f>IFERROR(BDP(Database!$A442&amp;" HK Equity","PE_RATIO"),"")</f>
        <v/>
      </c>
      <c r="K442" s="10">
        <f>IFERROR(BDP(Database!$A442&amp;" HK Equity","A/H_SHARE_CONVERSION"),"")</f>
        <v/>
      </c>
      <c r="L442" s="16">
        <f>IF(Database!BL442="","(none found)",Database!BL442)</f>
        <v/>
      </c>
      <c r="M442" s="18">
        <f>IFERROR(BDH(Database!$A442&amp;" HK Equity","CUR_MKT_CAP",Database!$H442,Database!$H442),"")</f>
        <v/>
      </c>
      <c r="N442" s="97">
        <f>Database!Q442</f>
        <v/>
      </c>
      <c r="O442" s="24">
        <f>IFERROR(BDH(Database!$A442&amp;" HK Equity","PE_RATIO",Database!$H442,Database!$H442),"")</f>
        <v/>
      </c>
      <c r="P442" s="101">
        <f>IF(Database!BF442="","(n/m or not derivable)",Database!BF442)</f>
        <v/>
      </c>
      <c r="Q442" s="24">
        <f>IF(Database!BL442="","",IFERROR(BDH(LEFT(Database!BL442,FIND(".",Database!BL442)-1)&amp;" CH Equity","PE_RATIO",Database!$H442,Database!$H442),""))</f>
        <v/>
      </c>
      <c r="R442" s="24">
        <f>IF(Database!BL442="","",IFERROR(BDH("HSAHP Index","PX_LAST",Database!$H442,Database!$H442),""))</f>
        <v/>
      </c>
      <c r="S442" s="24">
        <f>IFERROR(BDP(Database!$A442&amp;" HK Equity","PX_TO_SALES_RATIO"),"")</f>
        <v/>
      </c>
      <c r="T442" s="18">
        <f>IF(Database!BL442="","",IFERROR(BDP(LEFT(Database!BL442,FIND(".",Database!BL442)-1)&amp;" CH Equity","CUR_MKT_CAP"),""))</f>
        <v/>
      </c>
    </row>
    <row r="443">
      <c r="A443" s="16">
        <f>Database!A443&amp;"  "&amp;Database!B443</f>
        <v/>
      </c>
      <c r="B443" s="10">
        <f>IFERROR(INDEX(BDS(Database!$A443&amp;" HK Equity","EQUITY_OFFERINGS","array=t","endcol=1"),MATCH("IPO",BDS(Database!$A443&amp;" HK Equity","EQUITY_OFFERINGS","array=t","startcol=2","endcol=2"),0)),"")</f>
        <v/>
      </c>
      <c r="C443" s="103">
        <f>IF($B443="","",IFERROR(BDP($B443&amp;" Action","CP036"),""))</f>
        <v/>
      </c>
      <c r="D443" s="104">
        <f>Database!S443</f>
        <v/>
      </c>
      <c r="E443" s="103">
        <f>IF($B443="","",IFERROR(BDP($B443&amp;" Action","CP037"),""))</f>
        <v/>
      </c>
      <c r="F443" s="104">
        <f>Database!T443</f>
        <v/>
      </c>
      <c r="G443" s="103">
        <f>IF($B443="","",IFERROR(BDP($B443&amp;" Action","GREENSHOE_FACILITY"),""))</f>
        <v/>
      </c>
      <c r="H443" s="103">
        <f>IF($B443="","",IFERROR(BDP($B443&amp;" Action","OFFERING_GREENSHOE_SHARES_EX"),""))</f>
        <v/>
      </c>
      <c r="I443" s="16">
        <f>Database!AG443</f>
        <v/>
      </c>
      <c r="J443" s="24">
        <f>IFERROR(BDP(Database!$A443&amp;" HK Equity","PE_RATIO"),"")</f>
        <v/>
      </c>
      <c r="K443" s="10">
        <f>IFERROR(BDP(Database!$A443&amp;" HK Equity","A/H_SHARE_CONVERSION"),"")</f>
        <v/>
      </c>
      <c r="L443" s="16">
        <f>IF(Database!BL443="","(none found)",Database!BL443)</f>
        <v/>
      </c>
      <c r="M443" s="18">
        <f>IFERROR(BDH(Database!$A443&amp;" HK Equity","CUR_MKT_CAP",Database!$H443,Database!$H443),"")</f>
        <v/>
      </c>
      <c r="N443" s="97">
        <f>Database!Q443</f>
        <v/>
      </c>
      <c r="O443" s="24">
        <f>IFERROR(BDH(Database!$A443&amp;" HK Equity","PE_RATIO",Database!$H443,Database!$H443),"")</f>
        <v/>
      </c>
      <c r="P443" s="101">
        <f>IF(Database!BF443="","(n/m or not derivable)",Database!BF443)</f>
        <v/>
      </c>
      <c r="Q443" s="24">
        <f>IF(Database!BL443="","",IFERROR(BDH(LEFT(Database!BL443,FIND(".",Database!BL443)-1)&amp;" CH Equity","PE_RATIO",Database!$H443,Database!$H443),""))</f>
        <v/>
      </c>
      <c r="R443" s="24">
        <f>IF(Database!BL443="","",IFERROR(BDH("HSAHP Index","PX_LAST",Database!$H443,Database!$H443),""))</f>
        <v/>
      </c>
      <c r="S443" s="24">
        <f>IFERROR(BDP(Database!$A443&amp;" HK Equity","PX_TO_SALES_RATIO"),"")</f>
        <v/>
      </c>
      <c r="T443" s="18">
        <f>IF(Database!BL443="","",IFERROR(BDP(LEFT(Database!BL443,FIND(".",Database!BL443)-1)&amp;" CH Equity","CUR_MKT_CAP"),""))</f>
        <v/>
      </c>
    </row>
    <row r="444">
      <c r="A444" s="16">
        <f>Database!A444&amp;"  "&amp;Database!B444</f>
        <v/>
      </c>
      <c r="B444" s="10">
        <f>IFERROR(INDEX(BDS(Database!$A444&amp;" HK Equity","EQUITY_OFFERINGS","array=t","endcol=1"),MATCH("IPO",BDS(Database!$A444&amp;" HK Equity","EQUITY_OFFERINGS","array=t","startcol=2","endcol=2"),0)),"")</f>
        <v/>
      </c>
      <c r="C444" s="103">
        <f>IF($B444="","",IFERROR(BDP($B444&amp;" Action","CP036"),""))</f>
        <v/>
      </c>
      <c r="D444" s="104">
        <f>Database!S444</f>
        <v/>
      </c>
      <c r="E444" s="103">
        <f>IF($B444="","",IFERROR(BDP($B444&amp;" Action","CP037"),""))</f>
        <v/>
      </c>
      <c r="F444" s="104">
        <f>Database!T444</f>
        <v/>
      </c>
      <c r="G444" s="103">
        <f>IF($B444="","",IFERROR(BDP($B444&amp;" Action","GREENSHOE_FACILITY"),""))</f>
        <v/>
      </c>
      <c r="H444" s="103">
        <f>IF($B444="","",IFERROR(BDP($B444&amp;" Action","OFFERING_GREENSHOE_SHARES_EX"),""))</f>
        <v/>
      </c>
      <c r="I444" s="16">
        <f>Database!AG444</f>
        <v/>
      </c>
      <c r="J444" s="24">
        <f>IFERROR(BDP(Database!$A444&amp;" HK Equity","PE_RATIO"),"")</f>
        <v/>
      </c>
      <c r="K444" s="10">
        <f>IFERROR(BDP(Database!$A444&amp;" HK Equity","A/H_SHARE_CONVERSION"),"")</f>
        <v/>
      </c>
      <c r="L444" s="16">
        <f>IF(Database!BL444="","(none found)",Database!BL444)</f>
        <v/>
      </c>
      <c r="M444" s="18">
        <f>IFERROR(BDH(Database!$A444&amp;" HK Equity","CUR_MKT_CAP",Database!$H444,Database!$H444),"")</f>
        <v/>
      </c>
      <c r="N444" s="97">
        <f>Database!Q444</f>
        <v/>
      </c>
      <c r="O444" s="24">
        <f>IFERROR(BDH(Database!$A444&amp;" HK Equity","PE_RATIO",Database!$H444,Database!$H444),"")</f>
        <v/>
      </c>
      <c r="P444" s="101">
        <f>IF(Database!BF444="","(n/m or not derivable)",Database!BF444)</f>
        <v/>
      </c>
      <c r="Q444" s="24">
        <f>IF(Database!BL444="","",IFERROR(BDH(LEFT(Database!BL444,FIND(".",Database!BL444)-1)&amp;" CH Equity","PE_RATIO",Database!$H444,Database!$H444),""))</f>
        <v/>
      </c>
      <c r="R444" s="24">
        <f>IF(Database!BL444="","",IFERROR(BDH("HSAHP Index","PX_LAST",Database!$H444,Database!$H444),""))</f>
        <v/>
      </c>
      <c r="S444" s="24">
        <f>IFERROR(BDP(Database!$A444&amp;" HK Equity","PX_TO_SALES_RATIO"),"")</f>
        <v/>
      </c>
      <c r="T444" s="18">
        <f>IF(Database!BL444="","",IFERROR(BDP(LEFT(Database!BL444,FIND(".",Database!BL444)-1)&amp;" CH Equity","CUR_MKT_CAP"),""))</f>
        <v/>
      </c>
    </row>
    <row r="445">
      <c r="A445" s="16">
        <f>Database!A445&amp;"  "&amp;Database!B445</f>
        <v/>
      </c>
      <c r="B445" s="10">
        <f>IFERROR(INDEX(BDS(Database!$A445&amp;" HK Equity","EQUITY_OFFERINGS","array=t","endcol=1"),MATCH("IPO",BDS(Database!$A445&amp;" HK Equity","EQUITY_OFFERINGS","array=t","startcol=2","endcol=2"),0)),"")</f>
        <v/>
      </c>
      <c r="C445" s="103">
        <f>IF($B445="","",IFERROR(BDP($B445&amp;" Action","CP036"),""))</f>
        <v/>
      </c>
      <c r="D445" s="104">
        <f>Database!S445</f>
        <v/>
      </c>
      <c r="E445" s="103">
        <f>IF($B445="","",IFERROR(BDP($B445&amp;" Action","CP037"),""))</f>
        <v/>
      </c>
      <c r="F445" s="104">
        <f>Database!T445</f>
        <v/>
      </c>
      <c r="G445" s="103">
        <f>IF($B445="","",IFERROR(BDP($B445&amp;" Action","GREENSHOE_FACILITY"),""))</f>
        <v/>
      </c>
      <c r="H445" s="103">
        <f>IF($B445="","",IFERROR(BDP($B445&amp;" Action","OFFERING_GREENSHOE_SHARES_EX"),""))</f>
        <v/>
      </c>
      <c r="I445" s="16">
        <f>Database!AG445</f>
        <v/>
      </c>
      <c r="J445" s="24">
        <f>IFERROR(BDP(Database!$A445&amp;" HK Equity","PE_RATIO"),"")</f>
        <v/>
      </c>
      <c r="K445" s="10">
        <f>IFERROR(BDP(Database!$A445&amp;" HK Equity","A/H_SHARE_CONVERSION"),"")</f>
        <v/>
      </c>
      <c r="L445" s="16">
        <f>IF(Database!BL445="","(none found)",Database!BL445)</f>
        <v/>
      </c>
      <c r="M445" s="18">
        <f>IFERROR(BDH(Database!$A445&amp;" HK Equity","CUR_MKT_CAP",Database!$H445,Database!$H445),"")</f>
        <v/>
      </c>
      <c r="N445" s="97">
        <f>Database!Q445</f>
        <v/>
      </c>
      <c r="O445" s="24">
        <f>IFERROR(BDH(Database!$A445&amp;" HK Equity","PE_RATIO",Database!$H445,Database!$H445),"")</f>
        <v/>
      </c>
      <c r="P445" s="101">
        <f>IF(Database!BF445="","(n/m or not derivable)",Database!BF445)</f>
        <v/>
      </c>
      <c r="Q445" s="24">
        <f>IF(Database!BL445="","",IFERROR(BDH(LEFT(Database!BL445,FIND(".",Database!BL445)-1)&amp;" CH Equity","PE_RATIO",Database!$H445,Database!$H445),""))</f>
        <v/>
      </c>
      <c r="R445" s="24">
        <f>IF(Database!BL445="","",IFERROR(BDH("HSAHP Index","PX_LAST",Database!$H445,Database!$H445),""))</f>
        <v/>
      </c>
      <c r="S445" s="24">
        <f>IFERROR(BDP(Database!$A445&amp;" HK Equity","PX_TO_SALES_RATIO"),"")</f>
        <v/>
      </c>
      <c r="T445" s="18">
        <f>IF(Database!BL445="","",IFERROR(BDP(LEFT(Database!BL445,FIND(".",Database!BL445)-1)&amp;" CH Equity","CUR_MKT_CAP"),""))</f>
        <v/>
      </c>
    </row>
    <row r="446">
      <c r="A446" s="16">
        <f>Database!A446&amp;"  "&amp;Database!B446</f>
        <v/>
      </c>
      <c r="B446" s="10">
        <f>IFERROR(INDEX(BDS(Database!$A446&amp;" HK Equity","EQUITY_OFFERINGS","array=t","endcol=1"),MATCH("IPO",BDS(Database!$A446&amp;" HK Equity","EQUITY_OFFERINGS","array=t","startcol=2","endcol=2"),0)),"")</f>
        <v/>
      </c>
      <c r="C446" s="103">
        <f>IF($B446="","",IFERROR(BDP($B446&amp;" Action","CP036"),""))</f>
        <v/>
      </c>
      <c r="D446" s="104">
        <f>Database!S446</f>
        <v/>
      </c>
      <c r="E446" s="103">
        <f>IF($B446="","",IFERROR(BDP($B446&amp;" Action","CP037"),""))</f>
        <v/>
      </c>
      <c r="F446" s="104">
        <f>Database!T446</f>
        <v/>
      </c>
      <c r="G446" s="103">
        <f>IF($B446="","",IFERROR(BDP($B446&amp;" Action","GREENSHOE_FACILITY"),""))</f>
        <v/>
      </c>
      <c r="H446" s="103">
        <f>IF($B446="","",IFERROR(BDP($B446&amp;" Action","OFFERING_GREENSHOE_SHARES_EX"),""))</f>
        <v/>
      </c>
      <c r="I446" s="16">
        <f>Database!AG446</f>
        <v/>
      </c>
      <c r="J446" s="24">
        <f>IFERROR(BDP(Database!$A446&amp;" HK Equity","PE_RATIO"),"")</f>
        <v/>
      </c>
      <c r="K446" s="10">
        <f>IFERROR(BDP(Database!$A446&amp;" HK Equity","A/H_SHARE_CONVERSION"),"")</f>
        <v/>
      </c>
      <c r="L446" s="16">
        <f>IF(Database!BL446="","(none found)",Database!BL446)</f>
        <v/>
      </c>
      <c r="M446" s="18">
        <f>IFERROR(BDH(Database!$A446&amp;" HK Equity","CUR_MKT_CAP",Database!$H446,Database!$H446),"")</f>
        <v/>
      </c>
      <c r="N446" s="97">
        <f>Database!Q446</f>
        <v/>
      </c>
      <c r="O446" s="24">
        <f>IFERROR(BDH(Database!$A446&amp;" HK Equity","PE_RATIO",Database!$H446,Database!$H446),"")</f>
        <v/>
      </c>
      <c r="P446" s="101">
        <f>IF(Database!BF446="","(n/m or not derivable)",Database!BF446)</f>
        <v/>
      </c>
      <c r="Q446" s="24">
        <f>IF(Database!BL446="","",IFERROR(BDH(LEFT(Database!BL446,FIND(".",Database!BL446)-1)&amp;" CH Equity","PE_RATIO",Database!$H446,Database!$H446),""))</f>
        <v/>
      </c>
      <c r="R446" s="24">
        <f>IF(Database!BL446="","",IFERROR(BDH("HSAHP Index","PX_LAST",Database!$H446,Database!$H446),""))</f>
        <v/>
      </c>
      <c r="S446" s="24">
        <f>IFERROR(BDP(Database!$A446&amp;" HK Equity","PX_TO_SALES_RATIO"),"")</f>
        <v/>
      </c>
      <c r="T446" s="18">
        <f>IF(Database!BL446="","",IFERROR(BDP(LEFT(Database!BL446,FIND(".",Database!BL446)-1)&amp;" CH Equity","CUR_MKT_CAP"),""))</f>
        <v/>
      </c>
    </row>
    <row r="447">
      <c r="A447" s="16">
        <f>Database!A447&amp;"  "&amp;Database!B447</f>
        <v/>
      </c>
      <c r="B447" s="10">
        <f>IFERROR(INDEX(BDS(Database!$A447&amp;" HK Equity","EQUITY_OFFERINGS","array=t","endcol=1"),MATCH("IPO",BDS(Database!$A447&amp;" HK Equity","EQUITY_OFFERINGS","array=t","startcol=2","endcol=2"),0)),"")</f>
        <v/>
      </c>
      <c r="C447" s="103">
        <f>IF($B447="","",IFERROR(BDP($B447&amp;" Action","CP036"),""))</f>
        <v/>
      </c>
      <c r="D447" s="104">
        <f>Database!S447</f>
        <v/>
      </c>
      <c r="E447" s="103">
        <f>IF($B447="","",IFERROR(BDP($B447&amp;" Action","CP037"),""))</f>
        <v/>
      </c>
      <c r="F447" s="104">
        <f>Database!T447</f>
        <v/>
      </c>
      <c r="G447" s="103">
        <f>IF($B447="","",IFERROR(BDP($B447&amp;" Action","GREENSHOE_FACILITY"),""))</f>
        <v/>
      </c>
      <c r="H447" s="103">
        <f>IF($B447="","",IFERROR(BDP($B447&amp;" Action","OFFERING_GREENSHOE_SHARES_EX"),""))</f>
        <v/>
      </c>
      <c r="I447" s="16">
        <f>Database!AG447</f>
        <v/>
      </c>
      <c r="J447" s="24">
        <f>IFERROR(BDP(Database!$A447&amp;" HK Equity","PE_RATIO"),"")</f>
        <v/>
      </c>
      <c r="K447" s="10">
        <f>IFERROR(BDP(Database!$A447&amp;" HK Equity","A/H_SHARE_CONVERSION"),"")</f>
        <v/>
      </c>
      <c r="L447" s="16">
        <f>IF(Database!BL447="","(none found)",Database!BL447)</f>
        <v/>
      </c>
      <c r="M447" s="18">
        <f>IFERROR(BDH(Database!$A447&amp;" HK Equity","CUR_MKT_CAP",Database!$H447,Database!$H447),"")</f>
        <v/>
      </c>
      <c r="N447" s="97">
        <f>Database!Q447</f>
        <v/>
      </c>
      <c r="O447" s="24">
        <f>IFERROR(BDH(Database!$A447&amp;" HK Equity","PE_RATIO",Database!$H447,Database!$H447),"")</f>
        <v/>
      </c>
      <c r="P447" s="101">
        <f>IF(Database!BF447="","(n/m or not derivable)",Database!BF447)</f>
        <v/>
      </c>
      <c r="Q447" s="24">
        <f>IF(Database!BL447="","",IFERROR(BDH(LEFT(Database!BL447,FIND(".",Database!BL447)-1)&amp;" CH Equity","PE_RATIO",Database!$H447,Database!$H447),""))</f>
        <v/>
      </c>
      <c r="R447" s="24">
        <f>IF(Database!BL447="","",IFERROR(BDH("HSAHP Index","PX_LAST",Database!$H447,Database!$H447),""))</f>
        <v/>
      </c>
      <c r="S447" s="24">
        <f>IFERROR(BDP(Database!$A447&amp;" HK Equity","PX_TO_SALES_RATIO"),"")</f>
        <v/>
      </c>
      <c r="T447" s="18">
        <f>IF(Database!BL447="","",IFERROR(BDP(LEFT(Database!BL447,FIND(".",Database!BL447)-1)&amp;" CH Equity","CUR_MKT_CAP"),""))</f>
        <v/>
      </c>
    </row>
    <row r="448">
      <c r="A448" s="16">
        <f>Database!A448&amp;"  "&amp;Database!B448</f>
        <v/>
      </c>
      <c r="B448" s="10">
        <f>IFERROR(INDEX(BDS(Database!$A448&amp;" HK Equity","EQUITY_OFFERINGS","array=t","endcol=1"),MATCH("IPO",BDS(Database!$A448&amp;" HK Equity","EQUITY_OFFERINGS","array=t","startcol=2","endcol=2"),0)),"")</f>
        <v/>
      </c>
      <c r="C448" s="103">
        <f>IF($B448="","",IFERROR(BDP($B448&amp;" Action","CP036"),""))</f>
        <v/>
      </c>
      <c r="D448" s="104">
        <f>Database!S448</f>
        <v/>
      </c>
      <c r="E448" s="103">
        <f>IF($B448="","",IFERROR(BDP($B448&amp;" Action","CP037"),""))</f>
        <v/>
      </c>
      <c r="F448" s="104">
        <f>Database!T448</f>
        <v/>
      </c>
      <c r="G448" s="103">
        <f>IF($B448="","",IFERROR(BDP($B448&amp;" Action","GREENSHOE_FACILITY"),""))</f>
        <v/>
      </c>
      <c r="H448" s="103">
        <f>IF($B448="","",IFERROR(BDP($B448&amp;" Action","OFFERING_GREENSHOE_SHARES_EX"),""))</f>
        <v/>
      </c>
      <c r="I448" s="16">
        <f>Database!AG448</f>
        <v/>
      </c>
      <c r="J448" s="24">
        <f>IFERROR(BDP(Database!$A448&amp;" HK Equity","PE_RATIO"),"")</f>
        <v/>
      </c>
      <c r="K448" s="10">
        <f>IFERROR(BDP(Database!$A448&amp;" HK Equity","A/H_SHARE_CONVERSION"),"")</f>
        <v/>
      </c>
      <c r="L448" s="16">
        <f>IF(Database!BL448="","(none found)",Database!BL448)</f>
        <v/>
      </c>
      <c r="M448" s="18">
        <f>IFERROR(BDH(Database!$A448&amp;" HK Equity","CUR_MKT_CAP",Database!$H448,Database!$H448),"")</f>
        <v/>
      </c>
      <c r="N448" s="97">
        <f>Database!Q448</f>
        <v/>
      </c>
      <c r="O448" s="24">
        <f>IFERROR(BDH(Database!$A448&amp;" HK Equity","PE_RATIO",Database!$H448,Database!$H448),"")</f>
        <v/>
      </c>
      <c r="P448" s="101">
        <f>IF(Database!BF448="","(n/m or not derivable)",Database!BF448)</f>
        <v/>
      </c>
      <c r="Q448" s="24">
        <f>IF(Database!BL448="","",IFERROR(BDH(LEFT(Database!BL448,FIND(".",Database!BL448)-1)&amp;" CH Equity","PE_RATIO",Database!$H448,Database!$H448),""))</f>
        <v/>
      </c>
      <c r="R448" s="24">
        <f>IF(Database!BL448="","",IFERROR(BDH("HSAHP Index","PX_LAST",Database!$H448,Database!$H448),""))</f>
        <v/>
      </c>
      <c r="S448" s="24">
        <f>IFERROR(BDP(Database!$A448&amp;" HK Equity","PX_TO_SALES_RATIO"),"")</f>
        <v/>
      </c>
      <c r="T448" s="18">
        <f>IF(Database!BL448="","",IFERROR(BDP(LEFT(Database!BL448,FIND(".",Database!BL448)-1)&amp;" CH Equity","CUR_MKT_CAP"),""))</f>
        <v/>
      </c>
    </row>
    <row r="449">
      <c r="A449" s="16">
        <f>Database!A449&amp;"  "&amp;Database!B449</f>
        <v/>
      </c>
      <c r="B449" s="10">
        <f>IFERROR(INDEX(BDS(Database!$A449&amp;" HK Equity","EQUITY_OFFERINGS","array=t","endcol=1"),MATCH("IPO",BDS(Database!$A449&amp;" HK Equity","EQUITY_OFFERINGS","array=t","startcol=2","endcol=2"),0)),"")</f>
        <v/>
      </c>
      <c r="C449" s="103">
        <f>IF($B449="","",IFERROR(BDP($B449&amp;" Action","CP036"),""))</f>
        <v/>
      </c>
      <c r="D449" s="104">
        <f>Database!S449</f>
        <v/>
      </c>
      <c r="E449" s="103">
        <f>IF($B449="","",IFERROR(BDP($B449&amp;" Action","CP037"),""))</f>
        <v/>
      </c>
      <c r="F449" s="104">
        <f>Database!T449</f>
        <v/>
      </c>
      <c r="G449" s="103">
        <f>IF($B449="","",IFERROR(BDP($B449&amp;" Action","GREENSHOE_FACILITY"),""))</f>
        <v/>
      </c>
      <c r="H449" s="103">
        <f>IF($B449="","",IFERROR(BDP($B449&amp;" Action","OFFERING_GREENSHOE_SHARES_EX"),""))</f>
        <v/>
      </c>
      <c r="I449" s="16">
        <f>Database!AG449</f>
        <v/>
      </c>
      <c r="J449" s="24">
        <f>IFERROR(BDP(Database!$A449&amp;" HK Equity","PE_RATIO"),"")</f>
        <v/>
      </c>
      <c r="K449" s="10">
        <f>IFERROR(BDP(Database!$A449&amp;" HK Equity","A/H_SHARE_CONVERSION"),"")</f>
        <v/>
      </c>
      <c r="L449" s="16">
        <f>IF(Database!BL449="","(none found)",Database!BL449)</f>
        <v/>
      </c>
      <c r="M449" s="18">
        <f>IFERROR(BDH(Database!$A449&amp;" HK Equity","CUR_MKT_CAP",Database!$H449,Database!$H449),"")</f>
        <v/>
      </c>
      <c r="N449" s="97">
        <f>Database!Q449</f>
        <v/>
      </c>
      <c r="O449" s="24">
        <f>IFERROR(BDH(Database!$A449&amp;" HK Equity","PE_RATIO",Database!$H449,Database!$H449),"")</f>
        <v/>
      </c>
      <c r="P449" s="101">
        <f>IF(Database!BF449="","(n/m or not derivable)",Database!BF449)</f>
        <v/>
      </c>
      <c r="Q449" s="24">
        <f>IF(Database!BL449="","",IFERROR(BDH(LEFT(Database!BL449,FIND(".",Database!BL449)-1)&amp;" CH Equity","PE_RATIO",Database!$H449,Database!$H449),""))</f>
        <v/>
      </c>
      <c r="R449" s="24">
        <f>IF(Database!BL449="","",IFERROR(BDH("HSAHP Index","PX_LAST",Database!$H449,Database!$H449),""))</f>
        <v/>
      </c>
      <c r="S449" s="24">
        <f>IFERROR(BDP(Database!$A449&amp;" HK Equity","PX_TO_SALES_RATIO"),"")</f>
        <v/>
      </c>
      <c r="T449" s="18">
        <f>IF(Database!BL449="","",IFERROR(BDP(LEFT(Database!BL449,FIND(".",Database!BL449)-1)&amp;" CH Equity","CUR_MKT_CAP"),""))</f>
        <v/>
      </c>
    </row>
    <row r="450">
      <c r="A450" s="16">
        <f>Database!A450&amp;"  "&amp;Database!B450</f>
        <v/>
      </c>
      <c r="B450" s="10">
        <f>IFERROR(INDEX(BDS(Database!$A450&amp;" HK Equity","EQUITY_OFFERINGS","array=t","endcol=1"),MATCH("IPO",BDS(Database!$A450&amp;" HK Equity","EQUITY_OFFERINGS","array=t","startcol=2","endcol=2"),0)),"")</f>
        <v/>
      </c>
      <c r="C450" s="103">
        <f>IF($B450="","",IFERROR(BDP($B450&amp;" Action","CP036"),""))</f>
        <v/>
      </c>
      <c r="D450" s="104">
        <f>Database!S450</f>
        <v/>
      </c>
      <c r="E450" s="103">
        <f>IF($B450="","",IFERROR(BDP($B450&amp;" Action","CP037"),""))</f>
        <v/>
      </c>
      <c r="F450" s="104">
        <f>Database!T450</f>
        <v/>
      </c>
      <c r="G450" s="103">
        <f>IF($B450="","",IFERROR(BDP($B450&amp;" Action","GREENSHOE_FACILITY"),""))</f>
        <v/>
      </c>
      <c r="H450" s="103">
        <f>IF($B450="","",IFERROR(BDP($B450&amp;" Action","OFFERING_GREENSHOE_SHARES_EX"),""))</f>
        <v/>
      </c>
      <c r="I450" s="16">
        <f>Database!AG450</f>
        <v/>
      </c>
      <c r="J450" s="24">
        <f>IFERROR(BDP(Database!$A450&amp;" HK Equity","PE_RATIO"),"")</f>
        <v/>
      </c>
      <c r="K450" s="10">
        <f>IFERROR(BDP(Database!$A450&amp;" HK Equity","A/H_SHARE_CONVERSION"),"")</f>
        <v/>
      </c>
      <c r="L450" s="16">
        <f>IF(Database!BL450="","(none found)",Database!BL450)</f>
        <v/>
      </c>
      <c r="M450" s="18">
        <f>IFERROR(BDH(Database!$A450&amp;" HK Equity","CUR_MKT_CAP",Database!$H450,Database!$H450),"")</f>
        <v/>
      </c>
      <c r="N450" s="97">
        <f>Database!Q450</f>
        <v/>
      </c>
      <c r="O450" s="24">
        <f>IFERROR(BDH(Database!$A450&amp;" HK Equity","PE_RATIO",Database!$H450,Database!$H450),"")</f>
        <v/>
      </c>
      <c r="P450" s="101">
        <f>IF(Database!BF450="","(n/m or not derivable)",Database!BF450)</f>
        <v/>
      </c>
      <c r="Q450" s="24">
        <f>IF(Database!BL450="","",IFERROR(BDH(LEFT(Database!BL450,FIND(".",Database!BL450)-1)&amp;" CH Equity","PE_RATIO",Database!$H450,Database!$H450),""))</f>
        <v/>
      </c>
      <c r="R450" s="24">
        <f>IF(Database!BL450="","",IFERROR(BDH("HSAHP Index","PX_LAST",Database!$H450,Database!$H450),""))</f>
        <v/>
      </c>
      <c r="S450" s="24">
        <f>IFERROR(BDP(Database!$A450&amp;" HK Equity","PX_TO_SALES_RATIO"),"")</f>
        <v/>
      </c>
      <c r="T450" s="18">
        <f>IF(Database!BL450="","",IFERROR(BDP(LEFT(Database!BL450,FIND(".",Database!BL450)-1)&amp;" CH Equity","CUR_MKT_CAP"),""))</f>
        <v/>
      </c>
    </row>
    <row r="451">
      <c r="A451" s="16">
        <f>Database!A451&amp;"  "&amp;Database!B451</f>
        <v/>
      </c>
      <c r="B451" s="10">
        <f>IFERROR(INDEX(BDS(Database!$A451&amp;" HK Equity","EQUITY_OFFERINGS","array=t","endcol=1"),MATCH("IPO",BDS(Database!$A451&amp;" HK Equity","EQUITY_OFFERINGS","array=t","startcol=2","endcol=2"),0)),"")</f>
        <v/>
      </c>
      <c r="C451" s="103">
        <f>IF($B451="","",IFERROR(BDP($B451&amp;" Action","CP036"),""))</f>
        <v/>
      </c>
      <c r="D451" s="104">
        <f>Database!S451</f>
        <v/>
      </c>
      <c r="E451" s="103">
        <f>IF($B451="","",IFERROR(BDP($B451&amp;" Action","CP037"),""))</f>
        <v/>
      </c>
      <c r="F451" s="104">
        <f>Database!T451</f>
        <v/>
      </c>
      <c r="G451" s="103">
        <f>IF($B451="","",IFERROR(BDP($B451&amp;" Action","GREENSHOE_FACILITY"),""))</f>
        <v/>
      </c>
      <c r="H451" s="103">
        <f>IF($B451="","",IFERROR(BDP($B451&amp;" Action","OFFERING_GREENSHOE_SHARES_EX"),""))</f>
        <v/>
      </c>
      <c r="I451" s="16">
        <f>Database!AG451</f>
        <v/>
      </c>
      <c r="J451" s="24">
        <f>IFERROR(BDP(Database!$A451&amp;" HK Equity","PE_RATIO"),"")</f>
        <v/>
      </c>
      <c r="K451" s="10">
        <f>IFERROR(BDP(Database!$A451&amp;" HK Equity","A/H_SHARE_CONVERSION"),"")</f>
        <v/>
      </c>
      <c r="L451" s="16">
        <f>IF(Database!BL451="","(none found)",Database!BL451)</f>
        <v/>
      </c>
      <c r="M451" s="18">
        <f>IFERROR(BDH(Database!$A451&amp;" HK Equity","CUR_MKT_CAP",Database!$H451,Database!$H451),"")</f>
        <v/>
      </c>
      <c r="N451" s="97">
        <f>Database!Q451</f>
        <v/>
      </c>
      <c r="O451" s="24">
        <f>IFERROR(BDH(Database!$A451&amp;" HK Equity","PE_RATIO",Database!$H451,Database!$H451),"")</f>
        <v/>
      </c>
      <c r="P451" s="101">
        <f>IF(Database!BF451="","(n/m or not derivable)",Database!BF451)</f>
        <v/>
      </c>
      <c r="Q451" s="24">
        <f>IF(Database!BL451="","",IFERROR(BDH(LEFT(Database!BL451,FIND(".",Database!BL451)-1)&amp;" CH Equity","PE_RATIO",Database!$H451,Database!$H451),""))</f>
        <v/>
      </c>
      <c r="R451" s="24">
        <f>IF(Database!BL451="","",IFERROR(BDH("HSAHP Index","PX_LAST",Database!$H451,Database!$H451),""))</f>
        <v/>
      </c>
      <c r="S451" s="24">
        <f>IFERROR(BDP(Database!$A451&amp;" HK Equity","PX_TO_SALES_RATIO"),"")</f>
        <v/>
      </c>
      <c r="T451" s="18">
        <f>IF(Database!BL451="","",IFERROR(BDP(LEFT(Database!BL451,FIND(".",Database!BL451)-1)&amp;" CH Equity","CUR_MKT_CAP"),""))</f>
        <v/>
      </c>
    </row>
    <row r="452">
      <c r="A452" s="16">
        <f>Database!A452&amp;"  "&amp;Database!B452</f>
        <v/>
      </c>
      <c r="B452" s="10">
        <f>IFERROR(INDEX(BDS(Database!$A452&amp;" HK Equity","EQUITY_OFFERINGS","array=t","endcol=1"),MATCH("IPO",BDS(Database!$A452&amp;" HK Equity","EQUITY_OFFERINGS","array=t","startcol=2","endcol=2"),0)),"")</f>
        <v/>
      </c>
      <c r="C452" s="103">
        <f>IF($B452="","",IFERROR(BDP($B452&amp;" Action","CP036"),""))</f>
        <v/>
      </c>
      <c r="D452" s="104">
        <f>Database!S452</f>
        <v/>
      </c>
      <c r="E452" s="103">
        <f>IF($B452="","",IFERROR(BDP($B452&amp;" Action","CP037"),""))</f>
        <v/>
      </c>
      <c r="F452" s="104">
        <f>Database!T452</f>
        <v/>
      </c>
      <c r="G452" s="103">
        <f>IF($B452="","",IFERROR(BDP($B452&amp;" Action","GREENSHOE_FACILITY"),""))</f>
        <v/>
      </c>
      <c r="H452" s="103">
        <f>IF($B452="","",IFERROR(BDP($B452&amp;" Action","OFFERING_GREENSHOE_SHARES_EX"),""))</f>
        <v/>
      </c>
      <c r="I452" s="16">
        <f>Database!AG452</f>
        <v/>
      </c>
      <c r="J452" s="24">
        <f>IFERROR(BDP(Database!$A452&amp;" HK Equity","PE_RATIO"),"")</f>
        <v/>
      </c>
      <c r="K452" s="10">
        <f>IFERROR(BDP(Database!$A452&amp;" HK Equity","A/H_SHARE_CONVERSION"),"")</f>
        <v/>
      </c>
      <c r="L452" s="16">
        <f>IF(Database!BL452="","(none found)",Database!BL452)</f>
        <v/>
      </c>
      <c r="M452" s="18">
        <f>IFERROR(BDH(Database!$A452&amp;" HK Equity","CUR_MKT_CAP",Database!$H452,Database!$H452),"")</f>
        <v/>
      </c>
      <c r="N452" s="97">
        <f>Database!Q452</f>
        <v/>
      </c>
      <c r="O452" s="24">
        <f>IFERROR(BDH(Database!$A452&amp;" HK Equity","PE_RATIO",Database!$H452,Database!$H452),"")</f>
        <v/>
      </c>
      <c r="P452" s="101">
        <f>IF(Database!BF452="","(n/m or not derivable)",Database!BF452)</f>
        <v/>
      </c>
      <c r="Q452" s="24">
        <f>IF(Database!BL452="","",IFERROR(BDH(LEFT(Database!BL452,FIND(".",Database!BL452)-1)&amp;" CH Equity","PE_RATIO",Database!$H452,Database!$H452),""))</f>
        <v/>
      </c>
      <c r="R452" s="24">
        <f>IF(Database!BL452="","",IFERROR(BDH("HSAHP Index","PX_LAST",Database!$H452,Database!$H452),""))</f>
        <v/>
      </c>
      <c r="S452" s="24">
        <f>IFERROR(BDP(Database!$A452&amp;" HK Equity","PX_TO_SALES_RATIO"),"")</f>
        <v/>
      </c>
      <c r="T452" s="18">
        <f>IF(Database!BL452="","",IFERROR(BDP(LEFT(Database!BL452,FIND(".",Database!BL452)-1)&amp;" CH Equity","CUR_MKT_CAP"),""))</f>
        <v/>
      </c>
    </row>
    <row r="453">
      <c r="A453" s="16">
        <f>Database!A453&amp;"  "&amp;Database!B453</f>
        <v/>
      </c>
      <c r="B453" s="10">
        <f>IFERROR(INDEX(BDS(Database!$A453&amp;" HK Equity","EQUITY_OFFERINGS","array=t","endcol=1"),MATCH("IPO",BDS(Database!$A453&amp;" HK Equity","EQUITY_OFFERINGS","array=t","startcol=2","endcol=2"),0)),"")</f>
        <v/>
      </c>
      <c r="C453" s="103">
        <f>IF($B453="","",IFERROR(BDP($B453&amp;" Action","CP036"),""))</f>
        <v/>
      </c>
      <c r="D453" s="104">
        <f>Database!S453</f>
        <v/>
      </c>
      <c r="E453" s="103">
        <f>IF($B453="","",IFERROR(BDP($B453&amp;" Action","CP037"),""))</f>
        <v/>
      </c>
      <c r="F453" s="104">
        <f>Database!T453</f>
        <v/>
      </c>
      <c r="G453" s="103">
        <f>IF($B453="","",IFERROR(BDP($B453&amp;" Action","GREENSHOE_FACILITY"),""))</f>
        <v/>
      </c>
      <c r="H453" s="103">
        <f>IF($B453="","",IFERROR(BDP($B453&amp;" Action","OFFERING_GREENSHOE_SHARES_EX"),""))</f>
        <v/>
      </c>
      <c r="I453" s="16">
        <f>Database!AG453</f>
        <v/>
      </c>
      <c r="J453" s="24">
        <f>IFERROR(BDP(Database!$A453&amp;" HK Equity","PE_RATIO"),"")</f>
        <v/>
      </c>
      <c r="K453" s="10">
        <f>IFERROR(BDP(Database!$A453&amp;" HK Equity","A/H_SHARE_CONVERSION"),"")</f>
        <v/>
      </c>
      <c r="L453" s="16">
        <f>IF(Database!BL453="","(none found)",Database!BL453)</f>
        <v/>
      </c>
      <c r="M453" s="18">
        <f>IFERROR(BDH(Database!$A453&amp;" HK Equity","CUR_MKT_CAP",Database!$H453,Database!$H453),"")</f>
        <v/>
      </c>
      <c r="N453" s="97">
        <f>Database!Q453</f>
        <v/>
      </c>
      <c r="O453" s="24">
        <f>IFERROR(BDH(Database!$A453&amp;" HK Equity","PE_RATIO",Database!$H453,Database!$H453),"")</f>
        <v/>
      </c>
      <c r="P453" s="101">
        <f>IF(Database!BF453="","(n/m or not derivable)",Database!BF453)</f>
        <v/>
      </c>
      <c r="Q453" s="24">
        <f>IF(Database!BL453="","",IFERROR(BDH(LEFT(Database!BL453,FIND(".",Database!BL453)-1)&amp;" CH Equity","PE_RATIO",Database!$H453,Database!$H453),""))</f>
        <v/>
      </c>
      <c r="R453" s="24">
        <f>IF(Database!BL453="","",IFERROR(BDH("HSAHP Index","PX_LAST",Database!$H453,Database!$H453),""))</f>
        <v/>
      </c>
      <c r="S453" s="24">
        <f>IFERROR(BDP(Database!$A453&amp;" HK Equity","PX_TO_SALES_RATIO"),"")</f>
        <v/>
      </c>
      <c r="T453" s="18">
        <f>IF(Database!BL453="","",IFERROR(BDP(LEFT(Database!BL453,FIND(".",Database!BL453)-1)&amp;" CH Equity","CUR_MKT_CAP"),""))</f>
        <v/>
      </c>
    </row>
    <row r="454">
      <c r="A454" s="16">
        <f>Database!A454&amp;"  "&amp;Database!B454</f>
        <v/>
      </c>
      <c r="B454" s="10">
        <f>IFERROR(INDEX(BDS(Database!$A454&amp;" HK Equity","EQUITY_OFFERINGS","array=t","endcol=1"),MATCH("IPO",BDS(Database!$A454&amp;" HK Equity","EQUITY_OFFERINGS","array=t","startcol=2","endcol=2"),0)),"")</f>
        <v/>
      </c>
      <c r="C454" s="103">
        <f>IF($B454="","",IFERROR(BDP($B454&amp;" Action","CP036"),""))</f>
        <v/>
      </c>
      <c r="D454" s="104">
        <f>Database!S454</f>
        <v/>
      </c>
      <c r="E454" s="103">
        <f>IF($B454="","",IFERROR(BDP($B454&amp;" Action","CP037"),""))</f>
        <v/>
      </c>
      <c r="F454" s="104">
        <f>Database!T454</f>
        <v/>
      </c>
      <c r="G454" s="103">
        <f>IF($B454="","",IFERROR(BDP($B454&amp;" Action","GREENSHOE_FACILITY"),""))</f>
        <v/>
      </c>
      <c r="H454" s="103">
        <f>IF($B454="","",IFERROR(BDP($B454&amp;" Action","OFFERING_GREENSHOE_SHARES_EX"),""))</f>
        <v/>
      </c>
      <c r="I454" s="16">
        <f>Database!AG454</f>
        <v/>
      </c>
      <c r="J454" s="24">
        <f>IFERROR(BDP(Database!$A454&amp;" HK Equity","PE_RATIO"),"")</f>
        <v/>
      </c>
      <c r="K454" s="10">
        <f>IFERROR(BDP(Database!$A454&amp;" HK Equity","A/H_SHARE_CONVERSION"),"")</f>
        <v/>
      </c>
      <c r="L454" s="16">
        <f>IF(Database!BL454="","(none found)",Database!BL454)</f>
        <v/>
      </c>
      <c r="M454" s="18">
        <f>IFERROR(BDH(Database!$A454&amp;" HK Equity","CUR_MKT_CAP",Database!$H454,Database!$H454),"")</f>
        <v/>
      </c>
      <c r="N454" s="97">
        <f>Database!Q454</f>
        <v/>
      </c>
      <c r="O454" s="24">
        <f>IFERROR(BDH(Database!$A454&amp;" HK Equity","PE_RATIO",Database!$H454,Database!$H454),"")</f>
        <v/>
      </c>
      <c r="P454" s="101">
        <f>IF(Database!BF454="","(n/m or not derivable)",Database!BF454)</f>
        <v/>
      </c>
      <c r="Q454" s="24">
        <f>IF(Database!BL454="","",IFERROR(BDH(LEFT(Database!BL454,FIND(".",Database!BL454)-1)&amp;" CH Equity","PE_RATIO",Database!$H454,Database!$H454),""))</f>
        <v/>
      </c>
      <c r="R454" s="24">
        <f>IF(Database!BL454="","",IFERROR(BDH("HSAHP Index","PX_LAST",Database!$H454,Database!$H454),""))</f>
        <v/>
      </c>
      <c r="S454" s="24">
        <f>IFERROR(BDP(Database!$A454&amp;" HK Equity","PX_TO_SALES_RATIO"),"")</f>
        <v/>
      </c>
      <c r="T454" s="18">
        <f>IF(Database!BL454="","",IFERROR(BDP(LEFT(Database!BL454,FIND(".",Database!BL454)-1)&amp;" CH Equity","CUR_MKT_CAP"),""))</f>
        <v/>
      </c>
    </row>
    <row r="455">
      <c r="A455" s="16">
        <f>Database!A455&amp;"  "&amp;Database!B455</f>
        <v/>
      </c>
      <c r="B455" s="10">
        <f>IFERROR(INDEX(BDS(Database!$A455&amp;" HK Equity","EQUITY_OFFERINGS","array=t","endcol=1"),MATCH("IPO",BDS(Database!$A455&amp;" HK Equity","EQUITY_OFFERINGS","array=t","startcol=2","endcol=2"),0)),"")</f>
        <v/>
      </c>
      <c r="C455" s="103">
        <f>IF($B455="","",IFERROR(BDP($B455&amp;" Action","CP036"),""))</f>
        <v/>
      </c>
      <c r="D455" s="104">
        <f>Database!S455</f>
        <v/>
      </c>
      <c r="E455" s="103">
        <f>IF($B455="","",IFERROR(BDP($B455&amp;" Action","CP037"),""))</f>
        <v/>
      </c>
      <c r="F455" s="104">
        <f>Database!T455</f>
        <v/>
      </c>
      <c r="G455" s="103">
        <f>IF($B455="","",IFERROR(BDP($B455&amp;" Action","GREENSHOE_FACILITY"),""))</f>
        <v/>
      </c>
      <c r="H455" s="103">
        <f>IF($B455="","",IFERROR(BDP($B455&amp;" Action","OFFERING_GREENSHOE_SHARES_EX"),""))</f>
        <v/>
      </c>
      <c r="I455" s="16">
        <f>Database!AG455</f>
        <v/>
      </c>
      <c r="J455" s="24">
        <f>IFERROR(BDP(Database!$A455&amp;" HK Equity","PE_RATIO"),"")</f>
        <v/>
      </c>
      <c r="K455" s="10">
        <f>IFERROR(BDP(Database!$A455&amp;" HK Equity","A/H_SHARE_CONVERSION"),"")</f>
        <v/>
      </c>
      <c r="L455" s="16">
        <f>IF(Database!BL455="","(none found)",Database!BL455)</f>
        <v/>
      </c>
      <c r="M455" s="18">
        <f>IFERROR(BDH(Database!$A455&amp;" HK Equity","CUR_MKT_CAP",Database!$H455,Database!$H455),"")</f>
        <v/>
      </c>
      <c r="N455" s="97">
        <f>Database!Q455</f>
        <v/>
      </c>
      <c r="O455" s="24">
        <f>IFERROR(BDH(Database!$A455&amp;" HK Equity","PE_RATIO",Database!$H455,Database!$H455),"")</f>
        <v/>
      </c>
      <c r="P455" s="101">
        <f>IF(Database!BF455="","(n/m or not derivable)",Database!BF455)</f>
        <v/>
      </c>
      <c r="Q455" s="24">
        <f>IF(Database!BL455="","",IFERROR(BDH(LEFT(Database!BL455,FIND(".",Database!BL455)-1)&amp;" CH Equity","PE_RATIO",Database!$H455,Database!$H455),""))</f>
        <v/>
      </c>
      <c r="R455" s="24">
        <f>IF(Database!BL455="","",IFERROR(BDH("HSAHP Index","PX_LAST",Database!$H455,Database!$H455),""))</f>
        <v/>
      </c>
      <c r="S455" s="24">
        <f>IFERROR(BDP(Database!$A455&amp;" HK Equity","PX_TO_SALES_RATIO"),"")</f>
        <v/>
      </c>
      <c r="T455" s="18">
        <f>IF(Database!BL455="","",IFERROR(BDP(LEFT(Database!BL455,FIND(".",Database!BL455)-1)&amp;" CH Equity","CUR_MKT_CAP"),""))</f>
        <v/>
      </c>
    </row>
    <row r="456">
      <c r="A456" s="16">
        <f>Database!A456&amp;"  "&amp;Database!B456</f>
        <v/>
      </c>
      <c r="B456" s="10">
        <f>IFERROR(INDEX(BDS(Database!$A456&amp;" HK Equity","EQUITY_OFFERINGS","array=t","endcol=1"),MATCH("IPO",BDS(Database!$A456&amp;" HK Equity","EQUITY_OFFERINGS","array=t","startcol=2","endcol=2"),0)),"")</f>
        <v/>
      </c>
      <c r="C456" s="103">
        <f>IF($B456="","",IFERROR(BDP($B456&amp;" Action","CP036"),""))</f>
        <v/>
      </c>
      <c r="D456" s="104">
        <f>Database!S456</f>
        <v/>
      </c>
      <c r="E456" s="103">
        <f>IF($B456="","",IFERROR(BDP($B456&amp;" Action","CP037"),""))</f>
        <v/>
      </c>
      <c r="F456" s="104">
        <f>Database!T456</f>
        <v/>
      </c>
      <c r="G456" s="103">
        <f>IF($B456="","",IFERROR(BDP($B456&amp;" Action","GREENSHOE_FACILITY"),""))</f>
        <v/>
      </c>
      <c r="H456" s="103">
        <f>IF($B456="","",IFERROR(BDP($B456&amp;" Action","OFFERING_GREENSHOE_SHARES_EX"),""))</f>
        <v/>
      </c>
      <c r="I456" s="16">
        <f>Database!AG456</f>
        <v/>
      </c>
      <c r="J456" s="24">
        <f>IFERROR(BDP(Database!$A456&amp;" HK Equity","PE_RATIO"),"")</f>
        <v/>
      </c>
      <c r="K456" s="10">
        <f>IFERROR(BDP(Database!$A456&amp;" HK Equity","A/H_SHARE_CONVERSION"),"")</f>
        <v/>
      </c>
      <c r="L456" s="16">
        <f>IF(Database!BL456="","(none found)",Database!BL456)</f>
        <v/>
      </c>
      <c r="M456" s="18">
        <f>IFERROR(BDH(Database!$A456&amp;" HK Equity","CUR_MKT_CAP",Database!$H456,Database!$H456),"")</f>
        <v/>
      </c>
      <c r="N456" s="97">
        <f>Database!Q456</f>
        <v/>
      </c>
      <c r="O456" s="24">
        <f>IFERROR(BDH(Database!$A456&amp;" HK Equity","PE_RATIO",Database!$H456,Database!$H456),"")</f>
        <v/>
      </c>
      <c r="P456" s="101">
        <f>IF(Database!BF456="","(n/m or not derivable)",Database!BF456)</f>
        <v/>
      </c>
      <c r="Q456" s="24">
        <f>IF(Database!BL456="","",IFERROR(BDH(LEFT(Database!BL456,FIND(".",Database!BL456)-1)&amp;" CH Equity","PE_RATIO",Database!$H456,Database!$H456),""))</f>
        <v/>
      </c>
      <c r="R456" s="24">
        <f>IF(Database!BL456="","",IFERROR(BDH("HSAHP Index","PX_LAST",Database!$H456,Database!$H456),""))</f>
        <v/>
      </c>
      <c r="S456" s="24">
        <f>IFERROR(BDP(Database!$A456&amp;" HK Equity","PX_TO_SALES_RATIO"),"")</f>
        <v/>
      </c>
      <c r="T456" s="18">
        <f>IF(Database!BL456="","",IFERROR(BDP(LEFT(Database!BL456,FIND(".",Database!BL456)-1)&amp;" CH Equity","CUR_MKT_CAP"),""))</f>
        <v/>
      </c>
    </row>
    <row r="457">
      <c r="A457" s="16">
        <f>Database!A457&amp;"  "&amp;Database!B457</f>
        <v/>
      </c>
      <c r="B457" s="10">
        <f>IFERROR(INDEX(BDS(Database!$A457&amp;" HK Equity","EQUITY_OFFERINGS","array=t","endcol=1"),MATCH("IPO",BDS(Database!$A457&amp;" HK Equity","EQUITY_OFFERINGS","array=t","startcol=2","endcol=2"),0)),"")</f>
        <v/>
      </c>
      <c r="C457" s="103">
        <f>IF($B457="","",IFERROR(BDP($B457&amp;" Action","CP036"),""))</f>
        <v/>
      </c>
      <c r="D457" s="104">
        <f>Database!S457</f>
        <v/>
      </c>
      <c r="E457" s="103">
        <f>IF($B457="","",IFERROR(BDP($B457&amp;" Action","CP037"),""))</f>
        <v/>
      </c>
      <c r="F457" s="104">
        <f>Database!T457</f>
        <v/>
      </c>
      <c r="G457" s="103">
        <f>IF($B457="","",IFERROR(BDP($B457&amp;" Action","GREENSHOE_FACILITY"),""))</f>
        <v/>
      </c>
      <c r="H457" s="103">
        <f>IF($B457="","",IFERROR(BDP($B457&amp;" Action","OFFERING_GREENSHOE_SHARES_EX"),""))</f>
        <v/>
      </c>
      <c r="I457" s="16">
        <f>Database!AG457</f>
        <v/>
      </c>
      <c r="J457" s="24">
        <f>IFERROR(BDP(Database!$A457&amp;" HK Equity","PE_RATIO"),"")</f>
        <v/>
      </c>
      <c r="K457" s="10">
        <f>IFERROR(BDP(Database!$A457&amp;" HK Equity","A/H_SHARE_CONVERSION"),"")</f>
        <v/>
      </c>
      <c r="L457" s="16">
        <f>IF(Database!BL457="","(none found)",Database!BL457)</f>
        <v/>
      </c>
      <c r="M457" s="18">
        <f>IFERROR(BDH(Database!$A457&amp;" HK Equity","CUR_MKT_CAP",Database!$H457,Database!$H457),"")</f>
        <v/>
      </c>
      <c r="N457" s="97">
        <f>Database!Q457</f>
        <v/>
      </c>
      <c r="O457" s="24">
        <f>IFERROR(BDH(Database!$A457&amp;" HK Equity","PE_RATIO",Database!$H457,Database!$H457),"")</f>
        <v/>
      </c>
      <c r="P457" s="101">
        <f>IF(Database!BF457="","(n/m or not derivable)",Database!BF457)</f>
        <v/>
      </c>
      <c r="Q457" s="24">
        <f>IF(Database!BL457="","",IFERROR(BDH(LEFT(Database!BL457,FIND(".",Database!BL457)-1)&amp;" CH Equity","PE_RATIO",Database!$H457,Database!$H457),""))</f>
        <v/>
      </c>
      <c r="R457" s="24">
        <f>IF(Database!BL457="","",IFERROR(BDH("HSAHP Index","PX_LAST",Database!$H457,Database!$H457),""))</f>
        <v/>
      </c>
      <c r="S457" s="24">
        <f>IFERROR(BDP(Database!$A457&amp;" HK Equity","PX_TO_SALES_RATIO"),"")</f>
        <v/>
      </c>
      <c r="T457" s="18">
        <f>IF(Database!BL457="","",IFERROR(BDP(LEFT(Database!BL457,FIND(".",Database!BL457)-1)&amp;" CH Equity","CUR_MKT_CAP"),""))</f>
        <v/>
      </c>
    </row>
    <row r="458">
      <c r="A458" s="16">
        <f>Database!A458&amp;"  "&amp;Database!B458</f>
        <v/>
      </c>
      <c r="B458" s="10">
        <f>IFERROR(INDEX(BDS(Database!$A458&amp;" HK Equity","EQUITY_OFFERINGS","array=t","endcol=1"),MATCH("IPO",BDS(Database!$A458&amp;" HK Equity","EQUITY_OFFERINGS","array=t","startcol=2","endcol=2"),0)),"")</f>
        <v/>
      </c>
      <c r="C458" s="103">
        <f>IF($B458="","",IFERROR(BDP($B458&amp;" Action","CP036"),""))</f>
        <v/>
      </c>
      <c r="D458" s="104">
        <f>Database!S458</f>
        <v/>
      </c>
      <c r="E458" s="103">
        <f>IF($B458="","",IFERROR(BDP($B458&amp;" Action","CP037"),""))</f>
        <v/>
      </c>
      <c r="F458" s="104">
        <f>Database!T458</f>
        <v/>
      </c>
      <c r="G458" s="103">
        <f>IF($B458="","",IFERROR(BDP($B458&amp;" Action","GREENSHOE_FACILITY"),""))</f>
        <v/>
      </c>
      <c r="H458" s="103">
        <f>IF($B458="","",IFERROR(BDP($B458&amp;" Action","OFFERING_GREENSHOE_SHARES_EX"),""))</f>
        <v/>
      </c>
      <c r="I458" s="16">
        <f>Database!AG458</f>
        <v/>
      </c>
      <c r="J458" s="24">
        <f>IFERROR(BDP(Database!$A458&amp;" HK Equity","PE_RATIO"),"")</f>
        <v/>
      </c>
      <c r="K458" s="10">
        <f>IFERROR(BDP(Database!$A458&amp;" HK Equity","A/H_SHARE_CONVERSION"),"")</f>
        <v/>
      </c>
      <c r="L458" s="16">
        <f>IF(Database!BL458="","(none found)",Database!BL458)</f>
        <v/>
      </c>
      <c r="M458" s="18">
        <f>IFERROR(BDH(Database!$A458&amp;" HK Equity","CUR_MKT_CAP",Database!$H458,Database!$H458),"")</f>
        <v/>
      </c>
      <c r="N458" s="97">
        <f>Database!Q458</f>
        <v/>
      </c>
      <c r="O458" s="24">
        <f>IFERROR(BDH(Database!$A458&amp;" HK Equity","PE_RATIO",Database!$H458,Database!$H458),"")</f>
        <v/>
      </c>
      <c r="P458" s="101">
        <f>IF(Database!BF458="","(n/m or not derivable)",Database!BF458)</f>
        <v/>
      </c>
      <c r="Q458" s="24">
        <f>IF(Database!BL458="","",IFERROR(BDH(LEFT(Database!BL458,FIND(".",Database!BL458)-1)&amp;" CH Equity","PE_RATIO",Database!$H458,Database!$H458),""))</f>
        <v/>
      </c>
      <c r="R458" s="24">
        <f>IF(Database!BL458="","",IFERROR(BDH("HSAHP Index","PX_LAST",Database!$H458,Database!$H458),""))</f>
        <v/>
      </c>
      <c r="S458" s="24">
        <f>IFERROR(BDP(Database!$A458&amp;" HK Equity","PX_TO_SALES_RATIO"),"")</f>
        <v/>
      </c>
      <c r="T458" s="18">
        <f>IF(Database!BL458="","",IFERROR(BDP(LEFT(Database!BL458,FIND(".",Database!BL458)-1)&amp;" CH Equity","CUR_MKT_CAP"),""))</f>
        <v/>
      </c>
    </row>
    <row r="459">
      <c r="A459" s="16">
        <f>Database!A459&amp;"  "&amp;Database!B459</f>
        <v/>
      </c>
      <c r="B459" s="10">
        <f>IFERROR(INDEX(BDS(Database!$A459&amp;" HK Equity","EQUITY_OFFERINGS","array=t","endcol=1"),MATCH("IPO",BDS(Database!$A459&amp;" HK Equity","EQUITY_OFFERINGS","array=t","startcol=2","endcol=2"),0)),"")</f>
        <v/>
      </c>
      <c r="C459" s="103">
        <f>IF($B459="","",IFERROR(BDP($B459&amp;" Action","CP036"),""))</f>
        <v/>
      </c>
      <c r="D459" s="104">
        <f>Database!S459</f>
        <v/>
      </c>
      <c r="E459" s="103">
        <f>IF($B459="","",IFERROR(BDP($B459&amp;" Action","CP037"),""))</f>
        <v/>
      </c>
      <c r="F459" s="104">
        <f>Database!T459</f>
        <v/>
      </c>
      <c r="G459" s="103">
        <f>IF($B459="","",IFERROR(BDP($B459&amp;" Action","GREENSHOE_FACILITY"),""))</f>
        <v/>
      </c>
      <c r="H459" s="103">
        <f>IF($B459="","",IFERROR(BDP($B459&amp;" Action","OFFERING_GREENSHOE_SHARES_EX"),""))</f>
        <v/>
      </c>
      <c r="I459" s="16">
        <f>Database!AG459</f>
        <v/>
      </c>
      <c r="J459" s="24">
        <f>IFERROR(BDP(Database!$A459&amp;" HK Equity","PE_RATIO"),"")</f>
        <v/>
      </c>
      <c r="K459" s="10">
        <f>IFERROR(BDP(Database!$A459&amp;" HK Equity","A/H_SHARE_CONVERSION"),"")</f>
        <v/>
      </c>
      <c r="L459" s="16">
        <f>IF(Database!BL459="","(none found)",Database!BL459)</f>
        <v/>
      </c>
      <c r="M459" s="18">
        <f>IFERROR(BDH(Database!$A459&amp;" HK Equity","CUR_MKT_CAP",Database!$H459,Database!$H459),"")</f>
        <v/>
      </c>
      <c r="N459" s="97">
        <f>Database!Q459</f>
        <v/>
      </c>
      <c r="O459" s="24">
        <f>IFERROR(BDH(Database!$A459&amp;" HK Equity","PE_RATIO",Database!$H459,Database!$H459),"")</f>
        <v/>
      </c>
      <c r="P459" s="101">
        <f>IF(Database!BF459="","(n/m or not derivable)",Database!BF459)</f>
        <v/>
      </c>
      <c r="Q459" s="24">
        <f>IF(Database!BL459="","",IFERROR(BDH(LEFT(Database!BL459,FIND(".",Database!BL459)-1)&amp;" CH Equity","PE_RATIO",Database!$H459,Database!$H459),""))</f>
        <v/>
      </c>
      <c r="R459" s="24">
        <f>IF(Database!BL459="","",IFERROR(BDH("HSAHP Index","PX_LAST",Database!$H459,Database!$H459),""))</f>
        <v/>
      </c>
      <c r="S459" s="24">
        <f>IFERROR(BDP(Database!$A459&amp;" HK Equity","PX_TO_SALES_RATIO"),"")</f>
        <v/>
      </c>
      <c r="T459" s="18">
        <f>IF(Database!BL459="","",IFERROR(BDP(LEFT(Database!BL459,FIND(".",Database!BL459)-1)&amp;" CH Equity","CUR_MKT_CAP"),""))</f>
        <v/>
      </c>
    </row>
    <row r="460">
      <c r="A460" s="16">
        <f>Database!A460&amp;"  "&amp;Database!B460</f>
        <v/>
      </c>
      <c r="B460" s="10">
        <f>IFERROR(INDEX(BDS(Database!$A460&amp;" HK Equity","EQUITY_OFFERINGS","array=t","endcol=1"),MATCH("IPO",BDS(Database!$A460&amp;" HK Equity","EQUITY_OFFERINGS","array=t","startcol=2","endcol=2"),0)),"")</f>
        <v/>
      </c>
      <c r="C460" s="103">
        <f>IF($B460="","",IFERROR(BDP($B460&amp;" Action","CP036"),""))</f>
        <v/>
      </c>
      <c r="D460" s="104">
        <f>Database!S460</f>
        <v/>
      </c>
      <c r="E460" s="103">
        <f>IF($B460="","",IFERROR(BDP($B460&amp;" Action","CP037"),""))</f>
        <v/>
      </c>
      <c r="F460" s="104">
        <f>Database!T460</f>
        <v/>
      </c>
      <c r="G460" s="103">
        <f>IF($B460="","",IFERROR(BDP($B460&amp;" Action","GREENSHOE_FACILITY"),""))</f>
        <v/>
      </c>
      <c r="H460" s="103">
        <f>IF($B460="","",IFERROR(BDP($B460&amp;" Action","OFFERING_GREENSHOE_SHARES_EX"),""))</f>
        <v/>
      </c>
      <c r="I460" s="16">
        <f>Database!AG460</f>
        <v/>
      </c>
      <c r="J460" s="24">
        <f>IFERROR(BDP(Database!$A460&amp;" HK Equity","PE_RATIO"),"")</f>
        <v/>
      </c>
      <c r="K460" s="10">
        <f>IFERROR(BDP(Database!$A460&amp;" HK Equity","A/H_SHARE_CONVERSION"),"")</f>
        <v/>
      </c>
      <c r="L460" s="16">
        <f>IF(Database!BL460="","(none found)",Database!BL460)</f>
        <v/>
      </c>
      <c r="M460" s="18">
        <f>IFERROR(BDH(Database!$A460&amp;" HK Equity","CUR_MKT_CAP",Database!$H460,Database!$H460),"")</f>
        <v/>
      </c>
      <c r="N460" s="97">
        <f>Database!Q460</f>
        <v/>
      </c>
      <c r="O460" s="24">
        <f>IFERROR(BDH(Database!$A460&amp;" HK Equity","PE_RATIO",Database!$H460,Database!$H460),"")</f>
        <v/>
      </c>
      <c r="P460" s="101">
        <f>IF(Database!BF460="","(n/m or not derivable)",Database!BF460)</f>
        <v/>
      </c>
      <c r="Q460" s="24">
        <f>IF(Database!BL460="","",IFERROR(BDH(LEFT(Database!BL460,FIND(".",Database!BL460)-1)&amp;" CH Equity","PE_RATIO",Database!$H460,Database!$H460),""))</f>
        <v/>
      </c>
      <c r="R460" s="24">
        <f>IF(Database!BL460="","",IFERROR(BDH("HSAHP Index","PX_LAST",Database!$H460,Database!$H460),""))</f>
        <v/>
      </c>
      <c r="S460" s="24">
        <f>IFERROR(BDP(Database!$A460&amp;" HK Equity","PX_TO_SALES_RATIO"),"")</f>
        <v/>
      </c>
      <c r="T460" s="18">
        <f>IF(Database!BL460="","",IFERROR(BDP(LEFT(Database!BL460,FIND(".",Database!BL460)-1)&amp;" CH Equity","CUR_MKT_CAP"),""))</f>
        <v/>
      </c>
    </row>
    <row r="461">
      <c r="A461" s="16">
        <f>Database!A461&amp;"  "&amp;Database!B461</f>
        <v/>
      </c>
      <c r="B461" s="10">
        <f>IFERROR(INDEX(BDS(Database!$A461&amp;" HK Equity","EQUITY_OFFERINGS","array=t","endcol=1"),MATCH("IPO",BDS(Database!$A461&amp;" HK Equity","EQUITY_OFFERINGS","array=t","startcol=2","endcol=2"),0)),"")</f>
        <v/>
      </c>
      <c r="C461" s="103">
        <f>IF($B461="","",IFERROR(BDP($B461&amp;" Action","CP036"),""))</f>
        <v/>
      </c>
      <c r="D461" s="104">
        <f>Database!S461</f>
        <v/>
      </c>
      <c r="E461" s="103">
        <f>IF($B461="","",IFERROR(BDP($B461&amp;" Action","CP037"),""))</f>
        <v/>
      </c>
      <c r="F461" s="104">
        <f>Database!T461</f>
        <v/>
      </c>
      <c r="G461" s="103">
        <f>IF($B461="","",IFERROR(BDP($B461&amp;" Action","GREENSHOE_FACILITY"),""))</f>
        <v/>
      </c>
      <c r="H461" s="103">
        <f>IF($B461="","",IFERROR(BDP($B461&amp;" Action","OFFERING_GREENSHOE_SHARES_EX"),""))</f>
        <v/>
      </c>
      <c r="I461" s="16">
        <f>Database!AG461</f>
        <v/>
      </c>
      <c r="J461" s="24">
        <f>IFERROR(BDP(Database!$A461&amp;" HK Equity","PE_RATIO"),"")</f>
        <v/>
      </c>
      <c r="K461" s="10">
        <f>IFERROR(BDP(Database!$A461&amp;" HK Equity","A/H_SHARE_CONVERSION"),"")</f>
        <v/>
      </c>
      <c r="L461" s="16">
        <f>IF(Database!BL461="","(none found)",Database!BL461)</f>
        <v/>
      </c>
      <c r="M461" s="18">
        <f>IFERROR(BDH(Database!$A461&amp;" HK Equity","CUR_MKT_CAP",Database!$H461,Database!$H461),"")</f>
        <v/>
      </c>
      <c r="N461" s="97">
        <f>Database!Q461</f>
        <v/>
      </c>
      <c r="O461" s="24">
        <f>IFERROR(BDH(Database!$A461&amp;" HK Equity","PE_RATIO",Database!$H461,Database!$H461),"")</f>
        <v/>
      </c>
      <c r="P461" s="101">
        <f>IF(Database!BF461="","(n/m or not derivable)",Database!BF461)</f>
        <v/>
      </c>
      <c r="Q461" s="24">
        <f>IF(Database!BL461="","",IFERROR(BDH(LEFT(Database!BL461,FIND(".",Database!BL461)-1)&amp;" CH Equity","PE_RATIO",Database!$H461,Database!$H461),""))</f>
        <v/>
      </c>
      <c r="R461" s="24">
        <f>IF(Database!BL461="","",IFERROR(BDH("HSAHP Index","PX_LAST",Database!$H461,Database!$H461),""))</f>
        <v/>
      </c>
      <c r="S461" s="24">
        <f>IFERROR(BDP(Database!$A461&amp;" HK Equity","PX_TO_SALES_RATIO"),"")</f>
        <v/>
      </c>
      <c r="T461" s="18">
        <f>IF(Database!BL461="","",IFERROR(BDP(LEFT(Database!BL461,FIND(".",Database!BL461)-1)&amp;" CH Equity","CUR_MKT_CAP"),""))</f>
        <v/>
      </c>
    </row>
    <row r="462">
      <c r="A462" s="16">
        <f>Database!A462&amp;"  "&amp;Database!B462</f>
        <v/>
      </c>
      <c r="B462" s="10">
        <f>IFERROR(INDEX(BDS(Database!$A462&amp;" HK Equity","EQUITY_OFFERINGS","array=t","endcol=1"),MATCH("IPO",BDS(Database!$A462&amp;" HK Equity","EQUITY_OFFERINGS","array=t","startcol=2","endcol=2"),0)),"")</f>
        <v/>
      </c>
      <c r="C462" s="103">
        <f>IF($B462="","",IFERROR(BDP($B462&amp;" Action","CP036"),""))</f>
        <v/>
      </c>
      <c r="D462" s="104">
        <f>Database!S462</f>
        <v/>
      </c>
      <c r="E462" s="103">
        <f>IF($B462="","",IFERROR(BDP($B462&amp;" Action","CP037"),""))</f>
        <v/>
      </c>
      <c r="F462" s="104">
        <f>Database!T462</f>
        <v/>
      </c>
      <c r="G462" s="103">
        <f>IF($B462="","",IFERROR(BDP($B462&amp;" Action","GREENSHOE_FACILITY"),""))</f>
        <v/>
      </c>
      <c r="H462" s="103">
        <f>IF($B462="","",IFERROR(BDP($B462&amp;" Action","OFFERING_GREENSHOE_SHARES_EX"),""))</f>
        <v/>
      </c>
      <c r="I462" s="16">
        <f>Database!AG462</f>
        <v/>
      </c>
      <c r="J462" s="24">
        <f>IFERROR(BDP(Database!$A462&amp;" HK Equity","PE_RATIO"),"")</f>
        <v/>
      </c>
      <c r="K462" s="10">
        <f>IFERROR(BDP(Database!$A462&amp;" HK Equity","A/H_SHARE_CONVERSION"),"")</f>
        <v/>
      </c>
      <c r="L462" s="16">
        <f>IF(Database!BL462="","(none found)",Database!BL462)</f>
        <v/>
      </c>
      <c r="M462" s="18">
        <f>IFERROR(BDH(Database!$A462&amp;" HK Equity","CUR_MKT_CAP",Database!$H462,Database!$H462),"")</f>
        <v/>
      </c>
      <c r="N462" s="97">
        <f>Database!Q462</f>
        <v/>
      </c>
      <c r="O462" s="24">
        <f>IFERROR(BDH(Database!$A462&amp;" HK Equity","PE_RATIO",Database!$H462,Database!$H462),"")</f>
        <v/>
      </c>
      <c r="P462" s="101">
        <f>IF(Database!BF462="","(n/m or not derivable)",Database!BF462)</f>
        <v/>
      </c>
      <c r="Q462" s="24">
        <f>IF(Database!BL462="","",IFERROR(BDH(LEFT(Database!BL462,FIND(".",Database!BL462)-1)&amp;" CH Equity","PE_RATIO",Database!$H462,Database!$H462),""))</f>
        <v/>
      </c>
      <c r="R462" s="24">
        <f>IF(Database!BL462="","",IFERROR(BDH("HSAHP Index","PX_LAST",Database!$H462,Database!$H462),""))</f>
        <v/>
      </c>
      <c r="S462" s="24">
        <f>IFERROR(BDP(Database!$A462&amp;" HK Equity","PX_TO_SALES_RATIO"),"")</f>
        <v/>
      </c>
      <c r="T462" s="18">
        <f>IF(Database!BL462="","",IFERROR(BDP(LEFT(Database!BL462,FIND(".",Database!BL462)-1)&amp;" CH Equity","CUR_MKT_CAP"),""))</f>
        <v/>
      </c>
    </row>
    <row r="463">
      <c r="A463" s="16">
        <f>Database!A463&amp;"  "&amp;Database!B463</f>
        <v/>
      </c>
      <c r="B463" s="10">
        <f>IFERROR(INDEX(BDS(Database!$A463&amp;" HK Equity","EQUITY_OFFERINGS","array=t","endcol=1"),MATCH("IPO",BDS(Database!$A463&amp;" HK Equity","EQUITY_OFFERINGS","array=t","startcol=2","endcol=2"),0)),"")</f>
        <v/>
      </c>
      <c r="C463" s="103">
        <f>IF($B463="","",IFERROR(BDP($B463&amp;" Action","CP036"),""))</f>
        <v/>
      </c>
      <c r="D463" s="104">
        <f>Database!S463</f>
        <v/>
      </c>
      <c r="E463" s="103">
        <f>IF($B463="","",IFERROR(BDP($B463&amp;" Action","CP037"),""))</f>
        <v/>
      </c>
      <c r="F463" s="104">
        <f>Database!T463</f>
        <v/>
      </c>
      <c r="G463" s="103">
        <f>IF($B463="","",IFERROR(BDP($B463&amp;" Action","GREENSHOE_FACILITY"),""))</f>
        <v/>
      </c>
      <c r="H463" s="103">
        <f>IF($B463="","",IFERROR(BDP($B463&amp;" Action","OFFERING_GREENSHOE_SHARES_EX"),""))</f>
        <v/>
      </c>
      <c r="I463" s="16">
        <f>Database!AG463</f>
        <v/>
      </c>
      <c r="J463" s="24">
        <f>IFERROR(BDP(Database!$A463&amp;" HK Equity","PE_RATIO"),"")</f>
        <v/>
      </c>
      <c r="K463" s="10">
        <f>IFERROR(BDP(Database!$A463&amp;" HK Equity","A/H_SHARE_CONVERSION"),"")</f>
        <v/>
      </c>
      <c r="L463" s="16">
        <f>IF(Database!BL463="","(none found)",Database!BL463)</f>
        <v/>
      </c>
      <c r="M463" s="18">
        <f>IFERROR(BDH(Database!$A463&amp;" HK Equity","CUR_MKT_CAP",Database!$H463,Database!$H463),"")</f>
        <v/>
      </c>
      <c r="N463" s="97">
        <f>Database!Q463</f>
        <v/>
      </c>
      <c r="O463" s="24">
        <f>IFERROR(BDH(Database!$A463&amp;" HK Equity","PE_RATIO",Database!$H463,Database!$H463),"")</f>
        <v/>
      </c>
      <c r="P463" s="101">
        <f>IF(Database!BF463="","(n/m or not derivable)",Database!BF463)</f>
        <v/>
      </c>
      <c r="Q463" s="24">
        <f>IF(Database!BL463="","",IFERROR(BDH(LEFT(Database!BL463,FIND(".",Database!BL463)-1)&amp;" CH Equity","PE_RATIO",Database!$H463,Database!$H463),""))</f>
        <v/>
      </c>
      <c r="R463" s="24">
        <f>IF(Database!BL463="","",IFERROR(BDH("HSAHP Index","PX_LAST",Database!$H463,Database!$H463),""))</f>
        <v/>
      </c>
      <c r="S463" s="24">
        <f>IFERROR(BDP(Database!$A463&amp;" HK Equity","PX_TO_SALES_RATIO"),"")</f>
        <v/>
      </c>
      <c r="T463" s="18">
        <f>IF(Database!BL463="","",IFERROR(BDP(LEFT(Database!BL463,FIND(".",Database!BL463)-1)&amp;" CH Equity","CUR_MKT_CAP"),""))</f>
        <v/>
      </c>
    </row>
    <row r="464">
      <c r="A464" s="16">
        <f>Database!A464&amp;"  "&amp;Database!B464</f>
        <v/>
      </c>
      <c r="B464" s="10">
        <f>IFERROR(INDEX(BDS(Database!$A464&amp;" HK Equity","EQUITY_OFFERINGS","array=t","endcol=1"),MATCH("IPO",BDS(Database!$A464&amp;" HK Equity","EQUITY_OFFERINGS","array=t","startcol=2","endcol=2"),0)),"")</f>
        <v/>
      </c>
      <c r="C464" s="103">
        <f>IF($B464="","",IFERROR(BDP($B464&amp;" Action","CP036"),""))</f>
        <v/>
      </c>
      <c r="D464" s="104">
        <f>Database!S464</f>
        <v/>
      </c>
      <c r="E464" s="103">
        <f>IF($B464="","",IFERROR(BDP($B464&amp;" Action","CP037"),""))</f>
        <v/>
      </c>
      <c r="F464" s="104">
        <f>Database!T464</f>
        <v/>
      </c>
      <c r="G464" s="103">
        <f>IF($B464="","",IFERROR(BDP($B464&amp;" Action","GREENSHOE_FACILITY"),""))</f>
        <v/>
      </c>
      <c r="H464" s="103">
        <f>IF($B464="","",IFERROR(BDP($B464&amp;" Action","OFFERING_GREENSHOE_SHARES_EX"),""))</f>
        <v/>
      </c>
      <c r="I464" s="16">
        <f>Database!AG464</f>
        <v/>
      </c>
      <c r="J464" s="24">
        <f>IFERROR(BDP(Database!$A464&amp;" HK Equity","PE_RATIO"),"")</f>
        <v/>
      </c>
      <c r="K464" s="10">
        <f>IFERROR(BDP(Database!$A464&amp;" HK Equity","A/H_SHARE_CONVERSION"),"")</f>
        <v/>
      </c>
      <c r="L464" s="16">
        <f>IF(Database!BL464="","(none found)",Database!BL464)</f>
        <v/>
      </c>
      <c r="M464" s="18">
        <f>IFERROR(BDH(Database!$A464&amp;" HK Equity","CUR_MKT_CAP",Database!$H464,Database!$H464),"")</f>
        <v/>
      </c>
      <c r="N464" s="97">
        <f>Database!Q464</f>
        <v/>
      </c>
      <c r="O464" s="24">
        <f>IFERROR(BDH(Database!$A464&amp;" HK Equity","PE_RATIO",Database!$H464,Database!$H464),"")</f>
        <v/>
      </c>
      <c r="P464" s="101">
        <f>IF(Database!BF464="","(n/m or not derivable)",Database!BF464)</f>
        <v/>
      </c>
      <c r="Q464" s="24">
        <f>IF(Database!BL464="","",IFERROR(BDH(LEFT(Database!BL464,FIND(".",Database!BL464)-1)&amp;" CH Equity","PE_RATIO",Database!$H464,Database!$H464),""))</f>
        <v/>
      </c>
      <c r="R464" s="24">
        <f>IF(Database!BL464="","",IFERROR(BDH("HSAHP Index","PX_LAST",Database!$H464,Database!$H464),""))</f>
        <v/>
      </c>
      <c r="S464" s="24">
        <f>IFERROR(BDP(Database!$A464&amp;" HK Equity","PX_TO_SALES_RATIO"),"")</f>
        <v/>
      </c>
      <c r="T464" s="18">
        <f>IF(Database!BL464="","",IFERROR(BDP(LEFT(Database!BL464,FIND(".",Database!BL464)-1)&amp;" CH Equity","CUR_MKT_CAP"),""))</f>
        <v/>
      </c>
    </row>
    <row r="465">
      <c r="A465" s="16">
        <f>Database!A465&amp;"  "&amp;Database!B465</f>
        <v/>
      </c>
      <c r="B465" s="10">
        <f>IFERROR(INDEX(BDS(Database!$A465&amp;" HK Equity","EQUITY_OFFERINGS","array=t","endcol=1"),MATCH("IPO",BDS(Database!$A465&amp;" HK Equity","EQUITY_OFFERINGS","array=t","startcol=2","endcol=2"),0)),"")</f>
        <v/>
      </c>
      <c r="C465" s="103">
        <f>IF($B465="","",IFERROR(BDP($B465&amp;" Action","CP036"),""))</f>
        <v/>
      </c>
      <c r="D465" s="104">
        <f>Database!S465</f>
        <v/>
      </c>
      <c r="E465" s="103">
        <f>IF($B465="","",IFERROR(BDP($B465&amp;" Action","CP037"),""))</f>
        <v/>
      </c>
      <c r="F465" s="104">
        <f>Database!T465</f>
        <v/>
      </c>
      <c r="G465" s="103">
        <f>IF($B465="","",IFERROR(BDP($B465&amp;" Action","GREENSHOE_FACILITY"),""))</f>
        <v/>
      </c>
      <c r="H465" s="103">
        <f>IF($B465="","",IFERROR(BDP($B465&amp;" Action","OFFERING_GREENSHOE_SHARES_EX"),""))</f>
        <v/>
      </c>
      <c r="I465" s="16">
        <f>Database!AG465</f>
        <v/>
      </c>
      <c r="J465" s="24">
        <f>IFERROR(BDP(Database!$A465&amp;" HK Equity","PE_RATIO"),"")</f>
        <v/>
      </c>
      <c r="K465" s="10">
        <f>IFERROR(BDP(Database!$A465&amp;" HK Equity","A/H_SHARE_CONVERSION"),"")</f>
        <v/>
      </c>
      <c r="L465" s="16">
        <f>IF(Database!BL465="","(none found)",Database!BL465)</f>
        <v/>
      </c>
      <c r="M465" s="18">
        <f>IFERROR(BDH(Database!$A465&amp;" HK Equity","CUR_MKT_CAP",Database!$H465,Database!$H465),"")</f>
        <v/>
      </c>
      <c r="N465" s="97">
        <f>Database!Q465</f>
        <v/>
      </c>
      <c r="O465" s="24">
        <f>IFERROR(BDH(Database!$A465&amp;" HK Equity","PE_RATIO",Database!$H465,Database!$H465),"")</f>
        <v/>
      </c>
      <c r="P465" s="101">
        <f>IF(Database!BF465="","(n/m or not derivable)",Database!BF465)</f>
        <v/>
      </c>
      <c r="Q465" s="24">
        <f>IF(Database!BL465="","",IFERROR(BDH(LEFT(Database!BL465,FIND(".",Database!BL465)-1)&amp;" CH Equity","PE_RATIO",Database!$H465,Database!$H465),""))</f>
        <v/>
      </c>
      <c r="R465" s="24">
        <f>IF(Database!BL465="","",IFERROR(BDH("HSAHP Index","PX_LAST",Database!$H465,Database!$H465),""))</f>
        <v/>
      </c>
      <c r="S465" s="24">
        <f>IFERROR(BDP(Database!$A465&amp;" HK Equity","PX_TO_SALES_RATIO"),"")</f>
        <v/>
      </c>
      <c r="T465" s="18">
        <f>IF(Database!BL465="","",IFERROR(BDP(LEFT(Database!BL465,FIND(".",Database!BL465)-1)&amp;" CH Equity","CUR_MKT_CAP"),""))</f>
        <v/>
      </c>
    </row>
    <row r="466">
      <c r="A466" s="16">
        <f>Database!A466&amp;"  "&amp;Database!B466</f>
        <v/>
      </c>
      <c r="B466" s="10">
        <f>IFERROR(INDEX(BDS(Database!$A466&amp;" HK Equity","EQUITY_OFFERINGS","array=t","endcol=1"),MATCH("IPO",BDS(Database!$A466&amp;" HK Equity","EQUITY_OFFERINGS","array=t","startcol=2","endcol=2"),0)),"")</f>
        <v/>
      </c>
      <c r="C466" s="103">
        <f>IF($B466="","",IFERROR(BDP($B466&amp;" Action","CP036"),""))</f>
        <v/>
      </c>
      <c r="D466" s="104">
        <f>Database!S466</f>
        <v/>
      </c>
      <c r="E466" s="103">
        <f>IF($B466="","",IFERROR(BDP($B466&amp;" Action","CP037"),""))</f>
        <v/>
      </c>
      <c r="F466" s="104">
        <f>Database!T466</f>
        <v/>
      </c>
      <c r="G466" s="103">
        <f>IF($B466="","",IFERROR(BDP($B466&amp;" Action","GREENSHOE_FACILITY"),""))</f>
        <v/>
      </c>
      <c r="H466" s="103">
        <f>IF($B466="","",IFERROR(BDP($B466&amp;" Action","OFFERING_GREENSHOE_SHARES_EX"),""))</f>
        <v/>
      </c>
      <c r="I466" s="16">
        <f>Database!AG466</f>
        <v/>
      </c>
      <c r="J466" s="24">
        <f>IFERROR(BDP(Database!$A466&amp;" HK Equity","PE_RATIO"),"")</f>
        <v/>
      </c>
      <c r="K466" s="10">
        <f>IFERROR(BDP(Database!$A466&amp;" HK Equity","A/H_SHARE_CONVERSION"),"")</f>
        <v/>
      </c>
      <c r="L466" s="16">
        <f>IF(Database!BL466="","(none found)",Database!BL466)</f>
        <v/>
      </c>
      <c r="M466" s="18">
        <f>IFERROR(BDH(Database!$A466&amp;" HK Equity","CUR_MKT_CAP",Database!$H466,Database!$H466),"")</f>
        <v/>
      </c>
      <c r="N466" s="97">
        <f>Database!Q466</f>
        <v/>
      </c>
      <c r="O466" s="24">
        <f>IFERROR(BDH(Database!$A466&amp;" HK Equity","PE_RATIO",Database!$H466,Database!$H466),"")</f>
        <v/>
      </c>
      <c r="P466" s="101">
        <f>IF(Database!BF466="","(n/m or not derivable)",Database!BF466)</f>
        <v/>
      </c>
      <c r="Q466" s="24">
        <f>IF(Database!BL466="","",IFERROR(BDH(LEFT(Database!BL466,FIND(".",Database!BL466)-1)&amp;" CH Equity","PE_RATIO",Database!$H466,Database!$H466),""))</f>
        <v/>
      </c>
      <c r="R466" s="24">
        <f>IF(Database!BL466="","",IFERROR(BDH("HSAHP Index","PX_LAST",Database!$H466,Database!$H466),""))</f>
        <v/>
      </c>
      <c r="S466" s="24">
        <f>IFERROR(BDP(Database!$A466&amp;" HK Equity","PX_TO_SALES_RATIO"),"")</f>
        <v/>
      </c>
      <c r="T466" s="18">
        <f>IF(Database!BL466="","",IFERROR(BDP(LEFT(Database!BL466,FIND(".",Database!BL466)-1)&amp;" CH Equity","CUR_MKT_CAP"),""))</f>
        <v/>
      </c>
    </row>
    <row r="467">
      <c r="A467" s="16">
        <f>Database!A467&amp;"  "&amp;Database!B467</f>
        <v/>
      </c>
      <c r="B467" s="10">
        <f>IFERROR(INDEX(BDS(Database!$A467&amp;" HK Equity","EQUITY_OFFERINGS","array=t","endcol=1"),MATCH("IPO",BDS(Database!$A467&amp;" HK Equity","EQUITY_OFFERINGS","array=t","startcol=2","endcol=2"),0)),"")</f>
        <v/>
      </c>
      <c r="C467" s="103">
        <f>IF($B467="","",IFERROR(BDP($B467&amp;" Action","CP036"),""))</f>
        <v/>
      </c>
      <c r="D467" s="104">
        <f>Database!S467</f>
        <v/>
      </c>
      <c r="E467" s="103">
        <f>IF($B467="","",IFERROR(BDP($B467&amp;" Action","CP037"),""))</f>
        <v/>
      </c>
      <c r="F467" s="104">
        <f>Database!T467</f>
        <v/>
      </c>
      <c r="G467" s="103">
        <f>IF($B467="","",IFERROR(BDP($B467&amp;" Action","GREENSHOE_FACILITY"),""))</f>
        <v/>
      </c>
      <c r="H467" s="103">
        <f>IF($B467="","",IFERROR(BDP($B467&amp;" Action","OFFERING_GREENSHOE_SHARES_EX"),""))</f>
        <v/>
      </c>
      <c r="I467" s="16">
        <f>Database!AG467</f>
        <v/>
      </c>
      <c r="J467" s="24">
        <f>IFERROR(BDP(Database!$A467&amp;" HK Equity","PE_RATIO"),"")</f>
        <v/>
      </c>
      <c r="K467" s="10">
        <f>IFERROR(BDP(Database!$A467&amp;" HK Equity","A/H_SHARE_CONVERSION"),"")</f>
        <v/>
      </c>
      <c r="L467" s="16">
        <f>IF(Database!BL467="","(none found)",Database!BL467)</f>
        <v/>
      </c>
      <c r="M467" s="18">
        <f>IFERROR(BDH(Database!$A467&amp;" HK Equity","CUR_MKT_CAP",Database!$H467,Database!$H467),"")</f>
        <v/>
      </c>
      <c r="N467" s="97">
        <f>Database!Q467</f>
        <v/>
      </c>
      <c r="O467" s="24">
        <f>IFERROR(BDH(Database!$A467&amp;" HK Equity","PE_RATIO",Database!$H467,Database!$H467),"")</f>
        <v/>
      </c>
      <c r="P467" s="101">
        <f>IF(Database!BF467="","(n/m or not derivable)",Database!BF467)</f>
        <v/>
      </c>
      <c r="Q467" s="24">
        <f>IF(Database!BL467="","",IFERROR(BDH(LEFT(Database!BL467,FIND(".",Database!BL467)-1)&amp;" CH Equity","PE_RATIO",Database!$H467,Database!$H467),""))</f>
        <v/>
      </c>
      <c r="R467" s="24">
        <f>IF(Database!BL467="","",IFERROR(BDH("HSAHP Index","PX_LAST",Database!$H467,Database!$H467),""))</f>
        <v/>
      </c>
      <c r="S467" s="24">
        <f>IFERROR(BDP(Database!$A467&amp;" HK Equity","PX_TO_SALES_RATIO"),"")</f>
        <v/>
      </c>
      <c r="T467" s="18">
        <f>IF(Database!BL467="","",IFERROR(BDP(LEFT(Database!BL467,FIND(".",Database!BL467)-1)&amp;" CH Equity","CUR_MKT_CAP"),""))</f>
        <v/>
      </c>
    </row>
    <row r="468">
      <c r="A468" s="16">
        <f>Database!A468&amp;"  "&amp;Database!B468</f>
        <v/>
      </c>
      <c r="B468" s="10">
        <f>IFERROR(INDEX(BDS(Database!$A468&amp;" HK Equity","EQUITY_OFFERINGS","array=t","endcol=1"),MATCH("IPO",BDS(Database!$A468&amp;" HK Equity","EQUITY_OFFERINGS","array=t","startcol=2","endcol=2"),0)),"")</f>
        <v/>
      </c>
      <c r="C468" s="103">
        <f>IF($B468="","",IFERROR(BDP($B468&amp;" Action","CP036"),""))</f>
        <v/>
      </c>
      <c r="D468" s="104">
        <f>Database!S468</f>
        <v/>
      </c>
      <c r="E468" s="103">
        <f>IF($B468="","",IFERROR(BDP($B468&amp;" Action","CP037"),""))</f>
        <v/>
      </c>
      <c r="F468" s="104">
        <f>Database!T468</f>
        <v/>
      </c>
      <c r="G468" s="103">
        <f>IF($B468="","",IFERROR(BDP($B468&amp;" Action","GREENSHOE_FACILITY"),""))</f>
        <v/>
      </c>
      <c r="H468" s="103">
        <f>IF($B468="","",IFERROR(BDP($B468&amp;" Action","OFFERING_GREENSHOE_SHARES_EX"),""))</f>
        <v/>
      </c>
      <c r="I468" s="16">
        <f>Database!AG468</f>
        <v/>
      </c>
      <c r="J468" s="24">
        <f>IFERROR(BDP(Database!$A468&amp;" HK Equity","PE_RATIO"),"")</f>
        <v/>
      </c>
      <c r="K468" s="10">
        <f>IFERROR(BDP(Database!$A468&amp;" HK Equity","A/H_SHARE_CONVERSION"),"")</f>
        <v/>
      </c>
      <c r="L468" s="16">
        <f>IF(Database!BL468="","(none found)",Database!BL468)</f>
        <v/>
      </c>
      <c r="M468" s="18">
        <f>IFERROR(BDH(Database!$A468&amp;" HK Equity","CUR_MKT_CAP",Database!$H468,Database!$H468),"")</f>
        <v/>
      </c>
      <c r="N468" s="97">
        <f>Database!Q468</f>
        <v/>
      </c>
      <c r="O468" s="24">
        <f>IFERROR(BDH(Database!$A468&amp;" HK Equity","PE_RATIO",Database!$H468,Database!$H468),"")</f>
        <v/>
      </c>
      <c r="P468" s="101">
        <f>IF(Database!BF468="","(n/m or not derivable)",Database!BF468)</f>
        <v/>
      </c>
      <c r="Q468" s="24">
        <f>IF(Database!BL468="","",IFERROR(BDH(LEFT(Database!BL468,FIND(".",Database!BL468)-1)&amp;" CH Equity","PE_RATIO",Database!$H468,Database!$H468),""))</f>
        <v/>
      </c>
      <c r="R468" s="24">
        <f>IF(Database!BL468="","",IFERROR(BDH("HSAHP Index","PX_LAST",Database!$H468,Database!$H468),""))</f>
        <v/>
      </c>
      <c r="S468" s="24">
        <f>IFERROR(BDP(Database!$A468&amp;" HK Equity","PX_TO_SALES_RATIO"),"")</f>
        <v/>
      </c>
      <c r="T468" s="18">
        <f>IF(Database!BL468="","",IFERROR(BDP(LEFT(Database!BL468,FIND(".",Database!BL468)-1)&amp;" CH Equity","CUR_MKT_CAP"),""))</f>
        <v/>
      </c>
    </row>
    <row r="469">
      <c r="A469" s="16">
        <f>Database!A469&amp;"  "&amp;Database!B469</f>
        <v/>
      </c>
      <c r="B469" s="10">
        <f>IFERROR(INDEX(BDS(Database!$A469&amp;" HK Equity","EQUITY_OFFERINGS","array=t","endcol=1"),MATCH("IPO",BDS(Database!$A469&amp;" HK Equity","EQUITY_OFFERINGS","array=t","startcol=2","endcol=2"),0)),"")</f>
        <v/>
      </c>
      <c r="C469" s="103">
        <f>IF($B469="","",IFERROR(BDP($B469&amp;" Action","CP036"),""))</f>
        <v/>
      </c>
      <c r="D469" s="104">
        <f>Database!S469</f>
        <v/>
      </c>
      <c r="E469" s="103">
        <f>IF($B469="","",IFERROR(BDP($B469&amp;" Action","CP037"),""))</f>
        <v/>
      </c>
      <c r="F469" s="104">
        <f>Database!T469</f>
        <v/>
      </c>
      <c r="G469" s="103">
        <f>IF($B469="","",IFERROR(BDP($B469&amp;" Action","GREENSHOE_FACILITY"),""))</f>
        <v/>
      </c>
      <c r="H469" s="103">
        <f>IF($B469="","",IFERROR(BDP($B469&amp;" Action","OFFERING_GREENSHOE_SHARES_EX"),""))</f>
        <v/>
      </c>
      <c r="I469" s="16">
        <f>Database!AG469</f>
        <v/>
      </c>
      <c r="J469" s="24">
        <f>IFERROR(BDP(Database!$A469&amp;" HK Equity","PE_RATIO"),"")</f>
        <v/>
      </c>
      <c r="K469" s="10">
        <f>IFERROR(BDP(Database!$A469&amp;" HK Equity","A/H_SHARE_CONVERSION"),"")</f>
        <v/>
      </c>
      <c r="L469" s="16">
        <f>IF(Database!BL469="","(none found)",Database!BL469)</f>
        <v/>
      </c>
      <c r="M469" s="18">
        <f>IFERROR(BDH(Database!$A469&amp;" HK Equity","CUR_MKT_CAP",Database!$H469,Database!$H469),"")</f>
        <v/>
      </c>
      <c r="N469" s="97">
        <f>Database!Q469</f>
        <v/>
      </c>
      <c r="O469" s="24">
        <f>IFERROR(BDH(Database!$A469&amp;" HK Equity","PE_RATIO",Database!$H469,Database!$H469),"")</f>
        <v/>
      </c>
      <c r="P469" s="101">
        <f>IF(Database!BF469="","(n/m or not derivable)",Database!BF469)</f>
        <v/>
      </c>
      <c r="Q469" s="24">
        <f>IF(Database!BL469="","",IFERROR(BDH(LEFT(Database!BL469,FIND(".",Database!BL469)-1)&amp;" CH Equity","PE_RATIO",Database!$H469,Database!$H469),""))</f>
        <v/>
      </c>
      <c r="R469" s="24">
        <f>IF(Database!BL469="","",IFERROR(BDH("HSAHP Index","PX_LAST",Database!$H469,Database!$H469),""))</f>
        <v/>
      </c>
      <c r="S469" s="24">
        <f>IFERROR(BDP(Database!$A469&amp;" HK Equity","PX_TO_SALES_RATIO"),"")</f>
        <v/>
      </c>
      <c r="T469" s="18">
        <f>IF(Database!BL469="","",IFERROR(BDP(LEFT(Database!BL469,FIND(".",Database!BL469)-1)&amp;" CH Equity","CUR_MKT_CAP"),""))</f>
        <v/>
      </c>
    </row>
    <row r="470">
      <c r="A470" s="16">
        <f>Database!A470&amp;"  "&amp;Database!B470</f>
        <v/>
      </c>
      <c r="B470" s="10">
        <f>IFERROR(INDEX(BDS(Database!$A470&amp;" HK Equity","EQUITY_OFFERINGS","array=t","endcol=1"),MATCH("IPO",BDS(Database!$A470&amp;" HK Equity","EQUITY_OFFERINGS","array=t","startcol=2","endcol=2"),0)),"")</f>
        <v/>
      </c>
      <c r="C470" s="103">
        <f>IF($B470="","",IFERROR(BDP($B470&amp;" Action","CP036"),""))</f>
        <v/>
      </c>
      <c r="D470" s="104">
        <f>Database!S470</f>
        <v/>
      </c>
      <c r="E470" s="103">
        <f>IF($B470="","",IFERROR(BDP($B470&amp;" Action","CP037"),""))</f>
        <v/>
      </c>
      <c r="F470" s="104">
        <f>Database!T470</f>
        <v/>
      </c>
      <c r="G470" s="103">
        <f>IF($B470="","",IFERROR(BDP($B470&amp;" Action","GREENSHOE_FACILITY"),""))</f>
        <v/>
      </c>
      <c r="H470" s="103">
        <f>IF($B470="","",IFERROR(BDP($B470&amp;" Action","OFFERING_GREENSHOE_SHARES_EX"),""))</f>
        <v/>
      </c>
      <c r="I470" s="16">
        <f>Database!AG470</f>
        <v/>
      </c>
      <c r="J470" s="24">
        <f>IFERROR(BDP(Database!$A470&amp;" HK Equity","PE_RATIO"),"")</f>
        <v/>
      </c>
      <c r="K470" s="10">
        <f>IFERROR(BDP(Database!$A470&amp;" HK Equity","A/H_SHARE_CONVERSION"),"")</f>
        <v/>
      </c>
      <c r="L470" s="16">
        <f>IF(Database!BL470="","(none found)",Database!BL470)</f>
        <v/>
      </c>
      <c r="M470" s="18">
        <f>IFERROR(BDH(Database!$A470&amp;" HK Equity","CUR_MKT_CAP",Database!$H470,Database!$H470),"")</f>
        <v/>
      </c>
      <c r="N470" s="97">
        <f>Database!Q470</f>
        <v/>
      </c>
      <c r="O470" s="24">
        <f>IFERROR(BDH(Database!$A470&amp;" HK Equity","PE_RATIO",Database!$H470,Database!$H470),"")</f>
        <v/>
      </c>
      <c r="P470" s="101">
        <f>IF(Database!BF470="","(n/m or not derivable)",Database!BF470)</f>
        <v/>
      </c>
      <c r="Q470" s="24">
        <f>IF(Database!BL470="","",IFERROR(BDH(LEFT(Database!BL470,FIND(".",Database!BL470)-1)&amp;" CH Equity","PE_RATIO",Database!$H470,Database!$H470),""))</f>
        <v/>
      </c>
      <c r="R470" s="24">
        <f>IF(Database!BL470="","",IFERROR(BDH("HSAHP Index","PX_LAST",Database!$H470,Database!$H470),""))</f>
        <v/>
      </c>
      <c r="S470" s="24">
        <f>IFERROR(BDP(Database!$A470&amp;" HK Equity","PX_TO_SALES_RATIO"),"")</f>
        <v/>
      </c>
      <c r="T470" s="18">
        <f>IF(Database!BL470="","",IFERROR(BDP(LEFT(Database!BL470,FIND(".",Database!BL470)-1)&amp;" CH Equity","CUR_MKT_CAP"),""))</f>
        <v/>
      </c>
    </row>
    <row r="471">
      <c r="A471" s="16">
        <f>Database!A471&amp;"  "&amp;Database!B471</f>
        <v/>
      </c>
      <c r="B471" s="10">
        <f>IFERROR(INDEX(BDS(Database!$A471&amp;" HK Equity","EQUITY_OFFERINGS","array=t","endcol=1"),MATCH("IPO",BDS(Database!$A471&amp;" HK Equity","EQUITY_OFFERINGS","array=t","startcol=2","endcol=2"),0)),"")</f>
        <v/>
      </c>
      <c r="C471" s="103">
        <f>IF($B471="","",IFERROR(BDP($B471&amp;" Action","CP036"),""))</f>
        <v/>
      </c>
      <c r="D471" s="104">
        <f>Database!S471</f>
        <v/>
      </c>
      <c r="E471" s="103">
        <f>IF($B471="","",IFERROR(BDP($B471&amp;" Action","CP037"),""))</f>
        <v/>
      </c>
      <c r="F471" s="104">
        <f>Database!T471</f>
        <v/>
      </c>
      <c r="G471" s="103">
        <f>IF($B471="","",IFERROR(BDP($B471&amp;" Action","GREENSHOE_FACILITY"),""))</f>
        <v/>
      </c>
      <c r="H471" s="103">
        <f>IF($B471="","",IFERROR(BDP($B471&amp;" Action","OFFERING_GREENSHOE_SHARES_EX"),""))</f>
        <v/>
      </c>
      <c r="I471" s="16">
        <f>Database!AG471</f>
        <v/>
      </c>
      <c r="J471" s="24">
        <f>IFERROR(BDP(Database!$A471&amp;" HK Equity","PE_RATIO"),"")</f>
        <v/>
      </c>
      <c r="K471" s="10">
        <f>IFERROR(BDP(Database!$A471&amp;" HK Equity","A/H_SHARE_CONVERSION"),"")</f>
        <v/>
      </c>
      <c r="L471" s="16">
        <f>IF(Database!BL471="","(none found)",Database!BL471)</f>
        <v/>
      </c>
      <c r="M471" s="18">
        <f>IFERROR(BDH(Database!$A471&amp;" HK Equity","CUR_MKT_CAP",Database!$H471,Database!$H471),"")</f>
        <v/>
      </c>
      <c r="N471" s="97">
        <f>Database!Q471</f>
        <v/>
      </c>
      <c r="O471" s="24">
        <f>IFERROR(BDH(Database!$A471&amp;" HK Equity","PE_RATIO",Database!$H471,Database!$H471),"")</f>
        <v/>
      </c>
      <c r="P471" s="101">
        <f>IF(Database!BF471="","(n/m or not derivable)",Database!BF471)</f>
        <v/>
      </c>
      <c r="Q471" s="24">
        <f>IF(Database!BL471="","",IFERROR(BDH(LEFT(Database!BL471,FIND(".",Database!BL471)-1)&amp;" CH Equity","PE_RATIO",Database!$H471,Database!$H471),""))</f>
        <v/>
      </c>
      <c r="R471" s="24">
        <f>IF(Database!BL471="","",IFERROR(BDH("HSAHP Index","PX_LAST",Database!$H471,Database!$H471),""))</f>
        <v/>
      </c>
      <c r="S471" s="24">
        <f>IFERROR(BDP(Database!$A471&amp;" HK Equity","PX_TO_SALES_RATIO"),"")</f>
        <v/>
      </c>
      <c r="T471" s="18">
        <f>IF(Database!BL471="","",IFERROR(BDP(LEFT(Database!BL471,FIND(".",Database!BL471)-1)&amp;" CH Equity","CUR_MKT_CAP"),""))</f>
        <v/>
      </c>
    </row>
    <row r="472">
      <c r="A472" s="16">
        <f>Database!A472&amp;"  "&amp;Database!B472</f>
        <v/>
      </c>
      <c r="B472" s="10">
        <f>IFERROR(INDEX(BDS(Database!$A472&amp;" HK Equity","EQUITY_OFFERINGS","array=t","endcol=1"),MATCH("IPO",BDS(Database!$A472&amp;" HK Equity","EQUITY_OFFERINGS","array=t","startcol=2","endcol=2"),0)),"")</f>
        <v/>
      </c>
      <c r="C472" s="103">
        <f>IF($B472="","",IFERROR(BDP($B472&amp;" Action","CP036"),""))</f>
        <v/>
      </c>
      <c r="D472" s="104">
        <f>Database!S472</f>
        <v/>
      </c>
      <c r="E472" s="103">
        <f>IF($B472="","",IFERROR(BDP($B472&amp;" Action","CP037"),""))</f>
        <v/>
      </c>
      <c r="F472" s="104">
        <f>Database!T472</f>
        <v/>
      </c>
      <c r="G472" s="103">
        <f>IF($B472="","",IFERROR(BDP($B472&amp;" Action","GREENSHOE_FACILITY"),""))</f>
        <v/>
      </c>
      <c r="H472" s="103">
        <f>IF($B472="","",IFERROR(BDP($B472&amp;" Action","OFFERING_GREENSHOE_SHARES_EX"),""))</f>
        <v/>
      </c>
      <c r="I472" s="16">
        <f>Database!AG472</f>
        <v/>
      </c>
      <c r="J472" s="24">
        <f>IFERROR(BDP(Database!$A472&amp;" HK Equity","PE_RATIO"),"")</f>
        <v/>
      </c>
      <c r="K472" s="10">
        <f>IFERROR(BDP(Database!$A472&amp;" HK Equity","A/H_SHARE_CONVERSION"),"")</f>
        <v/>
      </c>
      <c r="L472" s="16">
        <f>IF(Database!BL472="","(none found)",Database!BL472)</f>
        <v/>
      </c>
      <c r="M472" s="18">
        <f>IFERROR(BDH(Database!$A472&amp;" HK Equity","CUR_MKT_CAP",Database!$H472,Database!$H472),"")</f>
        <v/>
      </c>
      <c r="N472" s="97">
        <f>Database!Q472</f>
        <v/>
      </c>
      <c r="O472" s="24">
        <f>IFERROR(BDH(Database!$A472&amp;" HK Equity","PE_RATIO",Database!$H472,Database!$H472),"")</f>
        <v/>
      </c>
      <c r="P472" s="101">
        <f>IF(Database!BF472="","(n/m or not derivable)",Database!BF472)</f>
        <v/>
      </c>
      <c r="Q472" s="24">
        <f>IF(Database!BL472="","",IFERROR(BDH(LEFT(Database!BL472,FIND(".",Database!BL472)-1)&amp;" CH Equity","PE_RATIO",Database!$H472,Database!$H472),""))</f>
        <v/>
      </c>
      <c r="R472" s="24">
        <f>IF(Database!BL472="","",IFERROR(BDH("HSAHP Index","PX_LAST",Database!$H472,Database!$H472),""))</f>
        <v/>
      </c>
      <c r="S472" s="24">
        <f>IFERROR(BDP(Database!$A472&amp;" HK Equity","PX_TO_SALES_RATIO"),"")</f>
        <v/>
      </c>
      <c r="T472" s="18">
        <f>IF(Database!BL472="","",IFERROR(BDP(LEFT(Database!BL472,FIND(".",Database!BL472)-1)&amp;" CH Equity","CUR_MKT_CAP"),""))</f>
        <v/>
      </c>
    </row>
    <row r="473">
      <c r="A473" s="16">
        <f>Database!A473&amp;"  "&amp;Database!B473</f>
        <v/>
      </c>
      <c r="B473" s="10">
        <f>IFERROR(INDEX(BDS(Database!$A473&amp;" HK Equity","EQUITY_OFFERINGS","array=t","endcol=1"),MATCH("IPO",BDS(Database!$A473&amp;" HK Equity","EQUITY_OFFERINGS","array=t","startcol=2","endcol=2"),0)),"")</f>
        <v/>
      </c>
      <c r="C473" s="103">
        <f>IF($B473="","",IFERROR(BDP($B473&amp;" Action","CP036"),""))</f>
        <v/>
      </c>
      <c r="D473" s="104">
        <f>Database!S473</f>
        <v/>
      </c>
      <c r="E473" s="103">
        <f>IF($B473="","",IFERROR(BDP($B473&amp;" Action","CP037"),""))</f>
        <v/>
      </c>
      <c r="F473" s="104">
        <f>Database!T473</f>
        <v/>
      </c>
      <c r="G473" s="103">
        <f>IF($B473="","",IFERROR(BDP($B473&amp;" Action","GREENSHOE_FACILITY"),""))</f>
        <v/>
      </c>
      <c r="H473" s="103">
        <f>IF($B473="","",IFERROR(BDP($B473&amp;" Action","OFFERING_GREENSHOE_SHARES_EX"),""))</f>
        <v/>
      </c>
      <c r="I473" s="16">
        <f>Database!AG473</f>
        <v/>
      </c>
      <c r="J473" s="24">
        <f>IFERROR(BDP(Database!$A473&amp;" HK Equity","PE_RATIO"),"")</f>
        <v/>
      </c>
      <c r="K473" s="10">
        <f>IFERROR(BDP(Database!$A473&amp;" HK Equity","A/H_SHARE_CONVERSION"),"")</f>
        <v/>
      </c>
      <c r="L473" s="16">
        <f>IF(Database!BL473="","(none found)",Database!BL473)</f>
        <v/>
      </c>
      <c r="M473" s="18">
        <f>IFERROR(BDH(Database!$A473&amp;" HK Equity","CUR_MKT_CAP",Database!$H473,Database!$H473),"")</f>
        <v/>
      </c>
      <c r="N473" s="97">
        <f>Database!Q473</f>
        <v/>
      </c>
      <c r="O473" s="24">
        <f>IFERROR(BDH(Database!$A473&amp;" HK Equity","PE_RATIO",Database!$H473,Database!$H473),"")</f>
        <v/>
      </c>
      <c r="P473" s="101">
        <f>IF(Database!BF473="","(n/m or not derivable)",Database!BF473)</f>
        <v/>
      </c>
      <c r="Q473" s="24">
        <f>IF(Database!BL473="","",IFERROR(BDH(LEFT(Database!BL473,FIND(".",Database!BL473)-1)&amp;" CH Equity","PE_RATIO",Database!$H473,Database!$H473),""))</f>
        <v/>
      </c>
      <c r="R473" s="24">
        <f>IF(Database!BL473="","",IFERROR(BDH("HSAHP Index","PX_LAST",Database!$H473,Database!$H473),""))</f>
        <v/>
      </c>
      <c r="S473" s="24">
        <f>IFERROR(BDP(Database!$A473&amp;" HK Equity","PX_TO_SALES_RATIO"),"")</f>
        <v/>
      </c>
      <c r="T473" s="18">
        <f>IF(Database!BL473="","",IFERROR(BDP(LEFT(Database!BL473,FIND(".",Database!BL473)-1)&amp;" CH Equity","CUR_MKT_CAP"),""))</f>
        <v/>
      </c>
    </row>
    <row r="474">
      <c r="A474" s="16">
        <f>Database!A474&amp;"  "&amp;Database!B474</f>
        <v/>
      </c>
      <c r="B474" s="10">
        <f>IFERROR(INDEX(BDS(Database!$A474&amp;" HK Equity","EQUITY_OFFERINGS","array=t","endcol=1"),MATCH("IPO",BDS(Database!$A474&amp;" HK Equity","EQUITY_OFFERINGS","array=t","startcol=2","endcol=2"),0)),"")</f>
        <v/>
      </c>
      <c r="C474" s="103">
        <f>IF($B474="","",IFERROR(BDP($B474&amp;" Action","CP036"),""))</f>
        <v/>
      </c>
      <c r="D474" s="104">
        <f>Database!S474</f>
        <v/>
      </c>
      <c r="E474" s="103">
        <f>IF($B474="","",IFERROR(BDP($B474&amp;" Action","CP037"),""))</f>
        <v/>
      </c>
      <c r="F474" s="104">
        <f>Database!T474</f>
        <v/>
      </c>
      <c r="G474" s="103">
        <f>IF($B474="","",IFERROR(BDP($B474&amp;" Action","GREENSHOE_FACILITY"),""))</f>
        <v/>
      </c>
      <c r="H474" s="103">
        <f>IF($B474="","",IFERROR(BDP($B474&amp;" Action","OFFERING_GREENSHOE_SHARES_EX"),""))</f>
        <v/>
      </c>
      <c r="I474" s="16">
        <f>Database!AG474</f>
        <v/>
      </c>
      <c r="J474" s="24">
        <f>IFERROR(BDP(Database!$A474&amp;" HK Equity","PE_RATIO"),"")</f>
        <v/>
      </c>
      <c r="K474" s="10">
        <f>IFERROR(BDP(Database!$A474&amp;" HK Equity","A/H_SHARE_CONVERSION"),"")</f>
        <v/>
      </c>
      <c r="L474" s="16">
        <f>IF(Database!BL474="","(none found)",Database!BL474)</f>
        <v/>
      </c>
      <c r="M474" s="18">
        <f>IFERROR(BDH(Database!$A474&amp;" HK Equity","CUR_MKT_CAP",Database!$H474,Database!$H474),"")</f>
        <v/>
      </c>
      <c r="N474" s="97">
        <f>Database!Q474</f>
        <v/>
      </c>
      <c r="O474" s="24">
        <f>IFERROR(BDH(Database!$A474&amp;" HK Equity","PE_RATIO",Database!$H474,Database!$H474),"")</f>
        <v/>
      </c>
      <c r="P474" s="101">
        <f>IF(Database!BF474="","(n/m or not derivable)",Database!BF474)</f>
        <v/>
      </c>
      <c r="Q474" s="24">
        <f>IF(Database!BL474="","",IFERROR(BDH(LEFT(Database!BL474,FIND(".",Database!BL474)-1)&amp;" CH Equity","PE_RATIO",Database!$H474,Database!$H474),""))</f>
        <v/>
      </c>
      <c r="R474" s="24">
        <f>IF(Database!BL474="","",IFERROR(BDH("HSAHP Index","PX_LAST",Database!$H474,Database!$H474),""))</f>
        <v/>
      </c>
      <c r="S474" s="24">
        <f>IFERROR(BDP(Database!$A474&amp;" HK Equity","PX_TO_SALES_RATIO"),"")</f>
        <v/>
      </c>
      <c r="T474" s="18">
        <f>IF(Database!BL474="","",IFERROR(BDP(LEFT(Database!BL474,FIND(".",Database!BL474)-1)&amp;" CH Equity","CUR_MKT_CAP"),""))</f>
        <v/>
      </c>
    </row>
    <row r="475">
      <c r="A475" s="16">
        <f>Database!A475&amp;"  "&amp;Database!B475</f>
        <v/>
      </c>
      <c r="B475" s="10">
        <f>IFERROR(INDEX(BDS(Database!$A475&amp;" HK Equity","EQUITY_OFFERINGS","array=t","endcol=1"),MATCH("IPO",BDS(Database!$A475&amp;" HK Equity","EQUITY_OFFERINGS","array=t","startcol=2","endcol=2"),0)),"")</f>
        <v/>
      </c>
      <c r="C475" s="103">
        <f>IF($B475="","",IFERROR(BDP($B475&amp;" Action","CP036"),""))</f>
        <v/>
      </c>
      <c r="D475" s="104">
        <f>Database!S475</f>
        <v/>
      </c>
      <c r="E475" s="103">
        <f>IF($B475="","",IFERROR(BDP($B475&amp;" Action","CP037"),""))</f>
        <v/>
      </c>
      <c r="F475" s="104">
        <f>Database!T475</f>
        <v/>
      </c>
      <c r="G475" s="103">
        <f>IF($B475="","",IFERROR(BDP($B475&amp;" Action","GREENSHOE_FACILITY"),""))</f>
        <v/>
      </c>
      <c r="H475" s="103">
        <f>IF($B475="","",IFERROR(BDP($B475&amp;" Action","OFFERING_GREENSHOE_SHARES_EX"),""))</f>
        <v/>
      </c>
      <c r="I475" s="16">
        <f>Database!AG475</f>
        <v/>
      </c>
      <c r="J475" s="24">
        <f>IFERROR(BDP(Database!$A475&amp;" HK Equity","PE_RATIO"),"")</f>
        <v/>
      </c>
      <c r="K475" s="10">
        <f>IFERROR(BDP(Database!$A475&amp;" HK Equity","A/H_SHARE_CONVERSION"),"")</f>
        <v/>
      </c>
      <c r="L475" s="16">
        <f>IF(Database!BL475="","(none found)",Database!BL475)</f>
        <v/>
      </c>
      <c r="M475" s="18">
        <f>IFERROR(BDH(Database!$A475&amp;" HK Equity","CUR_MKT_CAP",Database!$H475,Database!$H475),"")</f>
        <v/>
      </c>
      <c r="N475" s="97">
        <f>Database!Q475</f>
        <v/>
      </c>
      <c r="O475" s="24">
        <f>IFERROR(BDH(Database!$A475&amp;" HK Equity","PE_RATIO",Database!$H475,Database!$H475),"")</f>
        <v/>
      </c>
      <c r="P475" s="101">
        <f>IF(Database!BF475="","(n/m or not derivable)",Database!BF475)</f>
        <v/>
      </c>
      <c r="Q475" s="24">
        <f>IF(Database!BL475="","",IFERROR(BDH(LEFT(Database!BL475,FIND(".",Database!BL475)-1)&amp;" CH Equity","PE_RATIO",Database!$H475,Database!$H475),""))</f>
        <v/>
      </c>
      <c r="R475" s="24">
        <f>IF(Database!BL475="","",IFERROR(BDH("HSAHP Index","PX_LAST",Database!$H475,Database!$H475),""))</f>
        <v/>
      </c>
      <c r="S475" s="24">
        <f>IFERROR(BDP(Database!$A475&amp;" HK Equity","PX_TO_SALES_RATIO"),"")</f>
        <v/>
      </c>
      <c r="T475" s="18">
        <f>IF(Database!BL475="","",IFERROR(BDP(LEFT(Database!BL475,FIND(".",Database!BL475)-1)&amp;" CH Equity","CUR_MKT_CAP"),""))</f>
        <v/>
      </c>
    </row>
    <row r="476">
      <c r="A476" s="16">
        <f>Database!A476&amp;"  "&amp;Database!B476</f>
        <v/>
      </c>
      <c r="B476" s="10">
        <f>IFERROR(INDEX(BDS(Database!$A476&amp;" HK Equity","EQUITY_OFFERINGS","array=t","endcol=1"),MATCH("IPO",BDS(Database!$A476&amp;" HK Equity","EQUITY_OFFERINGS","array=t","startcol=2","endcol=2"),0)),"")</f>
        <v/>
      </c>
      <c r="C476" s="103">
        <f>IF($B476="","",IFERROR(BDP($B476&amp;" Action","CP036"),""))</f>
        <v/>
      </c>
      <c r="D476" s="104">
        <f>Database!S476</f>
        <v/>
      </c>
      <c r="E476" s="103">
        <f>IF($B476="","",IFERROR(BDP($B476&amp;" Action","CP037"),""))</f>
        <v/>
      </c>
      <c r="F476" s="104">
        <f>Database!T476</f>
        <v/>
      </c>
      <c r="G476" s="103">
        <f>IF($B476="","",IFERROR(BDP($B476&amp;" Action","GREENSHOE_FACILITY"),""))</f>
        <v/>
      </c>
      <c r="H476" s="103">
        <f>IF($B476="","",IFERROR(BDP($B476&amp;" Action","OFFERING_GREENSHOE_SHARES_EX"),""))</f>
        <v/>
      </c>
      <c r="I476" s="16">
        <f>Database!AG476</f>
        <v/>
      </c>
      <c r="J476" s="24">
        <f>IFERROR(BDP(Database!$A476&amp;" HK Equity","PE_RATIO"),"")</f>
        <v/>
      </c>
      <c r="K476" s="10">
        <f>IFERROR(BDP(Database!$A476&amp;" HK Equity","A/H_SHARE_CONVERSION"),"")</f>
        <v/>
      </c>
      <c r="L476" s="16">
        <f>IF(Database!BL476="","(none found)",Database!BL476)</f>
        <v/>
      </c>
      <c r="M476" s="18">
        <f>IFERROR(BDH(Database!$A476&amp;" HK Equity","CUR_MKT_CAP",Database!$H476,Database!$H476),"")</f>
        <v/>
      </c>
      <c r="N476" s="97">
        <f>Database!Q476</f>
        <v/>
      </c>
      <c r="O476" s="24">
        <f>IFERROR(BDH(Database!$A476&amp;" HK Equity","PE_RATIO",Database!$H476,Database!$H476),"")</f>
        <v/>
      </c>
      <c r="P476" s="101">
        <f>IF(Database!BF476="","(n/m or not derivable)",Database!BF476)</f>
        <v/>
      </c>
      <c r="Q476" s="24">
        <f>IF(Database!BL476="","",IFERROR(BDH(LEFT(Database!BL476,FIND(".",Database!BL476)-1)&amp;" CH Equity","PE_RATIO",Database!$H476,Database!$H476),""))</f>
        <v/>
      </c>
      <c r="R476" s="24">
        <f>IF(Database!BL476="","",IFERROR(BDH("HSAHP Index","PX_LAST",Database!$H476,Database!$H476),""))</f>
        <v/>
      </c>
      <c r="S476" s="24">
        <f>IFERROR(BDP(Database!$A476&amp;" HK Equity","PX_TO_SALES_RATIO"),"")</f>
        <v/>
      </c>
      <c r="T476" s="18">
        <f>IF(Database!BL476="","",IFERROR(BDP(LEFT(Database!BL476,FIND(".",Database!BL476)-1)&amp;" CH Equity","CUR_MKT_CAP"),""))</f>
        <v/>
      </c>
    </row>
    <row r="477">
      <c r="A477" s="16">
        <f>Database!A477&amp;"  "&amp;Database!B477</f>
        <v/>
      </c>
      <c r="B477" s="10">
        <f>IFERROR(INDEX(BDS(Database!$A477&amp;" HK Equity","EQUITY_OFFERINGS","array=t","endcol=1"),MATCH("IPO",BDS(Database!$A477&amp;" HK Equity","EQUITY_OFFERINGS","array=t","startcol=2","endcol=2"),0)),"")</f>
        <v/>
      </c>
      <c r="C477" s="103">
        <f>IF($B477="","",IFERROR(BDP($B477&amp;" Action","CP036"),""))</f>
        <v/>
      </c>
      <c r="D477" s="104">
        <f>Database!S477</f>
        <v/>
      </c>
      <c r="E477" s="103">
        <f>IF($B477="","",IFERROR(BDP($B477&amp;" Action","CP037"),""))</f>
        <v/>
      </c>
      <c r="F477" s="104">
        <f>Database!T477</f>
        <v/>
      </c>
      <c r="G477" s="103">
        <f>IF($B477="","",IFERROR(BDP($B477&amp;" Action","GREENSHOE_FACILITY"),""))</f>
        <v/>
      </c>
      <c r="H477" s="103">
        <f>IF($B477="","",IFERROR(BDP($B477&amp;" Action","OFFERING_GREENSHOE_SHARES_EX"),""))</f>
        <v/>
      </c>
      <c r="I477" s="16">
        <f>Database!AG477</f>
        <v/>
      </c>
      <c r="J477" s="24">
        <f>IFERROR(BDP(Database!$A477&amp;" HK Equity","PE_RATIO"),"")</f>
        <v/>
      </c>
      <c r="K477" s="10">
        <f>IFERROR(BDP(Database!$A477&amp;" HK Equity","A/H_SHARE_CONVERSION"),"")</f>
        <v/>
      </c>
      <c r="L477" s="16">
        <f>IF(Database!BL477="","(none found)",Database!BL477)</f>
        <v/>
      </c>
      <c r="M477" s="18">
        <f>IFERROR(BDH(Database!$A477&amp;" HK Equity","CUR_MKT_CAP",Database!$H477,Database!$H477),"")</f>
        <v/>
      </c>
      <c r="N477" s="97">
        <f>Database!Q477</f>
        <v/>
      </c>
      <c r="O477" s="24">
        <f>IFERROR(BDH(Database!$A477&amp;" HK Equity","PE_RATIO",Database!$H477,Database!$H477),"")</f>
        <v/>
      </c>
      <c r="P477" s="101">
        <f>IF(Database!BF477="","(n/m or not derivable)",Database!BF477)</f>
        <v/>
      </c>
      <c r="Q477" s="24">
        <f>IF(Database!BL477="","",IFERROR(BDH(LEFT(Database!BL477,FIND(".",Database!BL477)-1)&amp;" CH Equity","PE_RATIO",Database!$H477,Database!$H477),""))</f>
        <v/>
      </c>
      <c r="R477" s="24">
        <f>IF(Database!BL477="","",IFERROR(BDH("HSAHP Index","PX_LAST",Database!$H477,Database!$H477),""))</f>
        <v/>
      </c>
      <c r="S477" s="24">
        <f>IFERROR(BDP(Database!$A477&amp;" HK Equity","PX_TO_SALES_RATIO"),"")</f>
        <v/>
      </c>
      <c r="T477" s="18">
        <f>IF(Database!BL477="","",IFERROR(BDP(LEFT(Database!BL477,FIND(".",Database!BL477)-1)&amp;" CH Equity","CUR_MKT_CAP"),""))</f>
        <v/>
      </c>
    </row>
    <row r="478">
      <c r="A478" s="16">
        <f>Database!A478&amp;"  "&amp;Database!B478</f>
        <v/>
      </c>
      <c r="B478" s="10">
        <f>IFERROR(INDEX(BDS(Database!$A478&amp;" HK Equity","EQUITY_OFFERINGS","array=t","endcol=1"),MATCH("IPO",BDS(Database!$A478&amp;" HK Equity","EQUITY_OFFERINGS","array=t","startcol=2","endcol=2"),0)),"")</f>
        <v/>
      </c>
      <c r="C478" s="103">
        <f>IF($B478="","",IFERROR(BDP($B478&amp;" Action","CP036"),""))</f>
        <v/>
      </c>
      <c r="D478" s="104">
        <f>Database!S478</f>
        <v/>
      </c>
      <c r="E478" s="103">
        <f>IF($B478="","",IFERROR(BDP($B478&amp;" Action","CP037"),""))</f>
        <v/>
      </c>
      <c r="F478" s="104">
        <f>Database!T478</f>
        <v/>
      </c>
      <c r="G478" s="103">
        <f>IF($B478="","",IFERROR(BDP($B478&amp;" Action","GREENSHOE_FACILITY"),""))</f>
        <v/>
      </c>
      <c r="H478" s="103">
        <f>IF($B478="","",IFERROR(BDP($B478&amp;" Action","OFFERING_GREENSHOE_SHARES_EX"),""))</f>
        <v/>
      </c>
      <c r="I478" s="16">
        <f>Database!AG478</f>
        <v/>
      </c>
      <c r="J478" s="24">
        <f>IFERROR(BDP(Database!$A478&amp;" HK Equity","PE_RATIO"),"")</f>
        <v/>
      </c>
      <c r="K478" s="10">
        <f>IFERROR(BDP(Database!$A478&amp;" HK Equity","A/H_SHARE_CONVERSION"),"")</f>
        <v/>
      </c>
      <c r="L478" s="16">
        <f>IF(Database!BL478="","(none found)",Database!BL478)</f>
        <v/>
      </c>
      <c r="M478" s="18">
        <f>IFERROR(BDH(Database!$A478&amp;" HK Equity","CUR_MKT_CAP",Database!$H478,Database!$H478),"")</f>
        <v/>
      </c>
      <c r="N478" s="97">
        <f>Database!Q478</f>
        <v/>
      </c>
      <c r="O478" s="24">
        <f>IFERROR(BDH(Database!$A478&amp;" HK Equity","PE_RATIO",Database!$H478,Database!$H478),"")</f>
        <v/>
      </c>
      <c r="P478" s="101">
        <f>IF(Database!BF478="","(n/m or not derivable)",Database!BF478)</f>
        <v/>
      </c>
      <c r="Q478" s="24">
        <f>IF(Database!BL478="","",IFERROR(BDH(LEFT(Database!BL478,FIND(".",Database!BL478)-1)&amp;" CH Equity","PE_RATIO",Database!$H478,Database!$H478),""))</f>
        <v/>
      </c>
      <c r="R478" s="24">
        <f>IF(Database!BL478="","",IFERROR(BDH("HSAHP Index","PX_LAST",Database!$H478,Database!$H478),""))</f>
        <v/>
      </c>
      <c r="S478" s="24">
        <f>IFERROR(BDP(Database!$A478&amp;" HK Equity","PX_TO_SALES_RATIO"),"")</f>
        <v/>
      </c>
      <c r="T478" s="18">
        <f>IF(Database!BL478="","",IFERROR(BDP(LEFT(Database!BL478,FIND(".",Database!BL478)-1)&amp;" CH Equity","CUR_MKT_CAP"),""))</f>
        <v/>
      </c>
    </row>
    <row r="479">
      <c r="A479" s="16">
        <f>Database!A479&amp;"  "&amp;Database!B479</f>
        <v/>
      </c>
      <c r="B479" s="10">
        <f>IFERROR(INDEX(BDS(Database!$A479&amp;" HK Equity","EQUITY_OFFERINGS","array=t","endcol=1"),MATCH("IPO",BDS(Database!$A479&amp;" HK Equity","EQUITY_OFFERINGS","array=t","startcol=2","endcol=2"),0)),"")</f>
        <v/>
      </c>
      <c r="C479" s="103">
        <f>IF($B479="","",IFERROR(BDP($B479&amp;" Action","CP036"),""))</f>
        <v/>
      </c>
      <c r="D479" s="104">
        <f>Database!S479</f>
        <v/>
      </c>
      <c r="E479" s="103">
        <f>IF($B479="","",IFERROR(BDP($B479&amp;" Action","CP037"),""))</f>
        <v/>
      </c>
      <c r="F479" s="104">
        <f>Database!T479</f>
        <v/>
      </c>
      <c r="G479" s="103">
        <f>IF($B479="","",IFERROR(BDP($B479&amp;" Action","GREENSHOE_FACILITY"),""))</f>
        <v/>
      </c>
      <c r="H479" s="103">
        <f>IF($B479="","",IFERROR(BDP($B479&amp;" Action","OFFERING_GREENSHOE_SHARES_EX"),""))</f>
        <v/>
      </c>
      <c r="I479" s="16">
        <f>Database!AG479</f>
        <v/>
      </c>
      <c r="J479" s="24">
        <f>IFERROR(BDP(Database!$A479&amp;" HK Equity","PE_RATIO"),"")</f>
        <v/>
      </c>
      <c r="K479" s="10">
        <f>IFERROR(BDP(Database!$A479&amp;" HK Equity","A/H_SHARE_CONVERSION"),"")</f>
        <v/>
      </c>
      <c r="L479" s="16">
        <f>IF(Database!BL479="","(none found)",Database!BL479)</f>
        <v/>
      </c>
      <c r="M479" s="18">
        <f>IFERROR(BDH(Database!$A479&amp;" HK Equity","CUR_MKT_CAP",Database!$H479,Database!$H479),"")</f>
        <v/>
      </c>
      <c r="N479" s="97">
        <f>Database!Q479</f>
        <v/>
      </c>
      <c r="O479" s="24">
        <f>IFERROR(BDH(Database!$A479&amp;" HK Equity","PE_RATIO",Database!$H479,Database!$H479),"")</f>
        <v/>
      </c>
      <c r="P479" s="101">
        <f>IF(Database!BF479="","(n/m or not derivable)",Database!BF479)</f>
        <v/>
      </c>
      <c r="Q479" s="24">
        <f>IF(Database!BL479="","",IFERROR(BDH(LEFT(Database!BL479,FIND(".",Database!BL479)-1)&amp;" CH Equity","PE_RATIO",Database!$H479,Database!$H479),""))</f>
        <v/>
      </c>
      <c r="R479" s="24">
        <f>IF(Database!BL479="","",IFERROR(BDH("HSAHP Index","PX_LAST",Database!$H479,Database!$H479),""))</f>
        <v/>
      </c>
      <c r="S479" s="24">
        <f>IFERROR(BDP(Database!$A479&amp;" HK Equity","PX_TO_SALES_RATIO"),"")</f>
        <v/>
      </c>
      <c r="T479" s="18">
        <f>IF(Database!BL479="","",IFERROR(BDP(LEFT(Database!BL479,FIND(".",Database!BL479)-1)&amp;" CH Equity","CUR_MKT_CAP"),""))</f>
        <v/>
      </c>
    </row>
    <row r="480">
      <c r="A480" s="16">
        <f>Database!A480&amp;"  "&amp;Database!B480</f>
        <v/>
      </c>
      <c r="B480" s="10">
        <f>IFERROR(INDEX(BDS(Database!$A480&amp;" HK Equity","EQUITY_OFFERINGS","array=t","endcol=1"),MATCH("IPO",BDS(Database!$A480&amp;" HK Equity","EQUITY_OFFERINGS","array=t","startcol=2","endcol=2"),0)),"")</f>
        <v/>
      </c>
      <c r="C480" s="103">
        <f>IF($B480="","",IFERROR(BDP($B480&amp;" Action","CP036"),""))</f>
        <v/>
      </c>
      <c r="D480" s="104">
        <f>Database!S480</f>
        <v/>
      </c>
      <c r="E480" s="103">
        <f>IF($B480="","",IFERROR(BDP($B480&amp;" Action","CP037"),""))</f>
        <v/>
      </c>
      <c r="F480" s="104">
        <f>Database!T480</f>
        <v/>
      </c>
      <c r="G480" s="103">
        <f>IF($B480="","",IFERROR(BDP($B480&amp;" Action","GREENSHOE_FACILITY"),""))</f>
        <v/>
      </c>
      <c r="H480" s="103">
        <f>IF($B480="","",IFERROR(BDP($B480&amp;" Action","OFFERING_GREENSHOE_SHARES_EX"),""))</f>
        <v/>
      </c>
      <c r="I480" s="16">
        <f>Database!AG480</f>
        <v/>
      </c>
      <c r="J480" s="24">
        <f>IFERROR(BDP(Database!$A480&amp;" HK Equity","PE_RATIO"),"")</f>
        <v/>
      </c>
      <c r="K480" s="10">
        <f>IFERROR(BDP(Database!$A480&amp;" HK Equity","A/H_SHARE_CONVERSION"),"")</f>
        <v/>
      </c>
      <c r="L480" s="16">
        <f>IF(Database!BL480="","(none found)",Database!BL480)</f>
        <v/>
      </c>
      <c r="M480" s="18">
        <f>IFERROR(BDH(Database!$A480&amp;" HK Equity","CUR_MKT_CAP",Database!$H480,Database!$H480),"")</f>
        <v/>
      </c>
      <c r="N480" s="97">
        <f>Database!Q480</f>
        <v/>
      </c>
      <c r="O480" s="24">
        <f>IFERROR(BDH(Database!$A480&amp;" HK Equity","PE_RATIO",Database!$H480,Database!$H480),"")</f>
        <v/>
      </c>
      <c r="P480" s="101">
        <f>IF(Database!BF480="","(n/m or not derivable)",Database!BF480)</f>
        <v/>
      </c>
      <c r="Q480" s="24">
        <f>IF(Database!BL480="","",IFERROR(BDH(LEFT(Database!BL480,FIND(".",Database!BL480)-1)&amp;" CH Equity","PE_RATIO",Database!$H480,Database!$H480),""))</f>
        <v/>
      </c>
      <c r="R480" s="24">
        <f>IF(Database!BL480="","",IFERROR(BDH("HSAHP Index","PX_LAST",Database!$H480,Database!$H480),""))</f>
        <v/>
      </c>
      <c r="S480" s="24">
        <f>IFERROR(BDP(Database!$A480&amp;" HK Equity","PX_TO_SALES_RATIO"),"")</f>
        <v/>
      </c>
      <c r="T480" s="18">
        <f>IF(Database!BL480="","",IFERROR(BDP(LEFT(Database!BL480,FIND(".",Database!BL480)-1)&amp;" CH Equity","CUR_MKT_CAP"),""))</f>
        <v/>
      </c>
    </row>
    <row r="481">
      <c r="A481" s="16">
        <f>Database!A481&amp;"  "&amp;Database!B481</f>
        <v/>
      </c>
      <c r="B481" s="10">
        <f>IFERROR(INDEX(BDS(Database!$A481&amp;" HK Equity","EQUITY_OFFERINGS","array=t","endcol=1"),MATCH("IPO",BDS(Database!$A481&amp;" HK Equity","EQUITY_OFFERINGS","array=t","startcol=2","endcol=2"),0)),"")</f>
        <v/>
      </c>
      <c r="C481" s="103">
        <f>IF($B481="","",IFERROR(BDP($B481&amp;" Action","CP036"),""))</f>
        <v/>
      </c>
      <c r="D481" s="104">
        <f>Database!S481</f>
        <v/>
      </c>
      <c r="E481" s="103">
        <f>IF($B481="","",IFERROR(BDP($B481&amp;" Action","CP037"),""))</f>
        <v/>
      </c>
      <c r="F481" s="104">
        <f>Database!T481</f>
        <v/>
      </c>
      <c r="G481" s="103">
        <f>IF($B481="","",IFERROR(BDP($B481&amp;" Action","GREENSHOE_FACILITY"),""))</f>
        <v/>
      </c>
      <c r="H481" s="103">
        <f>IF($B481="","",IFERROR(BDP($B481&amp;" Action","OFFERING_GREENSHOE_SHARES_EX"),""))</f>
        <v/>
      </c>
      <c r="I481" s="16">
        <f>Database!AG481</f>
        <v/>
      </c>
      <c r="J481" s="24">
        <f>IFERROR(BDP(Database!$A481&amp;" HK Equity","PE_RATIO"),"")</f>
        <v/>
      </c>
      <c r="K481" s="10">
        <f>IFERROR(BDP(Database!$A481&amp;" HK Equity","A/H_SHARE_CONVERSION"),"")</f>
        <v/>
      </c>
      <c r="L481" s="16">
        <f>IF(Database!BL481="","(none found)",Database!BL481)</f>
        <v/>
      </c>
      <c r="M481" s="18">
        <f>IFERROR(BDH(Database!$A481&amp;" HK Equity","CUR_MKT_CAP",Database!$H481,Database!$H481),"")</f>
        <v/>
      </c>
      <c r="N481" s="97">
        <f>Database!Q481</f>
        <v/>
      </c>
      <c r="O481" s="24">
        <f>IFERROR(BDH(Database!$A481&amp;" HK Equity","PE_RATIO",Database!$H481,Database!$H481),"")</f>
        <v/>
      </c>
      <c r="P481" s="101">
        <f>IF(Database!BF481="","(n/m or not derivable)",Database!BF481)</f>
        <v/>
      </c>
      <c r="Q481" s="24">
        <f>IF(Database!BL481="","",IFERROR(BDH(LEFT(Database!BL481,FIND(".",Database!BL481)-1)&amp;" CH Equity","PE_RATIO",Database!$H481,Database!$H481),""))</f>
        <v/>
      </c>
      <c r="R481" s="24">
        <f>IF(Database!BL481="","",IFERROR(BDH("HSAHP Index","PX_LAST",Database!$H481,Database!$H481),""))</f>
        <v/>
      </c>
      <c r="S481" s="24">
        <f>IFERROR(BDP(Database!$A481&amp;" HK Equity","PX_TO_SALES_RATIO"),"")</f>
        <v/>
      </c>
      <c r="T481" s="18">
        <f>IF(Database!BL481="","",IFERROR(BDP(LEFT(Database!BL481,FIND(".",Database!BL481)-1)&amp;" CH Equity","CUR_MKT_CAP"),""))</f>
        <v/>
      </c>
    </row>
    <row r="482">
      <c r="A482" s="16">
        <f>Database!A482&amp;"  "&amp;Database!B482</f>
        <v/>
      </c>
      <c r="B482" s="10">
        <f>IFERROR(INDEX(BDS(Database!$A482&amp;" HK Equity","EQUITY_OFFERINGS","array=t","endcol=1"),MATCH("IPO",BDS(Database!$A482&amp;" HK Equity","EQUITY_OFFERINGS","array=t","startcol=2","endcol=2"),0)),"")</f>
        <v/>
      </c>
      <c r="C482" s="103">
        <f>IF($B482="","",IFERROR(BDP($B482&amp;" Action","CP036"),""))</f>
        <v/>
      </c>
      <c r="D482" s="104">
        <f>Database!S482</f>
        <v/>
      </c>
      <c r="E482" s="103">
        <f>IF($B482="","",IFERROR(BDP($B482&amp;" Action","CP037"),""))</f>
        <v/>
      </c>
      <c r="F482" s="104">
        <f>Database!T482</f>
        <v/>
      </c>
      <c r="G482" s="103">
        <f>IF($B482="","",IFERROR(BDP($B482&amp;" Action","GREENSHOE_FACILITY"),""))</f>
        <v/>
      </c>
      <c r="H482" s="103">
        <f>IF($B482="","",IFERROR(BDP($B482&amp;" Action","OFFERING_GREENSHOE_SHARES_EX"),""))</f>
        <v/>
      </c>
      <c r="I482" s="16">
        <f>Database!AG482</f>
        <v/>
      </c>
      <c r="J482" s="24">
        <f>IFERROR(BDP(Database!$A482&amp;" HK Equity","PE_RATIO"),"")</f>
        <v/>
      </c>
      <c r="K482" s="10">
        <f>IFERROR(BDP(Database!$A482&amp;" HK Equity","A/H_SHARE_CONVERSION"),"")</f>
        <v/>
      </c>
      <c r="L482" s="16">
        <f>IF(Database!BL482="","(none found)",Database!BL482)</f>
        <v/>
      </c>
      <c r="M482" s="18">
        <f>IFERROR(BDH(Database!$A482&amp;" HK Equity","CUR_MKT_CAP",Database!$H482,Database!$H482),"")</f>
        <v/>
      </c>
      <c r="N482" s="97">
        <f>Database!Q482</f>
        <v/>
      </c>
      <c r="O482" s="24">
        <f>IFERROR(BDH(Database!$A482&amp;" HK Equity","PE_RATIO",Database!$H482,Database!$H482),"")</f>
        <v/>
      </c>
      <c r="P482" s="101">
        <f>IF(Database!BF482="","(n/m or not derivable)",Database!BF482)</f>
        <v/>
      </c>
      <c r="Q482" s="24">
        <f>IF(Database!BL482="","",IFERROR(BDH(LEFT(Database!BL482,FIND(".",Database!BL482)-1)&amp;" CH Equity","PE_RATIO",Database!$H482,Database!$H482),""))</f>
        <v/>
      </c>
      <c r="R482" s="24">
        <f>IF(Database!BL482="","",IFERROR(BDH("HSAHP Index","PX_LAST",Database!$H482,Database!$H482),""))</f>
        <v/>
      </c>
      <c r="S482" s="24">
        <f>IFERROR(BDP(Database!$A482&amp;" HK Equity","PX_TO_SALES_RATIO"),"")</f>
        <v/>
      </c>
      <c r="T482" s="18">
        <f>IF(Database!BL482="","",IFERROR(BDP(LEFT(Database!BL482,FIND(".",Database!BL482)-1)&amp;" CH Equity","CUR_MKT_CAP"),""))</f>
        <v/>
      </c>
    </row>
    <row r="483">
      <c r="A483" s="16">
        <f>Database!A483&amp;"  "&amp;Database!B483</f>
        <v/>
      </c>
      <c r="B483" s="10">
        <f>IFERROR(INDEX(BDS(Database!$A483&amp;" HK Equity","EQUITY_OFFERINGS","array=t","endcol=1"),MATCH("IPO",BDS(Database!$A483&amp;" HK Equity","EQUITY_OFFERINGS","array=t","startcol=2","endcol=2"),0)),"")</f>
        <v/>
      </c>
      <c r="C483" s="103">
        <f>IF($B483="","",IFERROR(BDP($B483&amp;" Action","CP036"),""))</f>
        <v/>
      </c>
      <c r="D483" s="104">
        <f>Database!S483</f>
        <v/>
      </c>
      <c r="E483" s="103">
        <f>IF($B483="","",IFERROR(BDP($B483&amp;" Action","CP037"),""))</f>
        <v/>
      </c>
      <c r="F483" s="104">
        <f>Database!T483</f>
        <v/>
      </c>
      <c r="G483" s="103">
        <f>IF($B483="","",IFERROR(BDP($B483&amp;" Action","GREENSHOE_FACILITY"),""))</f>
        <v/>
      </c>
      <c r="H483" s="103">
        <f>IF($B483="","",IFERROR(BDP($B483&amp;" Action","OFFERING_GREENSHOE_SHARES_EX"),""))</f>
        <v/>
      </c>
      <c r="I483" s="16">
        <f>Database!AG483</f>
        <v/>
      </c>
      <c r="J483" s="24">
        <f>IFERROR(BDP(Database!$A483&amp;" HK Equity","PE_RATIO"),"")</f>
        <v/>
      </c>
      <c r="K483" s="10">
        <f>IFERROR(BDP(Database!$A483&amp;" HK Equity","A/H_SHARE_CONVERSION"),"")</f>
        <v/>
      </c>
      <c r="L483" s="16">
        <f>IF(Database!BL483="","(none found)",Database!BL483)</f>
        <v/>
      </c>
      <c r="M483" s="18">
        <f>IFERROR(BDH(Database!$A483&amp;" HK Equity","CUR_MKT_CAP",Database!$H483,Database!$H483),"")</f>
        <v/>
      </c>
      <c r="N483" s="97">
        <f>Database!Q483</f>
        <v/>
      </c>
      <c r="O483" s="24">
        <f>IFERROR(BDH(Database!$A483&amp;" HK Equity","PE_RATIO",Database!$H483,Database!$H483),"")</f>
        <v/>
      </c>
      <c r="P483" s="101">
        <f>IF(Database!BF483="","(n/m or not derivable)",Database!BF483)</f>
        <v/>
      </c>
      <c r="Q483" s="24">
        <f>IF(Database!BL483="","",IFERROR(BDH(LEFT(Database!BL483,FIND(".",Database!BL483)-1)&amp;" CH Equity","PE_RATIO",Database!$H483,Database!$H483),""))</f>
        <v/>
      </c>
      <c r="R483" s="24">
        <f>IF(Database!BL483="","",IFERROR(BDH("HSAHP Index","PX_LAST",Database!$H483,Database!$H483),""))</f>
        <v/>
      </c>
      <c r="S483" s="24">
        <f>IFERROR(BDP(Database!$A483&amp;" HK Equity","PX_TO_SALES_RATIO"),"")</f>
        <v/>
      </c>
      <c r="T483" s="18">
        <f>IF(Database!BL483="","",IFERROR(BDP(LEFT(Database!BL483,FIND(".",Database!BL483)-1)&amp;" CH Equity","CUR_MKT_CAP"),""))</f>
        <v/>
      </c>
    </row>
    <row r="484">
      <c r="A484" s="16">
        <f>Database!A484&amp;"  "&amp;Database!B484</f>
        <v/>
      </c>
      <c r="B484" s="10">
        <f>IFERROR(INDEX(BDS(Database!$A484&amp;" HK Equity","EQUITY_OFFERINGS","array=t","endcol=1"),MATCH("IPO",BDS(Database!$A484&amp;" HK Equity","EQUITY_OFFERINGS","array=t","startcol=2","endcol=2"),0)),"")</f>
        <v/>
      </c>
      <c r="C484" s="103">
        <f>IF($B484="","",IFERROR(BDP($B484&amp;" Action","CP036"),""))</f>
        <v/>
      </c>
      <c r="D484" s="104">
        <f>Database!S484</f>
        <v/>
      </c>
      <c r="E484" s="103">
        <f>IF($B484="","",IFERROR(BDP($B484&amp;" Action","CP037"),""))</f>
        <v/>
      </c>
      <c r="F484" s="104">
        <f>Database!T484</f>
        <v/>
      </c>
      <c r="G484" s="103">
        <f>IF($B484="","",IFERROR(BDP($B484&amp;" Action","GREENSHOE_FACILITY"),""))</f>
        <v/>
      </c>
      <c r="H484" s="103">
        <f>IF($B484="","",IFERROR(BDP($B484&amp;" Action","OFFERING_GREENSHOE_SHARES_EX"),""))</f>
        <v/>
      </c>
      <c r="I484" s="16">
        <f>Database!AG484</f>
        <v/>
      </c>
      <c r="J484" s="24">
        <f>IFERROR(BDP(Database!$A484&amp;" HK Equity","PE_RATIO"),"")</f>
        <v/>
      </c>
      <c r="K484" s="10">
        <f>IFERROR(BDP(Database!$A484&amp;" HK Equity","A/H_SHARE_CONVERSION"),"")</f>
        <v/>
      </c>
      <c r="L484" s="16">
        <f>IF(Database!BL484="","(none found)",Database!BL484)</f>
        <v/>
      </c>
      <c r="M484" s="18">
        <f>IFERROR(BDH(Database!$A484&amp;" HK Equity","CUR_MKT_CAP",Database!$H484,Database!$H484),"")</f>
        <v/>
      </c>
      <c r="N484" s="97">
        <f>Database!Q484</f>
        <v/>
      </c>
      <c r="O484" s="24">
        <f>IFERROR(BDH(Database!$A484&amp;" HK Equity","PE_RATIO",Database!$H484,Database!$H484),"")</f>
        <v/>
      </c>
      <c r="P484" s="101">
        <f>IF(Database!BF484="","(n/m or not derivable)",Database!BF484)</f>
        <v/>
      </c>
      <c r="Q484" s="24">
        <f>IF(Database!BL484="","",IFERROR(BDH(LEFT(Database!BL484,FIND(".",Database!BL484)-1)&amp;" CH Equity","PE_RATIO",Database!$H484,Database!$H484),""))</f>
        <v/>
      </c>
      <c r="R484" s="24">
        <f>IF(Database!BL484="","",IFERROR(BDH("HSAHP Index","PX_LAST",Database!$H484,Database!$H484),""))</f>
        <v/>
      </c>
      <c r="S484" s="24">
        <f>IFERROR(BDP(Database!$A484&amp;" HK Equity","PX_TO_SALES_RATIO"),"")</f>
        <v/>
      </c>
      <c r="T484" s="18">
        <f>IF(Database!BL484="","",IFERROR(BDP(LEFT(Database!BL484,FIND(".",Database!BL484)-1)&amp;" CH Equity","CUR_MKT_CAP"),""))</f>
        <v/>
      </c>
    </row>
    <row r="485">
      <c r="A485" s="16">
        <f>Database!A485&amp;"  "&amp;Database!B485</f>
        <v/>
      </c>
      <c r="B485" s="10">
        <f>IFERROR(INDEX(BDS(Database!$A485&amp;" HK Equity","EQUITY_OFFERINGS","array=t","endcol=1"),MATCH("IPO",BDS(Database!$A485&amp;" HK Equity","EQUITY_OFFERINGS","array=t","startcol=2","endcol=2"),0)),"")</f>
        <v/>
      </c>
      <c r="C485" s="103">
        <f>IF($B485="","",IFERROR(BDP($B485&amp;" Action","CP036"),""))</f>
        <v/>
      </c>
      <c r="D485" s="104">
        <f>Database!S485</f>
        <v/>
      </c>
      <c r="E485" s="103">
        <f>IF($B485="","",IFERROR(BDP($B485&amp;" Action","CP037"),""))</f>
        <v/>
      </c>
      <c r="F485" s="104">
        <f>Database!T485</f>
        <v/>
      </c>
      <c r="G485" s="103">
        <f>IF($B485="","",IFERROR(BDP($B485&amp;" Action","GREENSHOE_FACILITY"),""))</f>
        <v/>
      </c>
      <c r="H485" s="103">
        <f>IF($B485="","",IFERROR(BDP($B485&amp;" Action","OFFERING_GREENSHOE_SHARES_EX"),""))</f>
        <v/>
      </c>
      <c r="I485" s="16">
        <f>Database!AG485</f>
        <v/>
      </c>
      <c r="J485" s="24">
        <f>IFERROR(BDP(Database!$A485&amp;" HK Equity","PE_RATIO"),"")</f>
        <v/>
      </c>
      <c r="K485" s="10">
        <f>IFERROR(BDP(Database!$A485&amp;" HK Equity","A/H_SHARE_CONVERSION"),"")</f>
        <v/>
      </c>
      <c r="L485" s="16">
        <f>IF(Database!BL485="","(none found)",Database!BL485)</f>
        <v/>
      </c>
      <c r="M485" s="18">
        <f>IFERROR(BDH(Database!$A485&amp;" HK Equity","CUR_MKT_CAP",Database!$H485,Database!$H485),"")</f>
        <v/>
      </c>
      <c r="N485" s="97">
        <f>Database!Q485</f>
        <v/>
      </c>
      <c r="O485" s="24">
        <f>IFERROR(BDH(Database!$A485&amp;" HK Equity","PE_RATIO",Database!$H485,Database!$H485),"")</f>
        <v/>
      </c>
      <c r="P485" s="101">
        <f>IF(Database!BF485="","(n/m or not derivable)",Database!BF485)</f>
        <v/>
      </c>
      <c r="Q485" s="24">
        <f>IF(Database!BL485="","",IFERROR(BDH(LEFT(Database!BL485,FIND(".",Database!BL485)-1)&amp;" CH Equity","PE_RATIO",Database!$H485,Database!$H485),""))</f>
        <v/>
      </c>
      <c r="R485" s="24">
        <f>IF(Database!BL485="","",IFERROR(BDH("HSAHP Index","PX_LAST",Database!$H485,Database!$H485),""))</f>
        <v/>
      </c>
      <c r="S485" s="24">
        <f>IFERROR(BDP(Database!$A485&amp;" HK Equity","PX_TO_SALES_RATIO"),"")</f>
        <v/>
      </c>
      <c r="T485" s="18">
        <f>IF(Database!BL485="","",IFERROR(BDP(LEFT(Database!BL485,FIND(".",Database!BL485)-1)&amp;" CH Equity","CUR_MKT_CAP"),""))</f>
        <v/>
      </c>
    </row>
    <row r="486">
      <c r="A486" s="16">
        <f>Database!A486&amp;"  "&amp;Database!B486</f>
        <v/>
      </c>
      <c r="B486" s="10">
        <f>IFERROR(INDEX(BDS(Database!$A486&amp;" HK Equity","EQUITY_OFFERINGS","array=t","endcol=1"),MATCH("IPO",BDS(Database!$A486&amp;" HK Equity","EQUITY_OFFERINGS","array=t","startcol=2","endcol=2"),0)),"")</f>
        <v/>
      </c>
      <c r="C486" s="103">
        <f>IF($B486="","",IFERROR(BDP($B486&amp;" Action","CP036"),""))</f>
        <v/>
      </c>
      <c r="D486" s="104">
        <f>Database!S486</f>
        <v/>
      </c>
      <c r="E486" s="103">
        <f>IF($B486="","",IFERROR(BDP($B486&amp;" Action","CP037"),""))</f>
        <v/>
      </c>
      <c r="F486" s="104">
        <f>Database!T486</f>
        <v/>
      </c>
      <c r="G486" s="103">
        <f>IF($B486="","",IFERROR(BDP($B486&amp;" Action","GREENSHOE_FACILITY"),""))</f>
        <v/>
      </c>
      <c r="H486" s="103">
        <f>IF($B486="","",IFERROR(BDP($B486&amp;" Action","OFFERING_GREENSHOE_SHARES_EX"),""))</f>
        <v/>
      </c>
      <c r="I486" s="16">
        <f>Database!AG486</f>
        <v/>
      </c>
      <c r="J486" s="24">
        <f>IFERROR(BDP(Database!$A486&amp;" HK Equity","PE_RATIO"),"")</f>
        <v/>
      </c>
      <c r="K486" s="10">
        <f>IFERROR(BDP(Database!$A486&amp;" HK Equity","A/H_SHARE_CONVERSION"),"")</f>
        <v/>
      </c>
      <c r="L486" s="16">
        <f>IF(Database!BL486="","(none found)",Database!BL486)</f>
        <v/>
      </c>
      <c r="M486" s="18">
        <f>IFERROR(BDH(Database!$A486&amp;" HK Equity","CUR_MKT_CAP",Database!$H486,Database!$H486),"")</f>
        <v/>
      </c>
      <c r="N486" s="97">
        <f>Database!Q486</f>
        <v/>
      </c>
      <c r="O486" s="24">
        <f>IFERROR(BDH(Database!$A486&amp;" HK Equity","PE_RATIO",Database!$H486,Database!$H486),"")</f>
        <v/>
      </c>
      <c r="P486" s="101">
        <f>IF(Database!BF486="","(n/m or not derivable)",Database!BF486)</f>
        <v/>
      </c>
      <c r="Q486" s="24">
        <f>IF(Database!BL486="","",IFERROR(BDH(LEFT(Database!BL486,FIND(".",Database!BL486)-1)&amp;" CH Equity","PE_RATIO",Database!$H486,Database!$H486),""))</f>
        <v/>
      </c>
      <c r="R486" s="24">
        <f>IF(Database!BL486="","",IFERROR(BDH("HSAHP Index","PX_LAST",Database!$H486,Database!$H486),""))</f>
        <v/>
      </c>
      <c r="S486" s="24">
        <f>IFERROR(BDP(Database!$A486&amp;" HK Equity","PX_TO_SALES_RATIO"),"")</f>
        <v/>
      </c>
      <c r="T486" s="18">
        <f>IF(Database!BL486="","",IFERROR(BDP(LEFT(Database!BL486,FIND(".",Database!BL486)-1)&amp;" CH Equity","CUR_MKT_CAP"),""))</f>
        <v/>
      </c>
    </row>
    <row r="487">
      <c r="A487" s="16">
        <f>Database!A487&amp;"  "&amp;Database!B487</f>
        <v/>
      </c>
      <c r="B487" s="10">
        <f>IFERROR(INDEX(BDS(Database!$A487&amp;" HK Equity","EQUITY_OFFERINGS","array=t","endcol=1"),MATCH("IPO",BDS(Database!$A487&amp;" HK Equity","EQUITY_OFFERINGS","array=t","startcol=2","endcol=2"),0)),"")</f>
        <v/>
      </c>
      <c r="C487" s="103">
        <f>IF($B487="","",IFERROR(BDP($B487&amp;" Action","CP036"),""))</f>
        <v/>
      </c>
      <c r="D487" s="104">
        <f>Database!S487</f>
        <v/>
      </c>
      <c r="E487" s="103">
        <f>IF($B487="","",IFERROR(BDP($B487&amp;" Action","CP037"),""))</f>
        <v/>
      </c>
      <c r="F487" s="104">
        <f>Database!T487</f>
        <v/>
      </c>
      <c r="G487" s="103">
        <f>IF($B487="","",IFERROR(BDP($B487&amp;" Action","GREENSHOE_FACILITY"),""))</f>
        <v/>
      </c>
      <c r="H487" s="103">
        <f>IF($B487="","",IFERROR(BDP($B487&amp;" Action","OFFERING_GREENSHOE_SHARES_EX"),""))</f>
        <v/>
      </c>
      <c r="I487" s="16">
        <f>Database!AG487</f>
        <v/>
      </c>
      <c r="J487" s="24">
        <f>IFERROR(BDP(Database!$A487&amp;" HK Equity","PE_RATIO"),"")</f>
        <v/>
      </c>
      <c r="K487" s="10">
        <f>IFERROR(BDP(Database!$A487&amp;" HK Equity","A/H_SHARE_CONVERSION"),"")</f>
        <v/>
      </c>
      <c r="L487" s="16">
        <f>IF(Database!BL487="","(none found)",Database!BL487)</f>
        <v/>
      </c>
      <c r="M487" s="18">
        <f>IFERROR(BDH(Database!$A487&amp;" HK Equity","CUR_MKT_CAP",Database!$H487,Database!$H487),"")</f>
        <v/>
      </c>
      <c r="N487" s="97">
        <f>Database!Q487</f>
        <v/>
      </c>
      <c r="O487" s="24">
        <f>IFERROR(BDH(Database!$A487&amp;" HK Equity","PE_RATIO",Database!$H487,Database!$H487),"")</f>
        <v/>
      </c>
      <c r="P487" s="101">
        <f>IF(Database!BF487="","(n/m or not derivable)",Database!BF487)</f>
        <v/>
      </c>
      <c r="Q487" s="24">
        <f>IF(Database!BL487="","",IFERROR(BDH(LEFT(Database!BL487,FIND(".",Database!BL487)-1)&amp;" CH Equity","PE_RATIO",Database!$H487,Database!$H487),""))</f>
        <v/>
      </c>
      <c r="R487" s="24">
        <f>IF(Database!BL487="","",IFERROR(BDH("HSAHP Index","PX_LAST",Database!$H487,Database!$H487),""))</f>
        <v/>
      </c>
      <c r="S487" s="24">
        <f>IFERROR(BDP(Database!$A487&amp;" HK Equity","PX_TO_SALES_RATIO"),"")</f>
        <v/>
      </c>
      <c r="T487" s="18">
        <f>IF(Database!BL487="","",IFERROR(BDP(LEFT(Database!BL487,FIND(".",Database!BL487)-1)&amp;" CH Equity","CUR_MKT_CAP"),""))</f>
        <v/>
      </c>
    </row>
    <row r="488">
      <c r="A488" s="16">
        <f>Database!A488&amp;"  "&amp;Database!B488</f>
        <v/>
      </c>
      <c r="B488" s="10">
        <f>IFERROR(INDEX(BDS(Database!$A488&amp;" HK Equity","EQUITY_OFFERINGS","array=t","endcol=1"),MATCH("IPO",BDS(Database!$A488&amp;" HK Equity","EQUITY_OFFERINGS","array=t","startcol=2","endcol=2"),0)),"")</f>
        <v/>
      </c>
      <c r="C488" s="103">
        <f>IF($B488="","",IFERROR(BDP($B488&amp;" Action","CP036"),""))</f>
        <v/>
      </c>
      <c r="D488" s="104">
        <f>Database!S488</f>
        <v/>
      </c>
      <c r="E488" s="103">
        <f>IF($B488="","",IFERROR(BDP($B488&amp;" Action","CP037"),""))</f>
        <v/>
      </c>
      <c r="F488" s="104">
        <f>Database!T488</f>
        <v/>
      </c>
      <c r="G488" s="103">
        <f>IF($B488="","",IFERROR(BDP($B488&amp;" Action","GREENSHOE_FACILITY"),""))</f>
        <v/>
      </c>
      <c r="H488" s="103">
        <f>IF($B488="","",IFERROR(BDP($B488&amp;" Action","OFFERING_GREENSHOE_SHARES_EX"),""))</f>
        <v/>
      </c>
      <c r="I488" s="16">
        <f>Database!AG488</f>
        <v/>
      </c>
      <c r="J488" s="24">
        <f>IFERROR(BDP(Database!$A488&amp;" HK Equity","PE_RATIO"),"")</f>
        <v/>
      </c>
      <c r="K488" s="10">
        <f>IFERROR(BDP(Database!$A488&amp;" HK Equity","A/H_SHARE_CONVERSION"),"")</f>
        <v/>
      </c>
      <c r="L488" s="16">
        <f>IF(Database!BL488="","(none found)",Database!BL488)</f>
        <v/>
      </c>
      <c r="M488" s="18">
        <f>IFERROR(BDH(Database!$A488&amp;" HK Equity","CUR_MKT_CAP",Database!$H488,Database!$H488),"")</f>
        <v/>
      </c>
      <c r="N488" s="97">
        <f>Database!Q488</f>
        <v/>
      </c>
      <c r="O488" s="24">
        <f>IFERROR(BDH(Database!$A488&amp;" HK Equity","PE_RATIO",Database!$H488,Database!$H488),"")</f>
        <v/>
      </c>
      <c r="P488" s="101">
        <f>IF(Database!BF488="","(n/m or not derivable)",Database!BF488)</f>
        <v/>
      </c>
      <c r="Q488" s="24">
        <f>IF(Database!BL488="","",IFERROR(BDH(LEFT(Database!BL488,FIND(".",Database!BL488)-1)&amp;" CH Equity","PE_RATIO",Database!$H488,Database!$H488),""))</f>
        <v/>
      </c>
      <c r="R488" s="24">
        <f>IF(Database!BL488="","",IFERROR(BDH("HSAHP Index","PX_LAST",Database!$H488,Database!$H488),""))</f>
        <v/>
      </c>
      <c r="S488" s="24">
        <f>IFERROR(BDP(Database!$A488&amp;" HK Equity","PX_TO_SALES_RATIO"),"")</f>
        <v/>
      </c>
      <c r="T488" s="18">
        <f>IF(Database!BL488="","",IFERROR(BDP(LEFT(Database!BL488,FIND(".",Database!BL488)-1)&amp;" CH Equity","CUR_MKT_CAP"),""))</f>
        <v/>
      </c>
    </row>
    <row r="489">
      <c r="A489" s="16">
        <f>Database!A489&amp;"  "&amp;Database!B489</f>
        <v/>
      </c>
      <c r="B489" s="10">
        <f>IFERROR(INDEX(BDS(Database!$A489&amp;" HK Equity","EQUITY_OFFERINGS","array=t","endcol=1"),MATCH("IPO",BDS(Database!$A489&amp;" HK Equity","EQUITY_OFFERINGS","array=t","startcol=2","endcol=2"),0)),"")</f>
        <v/>
      </c>
      <c r="C489" s="103">
        <f>IF($B489="","",IFERROR(BDP($B489&amp;" Action","CP036"),""))</f>
        <v/>
      </c>
      <c r="D489" s="104">
        <f>Database!S489</f>
        <v/>
      </c>
      <c r="E489" s="103">
        <f>IF($B489="","",IFERROR(BDP($B489&amp;" Action","CP037"),""))</f>
        <v/>
      </c>
      <c r="F489" s="104">
        <f>Database!T489</f>
        <v/>
      </c>
      <c r="G489" s="103">
        <f>IF($B489="","",IFERROR(BDP($B489&amp;" Action","GREENSHOE_FACILITY"),""))</f>
        <v/>
      </c>
      <c r="H489" s="103">
        <f>IF($B489="","",IFERROR(BDP($B489&amp;" Action","OFFERING_GREENSHOE_SHARES_EX"),""))</f>
        <v/>
      </c>
      <c r="I489" s="16">
        <f>Database!AG489</f>
        <v/>
      </c>
      <c r="J489" s="24">
        <f>IFERROR(BDP(Database!$A489&amp;" HK Equity","PE_RATIO"),"")</f>
        <v/>
      </c>
      <c r="K489" s="10">
        <f>IFERROR(BDP(Database!$A489&amp;" HK Equity","A/H_SHARE_CONVERSION"),"")</f>
        <v/>
      </c>
      <c r="L489" s="16">
        <f>IF(Database!BL489="","(none found)",Database!BL489)</f>
        <v/>
      </c>
      <c r="M489" s="18">
        <f>IFERROR(BDH(Database!$A489&amp;" HK Equity","CUR_MKT_CAP",Database!$H489,Database!$H489),"")</f>
        <v/>
      </c>
      <c r="N489" s="97">
        <f>Database!Q489</f>
        <v/>
      </c>
      <c r="O489" s="24">
        <f>IFERROR(BDH(Database!$A489&amp;" HK Equity","PE_RATIO",Database!$H489,Database!$H489),"")</f>
        <v/>
      </c>
      <c r="P489" s="101">
        <f>IF(Database!BF489="","(n/m or not derivable)",Database!BF489)</f>
        <v/>
      </c>
      <c r="Q489" s="24">
        <f>IF(Database!BL489="","",IFERROR(BDH(LEFT(Database!BL489,FIND(".",Database!BL489)-1)&amp;" CH Equity","PE_RATIO",Database!$H489,Database!$H489),""))</f>
        <v/>
      </c>
      <c r="R489" s="24">
        <f>IF(Database!BL489="","",IFERROR(BDH("HSAHP Index","PX_LAST",Database!$H489,Database!$H489),""))</f>
        <v/>
      </c>
      <c r="S489" s="24">
        <f>IFERROR(BDP(Database!$A489&amp;" HK Equity","PX_TO_SALES_RATIO"),"")</f>
        <v/>
      </c>
      <c r="T489" s="18">
        <f>IF(Database!BL489="","",IFERROR(BDP(LEFT(Database!BL489,FIND(".",Database!BL489)-1)&amp;" CH Equity","CUR_MKT_CAP"),""))</f>
        <v/>
      </c>
    </row>
    <row r="490">
      <c r="A490" s="16">
        <f>Database!A490&amp;"  "&amp;Database!B490</f>
        <v/>
      </c>
      <c r="B490" s="10">
        <f>IFERROR(INDEX(BDS(Database!$A490&amp;" HK Equity","EQUITY_OFFERINGS","array=t","endcol=1"),MATCH("IPO",BDS(Database!$A490&amp;" HK Equity","EQUITY_OFFERINGS","array=t","startcol=2","endcol=2"),0)),"")</f>
        <v/>
      </c>
      <c r="C490" s="103">
        <f>IF($B490="","",IFERROR(BDP($B490&amp;" Action","CP036"),""))</f>
        <v/>
      </c>
      <c r="D490" s="104">
        <f>Database!S490</f>
        <v/>
      </c>
      <c r="E490" s="103">
        <f>IF($B490="","",IFERROR(BDP($B490&amp;" Action","CP037"),""))</f>
        <v/>
      </c>
      <c r="F490" s="104">
        <f>Database!T490</f>
        <v/>
      </c>
      <c r="G490" s="103">
        <f>IF($B490="","",IFERROR(BDP($B490&amp;" Action","GREENSHOE_FACILITY"),""))</f>
        <v/>
      </c>
      <c r="H490" s="103">
        <f>IF($B490="","",IFERROR(BDP($B490&amp;" Action","OFFERING_GREENSHOE_SHARES_EX"),""))</f>
        <v/>
      </c>
      <c r="I490" s="16">
        <f>Database!AG490</f>
        <v/>
      </c>
      <c r="J490" s="24">
        <f>IFERROR(BDP(Database!$A490&amp;" HK Equity","PE_RATIO"),"")</f>
        <v/>
      </c>
      <c r="K490" s="10">
        <f>IFERROR(BDP(Database!$A490&amp;" HK Equity","A/H_SHARE_CONVERSION"),"")</f>
        <v/>
      </c>
      <c r="L490" s="16">
        <f>IF(Database!BL490="","(none found)",Database!BL490)</f>
        <v/>
      </c>
      <c r="M490" s="18">
        <f>IFERROR(BDH(Database!$A490&amp;" HK Equity","CUR_MKT_CAP",Database!$H490,Database!$H490),"")</f>
        <v/>
      </c>
      <c r="N490" s="97">
        <f>Database!Q490</f>
        <v/>
      </c>
      <c r="O490" s="24">
        <f>IFERROR(BDH(Database!$A490&amp;" HK Equity","PE_RATIO",Database!$H490,Database!$H490),"")</f>
        <v/>
      </c>
      <c r="P490" s="101">
        <f>IF(Database!BF490="","(n/m or not derivable)",Database!BF490)</f>
        <v/>
      </c>
      <c r="Q490" s="24">
        <f>IF(Database!BL490="","",IFERROR(BDH(LEFT(Database!BL490,FIND(".",Database!BL490)-1)&amp;" CH Equity","PE_RATIO",Database!$H490,Database!$H490),""))</f>
        <v/>
      </c>
      <c r="R490" s="24">
        <f>IF(Database!BL490="","",IFERROR(BDH("HSAHP Index","PX_LAST",Database!$H490,Database!$H490),""))</f>
        <v/>
      </c>
      <c r="S490" s="24">
        <f>IFERROR(BDP(Database!$A490&amp;" HK Equity","PX_TO_SALES_RATIO"),"")</f>
        <v/>
      </c>
      <c r="T490" s="18">
        <f>IF(Database!BL490="","",IFERROR(BDP(LEFT(Database!BL490,FIND(".",Database!BL490)-1)&amp;" CH Equity","CUR_MKT_CAP"),""))</f>
        <v/>
      </c>
    </row>
    <row r="491">
      <c r="A491" s="16">
        <f>Database!A491&amp;"  "&amp;Database!B491</f>
        <v/>
      </c>
      <c r="B491" s="10">
        <f>IFERROR(INDEX(BDS(Database!$A491&amp;" HK Equity","EQUITY_OFFERINGS","array=t","endcol=1"),MATCH("IPO",BDS(Database!$A491&amp;" HK Equity","EQUITY_OFFERINGS","array=t","startcol=2","endcol=2"),0)),"")</f>
        <v/>
      </c>
      <c r="C491" s="103">
        <f>IF($B491="","",IFERROR(BDP($B491&amp;" Action","CP036"),""))</f>
        <v/>
      </c>
      <c r="D491" s="104">
        <f>Database!S491</f>
        <v/>
      </c>
      <c r="E491" s="103">
        <f>IF($B491="","",IFERROR(BDP($B491&amp;" Action","CP037"),""))</f>
        <v/>
      </c>
      <c r="F491" s="104">
        <f>Database!T491</f>
        <v/>
      </c>
      <c r="G491" s="103">
        <f>IF($B491="","",IFERROR(BDP($B491&amp;" Action","GREENSHOE_FACILITY"),""))</f>
        <v/>
      </c>
      <c r="H491" s="103">
        <f>IF($B491="","",IFERROR(BDP($B491&amp;" Action","OFFERING_GREENSHOE_SHARES_EX"),""))</f>
        <v/>
      </c>
      <c r="I491" s="16">
        <f>Database!AG491</f>
        <v/>
      </c>
      <c r="J491" s="24">
        <f>IFERROR(BDP(Database!$A491&amp;" HK Equity","PE_RATIO"),"")</f>
        <v/>
      </c>
      <c r="K491" s="10">
        <f>IFERROR(BDP(Database!$A491&amp;" HK Equity","A/H_SHARE_CONVERSION"),"")</f>
        <v/>
      </c>
      <c r="L491" s="16">
        <f>IF(Database!BL491="","(none found)",Database!BL491)</f>
        <v/>
      </c>
      <c r="M491" s="18">
        <f>IFERROR(BDH(Database!$A491&amp;" HK Equity","CUR_MKT_CAP",Database!$H491,Database!$H491),"")</f>
        <v/>
      </c>
      <c r="N491" s="97">
        <f>Database!Q491</f>
        <v/>
      </c>
      <c r="O491" s="24">
        <f>IFERROR(BDH(Database!$A491&amp;" HK Equity","PE_RATIO",Database!$H491,Database!$H491),"")</f>
        <v/>
      </c>
      <c r="P491" s="101">
        <f>IF(Database!BF491="","(n/m or not derivable)",Database!BF491)</f>
        <v/>
      </c>
      <c r="Q491" s="24">
        <f>IF(Database!BL491="","",IFERROR(BDH(LEFT(Database!BL491,FIND(".",Database!BL491)-1)&amp;" CH Equity","PE_RATIO",Database!$H491,Database!$H491),""))</f>
        <v/>
      </c>
      <c r="R491" s="24">
        <f>IF(Database!BL491="","",IFERROR(BDH("HSAHP Index","PX_LAST",Database!$H491,Database!$H491),""))</f>
        <v/>
      </c>
      <c r="S491" s="24">
        <f>IFERROR(BDP(Database!$A491&amp;" HK Equity","PX_TO_SALES_RATIO"),"")</f>
        <v/>
      </c>
      <c r="T491" s="18">
        <f>IF(Database!BL491="","",IFERROR(BDP(LEFT(Database!BL491,FIND(".",Database!BL491)-1)&amp;" CH Equity","CUR_MKT_CAP"),""))</f>
        <v/>
      </c>
    </row>
    <row r="492">
      <c r="A492" s="16">
        <f>Database!A492&amp;"  "&amp;Database!B492</f>
        <v/>
      </c>
      <c r="B492" s="10">
        <f>IFERROR(INDEX(BDS(Database!$A492&amp;" HK Equity","EQUITY_OFFERINGS","array=t","endcol=1"),MATCH("IPO",BDS(Database!$A492&amp;" HK Equity","EQUITY_OFFERINGS","array=t","startcol=2","endcol=2"),0)),"")</f>
        <v/>
      </c>
      <c r="C492" s="103">
        <f>IF($B492="","",IFERROR(BDP($B492&amp;" Action","CP036"),""))</f>
        <v/>
      </c>
      <c r="D492" s="104">
        <f>Database!S492</f>
        <v/>
      </c>
      <c r="E492" s="103">
        <f>IF($B492="","",IFERROR(BDP($B492&amp;" Action","CP037"),""))</f>
        <v/>
      </c>
      <c r="F492" s="104">
        <f>Database!T492</f>
        <v/>
      </c>
      <c r="G492" s="103">
        <f>IF($B492="","",IFERROR(BDP($B492&amp;" Action","GREENSHOE_FACILITY"),""))</f>
        <v/>
      </c>
      <c r="H492" s="103">
        <f>IF($B492="","",IFERROR(BDP($B492&amp;" Action","OFFERING_GREENSHOE_SHARES_EX"),""))</f>
        <v/>
      </c>
      <c r="I492" s="16">
        <f>Database!AG492</f>
        <v/>
      </c>
      <c r="J492" s="24">
        <f>IFERROR(BDP(Database!$A492&amp;" HK Equity","PE_RATIO"),"")</f>
        <v/>
      </c>
      <c r="K492" s="10">
        <f>IFERROR(BDP(Database!$A492&amp;" HK Equity","A/H_SHARE_CONVERSION"),"")</f>
        <v/>
      </c>
      <c r="L492" s="16">
        <f>IF(Database!BL492="","(none found)",Database!BL492)</f>
        <v/>
      </c>
      <c r="M492" s="18">
        <f>IFERROR(BDH(Database!$A492&amp;" HK Equity","CUR_MKT_CAP",Database!$H492,Database!$H492),"")</f>
        <v/>
      </c>
      <c r="N492" s="97">
        <f>Database!Q492</f>
        <v/>
      </c>
      <c r="O492" s="24">
        <f>IFERROR(BDH(Database!$A492&amp;" HK Equity","PE_RATIO",Database!$H492,Database!$H492),"")</f>
        <v/>
      </c>
      <c r="P492" s="101">
        <f>IF(Database!BF492="","(n/m or not derivable)",Database!BF492)</f>
        <v/>
      </c>
      <c r="Q492" s="24">
        <f>IF(Database!BL492="","",IFERROR(BDH(LEFT(Database!BL492,FIND(".",Database!BL492)-1)&amp;" CH Equity","PE_RATIO",Database!$H492,Database!$H492),""))</f>
        <v/>
      </c>
      <c r="R492" s="24">
        <f>IF(Database!BL492="","",IFERROR(BDH("HSAHP Index","PX_LAST",Database!$H492,Database!$H492),""))</f>
        <v/>
      </c>
      <c r="S492" s="24">
        <f>IFERROR(BDP(Database!$A492&amp;" HK Equity","PX_TO_SALES_RATIO"),"")</f>
        <v/>
      </c>
      <c r="T492" s="18">
        <f>IF(Database!BL492="","",IFERROR(BDP(LEFT(Database!BL492,FIND(".",Database!BL492)-1)&amp;" CH Equity","CUR_MKT_CAP"),""))</f>
        <v/>
      </c>
    </row>
    <row r="493">
      <c r="A493" s="16">
        <f>Database!A493&amp;"  "&amp;Database!B493</f>
        <v/>
      </c>
      <c r="B493" s="10">
        <f>IFERROR(INDEX(BDS(Database!$A493&amp;" HK Equity","EQUITY_OFFERINGS","array=t","endcol=1"),MATCH("IPO",BDS(Database!$A493&amp;" HK Equity","EQUITY_OFFERINGS","array=t","startcol=2","endcol=2"),0)),"")</f>
        <v/>
      </c>
      <c r="C493" s="103">
        <f>IF($B493="","",IFERROR(BDP($B493&amp;" Action","CP036"),""))</f>
        <v/>
      </c>
      <c r="D493" s="104">
        <f>Database!S493</f>
        <v/>
      </c>
      <c r="E493" s="103">
        <f>IF($B493="","",IFERROR(BDP($B493&amp;" Action","CP037"),""))</f>
        <v/>
      </c>
      <c r="F493" s="104">
        <f>Database!T493</f>
        <v/>
      </c>
      <c r="G493" s="103">
        <f>IF($B493="","",IFERROR(BDP($B493&amp;" Action","GREENSHOE_FACILITY"),""))</f>
        <v/>
      </c>
      <c r="H493" s="103">
        <f>IF($B493="","",IFERROR(BDP($B493&amp;" Action","OFFERING_GREENSHOE_SHARES_EX"),""))</f>
        <v/>
      </c>
      <c r="I493" s="16">
        <f>Database!AG493</f>
        <v/>
      </c>
      <c r="J493" s="24">
        <f>IFERROR(BDP(Database!$A493&amp;" HK Equity","PE_RATIO"),"")</f>
        <v/>
      </c>
      <c r="K493" s="10">
        <f>IFERROR(BDP(Database!$A493&amp;" HK Equity","A/H_SHARE_CONVERSION"),"")</f>
        <v/>
      </c>
      <c r="L493" s="16">
        <f>IF(Database!BL493="","(none found)",Database!BL493)</f>
        <v/>
      </c>
      <c r="M493" s="18">
        <f>IFERROR(BDH(Database!$A493&amp;" HK Equity","CUR_MKT_CAP",Database!$H493,Database!$H493),"")</f>
        <v/>
      </c>
      <c r="N493" s="97">
        <f>Database!Q493</f>
        <v/>
      </c>
      <c r="O493" s="24">
        <f>IFERROR(BDH(Database!$A493&amp;" HK Equity","PE_RATIO",Database!$H493,Database!$H493),"")</f>
        <v/>
      </c>
      <c r="P493" s="101">
        <f>IF(Database!BF493="","(n/m or not derivable)",Database!BF493)</f>
        <v/>
      </c>
      <c r="Q493" s="24">
        <f>IF(Database!BL493="","",IFERROR(BDH(LEFT(Database!BL493,FIND(".",Database!BL493)-1)&amp;" CH Equity","PE_RATIO",Database!$H493,Database!$H493),""))</f>
        <v/>
      </c>
      <c r="R493" s="24">
        <f>IF(Database!BL493="","",IFERROR(BDH("HSAHP Index","PX_LAST",Database!$H493,Database!$H493),""))</f>
        <v/>
      </c>
      <c r="S493" s="24">
        <f>IFERROR(BDP(Database!$A493&amp;" HK Equity","PX_TO_SALES_RATIO"),"")</f>
        <v/>
      </c>
      <c r="T493" s="18">
        <f>IF(Database!BL493="","",IFERROR(BDP(LEFT(Database!BL493,FIND(".",Database!BL493)-1)&amp;" CH Equity","CUR_MKT_CAP"),""))</f>
        <v/>
      </c>
    </row>
    <row r="494">
      <c r="A494" s="16">
        <f>Database!A494&amp;"  "&amp;Database!B494</f>
        <v/>
      </c>
      <c r="B494" s="10">
        <f>IFERROR(INDEX(BDS(Database!$A494&amp;" HK Equity","EQUITY_OFFERINGS","array=t","endcol=1"),MATCH("IPO",BDS(Database!$A494&amp;" HK Equity","EQUITY_OFFERINGS","array=t","startcol=2","endcol=2"),0)),"")</f>
        <v/>
      </c>
      <c r="C494" s="103">
        <f>IF($B494="","",IFERROR(BDP($B494&amp;" Action","CP036"),""))</f>
        <v/>
      </c>
      <c r="D494" s="104">
        <f>Database!S494</f>
        <v/>
      </c>
      <c r="E494" s="103">
        <f>IF($B494="","",IFERROR(BDP($B494&amp;" Action","CP037"),""))</f>
        <v/>
      </c>
      <c r="F494" s="104">
        <f>Database!T494</f>
        <v/>
      </c>
      <c r="G494" s="103">
        <f>IF($B494="","",IFERROR(BDP($B494&amp;" Action","GREENSHOE_FACILITY"),""))</f>
        <v/>
      </c>
      <c r="H494" s="103">
        <f>IF($B494="","",IFERROR(BDP($B494&amp;" Action","OFFERING_GREENSHOE_SHARES_EX"),""))</f>
        <v/>
      </c>
      <c r="I494" s="16">
        <f>Database!AG494</f>
        <v/>
      </c>
      <c r="J494" s="24">
        <f>IFERROR(BDP(Database!$A494&amp;" HK Equity","PE_RATIO"),"")</f>
        <v/>
      </c>
      <c r="K494" s="10">
        <f>IFERROR(BDP(Database!$A494&amp;" HK Equity","A/H_SHARE_CONVERSION"),"")</f>
        <v/>
      </c>
      <c r="L494" s="16">
        <f>IF(Database!BL494="","(none found)",Database!BL494)</f>
        <v/>
      </c>
      <c r="M494" s="18">
        <f>IFERROR(BDH(Database!$A494&amp;" HK Equity","CUR_MKT_CAP",Database!$H494,Database!$H494),"")</f>
        <v/>
      </c>
      <c r="N494" s="97">
        <f>Database!Q494</f>
        <v/>
      </c>
      <c r="O494" s="24">
        <f>IFERROR(BDH(Database!$A494&amp;" HK Equity","PE_RATIO",Database!$H494,Database!$H494),"")</f>
        <v/>
      </c>
      <c r="P494" s="101">
        <f>IF(Database!BF494="","(n/m or not derivable)",Database!BF494)</f>
        <v/>
      </c>
      <c r="Q494" s="24">
        <f>IF(Database!BL494="","",IFERROR(BDH(LEFT(Database!BL494,FIND(".",Database!BL494)-1)&amp;" CH Equity","PE_RATIO",Database!$H494,Database!$H494),""))</f>
        <v/>
      </c>
      <c r="R494" s="24">
        <f>IF(Database!BL494="","",IFERROR(BDH("HSAHP Index","PX_LAST",Database!$H494,Database!$H494),""))</f>
        <v/>
      </c>
      <c r="S494" s="24">
        <f>IFERROR(BDP(Database!$A494&amp;" HK Equity","PX_TO_SALES_RATIO"),"")</f>
        <v/>
      </c>
      <c r="T494" s="18">
        <f>IF(Database!BL494="","",IFERROR(BDP(LEFT(Database!BL494,FIND(".",Database!BL494)-1)&amp;" CH Equity","CUR_MKT_CAP"),""))</f>
        <v/>
      </c>
    </row>
    <row r="495">
      <c r="A495" s="16">
        <f>Database!A495&amp;"  "&amp;Database!B495</f>
        <v/>
      </c>
      <c r="B495" s="10">
        <f>IFERROR(INDEX(BDS(Database!$A495&amp;" HK Equity","EQUITY_OFFERINGS","array=t","endcol=1"),MATCH("IPO",BDS(Database!$A495&amp;" HK Equity","EQUITY_OFFERINGS","array=t","startcol=2","endcol=2"),0)),"")</f>
        <v/>
      </c>
      <c r="C495" s="103">
        <f>IF($B495="","",IFERROR(BDP($B495&amp;" Action","CP036"),""))</f>
        <v/>
      </c>
      <c r="D495" s="104">
        <f>Database!S495</f>
        <v/>
      </c>
      <c r="E495" s="103">
        <f>IF($B495="","",IFERROR(BDP($B495&amp;" Action","CP037"),""))</f>
        <v/>
      </c>
      <c r="F495" s="104">
        <f>Database!T495</f>
        <v/>
      </c>
      <c r="G495" s="103">
        <f>IF($B495="","",IFERROR(BDP($B495&amp;" Action","GREENSHOE_FACILITY"),""))</f>
        <v/>
      </c>
      <c r="H495" s="103">
        <f>IF($B495="","",IFERROR(BDP($B495&amp;" Action","OFFERING_GREENSHOE_SHARES_EX"),""))</f>
        <v/>
      </c>
      <c r="I495" s="16">
        <f>Database!AG495</f>
        <v/>
      </c>
      <c r="J495" s="24">
        <f>IFERROR(BDP(Database!$A495&amp;" HK Equity","PE_RATIO"),"")</f>
        <v/>
      </c>
      <c r="K495" s="10">
        <f>IFERROR(BDP(Database!$A495&amp;" HK Equity","A/H_SHARE_CONVERSION"),"")</f>
        <v/>
      </c>
      <c r="L495" s="16">
        <f>IF(Database!BL495="","(none found)",Database!BL495)</f>
        <v/>
      </c>
      <c r="M495" s="18">
        <f>IFERROR(BDH(Database!$A495&amp;" HK Equity","CUR_MKT_CAP",Database!$H495,Database!$H495),"")</f>
        <v/>
      </c>
      <c r="N495" s="97">
        <f>Database!Q495</f>
        <v/>
      </c>
      <c r="O495" s="24">
        <f>IFERROR(BDH(Database!$A495&amp;" HK Equity","PE_RATIO",Database!$H495,Database!$H495),"")</f>
        <v/>
      </c>
      <c r="P495" s="101">
        <f>IF(Database!BF495="","(n/m or not derivable)",Database!BF495)</f>
        <v/>
      </c>
      <c r="Q495" s="24">
        <f>IF(Database!BL495="","",IFERROR(BDH(LEFT(Database!BL495,FIND(".",Database!BL495)-1)&amp;" CH Equity","PE_RATIO",Database!$H495,Database!$H495),""))</f>
        <v/>
      </c>
      <c r="R495" s="24">
        <f>IF(Database!BL495="","",IFERROR(BDH("HSAHP Index","PX_LAST",Database!$H495,Database!$H495),""))</f>
        <v/>
      </c>
      <c r="S495" s="24">
        <f>IFERROR(BDP(Database!$A495&amp;" HK Equity","PX_TO_SALES_RATIO"),"")</f>
        <v/>
      </c>
      <c r="T495" s="18">
        <f>IF(Database!BL495="","",IFERROR(BDP(LEFT(Database!BL495,FIND(".",Database!BL495)-1)&amp;" CH Equity","CUR_MKT_CAP"),""))</f>
        <v/>
      </c>
    </row>
    <row r="496">
      <c r="A496" s="16">
        <f>Database!A496&amp;"  "&amp;Database!B496</f>
        <v/>
      </c>
      <c r="B496" s="10">
        <f>IFERROR(INDEX(BDS(Database!$A496&amp;" HK Equity","EQUITY_OFFERINGS","array=t","endcol=1"),MATCH("IPO",BDS(Database!$A496&amp;" HK Equity","EQUITY_OFFERINGS","array=t","startcol=2","endcol=2"),0)),"")</f>
        <v/>
      </c>
      <c r="C496" s="103">
        <f>IF($B496="","",IFERROR(BDP($B496&amp;" Action","CP036"),""))</f>
        <v/>
      </c>
      <c r="D496" s="104">
        <f>Database!S496</f>
        <v/>
      </c>
      <c r="E496" s="103">
        <f>IF($B496="","",IFERROR(BDP($B496&amp;" Action","CP037"),""))</f>
        <v/>
      </c>
      <c r="F496" s="104">
        <f>Database!T496</f>
        <v/>
      </c>
      <c r="G496" s="103">
        <f>IF($B496="","",IFERROR(BDP($B496&amp;" Action","GREENSHOE_FACILITY"),""))</f>
        <v/>
      </c>
      <c r="H496" s="103">
        <f>IF($B496="","",IFERROR(BDP($B496&amp;" Action","OFFERING_GREENSHOE_SHARES_EX"),""))</f>
        <v/>
      </c>
      <c r="I496" s="16">
        <f>Database!AG496</f>
        <v/>
      </c>
      <c r="J496" s="24">
        <f>IFERROR(BDP(Database!$A496&amp;" HK Equity","PE_RATIO"),"")</f>
        <v/>
      </c>
      <c r="K496" s="10">
        <f>IFERROR(BDP(Database!$A496&amp;" HK Equity","A/H_SHARE_CONVERSION"),"")</f>
        <v/>
      </c>
      <c r="L496" s="16">
        <f>IF(Database!BL496="","(none found)",Database!BL496)</f>
        <v/>
      </c>
      <c r="M496" s="18">
        <f>IFERROR(BDH(Database!$A496&amp;" HK Equity","CUR_MKT_CAP",Database!$H496,Database!$H496),"")</f>
        <v/>
      </c>
      <c r="N496" s="97">
        <f>Database!Q496</f>
        <v/>
      </c>
      <c r="O496" s="24">
        <f>IFERROR(BDH(Database!$A496&amp;" HK Equity","PE_RATIO",Database!$H496,Database!$H496),"")</f>
        <v/>
      </c>
      <c r="P496" s="101">
        <f>IF(Database!BF496="","(n/m or not derivable)",Database!BF496)</f>
        <v/>
      </c>
      <c r="Q496" s="24">
        <f>IF(Database!BL496="","",IFERROR(BDH(LEFT(Database!BL496,FIND(".",Database!BL496)-1)&amp;" CH Equity","PE_RATIO",Database!$H496,Database!$H496),""))</f>
        <v/>
      </c>
      <c r="R496" s="24">
        <f>IF(Database!BL496="","",IFERROR(BDH("HSAHP Index","PX_LAST",Database!$H496,Database!$H496),""))</f>
        <v/>
      </c>
      <c r="S496" s="24">
        <f>IFERROR(BDP(Database!$A496&amp;" HK Equity","PX_TO_SALES_RATIO"),"")</f>
        <v/>
      </c>
      <c r="T496" s="18">
        <f>IF(Database!BL496="","",IFERROR(BDP(LEFT(Database!BL496,FIND(".",Database!BL496)-1)&amp;" CH Equity","CUR_MKT_CAP"),""))</f>
        <v/>
      </c>
    </row>
    <row r="497">
      <c r="A497" s="16">
        <f>Database!A497&amp;"  "&amp;Database!B497</f>
        <v/>
      </c>
      <c r="B497" s="10">
        <f>IFERROR(INDEX(BDS(Database!$A497&amp;" HK Equity","EQUITY_OFFERINGS","array=t","endcol=1"),MATCH("IPO",BDS(Database!$A497&amp;" HK Equity","EQUITY_OFFERINGS","array=t","startcol=2","endcol=2"),0)),"")</f>
        <v/>
      </c>
      <c r="C497" s="103">
        <f>IF($B497="","",IFERROR(BDP($B497&amp;" Action","CP036"),""))</f>
        <v/>
      </c>
      <c r="D497" s="104">
        <f>Database!S497</f>
        <v/>
      </c>
      <c r="E497" s="103">
        <f>IF($B497="","",IFERROR(BDP($B497&amp;" Action","CP037"),""))</f>
        <v/>
      </c>
      <c r="F497" s="104">
        <f>Database!T497</f>
        <v/>
      </c>
      <c r="G497" s="103">
        <f>IF($B497="","",IFERROR(BDP($B497&amp;" Action","GREENSHOE_FACILITY"),""))</f>
        <v/>
      </c>
      <c r="H497" s="103">
        <f>IF($B497="","",IFERROR(BDP($B497&amp;" Action","OFFERING_GREENSHOE_SHARES_EX"),""))</f>
        <v/>
      </c>
      <c r="I497" s="16">
        <f>Database!AG497</f>
        <v/>
      </c>
      <c r="J497" s="24">
        <f>IFERROR(BDP(Database!$A497&amp;" HK Equity","PE_RATIO"),"")</f>
        <v/>
      </c>
      <c r="K497" s="10">
        <f>IFERROR(BDP(Database!$A497&amp;" HK Equity","A/H_SHARE_CONVERSION"),"")</f>
        <v/>
      </c>
      <c r="L497" s="16">
        <f>IF(Database!BL497="","(none found)",Database!BL497)</f>
        <v/>
      </c>
      <c r="M497" s="18">
        <f>IFERROR(BDH(Database!$A497&amp;" HK Equity","CUR_MKT_CAP",Database!$H497,Database!$H497),"")</f>
        <v/>
      </c>
      <c r="N497" s="97">
        <f>Database!Q497</f>
        <v/>
      </c>
      <c r="O497" s="24">
        <f>IFERROR(BDH(Database!$A497&amp;" HK Equity","PE_RATIO",Database!$H497,Database!$H497),"")</f>
        <v/>
      </c>
      <c r="P497" s="101">
        <f>IF(Database!BF497="","(n/m or not derivable)",Database!BF497)</f>
        <v/>
      </c>
      <c r="Q497" s="24">
        <f>IF(Database!BL497="","",IFERROR(BDH(LEFT(Database!BL497,FIND(".",Database!BL497)-1)&amp;" CH Equity","PE_RATIO",Database!$H497,Database!$H497),""))</f>
        <v/>
      </c>
      <c r="R497" s="24">
        <f>IF(Database!BL497="","",IFERROR(BDH("HSAHP Index","PX_LAST",Database!$H497,Database!$H497),""))</f>
        <v/>
      </c>
      <c r="S497" s="24">
        <f>IFERROR(BDP(Database!$A497&amp;" HK Equity","PX_TO_SALES_RATIO"),"")</f>
        <v/>
      </c>
      <c r="T497" s="18">
        <f>IF(Database!BL497="","",IFERROR(BDP(LEFT(Database!BL497,FIND(".",Database!BL497)-1)&amp;" CH Equity","CUR_MKT_CAP"),""))</f>
        <v/>
      </c>
    </row>
    <row r="498">
      <c r="A498" s="16">
        <f>Database!A498&amp;"  "&amp;Database!B498</f>
        <v/>
      </c>
      <c r="B498" s="10">
        <f>IFERROR(INDEX(BDS(Database!$A498&amp;" HK Equity","EQUITY_OFFERINGS","array=t","endcol=1"),MATCH("IPO",BDS(Database!$A498&amp;" HK Equity","EQUITY_OFFERINGS","array=t","startcol=2","endcol=2"),0)),"")</f>
        <v/>
      </c>
      <c r="C498" s="103">
        <f>IF($B498="","",IFERROR(BDP($B498&amp;" Action","CP036"),""))</f>
        <v/>
      </c>
      <c r="D498" s="104">
        <f>Database!S498</f>
        <v/>
      </c>
      <c r="E498" s="103">
        <f>IF($B498="","",IFERROR(BDP($B498&amp;" Action","CP037"),""))</f>
        <v/>
      </c>
      <c r="F498" s="104">
        <f>Database!T498</f>
        <v/>
      </c>
      <c r="G498" s="103">
        <f>IF($B498="","",IFERROR(BDP($B498&amp;" Action","GREENSHOE_FACILITY"),""))</f>
        <v/>
      </c>
      <c r="H498" s="103">
        <f>IF($B498="","",IFERROR(BDP($B498&amp;" Action","OFFERING_GREENSHOE_SHARES_EX"),""))</f>
        <v/>
      </c>
      <c r="I498" s="16">
        <f>Database!AG498</f>
        <v/>
      </c>
      <c r="J498" s="24">
        <f>IFERROR(BDP(Database!$A498&amp;" HK Equity","PE_RATIO"),"")</f>
        <v/>
      </c>
      <c r="K498" s="10">
        <f>IFERROR(BDP(Database!$A498&amp;" HK Equity","A/H_SHARE_CONVERSION"),"")</f>
        <v/>
      </c>
      <c r="L498" s="16">
        <f>IF(Database!BL498="","(none found)",Database!BL498)</f>
        <v/>
      </c>
      <c r="M498" s="18">
        <f>IFERROR(BDH(Database!$A498&amp;" HK Equity","CUR_MKT_CAP",Database!$H498,Database!$H498),"")</f>
        <v/>
      </c>
      <c r="N498" s="97">
        <f>Database!Q498</f>
        <v/>
      </c>
      <c r="O498" s="24">
        <f>IFERROR(BDH(Database!$A498&amp;" HK Equity","PE_RATIO",Database!$H498,Database!$H498),"")</f>
        <v/>
      </c>
      <c r="P498" s="101">
        <f>IF(Database!BF498="","(n/m or not derivable)",Database!BF498)</f>
        <v/>
      </c>
      <c r="Q498" s="24">
        <f>IF(Database!BL498="","",IFERROR(BDH(LEFT(Database!BL498,FIND(".",Database!BL498)-1)&amp;" CH Equity","PE_RATIO",Database!$H498,Database!$H498),""))</f>
        <v/>
      </c>
      <c r="R498" s="24">
        <f>IF(Database!BL498="","",IFERROR(BDH("HSAHP Index","PX_LAST",Database!$H498,Database!$H498),""))</f>
        <v/>
      </c>
      <c r="S498" s="24">
        <f>IFERROR(BDP(Database!$A498&amp;" HK Equity","PX_TO_SALES_RATIO"),"")</f>
        <v/>
      </c>
      <c r="T498" s="18">
        <f>IF(Database!BL498="","",IFERROR(BDP(LEFT(Database!BL498,FIND(".",Database!BL498)-1)&amp;" CH Equity","CUR_MKT_CAP"),""))</f>
        <v/>
      </c>
    </row>
    <row r="499">
      <c r="A499" s="16">
        <f>Database!A499&amp;"  "&amp;Database!B499</f>
        <v/>
      </c>
      <c r="B499" s="10">
        <f>IFERROR(INDEX(BDS(Database!$A499&amp;" HK Equity","EQUITY_OFFERINGS","array=t","endcol=1"),MATCH("IPO",BDS(Database!$A499&amp;" HK Equity","EQUITY_OFFERINGS","array=t","startcol=2","endcol=2"),0)),"")</f>
        <v/>
      </c>
      <c r="C499" s="103">
        <f>IF($B499="","",IFERROR(BDP($B499&amp;" Action","CP036"),""))</f>
        <v/>
      </c>
      <c r="D499" s="104">
        <f>Database!S499</f>
        <v/>
      </c>
      <c r="E499" s="103">
        <f>IF($B499="","",IFERROR(BDP($B499&amp;" Action","CP037"),""))</f>
        <v/>
      </c>
      <c r="F499" s="104">
        <f>Database!T499</f>
        <v/>
      </c>
      <c r="G499" s="103">
        <f>IF($B499="","",IFERROR(BDP($B499&amp;" Action","GREENSHOE_FACILITY"),""))</f>
        <v/>
      </c>
      <c r="H499" s="103">
        <f>IF($B499="","",IFERROR(BDP($B499&amp;" Action","OFFERING_GREENSHOE_SHARES_EX"),""))</f>
        <v/>
      </c>
      <c r="I499" s="16">
        <f>Database!AG499</f>
        <v/>
      </c>
      <c r="J499" s="24">
        <f>IFERROR(BDP(Database!$A499&amp;" HK Equity","PE_RATIO"),"")</f>
        <v/>
      </c>
      <c r="K499" s="10">
        <f>IFERROR(BDP(Database!$A499&amp;" HK Equity","A/H_SHARE_CONVERSION"),"")</f>
        <v/>
      </c>
      <c r="L499" s="16">
        <f>IF(Database!BL499="","(none found)",Database!BL499)</f>
        <v/>
      </c>
      <c r="M499" s="18">
        <f>IFERROR(BDH(Database!$A499&amp;" HK Equity","CUR_MKT_CAP",Database!$H499,Database!$H499),"")</f>
        <v/>
      </c>
      <c r="N499" s="97">
        <f>Database!Q499</f>
        <v/>
      </c>
      <c r="O499" s="24">
        <f>IFERROR(BDH(Database!$A499&amp;" HK Equity","PE_RATIO",Database!$H499,Database!$H499),"")</f>
        <v/>
      </c>
      <c r="P499" s="101">
        <f>IF(Database!BF499="","(n/m or not derivable)",Database!BF499)</f>
        <v/>
      </c>
      <c r="Q499" s="24">
        <f>IF(Database!BL499="","",IFERROR(BDH(LEFT(Database!BL499,FIND(".",Database!BL499)-1)&amp;" CH Equity","PE_RATIO",Database!$H499,Database!$H499),""))</f>
        <v/>
      </c>
      <c r="R499" s="24">
        <f>IF(Database!BL499="","",IFERROR(BDH("HSAHP Index","PX_LAST",Database!$H499,Database!$H499),""))</f>
        <v/>
      </c>
      <c r="S499" s="24">
        <f>IFERROR(BDP(Database!$A499&amp;" HK Equity","PX_TO_SALES_RATIO"),"")</f>
        <v/>
      </c>
      <c r="T499" s="18">
        <f>IF(Database!BL499="","",IFERROR(BDP(LEFT(Database!BL499,FIND(".",Database!BL499)-1)&amp;" CH Equity","CUR_MKT_CAP"),""))</f>
        <v/>
      </c>
    </row>
    <row r="500">
      <c r="A500" s="16">
        <f>Database!A500&amp;"  "&amp;Database!B500</f>
        <v/>
      </c>
      <c r="B500" s="10">
        <f>IFERROR(INDEX(BDS(Database!$A500&amp;" HK Equity","EQUITY_OFFERINGS","array=t","endcol=1"),MATCH("IPO",BDS(Database!$A500&amp;" HK Equity","EQUITY_OFFERINGS","array=t","startcol=2","endcol=2"),0)),"")</f>
        <v/>
      </c>
      <c r="C500" s="103">
        <f>IF($B500="","",IFERROR(BDP($B500&amp;" Action","CP036"),""))</f>
        <v/>
      </c>
      <c r="D500" s="104">
        <f>Database!S500</f>
        <v/>
      </c>
      <c r="E500" s="103">
        <f>IF($B500="","",IFERROR(BDP($B500&amp;" Action","CP037"),""))</f>
        <v/>
      </c>
      <c r="F500" s="104">
        <f>Database!T500</f>
        <v/>
      </c>
      <c r="G500" s="103">
        <f>IF($B500="","",IFERROR(BDP($B500&amp;" Action","GREENSHOE_FACILITY"),""))</f>
        <v/>
      </c>
      <c r="H500" s="103">
        <f>IF($B500="","",IFERROR(BDP($B500&amp;" Action","OFFERING_GREENSHOE_SHARES_EX"),""))</f>
        <v/>
      </c>
      <c r="I500" s="16">
        <f>Database!AG500</f>
        <v/>
      </c>
      <c r="J500" s="24">
        <f>IFERROR(BDP(Database!$A500&amp;" HK Equity","PE_RATIO"),"")</f>
        <v/>
      </c>
      <c r="K500" s="10">
        <f>IFERROR(BDP(Database!$A500&amp;" HK Equity","A/H_SHARE_CONVERSION"),"")</f>
        <v/>
      </c>
      <c r="L500" s="16">
        <f>IF(Database!BL500="","(none found)",Database!BL500)</f>
        <v/>
      </c>
      <c r="M500" s="18">
        <f>IFERROR(BDH(Database!$A500&amp;" HK Equity","CUR_MKT_CAP",Database!$H500,Database!$H500),"")</f>
        <v/>
      </c>
      <c r="N500" s="97">
        <f>Database!Q500</f>
        <v/>
      </c>
      <c r="O500" s="24">
        <f>IFERROR(BDH(Database!$A500&amp;" HK Equity","PE_RATIO",Database!$H500,Database!$H500),"")</f>
        <v/>
      </c>
      <c r="P500" s="101">
        <f>IF(Database!BF500="","(n/m or not derivable)",Database!BF500)</f>
        <v/>
      </c>
      <c r="Q500" s="24">
        <f>IF(Database!BL500="","",IFERROR(BDH(LEFT(Database!BL500,FIND(".",Database!BL500)-1)&amp;" CH Equity","PE_RATIO",Database!$H500,Database!$H500),""))</f>
        <v/>
      </c>
      <c r="R500" s="24">
        <f>IF(Database!BL500="","",IFERROR(BDH("HSAHP Index","PX_LAST",Database!$H500,Database!$H500),""))</f>
        <v/>
      </c>
      <c r="S500" s="24">
        <f>IFERROR(BDP(Database!$A500&amp;" HK Equity","PX_TO_SALES_RATIO"),"")</f>
        <v/>
      </c>
      <c r="T500" s="18">
        <f>IF(Database!BL500="","",IFERROR(BDP(LEFT(Database!BL500,FIND(".",Database!BL500)-1)&amp;" CH Equity","CUR_MKT_CAP"),""))</f>
        <v/>
      </c>
    </row>
    <row r="501">
      <c r="A501" s="16">
        <f>Database!A501&amp;"  "&amp;Database!B501</f>
        <v/>
      </c>
      <c r="B501" s="10">
        <f>IFERROR(INDEX(BDS(Database!$A501&amp;" HK Equity","EQUITY_OFFERINGS","array=t","endcol=1"),MATCH("IPO",BDS(Database!$A501&amp;" HK Equity","EQUITY_OFFERINGS","array=t","startcol=2","endcol=2"),0)),"")</f>
        <v/>
      </c>
      <c r="C501" s="103">
        <f>IF($B501="","",IFERROR(BDP($B501&amp;" Action","CP036"),""))</f>
        <v/>
      </c>
      <c r="D501" s="104">
        <f>Database!S501</f>
        <v/>
      </c>
      <c r="E501" s="103">
        <f>IF($B501="","",IFERROR(BDP($B501&amp;" Action","CP037"),""))</f>
        <v/>
      </c>
      <c r="F501" s="104">
        <f>Database!T501</f>
        <v/>
      </c>
      <c r="G501" s="103">
        <f>IF($B501="","",IFERROR(BDP($B501&amp;" Action","GREENSHOE_FACILITY"),""))</f>
        <v/>
      </c>
      <c r="H501" s="103">
        <f>IF($B501="","",IFERROR(BDP($B501&amp;" Action","OFFERING_GREENSHOE_SHARES_EX"),""))</f>
        <v/>
      </c>
      <c r="I501" s="16">
        <f>Database!AG501</f>
        <v/>
      </c>
      <c r="J501" s="24">
        <f>IFERROR(BDP(Database!$A501&amp;" HK Equity","PE_RATIO"),"")</f>
        <v/>
      </c>
      <c r="K501" s="10">
        <f>IFERROR(BDP(Database!$A501&amp;" HK Equity","A/H_SHARE_CONVERSION"),"")</f>
        <v/>
      </c>
      <c r="L501" s="16">
        <f>IF(Database!BL501="","(none found)",Database!BL501)</f>
        <v/>
      </c>
      <c r="M501" s="18">
        <f>IFERROR(BDH(Database!$A501&amp;" HK Equity","CUR_MKT_CAP",Database!$H501,Database!$H501),"")</f>
        <v/>
      </c>
      <c r="N501" s="97">
        <f>Database!Q501</f>
        <v/>
      </c>
      <c r="O501" s="24">
        <f>IFERROR(BDH(Database!$A501&amp;" HK Equity","PE_RATIO",Database!$H501,Database!$H501),"")</f>
        <v/>
      </c>
      <c r="P501" s="101">
        <f>IF(Database!BF501="","(n/m or not derivable)",Database!BF501)</f>
        <v/>
      </c>
      <c r="Q501" s="24">
        <f>IF(Database!BL501="","",IFERROR(BDH(LEFT(Database!BL501,FIND(".",Database!BL501)-1)&amp;" CH Equity","PE_RATIO",Database!$H501,Database!$H501),""))</f>
        <v/>
      </c>
      <c r="R501" s="24">
        <f>IF(Database!BL501="","",IFERROR(BDH("HSAHP Index","PX_LAST",Database!$H501,Database!$H501),""))</f>
        <v/>
      </c>
      <c r="S501" s="24">
        <f>IFERROR(BDP(Database!$A501&amp;" HK Equity","PX_TO_SALES_RATIO"),"")</f>
        <v/>
      </c>
      <c r="T501" s="18">
        <f>IF(Database!BL501="","",IFERROR(BDP(LEFT(Database!BL501,FIND(".",Database!BL501)-1)&amp;" CH Equity","CUR_MKT_CAP"),""))</f>
        <v/>
      </c>
    </row>
    <row r="502">
      <c r="A502" s="16">
        <f>Database!A502&amp;"  "&amp;Database!B502</f>
        <v/>
      </c>
      <c r="B502" s="10">
        <f>IFERROR(INDEX(BDS(Database!$A502&amp;" HK Equity","EQUITY_OFFERINGS","array=t","endcol=1"),MATCH("IPO",BDS(Database!$A502&amp;" HK Equity","EQUITY_OFFERINGS","array=t","startcol=2","endcol=2"),0)),"")</f>
        <v/>
      </c>
      <c r="C502" s="103">
        <f>IF($B502="","",IFERROR(BDP($B502&amp;" Action","CP036"),""))</f>
        <v/>
      </c>
      <c r="D502" s="104">
        <f>Database!S502</f>
        <v/>
      </c>
      <c r="E502" s="103">
        <f>IF($B502="","",IFERROR(BDP($B502&amp;" Action","CP037"),""))</f>
        <v/>
      </c>
      <c r="F502" s="104">
        <f>Database!T502</f>
        <v/>
      </c>
      <c r="G502" s="103">
        <f>IF($B502="","",IFERROR(BDP($B502&amp;" Action","GREENSHOE_FACILITY"),""))</f>
        <v/>
      </c>
      <c r="H502" s="103">
        <f>IF($B502="","",IFERROR(BDP($B502&amp;" Action","OFFERING_GREENSHOE_SHARES_EX"),""))</f>
        <v/>
      </c>
      <c r="I502" s="16">
        <f>Database!AG502</f>
        <v/>
      </c>
      <c r="J502" s="24">
        <f>IFERROR(BDP(Database!$A502&amp;" HK Equity","PE_RATIO"),"")</f>
        <v/>
      </c>
      <c r="K502" s="10">
        <f>IFERROR(BDP(Database!$A502&amp;" HK Equity","A/H_SHARE_CONVERSION"),"")</f>
        <v/>
      </c>
      <c r="L502" s="16">
        <f>IF(Database!BL502="","(none found)",Database!BL502)</f>
        <v/>
      </c>
      <c r="M502" s="18">
        <f>IFERROR(BDH(Database!$A502&amp;" HK Equity","CUR_MKT_CAP",Database!$H502,Database!$H502),"")</f>
        <v/>
      </c>
      <c r="N502" s="97">
        <f>Database!Q502</f>
        <v/>
      </c>
      <c r="O502" s="24">
        <f>IFERROR(BDH(Database!$A502&amp;" HK Equity","PE_RATIO",Database!$H502,Database!$H502),"")</f>
        <v/>
      </c>
      <c r="P502" s="101">
        <f>IF(Database!BF502="","(n/m or not derivable)",Database!BF502)</f>
        <v/>
      </c>
      <c r="Q502" s="24">
        <f>IF(Database!BL502="","",IFERROR(BDH(LEFT(Database!BL502,FIND(".",Database!BL502)-1)&amp;" CH Equity","PE_RATIO",Database!$H502,Database!$H502),""))</f>
        <v/>
      </c>
      <c r="R502" s="24">
        <f>IF(Database!BL502="","",IFERROR(BDH("HSAHP Index","PX_LAST",Database!$H502,Database!$H502),""))</f>
        <v/>
      </c>
      <c r="S502" s="24">
        <f>IFERROR(BDP(Database!$A502&amp;" HK Equity","PX_TO_SALES_RATIO"),"")</f>
        <v/>
      </c>
      <c r="T502" s="18">
        <f>IF(Database!BL502="","",IFERROR(BDP(LEFT(Database!BL502,FIND(".",Database!BL502)-1)&amp;" CH Equity","CUR_MKT_CAP"),""))</f>
        <v/>
      </c>
    </row>
    <row r="503">
      <c r="A503" s="16">
        <f>Database!A503&amp;"  "&amp;Database!B503</f>
        <v/>
      </c>
      <c r="B503" s="10">
        <f>IFERROR(INDEX(BDS(Database!$A503&amp;" HK Equity","EQUITY_OFFERINGS","array=t","endcol=1"),MATCH("IPO",BDS(Database!$A503&amp;" HK Equity","EQUITY_OFFERINGS","array=t","startcol=2","endcol=2"),0)),"")</f>
        <v/>
      </c>
      <c r="C503" s="103">
        <f>IF($B503="","",IFERROR(BDP($B503&amp;" Action","CP036"),""))</f>
        <v/>
      </c>
      <c r="D503" s="104">
        <f>Database!S503</f>
        <v/>
      </c>
      <c r="E503" s="103">
        <f>IF($B503="","",IFERROR(BDP($B503&amp;" Action","CP037"),""))</f>
        <v/>
      </c>
      <c r="F503" s="104">
        <f>Database!T503</f>
        <v/>
      </c>
      <c r="G503" s="103">
        <f>IF($B503="","",IFERROR(BDP($B503&amp;" Action","GREENSHOE_FACILITY"),""))</f>
        <v/>
      </c>
      <c r="H503" s="103">
        <f>IF($B503="","",IFERROR(BDP($B503&amp;" Action","OFFERING_GREENSHOE_SHARES_EX"),""))</f>
        <v/>
      </c>
      <c r="I503" s="16">
        <f>Database!AG503</f>
        <v/>
      </c>
      <c r="J503" s="24">
        <f>IFERROR(BDP(Database!$A503&amp;" HK Equity","PE_RATIO"),"")</f>
        <v/>
      </c>
      <c r="K503" s="10">
        <f>IFERROR(BDP(Database!$A503&amp;" HK Equity","A/H_SHARE_CONVERSION"),"")</f>
        <v/>
      </c>
      <c r="L503" s="16">
        <f>IF(Database!BL503="","(none found)",Database!BL503)</f>
        <v/>
      </c>
      <c r="M503" s="18">
        <f>IFERROR(BDH(Database!$A503&amp;" HK Equity","CUR_MKT_CAP",Database!$H503,Database!$H503),"")</f>
        <v/>
      </c>
      <c r="N503" s="97">
        <f>Database!Q503</f>
        <v/>
      </c>
      <c r="O503" s="24">
        <f>IFERROR(BDH(Database!$A503&amp;" HK Equity","PE_RATIO",Database!$H503,Database!$H503),"")</f>
        <v/>
      </c>
      <c r="P503" s="101">
        <f>IF(Database!BF503="","(n/m or not derivable)",Database!BF503)</f>
        <v/>
      </c>
      <c r="Q503" s="24">
        <f>IF(Database!BL503="","",IFERROR(BDH(LEFT(Database!BL503,FIND(".",Database!BL503)-1)&amp;" CH Equity","PE_RATIO",Database!$H503,Database!$H503),""))</f>
        <v/>
      </c>
      <c r="R503" s="24">
        <f>IF(Database!BL503="","",IFERROR(BDH("HSAHP Index","PX_LAST",Database!$H503,Database!$H503),""))</f>
        <v/>
      </c>
      <c r="S503" s="24">
        <f>IFERROR(BDP(Database!$A503&amp;" HK Equity","PX_TO_SALES_RATIO"),"")</f>
        <v/>
      </c>
      <c r="T503" s="18">
        <f>IF(Database!BL503="","",IFERROR(BDP(LEFT(Database!BL503,FIND(".",Database!BL503)-1)&amp;" CH Equity","CUR_MKT_CAP"),""))</f>
        <v/>
      </c>
    </row>
    <row r="504">
      <c r="A504" s="16">
        <f>Database!A504&amp;"  "&amp;Database!B504</f>
        <v/>
      </c>
      <c r="B504" s="10">
        <f>IFERROR(INDEX(BDS(Database!$A504&amp;" HK Equity","EQUITY_OFFERINGS","array=t","endcol=1"),MATCH("IPO",BDS(Database!$A504&amp;" HK Equity","EQUITY_OFFERINGS","array=t","startcol=2","endcol=2"),0)),"")</f>
        <v/>
      </c>
      <c r="C504" s="103">
        <f>IF($B504="","",IFERROR(BDP($B504&amp;" Action","CP036"),""))</f>
        <v/>
      </c>
      <c r="D504" s="104">
        <f>Database!S504</f>
        <v/>
      </c>
      <c r="E504" s="103">
        <f>IF($B504="","",IFERROR(BDP($B504&amp;" Action","CP037"),""))</f>
        <v/>
      </c>
      <c r="F504" s="104">
        <f>Database!T504</f>
        <v/>
      </c>
      <c r="G504" s="103">
        <f>IF($B504="","",IFERROR(BDP($B504&amp;" Action","GREENSHOE_FACILITY"),""))</f>
        <v/>
      </c>
      <c r="H504" s="103">
        <f>IF($B504="","",IFERROR(BDP($B504&amp;" Action","OFFERING_GREENSHOE_SHARES_EX"),""))</f>
        <v/>
      </c>
      <c r="I504" s="16">
        <f>Database!AG504</f>
        <v/>
      </c>
      <c r="J504" s="24">
        <f>IFERROR(BDP(Database!$A504&amp;" HK Equity","PE_RATIO"),"")</f>
        <v/>
      </c>
      <c r="K504" s="10">
        <f>IFERROR(BDP(Database!$A504&amp;" HK Equity","A/H_SHARE_CONVERSION"),"")</f>
        <v/>
      </c>
      <c r="L504" s="16">
        <f>IF(Database!BL504="","(none found)",Database!BL504)</f>
        <v/>
      </c>
      <c r="M504" s="18">
        <f>IFERROR(BDH(Database!$A504&amp;" HK Equity","CUR_MKT_CAP",Database!$H504,Database!$H504),"")</f>
        <v/>
      </c>
      <c r="N504" s="97">
        <f>Database!Q504</f>
        <v/>
      </c>
      <c r="O504" s="24">
        <f>IFERROR(BDH(Database!$A504&amp;" HK Equity","PE_RATIO",Database!$H504,Database!$H504),"")</f>
        <v/>
      </c>
      <c r="P504" s="101">
        <f>IF(Database!BF504="","(n/m or not derivable)",Database!BF504)</f>
        <v/>
      </c>
      <c r="Q504" s="24">
        <f>IF(Database!BL504="","",IFERROR(BDH(LEFT(Database!BL504,FIND(".",Database!BL504)-1)&amp;" CH Equity","PE_RATIO",Database!$H504,Database!$H504),""))</f>
        <v/>
      </c>
      <c r="R504" s="24">
        <f>IF(Database!BL504="","",IFERROR(BDH("HSAHP Index","PX_LAST",Database!$H504,Database!$H504),""))</f>
        <v/>
      </c>
      <c r="S504" s="24">
        <f>IFERROR(BDP(Database!$A504&amp;" HK Equity","PX_TO_SALES_RATIO"),"")</f>
        <v/>
      </c>
      <c r="T504" s="18">
        <f>IF(Database!BL504="","",IFERROR(BDP(LEFT(Database!BL504,FIND(".",Database!BL504)-1)&amp;" CH Equity","CUR_MKT_CAP"),""))</f>
        <v/>
      </c>
    </row>
    <row r="505">
      <c r="A505" s="16">
        <f>Database!A505&amp;"  "&amp;Database!B505</f>
        <v/>
      </c>
      <c r="B505" s="10">
        <f>IFERROR(INDEX(BDS(Database!$A505&amp;" HK Equity","EQUITY_OFFERINGS","array=t","endcol=1"),MATCH("IPO",BDS(Database!$A505&amp;" HK Equity","EQUITY_OFFERINGS","array=t","startcol=2","endcol=2"),0)),"")</f>
        <v/>
      </c>
      <c r="C505" s="103">
        <f>IF($B505="","",IFERROR(BDP($B505&amp;" Action","CP036"),""))</f>
        <v/>
      </c>
      <c r="D505" s="104">
        <f>Database!S505</f>
        <v/>
      </c>
      <c r="E505" s="103">
        <f>IF($B505="","",IFERROR(BDP($B505&amp;" Action","CP037"),""))</f>
        <v/>
      </c>
      <c r="F505" s="104">
        <f>Database!T505</f>
        <v/>
      </c>
      <c r="G505" s="103">
        <f>IF($B505="","",IFERROR(BDP($B505&amp;" Action","GREENSHOE_FACILITY"),""))</f>
        <v/>
      </c>
      <c r="H505" s="103">
        <f>IF($B505="","",IFERROR(BDP($B505&amp;" Action","OFFERING_GREENSHOE_SHARES_EX"),""))</f>
        <v/>
      </c>
      <c r="I505" s="16">
        <f>Database!AG505</f>
        <v/>
      </c>
      <c r="J505" s="24">
        <f>IFERROR(BDP(Database!$A505&amp;" HK Equity","PE_RATIO"),"")</f>
        <v/>
      </c>
      <c r="K505" s="10">
        <f>IFERROR(BDP(Database!$A505&amp;" HK Equity","A/H_SHARE_CONVERSION"),"")</f>
        <v/>
      </c>
      <c r="L505" s="16">
        <f>IF(Database!BL505="","(none found)",Database!BL505)</f>
        <v/>
      </c>
      <c r="M505" s="18">
        <f>IFERROR(BDH(Database!$A505&amp;" HK Equity","CUR_MKT_CAP",Database!$H505,Database!$H505),"")</f>
        <v/>
      </c>
      <c r="N505" s="97">
        <f>Database!Q505</f>
        <v/>
      </c>
      <c r="O505" s="24">
        <f>IFERROR(BDH(Database!$A505&amp;" HK Equity","PE_RATIO",Database!$H505,Database!$H505),"")</f>
        <v/>
      </c>
      <c r="P505" s="101">
        <f>IF(Database!BF505="","(n/m or not derivable)",Database!BF505)</f>
        <v/>
      </c>
      <c r="Q505" s="24">
        <f>IF(Database!BL505="","",IFERROR(BDH(LEFT(Database!BL505,FIND(".",Database!BL505)-1)&amp;" CH Equity","PE_RATIO",Database!$H505,Database!$H505),""))</f>
        <v/>
      </c>
      <c r="R505" s="24">
        <f>IF(Database!BL505="","",IFERROR(BDH("HSAHP Index","PX_LAST",Database!$H505,Database!$H505),""))</f>
        <v/>
      </c>
      <c r="S505" s="24">
        <f>IFERROR(BDP(Database!$A505&amp;" HK Equity","PX_TO_SALES_RATIO"),"")</f>
        <v/>
      </c>
      <c r="T505" s="18">
        <f>IF(Database!BL505="","",IFERROR(BDP(LEFT(Database!BL505,FIND(".",Database!BL505)-1)&amp;" CH Equity","CUR_MKT_CAP"),""))</f>
        <v/>
      </c>
    </row>
    <row r="506">
      <c r="A506" s="16">
        <f>Database!A506&amp;"  "&amp;Database!B506</f>
        <v/>
      </c>
      <c r="B506" s="10">
        <f>IFERROR(INDEX(BDS(Database!$A506&amp;" HK Equity","EQUITY_OFFERINGS","array=t","endcol=1"),MATCH("IPO",BDS(Database!$A506&amp;" HK Equity","EQUITY_OFFERINGS","array=t","startcol=2","endcol=2"),0)),"")</f>
        <v/>
      </c>
      <c r="C506" s="103">
        <f>IF($B506="","",IFERROR(BDP($B506&amp;" Action","CP036"),""))</f>
        <v/>
      </c>
      <c r="D506" s="104">
        <f>Database!S506</f>
        <v/>
      </c>
      <c r="E506" s="103">
        <f>IF($B506="","",IFERROR(BDP($B506&amp;" Action","CP037"),""))</f>
        <v/>
      </c>
      <c r="F506" s="104">
        <f>Database!T506</f>
        <v/>
      </c>
      <c r="G506" s="103">
        <f>IF($B506="","",IFERROR(BDP($B506&amp;" Action","GREENSHOE_FACILITY"),""))</f>
        <v/>
      </c>
      <c r="H506" s="103">
        <f>IF($B506="","",IFERROR(BDP($B506&amp;" Action","OFFERING_GREENSHOE_SHARES_EX"),""))</f>
        <v/>
      </c>
      <c r="I506" s="16">
        <f>Database!AG506</f>
        <v/>
      </c>
      <c r="J506" s="24">
        <f>IFERROR(BDP(Database!$A506&amp;" HK Equity","PE_RATIO"),"")</f>
        <v/>
      </c>
      <c r="K506" s="10">
        <f>IFERROR(BDP(Database!$A506&amp;" HK Equity","A/H_SHARE_CONVERSION"),"")</f>
        <v/>
      </c>
      <c r="L506" s="16">
        <f>IF(Database!BL506="","(none found)",Database!BL506)</f>
        <v/>
      </c>
      <c r="M506" s="18">
        <f>IFERROR(BDH(Database!$A506&amp;" HK Equity","CUR_MKT_CAP",Database!$H506,Database!$H506),"")</f>
        <v/>
      </c>
      <c r="N506" s="97">
        <f>Database!Q506</f>
        <v/>
      </c>
      <c r="O506" s="24">
        <f>IFERROR(BDH(Database!$A506&amp;" HK Equity","PE_RATIO",Database!$H506,Database!$H506),"")</f>
        <v/>
      </c>
      <c r="P506" s="101">
        <f>IF(Database!BF506="","(n/m or not derivable)",Database!BF506)</f>
        <v/>
      </c>
      <c r="Q506" s="24">
        <f>IF(Database!BL506="","",IFERROR(BDH(LEFT(Database!BL506,FIND(".",Database!BL506)-1)&amp;" CH Equity","PE_RATIO",Database!$H506,Database!$H506),""))</f>
        <v/>
      </c>
      <c r="R506" s="24">
        <f>IF(Database!BL506="","",IFERROR(BDH("HSAHP Index","PX_LAST",Database!$H506,Database!$H506),""))</f>
        <v/>
      </c>
      <c r="S506" s="24">
        <f>IFERROR(BDP(Database!$A506&amp;" HK Equity","PX_TO_SALES_RATIO"),"")</f>
        <v/>
      </c>
      <c r="T506" s="18">
        <f>IF(Database!BL506="","",IFERROR(BDP(LEFT(Database!BL506,FIND(".",Database!BL506)-1)&amp;" CH Equity","CUR_MKT_CAP"),""))</f>
        <v/>
      </c>
    </row>
    <row r="507">
      <c r="A507" s="16">
        <f>Database!A507&amp;"  "&amp;Database!B507</f>
        <v/>
      </c>
      <c r="B507" s="10">
        <f>IFERROR(INDEX(BDS(Database!$A507&amp;" HK Equity","EQUITY_OFFERINGS","array=t","endcol=1"),MATCH("IPO",BDS(Database!$A507&amp;" HK Equity","EQUITY_OFFERINGS","array=t","startcol=2","endcol=2"),0)),"")</f>
        <v/>
      </c>
      <c r="C507" s="103">
        <f>IF($B507="","",IFERROR(BDP($B507&amp;" Action","CP036"),""))</f>
        <v/>
      </c>
      <c r="D507" s="104">
        <f>Database!S507</f>
        <v/>
      </c>
      <c r="E507" s="103">
        <f>IF($B507="","",IFERROR(BDP($B507&amp;" Action","CP037"),""))</f>
        <v/>
      </c>
      <c r="F507" s="104">
        <f>Database!T507</f>
        <v/>
      </c>
      <c r="G507" s="103">
        <f>IF($B507="","",IFERROR(BDP($B507&amp;" Action","GREENSHOE_FACILITY"),""))</f>
        <v/>
      </c>
      <c r="H507" s="103">
        <f>IF($B507="","",IFERROR(BDP($B507&amp;" Action","OFFERING_GREENSHOE_SHARES_EX"),""))</f>
        <v/>
      </c>
      <c r="I507" s="16">
        <f>Database!AG507</f>
        <v/>
      </c>
      <c r="J507" s="24">
        <f>IFERROR(BDP(Database!$A507&amp;" HK Equity","PE_RATIO"),"")</f>
        <v/>
      </c>
      <c r="K507" s="10">
        <f>IFERROR(BDP(Database!$A507&amp;" HK Equity","A/H_SHARE_CONVERSION"),"")</f>
        <v/>
      </c>
      <c r="L507" s="16">
        <f>IF(Database!BL507="","(none found)",Database!BL507)</f>
        <v/>
      </c>
      <c r="M507" s="18">
        <f>IFERROR(BDH(Database!$A507&amp;" HK Equity","CUR_MKT_CAP",Database!$H507,Database!$H507),"")</f>
        <v/>
      </c>
      <c r="N507" s="97">
        <f>Database!Q507</f>
        <v/>
      </c>
      <c r="O507" s="24">
        <f>IFERROR(BDH(Database!$A507&amp;" HK Equity","PE_RATIO",Database!$H507,Database!$H507),"")</f>
        <v/>
      </c>
      <c r="P507" s="101">
        <f>IF(Database!BF507="","(n/m or not derivable)",Database!BF507)</f>
        <v/>
      </c>
      <c r="Q507" s="24">
        <f>IF(Database!BL507="","",IFERROR(BDH(LEFT(Database!BL507,FIND(".",Database!BL507)-1)&amp;" CH Equity","PE_RATIO",Database!$H507,Database!$H507),""))</f>
        <v/>
      </c>
      <c r="R507" s="24">
        <f>IF(Database!BL507="","",IFERROR(BDH("HSAHP Index","PX_LAST",Database!$H507,Database!$H507),""))</f>
        <v/>
      </c>
      <c r="S507" s="24">
        <f>IFERROR(BDP(Database!$A507&amp;" HK Equity","PX_TO_SALES_RATIO"),"")</f>
        <v/>
      </c>
      <c r="T507" s="18">
        <f>IF(Database!BL507="","",IFERROR(BDP(LEFT(Database!BL507,FIND(".",Database!BL507)-1)&amp;" CH Equity","CUR_MKT_CAP"),""))</f>
        <v/>
      </c>
    </row>
    <row r="508">
      <c r="A508" s="16">
        <f>Database!A508&amp;"  "&amp;Database!B508</f>
        <v/>
      </c>
      <c r="B508" s="10">
        <f>IFERROR(INDEX(BDS(Database!$A508&amp;" HK Equity","EQUITY_OFFERINGS","array=t","endcol=1"),MATCH("IPO",BDS(Database!$A508&amp;" HK Equity","EQUITY_OFFERINGS","array=t","startcol=2","endcol=2"),0)),"")</f>
        <v/>
      </c>
      <c r="C508" s="103">
        <f>IF($B508="","",IFERROR(BDP($B508&amp;" Action","CP036"),""))</f>
        <v/>
      </c>
      <c r="D508" s="104">
        <f>Database!S508</f>
        <v/>
      </c>
      <c r="E508" s="103">
        <f>IF($B508="","",IFERROR(BDP($B508&amp;" Action","CP037"),""))</f>
        <v/>
      </c>
      <c r="F508" s="104">
        <f>Database!T508</f>
        <v/>
      </c>
      <c r="G508" s="103">
        <f>IF($B508="","",IFERROR(BDP($B508&amp;" Action","GREENSHOE_FACILITY"),""))</f>
        <v/>
      </c>
      <c r="H508" s="103">
        <f>IF($B508="","",IFERROR(BDP($B508&amp;" Action","OFFERING_GREENSHOE_SHARES_EX"),""))</f>
        <v/>
      </c>
      <c r="I508" s="16">
        <f>Database!AG508</f>
        <v/>
      </c>
      <c r="J508" s="24">
        <f>IFERROR(BDP(Database!$A508&amp;" HK Equity","PE_RATIO"),"")</f>
        <v/>
      </c>
      <c r="K508" s="10">
        <f>IFERROR(BDP(Database!$A508&amp;" HK Equity","A/H_SHARE_CONVERSION"),"")</f>
        <v/>
      </c>
      <c r="L508" s="16">
        <f>IF(Database!BL508="","(none found)",Database!BL508)</f>
        <v/>
      </c>
      <c r="M508" s="18">
        <f>IFERROR(BDH(Database!$A508&amp;" HK Equity","CUR_MKT_CAP",Database!$H508,Database!$H508),"")</f>
        <v/>
      </c>
      <c r="N508" s="97">
        <f>Database!Q508</f>
        <v/>
      </c>
      <c r="O508" s="24">
        <f>IFERROR(BDH(Database!$A508&amp;" HK Equity","PE_RATIO",Database!$H508,Database!$H508),"")</f>
        <v/>
      </c>
      <c r="P508" s="101">
        <f>IF(Database!BF508="","(n/m or not derivable)",Database!BF508)</f>
        <v/>
      </c>
      <c r="Q508" s="24">
        <f>IF(Database!BL508="","",IFERROR(BDH(LEFT(Database!BL508,FIND(".",Database!BL508)-1)&amp;" CH Equity","PE_RATIO",Database!$H508,Database!$H508),""))</f>
        <v/>
      </c>
      <c r="R508" s="24">
        <f>IF(Database!BL508="","",IFERROR(BDH("HSAHP Index","PX_LAST",Database!$H508,Database!$H508),""))</f>
        <v/>
      </c>
      <c r="S508" s="24">
        <f>IFERROR(BDP(Database!$A508&amp;" HK Equity","PX_TO_SALES_RATIO"),"")</f>
        <v/>
      </c>
      <c r="T508" s="18">
        <f>IF(Database!BL508="","",IFERROR(BDP(LEFT(Database!BL508,FIND(".",Database!BL508)-1)&amp;" CH Equity","CUR_MKT_CAP"),""))</f>
        <v/>
      </c>
    </row>
    <row r="509">
      <c r="A509" s="16">
        <f>Database!A509&amp;"  "&amp;Database!B509</f>
        <v/>
      </c>
      <c r="B509" s="10">
        <f>IFERROR(INDEX(BDS(Database!$A509&amp;" HK Equity","EQUITY_OFFERINGS","array=t","endcol=1"),MATCH("IPO",BDS(Database!$A509&amp;" HK Equity","EQUITY_OFFERINGS","array=t","startcol=2","endcol=2"),0)),"")</f>
        <v/>
      </c>
      <c r="C509" s="103">
        <f>IF($B509="","",IFERROR(BDP($B509&amp;" Action","CP036"),""))</f>
        <v/>
      </c>
      <c r="D509" s="104">
        <f>Database!S509</f>
        <v/>
      </c>
      <c r="E509" s="103">
        <f>IF($B509="","",IFERROR(BDP($B509&amp;" Action","CP037"),""))</f>
        <v/>
      </c>
      <c r="F509" s="104">
        <f>Database!T509</f>
        <v/>
      </c>
      <c r="G509" s="103">
        <f>IF($B509="","",IFERROR(BDP($B509&amp;" Action","GREENSHOE_FACILITY"),""))</f>
        <v/>
      </c>
      <c r="H509" s="103">
        <f>IF($B509="","",IFERROR(BDP($B509&amp;" Action","OFFERING_GREENSHOE_SHARES_EX"),""))</f>
        <v/>
      </c>
      <c r="I509" s="16">
        <f>Database!AG509</f>
        <v/>
      </c>
      <c r="J509" s="24">
        <f>IFERROR(BDP(Database!$A509&amp;" HK Equity","PE_RATIO"),"")</f>
        <v/>
      </c>
      <c r="K509" s="10">
        <f>IFERROR(BDP(Database!$A509&amp;" HK Equity","A/H_SHARE_CONVERSION"),"")</f>
        <v/>
      </c>
      <c r="L509" s="16">
        <f>IF(Database!BL509="","(none found)",Database!BL509)</f>
        <v/>
      </c>
      <c r="M509" s="18">
        <f>IFERROR(BDH(Database!$A509&amp;" HK Equity","CUR_MKT_CAP",Database!$H509,Database!$H509),"")</f>
        <v/>
      </c>
      <c r="N509" s="97">
        <f>Database!Q509</f>
        <v/>
      </c>
      <c r="O509" s="24">
        <f>IFERROR(BDH(Database!$A509&amp;" HK Equity","PE_RATIO",Database!$H509,Database!$H509),"")</f>
        <v/>
      </c>
      <c r="P509" s="101">
        <f>IF(Database!BF509="","(n/m or not derivable)",Database!BF509)</f>
        <v/>
      </c>
      <c r="Q509" s="24">
        <f>IF(Database!BL509="","",IFERROR(BDH(LEFT(Database!BL509,FIND(".",Database!BL509)-1)&amp;" CH Equity","PE_RATIO",Database!$H509,Database!$H509),""))</f>
        <v/>
      </c>
      <c r="R509" s="24">
        <f>IF(Database!BL509="","",IFERROR(BDH("HSAHP Index","PX_LAST",Database!$H509,Database!$H509),""))</f>
        <v/>
      </c>
      <c r="S509" s="24">
        <f>IFERROR(BDP(Database!$A509&amp;" HK Equity","PX_TO_SALES_RATIO"),"")</f>
        <v/>
      </c>
      <c r="T509" s="18">
        <f>IF(Database!BL509="","",IFERROR(BDP(LEFT(Database!BL509,FIND(".",Database!BL509)-1)&amp;" CH Equity","CUR_MKT_CAP"),""))</f>
        <v/>
      </c>
    </row>
    <row r="510">
      <c r="A510" s="16">
        <f>Database!A510&amp;"  "&amp;Database!B510</f>
        <v/>
      </c>
      <c r="B510" s="10">
        <f>IFERROR(INDEX(BDS(Database!$A510&amp;" HK Equity","EQUITY_OFFERINGS","array=t","endcol=1"),MATCH("IPO",BDS(Database!$A510&amp;" HK Equity","EQUITY_OFFERINGS","array=t","startcol=2","endcol=2"),0)),"")</f>
        <v/>
      </c>
      <c r="C510" s="103">
        <f>IF($B510="","",IFERROR(BDP($B510&amp;" Action","CP036"),""))</f>
        <v/>
      </c>
      <c r="D510" s="104">
        <f>Database!S510</f>
        <v/>
      </c>
      <c r="E510" s="103">
        <f>IF($B510="","",IFERROR(BDP($B510&amp;" Action","CP037"),""))</f>
        <v/>
      </c>
      <c r="F510" s="104">
        <f>Database!T510</f>
        <v/>
      </c>
      <c r="G510" s="103">
        <f>IF($B510="","",IFERROR(BDP($B510&amp;" Action","GREENSHOE_FACILITY"),""))</f>
        <v/>
      </c>
      <c r="H510" s="103">
        <f>IF($B510="","",IFERROR(BDP($B510&amp;" Action","OFFERING_GREENSHOE_SHARES_EX"),""))</f>
        <v/>
      </c>
      <c r="I510" s="16">
        <f>Database!AG510</f>
        <v/>
      </c>
      <c r="J510" s="24">
        <f>IFERROR(BDP(Database!$A510&amp;" HK Equity","PE_RATIO"),"")</f>
        <v/>
      </c>
      <c r="K510" s="10">
        <f>IFERROR(BDP(Database!$A510&amp;" HK Equity","A/H_SHARE_CONVERSION"),"")</f>
        <v/>
      </c>
      <c r="L510" s="16">
        <f>IF(Database!BL510="","(none found)",Database!BL510)</f>
        <v/>
      </c>
      <c r="M510" s="18">
        <f>IFERROR(BDH(Database!$A510&amp;" HK Equity","CUR_MKT_CAP",Database!$H510,Database!$H510),"")</f>
        <v/>
      </c>
      <c r="N510" s="97">
        <f>Database!Q510</f>
        <v/>
      </c>
      <c r="O510" s="24">
        <f>IFERROR(BDH(Database!$A510&amp;" HK Equity","PE_RATIO",Database!$H510,Database!$H510),"")</f>
        <v/>
      </c>
      <c r="P510" s="101">
        <f>IF(Database!BF510="","(n/m or not derivable)",Database!BF510)</f>
        <v/>
      </c>
      <c r="Q510" s="24">
        <f>IF(Database!BL510="","",IFERROR(BDH(LEFT(Database!BL510,FIND(".",Database!BL510)-1)&amp;" CH Equity","PE_RATIO",Database!$H510,Database!$H510),""))</f>
        <v/>
      </c>
      <c r="R510" s="24">
        <f>IF(Database!BL510="","",IFERROR(BDH("HSAHP Index","PX_LAST",Database!$H510,Database!$H510),""))</f>
        <v/>
      </c>
      <c r="S510" s="24">
        <f>IFERROR(BDP(Database!$A510&amp;" HK Equity","PX_TO_SALES_RATIO"),"")</f>
        <v/>
      </c>
      <c r="T510" s="18">
        <f>IF(Database!BL510="","",IFERROR(BDP(LEFT(Database!BL510,FIND(".",Database!BL510)-1)&amp;" CH Equity","CUR_MKT_CAP"),""))</f>
        <v/>
      </c>
    </row>
    <row r="511">
      <c r="A511" s="16">
        <f>Database!A511&amp;"  "&amp;Database!B511</f>
        <v/>
      </c>
      <c r="B511" s="10">
        <f>IFERROR(INDEX(BDS(Database!$A511&amp;" HK Equity","EQUITY_OFFERINGS","array=t","endcol=1"),MATCH("IPO",BDS(Database!$A511&amp;" HK Equity","EQUITY_OFFERINGS","array=t","startcol=2","endcol=2"),0)),"")</f>
        <v/>
      </c>
      <c r="C511" s="103">
        <f>IF($B511="","",IFERROR(BDP($B511&amp;" Action","CP036"),""))</f>
        <v/>
      </c>
      <c r="D511" s="104">
        <f>Database!S511</f>
        <v/>
      </c>
      <c r="E511" s="103">
        <f>IF($B511="","",IFERROR(BDP($B511&amp;" Action","CP037"),""))</f>
        <v/>
      </c>
      <c r="F511" s="104">
        <f>Database!T511</f>
        <v/>
      </c>
      <c r="G511" s="103">
        <f>IF($B511="","",IFERROR(BDP($B511&amp;" Action","GREENSHOE_FACILITY"),""))</f>
        <v/>
      </c>
      <c r="H511" s="103">
        <f>IF($B511="","",IFERROR(BDP($B511&amp;" Action","OFFERING_GREENSHOE_SHARES_EX"),""))</f>
        <v/>
      </c>
      <c r="I511" s="16">
        <f>Database!AG511</f>
        <v/>
      </c>
      <c r="J511" s="24">
        <f>IFERROR(BDP(Database!$A511&amp;" HK Equity","PE_RATIO"),"")</f>
        <v/>
      </c>
      <c r="K511" s="10">
        <f>IFERROR(BDP(Database!$A511&amp;" HK Equity","A/H_SHARE_CONVERSION"),"")</f>
        <v/>
      </c>
      <c r="L511" s="16">
        <f>IF(Database!BL511="","(none found)",Database!BL511)</f>
        <v/>
      </c>
      <c r="M511" s="18">
        <f>IFERROR(BDH(Database!$A511&amp;" HK Equity","CUR_MKT_CAP",Database!$H511,Database!$H511),"")</f>
        <v/>
      </c>
      <c r="N511" s="97">
        <f>Database!Q511</f>
        <v/>
      </c>
      <c r="O511" s="24">
        <f>IFERROR(BDH(Database!$A511&amp;" HK Equity","PE_RATIO",Database!$H511,Database!$H511),"")</f>
        <v/>
      </c>
      <c r="P511" s="101">
        <f>IF(Database!BF511="","(n/m or not derivable)",Database!BF511)</f>
        <v/>
      </c>
      <c r="Q511" s="24">
        <f>IF(Database!BL511="","",IFERROR(BDH(LEFT(Database!BL511,FIND(".",Database!BL511)-1)&amp;" CH Equity","PE_RATIO",Database!$H511,Database!$H511),""))</f>
        <v/>
      </c>
      <c r="R511" s="24">
        <f>IF(Database!BL511="","",IFERROR(BDH("HSAHP Index","PX_LAST",Database!$H511,Database!$H511),""))</f>
        <v/>
      </c>
      <c r="S511" s="24">
        <f>IFERROR(BDP(Database!$A511&amp;" HK Equity","PX_TO_SALES_RATIO"),"")</f>
        <v/>
      </c>
      <c r="T511" s="18">
        <f>IF(Database!BL511="","",IFERROR(BDP(LEFT(Database!BL511,FIND(".",Database!BL511)-1)&amp;" CH Equity","CUR_MKT_CAP"),""))</f>
        <v/>
      </c>
    </row>
    <row r="512">
      <c r="A512" s="16">
        <f>Database!A512&amp;"  "&amp;Database!B512</f>
        <v/>
      </c>
      <c r="B512" s="10">
        <f>IFERROR(INDEX(BDS(Database!$A512&amp;" HK Equity","EQUITY_OFFERINGS","array=t","endcol=1"),MATCH("IPO",BDS(Database!$A512&amp;" HK Equity","EQUITY_OFFERINGS","array=t","startcol=2","endcol=2"),0)),"")</f>
        <v/>
      </c>
      <c r="C512" s="103">
        <f>IF($B512="","",IFERROR(BDP($B512&amp;" Action","CP036"),""))</f>
        <v/>
      </c>
      <c r="D512" s="104">
        <f>Database!S512</f>
        <v/>
      </c>
      <c r="E512" s="103">
        <f>IF($B512="","",IFERROR(BDP($B512&amp;" Action","CP037"),""))</f>
        <v/>
      </c>
      <c r="F512" s="104">
        <f>Database!T512</f>
        <v/>
      </c>
      <c r="G512" s="103">
        <f>IF($B512="","",IFERROR(BDP($B512&amp;" Action","GREENSHOE_FACILITY"),""))</f>
        <v/>
      </c>
      <c r="H512" s="103">
        <f>IF($B512="","",IFERROR(BDP($B512&amp;" Action","OFFERING_GREENSHOE_SHARES_EX"),""))</f>
        <v/>
      </c>
      <c r="I512" s="16">
        <f>Database!AG512</f>
        <v/>
      </c>
      <c r="J512" s="24">
        <f>IFERROR(BDP(Database!$A512&amp;" HK Equity","PE_RATIO"),"")</f>
        <v/>
      </c>
      <c r="K512" s="10">
        <f>IFERROR(BDP(Database!$A512&amp;" HK Equity","A/H_SHARE_CONVERSION"),"")</f>
        <v/>
      </c>
      <c r="L512" s="16">
        <f>IF(Database!BL512="","(none found)",Database!BL512)</f>
        <v/>
      </c>
      <c r="M512" s="18">
        <f>IFERROR(BDH(Database!$A512&amp;" HK Equity","CUR_MKT_CAP",Database!$H512,Database!$H512),"")</f>
        <v/>
      </c>
      <c r="N512" s="97">
        <f>Database!Q512</f>
        <v/>
      </c>
      <c r="O512" s="24">
        <f>IFERROR(BDH(Database!$A512&amp;" HK Equity","PE_RATIO",Database!$H512,Database!$H512),"")</f>
        <v/>
      </c>
      <c r="P512" s="101">
        <f>IF(Database!BF512="","(n/m or not derivable)",Database!BF512)</f>
        <v/>
      </c>
      <c r="Q512" s="24">
        <f>IF(Database!BL512="","",IFERROR(BDH(LEFT(Database!BL512,FIND(".",Database!BL512)-1)&amp;" CH Equity","PE_RATIO",Database!$H512,Database!$H512),""))</f>
        <v/>
      </c>
      <c r="R512" s="24">
        <f>IF(Database!BL512="","",IFERROR(BDH("HSAHP Index","PX_LAST",Database!$H512,Database!$H512),""))</f>
        <v/>
      </c>
      <c r="S512" s="24">
        <f>IFERROR(BDP(Database!$A512&amp;" HK Equity","PX_TO_SALES_RATIO"),"")</f>
        <v/>
      </c>
      <c r="T512" s="18">
        <f>IF(Database!BL512="","",IFERROR(BDP(LEFT(Database!BL512,FIND(".",Database!BL512)-1)&amp;" CH Equity","CUR_MKT_CAP"),""))</f>
        <v/>
      </c>
    </row>
    <row r="513">
      <c r="A513" s="16">
        <f>Database!A513&amp;"  "&amp;Database!B513</f>
        <v/>
      </c>
      <c r="B513" s="10">
        <f>IFERROR(INDEX(BDS(Database!$A513&amp;" HK Equity","EQUITY_OFFERINGS","array=t","endcol=1"),MATCH("IPO",BDS(Database!$A513&amp;" HK Equity","EQUITY_OFFERINGS","array=t","startcol=2","endcol=2"),0)),"")</f>
        <v/>
      </c>
      <c r="C513" s="103">
        <f>IF($B513="","",IFERROR(BDP($B513&amp;" Action","CP036"),""))</f>
        <v/>
      </c>
      <c r="D513" s="104">
        <f>Database!S513</f>
        <v/>
      </c>
      <c r="E513" s="103">
        <f>IF($B513="","",IFERROR(BDP($B513&amp;" Action","CP037"),""))</f>
        <v/>
      </c>
      <c r="F513" s="104">
        <f>Database!T513</f>
        <v/>
      </c>
      <c r="G513" s="103">
        <f>IF($B513="","",IFERROR(BDP($B513&amp;" Action","GREENSHOE_FACILITY"),""))</f>
        <v/>
      </c>
      <c r="H513" s="103">
        <f>IF($B513="","",IFERROR(BDP($B513&amp;" Action","OFFERING_GREENSHOE_SHARES_EX"),""))</f>
        <v/>
      </c>
      <c r="I513" s="16">
        <f>Database!AG513</f>
        <v/>
      </c>
      <c r="J513" s="24">
        <f>IFERROR(BDP(Database!$A513&amp;" HK Equity","PE_RATIO"),"")</f>
        <v/>
      </c>
      <c r="K513" s="10">
        <f>IFERROR(BDP(Database!$A513&amp;" HK Equity","A/H_SHARE_CONVERSION"),"")</f>
        <v/>
      </c>
      <c r="L513" s="16">
        <f>IF(Database!BL513="","(none found)",Database!BL513)</f>
        <v/>
      </c>
      <c r="M513" s="18">
        <f>IFERROR(BDH(Database!$A513&amp;" HK Equity","CUR_MKT_CAP",Database!$H513,Database!$H513),"")</f>
        <v/>
      </c>
      <c r="N513" s="97">
        <f>Database!Q513</f>
        <v/>
      </c>
      <c r="O513" s="24">
        <f>IFERROR(BDH(Database!$A513&amp;" HK Equity","PE_RATIO",Database!$H513,Database!$H513),"")</f>
        <v/>
      </c>
      <c r="P513" s="101">
        <f>IF(Database!BF513="","(n/m or not derivable)",Database!BF513)</f>
        <v/>
      </c>
      <c r="Q513" s="24">
        <f>IF(Database!BL513="","",IFERROR(BDH(LEFT(Database!BL513,FIND(".",Database!BL513)-1)&amp;" CH Equity","PE_RATIO",Database!$H513,Database!$H513),""))</f>
        <v/>
      </c>
      <c r="R513" s="24">
        <f>IF(Database!BL513="","",IFERROR(BDH("HSAHP Index","PX_LAST",Database!$H513,Database!$H513),""))</f>
        <v/>
      </c>
      <c r="S513" s="24">
        <f>IFERROR(BDP(Database!$A513&amp;" HK Equity","PX_TO_SALES_RATIO"),"")</f>
        <v/>
      </c>
      <c r="T513" s="18">
        <f>IF(Database!BL513="","",IFERROR(BDP(LEFT(Database!BL513,FIND(".",Database!BL513)-1)&amp;" CH Equity","CUR_MKT_CAP"),""))</f>
        <v/>
      </c>
    </row>
    <row r="514">
      <c r="A514" s="16">
        <f>Database!A514&amp;"  "&amp;Database!B514</f>
        <v/>
      </c>
      <c r="B514" s="10">
        <f>IFERROR(INDEX(BDS(Database!$A514&amp;" HK Equity","EQUITY_OFFERINGS","array=t","endcol=1"),MATCH("IPO",BDS(Database!$A514&amp;" HK Equity","EQUITY_OFFERINGS","array=t","startcol=2","endcol=2"),0)),"")</f>
        <v/>
      </c>
      <c r="C514" s="103">
        <f>IF($B514="","",IFERROR(BDP($B514&amp;" Action","CP036"),""))</f>
        <v/>
      </c>
      <c r="D514" s="104">
        <f>Database!S514</f>
        <v/>
      </c>
      <c r="E514" s="103">
        <f>IF($B514="","",IFERROR(BDP($B514&amp;" Action","CP037"),""))</f>
        <v/>
      </c>
      <c r="F514" s="104">
        <f>Database!T514</f>
        <v/>
      </c>
      <c r="G514" s="103">
        <f>IF($B514="","",IFERROR(BDP($B514&amp;" Action","GREENSHOE_FACILITY"),""))</f>
        <v/>
      </c>
      <c r="H514" s="103">
        <f>IF($B514="","",IFERROR(BDP($B514&amp;" Action","OFFERING_GREENSHOE_SHARES_EX"),""))</f>
        <v/>
      </c>
      <c r="I514" s="16">
        <f>Database!AG514</f>
        <v/>
      </c>
      <c r="J514" s="24">
        <f>IFERROR(BDP(Database!$A514&amp;" HK Equity","PE_RATIO"),"")</f>
        <v/>
      </c>
      <c r="K514" s="10">
        <f>IFERROR(BDP(Database!$A514&amp;" HK Equity","A/H_SHARE_CONVERSION"),"")</f>
        <v/>
      </c>
      <c r="L514" s="16">
        <f>IF(Database!BL514="","(none found)",Database!BL514)</f>
        <v/>
      </c>
      <c r="M514" s="18">
        <f>IFERROR(BDH(Database!$A514&amp;" HK Equity","CUR_MKT_CAP",Database!$H514,Database!$H514),"")</f>
        <v/>
      </c>
      <c r="N514" s="97">
        <f>Database!Q514</f>
        <v/>
      </c>
      <c r="O514" s="24">
        <f>IFERROR(BDH(Database!$A514&amp;" HK Equity","PE_RATIO",Database!$H514,Database!$H514),"")</f>
        <v/>
      </c>
      <c r="P514" s="101">
        <f>IF(Database!BF514="","(n/m or not derivable)",Database!BF514)</f>
        <v/>
      </c>
      <c r="Q514" s="24">
        <f>IF(Database!BL514="","",IFERROR(BDH(LEFT(Database!BL514,FIND(".",Database!BL514)-1)&amp;" CH Equity","PE_RATIO",Database!$H514,Database!$H514),""))</f>
        <v/>
      </c>
      <c r="R514" s="24">
        <f>IF(Database!BL514="","",IFERROR(BDH("HSAHP Index","PX_LAST",Database!$H514,Database!$H514),""))</f>
        <v/>
      </c>
      <c r="S514" s="24">
        <f>IFERROR(BDP(Database!$A514&amp;" HK Equity","PX_TO_SALES_RATIO"),"")</f>
        <v/>
      </c>
      <c r="T514" s="18">
        <f>IF(Database!BL514="","",IFERROR(BDP(LEFT(Database!BL514,FIND(".",Database!BL514)-1)&amp;" CH Equity","CUR_MKT_CAP"),""))</f>
        <v/>
      </c>
    </row>
    <row r="515">
      <c r="A515" s="16">
        <f>Database!A515&amp;"  "&amp;Database!B515</f>
        <v/>
      </c>
      <c r="B515" s="10">
        <f>IFERROR(INDEX(BDS(Database!$A515&amp;" HK Equity","EQUITY_OFFERINGS","array=t","endcol=1"),MATCH("IPO",BDS(Database!$A515&amp;" HK Equity","EQUITY_OFFERINGS","array=t","startcol=2","endcol=2"),0)),"")</f>
        <v/>
      </c>
      <c r="C515" s="103">
        <f>IF($B515="","",IFERROR(BDP($B515&amp;" Action","CP036"),""))</f>
        <v/>
      </c>
      <c r="D515" s="104">
        <f>Database!S515</f>
        <v/>
      </c>
      <c r="E515" s="103">
        <f>IF($B515="","",IFERROR(BDP($B515&amp;" Action","CP037"),""))</f>
        <v/>
      </c>
      <c r="F515" s="104">
        <f>Database!T515</f>
        <v/>
      </c>
      <c r="G515" s="103">
        <f>IF($B515="","",IFERROR(BDP($B515&amp;" Action","GREENSHOE_FACILITY"),""))</f>
        <v/>
      </c>
      <c r="H515" s="103">
        <f>IF($B515="","",IFERROR(BDP($B515&amp;" Action","OFFERING_GREENSHOE_SHARES_EX"),""))</f>
        <v/>
      </c>
      <c r="I515" s="16">
        <f>Database!AG515</f>
        <v/>
      </c>
      <c r="J515" s="24">
        <f>IFERROR(BDP(Database!$A515&amp;" HK Equity","PE_RATIO"),"")</f>
        <v/>
      </c>
      <c r="K515" s="10">
        <f>IFERROR(BDP(Database!$A515&amp;" HK Equity","A/H_SHARE_CONVERSION"),"")</f>
        <v/>
      </c>
      <c r="L515" s="16">
        <f>IF(Database!BL515="","(none found)",Database!BL515)</f>
        <v/>
      </c>
      <c r="M515" s="18">
        <f>IFERROR(BDH(Database!$A515&amp;" HK Equity","CUR_MKT_CAP",Database!$H515,Database!$H515),"")</f>
        <v/>
      </c>
      <c r="N515" s="97">
        <f>Database!Q515</f>
        <v/>
      </c>
      <c r="O515" s="24">
        <f>IFERROR(BDH(Database!$A515&amp;" HK Equity","PE_RATIO",Database!$H515,Database!$H515),"")</f>
        <v/>
      </c>
      <c r="P515" s="101">
        <f>IF(Database!BF515="","(n/m or not derivable)",Database!BF515)</f>
        <v/>
      </c>
      <c r="Q515" s="24">
        <f>IF(Database!BL515="","",IFERROR(BDH(LEFT(Database!BL515,FIND(".",Database!BL515)-1)&amp;" CH Equity","PE_RATIO",Database!$H515,Database!$H515),""))</f>
        <v/>
      </c>
      <c r="R515" s="24">
        <f>IF(Database!BL515="","",IFERROR(BDH("HSAHP Index","PX_LAST",Database!$H515,Database!$H515),""))</f>
        <v/>
      </c>
      <c r="S515" s="24">
        <f>IFERROR(BDP(Database!$A515&amp;" HK Equity","PX_TO_SALES_RATIO"),"")</f>
        <v/>
      </c>
      <c r="T515" s="18">
        <f>IF(Database!BL515="","",IFERROR(BDP(LEFT(Database!BL515,FIND(".",Database!BL515)-1)&amp;" CH Equity","CUR_MKT_CAP"),""))</f>
        <v/>
      </c>
    </row>
    <row r="516">
      <c r="A516" s="16">
        <f>Database!A516&amp;"  "&amp;Database!B516</f>
        <v/>
      </c>
      <c r="B516" s="10">
        <f>IFERROR(INDEX(BDS(Database!$A516&amp;" HK Equity","EQUITY_OFFERINGS","array=t","endcol=1"),MATCH("IPO",BDS(Database!$A516&amp;" HK Equity","EQUITY_OFFERINGS","array=t","startcol=2","endcol=2"),0)),"")</f>
        <v/>
      </c>
      <c r="C516" s="103">
        <f>IF($B516="","",IFERROR(BDP($B516&amp;" Action","CP036"),""))</f>
        <v/>
      </c>
      <c r="D516" s="104">
        <f>Database!S516</f>
        <v/>
      </c>
      <c r="E516" s="103">
        <f>IF($B516="","",IFERROR(BDP($B516&amp;" Action","CP037"),""))</f>
        <v/>
      </c>
      <c r="F516" s="104">
        <f>Database!T516</f>
        <v/>
      </c>
      <c r="G516" s="103">
        <f>IF($B516="","",IFERROR(BDP($B516&amp;" Action","GREENSHOE_FACILITY"),""))</f>
        <v/>
      </c>
      <c r="H516" s="103">
        <f>IF($B516="","",IFERROR(BDP($B516&amp;" Action","OFFERING_GREENSHOE_SHARES_EX"),""))</f>
        <v/>
      </c>
      <c r="I516" s="16">
        <f>Database!AG516</f>
        <v/>
      </c>
      <c r="J516" s="24">
        <f>IFERROR(BDP(Database!$A516&amp;" HK Equity","PE_RATIO"),"")</f>
        <v/>
      </c>
      <c r="K516" s="10">
        <f>IFERROR(BDP(Database!$A516&amp;" HK Equity","A/H_SHARE_CONVERSION"),"")</f>
        <v/>
      </c>
      <c r="L516" s="16">
        <f>IF(Database!BL516="","(none found)",Database!BL516)</f>
        <v/>
      </c>
      <c r="M516" s="18">
        <f>IFERROR(BDH(Database!$A516&amp;" HK Equity","CUR_MKT_CAP",Database!$H516,Database!$H516),"")</f>
        <v/>
      </c>
      <c r="N516" s="97">
        <f>Database!Q516</f>
        <v/>
      </c>
      <c r="O516" s="24">
        <f>IFERROR(BDH(Database!$A516&amp;" HK Equity","PE_RATIO",Database!$H516,Database!$H516),"")</f>
        <v/>
      </c>
      <c r="P516" s="101">
        <f>IF(Database!BF516="","(n/m or not derivable)",Database!BF516)</f>
        <v/>
      </c>
      <c r="Q516" s="24">
        <f>IF(Database!BL516="","",IFERROR(BDH(LEFT(Database!BL516,FIND(".",Database!BL516)-1)&amp;" CH Equity","PE_RATIO",Database!$H516,Database!$H516),""))</f>
        <v/>
      </c>
      <c r="R516" s="24">
        <f>IF(Database!BL516="","",IFERROR(BDH("HSAHP Index","PX_LAST",Database!$H516,Database!$H516),""))</f>
        <v/>
      </c>
      <c r="S516" s="24">
        <f>IFERROR(BDP(Database!$A516&amp;" HK Equity","PX_TO_SALES_RATIO"),"")</f>
        <v/>
      </c>
      <c r="T516" s="18">
        <f>IF(Database!BL516="","",IFERROR(BDP(LEFT(Database!BL516,FIND(".",Database!BL516)-1)&amp;" CH Equity","CUR_MKT_CAP"),""))</f>
        <v/>
      </c>
    </row>
    <row r="517">
      <c r="A517" s="16">
        <f>Database!A517&amp;"  "&amp;Database!B517</f>
        <v/>
      </c>
      <c r="B517" s="10">
        <f>IFERROR(INDEX(BDS(Database!$A517&amp;" HK Equity","EQUITY_OFFERINGS","array=t","endcol=1"),MATCH("IPO",BDS(Database!$A517&amp;" HK Equity","EQUITY_OFFERINGS","array=t","startcol=2","endcol=2"),0)),"")</f>
        <v/>
      </c>
      <c r="C517" s="103">
        <f>IF($B517="","",IFERROR(BDP($B517&amp;" Action","CP036"),""))</f>
        <v/>
      </c>
      <c r="D517" s="104">
        <f>Database!S517</f>
        <v/>
      </c>
      <c r="E517" s="103">
        <f>IF($B517="","",IFERROR(BDP($B517&amp;" Action","CP037"),""))</f>
        <v/>
      </c>
      <c r="F517" s="104">
        <f>Database!T517</f>
        <v/>
      </c>
      <c r="G517" s="103">
        <f>IF($B517="","",IFERROR(BDP($B517&amp;" Action","GREENSHOE_FACILITY"),""))</f>
        <v/>
      </c>
      <c r="H517" s="103">
        <f>IF($B517="","",IFERROR(BDP($B517&amp;" Action","OFFERING_GREENSHOE_SHARES_EX"),""))</f>
        <v/>
      </c>
      <c r="I517" s="16">
        <f>Database!AG517</f>
        <v/>
      </c>
      <c r="J517" s="24">
        <f>IFERROR(BDP(Database!$A517&amp;" HK Equity","PE_RATIO"),"")</f>
        <v/>
      </c>
      <c r="K517" s="10">
        <f>IFERROR(BDP(Database!$A517&amp;" HK Equity","A/H_SHARE_CONVERSION"),"")</f>
        <v/>
      </c>
      <c r="L517" s="16">
        <f>IF(Database!BL517="","(none found)",Database!BL517)</f>
        <v/>
      </c>
      <c r="M517" s="18">
        <f>IFERROR(BDH(Database!$A517&amp;" HK Equity","CUR_MKT_CAP",Database!$H517,Database!$H517),"")</f>
        <v/>
      </c>
      <c r="N517" s="97">
        <f>Database!Q517</f>
        <v/>
      </c>
      <c r="O517" s="24">
        <f>IFERROR(BDH(Database!$A517&amp;" HK Equity","PE_RATIO",Database!$H517,Database!$H517),"")</f>
        <v/>
      </c>
      <c r="P517" s="101">
        <f>IF(Database!BF517="","(n/m or not derivable)",Database!BF517)</f>
        <v/>
      </c>
      <c r="Q517" s="24">
        <f>IF(Database!BL517="","",IFERROR(BDH(LEFT(Database!BL517,FIND(".",Database!BL517)-1)&amp;" CH Equity","PE_RATIO",Database!$H517,Database!$H517),""))</f>
        <v/>
      </c>
      <c r="R517" s="24">
        <f>IF(Database!BL517="","",IFERROR(BDH("HSAHP Index","PX_LAST",Database!$H517,Database!$H517),""))</f>
        <v/>
      </c>
      <c r="S517" s="24">
        <f>IFERROR(BDP(Database!$A517&amp;" HK Equity","PX_TO_SALES_RATIO"),"")</f>
        <v/>
      </c>
      <c r="T517" s="18">
        <f>IF(Database!BL517="","",IFERROR(BDP(LEFT(Database!BL517,FIND(".",Database!BL517)-1)&amp;" CH Equity","CUR_MKT_CAP"),""))</f>
        <v/>
      </c>
    </row>
    <row r="518">
      <c r="A518" s="16">
        <f>Database!A518&amp;"  "&amp;Database!B518</f>
        <v/>
      </c>
      <c r="B518" s="10">
        <f>IFERROR(INDEX(BDS(Database!$A518&amp;" HK Equity","EQUITY_OFFERINGS","array=t","endcol=1"),MATCH("IPO",BDS(Database!$A518&amp;" HK Equity","EQUITY_OFFERINGS","array=t","startcol=2","endcol=2"),0)),"")</f>
        <v/>
      </c>
      <c r="C518" s="103">
        <f>IF($B518="","",IFERROR(BDP($B518&amp;" Action","CP036"),""))</f>
        <v/>
      </c>
      <c r="D518" s="104">
        <f>Database!S518</f>
        <v/>
      </c>
      <c r="E518" s="103">
        <f>IF($B518="","",IFERROR(BDP($B518&amp;" Action","CP037"),""))</f>
        <v/>
      </c>
      <c r="F518" s="104">
        <f>Database!T518</f>
        <v/>
      </c>
      <c r="G518" s="103">
        <f>IF($B518="","",IFERROR(BDP($B518&amp;" Action","GREENSHOE_FACILITY"),""))</f>
        <v/>
      </c>
      <c r="H518" s="103">
        <f>IF($B518="","",IFERROR(BDP($B518&amp;" Action","OFFERING_GREENSHOE_SHARES_EX"),""))</f>
        <v/>
      </c>
      <c r="I518" s="16">
        <f>Database!AG518</f>
        <v/>
      </c>
      <c r="J518" s="24">
        <f>IFERROR(BDP(Database!$A518&amp;" HK Equity","PE_RATIO"),"")</f>
        <v/>
      </c>
      <c r="K518" s="10">
        <f>IFERROR(BDP(Database!$A518&amp;" HK Equity","A/H_SHARE_CONVERSION"),"")</f>
        <v/>
      </c>
      <c r="L518" s="16">
        <f>IF(Database!BL518="","(none found)",Database!BL518)</f>
        <v/>
      </c>
      <c r="M518" s="18">
        <f>IFERROR(BDH(Database!$A518&amp;" HK Equity","CUR_MKT_CAP",Database!$H518,Database!$H518),"")</f>
        <v/>
      </c>
      <c r="N518" s="97">
        <f>Database!Q518</f>
        <v/>
      </c>
      <c r="O518" s="24">
        <f>IFERROR(BDH(Database!$A518&amp;" HK Equity","PE_RATIO",Database!$H518,Database!$H518),"")</f>
        <v/>
      </c>
      <c r="P518" s="101">
        <f>IF(Database!BF518="","(n/m or not derivable)",Database!BF518)</f>
        <v/>
      </c>
      <c r="Q518" s="24">
        <f>IF(Database!BL518="","",IFERROR(BDH(LEFT(Database!BL518,FIND(".",Database!BL518)-1)&amp;" CH Equity","PE_RATIO",Database!$H518,Database!$H518),""))</f>
        <v/>
      </c>
      <c r="R518" s="24">
        <f>IF(Database!BL518="","",IFERROR(BDH("HSAHP Index","PX_LAST",Database!$H518,Database!$H518),""))</f>
        <v/>
      </c>
      <c r="S518" s="24">
        <f>IFERROR(BDP(Database!$A518&amp;" HK Equity","PX_TO_SALES_RATIO"),"")</f>
        <v/>
      </c>
      <c r="T518" s="18">
        <f>IF(Database!BL518="","",IFERROR(BDP(LEFT(Database!BL518,FIND(".",Database!BL518)-1)&amp;" CH Equity","CUR_MKT_CAP"),""))</f>
        <v/>
      </c>
    </row>
    <row r="519"/>
    <row r="520">
      <c r="A520" s="2" t="inlineStr">
        <is>
          <t>Orange = Bloomberg and the scraped value differ by more than 25%. A blank scraped cell beside a Bloomberg value is a gap this file could not fill from public filings — take Bloomberg's.</t>
        </is>
      </c>
    </row>
  </sheetData>
  <conditionalFormatting sqref="C5:C518">
    <cfRule type="expression" priority="1" dxfId="3">
      <formula>AND(ISNUMBER(C5),ISNUMBER(D5),ABS(C5-D5)&gt;0.25*ABS(D5))</formula>
    </cfRule>
  </conditionalFormatting>
  <conditionalFormatting sqref="E5:E518">
    <cfRule type="expression" priority="2" dxfId="3">
      <formula>AND(ISNUMBER(E5),ISNUMBER(F5),ABS(E5-F5)&gt;0.25*ABS(F5))</formula>
    </cfRule>
  </conditionalFormatting>
  <conditionalFormatting sqref="M5:M518">
    <cfRule type="expression" priority="3" dxfId="3">
      <formula>AND(ISNUMBER(M5),ISNUMBER(N5),ABS(M5-N5)&gt;0.25*ABS(N5))</formula>
    </cfRule>
  </conditionalFormatting>
  <conditionalFormatting sqref="O5:O518">
    <cfRule type="expression" priority="4" dxfId="3">
      <formula>AND(ISNUMBER(O5),ISNUMBER(P5),ABS(O5-P5)&gt;0.25*ABS(P5))</formula>
    </cfRule>
  </conditionalFormatting>
  <pageMargins left="0.75" right="0.75" top="1" bottom="1" header="0.5" footer="0.5"/>
</worksheet>
</file>

<file path=xl/worksheets/sheet11.xml><?xml version="1.0" encoding="utf-8"?>
<worksheet xmlns="http://schemas.openxmlformats.org/spreadsheetml/2006/main">
  <sheetPr>
    <tabColor rgb="00BFBFBF"/>
    <outlinePr summaryBelow="1" summaryRight="1"/>
    <pageSetUpPr/>
  </sheetPr>
  <dimension ref="A1:E53"/>
  <sheetViews>
    <sheetView workbookViewId="0">
      <selection activeCell="A1" sqref="A1"/>
    </sheetView>
  </sheetViews>
  <sheetFormatPr baseColWidth="8" defaultRowHeight="15"/>
  <cols>
    <col width="18" customWidth="1" min="1" max="1"/>
    <col width="30" customWidth="1" min="2" max="2"/>
    <col width="70" customWidth="1" min="3" max="3"/>
    <col width="40" customWidth="1" min="4" max="4"/>
    <col hidden="1" width="13" customWidth="1" min="5" max="5"/>
  </cols>
  <sheetData>
    <row r="1">
      <c r="A1" s="1" t="inlineStr">
        <is>
          <t>SECTOR / SUBSECTOR TAXONOMY</t>
        </is>
      </c>
    </row>
    <row r="2">
      <c r="A2" s="2" t="inlineStr">
        <is>
          <t>single source: data/taxonomy.json — edit there and rebuild; screener gates on subsector first</t>
        </is>
      </c>
    </row>
    <row r="3">
      <c r="A3" s="12" t="inlineStr">
        <is>
          <t>Sector / subsector</t>
        </is>
      </c>
      <c r="B3" s="12" t="inlineStr"/>
      <c r="C3" s="12" t="inlineStr">
        <is>
          <t>Comp note</t>
        </is>
      </c>
      <c r="D3" s="12" t="inlineStr">
        <is>
          <t>Alpha benchmark (ticker — name)</t>
        </is>
      </c>
    </row>
    <row r="4">
      <c r="A4" s="105" t="inlineStr">
        <is>
          <t>Tech/AI</t>
        </is>
      </c>
      <c r="D4" s="77" t="inlineStr">
        <is>
          <t>3033.HK — HSTECH (Hang Seng TECH ETF)</t>
        </is>
      </c>
      <c r="E4" s="2" t="inlineStr">
        <is>
          <t>LLM / foundation model</t>
        </is>
      </c>
    </row>
    <row r="5">
      <c r="B5" s="63" t="inlineStr">
        <is>
          <t>LLM / foundation model</t>
        </is>
      </c>
      <c r="C5" s="2" t="inlineStr">
        <is>
          <t>Model-layer cos (MiniMax-type). NOT data-center, NOT AI application.</t>
        </is>
      </c>
      <c r="E5" s="2" t="inlineStr">
        <is>
          <t>AI application / agent software</t>
        </is>
      </c>
    </row>
    <row r="6">
      <c r="B6" s="63" t="inlineStr">
        <is>
          <t>AI application / agent software</t>
        </is>
      </c>
      <c r="C6" s="2" t="inlineStr">
        <is>
          <t>AI-native software &amp; agents monetising models; not the model layer itself.</t>
        </is>
      </c>
      <c r="E6" s="2" t="inlineStr">
        <is>
          <t>AI chips &amp; semis</t>
        </is>
      </c>
    </row>
    <row r="7">
      <c r="B7" s="63" t="inlineStr">
        <is>
          <t>AI chips &amp; semis</t>
        </is>
      </c>
      <c r="C7" s="2" t="inlineStr">
        <is>
          <t>GPU/ASIC/accelerator designers and semi supply chain.</t>
        </is>
      </c>
      <c r="E7" s="2" t="inlineStr">
        <is>
          <t>Data center / cloud infra</t>
        </is>
      </c>
    </row>
    <row r="8">
      <c r="B8" s="63" t="inlineStr">
        <is>
          <t>Data center / cloud infra</t>
        </is>
      </c>
      <c r="C8" s="2" t="inlineStr">
        <is>
          <t>IDC, cloud capacity, AI infra landlords. Distinct from model layer.</t>
        </is>
      </c>
      <c r="E8" s="2" t="inlineStr">
        <is>
          <t>Robotics &amp; autonomous driving</t>
        </is>
      </c>
    </row>
    <row r="9">
      <c r="B9" s="63" t="inlineStr">
        <is>
          <t>Robotics &amp; autonomous driving</t>
        </is>
      </c>
      <c r="C9" s="2" t="inlineStr">
        <is>
          <t>Embodied AI, ADAS/AD stacks, robotaxi, humanoid.</t>
        </is>
      </c>
      <c r="E9" s="2" t="inlineStr">
        <is>
          <t>Smart hardware / consumer electronics</t>
        </is>
      </c>
    </row>
    <row r="10">
      <c r="B10" s="63" t="inlineStr">
        <is>
          <t>Smart hardware / consumer electronics</t>
        </is>
      </c>
      <c r="C10" s="2" t="inlineStr">
        <is>
          <t>Devices, IoT, components ex-semis.</t>
        </is>
      </c>
      <c r="E10" s="2" t="inlineStr">
        <is>
          <t>SaaS / enterprise software</t>
        </is>
      </c>
    </row>
    <row r="11">
      <c r="B11" s="63" t="inlineStr">
        <is>
          <t>SaaS / enterprise software</t>
        </is>
      </c>
      <c r="C11" s="2" t="inlineStr">
        <is>
          <t>Recurring-revenue software without AI-native positioning.</t>
        </is>
      </c>
      <c r="E11" s="2" t="inlineStr">
        <is>
          <t>Internet platform / e-commerce</t>
        </is>
      </c>
    </row>
    <row r="12">
      <c r="B12" s="63" t="inlineStr">
        <is>
          <t>Internet platform / e-commerce</t>
        </is>
      </c>
      <c r="C12" s="2" t="inlineStr">
        <is>
          <t>Marketplaces, local services, content platforms.</t>
        </is>
      </c>
      <c r="E12" s="2" t="inlineStr">
        <is>
          <t>Fintech platform</t>
        </is>
      </c>
    </row>
    <row r="13">
      <c r="B13" s="63" t="inlineStr">
        <is>
          <t>Fintech platform</t>
        </is>
      </c>
      <c r="C13" s="2" t="inlineStr">
        <is>
          <t>Payments, lending, wealth platforms (tech-first).</t>
        </is>
      </c>
      <c r="E13" s="2" t="inlineStr">
        <is>
          <t>Biotech pre-revenue (18A)</t>
        </is>
      </c>
    </row>
    <row r="14">
      <c r="A14" s="105" t="inlineStr">
        <is>
          <t>Healthcare</t>
        </is>
      </c>
      <c r="D14" s="77" t="inlineStr">
        <is>
          <t>2820.HK — China Biotech ETF (HS biotech proxy)</t>
        </is>
      </c>
      <c r="E14" s="2" t="inlineStr">
        <is>
          <t>Biopharma commercial</t>
        </is>
      </c>
    </row>
    <row r="15">
      <c r="B15" s="63" t="inlineStr">
        <is>
          <t>Biotech pre-revenue (18A)</t>
        </is>
      </c>
      <c r="C15" s="2" t="inlineStr">
        <is>
          <t>Loss-making 18A; comp on pipeline/P-S-if-any, never P/E.</t>
        </is>
      </c>
      <c r="E15" s="2" t="inlineStr">
        <is>
          <t>Medical devices</t>
        </is>
      </c>
    </row>
    <row r="16">
      <c r="B16" s="63" t="inlineStr">
        <is>
          <t>Biopharma commercial</t>
        </is>
      </c>
      <c r="C16" s="2" t="inlineStr">
        <is>
          <t>Revenue-generating pharma/biotech.</t>
        </is>
      </c>
      <c r="E16" s="2" t="inlineStr">
        <is>
          <t>CXO / pharma services</t>
        </is>
      </c>
    </row>
    <row r="17">
      <c r="B17" s="63" t="inlineStr">
        <is>
          <t>Medical devices</t>
        </is>
      </c>
      <c r="C17" s="2" t="inlineStr">
        <is>
          <t>Devices incl. 18A device names.</t>
        </is>
      </c>
      <c r="E17" s="2" t="inlineStr">
        <is>
          <t>Digital health</t>
        </is>
      </c>
    </row>
    <row r="18">
      <c r="B18" s="63" t="inlineStr">
        <is>
          <t>CXO / pharma services</t>
        </is>
      </c>
      <c r="C18" s="2" t="inlineStr">
        <is>
          <t>CRO/CDMO/CMO.</t>
        </is>
      </c>
      <c r="E18" s="2" t="inlineStr">
        <is>
          <t>Hospitals / clinics</t>
        </is>
      </c>
    </row>
    <row r="19">
      <c r="B19" s="63" t="inlineStr">
        <is>
          <t>Digital health</t>
        </is>
      </c>
      <c r="C19" s="2" t="inlineStr">
        <is>
          <t>Online healthcare platforms.</t>
        </is>
      </c>
      <c r="E19" s="2" t="inlineStr">
        <is>
          <t>TCM</t>
        </is>
      </c>
    </row>
    <row r="20">
      <c r="B20" s="63" t="inlineStr">
        <is>
          <t>Hospitals / clinics</t>
        </is>
      </c>
      <c r="C20" s="2" t="inlineStr">
        <is>
          <t>Service providers.</t>
        </is>
      </c>
      <c r="E20" s="2" t="inlineStr">
        <is>
          <t>F&amp;B chains / restaurants</t>
        </is>
      </c>
    </row>
    <row r="21">
      <c r="B21" s="63" t="inlineStr">
        <is>
          <t>TCM</t>
        </is>
      </c>
      <c r="C21" s="2" t="inlineStr">
        <is>
          <t>Traditional Chinese medicine.</t>
        </is>
      </c>
      <c r="E21" s="2" t="inlineStr">
        <is>
          <t>Beverages / packaged food</t>
        </is>
      </c>
    </row>
    <row r="22">
      <c r="A22" s="105" t="inlineStr">
        <is>
          <t>Consumer</t>
        </is>
      </c>
      <c r="D22" s="77" t="inlineStr">
        <is>
          <t>^HSNC — Hang Seng Commerce &amp; Industry sub-index</t>
        </is>
      </c>
      <c r="E22" s="2" t="inlineStr">
        <is>
          <t>Apparel / luxury</t>
        </is>
      </c>
    </row>
    <row r="23">
      <c r="B23" s="63" t="inlineStr">
        <is>
          <t>F&amp;B chains / restaurants</t>
        </is>
      </c>
      <c r="C23" s="2" t="inlineStr">
        <is>
          <t>Mixue-type store-count stories.</t>
        </is>
      </c>
      <c r="E23" s="2" t="inlineStr">
        <is>
          <t>Beauty / personal care</t>
        </is>
      </c>
    </row>
    <row r="24">
      <c r="B24" s="63" t="inlineStr">
        <is>
          <t>Beverages / packaged food</t>
        </is>
      </c>
      <c r="C24" s="2" t="inlineStr">
        <is>
          <t>Brands, not chains.</t>
        </is>
      </c>
      <c r="E24" s="2" t="inlineStr">
        <is>
          <t>Consumer services / education</t>
        </is>
      </c>
    </row>
    <row r="25">
      <c r="B25" s="63" t="inlineStr">
        <is>
          <t>Apparel / luxury</t>
        </is>
      </c>
      <c r="C25" s="2" t="inlineStr"/>
      <c r="E25" s="2" t="inlineStr">
        <is>
          <t>Autos (NEV OEM)</t>
        </is>
      </c>
    </row>
    <row r="26">
      <c r="B26" s="63" t="inlineStr">
        <is>
          <t>Beauty / personal care</t>
        </is>
      </c>
      <c r="C26" s="2" t="inlineStr"/>
      <c r="E26" s="2" t="inlineStr">
        <is>
          <t>Auto parts / supply chain</t>
        </is>
      </c>
    </row>
    <row r="27">
      <c r="B27" s="63" t="inlineStr">
        <is>
          <t>Consumer services / education</t>
        </is>
      </c>
      <c r="C27" s="2" t="inlineStr"/>
      <c r="E27" s="2" t="inlineStr">
        <is>
          <t>Retail / distribution</t>
        </is>
      </c>
    </row>
    <row r="28">
      <c r="B28" s="63" t="inlineStr">
        <is>
          <t>Autos (NEV OEM)</t>
        </is>
      </c>
      <c r="C28" s="2" t="inlineStr">
        <is>
          <t>Vehicle OEMs; loss-making OEMs comp on P/S.</t>
        </is>
      </c>
      <c r="E28" s="2" t="inlineStr">
        <is>
          <t>Banks</t>
        </is>
      </c>
    </row>
    <row r="29">
      <c r="B29" s="63" t="inlineStr">
        <is>
          <t>Auto parts / supply chain</t>
        </is>
      </c>
      <c r="C29" s="2" t="inlineStr"/>
      <c r="E29" s="2" t="inlineStr">
        <is>
          <t>Insurance</t>
        </is>
      </c>
    </row>
    <row r="30">
      <c r="B30" s="63" t="inlineStr">
        <is>
          <t>Retail / distribution</t>
        </is>
      </c>
      <c r="C30" s="2" t="inlineStr"/>
      <c r="E30" s="2" t="inlineStr">
        <is>
          <t>Brokers / asset management</t>
        </is>
      </c>
    </row>
    <row r="31">
      <c r="A31" s="105" t="inlineStr">
        <is>
          <t>Financials</t>
        </is>
      </c>
      <c r="D31" s="77" t="inlineStr">
        <is>
          <t>^HSNF — Hang Seng Finance sub-index</t>
        </is>
      </c>
      <c r="E31" s="2" t="inlineStr">
        <is>
          <t>Capital goods / machinery</t>
        </is>
      </c>
    </row>
    <row r="32">
      <c r="B32" s="63" t="inlineStr">
        <is>
          <t>Banks</t>
        </is>
      </c>
      <c r="C32" s="2" t="inlineStr"/>
      <c r="E32" s="2" t="inlineStr">
        <is>
          <t>Batteries / energy storage</t>
        </is>
      </c>
    </row>
    <row r="33">
      <c r="B33" s="63" t="inlineStr">
        <is>
          <t>Insurance</t>
        </is>
      </c>
      <c r="C33" s="2" t="inlineStr"/>
      <c r="E33" s="2" t="inlineStr">
        <is>
          <t>Solar / wind supply chain</t>
        </is>
      </c>
    </row>
    <row r="34">
      <c r="B34" s="63" t="inlineStr">
        <is>
          <t>Brokers / asset management</t>
        </is>
      </c>
      <c r="C34" s="2" t="inlineStr"/>
      <c r="E34" s="2" t="inlineStr">
        <is>
          <t>Logistics</t>
        </is>
      </c>
    </row>
    <row r="35">
      <c r="A35" s="105" t="inlineStr">
        <is>
          <t>Industrials</t>
        </is>
      </c>
      <c r="D35" s="77" t="inlineStr">
        <is>
          <t>^HSNC — Hang Seng Commerce &amp; Industry sub-index</t>
        </is>
      </c>
      <c r="E35" s="2" t="inlineStr">
        <is>
          <t>Construction / engineering</t>
        </is>
      </c>
    </row>
    <row r="36">
      <c r="B36" s="63" t="inlineStr">
        <is>
          <t>Capital goods / machinery</t>
        </is>
      </c>
      <c r="C36" s="2" t="inlineStr"/>
      <c r="E36" s="2" t="inlineStr">
        <is>
          <t>Mining / metals</t>
        </is>
      </c>
    </row>
    <row r="37">
      <c r="B37" s="63" t="inlineStr">
        <is>
          <t>Batteries / energy storage</t>
        </is>
      </c>
      <c r="C37" s="2" t="inlineStr">
        <is>
          <t>CATL bucket: cells, materials, ESS.</t>
        </is>
      </c>
      <c r="E37" s="2" t="inlineStr">
        <is>
          <t>Chemicals</t>
        </is>
      </c>
    </row>
    <row r="38">
      <c r="B38" s="63" t="inlineStr">
        <is>
          <t>Solar / wind supply chain</t>
        </is>
      </c>
      <c r="C38" s="2" t="inlineStr"/>
      <c r="E38" s="2" t="inlineStr">
        <is>
          <t>Oil &amp; gas / utilities</t>
        </is>
      </c>
    </row>
    <row r="39">
      <c r="B39" s="63" t="inlineStr">
        <is>
          <t>Logistics</t>
        </is>
      </c>
      <c r="C39" s="2" t="inlineStr"/>
      <c r="E39" s="2" t="inlineStr">
        <is>
          <t>Developers</t>
        </is>
      </c>
    </row>
    <row r="40">
      <c r="B40" s="63" t="inlineStr">
        <is>
          <t>Construction / engineering</t>
        </is>
      </c>
      <c r="C40" s="2" t="inlineStr"/>
      <c r="E40" s="2" t="inlineStr">
        <is>
          <t>Property management</t>
        </is>
      </c>
    </row>
    <row r="41">
      <c r="A41" s="105" t="inlineStr">
        <is>
          <t>Materials/Energy</t>
        </is>
      </c>
      <c r="D41" s="77" t="inlineStr">
        <is>
          <t>^HSNC — Hang Seng Commerce &amp; Industry sub-index</t>
        </is>
      </c>
      <c r="E41" s="2" t="inlineStr">
        <is>
          <t>REITs / asset-light</t>
        </is>
      </c>
    </row>
    <row r="42">
      <c r="B42" s="63" t="inlineStr">
        <is>
          <t>Mining / metals</t>
        </is>
      </c>
      <c r="C42" s="2" t="inlineStr"/>
      <c r="E42" s="2" t="inlineStr">
        <is>
          <t>Telecom</t>
        </is>
      </c>
    </row>
    <row r="43">
      <c r="B43" s="63" t="inlineStr">
        <is>
          <t>Chemicals</t>
        </is>
      </c>
      <c r="C43" s="2" t="inlineStr"/>
      <c r="E43" s="2" t="inlineStr">
        <is>
          <t>Media / advertising</t>
        </is>
      </c>
    </row>
    <row r="44">
      <c r="B44" s="63" t="inlineStr">
        <is>
          <t>Oil &amp; gas / utilities</t>
        </is>
      </c>
      <c r="C44" s="2" t="inlineStr"/>
      <c r="E44" s="2" t="inlineStr">
        <is>
          <t>Other / unclassified</t>
        </is>
      </c>
    </row>
    <row r="45">
      <c r="A45" s="105" t="inlineStr">
        <is>
          <t>Real Estate</t>
        </is>
      </c>
      <c r="D45" s="77" t="inlineStr">
        <is>
          <t>^HSNP — Hang Seng Properties sub-index</t>
        </is>
      </c>
    </row>
    <row r="46">
      <c r="B46" s="63" t="inlineStr">
        <is>
          <t>Developers</t>
        </is>
      </c>
      <c r="C46" s="2" t="inlineStr"/>
    </row>
    <row r="47">
      <c r="B47" s="63" t="inlineStr">
        <is>
          <t>Property management</t>
        </is>
      </c>
      <c r="C47" s="2" t="inlineStr"/>
    </row>
    <row r="48">
      <c r="B48" s="63" t="inlineStr">
        <is>
          <t>REITs / asset-light</t>
        </is>
      </c>
      <c r="C48" s="2" t="inlineStr"/>
    </row>
    <row r="49">
      <c r="A49" s="105" t="inlineStr">
        <is>
          <t>TMT-other</t>
        </is>
      </c>
      <c r="D49" s="77" t="inlineStr">
        <is>
          <t>^HSI — Hang Seng Index</t>
        </is>
      </c>
    </row>
    <row r="50">
      <c r="B50" s="63" t="inlineStr">
        <is>
          <t>Telecom</t>
        </is>
      </c>
      <c r="C50" s="2" t="inlineStr"/>
    </row>
    <row r="51">
      <c r="B51" s="63" t="inlineStr">
        <is>
          <t>Media / advertising</t>
        </is>
      </c>
      <c r="C51" s="2" t="inlineStr"/>
    </row>
    <row r="52">
      <c r="A52" s="105" t="inlineStr">
        <is>
          <t>Other</t>
        </is>
      </c>
      <c r="D52" s="77" t="inlineStr">
        <is>
          <t>^HSI — Hang Seng Index</t>
        </is>
      </c>
    </row>
    <row r="53">
      <c r="B53" s="63" t="inlineStr">
        <is>
          <t>Other / unclassified</t>
        </is>
      </c>
      <c r="C53" s="2" t="inlineStr">
        <is>
          <t>Must stay &lt;5% of deals (checks.py enforces).</t>
        </is>
      </c>
    </row>
  </sheetData>
  <pageMargins left="0.75" right="0.75" top="1" bottom="1" header="0.5" footer="0.5"/>
</worksheet>
</file>

<file path=xl/worksheets/sheet12.xml><?xml version="1.0" encoding="utf-8"?>
<worksheet xmlns="http://schemas.openxmlformats.org/spreadsheetml/2006/main">
  <sheetPr>
    <tabColor rgb="00BFBFBF"/>
    <outlinePr summaryBelow="1" summaryRight="1"/>
    <pageSetUpPr/>
  </sheetPr>
  <dimension ref="A1:G19"/>
  <sheetViews>
    <sheetView workbookViewId="0">
      <selection activeCell="A1" sqref="A1"/>
    </sheetView>
  </sheetViews>
  <sheetFormatPr baseColWidth="8" defaultRowHeight="15"/>
  <cols>
    <col width="8" customWidth="1" min="1" max="1"/>
    <col width="24" customWidth="1" min="2" max="2"/>
    <col width="20" customWidth="1" min="3" max="3"/>
    <col width="12" customWidth="1" min="4" max="4"/>
    <col width="12" customWidth="1" min="5" max="5"/>
    <col width="10" customWidth="1" min="6" max="6"/>
    <col width="9" customWidth="1" min="7" max="7"/>
  </cols>
  <sheetData>
    <row r="1">
      <c r="A1" s="1" t="inlineStr">
        <is>
          <t>VERIFICATION — book vs official HKEX statistics</t>
        </is>
      </c>
    </row>
    <row r="2">
      <c r="A2" s="2" t="inlineStr">
        <is>
          <t>book counts are IPOs with a public offer (allotment results filed); official totals include listings by introduction / transfers — the Delta column is expected to be small and positive</t>
        </is>
      </c>
    </row>
    <row r="3"/>
    <row r="4">
      <c r="A4" s="12" t="inlineStr">
        <is>
          <t>Year</t>
        </is>
      </c>
      <c r="B4" s="12" t="inlineStr">
        <is>
          <t>Deals in book</t>
        </is>
      </c>
      <c r="C4" s="12" t="inlineStr">
        <is>
          <t>Official new listings</t>
        </is>
      </c>
      <c r="D4" s="12" t="inlineStr">
        <is>
          <t>Delta</t>
        </is>
      </c>
      <c r="E4" s="12" t="inlineStr">
        <is>
          <t>Book proceeds HK$bn</t>
        </is>
      </c>
      <c r="F4" s="12" t="inlineStr">
        <is>
          <t>Official IPO funds HK$bn</t>
        </is>
      </c>
      <c r="G4" s="12" t="inlineStr">
        <is>
          <t>Diff %</t>
        </is>
      </c>
    </row>
    <row r="5">
      <c r="A5" s="102" t="inlineStr">
        <is>
          <t>2021</t>
        </is>
      </c>
      <c r="B5" s="44">
        <f>COUNTIFS(Database!$H$5:$H$518,"&gt;="&amp;DATE(2021,1,1),Database!$H$5:$H$518,"&lt;="&amp;DATE(2021,12,31))</f>
        <v/>
      </c>
      <c r="C5" s="89" t="n"/>
      <c r="D5" s="44">
        <f>IF(C5="","n/a",C5-B5)</f>
        <v/>
      </c>
      <c r="E5" s="26">
        <f>SUMIFS(Database!$I$5:$I$518,Database!$H$5:$H$518,"&gt;="&amp;DATE(2021,1,1),Database!$H$5:$H$518,"&lt;="&amp;DATE(2021,12,31))/1000</f>
        <v/>
      </c>
      <c r="F5" s="106" t="n">
        <v>331.3</v>
      </c>
      <c r="G5" s="43">
        <f>IF(OR(F5="",E5=0),"n/a",F5/E5-1)</f>
        <v/>
      </c>
    </row>
    <row r="6">
      <c r="A6" s="102" t="inlineStr">
        <is>
          <t>2022</t>
        </is>
      </c>
      <c r="B6" s="44">
        <f>COUNTIFS(Database!$H$5:$H$518,"&gt;="&amp;DATE(2022,1,1),Database!$H$5:$H$518,"&lt;="&amp;DATE(2022,12,31))</f>
        <v/>
      </c>
      <c r="C6" s="89" t="n">
        <v>90</v>
      </c>
      <c r="D6" s="44">
        <f>IF(C6="","n/a",C6-B6)</f>
        <v/>
      </c>
      <c r="E6" s="26">
        <f>SUMIFS(Database!$I$5:$I$518,Database!$H$5:$H$518,"&gt;="&amp;DATE(2022,1,1),Database!$H$5:$H$518,"&lt;="&amp;DATE(2022,12,31))/1000</f>
        <v/>
      </c>
      <c r="F6" s="106" t="n">
        <v>104.6</v>
      </c>
      <c r="G6" s="43">
        <f>IF(OR(F6="",E6=0),"n/a",F6/E6-1)</f>
        <v/>
      </c>
    </row>
    <row r="7">
      <c r="A7" s="102" t="inlineStr">
        <is>
          <t>2023</t>
        </is>
      </c>
      <c r="B7" s="44">
        <f>COUNTIFS(Database!$H$5:$H$518,"&gt;="&amp;DATE(2023,1,1),Database!$H$5:$H$518,"&lt;="&amp;DATE(2023,12,31))</f>
        <v/>
      </c>
      <c r="C7" s="89" t="n">
        <v>73</v>
      </c>
      <c r="D7" s="44">
        <f>IF(C7="","n/a",C7-B7)</f>
        <v/>
      </c>
      <c r="E7" s="26">
        <f>SUMIFS(Database!$I$5:$I$518,Database!$H$5:$H$518,"&gt;="&amp;DATE(2023,1,1),Database!$H$5:$H$518,"&lt;="&amp;DATE(2023,12,31))/1000</f>
        <v/>
      </c>
      <c r="F7" s="106" t="n">
        <v>46.3</v>
      </c>
      <c r="G7" s="43">
        <f>IF(OR(F7="",E7=0),"n/a",F7/E7-1)</f>
        <v/>
      </c>
    </row>
    <row r="8">
      <c r="A8" s="102" t="inlineStr">
        <is>
          <t>2024</t>
        </is>
      </c>
      <c r="B8" s="44">
        <f>COUNTIFS(Database!$H$5:$H$518,"&gt;="&amp;DATE(2024,1,1),Database!$H$5:$H$518,"&lt;="&amp;DATE(2024,12,31))</f>
        <v/>
      </c>
      <c r="C8" s="89" t="n">
        <v>71</v>
      </c>
      <c r="D8" s="44">
        <f>IF(C8="","n/a",C8-B8)</f>
        <v/>
      </c>
      <c r="E8" s="26">
        <f>SUMIFS(Database!$I$5:$I$518,Database!$H$5:$H$518,"&gt;="&amp;DATE(2024,1,1),Database!$H$5:$H$518,"&lt;="&amp;DATE(2024,12,31))/1000</f>
        <v/>
      </c>
      <c r="F8" s="106" t="n">
        <v>87.5</v>
      </c>
      <c r="G8" s="43">
        <f>IF(OR(F8="",E8=0),"n/a",F8/E8-1)</f>
        <v/>
      </c>
    </row>
    <row r="9">
      <c r="A9" s="102" t="inlineStr">
        <is>
          <t>2025</t>
        </is>
      </c>
      <c r="B9" s="44">
        <f>COUNTIFS(Database!$H$5:$H$518,"&gt;="&amp;DATE(2025,1,1),Database!$H$5:$H$518,"&lt;="&amp;DATE(2025,12,31))</f>
        <v/>
      </c>
      <c r="C9" s="89" t="n"/>
      <c r="D9" s="44">
        <f>IF(C9="","n/a",C9-B9)</f>
        <v/>
      </c>
      <c r="E9" s="26">
        <f>SUMIFS(Database!$I$5:$I$518,Database!$H$5:$H$518,"&gt;="&amp;DATE(2025,1,1),Database!$H$5:$H$518,"&lt;="&amp;DATE(2025,12,31))/1000</f>
        <v/>
      </c>
      <c r="F9" s="106" t="n"/>
      <c r="G9" s="43">
        <f>IF(OR(F9="",E9=0),"n/a",F9/E9-1)</f>
        <v/>
      </c>
    </row>
    <row r="10">
      <c r="A10" s="102" t="inlineStr">
        <is>
          <t>2026</t>
        </is>
      </c>
      <c r="B10" s="44">
        <f>COUNTIFS(Database!$H$5:$H$518,"&gt;="&amp;DATE(2026,1,1),Database!$H$5:$H$518,"&lt;="&amp;DATE(2026,12,31))</f>
        <v/>
      </c>
      <c r="C10" s="89" t="n"/>
      <c r="D10" s="44">
        <f>IF(C10="","n/a",C10-B10)</f>
        <v/>
      </c>
      <c r="E10" s="26">
        <f>SUMIFS(Database!$I$5:$I$518,Database!$H$5:$H$518,"&gt;="&amp;DATE(2026,1,1),Database!$H$5:$H$518,"&lt;="&amp;DATE(2026,12,31))/1000</f>
        <v/>
      </c>
      <c r="F10" s="106" t="n"/>
      <c r="G10" s="43">
        <f>IF(OR(F10="",E10=0),"n/a",F10/E10-1)</f>
        <v/>
      </c>
    </row>
    <row r="11"/>
    <row r="12">
      <c r="A12" s="14" t="inlineStr">
        <is>
          <t>LANDMARK SPOT-CHECKS</t>
        </is>
      </c>
    </row>
    <row r="13">
      <c r="A13" s="12" t="inlineStr">
        <is>
          <t>Code</t>
        </is>
      </c>
      <c r="B13" s="12" t="inlineStr">
        <is>
          <t>Name</t>
        </is>
      </c>
      <c r="C13" s="12" t="inlineStr">
        <is>
          <t>Field</t>
        </is>
      </c>
      <c r="D13" s="12" t="inlineStr">
        <is>
          <t>Official</t>
        </is>
      </c>
      <c r="E13" s="12" t="inlineStr">
        <is>
          <t>In book</t>
        </is>
      </c>
      <c r="F13" s="12" t="inlineStr">
        <is>
          <t>Check</t>
        </is>
      </c>
    </row>
    <row r="14">
      <c r="A14" s="91" t="inlineStr">
        <is>
          <t>1024</t>
        </is>
      </c>
      <c r="B14" s="16" t="inlineStr">
        <is>
          <t>Kuaishou</t>
        </is>
      </c>
      <c r="C14" s="16" t="inlineStr">
        <is>
          <t>final_price</t>
        </is>
      </c>
      <c r="D14" s="99" t="n">
        <v>115</v>
      </c>
      <c r="E14" s="40">
        <f>INDEX(Database!$M$5:$M$518,MATCH("1024",Database!$A$5:$A$518,0))</f>
        <v/>
      </c>
      <c r="F14" s="10">
        <f>IF(E14="","MISSING",IF(ABS(E14-D14)/D14&lt;0.02,"OK","CHECK"))</f>
        <v/>
      </c>
    </row>
    <row r="15">
      <c r="A15" s="91" t="inlineStr">
        <is>
          <t>3750</t>
        </is>
      </c>
      <c r="B15" s="16" t="inlineStr">
        <is>
          <t>CATL (H)</t>
        </is>
      </c>
      <c r="C15" s="16" t="inlineStr">
        <is>
          <t>final_price</t>
        </is>
      </c>
      <c r="D15" s="99" t="n">
        <v>263</v>
      </c>
      <c r="E15" s="40">
        <f>INDEX(Database!$M$5:$M$518,MATCH("3750",Database!$A$5:$A$518,0))</f>
        <v/>
      </c>
      <c r="F15" s="10">
        <f>IF(E15="","MISSING",IF(ABS(E15-D15)/D15&lt;0.02,"OK","CHECK"))</f>
        <v/>
      </c>
    </row>
    <row r="16">
      <c r="A16" s="91" t="inlineStr">
        <is>
          <t>0300</t>
        </is>
      </c>
      <c r="B16" s="16" t="inlineStr">
        <is>
          <t>Midea Group (H)</t>
        </is>
      </c>
      <c r="C16" s="16" t="inlineStr">
        <is>
          <t>final_price</t>
        </is>
      </c>
      <c r="D16" s="99" t="n">
        <v>54.8</v>
      </c>
      <c r="E16" s="40">
        <f>INDEX(Database!$M$5:$M$518,MATCH("0300",Database!$A$5:$A$518,0))</f>
        <v/>
      </c>
      <c r="F16" s="10">
        <f>IF(E16="","MISSING",IF(ABS(E16-D16)/D16&lt;0.02,"OK","CHECK"))</f>
        <v/>
      </c>
    </row>
    <row r="17">
      <c r="A17" s="91" t="inlineStr">
        <is>
          <t>9660</t>
        </is>
      </c>
      <c r="B17" s="16" t="inlineStr">
        <is>
          <t>Horizon Robotics</t>
        </is>
      </c>
      <c r="C17" s="16" t="inlineStr">
        <is>
          <t>final_price</t>
        </is>
      </c>
      <c r="D17" s="99" t="n">
        <v>3.99</v>
      </c>
      <c r="E17" s="40">
        <f>INDEX(Database!$M$5:$M$518,MATCH("9660",Database!$A$5:$A$518,0))</f>
        <v/>
      </c>
      <c r="F17" s="10">
        <f>IF(E17="","MISSING",IF(ABS(E17-D17)/D17&lt;0.02,"OK","CHECK"))</f>
        <v/>
      </c>
    </row>
    <row r="18">
      <c r="A18" s="91" t="inlineStr">
        <is>
          <t>2097</t>
        </is>
      </c>
      <c r="B18" s="16" t="inlineStr">
        <is>
          <t>Mixue Group</t>
        </is>
      </c>
      <c r="C18" s="16" t="inlineStr">
        <is>
          <t>final_price</t>
        </is>
      </c>
      <c r="D18" s="99" t="n">
        <v>202.5</v>
      </c>
      <c r="E18" s="40">
        <f>INDEX(Database!$M$5:$M$518,MATCH("2097",Database!$A$5:$A$518,0))</f>
        <v/>
      </c>
      <c r="F18" s="10">
        <f>IF(E18="","MISSING",IF(ABS(E18-D18)/D18&lt;0.02,"OK","CHECK"))</f>
        <v/>
      </c>
    </row>
    <row r="19">
      <c r="A19" s="91" t="inlineStr">
        <is>
          <t>9696</t>
        </is>
      </c>
      <c r="B19" s="16" t="inlineStr">
        <is>
          <t>Tianqi Lithium (H)</t>
        </is>
      </c>
      <c r="C19" s="16" t="inlineStr">
        <is>
          <t>final_price</t>
        </is>
      </c>
      <c r="D19" s="99" t="n">
        <v>82</v>
      </c>
      <c r="E19" s="40">
        <f>INDEX(Database!$M$5:$M$518,MATCH("9696",Database!$A$5:$A$518,0))</f>
        <v/>
      </c>
      <c r="F19" s="10">
        <f>IF(E19="","MISSING",IF(ABS(E19-D19)/D19&lt;0.02,"OK","CHECK"))</f>
        <v/>
      </c>
    </row>
  </sheetData>
  <conditionalFormatting sqref="F14">
    <cfRule type="expression" priority="1" dxfId="3">
      <formula>$F14="CHECK"</formula>
    </cfRule>
  </conditionalFormatting>
  <conditionalFormatting sqref="F15">
    <cfRule type="expression" priority="2" dxfId="3">
      <formula>$F15="CHECK"</formula>
    </cfRule>
  </conditionalFormatting>
  <conditionalFormatting sqref="F16">
    <cfRule type="expression" priority="3" dxfId="3">
      <formula>$F16="CHECK"</formula>
    </cfRule>
  </conditionalFormatting>
  <conditionalFormatting sqref="F17">
    <cfRule type="expression" priority="4" dxfId="3">
      <formula>$F17="CHECK"</formula>
    </cfRule>
  </conditionalFormatting>
  <conditionalFormatting sqref="F18">
    <cfRule type="expression" priority="5" dxfId="3">
      <formula>$F18="CHECK"</formula>
    </cfRule>
  </conditionalFormatting>
  <conditionalFormatting sqref="F19">
    <cfRule type="expression" priority="6" dxfId="3">
      <formula>$F19="CHECK"</formula>
    </cfRule>
  </conditionalFormatting>
  <pageMargins left="0.75" right="0.75" top="1" bottom="1" header="0.5" footer="0.5"/>
</worksheet>
</file>

<file path=xl/worksheets/sheet13.xml><?xml version="1.0" encoding="utf-8"?>
<worksheet xmlns="http://schemas.openxmlformats.org/spreadsheetml/2006/main">
  <sheetPr>
    <tabColor rgb="00BFBFBF"/>
    <outlinePr summaryBelow="1" summaryRight="1"/>
    <pageSetUpPr/>
  </sheetPr>
  <dimension ref="A1:AH528"/>
  <sheetViews>
    <sheetView workbookViewId="0">
      <selection activeCell="A1" sqref="A1"/>
    </sheetView>
  </sheetViews>
  <sheetFormatPr baseColWidth="8" defaultRowHeight="15"/>
  <cols>
    <col width="24"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s>
  <sheetData>
    <row r="1">
      <c r="A1" s="1" t="inlineStr">
        <is>
          <t>SCORING ENGINE</t>
        </is>
      </c>
      <c r="S1" s="2" t="inlineStr">
        <is>
          <t>target cornerstone split →</t>
        </is>
      </c>
      <c r="T1">
        <f>IFERROR(INDEX(Database!$Z$5:$Z$518,MATCH(Screener!$B$5,Database!$B$5:$B$518,0))&amp;"","")</f>
        <v/>
      </c>
      <c r="U1">
        <f>TRIM(IFERROR(LEFT($T$1,FIND(";",$T$1&amp;";")-1),$T$1))</f>
        <v/>
      </c>
      <c r="V1">
        <f>TRIM(IFERROR(LEFT($T$2,FIND(";",$T$2&amp;";")-1),$T$2))</f>
        <v/>
      </c>
      <c r="W1">
        <f>TRIM(IFERROR(LEFT($T$3,FIND(";",$T$3&amp;";")-1),$T$3))</f>
        <v/>
      </c>
      <c r="X1">
        <f>TRIM(IFERROR(LEFT($T$4,FIND(";",$T$4&amp;";")-1),$T$4))</f>
        <v/>
      </c>
      <c r="Y1">
        <f>TRIM(IFERROR(LEFT($T$5,FIND(";",$T$5&amp;";")-1),$T$5))</f>
        <v/>
      </c>
    </row>
    <row r="2">
      <c r="A2" s="2" t="inlineStr">
        <is>
          <t>One row per Database deal. The Screener ranks by column H (comp score vs the Screener target). Weights are named cells on the Notes tab.</t>
        </is>
      </c>
      <c r="T2">
        <f>IFERROR(MID($T$1,FIND(";",$T$1)+1,9999),"")</f>
        <v/>
      </c>
      <c r="AA2" s="2" t="inlineStr">
        <is>
          <t>name</t>
        </is>
      </c>
      <c r="AB2" s="2" t="inlineStr">
        <is>
          <t>sector</t>
        </is>
      </c>
      <c r="AC2" s="2" t="inlineStr">
        <is>
          <t>subsector</t>
        </is>
      </c>
      <c r="AD2" s="2" t="inlineStr">
        <is>
          <t>size HK$m</t>
        </is>
      </c>
      <c r="AE2" s="2" t="inlineStr">
        <is>
          <t>profitable</t>
        </is>
      </c>
      <c r="AF2" s="2" t="inlineStr">
        <is>
          <t>H-share</t>
        </is>
      </c>
      <c r="AG2" s="2" t="inlineStr">
        <is>
          <t>date</t>
        </is>
      </c>
    </row>
    <row r="3">
      <c r="T3">
        <f>IFERROR(MID($T$2,FIND(";",$T$2)+1,9999),"")</f>
        <v/>
      </c>
      <c r="AA3">
        <f>Pipeline!B6</f>
        <v/>
      </c>
      <c r="AB3">
        <f>Pipeline!D6</f>
        <v/>
      </c>
      <c r="AC3">
        <f>Pipeline!E6</f>
        <v/>
      </c>
      <c r="AD3">
        <f>Pipeline!F6</f>
        <v/>
      </c>
      <c r="AE3">
        <f>Pipeline!Q6</f>
        <v/>
      </c>
      <c r="AF3">
        <f>Pipeline!R6</f>
        <v/>
      </c>
      <c r="AG3">
        <f>Pipeline!P6</f>
        <v/>
      </c>
      <c r="AH3">
        <f>Pipeline!L6</f>
        <v/>
      </c>
    </row>
    <row r="4">
      <c r="A4" s="12" t="inlineStr">
        <is>
          <t>Deal</t>
        </is>
      </c>
      <c r="B4" s="12" t="inlineStr">
        <is>
          <t>Subsector =</t>
        </is>
      </c>
      <c r="C4" s="12" t="inlineStr">
        <is>
          <t>Sector =</t>
        </is>
      </c>
      <c r="D4" s="12" t="inlineStr">
        <is>
          <t>Size pts</t>
        </is>
      </c>
      <c r="E4" s="12" t="inlineStr">
        <is>
          <t>Profit =</t>
        </is>
      </c>
      <c r="F4" s="12" t="inlineStr">
        <is>
          <t>A/H =</t>
        </is>
      </c>
      <c r="G4" s="12" t="inlineStr">
        <is>
          <t>Recency</t>
        </is>
      </c>
      <c r="H4" s="12" t="inlineStr">
        <is>
          <t>Cornerstone</t>
        </is>
      </c>
      <c r="I4" s="12" t="inlineStr">
        <is>
          <t>P/E prox</t>
        </is>
      </c>
      <c r="J4" s="12" t="inlineStr">
        <is>
          <t>Demand prox</t>
        </is>
      </c>
      <c r="K4" s="12" t="inlineStr">
        <is>
          <t>SCORE</t>
        </is>
      </c>
      <c r="T4">
        <f>IFERROR(MID($T$3,FIND(";",$T$3)+1,9999),"")</f>
        <v/>
      </c>
      <c r="AA4">
        <f>Pipeline!B7</f>
        <v/>
      </c>
      <c r="AB4">
        <f>Pipeline!D7</f>
        <v/>
      </c>
      <c r="AC4">
        <f>Pipeline!E7</f>
        <v/>
      </c>
      <c r="AD4">
        <f>Pipeline!F7</f>
        <v/>
      </c>
      <c r="AE4">
        <f>Pipeline!Q7</f>
        <v/>
      </c>
      <c r="AF4">
        <f>Pipeline!R7</f>
        <v/>
      </c>
      <c r="AG4">
        <f>Pipeline!P7</f>
        <v/>
      </c>
      <c r="AH4">
        <f>Pipeline!L7</f>
        <v/>
      </c>
    </row>
    <row r="5">
      <c r="A5">
        <f>Database!B5</f>
        <v/>
      </c>
      <c r="B5">
        <f>IF(AND(Screener!$D$8&lt;&gt;"",Database!$E5=Screener!$D$8),1,0)</f>
        <v/>
      </c>
      <c r="C5">
        <f>IF(AND(Screener!$D$7&lt;&gt;"",Database!$D5=Screener!$D$7),1,0)</f>
        <v/>
      </c>
      <c r="D5">
        <f>IF(OR(N(Database!$I5)&lt;=0,N(Screener!$D$9)&lt;=0),0,MAX(0,1-ABS(LOG10(N(Database!$I5)/Screener!$D$9))/W_SIZEHW))</f>
        <v/>
      </c>
      <c r="E5">
        <f>IF(OR(Database!$BE5="",Screener!$D$10=""),0,IF(Database!$BE5=Screener!$D$10,1,0))</f>
        <v/>
      </c>
      <c r="F5">
        <f>IF(OR(Database!$BK5="",Screener!$D$11=""),0,IF(Database!$BK5=Screener!$D$11,1,0))</f>
        <v/>
      </c>
      <c r="G5">
        <f>IF(OR(Database!$H5="",N(Screener!$D$12)&lt;=0),0,MAX(0,1-(N(Screener!$D$12)-Database!$H5)/W_RECD))</f>
        <v/>
      </c>
      <c r="H5">
        <f>IF($U$1="",0,N(ISNUMBER(SEARCH($U$1,Database!$Z5&amp;""))))+IF($V$1="",0,N(ISNUMBER(SEARCH($V$1,Database!$Z5&amp;""))))+IF($W$1="",0,N(ISNUMBER(SEARCH($W$1,Database!$Z5&amp;""))))+IF($X$1="",0,N(ISNUMBER(SEARCH($X$1,Database!$Z5&amp;""))))+IF($Y$1="",0,N(ISNUMBER(SEARCH($Y$1,Database!$Z5&amp;""))))+IF(Screener!$B$17="",0,N(ISNUMBER(SEARCH(LOWER(Screener!$B$17),Database!$Z5&amp;""))))</f>
        <v/>
      </c>
      <c r="I5">
        <f>IF(OR(N(Database!$BF5)&lt;=0,N(Screener!$D$13)&lt;=0),0,MAX(0,1-ABS(LOG10(N(Database!$BF5)/Screener!$D$13))/W_PEHW))</f>
        <v/>
      </c>
      <c r="J5">
        <f>IF(OR(N(Database!$S5)&lt;=0,N(Screener!$D$14)&lt;=0),0,MAX(0,1-ABS(LOG10(Database!$S5/Screener!$D$14))/0.6))</f>
        <v/>
      </c>
      <c r="K5">
        <f>IF(Database!$B5=Screener!$B$5,-999999,IF(ISNUMBER(SEARCH(","&amp;Database!$A5&amp;",",","&amp;SUBSTITUTE(Screener!$D$17," ","")&amp;",")),2000000,IF(IF(OR(Screener!$B$18="All",AND(Screener!$B$18="With A-share",(Database!$BK5="Y")),AND(Screener!$B$18="Without A-share",NOT((Database!$BK5="Y")))),1,0)=0,-999999,IF(Screener!$B$16="cornerstone overlap first",H5*100000,IF(Screener!$B$16="demand-similar first",J5*100000,0))+W_SUB*B5+W_SEC*C5*(1-B5)+W_SIZE*D5+W_PROF*E5+W_AH*F5+W_REC*G5+W_CS*H5+W_PE*I5)))+ROW()/1000000</f>
        <v/>
      </c>
      <c r="T5">
        <f>IFERROR(MID($T$4,FIND(";",$T$4)+1,9999),"")</f>
        <v/>
      </c>
      <c r="AA5">
        <f>Pipeline!B8</f>
        <v/>
      </c>
      <c r="AB5">
        <f>Pipeline!D8</f>
        <v/>
      </c>
      <c r="AC5">
        <f>Pipeline!E8</f>
        <v/>
      </c>
      <c r="AD5">
        <f>Pipeline!F8</f>
        <v/>
      </c>
      <c r="AE5">
        <f>Pipeline!Q8</f>
        <v/>
      </c>
      <c r="AF5">
        <f>Pipeline!R8</f>
        <v/>
      </c>
      <c r="AG5">
        <f>Pipeline!P8</f>
        <v/>
      </c>
      <c r="AH5">
        <f>Pipeline!L8</f>
        <v/>
      </c>
    </row>
    <row r="6">
      <c r="A6">
        <f>Database!B6</f>
        <v/>
      </c>
      <c r="B6">
        <f>IF(AND(Screener!$D$8&lt;&gt;"",Database!$E6=Screener!$D$8),1,0)</f>
        <v/>
      </c>
      <c r="C6">
        <f>IF(AND(Screener!$D$7&lt;&gt;"",Database!$D6=Screener!$D$7),1,0)</f>
        <v/>
      </c>
      <c r="D6">
        <f>IF(OR(N(Database!$I6)&lt;=0,N(Screener!$D$9)&lt;=0),0,MAX(0,1-ABS(LOG10(N(Database!$I6)/Screener!$D$9))/W_SIZEHW))</f>
        <v/>
      </c>
      <c r="E6">
        <f>IF(OR(Database!$BE6="",Screener!$D$10=""),0,IF(Database!$BE6=Screener!$D$10,1,0))</f>
        <v/>
      </c>
      <c r="F6">
        <f>IF(OR(Database!$BK6="",Screener!$D$11=""),0,IF(Database!$BK6=Screener!$D$11,1,0))</f>
        <v/>
      </c>
      <c r="G6">
        <f>IF(OR(Database!$H6="",N(Screener!$D$12)&lt;=0),0,MAX(0,1-(N(Screener!$D$12)-Database!$H6)/W_RECD))</f>
        <v/>
      </c>
      <c r="H6">
        <f>IF($U$1="",0,N(ISNUMBER(SEARCH($U$1,Database!$Z6&amp;""))))+IF($V$1="",0,N(ISNUMBER(SEARCH($V$1,Database!$Z6&amp;""))))+IF($W$1="",0,N(ISNUMBER(SEARCH($W$1,Database!$Z6&amp;""))))+IF($X$1="",0,N(ISNUMBER(SEARCH($X$1,Database!$Z6&amp;""))))+IF($Y$1="",0,N(ISNUMBER(SEARCH($Y$1,Database!$Z6&amp;""))))+IF(Screener!$B$17="",0,N(ISNUMBER(SEARCH(LOWER(Screener!$B$17),Database!$Z6&amp;""))))</f>
        <v/>
      </c>
      <c r="I6">
        <f>IF(OR(N(Database!$BF6)&lt;=0,N(Screener!$D$13)&lt;=0),0,MAX(0,1-ABS(LOG10(N(Database!$BF6)/Screener!$D$13))/W_PEHW))</f>
        <v/>
      </c>
      <c r="J6">
        <f>IF(OR(N(Database!$S6)&lt;=0,N(Screener!$D$14)&lt;=0),0,MAX(0,1-ABS(LOG10(Database!$S6/Screener!$D$14))/0.6))</f>
        <v/>
      </c>
      <c r="K6">
        <f>IF(Database!$B6=Screener!$B$5,-999999,IF(ISNUMBER(SEARCH(","&amp;Database!$A6&amp;",",","&amp;SUBSTITUTE(Screener!$D$17," ","")&amp;",")),2000000,IF(IF(OR(Screener!$B$18="All",AND(Screener!$B$18="With A-share",(Database!$BK6="Y")),AND(Screener!$B$18="Without A-share",NOT((Database!$BK6="Y")))),1,0)=0,-999999,IF(Screener!$B$16="cornerstone overlap first",H6*100000,IF(Screener!$B$16="demand-similar first",J6*100000,0))+W_SUB*B6+W_SEC*C6*(1-B6)+W_SIZE*D6+W_PROF*E6+W_AH*F6+W_REC*G6+W_CS*H6+W_PE*I6)))+ROW()/1000000</f>
        <v/>
      </c>
      <c r="AA6">
        <f>Pipeline!B9</f>
        <v/>
      </c>
      <c r="AB6">
        <f>Pipeline!D9</f>
        <v/>
      </c>
      <c r="AC6">
        <f>Pipeline!E9</f>
        <v/>
      </c>
      <c r="AD6">
        <f>Pipeline!F9</f>
        <v/>
      </c>
      <c r="AE6">
        <f>Pipeline!Q9</f>
        <v/>
      </c>
      <c r="AF6">
        <f>Pipeline!R9</f>
        <v/>
      </c>
      <c r="AG6">
        <f>Pipeline!P9</f>
        <v/>
      </c>
      <c r="AH6">
        <f>Pipeline!L9</f>
        <v/>
      </c>
    </row>
    <row r="7">
      <c r="A7">
        <f>Database!B7</f>
        <v/>
      </c>
      <c r="B7">
        <f>IF(AND(Screener!$D$8&lt;&gt;"",Database!$E7=Screener!$D$8),1,0)</f>
        <v/>
      </c>
      <c r="C7">
        <f>IF(AND(Screener!$D$7&lt;&gt;"",Database!$D7=Screener!$D$7),1,0)</f>
        <v/>
      </c>
      <c r="D7">
        <f>IF(OR(N(Database!$I7)&lt;=0,N(Screener!$D$9)&lt;=0),0,MAX(0,1-ABS(LOG10(N(Database!$I7)/Screener!$D$9))/W_SIZEHW))</f>
        <v/>
      </c>
      <c r="E7">
        <f>IF(OR(Database!$BE7="",Screener!$D$10=""),0,IF(Database!$BE7=Screener!$D$10,1,0))</f>
        <v/>
      </c>
      <c r="F7">
        <f>IF(OR(Database!$BK7="",Screener!$D$11=""),0,IF(Database!$BK7=Screener!$D$11,1,0))</f>
        <v/>
      </c>
      <c r="G7">
        <f>IF(OR(Database!$H7="",N(Screener!$D$12)&lt;=0),0,MAX(0,1-(N(Screener!$D$12)-Database!$H7)/W_RECD))</f>
        <v/>
      </c>
      <c r="H7">
        <f>IF($U$1="",0,N(ISNUMBER(SEARCH($U$1,Database!$Z7&amp;""))))+IF($V$1="",0,N(ISNUMBER(SEARCH($V$1,Database!$Z7&amp;""))))+IF($W$1="",0,N(ISNUMBER(SEARCH($W$1,Database!$Z7&amp;""))))+IF($X$1="",0,N(ISNUMBER(SEARCH($X$1,Database!$Z7&amp;""))))+IF($Y$1="",0,N(ISNUMBER(SEARCH($Y$1,Database!$Z7&amp;""))))+IF(Screener!$B$17="",0,N(ISNUMBER(SEARCH(LOWER(Screener!$B$17),Database!$Z7&amp;""))))</f>
        <v/>
      </c>
      <c r="I7">
        <f>IF(OR(N(Database!$BF7)&lt;=0,N(Screener!$D$13)&lt;=0),0,MAX(0,1-ABS(LOG10(N(Database!$BF7)/Screener!$D$13))/W_PEHW))</f>
        <v/>
      </c>
      <c r="J7">
        <f>IF(OR(N(Database!$S7)&lt;=0,N(Screener!$D$14)&lt;=0),0,MAX(0,1-ABS(LOG10(Database!$S7/Screener!$D$14))/0.6))</f>
        <v/>
      </c>
      <c r="K7">
        <f>IF(Database!$B7=Screener!$B$5,-999999,IF(ISNUMBER(SEARCH(","&amp;Database!$A7&amp;",",","&amp;SUBSTITUTE(Screener!$D$17," ","")&amp;",")),2000000,IF(IF(OR(Screener!$B$18="All",AND(Screener!$B$18="With A-share",(Database!$BK7="Y")),AND(Screener!$B$18="Without A-share",NOT((Database!$BK7="Y")))),1,0)=0,-999999,IF(Screener!$B$16="cornerstone overlap first",H7*100000,IF(Screener!$B$16="demand-similar first",J7*100000,0))+W_SUB*B7+W_SEC*C7*(1-B7)+W_SIZE*D7+W_PROF*E7+W_AH*F7+W_REC*G7+W_CS*H7+W_PE*I7)))+ROW()/1000000</f>
        <v/>
      </c>
      <c r="AA7">
        <f>Pipeline!B10</f>
        <v/>
      </c>
      <c r="AB7">
        <f>Pipeline!D10</f>
        <v/>
      </c>
      <c r="AC7">
        <f>Pipeline!E10</f>
        <v/>
      </c>
      <c r="AD7">
        <f>Pipeline!F10</f>
        <v/>
      </c>
      <c r="AE7">
        <f>Pipeline!Q10</f>
        <v/>
      </c>
      <c r="AF7">
        <f>Pipeline!R10</f>
        <v/>
      </c>
      <c r="AG7">
        <f>Pipeline!P10</f>
        <v/>
      </c>
      <c r="AH7">
        <f>Pipeline!L10</f>
        <v/>
      </c>
    </row>
    <row r="8">
      <c r="A8">
        <f>Database!B8</f>
        <v/>
      </c>
      <c r="B8">
        <f>IF(AND(Screener!$D$8&lt;&gt;"",Database!$E8=Screener!$D$8),1,0)</f>
        <v/>
      </c>
      <c r="C8">
        <f>IF(AND(Screener!$D$7&lt;&gt;"",Database!$D8=Screener!$D$7),1,0)</f>
        <v/>
      </c>
      <c r="D8">
        <f>IF(OR(N(Database!$I8)&lt;=0,N(Screener!$D$9)&lt;=0),0,MAX(0,1-ABS(LOG10(N(Database!$I8)/Screener!$D$9))/W_SIZEHW))</f>
        <v/>
      </c>
      <c r="E8">
        <f>IF(OR(Database!$BE8="",Screener!$D$10=""),0,IF(Database!$BE8=Screener!$D$10,1,0))</f>
        <v/>
      </c>
      <c r="F8">
        <f>IF(OR(Database!$BK8="",Screener!$D$11=""),0,IF(Database!$BK8=Screener!$D$11,1,0))</f>
        <v/>
      </c>
      <c r="G8">
        <f>IF(OR(Database!$H8="",N(Screener!$D$12)&lt;=0),0,MAX(0,1-(N(Screener!$D$12)-Database!$H8)/W_RECD))</f>
        <v/>
      </c>
      <c r="H8">
        <f>IF($U$1="",0,N(ISNUMBER(SEARCH($U$1,Database!$Z8&amp;""))))+IF($V$1="",0,N(ISNUMBER(SEARCH($V$1,Database!$Z8&amp;""))))+IF($W$1="",0,N(ISNUMBER(SEARCH($W$1,Database!$Z8&amp;""))))+IF($X$1="",0,N(ISNUMBER(SEARCH($X$1,Database!$Z8&amp;""))))+IF($Y$1="",0,N(ISNUMBER(SEARCH($Y$1,Database!$Z8&amp;""))))+IF(Screener!$B$17="",0,N(ISNUMBER(SEARCH(LOWER(Screener!$B$17),Database!$Z8&amp;""))))</f>
        <v/>
      </c>
      <c r="I8">
        <f>IF(OR(N(Database!$BF8)&lt;=0,N(Screener!$D$13)&lt;=0),0,MAX(0,1-ABS(LOG10(N(Database!$BF8)/Screener!$D$13))/W_PEHW))</f>
        <v/>
      </c>
      <c r="J8">
        <f>IF(OR(N(Database!$S8)&lt;=0,N(Screener!$D$14)&lt;=0),0,MAX(0,1-ABS(LOG10(Database!$S8/Screener!$D$14))/0.6))</f>
        <v/>
      </c>
      <c r="K8">
        <f>IF(Database!$B8=Screener!$B$5,-999999,IF(ISNUMBER(SEARCH(","&amp;Database!$A8&amp;",",","&amp;SUBSTITUTE(Screener!$D$17," ","")&amp;",")),2000000,IF(IF(OR(Screener!$B$18="All",AND(Screener!$B$18="With A-share",(Database!$BK8="Y")),AND(Screener!$B$18="Without A-share",NOT((Database!$BK8="Y")))),1,0)=0,-999999,IF(Screener!$B$16="cornerstone overlap first",H8*100000,IF(Screener!$B$16="demand-similar first",J8*100000,0))+W_SUB*B8+W_SEC*C8*(1-B8)+W_SIZE*D8+W_PROF*E8+W_AH*F8+W_REC*G8+W_CS*H8+W_PE*I8)))+ROW()/1000000</f>
        <v/>
      </c>
      <c r="AA8">
        <f>Pipeline!B11</f>
        <v/>
      </c>
      <c r="AB8">
        <f>Pipeline!D11</f>
        <v/>
      </c>
      <c r="AC8">
        <f>Pipeline!E11</f>
        <v/>
      </c>
      <c r="AD8">
        <f>Pipeline!F11</f>
        <v/>
      </c>
      <c r="AE8">
        <f>Pipeline!Q11</f>
        <v/>
      </c>
      <c r="AF8">
        <f>Pipeline!R11</f>
        <v/>
      </c>
      <c r="AG8">
        <f>Pipeline!P11</f>
        <v/>
      </c>
      <c r="AH8">
        <f>Pipeline!L11</f>
        <v/>
      </c>
    </row>
    <row r="9">
      <c r="A9">
        <f>Database!B9</f>
        <v/>
      </c>
      <c r="B9">
        <f>IF(AND(Screener!$D$8&lt;&gt;"",Database!$E9=Screener!$D$8),1,0)</f>
        <v/>
      </c>
      <c r="C9">
        <f>IF(AND(Screener!$D$7&lt;&gt;"",Database!$D9=Screener!$D$7),1,0)</f>
        <v/>
      </c>
      <c r="D9">
        <f>IF(OR(N(Database!$I9)&lt;=0,N(Screener!$D$9)&lt;=0),0,MAX(0,1-ABS(LOG10(N(Database!$I9)/Screener!$D$9))/W_SIZEHW))</f>
        <v/>
      </c>
      <c r="E9">
        <f>IF(OR(Database!$BE9="",Screener!$D$10=""),0,IF(Database!$BE9=Screener!$D$10,1,0))</f>
        <v/>
      </c>
      <c r="F9">
        <f>IF(OR(Database!$BK9="",Screener!$D$11=""),0,IF(Database!$BK9=Screener!$D$11,1,0))</f>
        <v/>
      </c>
      <c r="G9">
        <f>IF(OR(Database!$H9="",N(Screener!$D$12)&lt;=0),0,MAX(0,1-(N(Screener!$D$12)-Database!$H9)/W_RECD))</f>
        <v/>
      </c>
      <c r="H9">
        <f>IF($U$1="",0,N(ISNUMBER(SEARCH($U$1,Database!$Z9&amp;""))))+IF($V$1="",0,N(ISNUMBER(SEARCH($V$1,Database!$Z9&amp;""))))+IF($W$1="",0,N(ISNUMBER(SEARCH($W$1,Database!$Z9&amp;""))))+IF($X$1="",0,N(ISNUMBER(SEARCH($X$1,Database!$Z9&amp;""))))+IF($Y$1="",0,N(ISNUMBER(SEARCH($Y$1,Database!$Z9&amp;""))))+IF(Screener!$B$17="",0,N(ISNUMBER(SEARCH(LOWER(Screener!$B$17),Database!$Z9&amp;""))))</f>
        <v/>
      </c>
      <c r="I9">
        <f>IF(OR(N(Database!$BF9)&lt;=0,N(Screener!$D$13)&lt;=0),0,MAX(0,1-ABS(LOG10(N(Database!$BF9)/Screener!$D$13))/W_PEHW))</f>
        <v/>
      </c>
      <c r="J9">
        <f>IF(OR(N(Database!$S9)&lt;=0,N(Screener!$D$14)&lt;=0),0,MAX(0,1-ABS(LOG10(Database!$S9/Screener!$D$14))/0.6))</f>
        <v/>
      </c>
      <c r="K9">
        <f>IF(Database!$B9=Screener!$B$5,-999999,IF(ISNUMBER(SEARCH(","&amp;Database!$A9&amp;",",","&amp;SUBSTITUTE(Screener!$D$17," ","")&amp;",")),2000000,IF(IF(OR(Screener!$B$18="All",AND(Screener!$B$18="With A-share",(Database!$BK9="Y")),AND(Screener!$B$18="Without A-share",NOT((Database!$BK9="Y")))),1,0)=0,-999999,IF(Screener!$B$16="cornerstone overlap first",H9*100000,IF(Screener!$B$16="demand-similar first",J9*100000,0))+W_SUB*B9+W_SEC*C9*(1-B9)+W_SIZE*D9+W_PROF*E9+W_AH*F9+W_REC*G9+W_CS*H9+W_PE*I9)))+ROW()/1000000</f>
        <v/>
      </c>
      <c r="AA9">
        <f>Pipeline!B12</f>
        <v/>
      </c>
      <c r="AB9">
        <f>Pipeline!D12</f>
        <v/>
      </c>
      <c r="AC9">
        <f>Pipeline!E12</f>
        <v/>
      </c>
      <c r="AD9">
        <f>Pipeline!F12</f>
        <v/>
      </c>
      <c r="AE9">
        <f>Pipeline!Q12</f>
        <v/>
      </c>
      <c r="AF9">
        <f>Pipeline!R12</f>
        <v/>
      </c>
      <c r="AG9">
        <f>Pipeline!P12</f>
        <v/>
      </c>
      <c r="AH9">
        <f>Pipeline!L12</f>
        <v/>
      </c>
    </row>
    <row r="10">
      <c r="A10">
        <f>Database!B10</f>
        <v/>
      </c>
      <c r="B10">
        <f>IF(AND(Screener!$D$8&lt;&gt;"",Database!$E10=Screener!$D$8),1,0)</f>
        <v/>
      </c>
      <c r="C10">
        <f>IF(AND(Screener!$D$7&lt;&gt;"",Database!$D10=Screener!$D$7),1,0)</f>
        <v/>
      </c>
      <c r="D10">
        <f>IF(OR(N(Database!$I10)&lt;=0,N(Screener!$D$9)&lt;=0),0,MAX(0,1-ABS(LOG10(N(Database!$I10)/Screener!$D$9))/W_SIZEHW))</f>
        <v/>
      </c>
      <c r="E10">
        <f>IF(OR(Database!$BE10="",Screener!$D$10=""),0,IF(Database!$BE10=Screener!$D$10,1,0))</f>
        <v/>
      </c>
      <c r="F10">
        <f>IF(OR(Database!$BK10="",Screener!$D$11=""),0,IF(Database!$BK10=Screener!$D$11,1,0))</f>
        <v/>
      </c>
      <c r="G10">
        <f>IF(OR(Database!$H10="",N(Screener!$D$12)&lt;=0),0,MAX(0,1-(N(Screener!$D$12)-Database!$H10)/W_RECD))</f>
        <v/>
      </c>
      <c r="H10">
        <f>IF($U$1="",0,N(ISNUMBER(SEARCH($U$1,Database!$Z10&amp;""))))+IF($V$1="",0,N(ISNUMBER(SEARCH($V$1,Database!$Z10&amp;""))))+IF($W$1="",0,N(ISNUMBER(SEARCH($W$1,Database!$Z10&amp;""))))+IF($X$1="",0,N(ISNUMBER(SEARCH($X$1,Database!$Z10&amp;""))))+IF($Y$1="",0,N(ISNUMBER(SEARCH($Y$1,Database!$Z10&amp;""))))+IF(Screener!$B$17="",0,N(ISNUMBER(SEARCH(LOWER(Screener!$B$17),Database!$Z10&amp;""))))</f>
        <v/>
      </c>
      <c r="I10">
        <f>IF(OR(N(Database!$BF10)&lt;=0,N(Screener!$D$13)&lt;=0),0,MAX(0,1-ABS(LOG10(N(Database!$BF10)/Screener!$D$13))/W_PEHW))</f>
        <v/>
      </c>
      <c r="J10">
        <f>IF(OR(N(Database!$S10)&lt;=0,N(Screener!$D$14)&lt;=0),0,MAX(0,1-ABS(LOG10(Database!$S10/Screener!$D$14))/0.6))</f>
        <v/>
      </c>
      <c r="K10">
        <f>IF(Database!$B10=Screener!$B$5,-999999,IF(ISNUMBER(SEARCH(","&amp;Database!$A10&amp;",",","&amp;SUBSTITUTE(Screener!$D$17," ","")&amp;",")),2000000,IF(IF(OR(Screener!$B$18="All",AND(Screener!$B$18="With A-share",(Database!$BK10="Y")),AND(Screener!$B$18="Without A-share",NOT((Database!$BK10="Y")))),1,0)=0,-999999,IF(Screener!$B$16="cornerstone overlap first",H10*100000,IF(Screener!$B$16="demand-similar first",J10*100000,0))+W_SUB*B10+W_SEC*C10*(1-B10)+W_SIZE*D10+W_PROF*E10+W_AH*F10+W_REC*G10+W_CS*H10+W_PE*I10)))+ROW()/1000000</f>
        <v/>
      </c>
      <c r="AA10">
        <f>Pipeline!B13</f>
        <v/>
      </c>
      <c r="AB10">
        <f>Pipeline!D13</f>
        <v/>
      </c>
      <c r="AC10">
        <f>Pipeline!E13</f>
        <v/>
      </c>
      <c r="AD10">
        <f>Pipeline!F13</f>
        <v/>
      </c>
      <c r="AE10">
        <f>Pipeline!Q13</f>
        <v/>
      </c>
      <c r="AF10">
        <f>Pipeline!R13</f>
        <v/>
      </c>
      <c r="AG10">
        <f>Pipeline!P13</f>
        <v/>
      </c>
      <c r="AH10">
        <f>Pipeline!L13</f>
        <v/>
      </c>
    </row>
    <row r="11">
      <c r="A11">
        <f>Database!B11</f>
        <v/>
      </c>
      <c r="B11">
        <f>IF(AND(Screener!$D$8&lt;&gt;"",Database!$E11=Screener!$D$8),1,0)</f>
        <v/>
      </c>
      <c r="C11">
        <f>IF(AND(Screener!$D$7&lt;&gt;"",Database!$D11=Screener!$D$7),1,0)</f>
        <v/>
      </c>
      <c r="D11">
        <f>IF(OR(N(Database!$I11)&lt;=0,N(Screener!$D$9)&lt;=0),0,MAX(0,1-ABS(LOG10(N(Database!$I11)/Screener!$D$9))/W_SIZEHW))</f>
        <v/>
      </c>
      <c r="E11">
        <f>IF(OR(Database!$BE11="",Screener!$D$10=""),0,IF(Database!$BE11=Screener!$D$10,1,0))</f>
        <v/>
      </c>
      <c r="F11">
        <f>IF(OR(Database!$BK11="",Screener!$D$11=""),0,IF(Database!$BK11=Screener!$D$11,1,0))</f>
        <v/>
      </c>
      <c r="G11">
        <f>IF(OR(Database!$H11="",N(Screener!$D$12)&lt;=0),0,MAX(0,1-(N(Screener!$D$12)-Database!$H11)/W_RECD))</f>
        <v/>
      </c>
      <c r="H11">
        <f>IF($U$1="",0,N(ISNUMBER(SEARCH($U$1,Database!$Z11&amp;""))))+IF($V$1="",0,N(ISNUMBER(SEARCH($V$1,Database!$Z11&amp;""))))+IF($W$1="",0,N(ISNUMBER(SEARCH($W$1,Database!$Z11&amp;""))))+IF($X$1="",0,N(ISNUMBER(SEARCH($X$1,Database!$Z11&amp;""))))+IF($Y$1="",0,N(ISNUMBER(SEARCH($Y$1,Database!$Z11&amp;""))))+IF(Screener!$B$17="",0,N(ISNUMBER(SEARCH(LOWER(Screener!$B$17),Database!$Z11&amp;""))))</f>
        <v/>
      </c>
      <c r="I11">
        <f>IF(OR(N(Database!$BF11)&lt;=0,N(Screener!$D$13)&lt;=0),0,MAX(0,1-ABS(LOG10(N(Database!$BF11)/Screener!$D$13))/W_PEHW))</f>
        <v/>
      </c>
      <c r="J11">
        <f>IF(OR(N(Database!$S11)&lt;=0,N(Screener!$D$14)&lt;=0),0,MAX(0,1-ABS(LOG10(Database!$S11/Screener!$D$14))/0.6))</f>
        <v/>
      </c>
      <c r="K11">
        <f>IF(Database!$B11=Screener!$B$5,-999999,IF(ISNUMBER(SEARCH(","&amp;Database!$A11&amp;",",","&amp;SUBSTITUTE(Screener!$D$17," ","")&amp;",")),2000000,IF(IF(OR(Screener!$B$18="All",AND(Screener!$B$18="With A-share",(Database!$BK11="Y")),AND(Screener!$B$18="Without A-share",NOT((Database!$BK11="Y")))),1,0)=0,-999999,IF(Screener!$B$16="cornerstone overlap first",H11*100000,IF(Screener!$B$16="demand-similar first",J11*100000,0))+W_SUB*B11+W_SEC*C11*(1-B11)+W_SIZE*D11+W_PROF*E11+W_AH*F11+W_REC*G11+W_CS*H11+W_PE*I11)))+ROW()/1000000</f>
        <v/>
      </c>
      <c r="AA11">
        <f>Pipeline!B14</f>
        <v/>
      </c>
      <c r="AB11">
        <f>Pipeline!D14</f>
        <v/>
      </c>
      <c r="AC11">
        <f>Pipeline!E14</f>
        <v/>
      </c>
      <c r="AD11">
        <f>Pipeline!F14</f>
        <v/>
      </c>
      <c r="AE11">
        <f>Pipeline!Q14</f>
        <v/>
      </c>
      <c r="AF11">
        <f>Pipeline!R14</f>
        <v/>
      </c>
      <c r="AG11">
        <f>Pipeline!P14</f>
        <v/>
      </c>
      <c r="AH11">
        <f>Pipeline!L14</f>
        <v/>
      </c>
    </row>
    <row r="12">
      <c r="A12">
        <f>Database!B12</f>
        <v/>
      </c>
      <c r="B12">
        <f>IF(AND(Screener!$D$8&lt;&gt;"",Database!$E12=Screener!$D$8),1,0)</f>
        <v/>
      </c>
      <c r="C12">
        <f>IF(AND(Screener!$D$7&lt;&gt;"",Database!$D12=Screener!$D$7),1,0)</f>
        <v/>
      </c>
      <c r="D12">
        <f>IF(OR(N(Database!$I12)&lt;=0,N(Screener!$D$9)&lt;=0),0,MAX(0,1-ABS(LOG10(N(Database!$I12)/Screener!$D$9))/W_SIZEHW))</f>
        <v/>
      </c>
      <c r="E12">
        <f>IF(OR(Database!$BE12="",Screener!$D$10=""),0,IF(Database!$BE12=Screener!$D$10,1,0))</f>
        <v/>
      </c>
      <c r="F12">
        <f>IF(OR(Database!$BK12="",Screener!$D$11=""),0,IF(Database!$BK12=Screener!$D$11,1,0))</f>
        <v/>
      </c>
      <c r="G12">
        <f>IF(OR(Database!$H12="",N(Screener!$D$12)&lt;=0),0,MAX(0,1-(N(Screener!$D$12)-Database!$H12)/W_RECD))</f>
        <v/>
      </c>
      <c r="H12">
        <f>IF($U$1="",0,N(ISNUMBER(SEARCH($U$1,Database!$Z12&amp;""))))+IF($V$1="",0,N(ISNUMBER(SEARCH($V$1,Database!$Z12&amp;""))))+IF($W$1="",0,N(ISNUMBER(SEARCH($W$1,Database!$Z12&amp;""))))+IF($X$1="",0,N(ISNUMBER(SEARCH($X$1,Database!$Z12&amp;""))))+IF($Y$1="",0,N(ISNUMBER(SEARCH($Y$1,Database!$Z12&amp;""))))+IF(Screener!$B$17="",0,N(ISNUMBER(SEARCH(LOWER(Screener!$B$17),Database!$Z12&amp;""))))</f>
        <v/>
      </c>
      <c r="I12">
        <f>IF(OR(N(Database!$BF12)&lt;=0,N(Screener!$D$13)&lt;=0),0,MAX(0,1-ABS(LOG10(N(Database!$BF12)/Screener!$D$13))/W_PEHW))</f>
        <v/>
      </c>
      <c r="J12">
        <f>IF(OR(N(Database!$S12)&lt;=0,N(Screener!$D$14)&lt;=0),0,MAX(0,1-ABS(LOG10(Database!$S12/Screener!$D$14))/0.6))</f>
        <v/>
      </c>
      <c r="K12">
        <f>IF(Database!$B12=Screener!$B$5,-999999,IF(ISNUMBER(SEARCH(","&amp;Database!$A12&amp;",",","&amp;SUBSTITUTE(Screener!$D$17," ","")&amp;",")),2000000,IF(IF(OR(Screener!$B$18="All",AND(Screener!$B$18="With A-share",(Database!$BK12="Y")),AND(Screener!$B$18="Without A-share",NOT((Database!$BK12="Y")))),1,0)=0,-999999,IF(Screener!$B$16="cornerstone overlap first",H12*100000,IF(Screener!$B$16="demand-similar first",J12*100000,0))+W_SUB*B12+W_SEC*C12*(1-B12)+W_SIZE*D12+W_PROF*E12+W_AH*F12+W_REC*G12+W_CS*H12+W_PE*I12)))+ROW()/1000000</f>
        <v/>
      </c>
      <c r="AA12">
        <f>Pipeline!B15</f>
        <v/>
      </c>
      <c r="AB12">
        <f>Pipeline!D15</f>
        <v/>
      </c>
      <c r="AC12">
        <f>Pipeline!E15</f>
        <v/>
      </c>
      <c r="AD12">
        <f>Pipeline!F15</f>
        <v/>
      </c>
      <c r="AE12">
        <f>Pipeline!Q15</f>
        <v/>
      </c>
      <c r="AF12">
        <f>Pipeline!R15</f>
        <v/>
      </c>
      <c r="AG12">
        <f>Pipeline!P15</f>
        <v/>
      </c>
      <c r="AH12">
        <f>Pipeline!L15</f>
        <v/>
      </c>
    </row>
    <row r="13">
      <c r="A13">
        <f>Database!B13</f>
        <v/>
      </c>
      <c r="B13">
        <f>IF(AND(Screener!$D$8&lt;&gt;"",Database!$E13=Screener!$D$8),1,0)</f>
        <v/>
      </c>
      <c r="C13">
        <f>IF(AND(Screener!$D$7&lt;&gt;"",Database!$D13=Screener!$D$7),1,0)</f>
        <v/>
      </c>
      <c r="D13">
        <f>IF(OR(N(Database!$I13)&lt;=0,N(Screener!$D$9)&lt;=0),0,MAX(0,1-ABS(LOG10(N(Database!$I13)/Screener!$D$9))/W_SIZEHW))</f>
        <v/>
      </c>
      <c r="E13">
        <f>IF(OR(Database!$BE13="",Screener!$D$10=""),0,IF(Database!$BE13=Screener!$D$10,1,0))</f>
        <v/>
      </c>
      <c r="F13">
        <f>IF(OR(Database!$BK13="",Screener!$D$11=""),0,IF(Database!$BK13=Screener!$D$11,1,0))</f>
        <v/>
      </c>
      <c r="G13">
        <f>IF(OR(Database!$H13="",N(Screener!$D$12)&lt;=0),0,MAX(0,1-(N(Screener!$D$12)-Database!$H13)/W_RECD))</f>
        <v/>
      </c>
      <c r="H13">
        <f>IF($U$1="",0,N(ISNUMBER(SEARCH($U$1,Database!$Z13&amp;""))))+IF($V$1="",0,N(ISNUMBER(SEARCH($V$1,Database!$Z13&amp;""))))+IF($W$1="",0,N(ISNUMBER(SEARCH($W$1,Database!$Z13&amp;""))))+IF($X$1="",0,N(ISNUMBER(SEARCH($X$1,Database!$Z13&amp;""))))+IF($Y$1="",0,N(ISNUMBER(SEARCH($Y$1,Database!$Z13&amp;""))))+IF(Screener!$B$17="",0,N(ISNUMBER(SEARCH(LOWER(Screener!$B$17),Database!$Z13&amp;""))))</f>
        <v/>
      </c>
      <c r="I13">
        <f>IF(OR(N(Database!$BF13)&lt;=0,N(Screener!$D$13)&lt;=0),0,MAX(0,1-ABS(LOG10(N(Database!$BF13)/Screener!$D$13))/W_PEHW))</f>
        <v/>
      </c>
      <c r="J13">
        <f>IF(OR(N(Database!$S13)&lt;=0,N(Screener!$D$14)&lt;=0),0,MAX(0,1-ABS(LOG10(Database!$S13/Screener!$D$14))/0.6))</f>
        <v/>
      </c>
      <c r="K13">
        <f>IF(Database!$B13=Screener!$B$5,-999999,IF(ISNUMBER(SEARCH(","&amp;Database!$A13&amp;",",","&amp;SUBSTITUTE(Screener!$D$17," ","")&amp;",")),2000000,IF(IF(OR(Screener!$B$18="All",AND(Screener!$B$18="With A-share",(Database!$BK13="Y")),AND(Screener!$B$18="Without A-share",NOT((Database!$BK13="Y")))),1,0)=0,-999999,IF(Screener!$B$16="cornerstone overlap first",H13*100000,IF(Screener!$B$16="demand-similar first",J13*100000,0))+W_SUB*B13+W_SEC*C13*(1-B13)+W_SIZE*D13+W_PROF*E13+W_AH*F13+W_REC*G13+W_CS*H13+W_PE*I13)))+ROW()/1000000</f>
        <v/>
      </c>
      <c r="AA13">
        <f>Pipeline!B16</f>
        <v/>
      </c>
      <c r="AB13">
        <f>Pipeline!D16</f>
        <v/>
      </c>
      <c r="AC13">
        <f>Pipeline!E16</f>
        <v/>
      </c>
      <c r="AD13">
        <f>Pipeline!F16</f>
        <v/>
      </c>
      <c r="AE13">
        <f>Pipeline!Q16</f>
        <v/>
      </c>
      <c r="AF13">
        <f>Pipeline!R16</f>
        <v/>
      </c>
      <c r="AG13">
        <f>Pipeline!P16</f>
        <v/>
      </c>
      <c r="AH13">
        <f>Pipeline!L16</f>
        <v/>
      </c>
    </row>
    <row r="14">
      <c r="A14">
        <f>Database!B14</f>
        <v/>
      </c>
      <c r="B14">
        <f>IF(AND(Screener!$D$8&lt;&gt;"",Database!$E14=Screener!$D$8),1,0)</f>
        <v/>
      </c>
      <c r="C14">
        <f>IF(AND(Screener!$D$7&lt;&gt;"",Database!$D14=Screener!$D$7),1,0)</f>
        <v/>
      </c>
      <c r="D14">
        <f>IF(OR(N(Database!$I14)&lt;=0,N(Screener!$D$9)&lt;=0),0,MAX(0,1-ABS(LOG10(N(Database!$I14)/Screener!$D$9))/W_SIZEHW))</f>
        <v/>
      </c>
      <c r="E14">
        <f>IF(OR(Database!$BE14="",Screener!$D$10=""),0,IF(Database!$BE14=Screener!$D$10,1,0))</f>
        <v/>
      </c>
      <c r="F14">
        <f>IF(OR(Database!$BK14="",Screener!$D$11=""),0,IF(Database!$BK14=Screener!$D$11,1,0))</f>
        <v/>
      </c>
      <c r="G14">
        <f>IF(OR(Database!$H14="",N(Screener!$D$12)&lt;=0),0,MAX(0,1-(N(Screener!$D$12)-Database!$H14)/W_RECD))</f>
        <v/>
      </c>
      <c r="H14">
        <f>IF($U$1="",0,N(ISNUMBER(SEARCH($U$1,Database!$Z14&amp;""))))+IF($V$1="",0,N(ISNUMBER(SEARCH($V$1,Database!$Z14&amp;""))))+IF($W$1="",0,N(ISNUMBER(SEARCH($W$1,Database!$Z14&amp;""))))+IF($X$1="",0,N(ISNUMBER(SEARCH($X$1,Database!$Z14&amp;""))))+IF($Y$1="",0,N(ISNUMBER(SEARCH($Y$1,Database!$Z14&amp;""))))+IF(Screener!$B$17="",0,N(ISNUMBER(SEARCH(LOWER(Screener!$B$17),Database!$Z14&amp;""))))</f>
        <v/>
      </c>
      <c r="I14">
        <f>IF(OR(N(Database!$BF14)&lt;=0,N(Screener!$D$13)&lt;=0),0,MAX(0,1-ABS(LOG10(N(Database!$BF14)/Screener!$D$13))/W_PEHW))</f>
        <v/>
      </c>
      <c r="J14">
        <f>IF(OR(N(Database!$S14)&lt;=0,N(Screener!$D$14)&lt;=0),0,MAX(0,1-ABS(LOG10(Database!$S14/Screener!$D$14))/0.6))</f>
        <v/>
      </c>
      <c r="K14">
        <f>IF(Database!$B14=Screener!$B$5,-999999,IF(ISNUMBER(SEARCH(","&amp;Database!$A14&amp;",",","&amp;SUBSTITUTE(Screener!$D$17," ","")&amp;",")),2000000,IF(IF(OR(Screener!$B$18="All",AND(Screener!$B$18="With A-share",(Database!$BK14="Y")),AND(Screener!$B$18="Without A-share",NOT((Database!$BK14="Y")))),1,0)=0,-999999,IF(Screener!$B$16="cornerstone overlap first",H14*100000,IF(Screener!$B$16="demand-similar first",J14*100000,0))+W_SUB*B14+W_SEC*C14*(1-B14)+W_SIZE*D14+W_PROF*E14+W_AH*F14+W_REC*G14+W_CS*H14+W_PE*I14)))+ROW()/1000000</f>
        <v/>
      </c>
      <c r="AA14">
        <f>Pipeline!B17</f>
        <v/>
      </c>
      <c r="AB14">
        <f>Pipeline!D17</f>
        <v/>
      </c>
      <c r="AC14">
        <f>Pipeline!E17</f>
        <v/>
      </c>
      <c r="AD14">
        <f>Pipeline!F17</f>
        <v/>
      </c>
      <c r="AE14">
        <f>Pipeline!Q17</f>
        <v/>
      </c>
      <c r="AF14">
        <f>Pipeline!R17</f>
        <v/>
      </c>
      <c r="AG14">
        <f>Pipeline!P17</f>
        <v/>
      </c>
      <c r="AH14">
        <f>Pipeline!L17</f>
        <v/>
      </c>
    </row>
    <row r="15">
      <c r="A15">
        <f>Database!B15</f>
        <v/>
      </c>
      <c r="B15">
        <f>IF(AND(Screener!$D$8&lt;&gt;"",Database!$E15=Screener!$D$8),1,0)</f>
        <v/>
      </c>
      <c r="C15">
        <f>IF(AND(Screener!$D$7&lt;&gt;"",Database!$D15=Screener!$D$7),1,0)</f>
        <v/>
      </c>
      <c r="D15">
        <f>IF(OR(N(Database!$I15)&lt;=0,N(Screener!$D$9)&lt;=0),0,MAX(0,1-ABS(LOG10(N(Database!$I15)/Screener!$D$9))/W_SIZEHW))</f>
        <v/>
      </c>
      <c r="E15">
        <f>IF(OR(Database!$BE15="",Screener!$D$10=""),0,IF(Database!$BE15=Screener!$D$10,1,0))</f>
        <v/>
      </c>
      <c r="F15">
        <f>IF(OR(Database!$BK15="",Screener!$D$11=""),0,IF(Database!$BK15=Screener!$D$11,1,0))</f>
        <v/>
      </c>
      <c r="G15">
        <f>IF(OR(Database!$H15="",N(Screener!$D$12)&lt;=0),0,MAX(0,1-(N(Screener!$D$12)-Database!$H15)/W_RECD))</f>
        <v/>
      </c>
      <c r="H15">
        <f>IF($U$1="",0,N(ISNUMBER(SEARCH($U$1,Database!$Z15&amp;""))))+IF($V$1="",0,N(ISNUMBER(SEARCH($V$1,Database!$Z15&amp;""))))+IF($W$1="",0,N(ISNUMBER(SEARCH($W$1,Database!$Z15&amp;""))))+IF($X$1="",0,N(ISNUMBER(SEARCH($X$1,Database!$Z15&amp;""))))+IF($Y$1="",0,N(ISNUMBER(SEARCH($Y$1,Database!$Z15&amp;""))))+IF(Screener!$B$17="",0,N(ISNUMBER(SEARCH(LOWER(Screener!$B$17),Database!$Z15&amp;""))))</f>
        <v/>
      </c>
      <c r="I15">
        <f>IF(OR(N(Database!$BF15)&lt;=0,N(Screener!$D$13)&lt;=0),0,MAX(0,1-ABS(LOG10(N(Database!$BF15)/Screener!$D$13))/W_PEHW))</f>
        <v/>
      </c>
      <c r="J15">
        <f>IF(OR(N(Database!$S15)&lt;=0,N(Screener!$D$14)&lt;=0),0,MAX(0,1-ABS(LOG10(Database!$S15/Screener!$D$14))/0.6))</f>
        <v/>
      </c>
      <c r="K15">
        <f>IF(Database!$B15=Screener!$B$5,-999999,IF(ISNUMBER(SEARCH(","&amp;Database!$A15&amp;",",","&amp;SUBSTITUTE(Screener!$D$17," ","")&amp;",")),2000000,IF(IF(OR(Screener!$B$18="All",AND(Screener!$B$18="With A-share",(Database!$BK15="Y")),AND(Screener!$B$18="Without A-share",NOT((Database!$BK15="Y")))),1,0)=0,-999999,IF(Screener!$B$16="cornerstone overlap first",H15*100000,IF(Screener!$B$16="demand-similar first",J15*100000,0))+W_SUB*B15+W_SEC*C15*(1-B15)+W_SIZE*D15+W_PROF*E15+W_AH*F15+W_REC*G15+W_CS*H15+W_PE*I15)))+ROW()/1000000</f>
        <v/>
      </c>
      <c r="AA15">
        <f>Database!B5</f>
        <v/>
      </c>
      <c r="AB15">
        <f>Database!D5</f>
        <v/>
      </c>
      <c r="AC15">
        <f>Database!E5</f>
        <v/>
      </c>
      <c r="AD15">
        <f>Database!I5</f>
        <v/>
      </c>
      <c r="AE15">
        <f>Database!BE5</f>
        <v/>
      </c>
      <c r="AF15">
        <f>Database!BK5</f>
        <v/>
      </c>
      <c r="AG15">
        <f>Database!H5</f>
        <v/>
      </c>
      <c r="AH15">
        <f>Database!BF5</f>
        <v/>
      </c>
    </row>
    <row r="16">
      <c r="A16">
        <f>Database!B16</f>
        <v/>
      </c>
      <c r="B16">
        <f>IF(AND(Screener!$D$8&lt;&gt;"",Database!$E16=Screener!$D$8),1,0)</f>
        <v/>
      </c>
      <c r="C16">
        <f>IF(AND(Screener!$D$7&lt;&gt;"",Database!$D16=Screener!$D$7),1,0)</f>
        <v/>
      </c>
      <c r="D16">
        <f>IF(OR(N(Database!$I16)&lt;=0,N(Screener!$D$9)&lt;=0),0,MAX(0,1-ABS(LOG10(N(Database!$I16)/Screener!$D$9))/W_SIZEHW))</f>
        <v/>
      </c>
      <c r="E16">
        <f>IF(OR(Database!$BE16="",Screener!$D$10=""),0,IF(Database!$BE16=Screener!$D$10,1,0))</f>
        <v/>
      </c>
      <c r="F16">
        <f>IF(OR(Database!$BK16="",Screener!$D$11=""),0,IF(Database!$BK16=Screener!$D$11,1,0))</f>
        <v/>
      </c>
      <c r="G16">
        <f>IF(OR(Database!$H16="",N(Screener!$D$12)&lt;=0),0,MAX(0,1-(N(Screener!$D$12)-Database!$H16)/W_RECD))</f>
        <v/>
      </c>
      <c r="H16">
        <f>IF($U$1="",0,N(ISNUMBER(SEARCH($U$1,Database!$Z16&amp;""))))+IF($V$1="",0,N(ISNUMBER(SEARCH($V$1,Database!$Z16&amp;""))))+IF($W$1="",0,N(ISNUMBER(SEARCH($W$1,Database!$Z16&amp;""))))+IF($X$1="",0,N(ISNUMBER(SEARCH($X$1,Database!$Z16&amp;""))))+IF($Y$1="",0,N(ISNUMBER(SEARCH($Y$1,Database!$Z16&amp;""))))+IF(Screener!$B$17="",0,N(ISNUMBER(SEARCH(LOWER(Screener!$B$17),Database!$Z16&amp;""))))</f>
        <v/>
      </c>
      <c r="I16">
        <f>IF(OR(N(Database!$BF16)&lt;=0,N(Screener!$D$13)&lt;=0),0,MAX(0,1-ABS(LOG10(N(Database!$BF16)/Screener!$D$13))/W_PEHW))</f>
        <v/>
      </c>
      <c r="J16">
        <f>IF(OR(N(Database!$S16)&lt;=0,N(Screener!$D$14)&lt;=0),0,MAX(0,1-ABS(LOG10(Database!$S16/Screener!$D$14))/0.6))</f>
        <v/>
      </c>
      <c r="K16">
        <f>IF(Database!$B16=Screener!$B$5,-999999,IF(ISNUMBER(SEARCH(","&amp;Database!$A16&amp;",",","&amp;SUBSTITUTE(Screener!$D$17," ","")&amp;",")),2000000,IF(IF(OR(Screener!$B$18="All",AND(Screener!$B$18="With A-share",(Database!$BK16="Y")),AND(Screener!$B$18="Without A-share",NOT((Database!$BK16="Y")))),1,0)=0,-999999,IF(Screener!$B$16="cornerstone overlap first",H16*100000,IF(Screener!$B$16="demand-similar first",J16*100000,0))+W_SUB*B16+W_SEC*C16*(1-B16)+W_SIZE*D16+W_PROF*E16+W_AH*F16+W_REC*G16+W_CS*H16+W_PE*I16)))+ROW()/1000000</f>
        <v/>
      </c>
      <c r="AA16">
        <f>Database!B6</f>
        <v/>
      </c>
      <c r="AB16">
        <f>Database!D6</f>
        <v/>
      </c>
      <c r="AC16">
        <f>Database!E6</f>
        <v/>
      </c>
      <c r="AD16">
        <f>Database!I6</f>
        <v/>
      </c>
      <c r="AE16">
        <f>Database!BE6</f>
        <v/>
      </c>
      <c r="AF16">
        <f>Database!BK6</f>
        <v/>
      </c>
      <c r="AG16">
        <f>Database!H6</f>
        <v/>
      </c>
      <c r="AH16">
        <f>Database!BF6</f>
        <v/>
      </c>
    </row>
    <row r="17">
      <c r="A17">
        <f>Database!B17</f>
        <v/>
      </c>
      <c r="B17">
        <f>IF(AND(Screener!$D$8&lt;&gt;"",Database!$E17=Screener!$D$8),1,0)</f>
        <v/>
      </c>
      <c r="C17">
        <f>IF(AND(Screener!$D$7&lt;&gt;"",Database!$D17=Screener!$D$7),1,0)</f>
        <v/>
      </c>
      <c r="D17">
        <f>IF(OR(N(Database!$I17)&lt;=0,N(Screener!$D$9)&lt;=0),0,MAX(0,1-ABS(LOG10(N(Database!$I17)/Screener!$D$9))/W_SIZEHW))</f>
        <v/>
      </c>
      <c r="E17">
        <f>IF(OR(Database!$BE17="",Screener!$D$10=""),0,IF(Database!$BE17=Screener!$D$10,1,0))</f>
        <v/>
      </c>
      <c r="F17">
        <f>IF(OR(Database!$BK17="",Screener!$D$11=""),0,IF(Database!$BK17=Screener!$D$11,1,0))</f>
        <v/>
      </c>
      <c r="G17">
        <f>IF(OR(Database!$H17="",N(Screener!$D$12)&lt;=0),0,MAX(0,1-(N(Screener!$D$12)-Database!$H17)/W_RECD))</f>
        <v/>
      </c>
      <c r="H17">
        <f>IF($U$1="",0,N(ISNUMBER(SEARCH($U$1,Database!$Z17&amp;""))))+IF($V$1="",0,N(ISNUMBER(SEARCH($V$1,Database!$Z17&amp;""))))+IF($W$1="",0,N(ISNUMBER(SEARCH($W$1,Database!$Z17&amp;""))))+IF($X$1="",0,N(ISNUMBER(SEARCH($X$1,Database!$Z17&amp;""))))+IF($Y$1="",0,N(ISNUMBER(SEARCH($Y$1,Database!$Z17&amp;""))))+IF(Screener!$B$17="",0,N(ISNUMBER(SEARCH(LOWER(Screener!$B$17),Database!$Z17&amp;""))))</f>
        <v/>
      </c>
      <c r="I17">
        <f>IF(OR(N(Database!$BF17)&lt;=0,N(Screener!$D$13)&lt;=0),0,MAX(0,1-ABS(LOG10(N(Database!$BF17)/Screener!$D$13))/W_PEHW))</f>
        <v/>
      </c>
      <c r="J17">
        <f>IF(OR(N(Database!$S17)&lt;=0,N(Screener!$D$14)&lt;=0),0,MAX(0,1-ABS(LOG10(Database!$S17/Screener!$D$14))/0.6))</f>
        <v/>
      </c>
      <c r="K17">
        <f>IF(Database!$B17=Screener!$B$5,-999999,IF(ISNUMBER(SEARCH(","&amp;Database!$A17&amp;",",","&amp;SUBSTITUTE(Screener!$D$17," ","")&amp;",")),2000000,IF(IF(OR(Screener!$B$18="All",AND(Screener!$B$18="With A-share",(Database!$BK17="Y")),AND(Screener!$B$18="Without A-share",NOT((Database!$BK17="Y")))),1,0)=0,-999999,IF(Screener!$B$16="cornerstone overlap first",H17*100000,IF(Screener!$B$16="demand-similar first",J17*100000,0))+W_SUB*B17+W_SEC*C17*(1-B17)+W_SIZE*D17+W_PROF*E17+W_AH*F17+W_REC*G17+W_CS*H17+W_PE*I17)))+ROW()/1000000</f>
        <v/>
      </c>
      <c r="AA17">
        <f>Database!B7</f>
        <v/>
      </c>
      <c r="AB17">
        <f>Database!D7</f>
        <v/>
      </c>
      <c r="AC17">
        <f>Database!E7</f>
        <v/>
      </c>
      <c r="AD17">
        <f>Database!I7</f>
        <v/>
      </c>
      <c r="AE17">
        <f>Database!BE7</f>
        <v/>
      </c>
      <c r="AF17">
        <f>Database!BK7</f>
        <v/>
      </c>
      <c r="AG17">
        <f>Database!H7</f>
        <v/>
      </c>
      <c r="AH17">
        <f>Database!BF7</f>
        <v/>
      </c>
    </row>
    <row r="18">
      <c r="A18">
        <f>Database!B18</f>
        <v/>
      </c>
      <c r="B18">
        <f>IF(AND(Screener!$D$8&lt;&gt;"",Database!$E18=Screener!$D$8),1,0)</f>
        <v/>
      </c>
      <c r="C18">
        <f>IF(AND(Screener!$D$7&lt;&gt;"",Database!$D18=Screener!$D$7),1,0)</f>
        <v/>
      </c>
      <c r="D18">
        <f>IF(OR(N(Database!$I18)&lt;=0,N(Screener!$D$9)&lt;=0),0,MAX(0,1-ABS(LOG10(N(Database!$I18)/Screener!$D$9))/W_SIZEHW))</f>
        <v/>
      </c>
      <c r="E18">
        <f>IF(OR(Database!$BE18="",Screener!$D$10=""),0,IF(Database!$BE18=Screener!$D$10,1,0))</f>
        <v/>
      </c>
      <c r="F18">
        <f>IF(OR(Database!$BK18="",Screener!$D$11=""),0,IF(Database!$BK18=Screener!$D$11,1,0))</f>
        <v/>
      </c>
      <c r="G18">
        <f>IF(OR(Database!$H18="",N(Screener!$D$12)&lt;=0),0,MAX(0,1-(N(Screener!$D$12)-Database!$H18)/W_RECD))</f>
        <v/>
      </c>
      <c r="H18">
        <f>IF($U$1="",0,N(ISNUMBER(SEARCH($U$1,Database!$Z18&amp;""))))+IF($V$1="",0,N(ISNUMBER(SEARCH($V$1,Database!$Z18&amp;""))))+IF($W$1="",0,N(ISNUMBER(SEARCH($W$1,Database!$Z18&amp;""))))+IF($X$1="",0,N(ISNUMBER(SEARCH($X$1,Database!$Z18&amp;""))))+IF($Y$1="",0,N(ISNUMBER(SEARCH($Y$1,Database!$Z18&amp;""))))+IF(Screener!$B$17="",0,N(ISNUMBER(SEARCH(LOWER(Screener!$B$17),Database!$Z18&amp;""))))</f>
        <v/>
      </c>
      <c r="I18">
        <f>IF(OR(N(Database!$BF18)&lt;=0,N(Screener!$D$13)&lt;=0),0,MAX(0,1-ABS(LOG10(N(Database!$BF18)/Screener!$D$13))/W_PEHW))</f>
        <v/>
      </c>
      <c r="J18">
        <f>IF(OR(N(Database!$S18)&lt;=0,N(Screener!$D$14)&lt;=0),0,MAX(0,1-ABS(LOG10(Database!$S18/Screener!$D$14))/0.6))</f>
        <v/>
      </c>
      <c r="K18">
        <f>IF(Database!$B18=Screener!$B$5,-999999,IF(ISNUMBER(SEARCH(","&amp;Database!$A18&amp;",",","&amp;SUBSTITUTE(Screener!$D$17," ","")&amp;",")),2000000,IF(IF(OR(Screener!$B$18="All",AND(Screener!$B$18="With A-share",(Database!$BK18="Y")),AND(Screener!$B$18="Without A-share",NOT((Database!$BK18="Y")))),1,0)=0,-999999,IF(Screener!$B$16="cornerstone overlap first",H18*100000,IF(Screener!$B$16="demand-similar first",J18*100000,0))+W_SUB*B18+W_SEC*C18*(1-B18)+W_SIZE*D18+W_PROF*E18+W_AH*F18+W_REC*G18+W_CS*H18+W_PE*I18)))+ROW()/1000000</f>
        <v/>
      </c>
      <c r="AA18">
        <f>Database!B8</f>
        <v/>
      </c>
      <c r="AB18">
        <f>Database!D8</f>
        <v/>
      </c>
      <c r="AC18">
        <f>Database!E8</f>
        <v/>
      </c>
      <c r="AD18">
        <f>Database!I8</f>
        <v/>
      </c>
      <c r="AE18">
        <f>Database!BE8</f>
        <v/>
      </c>
      <c r="AF18">
        <f>Database!BK8</f>
        <v/>
      </c>
      <c r="AG18">
        <f>Database!H8</f>
        <v/>
      </c>
      <c r="AH18">
        <f>Database!BF8</f>
        <v/>
      </c>
    </row>
    <row r="19">
      <c r="A19">
        <f>Database!B19</f>
        <v/>
      </c>
      <c r="B19">
        <f>IF(AND(Screener!$D$8&lt;&gt;"",Database!$E19=Screener!$D$8),1,0)</f>
        <v/>
      </c>
      <c r="C19">
        <f>IF(AND(Screener!$D$7&lt;&gt;"",Database!$D19=Screener!$D$7),1,0)</f>
        <v/>
      </c>
      <c r="D19">
        <f>IF(OR(N(Database!$I19)&lt;=0,N(Screener!$D$9)&lt;=0),0,MAX(0,1-ABS(LOG10(N(Database!$I19)/Screener!$D$9))/W_SIZEHW))</f>
        <v/>
      </c>
      <c r="E19">
        <f>IF(OR(Database!$BE19="",Screener!$D$10=""),0,IF(Database!$BE19=Screener!$D$10,1,0))</f>
        <v/>
      </c>
      <c r="F19">
        <f>IF(OR(Database!$BK19="",Screener!$D$11=""),0,IF(Database!$BK19=Screener!$D$11,1,0))</f>
        <v/>
      </c>
      <c r="G19">
        <f>IF(OR(Database!$H19="",N(Screener!$D$12)&lt;=0),0,MAX(0,1-(N(Screener!$D$12)-Database!$H19)/W_RECD))</f>
        <v/>
      </c>
      <c r="H19">
        <f>IF($U$1="",0,N(ISNUMBER(SEARCH($U$1,Database!$Z19&amp;""))))+IF($V$1="",0,N(ISNUMBER(SEARCH($V$1,Database!$Z19&amp;""))))+IF($W$1="",0,N(ISNUMBER(SEARCH($W$1,Database!$Z19&amp;""))))+IF($X$1="",0,N(ISNUMBER(SEARCH($X$1,Database!$Z19&amp;""))))+IF($Y$1="",0,N(ISNUMBER(SEARCH($Y$1,Database!$Z19&amp;""))))+IF(Screener!$B$17="",0,N(ISNUMBER(SEARCH(LOWER(Screener!$B$17),Database!$Z19&amp;""))))</f>
        <v/>
      </c>
      <c r="I19">
        <f>IF(OR(N(Database!$BF19)&lt;=0,N(Screener!$D$13)&lt;=0),0,MAX(0,1-ABS(LOG10(N(Database!$BF19)/Screener!$D$13))/W_PEHW))</f>
        <v/>
      </c>
      <c r="J19">
        <f>IF(OR(N(Database!$S19)&lt;=0,N(Screener!$D$14)&lt;=0),0,MAX(0,1-ABS(LOG10(Database!$S19/Screener!$D$14))/0.6))</f>
        <v/>
      </c>
      <c r="K19">
        <f>IF(Database!$B19=Screener!$B$5,-999999,IF(ISNUMBER(SEARCH(","&amp;Database!$A19&amp;",",","&amp;SUBSTITUTE(Screener!$D$17," ","")&amp;",")),2000000,IF(IF(OR(Screener!$B$18="All",AND(Screener!$B$18="With A-share",(Database!$BK19="Y")),AND(Screener!$B$18="Without A-share",NOT((Database!$BK19="Y")))),1,0)=0,-999999,IF(Screener!$B$16="cornerstone overlap first",H19*100000,IF(Screener!$B$16="demand-similar first",J19*100000,0))+W_SUB*B19+W_SEC*C19*(1-B19)+W_SIZE*D19+W_PROF*E19+W_AH*F19+W_REC*G19+W_CS*H19+W_PE*I19)))+ROW()/1000000</f>
        <v/>
      </c>
      <c r="AA19">
        <f>Database!B9</f>
        <v/>
      </c>
      <c r="AB19">
        <f>Database!D9</f>
        <v/>
      </c>
      <c r="AC19">
        <f>Database!E9</f>
        <v/>
      </c>
      <c r="AD19">
        <f>Database!I9</f>
        <v/>
      </c>
      <c r="AE19">
        <f>Database!BE9</f>
        <v/>
      </c>
      <c r="AF19">
        <f>Database!BK9</f>
        <v/>
      </c>
      <c r="AG19">
        <f>Database!H9</f>
        <v/>
      </c>
      <c r="AH19">
        <f>Database!BF9</f>
        <v/>
      </c>
    </row>
    <row r="20">
      <c r="A20">
        <f>Database!B20</f>
        <v/>
      </c>
      <c r="B20">
        <f>IF(AND(Screener!$D$8&lt;&gt;"",Database!$E20=Screener!$D$8),1,0)</f>
        <v/>
      </c>
      <c r="C20">
        <f>IF(AND(Screener!$D$7&lt;&gt;"",Database!$D20=Screener!$D$7),1,0)</f>
        <v/>
      </c>
      <c r="D20">
        <f>IF(OR(N(Database!$I20)&lt;=0,N(Screener!$D$9)&lt;=0),0,MAX(0,1-ABS(LOG10(N(Database!$I20)/Screener!$D$9))/W_SIZEHW))</f>
        <v/>
      </c>
      <c r="E20">
        <f>IF(OR(Database!$BE20="",Screener!$D$10=""),0,IF(Database!$BE20=Screener!$D$10,1,0))</f>
        <v/>
      </c>
      <c r="F20">
        <f>IF(OR(Database!$BK20="",Screener!$D$11=""),0,IF(Database!$BK20=Screener!$D$11,1,0))</f>
        <v/>
      </c>
      <c r="G20">
        <f>IF(OR(Database!$H20="",N(Screener!$D$12)&lt;=0),0,MAX(0,1-(N(Screener!$D$12)-Database!$H20)/W_RECD))</f>
        <v/>
      </c>
      <c r="H20">
        <f>IF($U$1="",0,N(ISNUMBER(SEARCH($U$1,Database!$Z20&amp;""))))+IF($V$1="",0,N(ISNUMBER(SEARCH($V$1,Database!$Z20&amp;""))))+IF($W$1="",0,N(ISNUMBER(SEARCH($W$1,Database!$Z20&amp;""))))+IF($X$1="",0,N(ISNUMBER(SEARCH($X$1,Database!$Z20&amp;""))))+IF($Y$1="",0,N(ISNUMBER(SEARCH($Y$1,Database!$Z20&amp;""))))+IF(Screener!$B$17="",0,N(ISNUMBER(SEARCH(LOWER(Screener!$B$17),Database!$Z20&amp;""))))</f>
        <v/>
      </c>
      <c r="I20">
        <f>IF(OR(N(Database!$BF20)&lt;=0,N(Screener!$D$13)&lt;=0),0,MAX(0,1-ABS(LOG10(N(Database!$BF20)/Screener!$D$13))/W_PEHW))</f>
        <v/>
      </c>
      <c r="J20">
        <f>IF(OR(N(Database!$S20)&lt;=0,N(Screener!$D$14)&lt;=0),0,MAX(0,1-ABS(LOG10(Database!$S20/Screener!$D$14))/0.6))</f>
        <v/>
      </c>
      <c r="K20">
        <f>IF(Database!$B20=Screener!$B$5,-999999,IF(ISNUMBER(SEARCH(","&amp;Database!$A20&amp;",",","&amp;SUBSTITUTE(Screener!$D$17," ","")&amp;",")),2000000,IF(IF(OR(Screener!$B$18="All",AND(Screener!$B$18="With A-share",(Database!$BK20="Y")),AND(Screener!$B$18="Without A-share",NOT((Database!$BK20="Y")))),1,0)=0,-999999,IF(Screener!$B$16="cornerstone overlap first",H20*100000,IF(Screener!$B$16="demand-similar first",J20*100000,0))+W_SUB*B20+W_SEC*C20*(1-B20)+W_SIZE*D20+W_PROF*E20+W_AH*F20+W_REC*G20+W_CS*H20+W_PE*I20)))+ROW()/1000000</f>
        <v/>
      </c>
      <c r="AA20">
        <f>Database!B10</f>
        <v/>
      </c>
      <c r="AB20">
        <f>Database!D10</f>
        <v/>
      </c>
      <c r="AC20">
        <f>Database!E10</f>
        <v/>
      </c>
      <c r="AD20">
        <f>Database!I10</f>
        <v/>
      </c>
      <c r="AE20">
        <f>Database!BE10</f>
        <v/>
      </c>
      <c r="AF20">
        <f>Database!BK10</f>
        <v/>
      </c>
      <c r="AG20">
        <f>Database!H10</f>
        <v/>
      </c>
      <c r="AH20">
        <f>Database!BF10</f>
        <v/>
      </c>
    </row>
    <row r="21">
      <c r="A21">
        <f>Database!B21</f>
        <v/>
      </c>
      <c r="B21">
        <f>IF(AND(Screener!$D$8&lt;&gt;"",Database!$E21=Screener!$D$8),1,0)</f>
        <v/>
      </c>
      <c r="C21">
        <f>IF(AND(Screener!$D$7&lt;&gt;"",Database!$D21=Screener!$D$7),1,0)</f>
        <v/>
      </c>
      <c r="D21">
        <f>IF(OR(N(Database!$I21)&lt;=0,N(Screener!$D$9)&lt;=0),0,MAX(0,1-ABS(LOG10(N(Database!$I21)/Screener!$D$9))/W_SIZEHW))</f>
        <v/>
      </c>
      <c r="E21">
        <f>IF(OR(Database!$BE21="",Screener!$D$10=""),0,IF(Database!$BE21=Screener!$D$10,1,0))</f>
        <v/>
      </c>
      <c r="F21">
        <f>IF(OR(Database!$BK21="",Screener!$D$11=""),0,IF(Database!$BK21=Screener!$D$11,1,0))</f>
        <v/>
      </c>
      <c r="G21">
        <f>IF(OR(Database!$H21="",N(Screener!$D$12)&lt;=0),0,MAX(0,1-(N(Screener!$D$12)-Database!$H21)/W_RECD))</f>
        <v/>
      </c>
      <c r="H21">
        <f>IF($U$1="",0,N(ISNUMBER(SEARCH($U$1,Database!$Z21&amp;""))))+IF($V$1="",0,N(ISNUMBER(SEARCH($V$1,Database!$Z21&amp;""))))+IF($W$1="",0,N(ISNUMBER(SEARCH($W$1,Database!$Z21&amp;""))))+IF($X$1="",0,N(ISNUMBER(SEARCH($X$1,Database!$Z21&amp;""))))+IF($Y$1="",0,N(ISNUMBER(SEARCH($Y$1,Database!$Z21&amp;""))))+IF(Screener!$B$17="",0,N(ISNUMBER(SEARCH(LOWER(Screener!$B$17),Database!$Z21&amp;""))))</f>
        <v/>
      </c>
      <c r="I21">
        <f>IF(OR(N(Database!$BF21)&lt;=0,N(Screener!$D$13)&lt;=0),0,MAX(0,1-ABS(LOG10(N(Database!$BF21)/Screener!$D$13))/W_PEHW))</f>
        <v/>
      </c>
      <c r="J21">
        <f>IF(OR(N(Database!$S21)&lt;=0,N(Screener!$D$14)&lt;=0),0,MAX(0,1-ABS(LOG10(Database!$S21/Screener!$D$14))/0.6))</f>
        <v/>
      </c>
      <c r="K21">
        <f>IF(Database!$B21=Screener!$B$5,-999999,IF(ISNUMBER(SEARCH(","&amp;Database!$A21&amp;",",","&amp;SUBSTITUTE(Screener!$D$17," ","")&amp;",")),2000000,IF(IF(OR(Screener!$B$18="All",AND(Screener!$B$18="With A-share",(Database!$BK21="Y")),AND(Screener!$B$18="Without A-share",NOT((Database!$BK21="Y")))),1,0)=0,-999999,IF(Screener!$B$16="cornerstone overlap first",H21*100000,IF(Screener!$B$16="demand-similar first",J21*100000,0))+W_SUB*B21+W_SEC*C21*(1-B21)+W_SIZE*D21+W_PROF*E21+W_AH*F21+W_REC*G21+W_CS*H21+W_PE*I21)))+ROW()/1000000</f>
        <v/>
      </c>
      <c r="AA21">
        <f>Database!B11</f>
        <v/>
      </c>
      <c r="AB21">
        <f>Database!D11</f>
        <v/>
      </c>
      <c r="AC21">
        <f>Database!E11</f>
        <v/>
      </c>
      <c r="AD21">
        <f>Database!I11</f>
        <v/>
      </c>
      <c r="AE21">
        <f>Database!BE11</f>
        <v/>
      </c>
      <c r="AF21">
        <f>Database!BK11</f>
        <v/>
      </c>
      <c r="AG21">
        <f>Database!H11</f>
        <v/>
      </c>
      <c r="AH21">
        <f>Database!BF11</f>
        <v/>
      </c>
    </row>
    <row r="22">
      <c r="A22">
        <f>Database!B22</f>
        <v/>
      </c>
      <c r="B22">
        <f>IF(AND(Screener!$D$8&lt;&gt;"",Database!$E22=Screener!$D$8),1,0)</f>
        <v/>
      </c>
      <c r="C22">
        <f>IF(AND(Screener!$D$7&lt;&gt;"",Database!$D22=Screener!$D$7),1,0)</f>
        <v/>
      </c>
      <c r="D22">
        <f>IF(OR(N(Database!$I22)&lt;=0,N(Screener!$D$9)&lt;=0),0,MAX(0,1-ABS(LOG10(N(Database!$I22)/Screener!$D$9))/W_SIZEHW))</f>
        <v/>
      </c>
      <c r="E22">
        <f>IF(OR(Database!$BE22="",Screener!$D$10=""),0,IF(Database!$BE22=Screener!$D$10,1,0))</f>
        <v/>
      </c>
      <c r="F22">
        <f>IF(OR(Database!$BK22="",Screener!$D$11=""),0,IF(Database!$BK22=Screener!$D$11,1,0))</f>
        <v/>
      </c>
      <c r="G22">
        <f>IF(OR(Database!$H22="",N(Screener!$D$12)&lt;=0),0,MAX(0,1-(N(Screener!$D$12)-Database!$H22)/W_RECD))</f>
        <v/>
      </c>
      <c r="H22">
        <f>IF($U$1="",0,N(ISNUMBER(SEARCH($U$1,Database!$Z22&amp;""))))+IF($V$1="",0,N(ISNUMBER(SEARCH($V$1,Database!$Z22&amp;""))))+IF($W$1="",0,N(ISNUMBER(SEARCH($W$1,Database!$Z22&amp;""))))+IF($X$1="",0,N(ISNUMBER(SEARCH($X$1,Database!$Z22&amp;""))))+IF($Y$1="",0,N(ISNUMBER(SEARCH($Y$1,Database!$Z22&amp;""))))+IF(Screener!$B$17="",0,N(ISNUMBER(SEARCH(LOWER(Screener!$B$17),Database!$Z22&amp;""))))</f>
        <v/>
      </c>
      <c r="I22">
        <f>IF(OR(N(Database!$BF22)&lt;=0,N(Screener!$D$13)&lt;=0),0,MAX(0,1-ABS(LOG10(N(Database!$BF22)/Screener!$D$13))/W_PEHW))</f>
        <v/>
      </c>
      <c r="J22">
        <f>IF(OR(N(Database!$S22)&lt;=0,N(Screener!$D$14)&lt;=0),0,MAX(0,1-ABS(LOG10(Database!$S22/Screener!$D$14))/0.6))</f>
        <v/>
      </c>
      <c r="K22">
        <f>IF(Database!$B22=Screener!$B$5,-999999,IF(ISNUMBER(SEARCH(","&amp;Database!$A22&amp;",",","&amp;SUBSTITUTE(Screener!$D$17," ","")&amp;",")),2000000,IF(IF(OR(Screener!$B$18="All",AND(Screener!$B$18="With A-share",(Database!$BK22="Y")),AND(Screener!$B$18="Without A-share",NOT((Database!$BK22="Y")))),1,0)=0,-999999,IF(Screener!$B$16="cornerstone overlap first",H22*100000,IF(Screener!$B$16="demand-similar first",J22*100000,0))+W_SUB*B22+W_SEC*C22*(1-B22)+W_SIZE*D22+W_PROF*E22+W_AH*F22+W_REC*G22+W_CS*H22+W_PE*I22)))+ROW()/1000000</f>
        <v/>
      </c>
      <c r="AA22">
        <f>Database!B12</f>
        <v/>
      </c>
      <c r="AB22">
        <f>Database!D12</f>
        <v/>
      </c>
      <c r="AC22">
        <f>Database!E12</f>
        <v/>
      </c>
      <c r="AD22">
        <f>Database!I12</f>
        <v/>
      </c>
      <c r="AE22">
        <f>Database!BE12</f>
        <v/>
      </c>
      <c r="AF22">
        <f>Database!BK12</f>
        <v/>
      </c>
      <c r="AG22">
        <f>Database!H12</f>
        <v/>
      </c>
      <c r="AH22">
        <f>Database!BF12</f>
        <v/>
      </c>
    </row>
    <row r="23">
      <c r="A23">
        <f>Database!B23</f>
        <v/>
      </c>
      <c r="B23">
        <f>IF(AND(Screener!$D$8&lt;&gt;"",Database!$E23=Screener!$D$8),1,0)</f>
        <v/>
      </c>
      <c r="C23">
        <f>IF(AND(Screener!$D$7&lt;&gt;"",Database!$D23=Screener!$D$7),1,0)</f>
        <v/>
      </c>
      <c r="D23">
        <f>IF(OR(N(Database!$I23)&lt;=0,N(Screener!$D$9)&lt;=0),0,MAX(0,1-ABS(LOG10(N(Database!$I23)/Screener!$D$9))/W_SIZEHW))</f>
        <v/>
      </c>
      <c r="E23">
        <f>IF(OR(Database!$BE23="",Screener!$D$10=""),0,IF(Database!$BE23=Screener!$D$10,1,0))</f>
        <v/>
      </c>
      <c r="F23">
        <f>IF(OR(Database!$BK23="",Screener!$D$11=""),0,IF(Database!$BK23=Screener!$D$11,1,0))</f>
        <v/>
      </c>
      <c r="G23">
        <f>IF(OR(Database!$H23="",N(Screener!$D$12)&lt;=0),0,MAX(0,1-(N(Screener!$D$12)-Database!$H23)/W_RECD))</f>
        <v/>
      </c>
      <c r="H23">
        <f>IF($U$1="",0,N(ISNUMBER(SEARCH($U$1,Database!$Z23&amp;""))))+IF($V$1="",0,N(ISNUMBER(SEARCH($V$1,Database!$Z23&amp;""))))+IF($W$1="",0,N(ISNUMBER(SEARCH($W$1,Database!$Z23&amp;""))))+IF($X$1="",0,N(ISNUMBER(SEARCH($X$1,Database!$Z23&amp;""))))+IF($Y$1="",0,N(ISNUMBER(SEARCH($Y$1,Database!$Z23&amp;""))))+IF(Screener!$B$17="",0,N(ISNUMBER(SEARCH(LOWER(Screener!$B$17),Database!$Z23&amp;""))))</f>
        <v/>
      </c>
      <c r="I23">
        <f>IF(OR(N(Database!$BF23)&lt;=0,N(Screener!$D$13)&lt;=0),0,MAX(0,1-ABS(LOG10(N(Database!$BF23)/Screener!$D$13))/W_PEHW))</f>
        <v/>
      </c>
      <c r="J23">
        <f>IF(OR(N(Database!$S23)&lt;=0,N(Screener!$D$14)&lt;=0),0,MAX(0,1-ABS(LOG10(Database!$S23/Screener!$D$14))/0.6))</f>
        <v/>
      </c>
      <c r="K23">
        <f>IF(Database!$B23=Screener!$B$5,-999999,IF(ISNUMBER(SEARCH(","&amp;Database!$A23&amp;",",","&amp;SUBSTITUTE(Screener!$D$17," ","")&amp;",")),2000000,IF(IF(OR(Screener!$B$18="All",AND(Screener!$B$18="With A-share",(Database!$BK23="Y")),AND(Screener!$B$18="Without A-share",NOT((Database!$BK23="Y")))),1,0)=0,-999999,IF(Screener!$B$16="cornerstone overlap first",H23*100000,IF(Screener!$B$16="demand-similar first",J23*100000,0))+W_SUB*B23+W_SEC*C23*(1-B23)+W_SIZE*D23+W_PROF*E23+W_AH*F23+W_REC*G23+W_CS*H23+W_PE*I23)))+ROW()/1000000</f>
        <v/>
      </c>
      <c r="AA23">
        <f>Database!B13</f>
        <v/>
      </c>
      <c r="AB23">
        <f>Database!D13</f>
        <v/>
      </c>
      <c r="AC23">
        <f>Database!E13</f>
        <v/>
      </c>
      <c r="AD23">
        <f>Database!I13</f>
        <v/>
      </c>
      <c r="AE23">
        <f>Database!BE13</f>
        <v/>
      </c>
      <c r="AF23">
        <f>Database!BK13</f>
        <v/>
      </c>
      <c r="AG23">
        <f>Database!H13</f>
        <v/>
      </c>
      <c r="AH23">
        <f>Database!BF13</f>
        <v/>
      </c>
    </row>
    <row r="24">
      <c r="A24">
        <f>Database!B24</f>
        <v/>
      </c>
      <c r="B24">
        <f>IF(AND(Screener!$D$8&lt;&gt;"",Database!$E24=Screener!$D$8),1,0)</f>
        <v/>
      </c>
      <c r="C24">
        <f>IF(AND(Screener!$D$7&lt;&gt;"",Database!$D24=Screener!$D$7),1,0)</f>
        <v/>
      </c>
      <c r="D24">
        <f>IF(OR(N(Database!$I24)&lt;=0,N(Screener!$D$9)&lt;=0),0,MAX(0,1-ABS(LOG10(N(Database!$I24)/Screener!$D$9))/W_SIZEHW))</f>
        <v/>
      </c>
      <c r="E24">
        <f>IF(OR(Database!$BE24="",Screener!$D$10=""),0,IF(Database!$BE24=Screener!$D$10,1,0))</f>
        <v/>
      </c>
      <c r="F24">
        <f>IF(OR(Database!$BK24="",Screener!$D$11=""),0,IF(Database!$BK24=Screener!$D$11,1,0))</f>
        <v/>
      </c>
      <c r="G24">
        <f>IF(OR(Database!$H24="",N(Screener!$D$12)&lt;=0),0,MAX(0,1-(N(Screener!$D$12)-Database!$H24)/W_RECD))</f>
        <v/>
      </c>
      <c r="H24">
        <f>IF($U$1="",0,N(ISNUMBER(SEARCH($U$1,Database!$Z24&amp;""))))+IF($V$1="",0,N(ISNUMBER(SEARCH($V$1,Database!$Z24&amp;""))))+IF($W$1="",0,N(ISNUMBER(SEARCH($W$1,Database!$Z24&amp;""))))+IF($X$1="",0,N(ISNUMBER(SEARCH($X$1,Database!$Z24&amp;""))))+IF($Y$1="",0,N(ISNUMBER(SEARCH($Y$1,Database!$Z24&amp;""))))+IF(Screener!$B$17="",0,N(ISNUMBER(SEARCH(LOWER(Screener!$B$17),Database!$Z24&amp;""))))</f>
        <v/>
      </c>
      <c r="I24">
        <f>IF(OR(N(Database!$BF24)&lt;=0,N(Screener!$D$13)&lt;=0),0,MAX(0,1-ABS(LOG10(N(Database!$BF24)/Screener!$D$13))/W_PEHW))</f>
        <v/>
      </c>
      <c r="J24">
        <f>IF(OR(N(Database!$S24)&lt;=0,N(Screener!$D$14)&lt;=0),0,MAX(0,1-ABS(LOG10(Database!$S24/Screener!$D$14))/0.6))</f>
        <v/>
      </c>
      <c r="K24">
        <f>IF(Database!$B24=Screener!$B$5,-999999,IF(ISNUMBER(SEARCH(","&amp;Database!$A24&amp;",",","&amp;SUBSTITUTE(Screener!$D$17," ","")&amp;",")),2000000,IF(IF(OR(Screener!$B$18="All",AND(Screener!$B$18="With A-share",(Database!$BK24="Y")),AND(Screener!$B$18="Without A-share",NOT((Database!$BK24="Y")))),1,0)=0,-999999,IF(Screener!$B$16="cornerstone overlap first",H24*100000,IF(Screener!$B$16="demand-similar first",J24*100000,0))+W_SUB*B24+W_SEC*C24*(1-B24)+W_SIZE*D24+W_PROF*E24+W_AH*F24+W_REC*G24+W_CS*H24+W_PE*I24)))+ROW()/1000000</f>
        <v/>
      </c>
      <c r="AA24">
        <f>Database!B14</f>
        <v/>
      </c>
      <c r="AB24">
        <f>Database!D14</f>
        <v/>
      </c>
      <c r="AC24">
        <f>Database!E14</f>
        <v/>
      </c>
      <c r="AD24">
        <f>Database!I14</f>
        <v/>
      </c>
      <c r="AE24">
        <f>Database!BE14</f>
        <v/>
      </c>
      <c r="AF24">
        <f>Database!BK14</f>
        <v/>
      </c>
      <c r="AG24">
        <f>Database!H14</f>
        <v/>
      </c>
      <c r="AH24">
        <f>Database!BF14</f>
        <v/>
      </c>
    </row>
    <row r="25">
      <c r="A25">
        <f>Database!B25</f>
        <v/>
      </c>
      <c r="B25">
        <f>IF(AND(Screener!$D$8&lt;&gt;"",Database!$E25=Screener!$D$8),1,0)</f>
        <v/>
      </c>
      <c r="C25">
        <f>IF(AND(Screener!$D$7&lt;&gt;"",Database!$D25=Screener!$D$7),1,0)</f>
        <v/>
      </c>
      <c r="D25">
        <f>IF(OR(N(Database!$I25)&lt;=0,N(Screener!$D$9)&lt;=0),0,MAX(0,1-ABS(LOG10(N(Database!$I25)/Screener!$D$9))/W_SIZEHW))</f>
        <v/>
      </c>
      <c r="E25">
        <f>IF(OR(Database!$BE25="",Screener!$D$10=""),0,IF(Database!$BE25=Screener!$D$10,1,0))</f>
        <v/>
      </c>
      <c r="F25">
        <f>IF(OR(Database!$BK25="",Screener!$D$11=""),0,IF(Database!$BK25=Screener!$D$11,1,0))</f>
        <v/>
      </c>
      <c r="G25">
        <f>IF(OR(Database!$H25="",N(Screener!$D$12)&lt;=0),0,MAX(0,1-(N(Screener!$D$12)-Database!$H25)/W_RECD))</f>
        <v/>
      </c>
      <c r="H25">
        <f>IF($U$1="",0,N(ISNUMBER(SEARCH($U$1,Database!$Z25&amp;""))))+IF($V$1="",0,N(ISNUMBER(SEARCH($V$1,Database!$Z25&amp;""))))+IF($W$1="",0,N(ISNUMBER(SEARCH($W$1,Database!$Z25&amp;""))))+IF($X$1="",0,N(ISNUMBER(SEARCH($X$1,Database!$Z25&amp;""))))+IF($Y$1="",0,N(ISNUMBER(SEARCH($Y$1,Database!$Z25&amp;""))))+IF(Screener!$B$17="",0,N(ISNUMBER(SEARCH(LOWER(Screener!$B$17),Database!$Z25&amp;""))))</f>
        <v/>
      </c>
      <c r="I25">
        <f>IF(OR(N(Database!$BF25)&lt;=0,N(Screener!$D$13)&lt;=0),0,MAX(0,1-ABS(LOG10(N(Database!$BF25)/Screener!$D$13))/W_PEHW))</f>
        <v/>
      </c>
      <c r="J25">
        <f>IF(OR(N(Database!$S25)&lt;=0,N(Screener!$D$14)&lt;=0),0,MAX(0,1-ABS(LOG10(Database!$S25/Screener!$D$14))/0.6))</f>
        <v/>
      </c>
      <c r="K25">
        <f>IF(Database!$B25=Screener!$B$5,-999999,IF(ISNUMBER(SEARCH(","&amp;Database!$A25&amp;",",","&amp;SUBSTITUTE(Screener!$D$17," ","")&amp;",")),2000000,IF(IF(OR(Screener!$B$18="All",AND(Screener!$B$18="With A-share",(Database!$BK25="Y")),AND(Screener!$B$18="Without A-share",NOT((Database!$BK25="Y")))),1,0)=0,-999999,IF(Screener!$B$16="cornerstone overlap first",H25*100000,IF(Screener!$B$16="demand-similar first",J25*100000,0))+W_SUB*B25+W_SEC*C25*(1-B25)+W_SIZE*D25+W_PROF*E25+W_AH*F25+W_REC*G25+W_CS*H25+W_PE*I25)))+ROW()/1000000</f>
        <v/>
      </c>
      <c r="AA25">
        <f>Database!B15</f>
        <v/>
      </c>
      <c r="AB25">
        <f>Database!D15</f>
        <v/>
      </c>
      <c r="AC25">
        <f>Database!E15</f>
        <v/>
      </c>
      <c r="AD25">
        <f>Database!I15</f>
        <v/>
      </c>
      <c r="AE25">
        <f>Database!BE15</f>
        <v/>
      </c>
      <c r="AF25">
        <f>Database!BK15</f>
        <v/>
      </c>
      <c r="AG25">
        <f>Database!H15</f>
        <v/>
      </c>
      <c r="AH25">
        <f>Database!BF15</f>
        <v/>
      </c>
    </row>
    <row r="26">
      <c r="A26">
        <f>Database!B26</f>
        <v/>
      </c>
      <c r="B26">
        <f>IF(AND(Screener!$D$8&lt;&gt;"",Database!$E26=Screener!$D$8),1,0)</f>
        <v/>
      </c>
      <c r="C26">
        <f>IF(AND(Screener!$D$7&lt;&gt;"",Database!$D26=Screener!$D$7),1,0)</f>
        <v/>
      </c>
      <c r="D26">
        <f>IF(OR(N(Database!$I26)&lt;=0,N(Screener!$D$9)&lt;=0),0,MAX(0,1-ABS(LOG10(N(Database!$I26)/Screener!$D$9))/W_SIZEHW))</f>
        <v/>
      </c>
      <c r="E26">
        <f>IF(OR(Database!$BE26="",Screener!$D$10=""),0,IF(Database!$BE26=Screener!$D$10,1,0))</f>
        <v/>
      </c>
      <c r="F26">
        <f>IF(OR(Database!$BK26="",Screener!$D$11=""),0,IF(Database!$BK26=Screener!$D$11,1,0))</f>
        <v/>
      </c>
      <c r="G26">
        <f>IF(OR(Database!$H26="",N(Screener!$D$12)&lt;=0),0,MAX(0,1-(N(Screener!$D$12)-Database!$H26)/W_RECD))</f>
        <v/>
      </c>
      <c r="H26">
        <f>IF($U$1="",0,N(ISNUMBER(SEARCH($U$1,Database!$Z26&amp;""))))+IF($V$1="",0,N(ISNUMBER(SEARCH($V$1,Database!$Z26&amp;""))))+IF($W$1="",0,N(ISNUMBER(SEARCH($W$1,Database!$Z26&amp;""))))+IF($X$1="",0,N(ISNUMBER(SEARCH($X$1,Database!$Z26&amp;""))))+IF($Y$1="",0,N(ISNUMBER(SEARCH($Y$1,Database!$Z26&amp;""))))+IF(Screener!$B$17="",0,N(ISNUMBER(SEARCH(LOWER(Screener!$B$17),Database!$Z26&amp;""))))</f>
        <v/>
      </c>
      <c r="I26">
        <f>IF(OR(N(Database!$BF26)&lt;=0,N(Screener!$D$13)&lt;=0),0,MAX(0,1-ABS(LOG10(N(Database!$BF26)/Screener!$D$13))/W_PEHW))</f>
        <v/>
      </c>
      <c r="J26">
        <f>IF(OR(N(Database!$S26)&lt;=0,N(Screener!$D$14)&lt;=0),0,MAX(0,1-ABS(LOG10(Database!$S26/Screener!$D$14))/0.6))</f>
        <v/>
      </c>
      <c r="K26">
        <f>IF(Database!$B26=Screener!$B$5,-999999,IF(ISNUMBER(SEARCH(","&amp;Database!$A26&amp;",",","&amp;SUBSTITUTE(Screener!$D$17," ","")&amp;",")),2000000,IF(IF(OR(Screener!$B$18="All",AND(Screener!$B$18="With A-share",(Database!$BK26="Y")),AND(Screener!$B$18="Without A-share",NOT((Database!$BK26="Y")))),1,0)=0,-999999,IF(Screener!$B$16="cornerstone overlap first",H26*100000,IF(Screener!$B$16="demand-similar first",J26*100000,0))+W_SUB*B26+W_SEC*C26*(1-B26)+W_SIZE*D26+W_PROF*E26+W_AH*F26+W_REC*G26+W_CS*H26+W_PE*I26)))+ROW()/1000000</f>
        <v/>
      </c>
      <c r="AA26">
        <f>Database!B16</f>
        <v/>
      </c>
      <c r="AB26">
        <f>Database!D16</f>
        <v/>
      </c>
      <c r="AC26">
        <f>Database!E16</f>
        <v/>
      </c>
      <c r="AD26">
        <f>Database!I16</f>
        <v/>
      </c>
      <c r="AE26">
        <f>Database!BE16</f>
        <v/>
      </c>
      <c r="AF26">
        <f>Database!BK16</f>
        <v/>
      </c>
      <c r="AG26">
        <f>Database!H16</f>
        <v/>
      </c>
      <c r="AH26">
        <f>Database!BF16</f>
        <v/>
      </c>
    </row>
    <row r="27">
      <c r="A27">
        <f>Database!B27</f>
        <v/>
      </c>
      <c r="B27">
        <f>IF(AND(Screener!$D$8&lt;&gt;"",Database!$E27=Screener!$D$8),1,0)</f>
        <v/>
      </c>
      <c r="C27">
        <f>IF(AND(Screener!$D$7&lt;&gt;"",Database!$D27=Screener!$D$7),1,0)</f>
        <v/>
      </c>
      <c r="D27">
        <f>IF(OR(N(Database!$I27)&lt;=0,N(Screener!$D$9)&lt;=0),0,MAX(0,1-ABS(LOG10(N(Database!$I27)/Screener!$D$9))/W_SIZEHW))</f>
        <v/>
      </c>
      <c r="E27">
        <f>IF(OR(Database!$BE27="",Screener!$D$10=""),0,IF(Database!$BE27=Screener!$D$10,1,0))</f>
        <v/>
      </c>
      <c r="F27">
        <f>IF(OR(Database!$BK27="",Screener!$D$11=""),0,IF(Database!$BK27=Screener!$D$11,1,0))</f>
        <v/>
      </c>
      <c r="G27">
        <f>IF(OR(Database!$H27="",N(Screener!$D$12)&lt;=0),0,MAX(0,1-(N(Screener!$D$12)-Database!$H27)/W_RECD))</f>
        <v/>
      </c>
      <c r="H27">
        <f>IF($U$1="",0,N(ISNUMBER(SEARCH($U$1,Database!$Z27&amp;""))))+IF($V$1="",0,N(ISNUMBER(SEARCH($V$1,Database!$Z27&amp;""))))+IF($W$1="",0,N(ISNUMBER(SEARCH($W$1,Database!$Z27&amp;""))))+IF($X$1="",0,N(ISNUMBER(SEARCH($X$1,Database!$Z27&amp;""))))+IF($Y$1="",0,N(ISNUMBER(SEARCH($Y$1,Database!$Z27&amp;""))))+IF(Screener!$B$17="",0,N(ISNUMBER(SEARCH(LOWER(Screener!$B$17),Database!$Z27&amp;""))))</f>
        <v/>
      </c>
      <c r="I27">
        <f>IF(OR(N(Database!$BF27)&lt;=0,N(Screener!$D$13)&lt;=0),0,MAX(0,1-ABS(LOG10(N(Database!$BF27)/Screener!$D$13))/W_PEHW))</f>
        <v/>
      </c>
      <c r="J27">
        <f>IF(OR(N(Database!$S27)&lt;=0,N(Screener!$D$14)&lt;=0),0,MAX(0,1-ABS(LOG10(Database!$S27/Screener!$D$14))/0.6))</f>
        <v/>
      </c>
      <c r="K27">
        <f>IF(Database!$B27=Screener!$B$5,-999999,IF(ISNUMBER(SEARCH(","&amp;Database!$A27&amp;",",","&amp;SUBSTITUTE(Screener!$D$17," ","")&amp;",")),2000000,IF(IF(OR(Screener!$B$18="All",AND(Screener!$B$18="With A-share",(Database!$BK27="Y")),AND(Screener!$B$18="Without A-share",NOT((Database!$BK27="Y")))),1,0)=0,-999999,IF(Screener!$B$16="cornerstone overlap first",H27*100000,IF(Screener!$B$16="demand-similar first",J27*100000,0))+W_SUB*B27+W_SEC*C27*(1-B27)+W_SIZE*D27+W_PROF*E27+W_AH*F27+W_REC*G27+W_CS*H27+W_PE*I27)))+ROW()/1000000</f>
        <v/>
      </c>
      <c r="AA27">
        <f>Database!B17</f>
        <v/>
      </c>
      <c r="AB27">
        <f>Database!D17</f>
        <v/>
      </c>
      <c r="AC27">
        <f>Database!E17</f>
        <v/>
      </c>
      <c r="AD27">
        <f>Database!I17</f>
        <v/>
      </c>
      <c r="AE27">
        <f>Database!BE17</f>
        <v/>
      </c>
      <c r="AF27">
        <f>Database!BK17</f>
        <v/>
      </c>
      <c r="AG27">
        <f>Database!H17</f>
        <v/>
      </c>
      <c r="AH27">
        <f>Database!BF17</f>
        <v/>
      </c>
    </row>
    <row r="28">
      <c r="A28">
        <f>Database!B28</f>
        <v/>
      </c>
      <c r="B28">
        <f>IF(AND(Screener!$D$8&lt;&gt;"",Database!$E28=Screener!$D$8),1,0)</f>
        <v/>
      </c>
      <c r="C28">
        <f>IF(AND(Screener!$D$7&lt;&gt;"",Database!$D28=Screener!$D$7),1,0)</f>
        <v/>
      </c>
      <c r="D28">
        <f>IF(OR(N(Database!$I28)&lt;=0,N(Screener!$D$9)&lt;=0),0,MAX(0,1-ABS(LOG10(N(Database!$I28)/Screener!$D$9))/W_SIZEHW))</f>
        <v/>
      </c>
      <c r="E28">
        <f>IF(OR(Database!$BE28="",Screener!$D$10=""),0,IF(Database!$BE28=Screener!$D$10,1,0))</f>
        <v/>
      </c>
      <c r="F28">
        <f>IF(OR(Database!$BK28="",Screener!$D$11=""),0,IF(Database!$BK28=Screener!$D$11,1,0))</f>
        <v/>
      </c>
      <c r="G28">
        <f>IF(OR(Database!$H28="",N(Screener!$D$12)&lt;=0),0,MAX(0,1-(N(Screener!$D$12)-Database!$H28)/W_RECD))</f>
        <v/>
      </c>
      <c r="H28">
        <f>IF($U$1="",0,N(ISNUMBER(SEARCH($U$1,Database!$Z28&amp;""))))+IF($V$1="",0,N(ISNUMBER(SEARCH($V$1,Database!$Z28&amp;""))))+IF($W$1="",0,N(ISNUMBER(SEARCH($W$1,Database!$Z28&amp;""))))+IF($X$1="",0,N(ISNUMBER(SEARCH($X$1,Database!$Z28&amp;""))))+IF($Y$1="",0,N(ISNUMBER(SEARCH($Y$1,Database!$Z28&amp;""))))+IF(Screener!$B$17="",0,N(ISNUMBER(SEARCH(LOWER(Screener!$B$17),Database!$Z28&amp;""))))</f>
        <v/>
      </c>
      <c r="I28">
        <f>IF(OR(N(Database!$BF28)&lt;=0,N(Screener!$D$13)&lt;=0),0,MAX(0,1-ABS(LOG10(N(Database!$BF28)/Screener!$D$13))/W_PEHW))</f>
        <v/>
      </c>
      <c r="J28">
        <f>IF(OR(N(Database!$S28)&lt;=0,N(Screener!$D$14)&lt;=0),0,MAX(0,1-ABS(LOG10(Database!$S28/Screener!$D$14))/0.6))</f>
        <v/>
      </c>
      <c r="K28">
        <f>IF(Database!$B28=Screener!$B$5,-999999,IF(ISNUMBER(SEARCH(","&amp;Database!$A28&amp;",",","&amp;SUBSTITUTE(Screener!$D$17," ","")&amp;",")),2000000,IF(IF(OR(Screener!$B$18="All",AND(Screener!$B$18="With A-share",(Database!$BK28="Y")),AND(Screener!$B$18="Without A-share",NOT((Database!$BK28="Y")))),1,0)=0,-999999,IF(Screener!$B$16="cornerstone overlap first",H28*100000,IF(Screener!$B$16="demand-similar first",J28*100000,0))+W_SUB*B28+W_SEC*C28*(1-B28)+W_SIZE*D28+W_PROF*E28+W_AH*F28+W_REC*G28+W_CS*H28+W_PE*I28)))+ROW()/1000000</f>
        <v/>
      </c>
      <c r="AA28">
        <f>Database!B18</f>
        <v/>
      </c>
      <c r="AB28">
        <f>Database!D18</f>
        <v/>
      </c>
      <c r="AC28">
        <f>Database!E18</f>
        <v/>
      </c>
      <c r="AD28">
        <f>Database!I18</f>
        <v/>
      </c>
      <c r="AE28">
        <f>Database!BE18</f>
        <v/>
      </c>
      <c r="AF28">
        <f>Database!BK18</f>
        <v/>
      </c>
      <c r="AG28">
        <f>Database!H18</f>
        <v/>
      </c>
      <c r="AH28">
        <f>Database!BF18</f>
        <v/>
      </c>
    </row>
    <row r="29">
      <c r="A29">
        <f>Database!B29</f>
        <v/>
      </c>
      <c r="B29">
        <f>IF(AND(Screener!$D$8&lt;&gt;"",Database!$E29=Screener!$D$8),1,0)</f>
        <v/>
      </c>
      <c r="C29">
        <f>IF(AND(Screener!$D$7&lt;&gt;"",Database!$D29=Screener!$D$7),1,0)</f>
        <v/>
      </c>
      <c r="D29">
        <f>IF(OR(N(Database!$I29)&lt;=0,N(Screener!$D$9)&lt;=0),0,MAX(0,1-ABS(LOG10(N(Database!$I29)/Screener!$D$9))/W_SIZEHW))</f>
        <v/>
      </c>
      <c r="E29">
        <f>IF(OR(Database!$BE29="",Screener!$D$10=""),0,IF(Database!$BE29=Screener!$D$10,1,0))</f>
        <v/>
      </c>
      <c r="F29">
        <f>IF(OR(Database!$BK29="",Screener!$D$11=""),0,IF(Database!$BK29=Screener!$D$11,1,0))</f>
        <v/>
      </c>
      <c r="G29">
        <f>IF(OR(Database!$H29="",N(Screener!$D$12)&lt;=0),0,MAX(0,1-(N(Screener!$D$12)-Database!$H29)/W_RECD))</f>
        <v/>
      </c>
      <c r="H29">
        <f>IF($U$1="",0,N(ISNUMBER(SEARCH($U$1,Database!$Z29&amp;""))))+IF($V$1="",0,N(ISNUMBER(SEARCH($V$1,Database!$Z29&amp;""))))+IF($W$1="",0,N(ISNUMBER(SEARCH($W$1,Database!$Z29&amp;""))))+IF($X$1="",0,N(ISNUMBER(SEARCH($X$1,Database!$Z29&amp;""))))+IF($Y$1="",0,N(ISNUMBER(SEARCH($Y$1,Database!$Z29&amp;""))))+IF(Screener!$B$17="",0,N(ISNUMBER(SEARCH(LOWER(Screener!$B$17),Database!$Z29&amp;""))))</f>
        <v/>
      </c>
      <c r="I29">
        <f>IF(OR(N(Database!$BF29)&lt;=0,N(Screener!$D$13)&lt;=0),0,MAX(0,1-ABS(LOG10(N(Database!$BF29)/Screener!$D$13))/W_PEHW))</f>
        <v/>
      </c>
      <c r="J29">
        <f>IF(OR(N(Database!$S29)&lt;=0,N(Screener!$D$14)&lt;=0),0,MAX(0,1-ABS(LOG10(Database!$S29/Screener!$D$14))/0.6))</f>
        <v/>
      </c>
      <c r="K29">
        <f>IF(Database!$B29=Screener!$B$5,-999999,IF(ISNUMBER(SEARCH(","&amp;Database!$A29&amp;",",","&amp;SUBSTITUTE(Screener!$D$17," ","")&amp;",")),2000000,IF(IF(OR(Screener!$B$18="All",AND(Screener!$B$18="With A-share",(Database!$BK29="Y")),AND(Screener!$B$18="Without A-share",NOT((Database!$BK29="Y")))),1,0)=0,-999999,IF(Screener!$B$16="cornerstone overlap first",H29*100000,IF(Screener!$B$16="demand-similar first",J29*100000,0))+W_SUB*B29+W_SEC*C29*(1-B29)+W_SIZE*D29+W_PROF*E29+W_AH*F29+W_REC*G29+W_CS*H29+W_PE*I29)))+ROW()/1000000</f>
        <v/>
      </c>
      <c r="AA29">
        <f>Database!B19</f>
        <v/>
      </c>
      <c r="AB29">
        <f>Database!D19</f>
        <v/>
      </c>
      <c r="AC29">
        <f>Database!E19</f>
        <v/>
      </c>
      <c r="AD29">
        <f>Database!I19</f>
        <v/>
      </c>
      <c r="AE29">
        <f>Database!BE19</f>
        <v/>
      </c>
      <c r="AF29">
        <f>Database!BK19</f>
        <v/>
      </c>
      <c r="AG29">
        <f>Database!H19</f>
        <v/>
      </c>
      <c r="AH29">
        <f>Database!BF19</f>
        <v/>
      </c>
    </row>
    <row r="30">
      <c r="A30">
        <f>Database!B30</f>
        <v/>
      </c>
      <c r="B30">
        <f>IF(AND(Screener!$D$8&lt;&gt;"",Database!$E30=Screener!$D$8),1,0)</f>
        <v/>
      </c>
      <c r="C30">
        <f>IF(AND(Screener!$D$7&lt;&gt;"",Database!$D30=Screener!$D$7),1,0)</f>
        <v/>
      </c>
      <c r="D30">
        <f>IF(OR(N(Database!$I30)&lt;=0,N(Screener!$D$9)&lt;=0),0,MAX(0,1-ABS(LOG10(N(Database!$I30)/Screener!$D$9))/W_SIZEHW))</f>
        <v/>
      </c>
      <c r="E30">
        <f>IF(OR(Database!$BE30="",Screener!$D$10=""),0,IF(Database!$BE30=Screener!$D$10,1,0))</f>
        <v/>
      </c>
      <c r="F30">
        <f>IF(OR(Database!$BK30="",Screener!$D$11=""),0,IF(Database!$BK30=Screener!$D$11,1,0))</f>
        <v/>
      </c>
      <c r="G30">
        <f>IF(OR(Database!$H30="",N(Screener!$D$12)&lt;=0),0,MAX(0,1-(N(Screener!$D$12)-Database!$H30)/W_RECD))</f>
        <v/>
      </c>
      <c r="H30">
        <f>IF($U$1="",0,N(ISNUMBER(SEARCH($U$1,Database!$Z30&amp;""))))+IF($V$1="",0,N(ISNUMBER(SEARCH($V$1,Database!$Z30&amp;""))))+IF($W$1="",0,N(ISNUMBER(SEARCH($W$1,Database!$Z30&amp;""))))+IF($X$1="",0,N(ISNUMBER(SEARCH($X$1,Database!$Z30&amp;""))))+IF($Y$1="",0,N(ISNUMBER(SEARCH($Y$1,Database!$Z30&amp;""))))+IF(Screener!$B$17="",0,N(ISNUMBER(SEARCH(LOWER(Screener!$B$17),Database!$Z30&amp;""))))</f>
        <v/>
      </c>
      <c r="I30">
        <f>IF(OR(N(Database!$BF30)&lt;=0,N(Screener!$D$13)&lt;=0),0,MAX(0,1-ABS(LOG10(N(Database!$BF30)/Screener!$D$13))/W_PEHW))</f>
        <v/>
      </c>
      <c r="J30">
        <f>IF(OR(N(Database!$S30)&lt;=0,N(Screener!$D$14)&lt;=0),0,MAX(0,1-ABS(LOG10(Database!$S30/Screener!$D$14))/0.6))</f>
        <v/>
      </c>
      <c r="K30">
        <f>IF(Database!$B30=Screener!$B$5,-999999,IF(ISNUMBER(SEARCH(","&amp;Database!$A30&amp;",",","&amp;SUBSTITUTE(Screener!$D$17," ","")&amp;",")),2000000,IF(IF(OR(Screener!$B$18="All",AND(Screener!$B$18="With A-share",(Database!$BK30="Y")),AND(Screener!$B$18="Without A-share",NOT((Database!$BK30="Y")))),1,0)=0,-999999,IF(Screener!$B$16="cornerstone overlap first",H30*100000,IF(Screener!$B$16="demand-similar first",J30*100000,0))+W_SUB*B30+W_SEC*C30*(1-B30)+W_SIZE*D30+W_PROF*E30+W_AH*F30+W_REC*G30+W_CS*H30+W_PE*I30)))+ROW()/1000000</f>
        <v/>
      </c>
      <c r="AA30">
        <f>Database!B20</f>
        <v/>
      </c>
      <c r="AB30">
        <f>Database!D20</f>
        <v/>
      </c>
      <c r="AC30">
        <f>Database!E20</f>
        <v/>
      </c>
      <c r="AD30">
        <f>Database!I20</f>
        <v/>
      </c>
      <c r="AE30">
        <f>Database!BE20</f>
        <v/>
      </c>
      <c r="AF30">
        <f>Database!BK20</f>
        <v/>
      </c>
      <c r="AG30">
        <f>Database!H20</f>
        <v/>
      </c>
      <c r="AH30">
        <f>Database!BF20</f>
        <v/>
      </c>
    </row>
    <row r="31">
      <c r="A31">
        <f>Database!B31</f>
        <v/>
      </c>
      <c r="B31">
        <f>IF(AND(Screener!$D$8&lt;&gt;"",Database!$E31=Screener!$D$8),1,0)</f>
        <v/>
      </c>
      <c r="C31">
        <f>IF(AND(Screener!$D$7&lt;&gt;"",Database!$D31=Screener!$D$7),1,0)</f>
        <v/>
      </c>
      <c r="D31">
        <f>IF(OR(N(Database!$I31)&lt;=0,N(Screener!$D$9)&lt;=0),0,MAX(0,1-ABS(LOG10(N(Database!$I31)/Screener!$D$9))/W_SIZEHW))</f>
        <v/>
      </c>
      <c r="E31">
        <f>IF(OR(Database!$BE31="",Screener!$D$10=""),0,IF(Database!$BE31=Screener!$D$10,1,0))</f>
        <v/>
      </c>
      <c r="F31">
        <f>IF(OR(Database!$BK31="",Screener!$D$11=""),0,IF(Database!$BK31=Screener!$D$11,1,0))</f>
        <v/>
      </c>
      <c r="G31">
        <f>IF(OR(Database!$H31="",N(Screener!$D$12)&lt;=0),0,MAX(0,1-(N(Screener!$D$12)-Database!$H31)/W_RECD))</f>
        <v/>
      </c>
      <c r="H31">
        <f>IF($U$1="",0,N(ISNUMBER(SEARCH($U$1,Database!$Z31&amp;""))))+IF($V$1="",0,N(ISNUMBER(SEARCH($V$1,Database!$Z31&amp;""))))+IF($W$1="",0,N(ISNUMBER(SEARCH($W$1,Database!$Z31&amp;""))))+IF($X$1="",0,N(ISNUMBER(SEARCH($X$1,Database!$Z31&amp;""))))+IF($Y$1="",0,N(ISNUMBER(SEARCH($Y$1,Database!$Z31&amp;""))))+IF(Screener!$B$17="",0,N(ISNUMBER(SEARCH(LOWER(Screener!$B$17),Database!$Z31&amp;""))))</f>
        <v/>
      </c>
      <c r="I31">
        <f>IF(OR(N(Database!$BF31)&lt;=0,N(Screener!$D$13)&lt;=0),0,MAX(0,1-ABS(LOG10(N(Database!$BF31)/Screener!$D$13))/W_PEHW))</f>
        <v/>
      </c>
      <c r="J31">
        <f>IF(OR(N(Database!$S31)&lt;=0,N(Screener!$D$14)&lt;=0),0,MAX(0,1-ABS(LOG10(Database!$S31/Screener!$D$14))/0.6))</f>
        <v/>
      </c>
      <c r="K31">
        <f>IF(Database!$B31=Screener!$B$5,-999999,IF(ISNUMBER(SEARCH(","&amp;Database!$A31&amp;",",","&amp;SUBSTITUTE(Screener!$D$17," ","")&amp;",")),2000000,IF(IF(OR(Screener!$B$18="All",AND(Screener!$B$18="With A-share",(Database!$BK31="Y")),AND(Screener!$B$18="Without A-share",NOT((Database!$BK31="Y")))),1,0)=0,-999999,IF(Screener!$B$16="cornerstone overlap first",H31*100000,IF(Screener!$B$16="demand-similar first",J31*100000,0))+W_SUB*B31+W_SEC*C31*(1-B31)+W_SIZE*D31+W_PROF*E31+W_AH*F31+W_REC*G31+W_CS*H31+W_PE*I31)))+ROW()/1000000</f>
        <v/>
      </c>
      <c r="AA31">
        <f>Database!B21</f>
        <v/>
      </c>
      <c r="AB31">
        <f>Database!D21</f>
        <v/>
      </c>
      <c r="AC31">
        <f>Database!E21</f>
        <v/>
      </c>
      <c r="AD31">
        <f>Database!I21</f>
        <v/>
      </c>
      <c r="AE31">
        <f>Database!BE21</f>
        <v/>
      </c>
      <c r="AF31">
        <f>Database!BK21</f>
        <v/>
      </c>
      <c r="AG31">
        <f>Database!H21</f>
        <v/>
      </c>
      <c r="AH31">
        <f>Database!BF21</f>
        <v/>
      </c>
    </row>
    <row r="32">
      <c r="A32">
        <f>Database!B32</f>
        <v/>
      </c>
      <c r="B32">
        <f>IF(AND(Screener!$D$8&lt;&gt;"",Database!$E32=Screener!$D$8),1,0)</f>
        <v/>
      </c>
      <c r="C32">
        <f>IF(AND(Screener!$D$7&lt;&gt;"",Database!$D32=Screener!$D$7),1,0)</f>
        <v/>
      </c>
      <c r="D32">
        <f>IF(OR(N(Database!$I32)&lt;=0,N(Screener!$D$9)&lt;=0),0,MAX(0,1-ABS(LOG10(N(Database!$I32)/Screener!$D$9))/W_SIZEHW))</f>
        <v/>
      </c>
      <c r="E32">
        <f>IF(OR(Database!$BE32="",Screener!$D$10=""),0,IF(Database!$BE32=Screener!$D$10,1,0))</f>
        <v/>
      </c>
      <c r="F32">
        <f>IF(OR(Database!$BK32="",Screener!$D$11=""),0,IF(Database!$BK32=Screener!$D$11,1,0))</f>
        <v/>
      </c>
      <c r="G32">
        <f>IF(OR(Database!$H32="",N(Screener!$D$12)&lt;=0),0,MAX(0,1-(N(Screener!$D$12)-Database!$H32)/W_RECD))</f>
        <v/>
      </c>
      <c r="H32">
        <f>IF($U$1="",0,N(ISNUMBER(SEARCH($U$1,Database!$Z32&amp;""))))+IF($V$1="",0,N(ISNUMBER(SEARCH($V$1,Database!$Z32&amp;""))))+IF($W$1="",0,N(ISNUMBER(SEARCH($W$1,Database!$Z32&amp;""))))+IF($X$1="",0,N(ISNUMBER(SEARCH($X$1,Database!$Z32&amp;""))))+IF($Y$1="",0,N(ISNUMBER(SEARCH($Y$1,Database!$Z32&amp;""))))+IF(Screener!$B$17="",0,N(ISNUMBER(SEARCH(LOWER(Screener!$B$17),Database!$Z32&amp;""))))</f>
        <v/>
      </c>
      <c r="I32">
        <f>IF(OR(N(Database!$BF32)&lt;=0,N(Screener!$D$13)&lt;=0),0,MAX(0,1-ABS(LOG10(N(Database!$BF32)/Screener!$D$13))/W_PEHW))</f>
        <v/>
      </c>
      <c r="J32">
        <f>IF(OR(N(Database!$S32)&lt;=0,N(Screener!$D$14)&lt;=0),0,MAX(0,1-ABS(LOG10(Database!$S32/Screener!$D$14))/0.6))</f>
        <v/>
      </c>
      <c r="K32">
        <f>IF(Database!$B32=Screener!$B$5,-999999,IF(ISNUMBER(SEARCH(","&amp;Database!$A32&amp;",",","&amp;SUBSTITUTE(Screener!$D$17," ","")&amp;",")),2000000,IF(IF(OR(Screener!$B$18="All",AND(Screener!$B$18="With A-share",(Database!$BK32="Y")),AND(Screener!$B$18="Without A-share",NOT((Database!$BK32="Y")))),1,0)=0,-999999,IF(Screener!$B$16="cornerstone overlap first",H32*100000,IF(Screener!$B$16="demand-similar first",J32*100000,0))+W_SUB*B32+W_SEC*C32*(1-B32)+W_SIZE*D32+W_PROF*E32+W_AH*F32+W_REC*G32+W_CS*H32+W_PE*I32)))+ROW()/1000000</f>
        <v/>
      </c>
      <c r="AA32">
        <f>Database!B22</f>
        <v/>
      </c>
      <c r="AB32">
        <f>Database!D22</f>
        <v/>
      </c>
      <c r="AC32">
        <f>Database!E22</f>
        <v/>
      </c>
      <c r="AD32">
        <f>Database!I22</f>
        <v/>
      </c>
      <c r="AE32">
        <f>Database!BE22</f>
        <v/>
      </c>
      <c r="AF32">
        <f>Database!BK22</f>
        <v/>
      </c>
      <c r="AG32">
        <f>Database!H22</f>
        <v/>
      </c>
      <c r="AH32">
        <f>Database!BF22</f>
        <v/>
      </c>
    </row>
    <row r="33">
      <c r="A33">
        <f>Database!B33</f>
        <v/>
      </c>
      <c r="B33">
        <f>IF(AND(Screener!$D$8&lt;&gt;"",Database!$E33=Screener!$D$8),1,0)</f>
        <v/>
      </c>
      <c r="C33">
        <f>IF(AND(Screener!$D$7&lt;&gt;"",Database!$D33=Screener!$D$7),1,0)</f>
        <v/>
      </c>
      <c r="D33">
        <f>IF(OR(N(Database!$I33)&lt;=0,N(Screener!$D$9)&lt;=0),0,MAX(0,1-ABS(LOG10(N(Database!$I33)/Screener!$D$9))/W_SIZEHW))</f>
        <v/>
      </c>
      <c r="E33">
        <f>IF(OR(Database!$BE33="",Screener!$D$10=""),0,IF(Database!$BE33=Screener!$D$10,1,0))</f>
        <v/>
      </c>
      <c r="F33">
        <f>IF(OR(Database!$BK33="",Screener!$D$11=""),0,IF(Database!$BK33=Screener!$D$11,1,0))</f>
        <v/>
      </c>
      <c r="G33">
        <f>IF(OR(Database!$H33="",N(Screener!$D$12)&lt;=0),0,MAX(0,1-(N(Screener!$D$12)-Database!$H33)/W_RECD))</f>
        <v/>
      </c>
      <c r="H33">
        <f>IF($U$1="",0,N(ISNUMBER(SEARCH($U$1,Database!$Z33&amp;""))))+IF($V$1="",0,N(ISNUMBER(SEARCH($V$1,Database!$Z33&amp;""))))+IF($W$1="",0,N(ISNUMBER(SEARCH($W$1,Database!$Z33&amp;""))))+IF($X$1="",0,N(ISNUMBER(SEARCH($X$1,Database!$Z33&amp;""))))+IF($Y$1="",0,N(ISNUMBER(SEARCH($Y$1,Database!$Z33&amp;""))))+IF(Screener!$B$17="",0,N(ISNUMBER(SEARCH(LOWER(Screener!$B$17),Database!$Z33&amp;""))))</f>
        <v/>
      </c>
      <c r="I33">
        <f>IF(OR(N(Database!$BF33)&lt;=0,N(Screener!$D$13)&lt;=0),0,MAX(0,1-ABS(LOG10(N(Database!$BF33)/Screener!$D$13))/W_PEHW))</f>
        <v/>
      </c>
      <c r="J33">
        <f>IF(OR(N(Database!$S33)&lt;=0,N(Screener!$D$14)&lt;=0),0,MAX(0,1-ABS(LOG10(Database!$S33/Screener!$D$14))/0.6))</f>
        <v/>
      </c>
      <c r="K33">
        <f>IF(Database!$B33=Screener!$B$5,-999999,IF(ISNUMBER(SEARCH(","&amp;Database!$A33&amp;",",","&amp;SUBSTITUTE(Screener!$D$17," ","")&amp;",")),2000000,IF(IF(OR(Screener!$B$18="All",AND(Screener!$B$18="With A-share",(Database!$BK33="Y")),AND(Screener!$B$18="Without A-share",NOT((Database!$BK33="Y")))),1,0)=0,-999999,IF(Screener!$B$16="cornerstone overlap first",H33*100000,IF(Screener!$B$16="demand-similar first",J33*100000,0))+W_SUB*B33+W_SEC*C33*(1-B33)+W_SIZE*D33+W_PROF*E33+W_AH*F33+W_REC*G33+W_CS*H33+W_PE*I33)))+ROW()/1000000</f>
        <v/>
      </c>
      <c r="AA33">
        <f>Database!B23</f>
        <v/>
      </c>
      <c r="AB33">
        <f>Database!D23</f>
        <v/>
      </c>
      <c r="AC33">
        <f>Database!E23</f>
        <v/>
      </c>
      <c r="AD33">
        <f>Database!I23</f>
        <v/>
      </c>
      <c r="AE33">
        <f>Database!BE23</f>
        <v/>
      </c>
      <c r="AF33">
        <f>Database!BK23</f>
        <v/>
      </c>
      <c r="AG33">
        <f>Database!H23</f>
        <v/>
      </c>
      <c r="AH33">
        <f>Database!BF23</f>
        <v/>
      </c>
    </row>
    <row r="34">
      <c r="A34">
        <f>Database!B34</f>
        <v/>
      </c>
      <c r="B34">
        <f>IF(AND(Screener!$D$8&lt;&gt;"",Database!$E34=Screener!$D$8),1,0)</f>
        <v/>
      </c>
      <c r="C34">
        <f>IF(AND(Screener!$D$7&lt;&gt;"",Database!$D34=Screener!$D$7),1,0)</f>
        <v/>
      </c>
      <c r="D34">
        <f>IF(OR(N(Database!$I34)&lt;=0,N(Screener!$D$9)&lt;=0),0,MAX(0,1-ABS(LOG10(N(Database!$I34)/Screener!$D$9))/W_SIZEHW))</f>
        <v/>
      </c>
      <c r="E34">
        <f>IF(OR(Database!$BE34="",Screener!$D$10=""),0,IF(Database!$BE34=Screener!$D$10,1,0))</f>
        <v/>
      </c>
      <c r="F34">
        <f>IF(OR(Database!$BK34="",Screener!$D$11=""),0,IF(Database!$BK34=Screener!$D$11,1,0))</f>
        <v/>
      </c>
      <c r="G34">
        <f>IF(OR(Database!$H34="",N(Screener!$D$12)&lt;=0),0,MAX(0,1-(N(Screener!$D$12)-Database!$H34)/W_RECD))</f>
        <v/>
      </c>
      <c r="H34">
        <f>IF($U$1="",0,N(ISNUMBER(SEARCH($U$1,Database!$Z34&amp;""))))+IF($V$1="",0,N(ISNUMBER(SEARCH($V$1,Database!$Z34&amp;""))))+IF($W$1="",0,N(ISNUMBER(SEARCH($W$1,Database!$Z34&amp;""))))+IF($X$1="",0,N(ISNUMBER(SEARCH($X$1,Database!$Z34&amp;""))))+IF($Y$1="",0,N(ISNUMBER(SEARCH($Y$1,Database!$Z34&amp;""))))+IF(Screener!$B$17="",0,N(ISNUMBER(SEARCH(LOWER(Screener!$B$17),Database!$Z34&amp;""))))</f>
        <v/>
      </c>
      <c r="I34">
        <f>IF(OR(N(Database!$BF34)&lt;=0,N(Screener!$D$13)&lt;=0),0,MAX(0,1-ABS(LOG10(N(Database!$BF34)/Screener!$D$13))/W_PEHW))</f>
        <v/>
      </c>
      <c r="J34">
        <f>IF(OR(N(Database!$S34)&lt;=0,N(Screener!$D$14)&lt;=0),0,MAX(0,1-ABS(LOG10(Database!$S34/Screener!$D$14))/0.6))</f>
        <v/>
      </c>
      <c r="K34">
        <f>IF(Database!$B34=Screener!$B$5,-999999,IF(ISNUMBER(SEARCH(","&amp;Database!$A34&amp;",",","&amp;SUBSTITUTE(Screener!$D$17," ","")&amp;",")),2000000,IF(IF(OR(Screener!$B$18="All",AND(Screener!$B$18="With A-share",(Database!$BK34="Y")),AND(Screener!$B$18="Without A-share",NOT((Database!$BK34="Y")))),1,0)=0,-999999,IF(Screener!$B$16="cornerstone overlap first",H34*100000,IF(Screener!$B$16="demand-similar first",J34*100000,0))+W_SUB*B34+W_SEC*C34*(1-B34)+W_SIZE*D34+W_PROF*E34+W_AH*F34+W_REC*G34+W_CS*H34+W_PE*I34)))+ROW()/1000000</f>
        <v/>
      </c>
      <c r="AA34">
        <f>Database!B24</f>
        <v/>
      </c>
      <c r="AB34">
        <f>Database!D24</f>
        <v/>
      </c>
      <c r="AC34">
        <f>Database!E24</f>
        <v/>
      </c>
      <c r="AD34">
        <f>Database!I24</f>
        <v/>
      </c>
      <c r="AE34">
        <f>Database!BE24</f>
        <v/>
      </c>
      <c r="AF34">
        <f>Database!BK24</f>
        <v/>
      </c>
      <c r="AG34">
        <f>Database!H24</f>
        <v/>
      </c>
      <c r="AH34">
        <f>Database!BF24</f>
        <v/>
      </c>
    </row>
    <row r="35">
      <c r="A35">
        <f>Database!B35</f>
        <v/>
      </c>
      <c r="B35">
        <f>IF(AND(Screener!$D$8&lt;&gt;"",Database!$E35=Screener!$D$8),1,0)</f>
        <v/>
      </c>
      <c r="C35">
        <f>IF(AND(Screener!$D$7&lt;&gt;"",Database!$D35=Screener!$D$7),1,0)</f>
        <v/>
      </c>
      <c r="D35">
        <f>IF(OR(N(Database!$I35)&lt;=0,N(Screener!$D$9)&lt;=0),0,MAX(0,1-ABS(LOG10(N(Database!$I35)/Screener!$D$9))/W_SIZEHW))</f>
        <v/>
      </c>
      <c r="E35">
        <f>IF(OR(Database!$BE35="",Screener!$D$10=""),0,IF(Database!$BE35=Screener!$D$10,1,0))</f>
        <v/>
      </c>
      <c r="F35">
        <f>IF(OR(Database!$BK35="",Screener!$D$11=""),0,IF(Database!$BK35=Screener!$D$11,1,0))</f>
        <v/>
      </c>
      <c r="G35">
        <f>IF(OR(Database!$H35="",N(Screener!$D$12)&lt;=0),0,MAX(0,1-(N(Screener!$D$12)-Database!$H35)/W_RECD))</f>
        <v/>
      </c>
      <c r="H35">
        <f>IF($U$1="",0,N(ISNUMBER(SEARCH($U$1,Database!$Z35&amp;""))))+IF($V$1="",0,N(ISNUMBER(SEARCH($V$1,Database!$Z35&amp;""))))+IF($W$1="",0,N(ISNUMBER(SEARCH($W$1,Database!$Z35&amp;""))))+IF($X$1="",0,N(ISNUMBER(SEARCH($X$1,Database!$Z35&amp;""))))+IF($Y$1="",0,N(ISNUMBER(SEARCH($Y$1,Database!$Z35&amp;""))))+IF(Screener!$B$17="",0,N(ISNUMBER(SEARCH(LOWER(Screener!$B$17),Database!$Z35&amp;""))))</f>
        <v/>
      </c>
      <c r="I35">
        <f>IF(OR(N(Database!$BF35)&lt;=0,N(Screener!$D$13)&lt;=0),0,MAX(0,1-ABS(LOG10(N(Database!$BF35)/Screener!$D$13))/W_PEHW))</f>
        <v/>
      </c>
      <c r="J35">
        <f>IF(OR(N(Database!$S35)&lt;=0,N(Screener!$D$14)&lt;=0),0,MAX(0,1-ABS(LOG10(Database!$S35/Screener!$D$14))/0.6))</f>
        <v/>
      </c>
      <c r="K35">
        <f>IF(Database!$B35=Screener!$B$5,-999999,IF(ISNUMBER(SEARCH(","&amp;Database!$A35&amp;",",","&amp;SUBSTITUTE(Screener!$D$17," ","")&amp;",")),2000000,IF(IF(OR(Screener!$B$18="All",AND(Screener!$B$18="With A-share",(Database!$BK35="Y")),AND(Screener!$B$18="Without A-share",NOT((Database!$BK35="Y")))),1,0)=0,-999999,IF(Screener!$B$16="cornerstone overlap first",H35*100000,IF(Screener!$B$16="demand-similar first",J35*100000,0))+W_SUB*B35+W_SEC*C35*(1-B35)+W_SIZE*D35+W_PROF*E35+W_AH*F35+W_REC*G35+W_CS*H35+W_PE*I35)))+ROW()/1000000</f>
        <v/>
      </c>
      <c r="AA35">
        <f>Database!B25</f>
        <v/>
      </c>
      <c r="AB35">
        <f>Database!D25</f>
        <v/>
      </c>
      <c r="AC35">
        <f>Database!E25</f>
        <v/>
      </c>
      <c r="AD35">
        <f>Database!I25</f>
        <v/>
      </c>
      <c r="AE35">
        <f>Database!BE25</f>
        <v/>
      </c>
      <c r="AF35">
        <f>Database!BK25</f>
        <v/>
      </c>
      <c r="AG35">
        <f>Database!H25</f>
        <v/>
      </c>
      <c r="AH35">
        <f>Database!BF25</f>
        <v/>
      </c>
    </row>
    <row r="36">
      <c r="A36">
        <f>Database!B36</f>
        <v/>
      </c>
      <c r="B36">
        <f>IF(AND(Screener!$D$8&lt;&gt;"",Database!$E36=Screener!$D$8),1,0)</f>
        <v/>
      </c>
      <c r="C36">
        <f>IF(AND(Screener!$D$7&lt;&gt;"",Database!$D36=Screener!$D$7),1,0)</f>
        <v/>
      </c>
      <c r="D36">
        <f>IF(OR(N(Database!$I36)&lt;=0,N(Screener!$D$9)&lt;=0),0,MAX(0,1-ABS(LOG10(N(Database!$I36)/Screener!$D$9))/W_SIZEHW))</f>
        <v/>
      </c>
      <c r="E36">
        <f>IF(OR(Database!$BE36="",Screener!$D$10=""),0,IF(Database!$BE36=Screener!$D$10,1,0))</f>
        <v/>
      </c>
      <c r="F36">
        <f>IF(OR(Database!$BK36="",Screener!$D$11=""),0,IF(Database!$BK36=Screener!$D$11,1,0))</f>
        <v/>
      </c>
      <c r="G36">
        <f>IF(OR(Database!$H36="",N(Screener!$D$12)&lt;=0),0,MAX(0,1-(N(Screener!$D$12)-Database!$H36)/W_RECD))</f>
        <v/>
      </c>
      <c r="H36">
        <f>IF($U$1="",0,N(ISNUMBER(SEARCH($U$1,Database!$Z36&amp;""))))+IF($V$1="",0,N(ISNUMBER(SEARCH($V$1,Database!$Z36&amp;""))))+IF($W$1="",0,N(ISNUMBER(SEARCH($W$1,Database!$Z36&amp;""))))+IF($X$1="",0,N(ISNUMBER(SEARCH($X$1,Database!$Z36&amp;""))))+IF($Y$1="",0,N(ISNUMBER(SEARCH($Y$1,Database!$Z36&amp;""))))+IF(Screener!$B$17="",0,N(ISNUMBER(SEARCH(LOWER(Screener!$B$17),Database!$Z36&amp;""))))</f>
        <v/>
      </c>
      <c r="I36">
        <f>IF(OR(N(Database!$BF36)&lt;=0,N(Screener!$D$13)&lt;=0),0,MAX(0,1-ABS(LOG10(N(Database!$BF36)/Screener!$D$13))/W_PEHW))</f>
        <v/>
      </c>
      <c r="J36">
        <f>IF(OR(N(Database!$S36)&lt;=0,N(Screener!$D$14)&lt;=0),0,MAX(0,1-ABS(LOG10(Database!$S36/Screener!$D$14))/0.6))</f>
        <v/>
      </c>
      <c r="K36">
        <f>IF(Database!$B36=Screener!$B$5,-999999,IF(ISNUMBER(SEARCH(","&amp;Database!$A36&amp;",",","&amp;SUBSTITUTE(Screener!$D$17," ","")&amp;",")),2000000,IF(IF(OR(Screener!$B$18="All",AND(Screener!$B$18="With A-share",(Database!$BK36="Y")),AND(Screener!$B$18="Without A-share",NOT((Database!$BK36="Y")))),1,0)=0,-999999,IF(Screener!$B$16="cornerstone overlap first",H36*100000,IF(Screener!$B$16="demand-similar first",J36*100000,0))+W_SUB*B36+W_SEC*C36*(1-B36)+W_SIZE*D36+W_PROF*E36+W_AH*F36+W_REC*G36+W_CS*H36+W_PE*I36)))+ROW()/1000000</f>
        <v/>
      </c>
      <c r="AA36">
        <f>Database!B26</f>
        <v/>
      </c>
      <c r="AB36">
        <f>Database!D26</f>
        <v/>
      </c>
      <c r="AC36">
        <f>Database!E26</f>
        <v/>
      </c>
      <c r="AD36">
        <f>Database!I26</f>
        <v/>
      </c>
      <c r="AE36">
        <f>Database!BE26</f>
        <v/>
      </c>
      <c r="AF36">
        <f>Database!BK26</f>
        <v/>
      </c>
      <c r="AG36">
        <f>Database!H26</f>
        <v/>
      </c>
      <c r="AH36">
        <f>Database!BF26</f>
        <v/>
      </c>
    </row>
    <row r="37">
      <c r="A37">
        <f>Database!B37</f>
        <v/>
      </c>
      <c r="B37">
        <f>IF(AND(Screener!$D$8&lt;&gt;"",Database!$E37=Screener!$D$8),1,0)</f>
        <v/>
      </c>
      <c r="C37">
        <f>IF(AND(Screener!$D$7&lt;&gt;"",Database!$D37=Screener!$D$7),1,0)</f>
        <v/>
      </c>
      <c r="D37">
        <f>IF(OR(N(Database!$I37)&lt;=0,N(Screener!$D$9)&lt;=0),0,MAX(0,1-ABS(LOG10(N(Database!$I37)/Screener!$D$9))/W_SIZEHW))</f>
        <v/>
      </c>
      <c r="E37">
        <f>IF(OR(Database!$BE37="",Screener!$D$10=""),0,IF(Database!$BE37=Screener!$D$10,1,0))</f>
        <v/>
      </c>
      <c r="F37">
        <f>IF(OR(Database!$BK37="",Screener!$D$11=""),0,IF(Database!$BK37=Screener!$D$11,1,0))</f>
        <v/>
      </c>
      <c r="G37">
        <f>IF(OR(Database!$H37="",N(Screener!$D$12)&lt;=0),0,MAX(0,1-(N(Screener!$D$12)-Database!$H37)/W_RECD))</f>
        <v/>
      </c>
      <c r="H37">
        <f>IF($U$1="",0,N(ISNUMBER(SEARCH($U$1,Database!$Z37&amp;""))))+IF($V$1="",0,N(ISNUMBER(SEARCH($V$1,Database!$Z37&amp;""))))+IF($W$1="",0,N(ISNUMBER(SEARCH($W$1,Database!$Z37&amp;""))))+IF($X$1="",0,N(ISNUMBER(SEARCH($X$1,Database!$Z37&amp;""))))+IF($Y$1="",0,N(ISNUMBER(SEARCH($Y$1,Database!$Z37&amp;""))))+IF(Screener!$B$17="",0,N(ISNUMBER(SEARCH(LOWER(Screener!$B$17),Database!$Z37&amp;""))))</f>
        <v/>
      </c>
      <c r="I37">
        <f>IF(OR(N(Database!$BF37)&lt;=0,N(Screener!$D$13)&lt;=0),0,MAX(0,1-ABS(LOG10(N(Database!$BF37)/Screener!$D$13))/W_PEHW))</f>
        <v/>
      </c>
      <c r="J37">
        <f>IF(OR(N(Database!$S37)&lt;=0,N(Screener!$D$14)&lt;=0),0,MAX(0,1-ABS(LOG10(Database!$S37/Screener!$D$14))/0.6))</f>
        <v/>
      </c>
      <c r="K37">
        <f>IF(Database!$B37=Screener!$B$5,-999999,IF(ISNUMBER(SEARCH(","&amp;Database!$A37&amp;",",","&amp;SUBSTITUTE(Screener!$D$17," ","")&amp;",")),2000000,IF(IF(OR(Screener!$B$18="All",AND(Screener!$B$18="With A-share",(Database!$BK37="Y")),AND(Screener!$B$18="Without A-share",NOT((Database!$BK37="Y")))),1,0)=0,-999999,IF(Screener!$B$16="cornerstone overlap first",H37*100000,IF(Screener!$B$16="demand-similar first",J37*100000,0))+W_SUB*B37+W_SEC*C37*(1-B37)+W_SIZE*D37+W_PROF*E37+W_AH*F37+W_REC*G37+W_CS*H37+W_PE*I37)))+ROW()/1000000</f>
        <v/>
      </c>
      <c r="AA37">
        <f>Database!B27</f>
        <v/>
      </c>
      <c r="AB37">
        <f>Database!D27</f>
        <v/>
      </c>
      <c r="AC37">
        <f>Database!E27</f>
        <v/>
      </c>
      <c r="AD37">
        <f>Database!I27</f>
        <v/>
      </c>
      <c r="AE37">
        <f>Database!BE27</f>
        <v/>
      </c>
      <c r="AF37">
        <f>Database!BK27</f>
        <v/>
      </c>
      <c r="AG37">
        <f>Database!H27</f>
        <v/>
      </c>
      <c r="AH37">
        <f>Database!BF27</f>
        <v/>
      </c>
    </row>
    <row r="38">
      <c r="A38">
        <f>Database!B38</f>
        <v/>
      </c>
      <c r="B38">
        <f>IF(AND(Screener!$D$8&lt;&gt;"",Database!$E38=Screener!$D$8),1,0)</f>
        <v/>
      </c>
      <c r="C38">
        <f>IF(AND(Screener!$D$7&lt;&gt;"",Database!$D38=Screener!$D$7),1,0)</f>
        <v/>
      </c>
      <c r="D38">
        <f>IF(OR(N(Database!$I38)&lt;=0,N(Screener!$D$9)&lt;=0),0,MAX(0,1-ABS(LOG10(N(Database!$I38)/Screener!$D$9))/W_SIZEHW))</f>
        <v/>
      </c>
      <c r="E38">
        <f>IF(OR(Database!$BE38="",Screener!$D$10=""),0,IF(Database!$BE38=Screener!$D$10,1,0))</f>
        <v/>
      </c>
      <c r="F38">
        <f>IF(OR(Database!$BK38="",Screener!$D$11=""),0,IF(Database!$BK38=Screener!$D$11,1,0))</f>
        <v/>
      </c>
      <c r="G38">
        <f>IF(OR(Database!$H38="",N(Screener!$D$12)&lt;=0),0,MAX(0,1-(N(Screener!$D$12)-Database!$H38)/W_RECD))</f>
        <v/>
      </c>
      <c r="H38">
        <f>IF($U$1="",0,N(ISNUMBER(SEARCH($U$1,Database!$Z38&amp;""))))+IF($V$1="",0,N(ISNUMBER(SEARCH($V$1,Database!$Z38&amp;""))))+IF($W$1="",0,N(ISNUMBER(SEARCH($W$1,Database!$Z38&amp;""))))+IF($X$1="",0,N(ISNUMBER(SEARCH($X$1,Database!$Z38&amp;""))))+IF($Y$1="",0,N(ISNUMBER(SEARCH($Y$1,Database!$Z38&amp;""))))+IF(Screener!$B$17="",0,N(ISNUMBER(SEARCH(LOWER(Screener!$B$17),Database!$Z38&amp;""))))</f>
        <v/>
      </c>
      <c r="I38">
        <f>IF(OR(N(Database!$BF38)&lt;=0,N(Screener!$D$13)&lt;=0),0,MAX(0,1-ABS(LOG10(N(Database!$BF38)/Screener!$D$13))/W_PEHW))</f>
        <v/>
      </c>
      <c r="J38">
        <f>IF(OR(N(Database!$S38)&lt;=0,N(Screener!$D$14)&lt;=0),0,MAX(0,1-ABS(LOG10(Database!$S38/Screener!$D$14))/0.6))</f>
        <v/>
      </c>
      <c r="K38">
        <f>IF(Database!$B38=Screener!$B$5,-999999,IF(ISNUMBER(SEARCH(","&amp;Database!$A38&amp;",",","&amp;SUBSTITUTE(Screener!$D$17," ","")&amp;",")),2000000,IF(IF(OR(Screener!$B$18="All",AND(Screener!$B$18="With A-share",(Database!$BK38="Y")),AND(Screener!$B$18="Without A-share",NOT((Database!$BK38="Y")))),1,0)=0,-999999,IF(Screener!$B$16="cornerstone overlap first",H38*100000,IF(Screener!$B$16="demand-similar first",J38*100000,0))+W_SUB*B38+W_SEC*C38*(1-B38)+W_SIZE*D38+W_PROF*E38+W_AH*F38+W_REC*G38+W_CS*H38+W_PE*I38)))+ROW()/1000000</f>
        <v/>
      </c>
      <c r="AA38">
        <f>Database!B28</f>
        <v/>
      </c>
      <c r="AB38">
        <f>Database!D28</f>
        <v/>
      </c>
      <c r="AC38">
        <f>Database!E28</f>
        <v/>
      </c>
      <c r="AD38">
        <f>Database!I28</f>
        <v/>
      </c>
      <c r="AE38">
        <f>Database!BE28</f>
        <v/>
      </c>
      <c r="AF38">
        <f>Database!BK28</f>
        <v/>
      </c>
      <c r="AG38">
        <f>Database!H28</f>
        <v/>
      </c>
      <c r="AH38">
        <f>Database!BF28</f>
        <v/>
      </c>
    </row>
    <row r="39">
      <c r="A39">
        <f>Database!B39</f>
        <v/>
      </c>
      <c r="B39">
        <f>IF(AND(Screener!$D$8&lt;&gt;"",Database!$E39=Screener!$D$8),1,0)</f>
        <v/>
      </c>
      <c r="C39">
        <f>IF(AND(Screener!$D$7&lt;&gt;"",Database!$D39=Screener!$D$7),1,0)</f>
        <v/>
      </c>
      <c r="D39">
        <f>IF(OR(N(Database!$I39)&lt;=0,N(Screener!$D$9)&lt;=0),0,MAX(0,1-ABS(LOG10(N(Database!$I39)/Screener!$D$9))/W_SIZEHW))</f>
        <v/>
      </c>
      <c r="E39">
        <f>IF(OR(Database!$BE39="",Screener!$D$10=""),0,IF(Database!$BE39=Screener!$D$10,1,0))</f>
        <v/>
      </c>
      <c r="F39">
        <f>IF(OR(Database!$BK39="",Screener!$D$11=""),0,IF(Database!$BK39=Screener!$D$11,1,0))</f>
        <v/>
      </c>
      <c r="G39">
        <f>IF(OR(Database!$H39="",N(Screener!$D$12)&lt;=0),0,MAX(0,1-(N(Screener!$D$12)-Database!$H39)/W_RECD))</f>
        <v/>
      </c>
      <c r="H39">
        <f>IF($U$1="",0,N(ISNUMBER(SEARCH($U$1,Database!$Z39&amp;""))))+IF($V$1="",0,N(ISNUMBER(SEARCH($V$1,Database!$Z39&amp;""))))+IF($W$1="",0,N(ISNUMBER(SEARCH($W$1,Database!$Z39&amp;""))))+IF($X$1="",0,N(ISNUMBER(SEARCH($X$1,Database!$Z39&amp;""))))+IF($Y$1="",0,N(ISNUMBER(SEARCH($Y$1,Database!$Z39&amp;""))))+IF(Screener!$B$17="",0,N(ISNUMBER(SEARCH(LOWER(Screener!$B$17),Database!$Z39&amp;""))))</f>
        <v/>
      </c>
      <c r="I39">
        <f>IF(OR(N(Database!$BF39)&lt;=0,N(Screener!$D$13)&lt;=0),0,MAX(0,1-ABS(LOG10(N(Database!$BF39)/Screener!$D$13))/W_PEHW))</f>
        <v/>
      </c>
      <c r="J39">
        <f>IF(OR(N(Database!$S39)&lt;=0,N(Screener!$D$14)&lt;=0),0,MAX(0,1-ABS(LOG10(Database!$S39/Screener!$D$14))/0.6))</f>
        <v/>
      </c>
      <c r="K39">
        <f>IF(Database!$B39=Screener!$B$5,-999999,IF(ISNUMBER(SEARCH(","&amp;Database!$A39&amp;",",","&amp;SUBSTITUTE(Screener!$D$17," ","")&amp;",")),2000000,IF(IF(OR(Screener!$B$18="All",AND(Screener!$B$18="With A-share",(Database!$BK39="Y")),AND(Screener!$B$18="Without A-share",NOT((Database!$BK39="Y")))),1,0)=0,-999999,IF(Screener!$B$16="cornerstone overlap first",H39*100000,IF(Screener!$B$16="demand-similar first",J39*100000,0))+W_SUB*B39+W_SEC*C39*(1-B39)+W_SIZE*D39+W_PROF*E39+W_AH*F39+W_REC*G39+W_CS*H39+W_PE*I39)))+ROW()/1000000</f>
        <v/>
      </c>
      <c r="AA39">
        <f>Database!B29</f>
        <v/>
      </c>
      <c r="AB39">
        <f>Database!D29</f>
        <v/>
      </c>
      <c r="AC39">
        <f>Database!E29</f>
        <v/>
      </c>
      <c r="AD39">
        <f>Database!I29</f>
        <v/>
      </c>
      <c r="AE39">
        <f>Database!BE29</f>
        <v/>
      </c>
      <c r="AF39">
        <f>Database!BK29</f>
        <v/>
      </c>
      <c r="AG39">
        <f>Database!H29</f>
        <v/>
      </c>
      <c r="AH39">
        <f>Database!BF29</f>
        <v/>
      </c>
    </row>
    <row r="40">
      <c r="A40">
        <f>Database!B40</f>
        <v/>
      </c>
      <c r="B40">
        <f>IF(AND(Screener!$D$8&lt;&gt;"",Database!$E40=Screener!$D$8),1,0)</f>
        <v/>
      </c>
      <c r="C40">
        <f>IF(AND(Screener!$D$7&lt;&gt;"",Database!$D40=Screener!$D$7),1,0)</f>
        <v/>
      </c>
      <c r="D40">
        <f>IF(OR(N(Database!$I40)&lt;=0,N(Screener!$D$9)&lt;=0),0,MAX(0,1-ABS(LOG10(N(Database!$I40)/Screener!$D$9))/W_SIZEHW))</f>
        <v/>
      </c>
      <c r="E40">
        <f>IF(OR(Database!$BE40="",Screener!$D$10=""),0,IF(Database!$BE40=Screener!$D$10,1,0))</f>
        <v/>
      </c>
      <c r="F40">
        <f>IF(OR(Database!$BK40="",Screener!$D$11=""),0,IF(Database!$BK40=Screener!$D$11,1,0))</f>
        <v/>
      </c>
      <c r="G40">
        <f>IF(OR(Database!$H40="",N(Screener!$D$12)&lt;=0),0,MAX(0,1-(N(Screener!$D$12)-Database!$H40)/W_RECD))</f>
        <v/>
      </c>
      <c r="H40">
        <f>IF($U$1="",0,N(ISNUMBER(SEARCH($U$1,Database!$Z40&amp;""))))+IF($V$1="",0,N(ISNUMBER(SEARCH($V$1,Database!$Z40&amp;""))))+IF($W$1="",0,N(ISNUMBER(SEARCH($W$1,Database!$Z40&amp;""))))+IF($X$1="",0,N(ISNUMBER(SEARCH($X$1,Database!$Z40&amp;""))))+IF($Y$1="",0,N(ISNUMBER(SEARCH($Y$1,Database!$Z40&amp;""))))+IF(Screener!$B$17="",0,N(ISNUMBER(SEARCH(LOWER(Screener!$B$17),Database!$Z40&amp;""))))</f>
        <v/>
      </c>
      <c r="I40">
        <f>IF(OR(N(Database!$BF40)&lt;=0,N(Screener!$D$13)&lt;=0),0,MAX(0,1-ABS(LOG10(N(Database!$BF40)/Screener!$D$13))/W_PEHW))</f>
        <v/>
      </c>
      <c r="J40">
        <f>IF(OR(N(Database!$S40)&lt;=0,N(Screener!$D$14)&lt;=0),0,MAX(0,1-ABS(LOG10(Database!$S40/Screener!$D$14))/0.6))</f>
        <v/>
      </c>
      <c r="K40">
        <f>IF(Database!$B40=Screener!$B$5,-999999,IF(ISNUMBER(SEARCH(","&amp;Database!$A40&amp;",",","&amp;SUBSTITUTE(Screener!$D$17," ","")&amp;",")),2000000,IF(IF(OR(Screener!$B$18="All",AND(Screener!$B$18="With A-share",(Database!$BK40="Y")),AND(Screener!$B$18="Without A-share",NOT((Database!$BK40="Y")))),1,0)=0,-999999,IF(Screener!$B$16="cornerstone overlap first",H40*100000,IF(Screener!$B$16="demand-similar first",J40*100000,0))+W_SUB*B40+W_SEC*C40*(1-B40)+W_SIZE*D40+W_PROF*E40+W_AH*F40+W_REC*G40+W_CS*H40+W_PE*I40)))+ROW()/1000000</f>
        <v/>
      </c>
      <c r="AA40">
        <f>Database!B30</f>
        <v/>
      </c>
      <c r="AB40">
        <f>Database!D30</f>
        <v/>
      </c>
      <c r="AC40">
        <f>Database!E30</f>
        <v/>
      </c>
      <c r="AD40">
        <f>Database!I30</f>
        <v/>
      </c>
      <c r="AE40">
        <f>Database!BE30</f>
        <v/>
      </c>
      <c r="AF40">
        <f>Database!BK30</f>
        <v/>
      </c>
      <c r="AG40">
        <f>Database!H30</f>
        <v/>
      </c>
      <c r="AH40">
        <f>Database!BF30</f>
        <v/>
      </c>
    </row>
    <row r="41">
      <c r="A41">
        <f>Database!B41</f>
        <v/>
      </c>
      <c r="B41">
        <f>IF(AND(Screener!$D$8&lt;&gt;"",Database!$E41=Screener!$D$8),1,0)</f>
        <v/>
      </c>
      <c r="C41">
        <f>IF(AND(Screener!$D$7&lt;&gt;"",Database!$D41=Screener!$D$7),1,0)</f>
        <v/>
      </c>
      <c r="D41">
        <f>IF(OR(N(Database!$I41)&lt;=0,N(Screener!$D$9)&lt;=0),0,MAX(0,1-ABS(LOG10(N(Database!$I41)/Screener!$D$9))/W_SIZEHW))</f>
        <v/>
      </c>
      <c r="E41">
        <f>IF(OR(Database!$BE41="",Screener!$D$10=""),0,IF(Database!$BE41=Screener!$D$10,1,0))</f>
        <v/>
      </c>
      <c r="F41">
        <f>IF(OR(Database!$BK41="",Screener!$D$11=""),0,IF(Database!$BK41=Screener!$D$11,1,0))</f>
        <v/>
      </c>
      <c r="G41">
        <f>IF(OR(Database!$H41="",N(Screener!$D$12)&lt;=0),0,MAX(0,1-(N(Screener!$D$12)-Database!$H41)/W_RECD))</f>
        <v/>
      </c>
      <c r="H41">
        <f>IF($U$1="",0,N(ISNUMBER(SEARCH($U$1,Database!$Z41&amp;""))))+IF($V$1="",0,N(ISNUMBER(SEARCH($V$1,Database!$Z41&amp;""))))+IF($W$1="",0,N(ISNUMBER(SEARCH($W$1,Database!$Z41&amp;""))))+IF($X$1="",0,N(ISNUMBER(SEARCH($X$1,Database!$Z41&amp;""))))+IF($Y$1="",0,N(ISNUMBER(SEARCH($Y$1,Database!$Z41&amp;""))))+IF(Screener!$B$17="",0,N(ISNUMBER(SEARCH(LOWER(Screener!$B$17),Database!$Z41&amp;""))))</f>
        <v/>
      </c>
      <c r="I41">
        <f>IF(OR(N(Database!$BF41)&lt;=0,N(Screener!$D$13)&lt;=0),0,MAX(0,1-ABS(LOG10(N(Database!$BF41)/Screener!$D$13))/W_PEHW))</f>
        <v/>
      </c>
      <c r="J41">
        <f>IF(OR(N(Database!$S41)&lt;=0,N(Screener!$D$14)&lt;=0),0,MAX(0,1-ABS(LOG10(Database!$S41/Screener!$D$14))/0.6))</f>
        <v/>
      </c>
      <c r="K41">
        <f>IF(Database!$B41=Screener!$B$5,-999999,IF(ISNUMBER(SEARCH(","&amp;Database!$A41&amp;",",","&amp;SUBSTITUTE(Screener!$D$17," ","")&amp;",")),2000000,IF(IF(OR(Screener!$B$18="All",AND(Screener!$B$18="With A-share",(Database!$BK41="Y")),AND(Screener!$B$18="Without A-share",NOT((Database!$BK41="Y")))),1,0)=0,-999999,IF(Screener!$B$16="cornerstone overlap first",H41*100000,IF(Screener!$B$16="demand-similar first",J41*100000,0))+W_SUB*B41+W_SEC*C41*(1-B41)+W_SIZE*D41+W_PROF*E41+W_AH*F41+W_REC*G41+W_CS*H41+W_PE*I41)))+ROW()/1000000</f>
        <v/>
      </c>
      <c r="AA41">
        <f>Database!B31</f>
        <v/>
      </c>
      <c r="AB41">
        <f>Database!D31</f>
        <v/>
      </c>
      <c r="AC41">
        <f>Database!E31</f>
        <v/>
      </c>
      <c r="AD41">
        <f>Database!I31</f>
        <v/>
      </c>
      <c r="AE41">
        <f>Database!BE31</f>
        <v/>
      </c>
      <c r="AF41">
        <f>Database!BK31</f>
        <v/>
      </c>
      <c r="AG41">
        <f>Database!H31</f>
        <v/>
      </c>
      <c r="AH41">
        <f>Database!BF31</f>
        <v/>
      </c>
    </row>
    <row r="42">
      <c r="A42">
        <f>Database!B42</f>
        <v/>
      </c>
      <c r="B42">
        <f>IF(AND(Screener!$D$8&lt;&gt;"",Database!$E42=Screener!$D$8),1,0)</f>
        <v/>
      </c>
      <c r="C42">
        <f>IF(AND(Screener!$D$7&lt;&gt;"",Database!$D42=Screener!$D$7),1,0)</f>
        <v/>
      </c>
      <c r="D42">
        <f>IF(OR(N(Database!$I42)&lt;=0,N(Screener!$D$9)&lt;=0),0,MAX(0,1-ABS(LOG10(N(Database!$I42)/Screener!$D$9))/W_SIZEHW))</f>
        <v/>
      </c>
      <c r="E42">
        <f>IF(OR(Database!$BE42="",Screener!$D$10=""),0,IF(Database!$BE42=Screener!$D$10,1,0))</f>
        <v/>
      </c>
      <c r="F42">
        <f>IF(OR(Database!$BK42="",Screener!$D$11=""),0,IF(Database!$BK42=Screener!$D$11,1,0))</f>
        <v/>
      </c>
      <c r="G42">
        <f>IF(OR(Database!$H42="",N(Screener!$D$12)&lt;=0),0,MAX(0,1-(N(Screener!$D$12)-Database!$H42)/W_RECD))</f>
        <v/>
      </c>
      <c r="H42">
        <f>IF($U$1="",0,N(ISNUMBER(SEARCH($U$1,Database!$Z42&amp;""))))+IF($V$1="",0,N(ISNUMBER(SEARCH($V$1,Database!$Z42&amp;""))))+IF($W$1="",0,N(ISNUMBER(SEARCH($W$1,Database!$Z42&amp;""))))+IF($X$1="",0,N(ISNUMBER(SEARCH($X$1,Database!$Z42&amp;""))))+IF($Y$1="",0,N(ISNUMBER(SEARCH($Y$1,Database!$Z42&amp;""))))+IF(Screener!$B$17="",0,N(ISNUMBER(SEARCH(LOWER(Screener!$B$17),Database!$Z42&amp;""))))</f>
        <v/>
      </c>
      <c r="I42">
        <f>IF(OR(N(Database!$BF42)&lt;=0,N(Screener!$D$13)&lt;=0),0,MAX(0,1-ABS(LOG10(N(Database!$BF42)/Screener!$D$13))/W_PEHW))</f>
        <v/>
      </c>
      <c r="J42">
        <f>IF(OR(N(Database!$S42)&lt;=0,N(Screener!$D$14)&lt;=0),0,MAX(0,1-ABS(LOG10(Database!$S42/Screener!$D$14))/0.6))</f>
        <v/>
      </c>
      <c r="K42">
        <f>IF(Database!$B42=Screener!$B$5,-999999,IF(ISNUMBER(SEARCH(","&amp;Database!$A42&amp;",",","&amp;SUBSTITUTE(Screener!$D$17," ","")&amp;",")),2000000,IF(IF(OR(Screener!$B$18="All",AND(Screener!$B$18="With A-share",(Database!$BK42="Y")),AND(Screener!$B$18="Without A-share",NOT((Database!$BK42="Y")))),1,0)=0,-999999,IF(Screener!$B$16="cornerstone overlap first",H42*100000,IF(Screener!$B$16="demand-similar first",J42*100000,0))+W_SUB*B42+W_SEC*C42*(1-B42)+W_SIZE*D42+W_PROF*E42+W_AH*F42+W_REC*G42+W_CS*H42+W_PE*I42)))+ROW()/1000000</f>
        <v/>
      </c>
      <c r="AA42">
        <f>Database!B32</f>
        <v/>
      </c>
      <c r="AB42">
        <f>Database!D32</f>
        <v/>
      </c>
      <c r="AC42">
        <f>Database!E32</f>
        <v/>
      </c>
      <c r="AD42">
        <f>Database!I32</f>
        <v/>
      </c>
      <c r="AE42">
        <f>Database!BE32</f>
        <v/>
      </c>
      <c r="AF42">
        <f>Database!BK32</f>
        <v/>
      </c>
      <c r="AG42">
        <f>Database!H32</f>
        <v/>
      </c>
      <c r="AH42">
        <f>Database!BF32</f>
        <v/>
      </c>
    </row>
    <row r="43">
      <c r="A43">
        <f>Database!B43</f>
        <v/>
      </c>
      <c r="B43">
        <f>IF(AND(Screener!$D$8&lt;&gt;"",Database!$E43=Screener!$D$8),1,0)</f>
        <v/>
      </c>
      <c r="C43">
        <f>IF(AND(Screener!$D$7&lt;&gt;"",Database!$D43=Screener!$D$7),1,0)</f>
        <v/>
      </c>
      <c r="D43">
        <f>IF(OR(N(Database!$I43)&lt;=0,N(Screener!$D$9)&lt;=0),0,MAX(0,1-ABS(LOG10(N(Database!$I43)/Screener!$D$9))/W_SIZEHW))</f>
        <v/>
      </c>
      <c r="E43">
        <f>IF(OR(Database!$BE43="",Screener!$D$10=""),0,IF(Database!$BE43=Screener!$D$10,1,0))</f>
        <v/>
      </c>
      <c r="F43">
        <f>IF(OR(Database!$BK43="",Screener!$D$11=""),0,IF(Database!$BK43=Screener!$D$11,1,0))</f>
        <v/>
      </c>
      <c r="G43">
        <f>IF(OR(Database!$H43="",N(Screener!$D$12)&lt;=0),0,MAX(0,1-(N(Screener!$D$12)-Database!$H43)/W_RECD))</f>
        <v/>
      </c>
      <c r="H43">
        <f>IF($U$1="",0,N(ISNUMBER(SEARCH($U$1,Database!$Z43&amp;""))))+IF($V$1="",0,N(ISNUMBER(SEARCH($V$1,Database!$Z43&amp;""))))+IF($W$1="",0,N(ISNUMBER(SEARCH($W$1,Database!$Z43&amp;""))))+IF($X$1="",0,N(ISNUMBER(SEARCH($X$1,Database!$Z43&amp;""))))+IF($Y$1="",0,N(ISNUMBER(SEARCH($Y$1,Database!$Z43&amp;""))))+IF(Screener!$B$17="",0,N(ISNUMBER(SEARCH(LOWER(Screener!$B$17),Database!$Z43&amp;""))))</f>
        <v/>
      </c>
      <c r="I43">
        <f>IF(OR(N(Database!$BF43)&lt;=0,N(Screener!$D$13)&lt;=0),0,MAX(0,1-ABS(LOG10(N(Database!$BF43)/Screener!$D$13))/W_PEHW))</f>
        <v/>
      </c>
      <c r="J43">
        <f>IF(OR(N(Database!$S43)&lt;=0,N(Screener!$D$14)&lt;=0),0,MAX(0,1-ABS(LOG10(Database!$S43/Screener!$D$14))/0.6))</f>
        <v/>
      </c>
      <c r="K43">
        <f>IF(Database!$B43=Screener!$B$5,-999999,IF(ISNUMBER(SEARCH(","&amp;Database!$A43&amp;",",","&amp;SUBSTITUTE(Screener!$D$17," ","")&amp;",")),2000000,IF(IF(OR(Screener!$B$18="All",AND(Screener!$B$18="With A-share",(Database!$BK43="Y")),AND(Screener!$B$18="Without A-share",NOT((Database!$BK43="Y")))),1,0)=0,-999999,IF(Screener!$B$16="cornerstone overlap first",H43*100000,IF(Screener!$B$16="demand-similar first",J43*100000,0))+W_SUB*B43+W_SEC*C43*(1-B43)+W_SIZE*D43+W_PROF*E43+W_AH*F43+W_REC*G43+W_CS*H43+W_PE*I43)))+ROW()/1000000</f>
        <v/>
      </c>
      <c r="AA43">
        <f>Database!B33</f>
        <v/>
      </c>
      <c r="AB43">
        <f>Database!D33</f>
        <v/>
      </c>
      <c r="AC43">
        <f>Database!E33</f>
        <v/>
      </c>
      <c r="AD43">
        <f>Database!I33</f>
        <v/>
      </c>
      <c r="AE43">
        <f>Database!BE33</f>
        <v/>
      </c>
      <c r="AF43">
        <f>Database!BK33</f>
        <v/>
      </c>
      <c r="AG43">
        <f>Database!H33</f>
        <v/>
      </c>
      <c r="AH43">
        <f>Database!BF33</f>
        <v/>
      </c>
    </row>
    <row r="44">
      <c r="A44">
        <f>Database!B44</f>
        <v/>
      </c>
      <c r="B44">
        <f>IF(AND(Screener!$D$8&lt;&gt;"",Database!$E44=Screener!$D$8),1,0)</f>
        <v/>
      </c>
      <c r="C44">
        <f>IF(AND(Screener!$D$7&lt;&gt;"",Database!$D44=Screener!$D$7),1,0)</f>
        <v/>
      </c>
      <c r="D44">
        <f>IF(OR(N(Database!$I44)&lt;=0,N(Screener!$D$9)&lt;=0),0,MAX(0,1-ABS(LOG10(N(Database!$I44)/Screener!$D$9))/W_SIZEHW))</f>
        <v/>
      </c>
      <c r="E44">
        <f>IF(OR(Database!$BE44="",Screener!$D$10=""),0,IF(Database!$BE44=Screener!$D$10,1,0))</f>
        <v/>
      </c>
      <c r="F44">
        <f>IF(OR(Database!$BK44="",Screener!$D$11=""),0,IF(Database!$BK44=Screener!$D$11,1,0))</f>
        <v/>
      </c>
      <c r="G44">
        <f>IF(OR(Database!$H44="",N(Screener!$D$12)&lt;=0),0,MAX(0,1-(N(Screener!$D$12)-Database!$H44)/W_RECD))</f>
        <v/>
      </c>
      <c r="H44">
        <f>IF($U$1="",0,N(ISNUMBER(SEARCH($U$1,Database!$Z44&amp;""))))+IF($V$1="",0,N(ISNUMBER(SEARCH($V$1,Database!$Z44&amp;""))))+IF($W$1="",0,N(ISNUMBER(SEARCH($W$1,Database!$Z44&amp;""))))+IF($X$1="",0,N(ISNUMBER(SEARCH($X$1,Database!$Z44&amp;""))))+IF($Y$1="",0,N(ISNUMBER(SEARCH($Y$1,Database!$Z44&amp;""))))+IF(Screener!$B$17="",0,N(ISNUMBER(SEARCH(LOWER(Screener!$B$17),Database!$Z44&amp;""))))</f>
        <v/>
      </c>
      <c r="I44">
        <f>IF(OR(N(Database!$BF44)&lt;=0,N(Screener!$D$13)&lt;=0),0,MAX(0,1-ABS(LOG10(N(Database!$BF44)/Screener!$D$13))/W_PEHW))</f>
        <v/>
      </c>
      <c r="J44">
        <f>IF(OR(N(Database!$S44)&lt;=0,N(Screener!$D$14)&lt;=0),0,MAX(0,1-ABS(LOG10(Database!$S44/Screener!$D$14))/0.6))</f>
        <v/>
      </c>
      <c r="K44">
        <f>IF(Database!$B44=Screener!$B$5,-999999,IF(ISNUMBER(SEARCH(","&amp;Database!$A44&amp;",",","&amp;SUBSTITUTE(Screener!$D$17," ","")&amp;",")),2000000,IF(IF(OR(Screener!$B$18="All",AND(Screener!$B$18="With A-share",(Database!$BK44="Y")),AND(Screener!$B$18="Without A-share",NOT((Database!$BK44="Y")))),1,0)=0,-999999,IF(Screener!$B$16="cornerstone overlap first",H44*100000,IF(Screener!$B$16="demand-similar first",J44*100000,0))+W_SUB*B44+W_SEC*C44*(1-B44)+W_SIZE*D44+W_PROF*E44+W_AH*F44+W_REC*G44+W_CS*H44+W_PE*I44)))+ROW()/1000000</f>
        <v/>
      </c>
      <c r="AA44">
        <f>Database!B34</f>
        <v/>
      </c>
      <c r="AB44">
        <f>Database!D34</f>
        <v/>
      </c>
      <c r="AC44">
        <f>Database!E34</f>
        <v/>
      </c>
      <c r="AD44">
        <f>Database!I34</f>
        <v/>
      </c>
      <c r="AE44">
        <f>Database!BE34</f>
        <v/>
      </c>
      <c r="AF44">
        <f>Database!BK34</f>
        <v/>
      </c>
      <c r="AG44">
        <f>Database!H34</f>
        <v/>
      </c>
      <c r="AH44">
        <f>Database!BF34</f>
        <v/>
      </c>
    </row>
    <row r="45">
      <c r="A45">
        <f>Database!B45</f>
        <v/>
      </c>
      <c r="B45">
        <f>IF(AND(Screener!$D$8&lt;&gt;"",Database!$E45=Screener!$D$8),1,0)</f>
        <v/>
      </c>
      <c r="C45">
        <f>IF(AND(Screener!$D$7&lt;&gt;"",Database!$D45=Screener!$D$7),1,0)</f>
        <v/>
      </c>
      <c r="D45">
        <f>IF(OR(N(Database!$I45)&lt;=0,N(Screener!$D$9)&lt;=0),0,MAX(0,1-ABS(LOG10(N(Database!$I45)/Screener!$D$9))/W_SIZEHW))</f>
        <v/>
      </c>
      <c r="E45">
        <f>IF(OR(Database!$BE45="",Screener!$D$10=""),0,IF(Database!$BE45=Screener!$D$10,1,0))</f>
        <v/>
      </c>
      <c r="F45">
        <f>IF(OR(Database!$BK45="",Screener!$D$11=""),0,IF(Database!$BK45=Screener!$D$11,1,0))</f>
        <v/>
      </c>
      <c r="G45">
        <f>IF(OR(Database!$H45="",N(Screener!$D$12)&lt;=0),0,MAX(0,1-(N(Screener!$D$12)-Database!$H45)/W_RECD))</f>
        <v/>
      </c>
      <c r="H45">
        <f>IF($U$1="",0,N(ISNUMBER(SEARCH($U$1,Database!$Z45&amp;""))))+IF($V$1="",0,N(ISNUMBER(SEARCH($V$1,Database!$Z45&amp;""))))+IF($W$1="",0,N(ISNUMBER(SEARCH($W$1,Database!$Z45&amp;""))))+IF($X$1="",0,N(ISNUMBER(SEARCH($X$1,Database!$Z45&amp;""))))+IF($Y$1="",0,N(ISNUMBER(SEARCH($Y$1,Database!$Z45&amp;""))))+IF(Screener!$B$17="",0,N(ISNUMBER(SEARCH(LOWER(Screener!$B$17),Database!$Z45&amp;""))))</f>
        <v/>
      </c>
      <c r="I45">
        <f>IF(OR(N(Database!$BF45)&lt;=0,N(Screener!$D$13)&lt;=0),0,MAX(0,1-ABS(LOG10(N(Database!$BF45)/Screener!$D$13))/W_PEHW))</f>
        <v/>
      </c>
      <c r="J45">
        <f>IF(OR(N(Database!$S45)&lt;=0,N(Screener!$D$14)&lt;=0),0,MAX(0,1-ABS(LOG10(Database!$S45/Screener!$D$14))/0.6))</f>
        <v/>
      </c>
      <c r="K45">
        <f>IF(Database!$B45=Screener!$B$5,-999999,IF(ISNUMBER(SEARCH(","&amp;Database!$A45&amp;",",","&amp;SUBSTITUTE(Screener!$D$17," ","")&amp;",")),2000000,IF(IF(OR(Screener!$B$18="All",AND(Screener!$B$18="With A-share",(Database!$BK45="Y")),AND(Screener!$B$18="Without A-share",NOT((Database!$BK45="Y")))),1,0)=0,-999999,IF(Screener!$B$16="cornerstone overlap first",H45*100000,IF(Screener!$B$16="demand-similar first",J45*100000,0))+W_SUB*B45+W_SEC*C45*(1-B45)+W_SIZE*D45+W_PROF*E45+W_AH*F45+W_REC*G45+W_CS*H45+W_PE*I45)))+ROW()/1000000</f>
        <v/>
      </c>
      <c r="AA45">
        <f>Database!B35</f>
        <v/>
      </c>
      <c r="AB45">
        <f>Database!D35</f>
        <v/>
      </c>
      <c r="AC45">
        <f>Database!E35</f>
        <v/>
      </c>
      <c r="AD45">
        <f>Database!I35</f>
        <v/>
      </c>
      <c r="AE45">
        <f>Database!BE35</f>
        <v/>
      </c>
      <c r="AF45">
        <f>Database!BK35</f>
        <v/>
      </c>
      <c r="AG45">
        <f>Database!H35</f>
        <v/>
      </c>
      <c r="AH45">
        <f>Database!BF35</f>
        <v/>
      </c>
    </row>
    <row r="46">
      <c r="A46">
        <f>Database!B46</f>
        <v/>
      </c>
      <c r="B46">
        <f>IF(AND(Screener!$D$8&lt;&gt;"",Database!$E46=Screener!$D$8),1,0)</f>
        <v/>
      </c>
      <c r="C46">
        <f>IF(AND(Screener!$D$7&lt;&gt;"",Database!$D46=Screener!$D$7),1,0)</f>
        <v/>
      </c>
      <c r="D46">
        <f>IF(OR(N(Database!$I46)&lt;=0,N(Screener!$D$9)&lt;=0),0,MAX(0,1-ABS(LOG10(N(Database!$I46)/Screener!$D$9))/W_SIZEHW))</f>
        <v/>
      </c>
      <c r="E46">
        <f>IF(OR(Database!$BE46="",Screener!$D$10=""),0,IF(Database!$BE46=Screener!$D$10,1,0))</f>
        <v/>
      </c>
      <c r="F46">
        <f>IF(OR(Database!$BK46="",Screener!$D$11=""),0,IF(Database!$BK46=Screener!$D$11,1,0))</f>
        <v/>
      </c>
      <c r="G46">
        <f>IF(OR(Database!$H46="",N(Screener!$D$12)&lt;=0),0,MAX(0,1-(N(Screener!$D$12)-Database!$H46)/W_RECD))</f>
        <v/>
      </c>
      <c r="H46">
        <f>IF($U$1="",0,N(ISNUMBER(SEARCH($U$1,Database!$Z46&amp;""))))+IF($V$1="",0,N(ISNUMBER(SEARCH($V$1,Database!$Z46&amp;""))))+IF($W$1="",0,N(ISNUMBER(SEARCH($W$1,Database!$Z46&amp;""))))+IF($X$1="",0,N(ISNUMBER(SEARCH($X$1,Database!$Z46&amp;""))))+IF($Y$1="",0,N(ISNUMBER(SEARCH($Y$1,Database!$Z46&amp;""))))+IF(Screener!$B$17="",0,N(ISNUMBER(SEARCH(LOWER(Screener!$B$17),Database!$Z46&amp;""))))</f>
        <v/>
      </c>
      <c r="I46">
        <f>IF(OR(N(Database!$BF46)&lt;=0,N(Screener!$D$13)&lt;=0),0,MAX(0,1-ABS(LOG10(N(Database!$BF46)/Screener!$D$13))/W_PEHW))</f>
        <v/>
      </c>
      <c r="J46">
        <f>IF(OR(N(Database!$S46)&lt;=0,N(Screener!$D$14)&lt;=0),0,MAX(0,1-ABS(LOG10(Database!$S46/Screener!$D$14))/0.6))</f>
        <v/>
      </c>
      <c r="K46">
        <f>IF(Database!$B46=Screener!$B$5,-999999,IF(ISNUMBER(SEARCH(","&amp;Database!$A46&amp;",",","&amp;SUBSTITUTE(Screener!$D$17," ","")&amp;",")),2000000,IF(IF(OR(Screener!$B$18="All",AND(Screener!$B$18="With A-share",(Database!$BK46="Y")),AND(Screener!$B$18="Without A-share",NOT((Database!$BK46="Y")))),1,0)=0,-999999,IF(Screener!$B$16="cornerstone overlap first",H46*100000,IF(Screener!$B$16="demand-similar first",J46*100000,0))+W_SUB*B46+W_SEC*C46*(1-B46)+W_SIZE*D46+W_PROF*E46+W_AH*F46+W_REC*G46+W_CS*H46+W_PE*I46)))+ROW()/1000000</f>
        <v/>
      </c>
      <c r="AA46">
        <f>Database!B36</f>
        <v/>
      </c>
      <c r="AB46">
        <f>Database!D36</f>
        <v/>
      </c>
      <c r="AC46">
        <f>Database!E36</f>
        <v/>
      </c>
      <c r="AD46">
        <f>Database!I36</f>
        <v/>
      </c>
      <c r="AE46">
        <f>Database!BE36</f>
        <v/>
      </c>
      <c r="AF46">
        <f>Database!BK36</f>
        <v/>
      </c>
      <c r="AG46">
        <f>Database!H36</f>
        <v/>
      </c>
      <c r="AH46">
        <f>Database!BF36</f>
        <v/>
      </c>
    </row>
    <row r="47">
      <c r="A47">
        <f>Database!B47</f>
        <v/>
      </c>
      <c r="B47">
        <f>IF(AND(Screener!$D$8&lt;&gt;"",Database!$E47=Screener!$D$8),1,0)</f>
        <v/>
      </c>
      <c r="C47">
        <f>IF(AND(Screener!$D$7&lt;&gt;"",Database!$D47=Screener!$D$7),1,0)</f>
        <v/>
      </c>
      <c r="D47">
        <f>IF(OR(N(Database!$I47)&lt;=0,N(Screener!$D$9)&lt;=0),0,MAX(0,1-ABS(LOG10(N(Database!$I47)/Screener!$D$9))/W_SIZEHW))</f>
        <v/>
      </c>
      <c r="E47">
        <f>IF(OR(Database!$BE47="",Screener!$D$10=""),0,IF(Database!$BE47=Screener!$D$10,1,0))</f>
        <v/>
      </c>
      <c r="F47">
        <f>IF(OR(Database!$BK47="",Screener!$D$11=""),0,IF(Database!$BK47=Screener!$D$11,1,0))</f>
        <v/>
      </c>
      <c r="G47">
        <f>IF(OR(Database!$H47="",N(Screener!$D$12)&lt;=0),0,MAX(0,1-(N(Screener!$D$12)-Database!$H47)/W_RECD))</f>
        <v/>
      </c>
      <c r="H47">
        <f>IF($U$1="",0,N(ISNUMBER(SEARCH($U$1,Database!$Z47&amp;""))))+IF($V$1="",0,N(ISNUMBER(SEARCH($V$1,Database!$Z47&amp;""))))+IF($W$1="",0,N(ISNUMBER(SEARCH($W$1,Database!$Z47&amp;""))))+IF($X$1="",0,N(ISNUMBER(SEARCH($X$1,Database!$Z47&amp;""))))+IF($Y$1="",0,N(ISNUMBER(SEARCH($Y$1,Database!$Z47&amp;""))))+IF(Screener!$B$17="",0,N(ISNUMBER(SEARCH(LOWER(Screener!$B$17),Database!$Z47&amp;""))))</f>
        <v/>
      </c>
      <c r="I47">
        <f>IF(OR(N(Database!$BF47)&lt;=0,N(Screener!$D$13)&lt;=0),0,MAX(0,1-ABS(LOG10(N(Database!$BF47)/Screener!$D$13))/W_PEHW))</f>
        <v/>
      </c>
      <c r="J47">
        <f>IF(OR(N(Database!$S47)&lt;=0,N(Screener!$D$14)&lt;=0),0,MAX(0,1-ABS(LOG10(Database!$S47/Screener!$D$14))/0.6))</f>
        <v/>
      </c>
      <c r="K47">
        <f>IF(Database!$B47=Screener!$B$5,-999999,IF(ISNUMBER(SEARCH(","&amp;Database!$A47&amp;",",","&amp;SUBSTITUTE(Screener!$D$17," ","")&amp;",")),2000000,IF(IF(OR(Screener!$B$18="All",AND(Screener!$B$18="With A-share",(Database!$BK47="Y")),AND(Screener!$B$18="Without A-share",NOT((Database!$BK47="Y")))),1,0)=0,-999999,IF(Screener!$B$16="cornerstone overlap first",H47*100000,IF(Screener!$B$16="demand-similar first",J47*100000,0))+W_SUB*B47+W_SEC*C47*(1-B47)+W_SIZE*D47+W_PROF*E47+W_AH*F47+W_REC*G47+W_CS*H47+W_PE*I47)))+ROW()/1000000</f>
        <v/>
      </c>
      <c r="AA47">
        <f>Database!B37</f>
        <v/>
      </c>
      <c r="AB47">
        <f>Database!D37</f>
        <v/>
      </c>
      <c r="AC47">
        <f>Database!E37</f>
        <v/>
      </c>
      <c r="AD47">
        <f>Database!I37</f>
        <v/>
      </c>
      <c r="AE47">
        <f>Database!BE37</f>
        <v/>
      </c>
      <c r="AF47">
        <f>Database!BK37</f>
        <v/>
      </c>
      <c r="AG47">
        <f>Database!H37</f>
        <v/>
      </c>
      <c r="AH47">
        <f>Database!BF37</f>
        <v/>
      </c>
    </row>
    <row r="48">
      <c r="A48">
        <f>Database!B48</f>
        <v/>
      </c>
      <c r="B48">
        <f>IF(AND(Screener!$D$8&lt;&gt;"",Database!$E48=Screener!$D$8),1,0)</f>
        <v/>
      </c>
      <c r="C48">
        <f>IF(AND(Screener!$D$7&lt;&gt;"",Database!$D48=Screener!$D$7),1,0)</f>
        <v/>
      </c>
      <c r="D48">
        <f>IF(OR(N(Database!$I48)&lt;=0,N(Screener!$D$9)&lt;=0),0,MAX(0,1-ABS(LOG10(N(Database!$I48)/Screener!$D$9))/W_SIZEHW))</f>
        <v/>
      </c>
      <c r="E48">
        <f>IF(OR(Database!$BE48="",Screener!$D$10=""),0,IF(Database!$BE48=Screener!$D$10,1,0))</f>
        <v/>
      </c>
      <c r="F48">
        <f>IF(OR(Database!$BK48="",Screener!$D$11=""),0,IF(Database!$BK48=Screener!$D$11,1,0))</f>
        <v/>
      </c>
      <c r="G48">
        <f>IF(OR(Database!$H48="",N(Screener!$D$12)&lt;=0),0,MAX(0,1-(N(Screener!$D$12)-Database!$H48)/W_RECD))</f>
        <v/>
      </c>
      <c r="H48">
        <f>IF($U$1="",0,N(ISNUMBER(SEARCH($U$1,Database!$Z48&amp;""))))+IF($V$1="",0,N(ISNUMBER(SEARCH($V$1,Database!$Z48&amp;""))))+IF($W$1="",0,N(ISNUMBER(SEARCH($W$1,Database!$Z48&amp;""))))+IF($X$1="",0,N(ISNUMBER(SEARCH($X$1,Database!$Z48&amp;""))))+IF($Y$1="",0,N(ISNUMBER(SEARCH($Y$1,Database!$Z48&amp;""))))+IF(Screener!$B$17="",0,N(ISNUMBER(SEARCH(LOWER(Screener!$B$17),Database!$Z48&amp;""))))</f>
        <v/>
      </c>
      <c r="I48">
        <f>IF(OR(N(Database!$BF48)&lt;=0,N(Screener!$D$13)&lt;=0),0,MAX(0,1-ABS(LOG10(N(Database!$BF48)/Screener!$D$13))/W_PEHW))</f>
        <v/>
      </c>
      <c r="J48">
        <f>IF(OR(N(Database!$S48)&lt;=0,N(Screener!$D$14)&lt;=0),0,MAX(0,1-ABS(LOG10(Database!$S48/Screener!$D$14))/0.6))</f>
        <v/>
      </c>
      <c r="K48">
        <f>IF(Database!$B48=Screener!$B$5,-999999,IF(ISNUMBER(SEARCH(","&amp;Database!$A48&amp;",",","&amp;SUBSTITUTE(Screener!$D$17," ","")&amp;",")),2000000,IF(IF(OR(Screener!$B$18="All",AND(Screener!$B$18="With A-share",(Database!$BK48="Y")),AND(Screener!$B$18="Without A-share",NOT((Database!$BK48="Y")))),1,0)=0,-999999,IF(Screener!$B$16="cornerstone overlap first",H48*100000,IF(Screener!$B$16="demand-similar first",J48*100000,0))+W_SUB*B48+W_SEC*C48*(1-B48)+W_SIZE*D48+W_PROF*E48+W_AH*F48+W_REC*G48+W_CS*H48+W_PE*I48)))+ROW()/1000000</f>
        <v/>
      </c>
      <c r="AA48">
        <f>Database!B38</f>
        <v/>
      </c>
      <c r="AB48">
        <f>Database!D38</f>
        <v/>
      </c>
      <c r="AC48">
        <f>Database!E38</f>
        <v/>
      </c>
      <c r="AD48">
        <f>Database!I38</f>
        <v/>
      </c>
      <c r="AE48">
        <f>Database!BE38</f>
        <v/>
      </c>
      <c r="AF48">
        <f>Database!BK38</f>
        <v/>
      </c>
      <c r="AG48">
        <f>Database!H38</f>
        <v/>
      </c>
      <c r="AH48">
        <f>Database!BF38</f>
        <v/>
      </c>
    </row>
    <row r="49">
      <c r="A49">
        <f>Database!B49</f>
        <v/>
      </c>
      <c r="B49">
        <f>IF(AND(Screener!$D$8&lt;&gt;"",Database!$E49=Screener!$D$8),1,0)</f>
        <v/>
      </c>
      <c r="C49">
        <f>IF(AND(Screener!$D$7&lt;&gt;"",Database!$D49=Screener!$D$7),1,0)</f>
        <v/>
      </c>
      <c r="D49">
        <f>IF(OR(N(Database!$I49)&lt;=0,N(Screener!$D$9)&lt;=0),0,MAX(0,1-ABS(LOG10(N(Database!$I49)/Screener!$D$9))/W_SIZEHW))</f>
        <v/>
      </c>
      <c r="E49">
        <f>IF(OR(Database!$BE49="",Screener!$D$10=""),0,IF(Database!$BE49=Screener!$D$10,1,0))</f>
        <v/>
      </c>
      <c r="F49">
        <f>IF(OR(Database!$BK49="",Screener!$D$11=""),0,IF(Database!$BK49=Screener!$D$11,1,0))</f>
        <v/>
      </c>
      <c r="G49">
        <f>IF(OR(Database!$H49="",N(Screener!$D$12)&lt;=0),0,MAX(0,1-(N(Screener!$D$12)-Database!$H49)/W_RECD))</f>
        <v/>
      </c>
      <c r="H49">
        <f>IF($U$1="",0,N(ISNUMBER(SEARCH($U$1,Database!$Z49&amp;""))))+IF($V$1="",0,N(ISNUMBER(SEARCH($V$1,Database!$Z49&amp;""))))+IF($W$1="",0,N(ISNUMBER(SEARCH($W$1,Database!$Z49&amp;""))))+IF($X$1="",0,N(ISNUMBER(SEARCH($X$1,Database!$Z49&amp;""))))+IF($Y$1="",0,N(ISNUMBER(SEARCH($Y$1,Database!$Z49&amp;""))))+IF(Screener!$B$17="",0,N(ISNUMBER(SEARCH(LOWER(Screener!$B$17),Database!$Z49&amp;""))))</f>
        <v/>
      </c>
      <c r="I49">
        <f>IF(OR(N(Database!$BF49)&lt;=0,N(Screener!$D$13)&lt;=0),0,MAX(0,1-ABS(LOG10(N(Database!$BF49)/Screener!$D$13))/W_PEHW))</f>
        <v/>
      </c>
      <c r="J49">
        <f>IF(OR(N(Database!$S49)&lt;=0,N(Screener!$D$14)&lt;=0),0,MAX(0,1-ABS(LOG10(Database!$S49/Screener!$D$14))/0.6))</f>
        <v/>
      </c>
      <c r="K49">
        <f>IF(Database!$B49=Screener!$B$5,-999999,IF(ISNUMBER(SEARCH(","&amp;Database!$A49&amp;",",","&amp;SUBSTITUTE(Screener!$D$17," ","")&amp;",")),2000000,IF(IF(OR(Screener!$B$18="All",AND(Screener!$B$18="With A-share",(Database!$BK49="Y")),AND(Screener!$B$18="Without A-share",NOT((Database!$BK49="Y")))),1,0)=0,-999999,IF(Screener!$B$16="cornerstone overlap first",H49*100000,IF(Screener!$B$16="demand-similar first",J49*100000,0))+W_SUB*B49+W_SEC*C49*(1-B49)+W_SIZE*D49+W_PROF*E49+W_AH*F49+W_REC*G49+W_CS*H49+W_PE*I49)))+ROW()/1000000</f>
        <v/>
      </c>
      <c r="AA49">
        <f>Database!B39</f>
        <v/>
      </c>
      <c r="AB49">
        <f>Database!D39</f>
        <v/>
      </c>
      <c r="AC49">
        <f>Database!E39</f>
        <v/>
      </c>
      <c r="AD49">
        <f>Database!I39</f>
        <v/>
      </c>
      <c r="AE49">
        <f>Database!BE39</f>
        <v/>
      </c>
      <c r="AF49">
        <f>Database!BK39</f>
        <v/>
      </c>
      <c r="AG49">
        <f>Database!H39</f>
        <v/>
      </c>
      <c r="AH49">
        <f>Database!BF39</f>
        <v/>
      </c>
    </row>
    <row r="50">
      <c r="A50">
        <f>Database!B50</f>
        <v/>
      </c>
      <c r="B50">
        <f>IF(AND(Screener!$D$8&lt;&gt;"",Database!$E50=Screener!$D$8),1,0)</f>
        <v/>
      </c>
      <c r="C50">
        <f>IF(AND(Screener!$D$7&lt;&gt;"",Database!$D50=Screener!$D$7),1,0)</f>
        <v/>
      </c>
      <c r="D50">
        <f>IF(OR(N(Database!$I50)&lt;=0,N(Screener!$D$9)&lt;=0),0,MAX(0,1-ABS(LOG10(N(Database!$I50)/Screener!$D$9))/W_SIZEHW))</f>
        <v/>
      </c>
      <c r="E50">
        <f>IF(OR(Database!$BE50="",Screener!$D$10=""),0,IF(Database!$BE50=Screener!$D$10,1,0))</f>
        <v/>
      </c>
      <c r="F50">
        <f>IF(OR(Database!$BK50="",Screener!$D$11=""),0,IF(Database!$BK50=Screener!$D$11,1,0))</f>
        <v/>
      </c>
      <c r="G50">
        <f>IF(OR(Database!$H50="",N(Screener!$D$12)&lt;=0),0,MAX(0,1-(N(Screener!$D$12)-Database!$H50)/W_RECD))</f>
        <v/>
      </c>
      <c r="H50">
        <f>IF($U$1="",0,N(ISNUMBER(SEARCH($U$1,Database!$Z50&amp;""))))+IF($V$1="",0,N(ISNUMBER(SEARCH($V$1,Database!$Z50&amp;""))))+IF($W$1="",0,N(ISNUMBER(SEARCH($W$1,Database!$Z50&amp;""))))+IF($X$1="",0,N(ISNUMBER(SEARCH($X$1,Database!$Z50&amp;""))))+IF($Y$1="",0,N(ISNUMBER(SEARCH($Y$1,Database!$Z50&amp;""))))+IF(Screener!$B$17="",0,N(ISNUMBER(SEARCH(LOWER(Screener!$B$17),Database!$Z50&amp;""))))</f>
        <v/>
      </c>
      <c r="I50">
        <f>IF(OR(N(Database!$BF50)&lt;=0,N(Screener!$D$13)&lt;=0),0,MAX(0,1-ABS(LOG10(N(Database!$BF50)/Screener!$D$13))/W_PEHW))</f>
        <v/>
      </c>
      <c r="J50">
        <f>IF(OR(N(Database!$S50)&lt;=0,N(Screener!$D$14)&lt;=0),0,MAX(0,1-ABS(LOG10(Database!$S50/Screener!$D$14))/0.6))</f>
        <v/>
      </c>
      <c r="K50">
        <f>IF(Database!$B50=Screener!$B$5,-999999,IF(ISNUMBER(SEARCH(","&amp;Database!$A50&amp;",",","&amp;SUBSTITUTE(Screener!$D$17," ","")&amp;",")),2000000,IF(IF(OR(Screener!$B$18="All",AND(Screener!$B$18="With A-share",(Database!$BK50="Y")),AND(Screener!$B$18="Without A-share",NOT((Database!$BK50="Y")))),1,0)=0,-999999,IF(Screener!$B$16="cornerstone overlap first",H50*100000,IF(Screener!$B$16="demand-similar first",J50*100000,0))+W_SUB*B50+W_SEC*C50*(1-B50)+W_SIZE*D50+W_PROF*E50+W_AH*F50+W_REC*G50+W_CS*H50+W_PE*I50)))+ROW()/1000000</f>
        <v/>
      </c>
      <c r="AA50">
        <f>Database!B40</f>
        <v/>
      </c>
      <c r="AB50">
        <f>Database!D40</f>
        <v/>
      </c>
      <c r="AC50">
        <f>Database!E40</f>
        <v/>
      </c>
      <c r="AD50">
        <f>Database!I40</f>
        <v/>
      </c>
      <c r="AE50">
        <f>Database!BE40</f>
        <v/>
      </c>
      <c r="AF50">
        <f>Database!BK40</f>
        <v/>
      </c>
      <c r="AG50">
        <f>Database!H40</f>
        <v/>
      </c>
      <c r="AH50">
        <f>Database!BF40</f>
        <v/>
      </c>
    </row>
    <row r="51">
      <c r="A51">
        <f>Database!B51</f>
        <v/>
      </c>
      <c r="B51">
        <f>IF(AND(Screener!$D$8&lt;&gt;"",Database!$E51=Screener!$D$8),1,0)</f>
        <v/>
      </c>
      <c r="C51">
        <f>IF(AND(Screener!$D$7&lt;&gt;"",Database!$D51=Screener!$D$7),1,0)</f>
        <v/>
      </c>
      <c r="D51">
        <f>IF(OR(N(Database!$I51)&lt;=0,N(Screener!$D$9)&lt;=0),0,MAX(0,1-ABS(LOG10(N(Database!$I51)/Screener!$D$9))/W_SIZEHW))</f>
        <v/>
      </c>
      <c r="E51">
        <f>IF(OR(Database!$BE51="",Screener!$D$10=""),0,IF(Database!$BE51=Screener!$D$10,1,0))</f>
        <v/>
      </c>
      <c r="F51">
        <f>IF(OR(Database!$BK51="",Screener!$D$11=""),0,IF(Database!$BK51=Screener!$D$11,1,0))</f>
        <v/>
      </c>
      <c r="G51">
        <f>IF(OR(Database!$H51="",N(Screener!$D$12)&lt;=0),0,MAX(0,1-(N(Screener!$D$12)-Database!$H51)/W_RECD))</f>
        <v/>
      </c>
      <c r="H51">
        <f>IF($U$1="",0,N(ISNUMBER(SEARCH($U$1,Database!$Z51&amp;""))))+IF($V$1="",0,N(ISNUMBER(SEARCH($V$1,Database!$Z51&amp;""))))+IF($W$1="",0,N(ISNUMBER(SEARCH($W$1,Database!$Z51&amp;""))))+IF($X$1="",0,N(ISNUMBER(SEARCH($X$1,Database!$Z51&amp;""))))+IF($Y$1="",0,N(ISNUMBER(SEARCH($Y$1,Database!$Z51&amp;""))))+IF(Screener!$B$17="",0,N(ISNUMBER(SEARCH(LOWER(Screener!$B$17),Database!$Z51&amp;""))))</f>
        <v/>
      </c>
      <c r="I51">
        <f>IF(OR(N(Database!$BF51)&lt;=0,N(Screener!$D$13)&lt;=0),0,MAX(0,1-ABS(LOG10(N(Database!$BF51)/Screener!$D$13))/W_PEHW))</f>
        <v/>
      </c>
      <c r="J51">
        <f>IF(OR(N(Database!$S51)&lt;=0,N(Screener!$D$14)&lt;=0),0,MAX(0,1-ABS(LOG10(Database!$S51/Screener!$D$14))/0.6))</f>
        <v/>
      </c>
      <c r="K51">
        <f>IF(Database!$B51=Screener!$B$5,-999999,IF(ISNUMBER(SEARCH(","&amp;Database!$A51&amp;",",","&amp;SUBSTITUTE(Screener!$D$17," ","")&amp;",")),2000000,IF(IF(OR(Screener!$B$18="All",AND(Screener!$B$18="With A-share",(Database!$BK51="Y")),AND(Screener!$B$18="Without A-share",NOT((Database!$BK51="Y")))),1,0)=0,-999999,IF(Screener!$B$16="cornerstone overlap first",H51*100000,IF(Screener!$B$16="demand-similar first",J51*100000,0))+W_SUB*B51+W_SEC*C51*(1-B51)+W_SIZE*D51+W_PROF*E51+W_AH*F51+W_REC*G51+W_CS*H51+W_PE*I51)))+ROW()/1000000</f>
        <v/>
      </c>
      <c r="AA51">
        <f>Database!B41</f>
        <v/>
      </c>
      <c r="AB51">
        <f>Database!D41</f>
        <v/>
      </c>
      <c r="AC51">
        <f>Database!E41</f>
        <v/>
      </c>
      <c r="AD51">
        <f>Database!I41</f>
        <v/>
      </c>
      <c r="AE51">
        <f>Database!BE41</f>
        <v/>
      </c>
      <c r="AF51">
        <f>Database!BK41</f>
        <v/>
      </c>
      <c r="AG51">
        <f>Database!H41</f>
        <v/>
      </c>
      <c r="AH51">
        <f>Database!BF41</f>
        <v/>
      </c>
    </row>
    <row r="52">
      <c r="A52">
        <f>Database!B52</f>
        <v/>
      </c>
      <c r="B52">
        <f>IF(AND(Screener!$D$8&lt;&gt;"",Database!$E52=Screener!$D$8),1,0)</f>
        <v/>
      </c>
      <c r="C52">
        <f>IF(AND(Screener!$D$7&lt;&gt;"",Database!$D52=Screener!$D$7),1,0)</f>
        <v/>
      </c>
      <c r="D52">
        <f>IF(OR(N(Database!$I52)&lt;=0,N(Screener!$D$9)&lt;=0),0,MAX(0,1-ABS(LOG10(N(Database!$I52)/Screener!$D$9))/W_SIZEHW))</f>
        <v/>
      </c>
      <c r="E52">
        <f>IF(OR(Database!$BE52="",Screener!$D$10=""),0,IF(Database!$BE52=Screener!$D$10,1,0))</f>
        <v/>
      </c>
      <c r="F52">
        <f>IF(OR(Database!$BK52="",Screener!$D$11=""),0,IF(Database!$BK52=Screener!$D$11,1,0))</f>
        <v/>
      </c>
      <c r="G52">
        <f>IF(OR(Database!$H52="",N(Screener!$D$12)&lt;=0),0,MAX(0,1-(N(Screener!$D$12)-Database!$H52)/W_RECD))</f>
        <v/>
      </c>
      <c r="H52">
        <f>IF($U$1="",0,N(ISNUMBER(SEARCH($U$1,Database!$Z52&amp;""))))+IF($V$1="",0,N(ISNUMBER(SEARCH($V$1,Database!$Z52&amp;""))))+IF($W$1="",0,N(ISNUMBER(SEARCH($W$1,Database!$Z52&amp;""))))+IF($X$1="",0,N(ISNUMBER(SEARCH($X$1,Database!$Z52&amp;""))))+IF($Y$1="",0,N(ISNUMBER(SEARCH($Y$1,Database!$Z52&amp;""))))+IF(Screener!$B$17="",0,N(ISNUMBER(SEARCH(LOWER(Screener!$B$17),Database!$Z52&amp;""))))</f>
        <v/>
      </c>
      <c r="I52">
        <f>IF(OR(N(Database!$BF52)&lt;=0,N(Screener!$D$13)&lt;=0),0,MAX(0,1-ABS(LOG10(N(Database!$BF52)/Screener!$D$13))/W_PEHW))</f>
        <v/>
      </c>
      <c r="J52">
        <f>IF(OR(N(Database!$S52)&lt;=0,N(Screener!$D$14)&lt;=0),0,MAX(0,1-ABS(LOG10(Database!$S52/Screener!$D$14))/0.6))</f>
        <v/>
      </c>
      <c r="K52">
        <f>IF(Database!$B52=Screener!$B$5,-999999,IF(ISNUMBER(SEARCH(","&amp;Database!$A52&amp;",",","&amp;SUBSTITUTE(Screener!$D$17," ","")&amp;",")),2000000,IF(IF(OR(Screener!$B$18="All",AND(Screener!$B$18="With A-share",(Database!$BK52="Y")),AND(Screener!$B$18="Without A-share",NOT((Database!$BK52="Y")))),1,0)=0,-999999,IF(Screener!$B$16="cornerstone overlap first",H52*100000,IF(Screener!$B$16="demand-similar first",J52*100000,0))+W_SUB*B52+W_SEC*C52*(1-B52)+W_SIZE*D52+W_PROF*E52+W_AH*F52+W_REC*G52+W_CS*H52+W_PE*I52)))+ROW()/1000000</f>
        <v/>
      </c>
      <c r="AA52">
        <f>Database!B42</f>
        <v/>
      </c>
      <c r="AB52">
        <f>Database!D42</f>
        <v/>
      </c>
      <c r="AC52">
        <f>Database!E42</f>
        <v/>
      </c>
      <c r="AD52">
        <f>Database!I42</f>
        <v/>
      </c>
      <c r="AE52">
        <f>Database!BE42</f>
        <v/>
      </c>
      <c r="AF52">
        <f>Database!BK42</f>
        <v/>
      </c>
      <c r="AG52">
        <f>Database!H42</f>
        <v/>
      </c>
      <c r="AH52">
        <f>Database!BF42</f>
        <v/>
      </c>
    </row>
    <row r="53">
      <c r="A53">
        <f>Database!B53</f>
        <v/>
      </c>
      <c r="B53">
        <f>IF(AND(Screener!$D$8&lt;&gt;"",Database!$E53=Screener!$D$8),1,0)</f>
        <v/>
      </c>
      <c r="C53">
        <f>IF(AND(Screener!$D$7&lt;&gt;"",Database!$D53=Screener!$D$7),1,0)</f>
        <v/>
      </c>
      <c r="D53">
        <f>IF(OR(N(Database!$I53)&lt;=0,N(Screener!$D$9)&lt;=0),0,MAX(0,1-ABS(LOG10(N(Database!$I53)/Screener!$D$9))/W_SIZEHW))</f>
        <v/>
      </c>
      <c r="E53">
        <f>IF(OR(Database!$BE53="",Screener!$D$10=""),0,IF(Database!$BE53=Screener!$D$10,1,0))</f>
        <v/>
      </c>
      <c r="F53">
        <f>IF(OR(Database!$BK53="",Screener!$D$11=""),0,IF(Database!$BK53=Screener!$D$11,1,0))</f>
        <v/>
      </c>
      <c r="G53">
        <f>IF(OR(Database!$H53="",N(Screener!$D$12)&lt;=0),0,MAX(0,1-(N(Screener!$D$12)-Database!$H53)/W_RECD))</f>
        <v/>
      </c>
      <c r="H53">
        <f>IF($U$1="",0,N(ISNUMBER(SEARCH($U$1,Database!$Z53&amp;""))))+IF($V$1="",0,N(ISNUMBER(SEARCH($V$1,Database!$Z53&amp;""))))+IF($W$1="",0,N(ISNUMBER(SEARCH($W$1,Database!$Z53&amp;""))))+IF($X$1="",0,N(ISNUMBER(SEARCH($X$1,Database!$Z53&amp;""))))+IF($Y$1="",0,N(ISNUMBER(SEARCH($Y$1,Database!$Z53&amp;""))))+IF(Screener!$B$17="",0,N(ISNUMBER(SEARCH(LOWER(Screener!$B$17),Database!$Z53&amp;""))))</f>
        <v/>
      </c>
      <c r="I53">
        <f>IF(OR(N(Database!$BF53)&lt;=0,N(Screener!$D$13)&lt;=0),0,MAX(0,1-ABS(LOG10(N(Database!$BF53)/Screener!$D$13))/W_PEHW))</f>
        <v/>
      </c>
      <c r="J53">
        <f>IF(OR(N(Database!$S53)&lt;=0,N(Screener!$D$14)&lt;=0),0,MAX(0,1-ABS(LOG10(Database!$S53/Screener!$D$14))/0.6))</f>
        <v/>
      </c>
      <c r="K53">
        <f>IF(Database!$B53=Screener!$B$5,-999999,IF(ISNUMBER(SEARCH(","&amp;Database!$A53&amp;",",","&amp;SUBSTITUTE(Screener!$D$17," ","")&amp;",")),2000000,IF(IF(OR(Screener!$B$18="All",AND(Screener!$B$18="With A-share",(Database!$BK53="Y")),AND(Screener!$B$18="Without A-share",NOT((Database!$BK53="Y")))),1,0)=0,-999999,IF(Screener!$B$16="cornerstone overlap first",H53*100000,IF(Screener!$B$16="demand-similar first",J53*100000,0))+W_SUB*B53+W_SEC*C53*(1-B53)+W_SIZE*D53+W_PROF*E53+W_AH*F53+W_REC*G53+W_CS*H53+W_PE*I53)))+ROW()/1000000</f>
        <v/>
      </c>
      <c r="AA53">
        <f>Database!B43</f>
        <v/>
      </c>
      <c r="AB53">
        <f>Database!D43</f>
        <v/>
      </c>
      <c r="AC53">
        <f>Database!E43</f>
        <v/>
      </c>
      <c r="AD53">
        <f>Database!I43</f>
        <v/>
      </c>
      <c r="AE53">
        <f>Database!BE43</f>
        <v/>
      </c>
      <c r="AF53">
        <f>Database!BK43</f>
        <v/>
      </c>
      <c r="AG53">
        <f>Database!H43</f>
        <v/>
      </c>
      <c r="AH53">
        <f>Database!BF43</f>
        <v/>
      </c>
    </row>
    <row r="54">
      <c r="A54">
        <f>Database!B54</f>
        <v/>
      </c>
      <c r="B54">
        <f>IF(AND(Screener!$D$8&lt;&gt;"",Database!$E54=Screener!$D$8),1,0)</f>
        <v/>
      </c>
      <c r="C54">
        <f>IF(AND(Screener!$D$7&lt;&gt;"",Database!$D54=Screener!$D$7),1,0)</f>
        <v/>
      </c>
      <c r="D54">
        <f>IF(OR(N(Database!$I54)&lt;=0,N(Screener!$D$9)&lt;=0),0,MAX(0,1-ABS(LOG10(N(Database!$I54)/Screener!$D$9))/W_SIZEHW))</f>
        <v/>
      </c>
      <c r="E54">
        <f>IF(OR(Database!$BE54="",Screener!$D$10=""),0,IF(Database!$BE54=Screener!$D$10,1,0))</f>
        <v/>
      </c>
      <c r="F54">
        <f>IF(OR(Database!$BK54="",Screener!$D$11=""),0,IF(Database!$BK54=Screener!$D$11,1,0))</f>
        <v/>
      </c>
      <c r="G54">
        <f>IF(OR(Database!$H54="",N(Screener!$D$12)&lt;=0),0,MAX(0,1-(N(Screener!$D$12)-Database!$H54)/W_RECD))</f>
        <v/>
      </c>
      <c r="H54">
        <f>IF($U$1="",0,N(ISNUMBER(SEARCH($U$1,Database!$Z54&amp;""))))+IF($V$1="",0,N(ISNUMBER(SEARCH($V$1,Database!$Z54&amp;""))))+IF($W$1="",0,N(ISNUMBER(SEARCH($W$1,Database!$Z54&amp;""))))+IF($X$1="",0,N(ISNUMBER(SEARCH($X$1,Database!$Z54&amp;""))))+IF($Y$1="",0,N(ISNUMBER(SEARCH($Y$1,Database!$Z54&amp;""))))+IF(Screener!$B$17="",0,N(ISNUMBER(SEARCH(LOWER(Screener!$B$17),Database!$Z54&amp;""))))</f>
        <v/>
      </c>
      <c r="I54">
        <f>IF(OR(N(Database!$BF54)&lt;=0,N(Screener!$D$13)&lt;=0),0,MAX(0,1-ABS(LOG10(N(Database!$BF54)/Screener!$D$13))/W_PEHW))</f>
        <v/>
      </c>
      <c r="J54">
        <f>IF(OR(N(Database!$S54)&lt;=0,N(Screener!$D$14)&lt;=0),0,MAX(0,1-ABS(LOG10(Database!$S54/Screener!$D$14))/0.6))</f>
        <v/>
      </c>
      <c r="K54">
        <f>IF(Database!$B54=Screener!$B$5,-999999,IF(ISNUMBER(SEARCH(","&amp;Database!$A54&amp;",",","&amp;SUBSTITUTE(Screener!$D$17," ","")&amp;",")),2000000,IF(IF(OR(Screener!$B$18="All",AND(Screener!$B$18="With A-share",(Database!$BK54="Y")),AND(Screener!$B$18="Without A-share",NOT((Database!$BK54="Y")))),1,0)=0,-999999,IF(Screener!$B$16="cornerstone overlap first",H54*100000,IF(Screener!$B$16="demand-similar first",J54*100000,0))+W_SUB*B54+W_SEC*C54*(1-B54)+W_SIZE*D54+W_PROF*E54+W_AH*F54+W_REC*G54+W_CS*H54+W_PE*I54)))+ROW()/1000000</f>
        <v/>
      </c>
      <c r="AA54">
        <f>Database!B44</f>
        <v/>
      </c>
      <c r="AB54">
        <f>Database!D44</f>
        <v/>
      </c>
      <c r="AC54">
        <f>Database!E44</f>
        <v/>
      </c>
      <c r="AD54">
        <f>Database!I44</f>
        <v/>
      </c>
      <c r="AE54">
        <f>Database!BE44</f>
        <v/>
      </c>
      <c r="AF54">
        <f>Database!BK44</f>
        <v/>
      </c>
      <c r="AG54">
        <f>Database!H44</f>
        <v/>
      </c>
      <c r="AH54">
        <f>Database!BF44</f>
        <v/>
      </c>
    </row>
    <row r="55">
      <c r="A55">
        <f>Database!B55</f>
        <v/>
      </c>
      <c r="B55">
        <f>IF(AND(Screener!$D$8&lt;&gt;"",Database!$E55=Screener!$D$8),1,0)</f>
        <v/>
      </c>
      <c r="C55">
        <f>IF(AND(Screener!$D$7&lt;&gt;"",Database!$D55=Screener!$D$7),1,0)</f>
        <v/>
      </c>
      <c r="D55">
        <f>IF(OR(N(Database!$I55)&lt;=0,N(Screener!$D$9)&lt;=0),0,MAX(0,1-ABS(LOG10(N(Database!$I55)/Screener!$D$9))/W_SIZEHW))</f>
        <v/>
      </c>
      <c r="E55">
        <f>IF(OR(Database!$BE55="",Screener!$D$10=""),0,IF(Database!$BE55=Screener!$D$10,1,0))</f>
        <v/>
      </c>
      <c r="F55">
        <f>IF(OR(Database!$BK55="",Screener!$D$11=""),0,IF(Database!$BK55=Screener!$D$11,1,0))</f>
        <v/>
      </c>
      <c r="G55">
        <f>IF(OR(Database!$H55="",N(Screener!$D$12)&lt;=0),0,MAX(0,1-(N(Screener!$D$12)-Database!$H55)/W_RECD))</f>
        <v/>
      </c>
      <c r="H55">
        <f>IF($U$1="",0,N(ISNUMBER(SEARCH($U$1,Database!$Z55&amp;""))))+IF($V$1="",0,N(ISNUMBER(SEARCH($V$1,Database!$Z55&amp;""))))+IF($W$1="",0,N(ISNUMBER(SEARCH($W$1,Database!$Z55&amp;""))))+IF($X$1="",0,N(ISNUMBER(SEARCH($X$1,Database!$Z55&amp;""))))+IF($Y$1="",0,N(ISNUMBER(SEARCH($Y$1,Database!$Z55&amp;""))))+IF(Screener!$B$17="",0,N(ISNUMBER(SEARCH(LOWER(Screener!$B$17),Database!$Z55&amp;""))))</f>
        <v/>
      </c>
      <c r="I55">
        <f>IF(OR(N(Database!$BF55)&lt;=0,N(Screener!$D$13)&lt;=0),0,MAX(0,1-ABS(LOG10(N(Database!$BF55)/Screener!$D$13))/W_PEHW))</f>
        <v/>
      </c>
      <c r="J55">
        <f>IF(OR(N(Database!$S55)&lt;=0,N(Screener!$D$14)&lt;=0),0,MAX(0,1-ABS(LOG10(Database!$S55/Screener!$D$14))/0.6))</f>
        <v/>
      </c>
      <c r="K55">
        <f>IF(Database!$B55=Screener!$B$5,-999999,IF(ISNUMBER(SEARCH(","&amp;Database!$A55&amp;",",","&amp;SUBSTITUTE(Screener!$D$17," ","")&amp;",")),2000000,IF(IF(OR(Screener!$B$18="All",AND(Screener!$B$18="With A-share",(Database!$BK55="Y")),AND(Screener!$B$18="Without A-share",NOT((Database!$BK55="Y")))),1,0)=0,-999999,IF(Screener!$B$16="cornerstone overlap first",H55*100000,IF(Screener!$B$16="demand-similar first",J55*100000,0))+W_SUB*B55+W_SEC*C55*(1-B55)+W_SIZE*D55+W_PROF*E55+W_AH*F55+W_REC*G55+W_CS*H55+W_PE*I55)))+ROW()/1000000</f>
        <v/>
      </c>
      <c r="AA55">
        <f>Database!B45</f>
        <v/>
      </c>
      <c r="AB55">
        <f>Database!D45</f>
        <v/>
      </c>
      <c r="AC55">
        <f>Database!E45</f>
        <v/>
      </c>
      <c r="AD55">
        <f>Database!I45</f>
        <v/>
      </c>
      <c r="AE55">
        <f>Database!BE45</f>
        <v/>
      </c>
      <c r="AF55">
        <f>Database!BK45</f>
        <v/>
      </c>
      <c r="AG55">
        <f>Database!H45</f>
        <v/>
      </c>
      <c r="AH55">
        <f>Database!BF45</f>
        <v/>
      </c>
    </row>
    <row r="56">
      <c r="A56">
        <f>Database!B56</f>
        <v/>
      </c>
      <c r="B56">
        <f>IF(AND(Screener!$D$8&lt;&gt;"",Database!$E56=Screener!$D$8),1,0)</f>
        <v/>
      </c>
      <c r="C56">
        <f>IF(AND(Screener!$D$7&lt;&gt;"",Database!$D56=Screener!$D$7),1,0)</f>
        <v/>
      </c>
      <c r="D56">
        <f>IF(OR(N(Database!$I56)&lt;=0,N(Screener!$D$9)&lt;=0),0,MAX(0,1-ABS(LOG10(N(Database!$I56)/Screener!$D$9))/W_SIZEHW))</f>
        <v/>
      </c>
      <c r="E56">
        <f>IF(OR(Database!$BE56="",Screener!$D$10=""),0,IF(Database!$BE56=Screener!$D$10,1,0))</f>
        <v/>
      </c>
      <c r="F56">
        <f>IF(OR(Database!$BK56="",Screener!$D$11=""),0,IF(Database!$BK56=Screener!$D$11,1,0))</f>
        <v/>
      </c>
      <c r="G56">
        <f>IF(OR(Database!$H56="",N(Screener!$D$12)&lt;=0),0,MAX(0,1-(N(Screener!$D$12)-Database!$H56)/W_RECD))</f>
        <v/>
      </c>
      <c r="H56">
        <f>IF($U$1="",0,N(ISNUMBER(SEARCH($U$1,Database!$Z56&amp;""))))+IF($V$1="",0,N(ISNUMBER(SEARCH($V$1,Database!$Z56&amp;""))))+IF($W$1="",0,N(ISNUMBER(SEARCH($W$1,Database!$Z56&amp;""))))+IF($X$1="",0,N(ISNUMBER(SEARCH($X$1,Database!$Z56&amp;""))))+IF($Y$1="",0,N(ISNUMBER(SEARCH($Y$1,Database!$Z56&amp;""))))+IF(Screener!$B$17="",0,N(ISNUMBER(SEARCH(LOWER(Screener!$B$17),Database!$Z56&amp;""))))</f>
        <v/>
      </c>
      <c r="I56">
        <f>IF(OR(N(Database!$BF56)&lt;=0,N(Screener!$D$13)&lt;=0),0,MAX(0,1-ABS(LOG10(N(Database!$BF56)/Screener!$D$13))/W_PEHW))</f>
        <v/>
      </c>
      <c r="J56">
        <f>IF(OR(N(Database!$S56)&lt;=0,N(Screener!$D$14)&lt;=0),0,MAX(0,1-ABS(LOG10(Database!$S56/Screener!$D$14))/0.6))</f>
        <v/>
      </c>
      <c r="K56">
        <f>IF(Database!$B56=Screener!$B$5,-999999,IF(ISNUMBER(SEARCH(","&amp;Database!$A56&amp;",",","&amp;SUBSTITUTE(Screener!$D$17," ","")&amp;",")),2000000,IF(IF(OR(Screener!$B$18="All",AND(Screener!$B$18="With A-share",(Database!$BK56="Y")),AND(Screener!$B$18="Without A-share",NOT((Database!$BK56="Y")))),1,0)=0,-999999,IF(Screener!$B$16="cornerstone overlap first",H56*100000,IF(Screener!$B$16="demand-similar first",J56*100000,0))+W_SUB*B56+W_SEC*C56*(1-B56)+W_SIZE*D56+W_PROF*E56+W_AH*F56+W_REC*G56+W_CS*H56+W_PE*I56)))+ROW()/1000000</f>
        <v/>
      </c>
      <c r="AA56">
        <f>Database!B46</f>
        <v/>
      </c>
      <c r="AB56">
        <f>Database!D46</f>
        <v/>
      </c>
      <c r="AC56">
        <f>Database!E46</f>
        <v/>
      </c>
      <c r="AD56">
        <f>Database!I46</f>
        <v/>
      </c>
      <c r="AE56">
        <f>Database!BE46</f>
        <v/>
      </c>
      <c r="AF56">
        <f>Database!BK46</f>
        <v/>
      </c>
      <c r="AG56">
        <f>Database!H46</f>
        <v/>
      </c>
      <c r="AH56">
        <f>Database!BF46</f>
        <v/>
      </c>
    </row>
    <row r="57">
      <c r="A57">
        <f>Database!B57</f>
        <v/>
      </c>
      <c r="B57">
        <f>IF(AND(Screener!$D$8&lt;&gt;"",Database!$E57=Screener!$D$8),1,0)</f>
        <v/>
      </c>
      <c r="C57">
        <f>IF(AND(Screener!$D$7&lt;&gt;"",Database!$D57=Screener!$D$7),1,0)</f>
        <v/>
      </c>
      <c r="D57">
        <f>IF(OR(N(Database!$I57)&lt;=0,N(Screener!$D$9)&lt;=0),0,MAX(0,1-ABS(LOG10(N(Database!$I57)/Screener!$D$9))/W_SIZEHW))</f>
        <v/>
      </c>
      <c r="E57">
        <f>IF(OR(Database!$BE57="",Screener!$D$10=""),0,IF(Database!$BE57=Screener!$D$10,1,0))</f>
        <v/>
      </c>
      <c r="F57">
        <f>IF(OR(Database!$BK57="",Screener!$D$11=""),0,IF(Database!$BK57=Screener!$D$11,1,0))</f>
        <v/>
      </c>
      <c r="G57">
        <f>IF(OR(Database!$H57="",N(Screener!$D$12)&lt;=0),0,MAX(0,1-(N(Screener!$D$12)-Database!$H57)/W_RECD))</f>
        <v/>
      </c>
      <c r="H57">
        <f>IF($U$1="",0,N(ISNUMBER(SEARCH($U$1,Database!$Z57&amp;""))))+IF($V$1="",0,N(ISNUMBER(SEARCH($V$1,Database!$Z57&amp;""))))+IF($W$1="",0,N(ISNUMBER(SEARCH($W$1,Database!$Z57&amp;""))))+IF($X$1="",0,N(ISNUMBER(SEARCH($X$1,Database!$Z57&amp;""))))+IF($Y$1="",0,N(ISNUMBER(SEARCH($Y$1,Database!$Z57&amp;""))))+IF(Screener!$B$17="",0,N(ISNUMBER(SEARCH(LOWER(Screener!$B$17),Database!$Z57&amp;""))))</f>
        <v/>
      </c>
      <c r="I57">
        <f>IF(OR(N(Database!$BF57)&lt;=0,N(Screener!$D$13)&lt;=0),0,MAX(0,1-ABS(LOG10(N(Database!$BF57)/Screener!$D$13))/W_PEHW))</f>
        <v/>
      </c>
      <c r="J57">
        <f>IF(OR(N(Database!$S57)&lt;=0,N(Screener!$D$14)&lt;=0),0,MAX(0,1-ABS(LOG10(Database!$S57/Screener!$D$14))/0.6))</f>
        <v/>
      </c>
      <c r="K57">
        <f>IF(Database!$B57=Screener!$B$5,-999999,IF(ISNUMBER(SEARCH(","&amp;Database!$A57&amp;",",","&amp;SUBSTITUTE(Screener!$D$17," ","")&amp;",")),2000000,IF(IF(OR(Screener!$B$18="All",AND(Screener!$B$18="With A-share",(Database!$BK57="Y")),AND(Screener!$B$18="Without A-share",NOT((Database!$BK57="Y")))),1,0)=0,-999999,IF(Screener!$B$16="cornerstone overlap first",H57*100000,IF(Screener!$B$16="demand-similar first",J57*100000,0))+W_SUB*B57+W_SEC*C57*(1-B57)+W_SIZE*D57+W_PROF*E57+W_AH*F57+W_REC*G57+W_CS*H57+W_PE*I57)))+ROW()/1000000</f>
        <v/>
      </c>
      <c r="AA57">
        <f>Database!B47</f>
        <v/>
      </c>
      <c r="AB57">
        <f>Database!D47</f>
        <v/>
      </c>
      <c r="AC57">
        <f>Database!E47</f>
        <v/>
      </c>
      <c r="AD57">
        <f>Database!I47</f>
        <v/>
      </c>
      <c r="AE57">
        <f>Database!BE47</f>
        <v/>
      </c>
      <c r="AF57">
        <f>Database!BK47</f>
        <v/>
      </c>
      <c r="AG57">
        <f>Database!H47</f>
        <v/>
      </c>
      <c r="AH57">
        <f>Database!BF47</f>
        <v/>
      </c>
    </row>
    <row r="58">
      <c r="A58">
        <f>Database!B58</f>
        <v/>
      </c>
      <c r="B58">
        <f>IF(AND(Screener!$D$8&lt;&gt;"",Database!$E58=Screener!$D$8),1,0)</f>
        <v/>
      </c>
      <c r="C58">
        <f>IF(AND(Screener!$D$7&lt;&gt;"",Database!$D58=Screener!$D$7),1,0)</f>
        <v/>
      </c>
      <c r="D58">
        <f>IF(OR(N(Database!$I58)&lt;=0,N(Screener!$D$9)&lt;=0),0,MAX(0,1-ABS(LOG10(N(Database!$I58)/Screener!$D$9))/W_SIZEHW))</f>
        <v/>
      </c>
      <c r="E58">
        <f>IF(OR(Database!$BE58="",Screener!$D$10=""),0,IF(Database!$BE58=Screener!$D$10,1,0))</f>
        <v/>
      </c>
      <c r="F58">
        <f>IF(OR(Database!$BK58="",Screener!$D$11=""),0,IF(Database!$BK58=Screener!$D$11,1,0))</f>
        <v/>
      </c>
      <c r="G58">
        <f>IF(OR(Database!$H58="",N(Screener!$D$12)&lt;=0),0,MAX(0,1-(N(Screener!$D$12)-Database!$H58)/W_RECD))</f>
        <v/>
      </c>
      <c r="H58">
        <f>IF($U$1="",0,N(ISNUMBER(SEARCH($U$1,Database!$Z58&amp;""))))+IF($V$1="",0,N(ISNUMBER(SEARCH($V$1,Database!$Z58&amp;""))))+IF($W$1="",0,N(ISNUMBER(SEARCH($W$1,Database!$Z58&amp;""))))+IF($X$1="",0,N(ISNUMBER(SEARCH($X$1,Database!$Z58&amp;""))))+IF($Y$1="",0,N(ISNUMBER(SEARCH($Y$1,Database!$Z58&amp;""))))+IF(Screener!$B$17="",0,N(ISNUMBER(SEARCH(LOWER(Screener!$B$17),Database!$Z58&amp;""))))</f>
        <v/>
      </c>
      <c r="I58">
        <f>IF(OR(N(Database!$BF58)&lt;=0,N(Screener!$D$13)&lt;=0),0,MAX(0,1-ABS(LOG10(N(Database!$BF58)/Screener!$D$13))/W_PEHW))</f>
        <v/>
      </c>
      <c r="J58">
        <f>IF(OR(N(Database!$S58)&lt;=0,N(Screener!$D$14)&lt;=0),0,MAX(0,1-ABS(LOG10(Database!$S58/Screener!$D$14))/0.6))</f>
        <v/>
      </c>
      <c r="K58">
        <f>IF(Database!$B58=Screener!$B$5,-999999,IF(ISNUMBER(SEARCH(","&amp;Database!$A58&amp;",",","&amp;SUBSTITUTE(Screener!$D$17," ","")&amp;",")),2000000,IF(IF(OR(Screener!$B$18="All",AND(Screener!$B$18="With A-share",(Database!$BK58="Y")),AND(Screener!$B$18="Without A-share",NOT((Database!$BK58="Y")))),1,0)=0,-999999,IF(Screener!$B$16="cornerstone overlap first",H58*100000,IF(Screener!$B$16="demand-similar first",J58*100000,0))+W_SUB*B58+W_SEC*C58*(1-B58)+W_SIZE*D58+W_PROF*E58+W_AH*F58+W_REC*G58+W_CS*H58+W_PE*I58)))+ROW()/1000000</f>
        <v/>
      </c>
      <c r="AA58">
        <f>Database!B48</f>
        <v/>
      </c>
      <c r="AB58">
        <f>Database!D48</f>
        <v/>
      </c>
      <c r="AC58">
        <f>Database!E48</f>
        <v/>
      </c>
      <c r="AD58">
        <f>Database!I48</f>
        <v/>
      </c>
      <c r="AE58">
        <f>Database!BE48</f>
        <v/>
      </c>
      <c r="AF58">
        <f>Database!BK48</f>
        <v/>
      </c>
      <c r="AG58">
        <f>Database!H48</f>
        <v/>
      </c>
      <c r="AH58">
        <f>Database!BF48</f>
        <v/>
      </c>
    </row>
    <row r="59">
      <c r="A59">
        <f>Database!B59</f>
        <v/>
      </c>
      <c r="B59">
        <f>IF(AND(Screener!$D$8&lt;&gt;"",Database!$E59=Screener!$D$8),1,0)</f>
        <v/>
      </c>
      <c r="C59">
        <f>IF(AND(Screener!$D$7&lt;&gt;"",Database!$D59=Screener!$D$7),1,0)</f>
        <v/>
      </c>
      <c r="D59">
        <f>IF(OR(N(Database!$I59)&lt;=0,N(Screener!$D$9)&lt;=0),0,MAX(0,1-ABS(LOG10(N(Database!$I59)/Screener!$D$9))/W_SIZEHW))</f>
        <v/>
      </c>
      <c r="E59">
        <f>IF(OR(Database!$BE59="",Screener!$D$10=""),0,IF(Database!$BE59=Screener!$D$10,1,0))</f>
        <v/>
      </c>
      <c r="F59">
        <f>IF(OR(Database!$BK59="",Screener!$D$11=""),0,IF(Database!$BK59=Screener!$D$11,1,0))</f>
        <v/>
      </c>
      <c r="G59">
        <f>IF(OR(Database!$H59="",N(Screener!$D$12)&lt;=0),0,MAX(0,1-(N(Screener!$D$12)-Database!$H59)/W_RECD))</f>
        <v/>
      </c>
      <c r="H59">
        <f>IF($U$1="",0,N(ISNUMBER(SEARCH($U$1,Database!$Z59&amp;""))))+IF($V$1="",0,N(ISNUMBER(SEARCH($V$1,Database!$Z59&amp;""))))+IF($W$1="",0,N(ISNUMBER(SEARCH($W$1,Database!$Z59&amp;""))))+IF($X$1="",0,N(ISNUMBER(SEARCH($X$1,Database!$Z59&amp;""))))+IF($Y$1="",0,N(ISNUMBER(SEARCH($Y$1,Database!$Z59&amp;""))))+IF(Screener!$B$17="",0,N(ISNUMBER(SEARCH(LOWER(Screener!$B$17),Database!$Z59&amp;""))))</f>
        <v/>
      </c>
      <c r="I59">
        <f>IF(OR(N(Database!$BF59)&lt;=0,N(Screener!$D$13)&lt;=0),0,MAX(0,1-ABS(LOG10(N(Database!$BF59)/Screener!$D$13))/W_PEHW))</f>
        <v/>
      </c>
      <c r="J59">
        <f>IF(OR(N(Database!$S59)&lt;=0,N(Screener!$D$14)&lt;=0),0,MAX(0,1-ABS(LOG10(Database!$S59/Screener!$D$14))/0.6))</f>
        <v/>
      </c>
      <c r="K59">
        <f>IF(Database!$B59=Screener!$B$5,-999999,IF(ISNUMBER(SEARCH(","&amp;Database!$A59&amp;",",","&amp;SUBSTITUTE(Screener!$D$17," ","")&amp;",")),2000000,IF(IF(OR(Screener!$B$18="All",AND(Screener!$B$18="With A-share",(Database!$BK59="Y")),AND(Screener!$B$18="Without A-share",NOT((Database!$BK59="Y")))),1,0)=0,-999999,IF(Screener!$B$16="cornerstone overlap first",H59*100000,IF(Screener!$B$16="demand-similar first",J59*100000,0))+W_SUB*B59+W_SEC*C59*(1-B59)+W_SIZE*D59+W_PROF*E59+W_AH*F59+W_REC*G59+W_CS*H59+W_PE*I59)))+ROW()/1000000</f>
        <v/>
      </c>
      <c r="AA59">
        <f>Database!B49</f>
        <v/>
      </c>
      <c r="AB59">
        <f>Database!D49</f>
        <v/>
      </c>
      <c r="AC59">
        <f>Database!E49</f>
        <v/>
      </c>
      <c r="AD59">
        <f>Database!I49</f>
        <v/>
      </c>
      <c r="AE59">
        <f>Database!BE49</f>
        <v/>
      </c>
      <c r="AF59">
        <f>Database!BK49</f>
        <v/>
      </c>
      <c r="AG59">
        <f>Database!H49</f>
        <v/>
      </c>
      <c r="AH59">
        <f>Database!BF49</f>
        <v/>
      </c>
    </row>
    <row r="60">
      <c r="A60">
        <f>Database!B60</f>
        <v/>
      </c>
      <c r="B60">
        <f>IF(AND(Screener!$D$8&lt;&gt;"",Database!$E60=Screener!$D$8),1,0)</f>
        <v/>
      </c>
      <c r="C60">
        <f>IF(AND(Screener!$D$7&lt;&gt;"",Database!$D60=Screener!$D$7),1,0)</f>
        <v/>
      </c>
      <c r="D60">
        <f>IF(OR(N(Database!$I60)&lt;=0,N(Screener!$D$9)&lt;=0),0,MAX(0,1-ABS(LOG10(N(Database!$I60)/Screener!$D$9))/W_SIZEHW))</f>
        <v/>
      </c>
      <c r="E60">
        <f>IF(OR(Database!$BE60="",Screener!$D$10=""),0,IF(Database!$BE60=Screener!$D$10,1,0))</f>
        <v/>
      </c>
      <c r="F60">
        <f>IF(OR(Database!$BK60="",Screener!$D$11=""),0,IF(Database!$BK60=Screener!$D$11,1,0))</f>
        <v/>
      </c>
      <c r="G60">
        <f>IF(OR(Database!$H60="",N(Screener!$D$12)&lt;=0),0,MAX(0,1-(N(Screener!$D$12)-Database!$H60)/W_RECD))</f>
        <v/>
      </c>
      <c r="H60">
        <f>IF($U$1="",0,N(ISNUMBER(SEARCH($U$1,Database!$Z60&amp;""))))+IF($V$1="",0,N(ISNUMBER(SEARCH($V$1,Database!$Z60&amp;""))))+IF($W$1="",0,N(ISNUMBER(SEARCH($W$1,Database!$Z60&amp;""))))+IF($X$1="",0,N(ISNUMBER(SEARCH($X$1,Database!$Z60&amp;""))))+IF($Y$1="",0,N(ISNUMBER(SEARCH($Y$1,Database!$Z60&amp;""))))+IF(Screener!$B$17="",0,N(ISNUMBER(SEARCH(LOWER(Screener!$B$17),Database!$Z60&amp;""))))</f>
        <v/>
      </c>
      <c r="I60">
        <f>IF(OR(N(Database!$BF60)&lt;=0,N(Screener!$D$13)&lt;=0),0,MAX(0,1-ABS(LOG10(N(Database!$BF60)/Screener!$D$13))/W_PEHW))</f>
        <v/>
      </c>
      <c r="J60">
        <f>IF(OR(N(Database!$S60)&lt;=0,N(Screener!$D$14)&lt;=0),0,MAX(0,1-ABS(LOG10(Database!$S60/Screener!$D$14))/0.6))</f>
        <v/>
      </c>
      <c r="K60">
        <f>IF(Database!$B60=Screener!$B$5,-999999,IF(ISNUMBER(SEARCH(","&amp;Database!$A60&amp;",",","&amp;SUBSTITUTE(Screener!$D$17," ","")&amp;",")),2000000,IF(IF(OR(Screener!$B$18="All",AND(Screener!$B$18="With A-share",(Database!$BK60="Y")),AND(Screener!$B$18="Without A-share",NOT((Database!$BK60="Y")))),1,0)=0,-999999,IF(Screener!$B$16="cornerstone overlap first",H60*100000,IF(Screener!$B$16="demand-similar first",J60*100000,0))+W_SUB*B60+W_SEC*C60*(1-B60)+W_SIZE*D60+W_PROF*E60+W_AH*F60+W_REC*G60+W_CS*H60+W_PE*I60)))+ROW()/1000000</f>
        <v/>
      </c>
      <c r="AA60">
        <f>Database!B50</f>
        <v/>
      </c>
      <c r="AB60">
        <f>Database!D50</f>
        <v/>
      </c>
      <c r="AC60">
        <f>Database!E50</f>
        <v/>
      </c>
      <c r="AD60">
        <f>Database!I50</f>
        <v/>
      </c>
      <c r="AE60">
        <f>Database!BE50</f>
        <v/>
      </c>
      <c r="AF60">
        <f>Database!BK50</f>
        <v/>
      </c>
      <c r="AG60">
        <f>Database!H50</f>
        <v/>
      </c>
      <c r="AH60">
        <f>Database!BF50</f>
        <v/>
      </c>
    </row>
    <row r="61">
      <c r="A61">
        <f>Database!B61</f>
        <v/>
      </c>
      <c r="B61">
        <f>IF(AND(Screener!$D$8&lt;&gt;"",Database!$E61=Screener!$D$8),1,0)</f>
        <v/>
      </c>
      <c r="C61">
        <f>IF(AND(Screener!$D$7&lt;&gt;"",Database!$D61=Screener!$D$7),1,0)</f>
        <v/>
      </c>
      <c r="D61">
        <f>IF(OR(N(Database!$I61)&lt;=0,N(Screener!$D$9)&lt;=0),0,MAX(0,1-ABS(LOG10(N(Database!$I61)/Screener!$D$9))/W_SIZEHW))</f>
        <v/>
      </c>
      <c r="E61">
        <f>IF(OR(Database!$BE61="",Screener!$D$10=""),0,IF(Database!$BE61=Screener!$D$10,1,0))</f>
        <v/>
      </c>
      <c r="F61">
        <f>IF(OR(Database!$BK61="",Screener!$D$11=""),0,IF(Database!$BK61=Screener!$D$11,1,0))</f>
        <v/>
      </c>
      <c r="G61">
        <f>IF(OR(Database!$H61="",N(Screener!$D$12)&lt;=0),0,MAX(0,1-(N(Screener!$D$12)-Database!$H61)/W_RECD))</f>
        <v/>
      </c>
      <c r="H61">
        <f>IF($U$1="",0,N(ISNUMBER(SEARCH($U$1,Database!$Z61&amp;""))))+IF($V$1="",0,N(ISNUMBER(SEARCH($V$1,Database!$Z61&amp;""))))+IF($W$1="",0,N(ISNUMBER(SEARCH($W$1,Database!$Z61&amp;""))))+IF($X$1="",0,N(ISNUMBER(SEARCH($X$1,Database!$Z61&amp;""))))+IF($Y$1="",0,N(ISNUMBER(SEARCH($Y$1,Database!$Z61&amp;""))))+IF(Screener!$B$17="",0,N(ISNUMBER(SEARCH(LOWER(Screener!$B$17),Database!$Z61&amp;""))))</f>
        <v/>
      </c>
      <c r="I61">
        <f>IF(OR(N(Database!$BF61)&lt;=0,N(Screener!$D$13)&lt;=0),0,MAX(0,1-ABS(LOG10(N(Database!$BF61)/Screener!$D$13))/W_PEHW))</f>
        <v/>
      </c>
      <c r="J61">
        <f>IF(OR(N(Database!$S61)&lt;=0,N(Screener!$D$14)&lt;=0),0,MAX(0,1-ABS(LOG10(Database!$S61/Screener!$D$14))/0.6))</f>
        <v/>
      </c>
      <c r="K61">
        <f>IF(Database!$B61=Screener!$B$5,-999999,IF(ISNUMBER(SEARCH(","&amp;Database!$A61&amp;",",","&amp;SUBSTITUTE(Screener!$D$17," ","")&amp;",")),2000000,IF(IF(OR(Screener!$B$18="All",AND(Screener!$B$18="With A-share",(Database!$BK61="Y")),AND(Screener!$B$18="Without A-share",NOT((Database!$BK61="Y")))),1,0)=0,-999999,IF(Screener!$B$16="cornerstone overlap first",H61*100000,IF(Screener!$B$16="demand-similar first",J61*100000,0))+W_SUB*B61+W_SEC*C61*(1-B61)+W_SIZE*D61+W_PROF*E61+W_AH*F61+W_REC*G61+W_CS*H61+W_PE*I61)))+ROW()/1000000</f>
        <v/>
      </c>
      <c r="AA61">
        <f>Database!B51</f>
        <v/>
      </c>
      <c r="AB61">
        <f>Database!D51</f>
        <v/>
      </c>
      <c r="AC61">
        <f>Database!E51</f>
        <v/>
      </c>
      <c r="AD61">
        <f>Database!I51</f>
        <v/>
      </c>
      <c r="AE61">
        <f>Database!BE51</f>
        <v/>
      </c>
      <c r="AF61">
        <f>Database!BK51</f>
        <v/>
      </c>
      <c r="AG61">
        <f>Database!H51</f>
        <v/>
      </c>
      <c r="AH61">
        <f>Database!BF51</f>
        <v/>
      </c>
    </row>
    <row r="62">
      <c r="A62">
        <f>Database!B62</f>
        <v/>
      </c>
      <c r="B62">
        <f>IF(AND(Screener!$D$8&lt;&gt;"",Database!$E62=Screener!$D$8),1,0)</f>
        <v/>
      </c>
      <c r="C62">
        <f>IF(AND(Screener!$D$7&lt;&gt;"",Database!$D62=Screener!$D$7),1,0)</f>
        <v/>
      </c>
      <c r="D62">
        <f>IF(OR(N(Database!$I62)&lt;=0,N(Screener!$D$9)&lt;=0),0,MAX(0,1-ABS(LOG10(N(Database!$I62)/Screener!$D$9))/W_SIZEHW))</f>
        <v/>
      </c>
      <c r="E62">
        <f>IF(OR(Database!$BE62="",Screener!$D$10=""),0,IF(Database!$BE62=Screener!$D$10,1,0))</f>
        <v/>
      </c>
      <c r="F62">
        <f>IF(OR(Database!$BK62="",Screener!$D$11=""),0,IF(Database!$BK62=Screener!$D$11,1,0))</f>
        <v/>
      </c>
      <c r="G62">
        <f>IF(OR(Database!$H62="",N(Screener!$D$12)&lt;=0),0,MAX(0,1-(N(Screener!$D$12)-Database!$H62)/W_RECD))</f>
        <v/>
      </c>
      <c r="H62">
        <f>IF($U$1="",0,N(ISNUMBER(SEARCH($U$1,Database!$Z62&amp;""))))+IF($V$1="",0,N(ISNUMBER(SEARCH($V$1,Database!$Z62&amp;""))))+IF($W$1="",0,N(ISNUMBER(SEARCH($W$1,Database!$Z62&amp;""))))+IF($X$1="",0,N(ISNUMBER(SEARCH($X$1,Database!$Z62&amp;""))))+IF($Y$1="",0,N(ISNUMBER(SEARCH($Y$1,Database!$Z62&amp;""))))+IF(Screener!$B$17="",0,N(ISNUMBER(SEARCH(LOWER(Screener!$B$17),Database!$Z62&amp;""))))</f>
        <v/>
      </c>
      <c r="I62">
        <f>IF(OR(N(Database!$BF62)&lt;=0,N(Screener!$D$13)&lt;=0),0,MAX(0,1-ABS(LOG10(N(Database!$BF62)/Screener!$D$13))/W_PEHW))</f>
        <v/>
      </c>
      <c r="J62">
        <f>IF(OR(N(Database!$S62)&lt;=0,N(Screener!$D$14)&lt;=0),0,MAX(0,1-ABS(LOG10(Database!$S62/Screener!$D$14))/0.6))</f>
        <v/>
      </c>
      <c r="K62">
        <f>IF(Database!$B62=Screener!$B$5,-999999,IF(ISNUMBER(SEARCH(","&amp;Database!$A62&amp;",",","&amp;SUBSTITUTE(Screener!$D$17," ","")&amp;",")),2000000,IF(IF(OR(Screener!$B$18="All",AND(Screener!$B$18="With A-share",(Database!$BK62="Y")),AND(Screener!$B$18="Without A-share",NOT((Database!$BK62="Y")))),1,0)=0,-999999,IF(Screener!$B$16="cornerstone overlap first",H62*100000,IF(Screener!$B$16="demand-similar first",J62*100000,0))+W_SUB*B62+W_SEC*C62*(1-B62)+W_SIZE*D62+W_PROF*E62+W_AH*F62+W_REC*G62+W_CS*H62+W_PE*I62)))+ROW()/1000000</f>
        <v/>
      </c>
      <c r="AA62">
        <f>Database!B52</f>
        <v/>
      </c>
      <c r="AB62">
        <f>Database!D52</f>
        <v/>
      </c>
      <c r="AC62">
        <f>Database!E52</f>
        <v/>
      </c>
      <c r="AD62">
        <f>Database!I52</f>
        <v/>
      </c>
      <c r="AE62">
        <f>Database!BE52</f>
        <v/>
      </c>
      <c r="AF62">
        <f>Database!BK52</f>
        <v/>
      </c>
      <c r="AG62">
        <f>Database!H52</f>
        <v/>
      </c>
      <c r="AH62">
        <f>Database!BF52</f>
        <v/>
      </c>
    </row>
    <row r="63">
      <c r="A63">
        <f>Database!B63</f>
        <v/>
      </c>
      <c r="B63">
        <f>IF(AND(Screener!$D$8&lt;&gt;"",Database!$E63=Screener!$D$8),1,0)</f>
        <v/>
      </c>
      <c r="C63">
        <f>IF(AND(Screener!$D$7&lt;&gt;"",Database!$D63=Screener!$D$7),1,0)</f>
        <v/>
      </c>
      <c r="D63">
        <f>IF(OR(N(Database!$I63)&lt;=0,N(Screener!$D$9)&lt;=0),0,MAX(0,1-ABS(LOG10(N(Database!$I63)/Screener!$D$9))/W_SIZEHW))</f>
        <v/>
      </c>
      <c r="E63">
        <f>IF(OR(Database!$BE63="",Screener!$D$10=""),0,IF(Database!$BE63=Screener!$D$10,1,0))</f>
        <v/>
      </c>
      <c r="F63">
        <f>IF(OR(Database!$BK63="",Screener!$D$11=""),0,IF(Database!$BK63=Screener!$D$11,1,0))</f>
        <v/>
      </c>
      <c r="G63">
        <f>IF(OR(Database!$H63="",N(Screener!$D$12)&lt;=0),0,MAX(0,1-(N(Screener!$D$12)-Database!$H63)/W_RECD))</f>
        <v/>
      </c>
      <c r="H63">
        <f>IF($U$1="",0,N(ISNUMBER(SEARCH($U$1,Database!$Z63&amp;""))))+IF($V$1="",0,N(ISNUMBER(SEARCH($V$1,Database!$Z63&amp;""))))+IF($W$1="",0,N(ISNUMBER(SEARCH($W$1,Database!$Z63&amp;""))))+IF($X$1="",0,N(ISNUMBER(SEARCH($X$1,Database!$Z63&amp;""))))+IF($Y$1="",0,N(ISNUMBER(SEARCH($Y$1,Database!$Z63&amp;""))))+IF(Screener!$B$17="",0,N(ISNUMBER(SEARCH(LOWER(Screener!$B$17),Database!$Z63&amp;""))))</f>
        <v/>
      </c>
      <c r="I63">
        <f>IF(OR(N(Database!$BF63)&lt;=0,N(Screener!$D$13)&lt;=0),0,MAX(0,1-ABS(LOG10(N(Database!$BF63)/Screener!$D$13))/W_PEHW))</f>
        <v/>
      </c>
      <c r="J63">
        <f>IF(OR(N(Database!$S63)&lt;=0,N(Screener!$D$14)&lt;=0),0,MAX(0,1-ABS(LOG10(Database!$S63/Screener!$D$14))/0.6))</f>
        <v/>
      </c>
      <c r="K63">
        <f>IF(Database!$B63=Screener!$B$5,-999999,IF(ISNUMBER(SEARCH(","&amp;Database!$A63&amp;",",","&amp;SUBSTITUTE(Screener!$D$17," ","")&amp;",")),2000000,IF(IF(OR(Screener!$B$18="All",AND(Screener!$B$18="With A-share",(Database!$BK63="Y")),AND(Screener!$B$18="Without A-share",NOT((Database!$BK63="Y")))),1,0)=0,-999999,IF(Screener!$B$16="cornerstone overlap first",H63*100000,IF(Screener!$B$16="demand-similar first",J63*100000,0))+W_SUB*B63+W_SEC*C63*(1-B63)+W_SIZE*D63+W_PROF*E63+W_AH*F63+W_REC*G63+W_CS*H63+W_PE*I63)))+ROW()/1000000</f>
        <v/>
      </c>
      <c r="AA63">
        <f>Database!B53</f>
        <v/>
      </c>
      <c r="AB63">
        <f>Database!D53</f>
        <v/>
      </c>
      <c r="AC63">
        <f>Database!E53</f>
        <v/>
      </c>
      <c r="AD63">
        <f>Database!I53</f>
        <v/>
      </c>
      <c r="AE63">
        <f>Database!BE53</f>
        <v/>
      </c>
      <c r="AF63">
        <f>Database!BK53</f>
        <v/>
      </c>
      <c r="AG63">
        <f>Database!H53</f>
        <v/>
      </c>
      <c r="AH63">
        <f>Database!BF53</f>
        <v/>
      </c>
    </row>
    <row r="64">
      <c r="A64">
        <f>Database!B64</f>
        <v/>
      </c>
      <c r="B64">
        <f>IF(AND(Screener!$D$8&lt;&gt;"",Database!$E64=Screener!$D$8),1,0)</f>
        <v/>
      </c>
      <c r="C64">
        <f>IF(AND(Screener!$D$7&lt;&gt;"",Database!$D64=Screener!$D$7),1,0)</f>
        <v/>
      </c>
      <c r="D64">
        <f>IF(OR(N(Database!$I64)&lt;=0,N(Screener!$D$9)&lt;=0),0,MAX(0,1-ABS(LOG10(N(Database!$I64)/Screener!$D$9))/W_SIZEHW))</f>
        <v/>
      </c>
      <c r="E64">
        <f>IF(OR(Database!$BE64="",Screener!$D$10=""),0,IF(Database!$BE64=Screener!$D$10,1,0))</f>
        <v/>
      </c>
      <c r="F64">
        <f>IF(OR(Database!$BK64="",Screener!$D$11=""),0,IF(Database!$BK64=Screener!$D$11,1,0))</f>
        <v/>
      </c>
      <c r="G64">
        <f>IF(OR(Database!$H64="",N(Screener!$D$12)&lt;=0),0,MAX(0,1-(N(Screener!$D$12)-Database!$H64)/W_RECD))</f>
        <v/>
      </c>
      <c r="H64">
        <f>IF($U$1="",0,N(ISNUMBER(SEARCH($U$1,Database!$Z64&amp;""))))+IF($V$1="",0,N(ISNUMBER(SEARCH($V$1,Database!$Z64&amp;""))))+IF($W$1="",0,N(ISNUMBER(SEARCH($W$1,Database!$Z64&amp;""))))+IF($X$1="",0,N(ISNUMBER(SEARCH($X$1,Database!$Z64&amp;""))))+IF($Y$1="",0,N(ISNUMBER(SEARCH($Y$1,Database!$Z64&amp;""))))+IF(Screener!$B$17="",0,N(ISNUMBER(SEARCH(LOWER(Screener!$B$17),Database!$Z64&amp;""))))</f>
        <v/>
      </c>
      <c r="I64">
        <f>IF(OR(N(Database!$BF64)&lt;=0,N(Screener!$D$13)&lt;=0),0,MAX(0,1-ABS(LOG10(N(Database!$BF64)/Screener!$D$13))/W_PEHW))</f>
        <v/>
      </c>
      <c r="J64">
        <f>IF(OR(N(Database!$S64)&lt;=0,N(Screener!$D$14)&lt;=0),0,MAX(0,1-ABS(LOG10(Database!$S64/Screener!$D$14))/0.6))</f>
        <v/>
      </c>
      <c r="K64">
        <f>IF(Database!$B64=Screener!$B$5,-999999,IF(ISNUMBER(SEARCH(","&amp;Database!$A64&amp;",",","&amp;SUBSTITUTE(Screener!$D$17," ","")&amp;",")),2000000,IF(IF(OR(Screener!$B$18="All",AND(Screener!$B$18="With A-share",(Database!$BK64="Y")),AND(Screener!$B$18="Without A-share",NOT((Database!$BK64="Y")))),1,0)=0,-999999,IF(Screener!$B$16="cornerstone overlap first",H64*100000,IF(Screener!$B$16="demand-similar first",J64*100000,0))+W_SUB*B64+W_SEC*C64*(1-B64)+W_SIZE*D64+W_PROF*E64+W_AH*F64+W_REC*G64+W_CS*H64+W_PE*I64)))+ROW()/1000000</f>
        <v/>
      </c>
      <c r="AA64">
        <f>Database!B54</f>
        <v/>
      </c>
      <c r="AB64">
        <f>Database!D54</f>
        <v/>
      </c>
      <c r="AC64">
        <f>Database!E54</f>
        <v/>
      </c>
      <c r="AD64">
        <f>Database!I54</f>
        <v/>
      </c>
      <c r="AE64">
        <f>Database!BE54</f>
        <v/>
      </c>
      <c r="AF64">
        <f>Database!BK54</f>
        <v/>
      </c>
      <c r="AG64">
        <f>Database!H54</f>
        <v/>
      </c>
      <c r="AH64">
        <f>Database!BF54</f>
        <v/>
      </c>
    </row>
    <row r="65">
      <c r="A65">
        <f>Database!B65</f>
        <v/>
      </c>
      <c r="B65">
        <f>IF(AND(Screener!$D$8&lt;&gt;"",Database!$E65=Screener!$D$8),1,0)</f>
        <v/>
      </c>
      <c r="C65">
        <f>IF(AND(Screener!$D$7&lt;&gt;"",Database!$D65=Screener!$D$7),1,0)</f>
        <v/>
      </c>
      <c r="D65">
        <f>IF(OR(N(Database!$I65)&lt;=0,N(Screener!$D$9)&lt;=0),0,MAX(0,1-ABS(LOG10(N(Database!$I65)/Screener!$D$9))/W_SIZEHW))</f>
        <v/>
      </c>
      <c r="E65">
        <f>IF(OR(Database!$BE65="",Screener!$D$10=""),0,IF(Database!$BE65=Screener!$D$10,1,0))</f>
        <v/>
      </c>
      <c r="F65">
        <f>IF(OR(Database!$BK65="",Screener!$D$11=""),0,IF(Database!$BK65=Screener!$D$11,1,0))</f>
        <v/>
      </c>
      <c r="G65">
        <f>IF(OR(Database!$H65="",N(Screener!$D$12)&lt;=0),0,MAX(0,1-(N(Screener!$D$12)-Database!$H65)/W_RECD))</f>
        <v/>
      </c>
      <c r="H65">
        <f>IF($U$1="",0,N(ISNUMBER(SEARCH($U$1,Database!$Z65&amp;""))))+IF($V$1="",0,N(ISNUMBER(SEARCH($V$1,Database!$Z65&amp;""))))+IF($W$1="",0,N(ISNUMBER(SEARCH($W$1,Database!$Z65&amp;""))))+IF($X$1="",0,N(ISNUMBER(SEARCH($X$1,Database!$Z65&amp;""))))+IF($Y$1="",0,N(ISNUMBER(SEARCH($Y$1,Database!$Z65&amp;""))))+IF(Screener!$B$17="",0,N(ISNUMBER(SEARCH(LOWER(Screener!$B$17),Database!$Z65&amp;""))))</f>
        <v/>
      </c>
      <c r="I65">
        <f>IF(OR(N(Database!$BF65)&lt;=0,N(Screener!$D$13)&lt;=0),0,MAX(0,1-ABS(LOG10(N(Database!$BF65)/Screener!$D$13))/W_PEHW))</f>
        <v/>
      </c>
      <c r="J65">
        <f>IF(OR(N(Database!$S65)&lt;=0,N(Screener!$D$14)&lt;=0),0,MAX(0,1-ABS(LOG10(Database!$S65/Screener!$D$14))/0.6))</f>
        <v/>
      </c>
      <c r="K65">
        <f>IF(Database!$B65=Screener!$B$5,-999999,IF(ISNUMBER(SEARCH(","&amp;Database!$A65&amp;",",","&amp;SUBSTITUTE(Screener!$D$17," ","")&amp;",")),2000000,IF(IF(OR(Screener!$B$18="All",AND(Screener!$B$18="With A-share",(Database!$BK65="Y")),AND(Screener!$B$18="Without A-share",NOT((Database!$BK65="Y")))),1,0)=0,-999999,IF(Screener!$B$16="cornerstone overlap first",H65*100000,IF(Screener!$B$16="demand-similar first",J65*100000,0))+W_SUB*B65+W_SEC*C65*(1-B65)+W_SIZE*D65+W_PROF*E65+W_AH*F65+W_REC*G65+W_CS*H65+W_PE*I65)))+ROW()/1000000</f>
        <v/>
      </c>
      <c r="AA65">
        <f>Database!B55</f>
        <v/>
      </c>
      <c r="AB65">
        <f>Database!D55</f>
        <v/>
      </c>
      <c r="AC65">
        <f>Database!E55</f>
        <v/>
      </c>
      <c r="AD65">
        <f>Database!I55</f>
        <v/>
      </c>
      <c r="AE65">
        <f>Database!BE55</f>
        <v/>
      </c>
      <c r="AF65">
        <f>Database!BK55</f>
        <v/>
      </c>
      <c r="AG65">
        <f>Database!H55</f>
        <v/>
      </c>
      <c r="AH65">
        <f>Database!BF55</f>
        <v/>
      </c>
    </row>
    <row r="66">
      <c r="A66">
        <f>Database!B66</f>
        <v/>
      </c>
      <c r="B66">
        <f>IF(AND(Screener!$D$8&lt;&gt;"",Database!$E66=Screener!$D$8),1,0)</f>
        <v/>
      </c>
      <c r="C66">
        <f>IF(AND(Screener!$D$7&lt;&gt;"",Database!$D66=Screener!$D$7),1,0)</f>
        <v/>
      </c>
      <c r="D66">
        <f>IF(OR(N(Database!$I66)&lt;=0,N(Screener!$D$9)&lt;=0),0,MAX(0,1-ABS(LOG10(N(Database!$I66)/Screener!$D$9))/W_SIZEHW))</f>
        <v/>
      </c>
      <c r="E66">
        <f>IF(OR(Database!$BE66="",Screener!$D$10=""),0,IF(Database!$BE66=Screener!$D$10,1,0))</f>
        <v/>
      </c>
      <c r="F66">
        <f>IF(OR(Database!$BK66="",Screener!$D$11=""),0,IF(Database!$BK66=Screener!$D$11,1,0))</f>
        <v/>
      </c>
      <c r="G66">
        <f>IF(OR(Database!$H66="",N(Screener!$D$12)&lt;=0),0,MAX(0,1-(N(Screener!$D$12)-Database!$H66)/W_RECD))</f>
        <v/>
      </c>
      <c r="H66">
        <f>IF($U$1="",0,N(ISNUMBER(SEARCH($U$1,Database!$Z66&amp;""))))+IF($V$1="",0,N(ISNUMBER(SEARCH($V$1,Database!$Z66&amp;""))))+IF($W$1="",0,N(ISNUMBER(SEARCH($W$1,Database!$Z66&amp;""))))+IF($X$1="",0,N(ISNUMBER(SEARCH($X$1,Database!$Z66&amp;""))))+IF($Y$1="",0,N(ISNUMBER(SEARCH($Y$1,Database!$Z66&amp;""))))+IF(Screener!$B$17="",0,N(ISNUMBER(SEARCH(LOWER(Screener!$B$17),Database!$Z66&amp;""))))</f>
        <v/>
      </c>
      <c r="I66">
        <f>IF(OR(N(Database!$BF66)&lt;=0,N(Screener!$D$13)&lt;=0),0,MAX(0,1-ABS(LOG10(N(Database!$BF66)/Screener!$D$13))/W_PEHW))</f>
        <v/>
      </c>
      <c r="J66">
        <f>IF(OR(N(Database!$S66)&lt;=0,N(Screener!$D$14)&lt;=0),0,MAX(0,1-ABS(LOG10(Database!$S66/Screener!$D$14))/0.6))</f>
        <v/>
      </c>
      <c r="K66">
        <f>IF(Database!$B66=Screener!$B$5,-999999,IF(ISNUMBER(SEARCH(","&amp;Database!$A66&amp;",",","&amp;SUBSTITUTE(Screener!$D$17," ","")&amp;",")),2000000,IF(IF(OR(Screener!$B$18="All",AND(Screener!$B$18="With A-share",(Database!$BK66="Y")),AND(Screener!$B$18="Without A-share",NOT((Database!$BK66="Y")))),1,0)=0,-999999,IF(Screener!$B$16="cornerstone overlap first",H66*100000,IF(Screener!$B$16="demand-similar first",J66*100000,0))+W_SUB*B66+W_SEC*C66*(1-B66)+W_SIZE*D66+W_PROF*E66+W_AH*F66+W_REC*G66+W_CS*H66+W_PE*I66)))+ROW()/1000000</f>
        <v/>
      </c>
      <c r="AA66">
        <f>Database!B56</f>
        <v/>
      </c>
      <c r="AB66">
        <f>Database!D56</f>
        <v/>
      </c>
      <c r="AC66">
        <f>Database!E56</f>
        <v/>
      </c>
      <c r="AD66">
        <f>Database!I56</f>
        <v/>
      </c>
      <c r="AE66">
        <f>Database!BE56</f>
        <v/>
      </c>
      <c r="AF66">
        <f>Database!BK56</f>
        <v/>
      </c>
      <c r="AG66">
        <f>Database!H56</f>
        <v/>
      </c>
      <c r="AH66">
        <f>Database!BF56</f>
        <v/>
      </c>
    </row>
    <row r="67">
      <c r="A67">
        <f>Database!B67</f>
        <v/>
      </c>
      <c r="B67">
        <f>IF(AND(Screener!$D$8&lt;&gt;"",Database!$E67=Screener!$D$8),1,0)</f>
        <v/>
      </c>
      <c r="C67">
        <f>IF(AND(Screener!$D$7&lt;&gt;"",Database!$D67=Screener!$D$7),1,0)</f>
        <v/>
      </c>
      <c r="D67">
        <f>IF(OR(N(Database!$I67)&lt;=0,N(Screener!$D$9)&lt;=0),0,MAX(0,1-ABS(LOG10(N(Database!$I67)/Screener!$D$9))/W_SIZEHW))</f>
        <v/>
      </c>
      <c r="E67">
        <f>IF(OR(Database!$BE67="",Screener!$D$10=""),0,IF(Database!$BE67=Screener!$D$10,1,0))</f>
        <v/>
      </c>
      <c r="F67">
        <f>IF(OR(Database!$BK67="",Screener!$D$11=""),0,IF(Database!$BK67=Screener!$D$11,1,0))</f>
        <v/>
      </c>
      <c r="G67">
        <f>IF(OR(Database!$H67="",N(Screener!$D$12)&lt;=0),0,MAX(0,1-(N(Screener!$D$12)-Database!$H67)/W_RECD))</f>
        <v/>
      </c>
      <c r="H67">
        <f>IF($U$1="",0,N(ISNUMBER(SEARCH($U$1,Database!$Z67&amp;""))))+IF($V$1="",0,N(ISNUMBER(SEARCH($V$1,Database!$Z67&amp;""))))+IF($W$1="",0,N(ISNUMBER(SEARCH($W$1,Database!$Z67&amp;""))))+IF($X$1="",0,N(ISNUMBER(SEARCH($X$1,Database!$Z67&amp;""))))+IF($Y$1="",0,N(ISNUMBER(SEARCH($Y$1,Database!$Z67&amp;""))))+IF(Screener!$B$17="",0,N(ISNUMBER(SEARCH(LOWER(Screener!$B$17),Database!$Z67&amp;""))))</f>
        <v/>
      </c>
      <c r="I67">
        <f>IF(OR(N(Database!$BF67)&lt;=0,N(Screener!$D$13)&lt;=0),0,MAX(0,1-ABS(LOG10(N(Database!$BF67)/Screener!$D$13))/W_PEHW))</f>
        <v/>
      </c>
      <c r="J67">
        <f>IF(OR(N(Database!$S67)&lt;=0,N(Screener!$D$14)&lt;=0),0,MAX(0,1-ABS(LOG10(Database!$S67/Screener!$D$14))/0.6))</f>
        <v/>
      </c>
      <c r="K67">
        <f>IF(Database!$B67=Screener!$B$5,-999999,IF(ISNUMBER(SEARCH(","&amp;Database!$A67&amp;",",","&amp;SUBSTITUTE(Screener!$D$17," ","")&amp;",")),2000000,IF(IF(OR(Screener!$B$18="All",AND(Screener!$B$18="With A-share",(Database!$BK67="Y")),AND(Screener!$B$18="Without A-share",NOT((Database!$BK67="Y")))),1,0)=0,-999999,IF(Screener!$B$16="cornerstone overlap first",H67*100000,IF(Screener!$B$16="demand-similar first",J67*100000,0))+W_SUB*B67+W_SEC*C67*(1-B67)+W_SIZE*D67+W_PROF*E67+W_AH*F67+W_REC*G67+W_CS*H67+W_PE*I67)))+ROW()/1000000</f>
        <v/>
      </c>
      <c r="AA67">
        <f>Database!B57</f>
        <v/>
      </c>
      <c r="AB67">
        <f>Database!D57</f>
        <v/>
      </c>
      <c r="AC67">
        <f>Database!E57</f>
        <v/>
      </c>
      <c r="AD67">
        <f>Database!I57</f>
        <v/>
      </c>
      <c r="AE67">
        <f>Database!BE57</f>
        <v/>
      </c>
      <c r="AF67">
        <f>Database!BK57</f>
        <v/>
      </c>
      <c r="AG67">
        <f>Database!H57</f>
        <v/>
      </c>
      <c r="AH67">
        <f>Database!BF57</f>
        <v/>
      </c>
    </row>
    <row r="68">
      <c r="A68">
        <f>Database!B68</f>
        <v/>
      </c>
      <c r="B68">
        <f>IF(AND(Screener!$D$8&lt;&gt;"",Database!$E68=Screener!$D$8),1,0)</f>
        <v/>
      </c>
      <c r="C68">
        <f>IF(AND(Screener!$D$7&lt;&gt;"",Database!$D68=Screener!$D$7),1,0)</f>
        <v/>
      </c>
      <c r="D68">
        <f>IF(OR(N(Database!$I68)&lt;=0,N(Screener!$D$9)&lt;=0),0,MAX(0,1-ABS(LOG10(N(Database!$I68)/Screener!$D$9))/W_SIZEHW))</f>
        <v/>
      </c>
      <c r="E68">
        <f>IF(OR(Database!$BE68="",Screener!$D$10=""),0,IF(Database!$BE68=Screener!$D$10,1,0))</f>
        <v/>
      </c>
      <c r="F68">
        <f>IF(OR(Database!$BK68="",Screener!$D$11=""),0,IF(Database!$BK68=Screener!$D$11,1,0))</f>
        <v/>
      </c>
      <c r="G68">
        <f>IF(OR(Database!$H68="",N(Screener!$D$12)&lt;=0),0,MAX(0,1-(N(Screener!$D$12)-Database!$H68)/W_RECD))</f>
        <v/>
      </c>
      <c r="H68">
        <f>IF($U$1="",0,N(ISNUMBER(SEARCH($U$1,Database!$Z68&amp;""))))+IF($V$1="",0,N(ISNUMBER(SEARCH($V$1,Database!$Z68&amp;""))))+IF($W$1="",0,N(ISNUMBER(SEARCH($W$1,Database!$Z68&amp;""))))+IF($X$1="",0,N(ISNUMBER(SEARCH($X$1,Database!$Z68&amp;""))))+IF($Y$1="",0,N(ISNUMBER(SEARCH($Y$1,Database!$Z68&amp;""))))+IF(Screener!$B$17="",0,N(ISNUMBER(SEARCH(LOWER(Screener!$B$17),Database!$Z68&amp;""))))</f>
        <v/>
      </c>
      <c r="I68">
        <f>IF(OR(N(Database!$BF68)&lt;=0,N(Screener!$D$13)&lt;=0),0,MAX(0,1-ABS(LOG10(N(Database!$BF68)/Screener!$D$13))/W_PEHW))</f>
        <v/>
      </c>
      <c r="J68">
        <f>IF(OR(N(Database!$S68)&lt;=0,N(Screener!$D$14)&lt;=0),0,MAX(0,1-ABS(LOG10(Database!$S68/Screener!$D$14))/0.6))</f>
        <v/>
      </c>
      <c r="K68">
        <f>IF(Database!$B68=Screener!$B$5,-999999,IF(ISNUMBER(SEARCH(","&amp;Database!$A68&amp;",",","&amp;SUBSTITUTE(Screener!$D$17," ","")&amp;",")),2000000,IF(IF(OR(Screener!$B$18="All",AND(Screener!$B$18="With A-share",(Database!$BK68="Y")),AND(Screener!$B$18="Without A-share",NOT((Database!$BK68="Y")))),1,0)=0,-999999,IF(Screener!$B$16="cornerstone overlap first",H68*100000,IF(Screener!$B$16="demand-similar first",J68*100000,0))+W_SUB*B68+W_SEC*C68*(1-B68)+W_SIZE*D68+W_PROF*E68+W_AH*F68+W_REC*G68+W_CS*H68+W_PE*I68)))+ROW()/1000000</f>
        <v/>
      </c>
      <c r="AA68">
        <f>Database!B58</f>
        <v/>
      </c>
      <c r="AB68">
        <f>Database!D58</f>
        <v/>
      </c>
      <c r="AC68">
        <f>Database!E58</f>
        <v/>
      </c>
      <c r="AD68">
        <f>Database!I58</f>
        <v/>
      </c>
      <c r="AE68">
        <f>Database!BE58</f>
        <v/>
      </c>
      <c r="AF68">
        <f>Database!BK58</f>
        <v/>
      </c>
      <c r="AG68">
        <f>Database!H58</f>
        <v/>
      </c>
      <c r="AH68">
        <f>Database!BF58</f>
        <v/>
      </c>
    </row>
    <row r="69">
      <c r="A69">
        <f>Database!B69</f>
        <v/>
      </c>
      <c r="B69">
        <f>IF(AND(Screener!$D$8&lt;&gt;"",Database!$E69=Screener!$D$8),1,0)</f>
        <v/>
      </c>
      <c r="C69">
        <f>IF(AND(Screener!$D$7&lt;&gt;"",Database!$D69=Screener!$D$7),1,0)</f>
        <v/>
      </c>
      <c r="D69">
        <f>IF(OR(N(Database!$I69)&lt;=0,N(Screener!$D$9)&lt;=0),0,MAX(0,1-ABS(LOG10(N(Database!$I69)/Screener!$D$9))/W_SIZEHW))</f>
        <v/>
      </c>
      <c r="E69">
        <f>IF(OR(Database!$BE69="",Screener!$D$10=""),0,IF(Database!$BE69=Screener!$D$10,1,0))</f>
        <v/>
      </c>
      <c r="F69">
        <f>IF(OR(Database!$BK69="",Screener!$D$11=""),0,IF(Database!$BK69=Screener!$D$11,1,0))</f>
        <v/>
      </c>
      <c r="G69">
        <f>IF(OR(Database!$H69="",N(Screener!$D$12)&lt;=0),0,MAX(0,1-(N(Screener!$D$12)-Database!$H69)/W_RECD))</f>
        <v/>
      </c>
      <c r="H69">
        <f>IF($U$1="",0,N(ISNUMBER(SEARCH($U$1,Database!$Z69&amp;""))))+IF($V$1="",0,N(ISNUMBER(SEARCH($V$1,Database!$Z69&amp;""))))+IF($W$1="",0,N(ISNUMBER(SEARCH($W$1,Database!$Z69&amp;""))))+IF($X$1="",0,N(ISNUMBER(SEARCH($X$1,Database!$Z69&amp;""))))+IF($Y$1="",0,N(ISNUMBER(SEARCH($Y$1,Database!$Z69&amp;""))))+IF(Screener!$B$17="",0,N(ISNUMBER(SEARCH(LOWER(Screener!$B$17),Database!$Z69&amp;""))))</f>
        <v/>
      </c>
      <c r="I69">
        <f>IF(OR(N(Database!$BF69)&lt;=0,N(Screener!$D$13)&lt;=0),0,MAX(0,1-ABS(LOG10(N(Database!$BF69)/Screener!$D$13))/W_PEHW))</f>
        <v/>
      </c>
      <c r="J69">
        <f>IF(OR(N(Database!$S69)&lt;=0,N(Screener!$D$14)&lt;=0),0,MAX(0,1-ABS(LOG10(Database!$S69/Screener!$D$14))/0.6))</f>
        <v/>
      </c>
      <c r="K69">
        <f>IF(Database!$B69=Screener!$B$5,-999999,IF(ISNUMBER(SEARCH(","&amp;Database!$A69&amp;",",","&amp;SUBSTITUTE(Screener!$D$17," ","")&amp;",")),2000000,IF(IF(OR(Screener!$B$18="All",AND(Screener!$B$18="With A-share",(Database!$BK69="Y")),AND(Screener!$B$18="Without A-share",NOT((Database!$BK69="Y")))),1,0)=0,-999999,IF(Screener!$B$16="cornerstone overlap first",H69*100000,IF(Screener!$B$16="demand-similar first",J69*100000,0))+W_SUB*B69+W_SEC*C69*(1-B69)+W_SIZE*D69+W_PROF*E69+W_AH*F69+W_REC*G69+W_CS*H69+W_PE*I69)))+ROW()/1000000</f>
        <v/>
      </c>
      <c r="AA69">
        <f>Database!B59</f>
        <v/>
      </c>
      <c r="AB69">
        <f>Database!D59</f>
        <v/>
      </c>
      <c r="AC69">
        <f>Database!E59</f>
        <v/>
      </c>
      <c r="AD69">
        <f>Database!I59</f>
        <v/>
      </c>
      <c r="AE69">
        <f>Database!BE59</f>
        <v/>
      </c>
      <c r="AF69">
        <f>Database!BK59</f>
        <v/>
      </c>
      <c r="AG69">
        <f>Database!H59</f>
        <v/>
      </c>
      <c r="AH69">
        <f>Database!BF59</f>
        <v/>
      </c>
    </row>
    <row r="70">
      <c r="A70">
        <f>Database!B70</f>
        <v/>
      </c>
      <c r="B70">
        <f>IF(AND(Screener!$D$8&lt;&gt;"",Database!$E70=Screener!$D$8),1,0)</f>
        <v/>
      </c>
      <c r="C70">
        <f>IF(AND(Screener!$D$7&lt;&gt;"",Database!$D70=Screener!$D$7),1,0)</f>
        <v/>
      </c>
      <c r="D70">
        <f>IF(OR(N(Database!$I70)&lt;=0,N(Screener!$D$9)&lt;=0),0,MAX(0,1-ABS(LOG10(N(Database!$I70)/Screener!$D$9))/W_SIZEHW))</f>
        <v/>
      </c>
      <c r="E70">
        <f>IF(OR(Database!$BE70="",Screener!$D$10=""),0,IF(Database!$BE70=Screener!$D$10,1,0))</f>
        <v/>
      </c>
      <c r="F70">
        <f>IF(OR(Database!$BK70="",Screener!$D$11=""),0,IF(Database!$BK70=Screener!$D$11,1,0))</f>
        <v/>
      </c>
      <c r="G70">
        <f>IF(OR(Database!$H70="",N(Screener!$D$12)&lt;=0),0,MAX(0,1-(N(Screener!$D$12)-Database!$H70)/W_RECD))</f>
        <v/>
      </c>
      <c r="H70">
        <f>IF($U$1="",0,N(ISNUMBER(SEARCH($U$1,Database!$Z70&amp;""))))+IF($V$1="",0,N(ISNUMBER(SEARCH($V$1,Database!$Z70&amp;""))))+IF($W$1="",0,N(ISNUMBER(SEARCH($W$1,Database!$Z70&amp;""))))+IF($X$1="",0,N(ISNUMBER(SEARCH($X$1,Database!$Z70&amp;""))))+IF($Y$1="",0,N(ISNUMBER(SEARCH($Y$1,Database!$Z70&amp;""))))+IF(Screener!$B$17="",0,N(ISNUMBER(SEARCH(LOWER(Screener!$B$17),Database!$Z70&amp;""))))</f>
        <v/>
      </c>
      <c r="I70">
        <f>IF(OR(N(Database!$BF70)&lt;=0,N(Screener!$D$13)&lt;=0),0,MAX(0,1-ABS(LOG10(N(Database!$BF70)/Screener!$D$13))/W_PEHW))</f>
        <v/>
      </c>
      <c r="J70">
        <f>IF(OR(N(Database!$S70)&lt;=0,N(Screener!$D$14)&lt;=0),0,MAX(0,1-ABS(LOG10(Database!$S70/Screener!$D$14))/0.6))</f>
        <v/>
      </c>
      <c r="K70">
        <f>IF(Database!$B70=Screener!$B$5,-999999,IF(ISNUMBER(SEARCH(","&amp;Database!$A70&amp;",",","&amp;SUBSTITUTE(Screener!$D$17," ","")&amp;",")),2000000,IF(IF(OR(Screener!$B$18="All",AND(Screener!$B$18="With A-share",(Database!$BK70="Y")),AND(Screener!$B$18="Without A-share",NOT((Database!$BK70="Y")))),1,0)=0,-999999,IF(Screener!$B$16="cornerstone overlap first",H70*100000,IF(Screener!$B$16="demand-similar first",J70*100000,0))+W_SUB*B70+W_SEC*C70*(1-B70)+W_SIZE*D70+W_PROF*E70+W_AH*F70+W_REC*G70+W_CS*H70+W_PE*I70)))+ROW()/1000000</f>
        <v/>
      </c>
      <c r="AA70">
        <f>Database!B60</f>
        <v/>
      </c>
      <c r="AB70">
        <f>Database!D60</f>
        <v/>
      </c>
      <c r="AC70">
        <f>Database!E60</f>
        <v/>
      </c>
      <c r="AD70">
        <f>Database!I60</f>
        <v/>
      </c>
      <c r="AE70">
        <f>Database!BE60</f>
        <v/>
      </c>
      <c r="AF70">
        <f>Database!BK60</f>
        <v/>
      </c>
      <c r="AG70">
        <f>Database!H60</f>
        <v/>
      </c>
      <c r="AH70">
        <f>Database!BF60</f>
        <v/>
      </c>
    </row>
    <row r="71">
      <c r="A71">
        <f>Database!B71</f>
        <v/>
      </c>
      <c r="B71">
        <f>IF(AND(Screener!$D$8&lt;&gt;"",Database!$E71=Screener!$D$8),1,0)</f>
        <v/>
      </c>
      <c r="C71">
        <f>IF(AND(Screener!$D$7&lt;&gt;"",Database!$D71=Screener!$D$7),1,0)</f>
        <v/>
      </c>
      <c r="D71">
        <f>IF(OR(N(Database!$I71)&lt;=0,N(Screener!$D$9)&lt;=0),0,MAX(0,1-ABS(LOG10(N(Database!$I71)/Screener!$D$9))/W_SIZEHW))</f>
        <v/>
      </c>
      <c r="E71">
        <f>IF(OR(Database!$BE71="",Screener!$D$10=""),0,IF(Database!$BE71=Screener!$D$10,1,0))</f>
        <v/>
      </c>
      <c r="F71">
        <f>IF(OR(Database!$BK71="",Screener!$D$11=""),0,IF(Database!$BK71=Screener!$D$11,1,0))</f>
        <v/>
      </c>
      <c r="G71">
        <f>IF(OR(Database!$H71="",N(Screener!$D$12)&lt;=0),0,MAX(0,1-(N(Screener!$D$12)-Database!$H71)/W_RECD))</f>
        <v/>
      </c>
      <c r="H71">
        <f>IF($U$1="",0,N(ISNUMBER(SEARCH($U$1,Database!$Z71&amp;""))))+IF($V$1="",0,N(ISNUMBER(SEARCH($V$1,Database!$Z71&amp;""))))+IF($W$1="",0,N(ISNUMBER(SEARCH($W$1,Database!$Z71&amp;""))))+IF($X$1="",0,N(ISNUMBER(SEARCH($X$1,Database!$Z71&amp;""))))+IF($Y$1="",0,N(ISNUMBER(SEARCH($Y$1,Database!$Z71&amp;""))))+IF(Screener!$B$17="",0,N(ISNUMBER(SEARCH(LOWER(Screener!$B$17),Database!$Z71&amp;""))))</f>
        <v/>
      </c>
      <c r="I71">
        <f>IF(OR(N(Database!$BF71)&lt;=0,N(Screener!$D$13)&lt;=0),0,MAX(0,1-ABS(LOG10(N(Database!$BF71)/Screener!$D$13))/W_PEHW))</f>
        <v/>
      </c>
      <c r="J71">
        <f>IF(OR(N(Database!$S71)&lt;=0,N(Screener!$D$14)&lt;=0),0,MAX(0,1-ABS(LOG10(Database!$S71/Screener!$D$14))/0.6))</f>
        <v/>
      </c>
      <c r="K71">
        <f>IF(Database!$B71=Screener!$B$5,-999999,IF(ISNUMBER(SEARCH(","&amp;Database!$A71&amp;",",","&amp;SUBSTITUTE(Screener!$D$17," ","")&amp;",")),2000000,IF(IF(OR(Screener!$B$18="All",AND(Screener!$B$18="With A-share",(Database!$BK71="Y")),AND(Screener!$B$18="Without A-share",NOT((Database!$BK71="Y")))),1,0)=0,-999999,IF(Screener!$B$16="cornerstone overlap first",H71*100000,IF(Screener!$B$16="demand-similar first",J71*100000,0))+W_SUB*B71+W_SEC*C71*(1-B71)+W_SIZE*D71+W_PROF*E71+W_AH*F71+W_REC*G71+W_CS*H71+W_PE*I71)))+ROW()/1000000</f>
        <v/>
      </c>
      <c r="AA71">
        <f>Database!B61</f>
        <v/>
      </c>
      <c r="AB71">
        <f>Database!D61</f>
        <v/>
      </c>
      <c r="AC71">
        <f>Database!E61</f>
        <v/>
      </c>
      <c r="AD71">
        <f>Database!I61</f>
        <v/>
      </c>
      <c r="AE71">
        <f>Database!BE61</f>
        <v/>
      </c>
      <c r="AF71">
        <f>Database!BK61</f>
        <v/>
      </c>
      <c r="AG71">
        <f>Database!H61</f>
        <v/>
      </c>
      <c r="AH71">
        <f>Database!BF61</f>
        <v/>
      </c>
    </row>
    <row r="72">
      <c r="A72">
        <f>Database!B72</f>
        <v/>
      </c>
      <c r="B72">
        <f>IF(AND(Screener!$D$8&lt;&gt;"",Database!$E72=Screener!$D$8),1,0)</f>
        <v/>
      </c>
      <c r="C72">
        <f>IF(AND(Screener!$D$7&lt;&gt;"",Database!$D72=Screener!$D$7),1,0)</f>
        <v/>
      </c>
      <c r="D72">
        <f>IF(OR(N(Database!$I72)&lt;=0,N(Screener!$D$9)&lt;=0),0,MAX(0,1-ABS(LOG10(N(Database!$I72)/Screener!$D$9))/W_SIZEHW))</f>
        <v/>
      </c>
      <c r="E72">
        <f>IF(OR(Database!$BE72="",Screener!$D$10=""),0,IF(Database!$BE72=Screener!$D$10,1,0))</f>
        <v/>
      </c>
      <c r="F72">
        <f>IF(OR(Database!$BK72="",Screener!$D$11=""),0,IF(Database!$BK72=Screener!$D$11,1,0))</f>
        <v/>
      </c>
      <c r="G72">
        <f>IF(OR(Database!$H72="",N(Screener!$D$12)&lt;=0),0,MAX(0,1-(N(Screener!$D$12)-Database!$H72)/W_RECD))</f>
        <v/>
      </c>
      <c r="H72">
        <f>IF($U$1="",0,N(ISNUMBER(SEARCH($U$1,Database!$Z72&amp;""))))+IF($V$1="",0,N(ISNUMBER(SEARCH($V$1,Database!$Z72&amp;""))))+IF($W$1="",0,N(ISNUMBER(SEARCH($W$1,Database!$Z72&amp;""))))+IF($X$1="",0,N(ISNUMBER(SEARCH($X$1,Database!$Z72&amp;""))))+IF($Y$1="",0,N(ISNUMBER(SEARCH($Y$1,Database!$Z72&amp;""))))+IF(Screener!$B$17="",0,N(ISNUMBER(SEARCH(LOWER(Screener!$B$17),Database!$Z72&amp;""))))</f>
        <v/>
      </c>
      <c r="I72">
        <f>IF(OR(N(Database!$BF72)&lt;=0,N(Screener!$D$13)&lt;=0),0,MAX(0,1-ABS(LOG10(N(Database!$BF72)/Screener!$D$13))/W_PEHW))</f>
        <v/>
      </c>
      <c r="J72">
        <f>IF(OR(N(Database!$S72)&lt;=0,N(Screener!$D$14)&lt;=0),0,MAX(0,1-ABS(LOG10(Database!$S72/Screener!$D$14))/0.6))</f>
        <v/>
      </c>
      <c r="K72">
        <f>IF(Database!$B72=Screener!$B$5,-999999,IF(ISNUMBER(SEARCH(","&amp;Database!$A72&amp;",",","&amp;SUBSTITUTE(Screener!$D$17," ","")&amp;",")),2000000,IF(IF(OR(Screener!$B$18="All",AND(Screener!$B$18="With A-share",(Database!$BK72="Y")),AND(Screener!$B$18="Without A-share",NOT((Database!$BK72="Y")))),1,0)=0,-999999,IF(Screener!$B$16="cornerstone overlap first",H72*100000,IF(Screener!$B$16="demand-similar first",J72*100000,0))+W_SUB*B72+W_SEC*C72*(1-B72)+W_SIZE*D72+W_PROF*E72+W_AH*F72+W_REC*G72+W_CS*H72+W_PE*I72)))+ROW()/1000000</f>
        <v/>
      </c>
      <c r="AA72">
        <f>Database!B62</f>
        <v/>
      </c>
      <c r="AB72">
        <f>Database!D62</f>
        <v/>
      </c>
      <c r="AC72">
        <f>Database!E62</f>
        <v/>
      </c>
      <c r="AD72">
        <f>Database!I62</f>
        <v/>
      </c>
      <c r="AE72">
        <f>Database!BE62</f>
        <v/>
      </c>
      <c r="AF72">
        <f>Database!BK62</f>
        <v/>
      </c>
      <c r="AG72">
        <f>Database!H62</f>
        <v/>
      </c>
      <c r="AH72">
        <f>Database!BF62</f>
        <v/>
      </c>
    </row>
    <row r="73">
      <c r="A73">
        <f>Database!B73</f>
        <v/>
      </c>
      <c r="B73">
        <f>IF(AND(Screener!$D$8&lt;&gt;"",Database!$E73=Screener!$D$8),1,0)</f>
        <v/>
      </c>
      <c r="C73">
        <f>IF(AND(Screener!$D$7&lt;&gt;"",Database!$D73=Screener!$D$7),1,0)</f>
        <v/>
      </c>
      <c r="D73">
        <f>IF(OR(N(Database!$I73)&lt;=0,N(Screener!$D$9)&lt;=0),0,MAX(0,1-ABS(LOG10(N(Database!$I73)/Screener!$D$9))/W_SIZEHW))</f>
        <v/>
      </c>
      <c r="E73">
        <f>IF(OR(Database!$BE73="",Screener!$D$10=""),0,IF(Database!$BE73=Screener!$D$10,1,0))</f>
        <v/>
      </c>
      <c r="F73">
        <f>IF(OR(Database!$BK73="",Screener!$D$11=""),0,IF(Database!$BK73=Screener!$D$11,1,0))</f>
        <v/>
      </c>
      <c r="G73">
        <f>IF(OR(Database!$H73="",N(Screener!$D$12)&lt;=0),0,MAX(0,1-(N(Screener!$D$12)-Database!$H73)/W_RECD))</f>
        <v/>
      </c>
      <c r="H73">
        <f>IF($U$1="",0,N(ISNUMBER(SEARCH($U$1,Database!$Z73&amp;""))))+IF($V$1="",0,N(ISNUMBER(SEARCH($V$1,Database!$Z73&amp;""))))+IF($W$1="",0,N(ISNUMBER(SEARCH($W$1,Database!$Z73&amp;""))))+IF($X$1="",0,N(ISNUMBER(SEARCH($X$1,Database!$Z73&amp;""))))+IF($Y$1="",0,N(ISNUMBER(SEARCH($Y$1,Database!$Z73&amp;""))))+IF(Screener!$B$17="",0,N(ISNUMBER(SEARCH(LOWER(Screener!$B$17),Database!$Z73&amp;""))))</f>
        <v/>
      </c>
      <c r="I73">
        <f>IF(OR(N(Database!$BF73)&lt;=0,N(Screener!$D$13)&lt;=0),0,MAX(0,1-ABS(LOG10(N(Database!$BF73)/Screener!$D$13))/W_PEHW))</f>
        <v/>
      </c>
      <c r="J73">
        <f>IF(OR(N(Database!$S73)&lt;=0,N(Screener!$D$14)&lt;=0),0,MAX(0,1-ABS(LOG10(Database!$S73/Screener!$D$14))/0.6))</f>
        <v/>
      </c>
      <c r="K73">
        <f>IF(Database!$B73=Screener!$B$5,-999999,IF(ISNUMBER(SEARCH(","&amp;Database!$A73&amp;",",","&amp;SUBSTITUTE(Screener!$D$17," ","")&amp;",")),2000000,IF(IF(OR(Screener!$B$18="All",AND(Screener!$B$18="With A-share",(Database!$BK73="Y")),AND(Screener!$B$18="Without A-share",NOT((Database!$BK73="Y")))),1,0)=0,-999999,IF(Screener!$B$16="cornerstone overlap first",H73*100000,IF(Screener!$B$16="demand-similar first",J73*100000,0))+W_SUB*B73+W_SEC*C73*(1-B73)+W_SIZE*D73+W_PROF*E73+W_AH*F73+W_REC*G73+W_CS*H73+W_PE*I73)))+ROW()/1000000</f>
        <v/>
      </c>
      <c r="AA73">
        <f>Database!B63</f>
        <v/>
      </c>
      <c r="AB73">
        <f>Database!D63</f>
        <v/>
      </c>
      <c r="AC73">
        <f>Database!E63</f>
        <v/>
      </c>
      <c r="AD73">
        <f>Database!I63</f>
        <v/>
      </c>
      <c r="AE73">
        <f>Database!BE63</f>
        <v/>
      </c>
      <c r="AF73">
        <f>Database!BK63</f>
        <v/>
      </c>
      <c r="AG73">
        <f>Database!H63</f>
        <v/>
      </c>
      <c r="AH73">
        <f>Database!BF63</f>
        <v/>
      </c>
    </row>
    <row r="74">
      <c r="A74">
        <f>Database!B74</f>
        <v/>
      </c>
      <c r="B74">
        <f>IF(AND(Screener!$D$8&lt;&gt;"",Database!$E74=Screener!$D$8),1,0)</f>
        <v/>
      </c>
      <c r="C74">
        <f>IF(AND(Screener!$D$7&lt;&gt;"",Database!$D74=Screener!$D$7),1,0)</f>
        <v/>
      </c>
      <c r="D74">
        <f>IF(OR(N(Database!$I74)&lt;=0,N(Screener!$D$9)&lt;=0),0,MAX(0,1-ABS(LOG10(N(Database!$I74)/Screener!$D$9))/W_SIZEHW))</f>
        <v/>
      </c>
      <c r="E74">
        <f>IF(OR(Database!$BE74="",Screener!$D$10=""),0,IF(Database!$BE74=Screener!$D$10,1,0))</f>
        <v/>
      </c>
      <c r="F74">
        <f>IF(OR(Database!$BK74="",Screener!$D$11=""),0,IF(Database!$BK74=Screener!$D$11,1,0))</f>
        <v/>
      </c>
      <c r="G74">
        <f>IF(OR(Database!$H74="",N(Screener!$D$12)&lt;=0),0,MAX(0,1-(N(Screener!$D$12)-Database!$H74)/W_RECD))</f>
        <v/>
      </c>
      <c r="H74">
        <f>IF($U$1="",0,N(ISNUMBER(SEARCH($U$1,Database!$Z74&amp;""))))+IF($V$1="",0,N(ISNUMBER(SEARCH($V$1,Database!$Z74&amp;""))))+IF($W$1="",0,N(ISNUMBER(SEARCH($W$1,Database!$Z74&amp;""))))+IF($X$1="",0,N(ISNUMBER(SEARCH($X$1,Database!$Z74&amp;""))))+IF($Y$1="",0,N(ISNUMBER(SEARCH($Y$1,Database!$Z74&amp;""))))+IF(Screener!$B$17="",0,N(ISNUMBER(SEARCH(LOWER(Screener!$B$17),Database!$Z74&amp;""))))</f>
        <v/>
      </c>
      <c r="I74">
        <f>IF(OR(N(Database!$BF74)&lt;=0,N(Screener!$D$13)&lt;=0),0,MAX(0,1-ABS(LOG10(N(Database!$BF74)/Screener!$D$13))/W_PEHW))</f>
        <v/>
      </c>
      <c r="J74">
        <f>IF(OR(N(Database!$S74)&lt;=0,N(Screener!$D$14)&lt;=0),0,MAX(0,1-ABS(LOG10(Database!$S74/Screener!$D$14))/0.6))</f>
        <v/>
      </c>
      <c r="K74">
        <f>IF(Database!$B74=Screener!$B$5,-999999,IF(ISNUMBER(SEARCH(","&amp;Database!$A74&amp;",",","&amp;SUBSTITUTE(Screener!$D$17," ","")&amp;",")),2000000,IF(IF(OR(Screener!$B$18="All",AND(Screener!$B$18="With A-share",(Database!$BK74="Y")),AND(Screener!$B$18="Without A-share",NOT((Database!$BK74="Y")))),1,0)=0,-999999,IF(Screener!$B$16="cornerstone overlap first",H74*100000,IF(Screener!$B$16="demand-similar first",J74*100000,0))+W_SUB*B74+W_SEC*C74*(1-B74)+W_SIZE*D74+W_PROF*E74+W_AH*F74+W_REC*G74+W_CS*H74+W_PE*I74)))+ROW()/1000000</f>
        <v/>
      </c>
      <c r="AA74">
        <f>Database!B64</f>
        <v/>
      </c>
      <c r="AB74">
        <f>Database!D64</f>
        <v/>
      </c>
      <c r="AC74">
        <f>Database!E64</f>
        <v/>
      </c>
      <c r="AD74">
        <f>Database!I64</f>
        <v/>
      </c>
      <c r="AE74">
        <f>Database!BE64</f>
        <v/>
      </c>
      <c r="AF74">
        <f>Database!BK64</f>
        <v/>
      </c>
      <c r="AG74">
        <f>Database!H64</f>
        <v/>
      </c>
      <c r="AH74">
        <f>Database!BF64</f>
        <v/>
      </c>
    </row>
    <row r="75">
      <c r="A75">
        <f>Database!B75</f>
        <v/>
      </c>
      <c r="B75">
        <f>IF(AND(Screener!$D$8&lt;&gt;"",Database!$E75=Screener!$D$8),1,0)</f>
        <v/>
      </c>
      <c r="C75">
        <f>IF(AND(Screener!$D$7&lt;&gt;"",Database!$D75=Screener!$D$7),1,0)</f>
        <v/>
      </c>
      <c r="D75">
        <f>IF(OR(N(Database!$I75)&lt;=0,N(Screener!$D$9)&lt;=0),0,MAX(0,1-ABS(LOG10(N(Database!$I75)/Screener!$D$9))/W_SIZEHW))</f>
        <v/>
      </c>
      <c r="E75">
        <f>IF(OR(Database!$BE75="",Screener!$D$10=""),0,IF(Database!$BE75=Screener!$D$10,1,0))</f>
        <v/>
      </c>
      <c r="F75">
        <f>IF(OR(Database!$BK75="",Screener!$D$11=""),0,IF(Database!$BK75=Screener!$D$11,1,0))</f>
        <v/>
      </c>
      <c r="G75">
        <f>IF(OR(Database!$H75="",N(Screener!$D$12)&lt;=0),0,MAX(0,1-(N(Screener!$D$12)-Database!$H75)/W_RECD))</f>
        <v/>
      </c>
      <c r="H75">
        <f>IF($U$1="",0,N(ISNUMBER(SEARCH($U$1,Database!$Z75&amp;""))))+IF($V$1="",0,N(ISNUMBER(SEARCH($V$1,Database!$Z75&amp;""))))+IF($W$1="",0,N(ISNUMBER(SEARCH($W$1,Database!$Z75&amp;""))))+IF($X$1="",0,N(ISNUMBER(SEARCH($X$1,Database!$Z75&amp;""))))+IF($Y$1="",0,N(ISNUMBER(SEARCH($Y$1,Database!$Z75&amp;""))))+IF(Screener!$B$17="",0,N(ISNUMBER(SEARCH(LOWER(Screener!$B$17),Database!$Z75&amp;""))))</f>
        <v/>
      </c>
      <c r="I75">
        <f>IF(OR(N(Database!$BF75)&lt;=0,N(Screener!$D$13)&lt;=0),0,MAX(0,1-ABS(LOG10(N(Database!$BF75)/Screener!$D$13))/W_PEHW))</f>
        <v/>
      </c>
      <c r="J75">
        <f>IF(OR(N(Database!$S75)&lt;=0,N(Screener!$D$14)&lt;=0),0,MAX(0,1-ABS(LOG10(Database!$S75/Screener!$D$14))/0.6))</f>
        <v/>
      </c>
      <c r="K75">
        <f>IF(Database!$B75=Screener!$B$5,-999999,IF(ISNUMBER(SEARCH(","&amp;Database!$A75&amp;",",","&amp;SUBSTITUTE(Screener!$D$17," ","")&amp;",")),2000000,IF(IF(OR(Screener!$B$18="All",AND(Screener!$B$18="With A-share",(Database!$BK75="Y")),AND(Screener!$B$18="Without A-share",NOT((Database!$BK75="Y")))),1,0)=0,-999999,IF(Screener!$B$16="cornerstone overlap first",H75*100000,IF(Screener!$B$16="demand-similar first",J75*100000,0))+W_SUB*B75+W_SEC*C75*(1-B75)+W_SIZE*D75+W_PROF*E75+W_AH*F75+W_REC*G75+W_CS*H75+W_PE*I75)))+ROW()/1000000</f>
        <v/>
      </c>
      <c r="AA75">
        <f>Database!B65</f>
        <v/>
      </c>
      <c r="AB75">
        <f>Database!D65</f>
        <v/>
      </c>
      <c r="AC75">
        <f>Database!E65</f>
        <v/>
      </c>
      <c r="AD75">
        <f>Database!I65</f>
        <v/>
      </c>
      <c r="AE75">
        <f>Database!BE65</f>
        <v/>
      </c>
      <c r="AF75">
        <f>Database!BK65</f>
        <v/>
      </c>
      <c r="AG75">
        <f>Database!H65</f>
        <v/>
      </c>
      <c r="AH75">
        <f>Database!BF65</f>
        <v/>
      </c>
    </row>
    <row r="76">
      <c r="A76">
        <f>Database!B76</f>
        <v/>
      </c>
      <c r="B76">
        <f>IF(AND(Screener!$D$8&lt;&gt;"",Database!$E76=Screener!$D$8),1,0)</f>
        <v/>
      </c>
      <c r="C76">
        <f>IF(AND(Screener!$D$7&lt;&gt;"",Database!$D76=Screener!$D$7),1,0)</f>
        <v/>
      </c>
      <c r="D76">
        <f>IF(OR(N(Database!$I76)&lt;=0,N(Screener!$D$9)&lt;=0),0,MAX(0,1-ABS(LOG10(N(Database!$I76)/Screener!$D$9))/W_SIZEHW))</f>
        <v/>
      </c>
      <c r="E76">
        <f>IF(OR(Database!$BE76="",Screener!$D$10=""),0,IF(Database!$BE76=Screener!$D$10,1,0))</f>
        <v/>
      </c>
      <c r="F76">
        <f>IF(OR(Database!$BK76="",Screener!$D$11=""),0,IF(Database!$BK76=Screener!$D$11,1,0))</f>
        <v/>
      </c>
      <c r="G76">
        <f>IF(OR(Database!$H76="",N(Screener!$D$12)&lt;=0),0,MAX(0,1-(N(Screener!$D$12)-Database!$H76)/W_RECD))</f>
        <v/>
      </c>
      <c r="H76">
        <f>IF($U$1="",0,N(ISNUMBER(SEARCH($U$1,Database!$Z76&amp;""))))+IF($V$1="",0,N(ISNUMBER(SEARCH($V$1,Database!$Z76&amp;""))))+IF($W$1="",0,N(ISNUMBER(SEARCH($W$1,Database!$Z76&amp;""))))+IF($X$1="",0,N(ISNUMBER(SEARCH($X$1,Database!$Z76&amp;""))))+IF($Y$1="",0,N(ISNUMBER(SEARCH($Y$1,Database!$Z76&amp;""))))+IF(Screener!$B$17="",0,N(ISNUMBER(SEARCH(LOWER(Screener!$B$17),Database!$Z76&amp;""))))</f>
        <v/>
      </c>
      <c r="I76">
        <f>IF(OR(N(Database!$BF76)&lt;=0,N(Screener!$D$13)&lt;=0),0,MAX(0,1-ABS(LOG10(N(Database!$BF76)/Screener!$D$13))/W_PEHW))</f>
        <v/>
      </c>
      <c r="J76">
        <f>IF(OR(N(Database!$S76)&lt;=0,N(Screener!$D$14)&lt;=0),0,MAX(0,1-ABS(LOG10(Database!$S76/Screener!$D$14))/0.6))</f>
        <v/>
      </c>
      <c r="K76">
        <f>IF(Database!$B76=Screener!$B$5,-999999,IF(ISNUMBER(SEARCH(","&amp;Database!$A76&amp;",",","&amp;SUBSTITUTE(Screener!$D$17," ","")&amp;",")),2000000,IF(IF(OR(Screener!$B$18="All",AND(Screener!$B$18="With A-share",(Database!$BK76="Y")),AND(Screener!$B$18="Without A-share",NOT((Database!$BK76="Y")))),1,0)=0,-999999,IF(Screener!$B$16="cornerstone overlap first",H76*100000,IF(Screener!$B$16="demand-similar first",J76*100000,0))+W_SUB*B76+W_SEC*C76*(1-B76)+W_SIZE*D76+W_PROF*E76+W_AH*F76+W_REC*G76+W_CS*H76+W_PE*I76)))+ROW()/1000000</f>
        <v/>
      </c>
      <c r="AA76">
        <f>Database!B66</f>
        <v/>
      </c>
      <c r="AB76">
        <f>Database!D66</f>
        <v/>
      </c>
      <c r="AC76">
        <f>Database!E66</f>
        <v/>
      </c>
      <c r="AD76">
        <f>Database!I66</f>
        <v/>
      </c>
      <c r="AE76">
        <f>Database!BE66</f>
        <v/>
      </c>
      <c r="AF76">
        <f>Database!BK66</f>
        <v/>
      </c>
      <c r="AG76">
        <f>Database!H66</f>
        <v/>
      </c>
      <c r="AH76">
        <f>Database!BF66</f>
        <v/>
      </c>
    </row>
    <row r="77">
      <c r="A77">
        <f>Database!B77</f>
        <v/>
      </c>
      <c r="B77">
        <f>IF(AND(Screener!$D$8&lt;&gt;"",Database!$E77=Screener!$D$8),1,0)</f>
        <v/>
      </c>
      <c r="C77">
        <f>IF(AND(Screener!$D$7&lt;&gt;"",Database!$D77=Screener!$D$7),1,0)</f>
        <v/>
      </c>
      <c r="D77">
        <f>IF(OR(N(Database!$I77)&lt;=0,N(Screener!$D$9)&lt;=0),0,MAX(0,1-ABS(LOG10(N(Database!$I77)/Screener!$D$9))/W_SIZEHW))</f>
        <v/>
      </c>
      <c r="E77">
        <f>IF(OR(Database!$BE77="",Screener!$D$10=""),0,IF(Database!$BE77=Screener!$D$10,1,0))</f>
        <v/>
      </c>
      <c r="F77">
        <f>IF(OR(Database!$BK77="",Screener!$D$11=""),0,IF(Database!$BK77=Screener!$D$11,1,0))</f>
        <v/>
      </c>
      <c r="G77">
        <f>IF(OR(Database!$H77="",N(Screener!$D$12)&lt;=0),0,MAX(0,1-(N(Screener!$D$12)-Database!$H77)/W_RECD))</f>
        <v/>
      </c>
      <c r="H77">
        <f>IF($U$1="",0,N(ISNUMBER(SEARCH($U$1,Database!$Z77&amp;""))))+IF($V$1="",0,N(ISNUMBER(SEARCH($V$1,Database!$Z77&amp;""))))+IF($W$1="",0,N(ISNUMBER(SEARCH($W$1,Database!$Z77&amp;""))))+IF($X$1="",0,N(ISNUMBER(SEARCH($X$1,Database!$Z77&amp;""))))+IF($Y$1="",0,N(ISNUMBER(SEARCH($Y$1,Database!$Z77&amp;""))))+IF(Screener!$B$17="",0,N(ISNUMBER(SEARCH(LOWER(Screener!$B$17),Database!$Z77&amp;""))))</f>
        <v/>
      </c>
      <c r="I77">
        <f>IF(OR(N(Database!$BF77)&lt;=0,N(Screener!$D$13)&lt;=0),0,MAX(0,1-ABS(LOG10(N(Database!$BF77)/Screener!$D$13))/W_PEHW))</f>
        <v/>
      </c>
      <c r="J77">
        <f>IF(OR(N(Database!$S77)&lt;=0,N(Screener!$D$14)&lt;=0),0,MAX(0,1-ABS(LOG10(Database!$S77/Screener!$D$14))/0.6))</f>
        <v/>
      </c>
      <c r="K77">
        <f>IF(Database!$B77=Screener!$B$5,-999999,IF(ISNUMBER(SEARCH(","&amp;Database!$A77&amp;",",","&amp;SUBSTITUTE(Screener!$D$17," ","")&amp;",")),2000000,IF(IF(OR(Screener!$B$18="All",AND(Screener!$B$18="With A-share",(Database!$BK77="Y")),AND(Screener!$B$18="Without A-share",NOT((Database!$BK77="Y")))),1,0)=0,-999999,IF(Screener!$B$16="cornerstone overlap first",H77*100000,IF(Screener!$B$16="demand-similar first",J77*100000,0))+W_SUB*B77+W_SEC*C77*(1-B77)+W_SIZE*D77+W_PROF*E77+W_AH*F77+W_REC*G77+W_CS*H77+W_PE*I77)))+ROW()/1000000</f>
        <v/>
      </c>
      <c r="AA77">
        <f>Database!B67</f>
        <v/>
      </c>
      <c r="AB77">
        <f>Database!D67</f>
        <v/>
      </c>
      <c r="AC77">
        <f>Database!E67</f>
        <v/>
      </c>
      <c r="AD77">
        <f>Database!I67</f>
        <v/>
      </c>
      <c r="AE77">
        <f>Database!BE67</f>
        <v/>
      </c>
      <c r="AF77">
        <f>Database!BK67</f>
        <v/>
      </c>
      <c r="AG77">
        <f>Database!H67</f>
        <v/>
      </c>
      <c r="AH77">
        <f>Database!BF67</f>
        <v/>
      </c>
    </row>
    <row r="78">
      <c r="A78">
        <f>Database!B78</f>
        <v/>
      </c>
      <c r="B78">
        <f>IF(AND(Screener!$D$8&lt;&gt;"",Database!$E78=Screener!$D$8),1,0)</f>
        <v/>
      </c>
      <c r="C78">
        <f>IF(AND(Screener!$D$7&lt;&gt;"",Database!$D78=Screener!$D$7),1,0)</f>
        <v/>
      </c>
      <c r="D78">
        <f>IF(OR(N(Database!$I78)&lt;=0,N(Screener!$D$9)&lt;=0),0,MAX(0,1-ABS(LOG10(N(Database!$I78)/Screener!$D$9))/W_SIZEHW))</f>
        <v/>
      </c>
      <c r="E78">
        <f>IF(OR(Database!$BE78="",Screener!$D$10=""),0,IF(Database!$BE78=Screener!$D$10,1,0))</f>
        <v/>
      </c>
      <c r="F78">
        <f>IF(OR(Database!$BK78="",Screener!$D$11=""),0,IF(Database!$BK78=Screener!$D$11,1,0))</f>
        <v/>
      </c>
      <c r="G78">
        <f>IF(OR(Database!$H78="",N(Screener!$D$12)&lt;=0),0,MAX(0,1-(N(Screener!$D$12)-Database!$H78)/W_RECD))</f>
        <v/>
      </c>
      <c r="H78">
        <f>IF($U$1="",0,N(ISNUMBER(SEARCH($U$1,Database!$Z78&amp;""))))+IF($V$1="",0,N(ISNUMBER(SEARCH($V$1,Database!$Z78&amp;""))))+IF($W$1="",0,N(ISNUMBER(SEARCH($W$1,Database!$Z78&amp;""))))+IF($X$1="",0,N(ISNUMBER(SEARCH($X$1,Database!$Z78&amp;""))))+IF($Y$1="",0,N(ISNUMBER(SEARCH($Y$1,Database!$Z78&amp;""))))+IF(Screener!$B$17="",0,N(ISNUMBER(SEARCH(LOWER(Screener!$B$17),Database!$Z78&amp;""))))</f>
        <v/>
      </c>
      <c r="I78">
        <f>IF(OR(N(Database!$BF78)&lt;=0,N(Screener!$D$13)&lt;=0),0,MAX(0,1-ABS(LOG10(N(Database!$BF78)/Screener!$D$13))/W_PEHW))</f>
        <v/>
      </c>
      <c r="J78">
        <f>IF(OR(N(Database!$S78)&lt;=0,N(Screener!$D$14)&lt;=0),0,MAX(0,1-ABS(LOG10(Database!$S78/Screener!$D$14))/0.6))</f>
        <v/>
      </c>
      <c r="K78">
        <f>IF(Database!$B78=Screener!$B$5,-999999,IF(ISNUMBER(SEARCH(","&amp;Database!$A78&amp;",",","&amp;SUBSTITUTE(Screener!$D$17," ","")&amp;",")),2000000,IF(IF(OR(Screener!$B$18="All",AND(Screener!$B$18="With A-share",(Database!$BK78="Y")),AND(Screener!$B$18="Without A-share",NOT((Database!$BK78="Y")))),1,0)=0,-999999,IF(Screener!$B$16="cornerstone overlap first",H78*100000,IF(Screener!$B$16="demand-similar first",J78*100000,0))+W_SUB*B78+W_SEC*C78*(1-B78)+W_SIZE*D78+W_PROF*E78+W_AH*F78+W_REC*G78+W_CS*H78+W_PE*I78)))+ROW()/1000000</f>
        <v/>
      </c>
      <c r="AA78">
        <f>Database!B68</f>
        <v/>
      </c>
      <c r="AB78">
        <f>Database!D68</f>
        <v/>
      </c>
      <c r="AC78">
        <f>Database!E68</f>
        <v/>
      </c>
      <c r="AD78">
        <f>Database!I68</f>
        <v/>
      </c>
      <c r="AE78">
        <f>Database!BE68</f>
        <v/>
      </c>
      <c r="AF78">
        <f>Database!BK68</f>
        <v/>
      </c>
      <c r="AG78">
        <f>Database!H68</f>
        <v/>
      </c>
      <c r="AH78">
        <f>Database!BF68</f>
        <v/>
      </c>
    </row>
    <row r="79">
      <c r="A79">
        <f>Database!B79</f>
        <v/>
      </c>
      <c r="B79">
        <f>IF(AND(Screener!$D$8&lt;&gt;"",Database!$E79=Screener!$D$8),1,0)</f>
        <v/>
      </c>
      <c r="C79">
        <f>IF(AND(Screener!$D$7&lt;&gt;"",Database!$D79=Screener!$D$7),1,0)</f>
        <v/>
      </c>
      <c r="D79">
        <f>IF(OR(N(Database!$I79)&lt;=0,N(Screener!$D$9)&lt;=0),0,MAX(0,1-ABS(LOG10(N(Database!$I79)/Screener!$D$9))/W_SIZEHW))</f>
        <v/>
      </c>
      <c r="E79">
        <f>IF(OR(Database!$BE79="",Screener!$D$10=""),0,IF(Database!$BE79=Screener!$D$10,1,0))</f>
        <v/>
      </c>
      <c r="F79">
        <f>IF(OR(Database!$BK79="",Screener!$D$11=""),0,IF(Database!$BK79=Screener!$D$11,1,0))</f>
        <v/>
      </c>
      <c r="G79">
        <f>IF(OR(Database!$H79="",N(Screener!$D$12)&lt;=0),0,MAX(0,1-(N(Screener!$D$12)-Database!$H79)/W_RECD))</f>
        <v/>
      </c>
      <c r="H79">
        <f>IF($U$1="",0,N(ISNUMBER(SEARCH($U$1,Database!$Z79&amp;""))))+IF($V$1="",0,N(ISNUMBER(SEARCH($V$1,Database!$Z79&amp;""))))+IF($W$1="",0,N(ISNUMBER(SEARCH($W$1,Database!$Z79&amp;""))))+IF($X$1="",0,N(ISNUMBER(SEARCH($X$1,Database!$Z79&amp;""))))+IF($Y$1="",0,N(ISNUMBER(SEARCH($Y$1,Database!$Z79&amp;""))))+IF(Screener!$B$17="",0,N(ISNUMBER(SEARCH(LOWER(Screener!$B$17),Database!$Z79&amp;""))))</f>
        <v/>
      </c>
      <c r="I79">
        <f>IF(OR(N(Database!$BF79)&lt;=0,N(Screener!$D$13)&lt;=0),0,MAX(0,1-ABS(LOG10(N(Database!$BF79)/Screener!$D$13))/W_PEHW))</f>
        <v/>
      </c>
      <c r="J79">
        <f>IF(OR(N(Database!$S79)&lt;=0,N(Screener!$D$14)&lt;=0),0,MAX(0,1-ABS(LOG10(Database!$S79/Screener!$D$14))/0.6))</f>
        <v/>
      </c>
      <c r="K79">
        <f>IF(Database!$B79=Screener!$B$5,-999999,IF(ISNUMBER(SEARCH(","&amp;Database!$A79&amp;",",","&amp;SUBSTITUTE(Screener!$D$17," ","")&amp;",")),2000000,IF(IF(OR(Screener!$B$18="All",AND(Screener!$B$18="With A-share",(Database!$BK79="Y")),AND(Screener!$B$18="Without A-share",NOT((Database!$BK79="Y")))),1,0)=0,-999999,IF(Screener!$B$16="cornerstone overlap first",H79*100000,IF(Screener!$B$16="demand-similar first",J79*100000,0))+W_SUB*B79+W_SEC*C79*(1-B79)+W_SIZE*D79+W_PROF*E79+W_AH*F79+W_REC*G79+W_CS*H79+W_PE*I79)))+ROW()/1000000</f>
        <v/>
      </c>
      <c r="AA79">
        <f>Database!B69</f>
        <v/>
      </c>
      <c r="AB79">
        <f>Database!D69</f>
        <v/>
      </c>
      <c r="AC79">
        <f>Database!E69</f>
        <v/>
      </c>
      <c r="AD79">
        <f>Database!I69</f>
        <v/>
      </c>
      <c r="AE79">
        <f>Database!BE69</f>
        <v/>
      </c>
      <c r="AF79">
        <f>Database!BK69</f>
        <v/>
      </c>
      <c r="AG79">
        <f>Database!H69</f>
        <v/>
      </c>
      <c r="AH79">
        <f>Database!BF69</f>
        <v/>
      </c>
    </row>
    <row r="80">
      <c r="A80">
        <f>Database!B80</f>
        <v/>
      </c>
      <c r="B80">
        <f>IF(AND(Screener!$D$8&lt;&gt;"",Database!$E80=Screener!$D$8),1,0)</f>
        <v/>
      </c>
      <c r="C80">
        <f>IF(AND(Screener!$D$7&lt;&gt;"",Database!$D80=Screener!$D$7),1,0)</f>
        <v/>
      </c>
      <c r="D80">
        <f>IF(OR(N(Database!$I80)&lt;=0,N(Screener!$D$9)&lt;=0),0,MAX(0,1-ABS(LOG10(N(Database!$I80)/Screener!$D$9))/W_SIZEHW))</f>
        <v/>
      </c>
      <c r="E80">
        <f>IF(OR(Database!$BE80="",Screener!$D$10=""),0,IF(Database!$BE80=Screener!$D$10,1,0))</f>
        <v/>
      </c>
      <c r="F80">
        <f>IF(OR(Database!$BK80="",Screener!$D$11=""),0,IF(Database!$BK80=Screener!$D$11,1,0))</f>
        <v/>
      </c>
      <c r="G80">
        <f>IF(OR(Database!$H80="",N(Screener!$D$12)&lt;=0),0,MAX(0,1-(N(Screener!$D$12)-Database!$H80)/W_RECD))</f>
        <v/>
      </c>
      <c r="H80">
        <f>IF($U$1="",0,N(ISNUMBER(SEARCH($U$1,Database!$Z80&amp;""))))+IF($V$1="",0,N(ISNUMBER(SEARCH($V$1,Database!$Z80&amp;""))))+IF($W$1="",0,N(ISNUMBER(SEARCH($W$1,Database!$Z80&amp;""))))+IF($X$1="",0,N(ISNUMBER(SEARCH($X$1,Database!$Z80&amp;""))))+IF($Y$1="",0,N(ISNUMBER(SEARCH($Y$1,Database!$Z80&amp;""))))+IF(Screener!$B$17="",0,N(ISNUMBER(SEARCH(LOWER(Screener!$B$17),Database!$Z80&amp;""))))</f>
        <v/>
      </c>
      <c r="I80">
        <f>IF(OR(N(Database!$BF80)&lt;=0,N(Screener!$D$13)&lt;=0),0,MAX(0,1-ABS(LOG10(N(Database!$BF80)/Screener!$D$13))/W_PEHW))</f>
        <v/>
      </c>
      <c r="J80">
        <f>IF(OR(N(Database!$S80)&lt;=0,N(Screener!$D$14)&lt;=0),0,MAX(0,1-ABS(LOG10(Database!$S80/Screener!$D$14))/0.6))</f>
        <v/>
      </c>
      <c r="K80">
        <f>IF(Database!$B80=Screener!$B$5,-999999,IF(ISNUMBER(SEARCH(","&amp;Database!$A80&amp;",",","&amp;SUBSTITUTE(Screener!$D$17," ","")&amp;",")),2000000,IF(IF(OR(Screener!$B$18="All",AND(Screener!$B$18="With A-share",(Database!$BK80="Y")),AND(Screener!$B$18="Without A-share",NOT((Database!$BK80="Y")))),1,0)=0,-999999,IF(Screener!$B$16="cornerstone overlap first",H80*100000,IF(Screener!$B$16="demand-similar first",J80*100000,0))+W_SUB*B80+W_SEC*C80*(1-B80)+W_SIZE*D80+W_PROF*E80+W_AH*F80+W_REC*G80+W_CS*H80+W_PE*I80)))+ROW()/1000000</f>
        <v/>
      </c>
      <c r="AA80">
        <f>Database!B70</f>
        <v/>
      </c>
      <c r="AB80">
        <f>Database!D70</f>
        <v/>
      </c>
      <c r="AC80">
        <f>Database!E70</f>
        <v/>
      </c>
      <c r="AD80">
        <f>Database!I70</f>
        <v/>
      </c>
      <c r="AE80">
        <f>Database!BE70</f>
        <v/>
      </c>
      <c r="AF80">
        <f>Database!BK70</f>
        <v/>
      </c>
      <c r="AG80">
        <f>Database!H70</f>
        <v/>
      </c>
      <c r="AH80">
        <f>Database!BF70</f>
        <v/>
      </c>
    </row>
    <row r="81">
      <c r="A81">
        <f>Database!B81</f>
        <v/>
      </c>
      <c r="B81">
        <f>IF(AND(Screener!$D$8&lt;&gt;"",Database!$E81=Screener!$D$8),1,0)</f>
        <v/>
      </c>
      <c r="C81">
        <f>IF(AND(Screener!$D$7&lt;&gt;"",Database!$D81=Screener!$D$7),1,0)</f>
        <v/>
      </c>
      <c r="D81">
        <f>IF(OR(N(Database!$I81)&lt;=0,N(Screener!$D$9)&lt;=0),0,MAX(0,1-ABS(LOG10(N(Database!$I81)/Screener!$D$9))/W_SIZEHW))</f>
        <v/>
      </c>
      <c r="E81">
        <f>IF(OR(Database!$BE81="",Screener!$D$10=""),0,IF(Database!$BE81=Screener!$D$10,1,0))</f>
        <v/>
      </c>
      <c r="F81">
        <f>IF(OR(Database!$BK81="",Screener!$D$11=""),0,IF(Database!$BK81=Screener!$D$11,1,0))</f>
        <v/>
      </c>
      <c r="G81">
        <f>IF(OR(Database!$H81="",N(Screener!$D$12)&lt;=0),0,MAX(0,1-(N(Screener!$D$12)-Database!$H81)/W_RECD))</f>
        <v/>
      </c>
      <c r="H81">
        <f>IF($U$1="",0,N(ISNUMBER(SEARCH($U$1,Database!$Z81&amp;""))))+IF($V$1="",0,N(ISNUMBER(SEARCH($V$1,Database!$Z81&amp;""))))+IF($W$1="",0,N(ISNUMBER(SEARCH($W$1,Database!$Z81&amp;""))))+IF($X$1="",0,N(ISNUMBER(SEARCH($X$1,Database!$Z81&amp;""))))+IF($Y$1="",0,N(ISNUMBER(SEARCH($Y$1,Database!$Z81&amp;""))))+IF(Screener!$B$17="",0,N(ISNUMBER(SEARCH(LOWER(Screener!$B$17),Database!$Z81&amp;""))))</f>
        <v/>
      </c>
      <c r="I81">
        <f>IF(OR(N(Database!$BF81)&lt;=0,N(Screener!$D$13)&lt;=0),0,MAX(0,1-ABS(LOG10(N(Database!$BF81)/Screener!$D$13))/W_PEHW))</f>
        <v/>
      </c>
      <c r="J81">
        <f>IF(OR(N(Database!$S81)&lt;=0,N(Screener!$D$14)&lt;=0),0,MAX(0,1-ABS(LOG10(Database!$S81/Screener!$D$14))/0.6))</f>
        <v/>
      </c>
      <c r="K81">
        <f>IF(Database!$B81=Screener!$B$5,-999999,IF(ISNUMBER(SEARCH(","&amp;Database!$A81&amp;",",","&amp;SUBSTITUTE(Screener!$D$17," ","")&amp;",")),2000000,IF(IF(OR(Screener!$B$18="All",AND(Screener!$B$18="With A-share",(Database!$BK81="Y")),AND(Screener!$B$18="Without A-share",NOT((Database!$BK81="Y")))),1,0)=0,-999999,IF(Screener!$B$16="cornerstone overlap first",H81*100000,IF(Screener!$B$16="demand-similar first",J81*100000,0))+W_SUB*B81+W_SEC*C81*(1-B81)+W_SIZE*D81+W_PROF*E81+W_AH*F81+W_REC*G81+W_CS*H81+W_PE*I81)))+ROW()/1000000</f>
        <v/>
      </c>
      <c r="AA81">
        <f>Database!B71</f>
        <v/>
      </c>
      <c r="AB81">
        <f>Database!D71</f>
        <v/>
      </c>
      <c r="AC81">
        <f>Database!E71</f>
        <v/>
      </c>
      <c r="AD81">
        <f>Database!I71</f>
        <v/>
      </c>
      <c r="AE81">
        <f>Database!BE71</f>
        <v/>
      </c>
      <c r="AF81">
        <f>Database!BK71</f>
        <v/>
      </c>
      <c r="AG81">
        <f>Database!H71</f>
        <v/>
      </c>
      <c r="AH81">
        <f>Database!BF71</f>
        <v/>
      </c>
    </row>
    <row r="82">
      <c r="A82">
        <f>Database!B82</f>
        <v/>
      </c>
      <c r="B82">
        <f>IF(AND(Screener!$D$8&lt;&gt;"",Database!$E82=Screener!$D$8),1,0)</f>
        <v/>
      </c>
      <c r="C82">
        <f>IF(AND(Screener!$D$7&lt;&gt;"",Database!$D82=Screener!$D$7),1,0)</f>
        <v/>
      </c>
      <c r="D82">
        <f>IF(OR(N(Database!$I82)&lt;=0,N(Screener!$D$9)&lt;=0),0,MAX(0,1-ABS(LOG10(N(Database!$I82)/Screener!$D$9))/W_SIZEHW))</f>
        <v/>
      </c>
      <c r="E82">
        <f>IF(OR(Database!$BE82="",Screener!$D$10=""),0,IF(Database!$BE82=Screener!$D$10,1,0))</f>
        <v/>
      </c>
      <c r="F82">
        <f>IF(OR(Database!$BK82="",Screener!$D$11=""),0,IF(Database!$BK82=Screener!$D$11,1,0))</f>
        <v/>
      </c>
      <c r="G82">
        <f>IF(OR(Database!$H82="",N(Screener!$D$12)&lt;=0),0,MAX(0,1-(N(Screener!$D$12)-Database!$H82)/W_RECD))</f>
        <v/>
      </c>
      <c r="H82">
        <f>IF($U$1="",0,N(ISNUMBER(SEARCH($U$1,Database!$Z82&amp;""))))+IF($V$1="",0,N(ISNUMBER(SEARCH($V$1,Database!$Z82&amp;""))))+IF($W$1="",0,N(ISNUMBER(SEARCH($W$1,Database!$Z82&amp;""))))+IF($X$1="",0,N(ISNUMBER(SEARCH($X$1,Database!$Z82&amp;""))))+IF($Y$1="",0,N(ISNUMBER(SEARCH($Y$1,Database!$Z82&amp;""))))+IF(Screener!$B$17="",0,N(ISNUMBER(SEARCH(LOWER(Screener!$B$17),Database!$Z82&amp;""))))</f>
        <v/>
      </c>
      <c r="I82">
        <f>IF(OR(N(Database!$BF82)&lt;=0,N(Screener!$D$13)&lt;=0),0,MAX(0,1-ABS(LOG10(N(Database!$BF82)/Screener!$D$13))/W_PEHW))</f>
        <v/>
      </c>
      <c r="J82">
        <f>IF(OR(N(Database!$S82)&lt;=0,N(Screener!$D$14)&lt;=0),0,MAX(0,1-ABS(LOG10(Database!$S82/Screener!$D$14))/0.6))</f>
        <v/>
      </c>
      <c r="K82">
        <f>IF(Database!$B82=Screener!$B$5,-999999,IF(ISNUMBER(SEARCH(","&amp;Database!$A82&amp;",",","&amp;SUBSTITUTE(Screener!$D$17," ","")&amp;",")),2000000,IF(IF(OR(Screener!$B$18="All",AND(Screener!$B$18="With A-share",(Database!$BK82="Y")),AND(Screener!$B$18="Without A-share",NOT((Database!$BK82="Y")))),1,0)=0,-999999,IF(Screener!$B$16="cornerstone overlap first",H82*100000,IF(Screener!$B$16="demand-similar first",J82*100000,0))+W_SUB*B82+W_SEC*C82*(1-B82)+W_SIZE*D82+W_PROF*E82+W_AH*F82+W_REC*G82+W_CS*H82+W_PE*I82)))+ROW()/1000000</f>
        <v/>
      </c>
      <c r="AA82">
        <f>Database!B72</f>
        <v/>
      </c>
      <c r="AB82">
        <f>Database!D72</f>
        <v/>
      </c>
      <c r="AC82">
        <f>Database!E72</f>
        <v/>
      </c>
      <c r="AD82">
        <f>Database!I72</f>
        <v/>
      </c>
      <c r="AE82">
        <f>Database!BE72</f>
        <v/>
      </c>
      <c r="AF82">
        <f>Database!BK72</f>
        <v/>
      </c>
      <c r="AG82">
        <f>Database!H72</f>
        <v/>
      </c>
      <c r="AH82">
        <f>Database!BF72</f>
        <v/>
      </c>
    </row>
    <row r="83">
      <c r="A83">
        <f>Database!B83</f>
        <v/>
      </c>
      <c r="B83">
        <f>IF(AND(Screener!$D$8&lt;&gt;"",Database!$E83=Screener!$D$8),1,0)</f>
        <v/>
      </c>
      <c r="C83">
        <f>IF(AND(Screener!$D$7&lt;&gt;"",Database!$D83=Screener!$D$7),1,0)</f>
        <v/>
      </c>
      <c r="D83">
        <f>IF(OR(N(Database!$I83)&lt;=0,N(Screener!$D$9)&lt;=0),0,MAX(0,1-ABS(LOG10(N(Database!$I83)/Screener!$D$9))/W_SIZEHW))</f>
        <v/>
      </c>
      <c r="E83">
        <f>IF(OR(Database!$BE83="",Screener!$D$10=""),0,IF(Database!$BE83=Screener!$D$10,1,0))</f>
        <v/>
      </c>
      <c r="F83">
        <f>IF(OR(Database!$BK83="",Screener!$D$11=""),0,IF(Database!$BK83=Screener!$D$11,1,0))</f>
        <v/>
      </c>
      <c r="G83">
        <f>IF(OR(Database!$H83="",N(Screener!$D$12)&lt;=0),0,MAX(0,1-(N(Screener!$D$12)-Database!$H83)/W_RECD))</f>
        <v/>
      </c>
      <c r="H83">
        <f>IF($U$1="",0,N(ISNUMBER(SEARCH($U$1,Database!$Z83&amp;""))))+IF($V$1="",0,N(ISNUMBER(SEARCH($V$1,Database!$Z83&amp;""))))+IF($W$1="",0,N(ISNUMBER(SEARCH($W$1,Database!$Z83&amp;""))))+IF($X$1="",0,N(ISNUMBER(SEARCH($X$1,Database!$Z83&amp;""))))+IF($Y$1="",0,N(ISNUMBER(SEARCH($Y$1,Database!$Z83&amp;""))))+IF(Screener!$B$17="",0,N(ISNUMBER(SEARCH(LOWER(Screener!$B$17),Database!$Z83&amp;""))))</f>
        <v/>
      </c>
      <c r="I83">
        <f>IF(OR(N(Database!$BF83)&lt;=0,N(Screener!$D$13)&lt;=0),0,MAX(0,1-ABS(LOG10(N(Database!$BF83)/Screener!$D$13))/W_PEHW))</f>
        <v/>
      </c>
      <c r="J83">
        <f>IF(OR(N(Database!$S83)&lt;=0,N(Screener!$D$14)&lt;=0),0,MAX(0,1-ABS(LOG10(Database!$S83/Screener!$D$14))/0.6))</f>
        <v/>
      </c>
      <c r="K83">
        <f>IF(Database!$B83=Screener!$B$5,-999999,IF(ISNUMBER(SEARCH(","&amp;Database!$A83&amp;",",","&amp;SUBSTITUTE(Screener!$D$17," ","")&amp;",")),2000000,IF(IF(OR(Screener!$B$18="All",AND(Screener!$B$18="With A-share",(Database!$BK83="Y")),AND(Screener!$B$18="Without A-share",NOT((Database!$BK83="Y")))),1,0)=0,-999999,IF(Screener!$B$16="cornerstone overlap first",H83*100000,IF(Screener!$B$16="demand-similar first",J83*100000,0))+W_SUB*B83+W_SEC*C83*(1-B83)+W_SIZE*D83+W_PROF*E83+W_AH*F83+W_REC*G83+W_CS*H83+W_PE*I83)))+ROW()/1000000</f>
        <v/>
      </c>
      <c r="AA83">
        <f>Database!B73</f>
        <v/>
      </c>
      <c r="AB83">
        <f>Database!D73</f>
        <v/>
      </c>
      <c r="AC83">
        <f>Database!E73</f>
        <v/>
      </c>
      <c r="AD83">
        <f>Database!I73</f>
        <v/>
      </c>
      <c r="AE83">
        <f>Database!BE73</f>
        <v/>
      </c>
      <c r="AF83">
        <f>Database!BK73</f>
        <v/>
      </c>
      <c r="AG83">
        <f>Database!H73</f>
        <v/>
      </c>
      <c r="AH83">
        <f>Database!BF73</f>
        <v/>
      </c>
    </row>
    <row r="84">
      <c r="A84">
        <f>Database!B84</f>
        <v/>
      </c>
      <c r="B84">
        <f>IF(AND(Screener!$D$8&lt;&gt;"",Database!$E84=Screener!$D$8),1,0)</f>
        <v/>
      </c>
      <c r="C84">
        <f>IF(AND(Screener!$D$7&lt;&gt;"",Database!$D84=Screener!$D$7),1,0)</f>
        <v/>
      </c>
      <c r="D84">
        <f>IF(OR(N(Database!$I84)&lt;=0,N(Screener!$D$9)&lt;=0),0,MAX(0,1-ABS(LOG10(N(Database!$I84)/Screener!$D$9))/W_SIZEHW))</f>
        <v/>
      </c>
      <c r="E84">
        <f>IF(OR(Database!$BE84="",Screener!$D$10=""),0,IF(Database!$BE84=Screener!$D$10,1,0))</f>
        <v/>
      </c>
      <c r="F84">
        <f>IF(OR(Database!$BK84="",Screener!$D$11=""),0,IF(Database!$BK84=Screener!$D$11,1,0))</f>
        <v/>
      </c>
      <c r="G84">
        <f>IF(OR(Database!$H84="",N(Screener!$D$12)&lt;=0),0,MAX(0,1-(N(Screener!$D$12)-Database!$H84)/W_RECD))</f>
        <v/>
      </c>
      <c r="H84">
        <f>IF($U$1="",0,N(ISNUMBER(SEARCH($U$1,Database!$Z84&amp;""))))+IF($V$1="",0,N(ISNUMBER(SEARCH($V$1,Database!$Z84&amp;""))))+IF($W$1="",0,N(ISNUMBER(SEARCH($W$1,Database!$Z84&amp;""))))+IF($X$1="",0,N(ISNUMBER(SEARCH($X$1,Database!$Z84&amp;""))))+IF($Y$1="",0,N(ISNUMBER(SEARCH($Y$1,Database!$Z84&amp;""))))+IF(Screener!$B$17="",0,N(ISNUMBER(SEARCH(LOWER(Screener!$B$17),Database!$Z84&amp;""))))</f>
        <v/>
      </c>
      <c r="I84">
        <f>IF(OR(N(Database!$BF84)&lt;=0,N(Screener!$D$13)&lt;=0),0,MAX(0,1-ABS(LOG10(N(Database!$BF84)/Screener!$D$13))/W_PEHW))</f>
        <v/>
      </c>
      <c r="J84">
        <f>IF(OR(N(Database!$S84)&lt;=0,N(Screener!$D$14)&lt;=0),0,MAX(0,1-ABS(LOG10(Database!$S84/Screener!$D$14))/0.6))</f>
        <v/>
      </c>
      <c r="K84">
        <f>IF(Database!$B84=Screener!$B$5,-999999,IF(ISNUMBER(SEARCH(","&amp;Database!$A84&amp;",",","&amp;SUBSTITUTE(Screener!$D$17," ","")&amp;",")),2000000,IF(IF(OR(Screener!$B$18="All",AND(Screener!$B$18="With A-share",(Database!$BK84="Y")),AND(Screener!$B$18="Without A-share",NOT((Database!$BK84="Y")))),1,0)=0,-999999,IF(Screener!$B$16="cornerstone overlap first",H84*100000,IF(Screener!$B$16="demand-similar first",J84*100000,0))+W_SUB*B84+W_SEC*C84*(1-B84)+W_SIZE*D84+W_PROF*E84+W_AH*F84+W_REC*G84+W_CS*H84+W_PE*I84)))+ROW()/1000000</f>
        <v/>
      </c>
      <c r="AA84">
        <f>Database!B74</f>
        <v/>
      </c>
      <c r="AB84">
        <f>Database!D74</f>
        <v/>
      </c>
      <c r="AC84">
        <f>Database!E74</f>
        <v/>
      </c>
      <c r="AD84">
        <f>Database!I74</f>
        <v/>
      </c>
      <c r="AE84">
        <f>Database!BE74</f>
        <v/>
      </c>
      <c r="AF84">
        <f>Database!BK74</f>
        <v/>
      </c>
      <c r="AG84">
        <f>Database!H74</f>
        <v/>
      </c>
      <c r="AH84">
        <f>Database!BF74</f>
        <v/>
      </c>
    </row>
    <row r="85">
      <c r="A85">
        <f>Database!B85</f>
        <v/>
      </c>
      <c r="B85">
        <f>IF(AND(Screener!$D$8&lt;&gt;"",Database!$E85=Screener!$D$8),1,0)</f>
        <v/>
      </c>
      <c r="C85">
        <f>IF(AND(Screener!$D$7&lt;&gt;"",Database!$D85=Screener!$D$7),1,0)</f>
        <v/>
      </c>
      <c r="D85">
        <f>IF(OR(N(Database!$I85)&lt;=0,N(Screener!$D$9)&lt;=0),0,MAX(0,1-ABS(LOG10(N(Database!$I85)/Screener!$D$9))/W_SIZEHW))</f>
        <v/>
      </c>
      <c r="E85">
        <f>IF(OR(Database!$BE85="",Screener!$D$10=""),0,IF(Database!$BE85=Screener!$D$10,1,0))</f>
        <v/>
      </c>
      <c r="F85">
        <f>IF(OR(Database!$BK85="",Screener!$D$11=""),0,IF(Database!$BK85=Screener!$D$11,1,0))</f>
        <v/>
      </c>
      <c r="G85">
        <f>IF(OR(Database!$H85="",N(Screener!$D$12)&lt;=0),0,MAX(0,1-(N(Screener!$D$12)-Database!$H85)/W_RECD))</f>
        <v/>
      </c>
      <c r="H85">
        <f>IF($U$1="",0,N(ISNUMBER(SEARCH($U$1,Database!$Z85&amp;""))))+IF($V$1="",0,N(ISNUMBER(SEARCH($V$1,Database!$Z85&amp;""))))+IF($W$1="",0,N(ISNUMBER(SEARCH($W$1,Database!$Z85&amp;""))))+IF($X$1="",0,N(ISNUMBER(SEARCH($X$1,Database!$Z85&amp;""))))+IF($Y$1="",0,N(ISNUMBER(SEARCH($Y$1,Database!$Z85&amp;""))))+IF(Screener!$B$17="",0,N(ISNUMBER(SEARCH(LOWER(Screener!$B$17),Database!$Z85&amp;""))))</f>
        <v/>
      </c>
      <c r="I85">
        <f>IF(OR(N(Database!$BF85)&lt;=0,N(Screener!$D$13)&lt;=0),0,MAX(0,1-ABS(LOG10(N(Database!$BF85)/Screener!$D$13))/W_PEHW))</f>
        <v/>
      </c>
      <c r="J85">
        <f>IF(OR(N(Database!$S85)&lt;=0,N(Screener!$D$14)&lt;=0),0,MAX(0,1-ABS(LOG10(Database!$S85/Screener!$D$14))/0.6))</f>
        <v/>
      </c>
      <c r="K85">
        <f>IF(Database!$B85=Screener!$B$5,-999999,IF(ISNUMBER(SEARCH(","&amp;Database!$A85&amp;",",","&amp;SUBSTITUTE(Screener!$D$17," ","")&amp;",")),2000000,IF(IF(OR(Screener!$B$18="All",AND(Screener!$B$18="With A-share",(Database!$BK85="Y")),AND(Screener!$B$18="Without A-share",NOT((Database!$BK85="Y")))),1,0)=0,-999999,IF(Screener!$B$16="cornerstone overlap first",H85*100000,IF(Screener!$B$16="demand-similar first",J85*100000,0))+W_SUB*B85+W_SEC*C85*(1-B85)+W_SIZE*D85+W_PROF*E85+W_AH*F85+W_REC*G85+W_CS*H85+W_PE*I85)))+ROW()/1000000</f>
        <v/>
      </c>
      <c r="AA85">
        <f>Database!B75</f>
        <v/>
      </c>
      <c r="AB85">
        <f>Database!D75</f>
        <v/>
      </c>
      <c r="AC85">
        <f>Database!E75</f>
        <v/>
      </c>
      <c r="AD85">
        <f>Database!I75</f>
        <v/>
      </c>
      <c r="AE85">
        <f>Database!BE75</f>
        <v/>
      </c>
      <c r="AF85">
        <f>Database!BK75</f>
        <v/>
      </c>
      <c r="AG85">
        <f>Database!H75</f>
        <v/>
      </c>
      <c r="AH85">
        <f>Database!BF75</f>
        <v/>
      </c>
    </row>
    <row r="86">
      <c r="A86">
        <f>Database!B86</f>
        <v/>
      </c>
      <c r="B86">
        <f>IF(AND(Screener!$D$8&lt;&gt;"",Database!$E86=Screener!$D$8),1,0)</f>
        <v/>
      </c>
      <c r="C86">
        <f>IF(AND(Screener!$D$7&lt;&gt;"",Database!$D86=Screener!$D$7),1,0)</f>
        <v/>
      </c>
      <c r="D86">
        <f>IF(OR(N(Database!$I86)&lt;=0,N(Screener!$D$9)&lt;=0),0,MAX(0,1-ABS(LOG10(N(Database!$I86)/Screener!$D$9))/W_SIZEHW))</f>
        <v/>
      </c>
      <c r="E86">
        <f>IF(OR(Database!$BE86="",Screener!$D$10=""),0,IF(Database!$BE86=Screener!$D$10,1,0))</f>
        <v/>
      </c>
      <c r="F86">
        <f>IF(OR(Database!$BK86="",Screener!$D$11=""),0,IF(Database!$BK86=Screener!$D$11,1,0))</f>
        <v/>
      </c>
      <c r="G86">
        <f>IF(OR(Database!$H86="",N(Screener!$D$12)&lt;=0),0,MAX(0,1-(N(Screener!$D$12)-Database!$H86)/W_RECD))</f>
        <v/>
      </c>
      <c r="H86">
        <f>IF($U$1="",0,N(ISNUMBER(SEARCH($U$1,Database!$Z86&amp;""))))+IF($V$1="",0,N(ISNUMBER(SEARCH($V$1,Database!$Z86&amp;""))))+IF($W$1="",0,N(ISNUMBER(SEARCH($W$1,Database!$Z86&amp;""))))+IF($X$1="",0,N(ISNUMBER(SEARCH($X$1,Database!$Z86&amp;""))))+IF($Y$1="",0,N(ISNUMBER(SEARCH($Y$1,Database!$Z86&amp;""))))+IF(Screener!$B$17="",0,N(ISNUMBER(SEARCH(LOWER(Screener!$B$17),Database!$Z86&amp;""))))</f>
        <v/>
      </c>
      <c r="I86">
        <f>IF(OR(N(Database!$BF86)&lt;=0,N(Screener!$D$13)&lt;=0),0,MAX(0,1-ABS(LOG10(N(Database!$BF86)/Screener!$D$13))/W_PEHW))</f>
        <v/>
      </c>
      <c r="J86">
        <f>IF(OR(N(Database!$S86)&lt;=0,N(Screener!$D$14)&lt;=0),0,MAX(0,1-ABS(LOG10(Database!$S86/Screener!$D$14))/0.6))</f>
        <v/>
      </c>
      <c r="K86">
        <f>IF(Database!$B86=Screener!$B$5,-999999,IF(ISNUMBER(SEARCH(","&amp;Database!$A86&amp;",",","&amp;SUBSTITUTE(Screener!$D$17," ","")&amp;",")),2000000,IF(IF(OR(Screener!$B$18="All",AND(Screener!$B$18="With A-share",(Database!$BK86="Y")),AND(Screener!$B$18="Without A-share",NOT((Database!$BK86="Y")))),1,0)=0,-999999,IF(Screener!$B$16="cornerstone overlap first",H86*100000,IF(Screener!$B$16="demand-similar first",J86*100000,0))+W_SUB*B86+W_SEC*C86*(1-B86)+W_SIZE*D86+W_PROF*E86+W_AH*F86+W_REC*G86+W_CS*H86+W_PE*I86)))+ROW()/1000000</f>
        <v/>
      </c>
      <c r="AA86">
        <f>Database!B76</f>
        <v/>
      </c>
      <c r="AB86">
        <f>Database!D76</f>
        <v/>
      </c>
      <c r="AC86">
        <f>Database!E76</f>
        <v/>
      </c>
      <c r="AD86">
        <f>Database!I76</f>
        <v/>
      </c>
      <c r="AE86">
        <f>Database!BE76</f>
        <v/>
      </c>
      <c r="AF86">
        <f>Database!BK76</f>
        <v/>
      </c>
      <c r="AG86">
        <f>Database!H76</f>
        <v/>
      </c>
      <c r="AH86">
        <f>Database!BF76</f>
        <v/>
      </c>
    </row>
    <row r="87">
      <c r="A87">
        <f>Database!B87</f>
        <v/>
      </c>
      <c r="B87">
        <f>IF(AND(Screener!$D$8&lt;&gt;"",Database!$E87=Screener!$D$8),1,0)</f>
        <v/>
      </c>
      <c r="C87">
        <f>IF(AND(Screener!$D$7&lt;&gt;"",Database!$D87=Screener!$D$7),1,0)</f>
        <v/>
      </c>
      <c r="D87">
        <f>IF(OR(N(Database!$I87)&lt;=0,N(Screener!$D$9)&lt;=0),0,MAX(0,1-ABS(LOG10(N(Database!$I87)/Screener!$D$9))/W_SIZEHW))</f>
        <v/>
      </c>
      <c r="E87">
        <f>IF(OR(Database!$BE87="",Screener!$D$10=""),0,IF(Database!$BE87=Screener!$D$10,1,0))</f>
        <v/>
      </c>
      <c r="F87">
        <f>IF(OR(Database!$BK87="",Screener!$D$11=""),0,IF(Database!$BK87=Screener!$D$11,1,0))</f>
        <v/>
      </c>
      <c r="G87">
        <f>IF(OR(Database!$H87="",N(Screener!$D$12)&lt;=0),0,MAX(0,1-(N(Screener!$D$12)-Database!$H87)/W_RECD))</f>
        <v/>
      </c>
      <c r="H87">
        <f>IF($U$1="",0,N(ISNUMBER(SEARCH($U$1,Database!$Z87&amp;""))))+IF($V$1="",0,N(ISNUMBER(SEARCH($V$1,Database!$Z87&amp;""))))+IF($W$1="",0,N(ISNUMBER(SEARCH($W$1,Database!$Z87&amp;""))))+IF($X$1="",0,N(ISNUMBER(SEARCH($X$1,Database!$Z87&amp;""))))+IF($Y$1="",0,N(ISNUMBER(SEARCH($Y$1,Database!$Z87&amp;""))))+IF(Screener!$B$17="",0,N(ISNUMBER(SEARCH(LOWER(Screener!$B$17),Database!$Z87&amp;""))))</f>
        <v/>
      </c>
      <c r="I87">
        <f>IF(OR(N(Database!$BF87)&lt;=0,N(Screener!$D$13)&lt;=0),0,MAX(0,1-ABS(LOG10(N(Database!$BF87)/Screener!$D$13))/W_PEHW))</f>
        <v/>
      </c>
      <c r="J87">
        <f>IF(OR(N(Database!$S87)&lt;=0,N(Screener!$D$14)&lt;=0),0,MAX(0,1-ABS(LOG10(Database!$S87/Screener!$D$14))/0.6))</f>
        <v/>
      </c>
      <c r="K87">
        <f>IF(Database!$B87=Screener!$B$5,-999999,IF(ISNUMBER(SEARCH(","&amp;Database!$A87&amp;",",","&amp;SUBSTITUTE(Screener!$D$17," ","")&amp;",")),2000000,IF(IF(OR(Screener!$B$18="All",AND(Screener!$B$18="With A-share",(Database!$BK87="Y")),AND(Screener!$B$18="Without A-share",NOT((Database!$BK87="Y")))),1,0)=0,-999999,IF(Screener!$B$16="cornerstone overlap first",H87*100000,IF(Screener!$B$16="demand-similar first",J87*100000,0))+W_SUB*B87+W_SEC*C87*(1-B87)+W_SIZE*D87+W_PROF*E87+W_AH*F87+W_REC*G87+W_CS*H87+W_PE*I87)))+ROW()/1000000</f>
        <v/>
      </c>
      <c r="AA87">
        <f>Database!B77</f>
        <v/>
      </c>
      <c r="AB87">
        <f>Database!D77</f>
        <v/>
      </c>
      <c r="AC87">
        <f>Database!E77</f>
        <v/>
      </c>
      <c r="AD87">
        <f>Database!I77</f>
        <v/>
      </c>
      <c r="AE87">
        <f>Database!BE77</f>
        <v/>
      </c>
      <c r="AF87">
        <f>Database!BK77</f>
        <v/>
      </c>
      <c r="AG87">
        <f>Database!H77</f>
        <v/>
      </c>
      <c r="AH87">
        <f>Database!BF77</f>
        <v/>
      </c>
    </row>
    <row r="88">
      <c r="A88">
        <f>Database!B88</f>
        <v/>
      </c>
      <c r="B88">
        <f>IF(AND(Screener!$D$8&lt;&gt;"",Database!$E88=Screener!$D$8),1,0)</f>
        <v/>
      </c>
      <c r="C88">
        <f>IF(AND(Screener!$D$7&lt;&gt;"",Database!$D88=Screener!$D$7),1,0)</f>
        <v/>
      </c>
      <c r="D88">
        <f>IF(OR(N(Database!$I88)&lt;=0,N(Screener!$D$9)&lt;=0),0,MAX(0,1-ABS(LOG10(N(Database!$I88)/Screener!$D$9))/W_SIZEHW))</f>
        <v/>
      </c>
      <c r="E88">
        <f>IF(OR(Database!$BE88="",Screener!$D$10=""),0,IF(Database!$BE88=Screener!$D$10,1,0))</f>
        <v/>
      </c>
      <c r="F88">
        <f>IF(OR(Database!$BK88="",Screener!$D$11=""),0,IF(Database!$BK88=Screener!$D$11,1,0))</f>
        <v/>
      </c>
      <c r="G88">
        <f>IF(OR(Database!$H88="",N(Screener!$D$12)&lt;=0),0,MAX(0,1-(N(Screener!$D$12)-Database!$H88)/W_RECD))</f>
        <v/>
      </c>
      <c r="H88">
        <f>IF($U$1="",0,N(ISNUMBER(SEARCH($U$1,Database!$Z88&amp;""))))+IF($V$1="",0,N(ISNUMBER(SEARCH($V$1,Database!$Z88&amp;""))))+IF($W$1="",0,N(ISNUMBER(SEARCH($W$1,Database!$Z88&amp;""))))+IF($X$1="",0,N(ISNUMBER(SEARCH($X$1,Database!$Z88&amp;""))))+IF($Y$1="",0,N(ISNUMBER(SEARCH($Y$1,Database!$Z88&amp;""))))+IF(Screener!$B$17="",0,N(ISNUMBER(SEARCH(LOWER(Screener!$B$17),Database!$Z88&amp;""))))</f>
        <v/>
      </c>
      <c r="I88">
        <f>IF(OR(N(Database!$BF88)&lt;=0,N(Screener!$D$13)&lt;=0),0,MAX(0,1-ABS(LOG10(N(Database!$BF88)/Screener!$D$13))/W_PEHW))</f>
        <v/>
      </c>
      <c r="J88">
        <f>IF(OR(N(Database!$S88)&lt;=0,N(Screener!$D$14)&lt;=0),0,MAX(0,1-ABS(LOG10(Database!$S88/Screener!$D$14))/0.6))</f>
        <v/>
      </c>
      <c r="K88">
        <f>IF(Database!$B88=Screener!$B$5,-999999,IF(ISNUMBER(SEARCH(","&amp;Database!$A88&amp;",",","&amp;SUBSTITUTE(Screener!$D$17," ","")&amp;",")),2000000,IF(IF(OR(Screener!$B$18="All",AND(Screener!$B$18="With A-share",(Database!$BK88="Y")),AND(Screener!$B$18="Without A-share",NOT((Database!$BK88="Y")))),1,0)=0,-999999,IF(Screener!$B$16="cornerstone overlap first",H88*100000,IF(Screener!$B$16="demand-similar first",J88*100000,0))+W_SUB*B88+W_SEC*C88*(1-B88)+W_SIZE*D88+W_PROF*E88+W_AH*F88+W_REC*G88+W_CS*H88+W_PE*I88)))+ROW()/1000000</f>
        <v/>
      </c>
      <c r="AA88">
        <f>Database!B78</f>
        <v/>
      </c>
      <c r="AB88">
        <f>Database!D78</f>
        <v/>
      </c>
      <c r="AC88">
        <f>Database!E78</f>
        <v/>
      </c>
      <c r="AD88">
        <f>Database!I78</f>
        <v/>
      </c>
      <c r="AE88">
        <f>Database!BE78</f>
        <v/>
      </c>
      <c r="AF88">
        <f>Database!BK78</f>
        <v/>
      </c>
      <c r="AG88">
        <f>Database!H78</f>
        <v/>
      </c>
      <c r="AH88">
        <f>Database!BF78</f>
        <v/>
      </c>
    </row>
    <row r="89">
      <c r="A89">
        <f>Database!B89</f>
        <v/>
      </c>
      <c r="B89">
        <f>IF(AND(Screener!$D$8&lt;&gt;"",Database!$E89=Screener!$D$8),1,0)</f>
        <v/>
      </c>
      <c r="C89">
        <f>IF(AND(Screener!$D$7&lt;&gt;"",Database!$D89=Screener!$D$7),1,0)</f>
        <v/>
      </c>
      <c r="D89">
        <f>IF(OR(N(Database!$I89)&lt;=0,N(Screener!$D$9)&lt;=0),0,MAX(0,1-ABS(LOG10(N(Database!$I89)/Screener!$D$9))/W_SIZEHW))</f>
        <v/>
      </c>
      <c r="E89">
        <f>IF(OR(Database!$BE89="",Screener!$D$10=""),0,IF(Database!$BE89=Screener!$D$10,1,0))</f>
        <v/>
      </c>
      <c r="F89">
        <f>IF(OR(Database!$BK89="",Screener!$D$11=""),0,IF(Database!$BK89=Screener!$D$11,1,0))</f>
        <v/>
      </c>
      <c r="G89">
        <f>IF(OR(Database!$H89="",N(Screener!$D$12)&lt;=0),0,MAX(0,1-(N(Screener!$D$12)-Database!$H89)/W_RECD))</f>
        <v/>
      </c>
      <c r="H89">
        <f>IF($U$1="",0,N(ISNUMBER(SEARCH($U$1,Database!$Z89&amp;""))))+IF($V$1="",0,N(ISNUMBER(SEARCH($V$1,Database!$Z89&amp;""))))+IF($W$1="",0,N(ISNUMBER(SEARCH($W$1,Database!$Z89&amp;""))))+IF($X$1="",0,N(ISNUMBER(SEARCH($X$1,Database!$Z89&amp;""))))+IF($Y$1="",0,N(ISNUMBER(SEARCH($Y$1,Database!$Z89&amp;""))))+IF(Screener!$B$17="",0,N(ISNUMBER(SEARCH(LOWER(Screener!$B$17),Database!$Z89&amp;""))))</f>
        <v/>
      </c>
      <c r="I89">
        <f>IF(OR(N(Database!$BF89)&lt;=0,N(Screener!$D$13)&lt;=0),0,MAX(0,1-ABS(LOG10(N(Database!$BF89)/Screener!$D$13))/W_PEHW))</f>
        <v/>
      </c>
      <c r="J89">
        <f>IF(OR(N(Database!$S89)&lt;=0,N(Screener!$D$14)&lt;=0),0,MAX(0,1-ABS(LOG10(Database!$S89/Screener!$D$14))/0.6))</f>
        <v/>
      </c>
      <c r="K89">
        <f>IF(Database!$B89=Screener!$B$5,-999999,IF(ISNUMBER(SEARCH(","&amp;Database!$A89&amp;",",","&amp;SUBSTITUTE(Screener!$D$17," ","")&amp;",")),2000000,IF(IF(OR(Screener!$B$18="All",AND(Screener!$B$18="With A-share",(Database!$BK89="Y")),AND(Screener!$B$18="Without A-share",NOT((Database!$BK89="Y")))),1,0)=0,-999999,IF(Screener!$B$16="cornerstone overlap first",H89*100000,IF(Screener!$B$16="demand-similar first",J89*100000,0))+W_SUB*B89+W_SEC*C89*(1-B89)+W_SIZE*D89+W_PROF*E89+W_AH*F89+W_REC*G89+W_CS*H89+W_PE*I89)))+ROW()/1000000</f>
        <v/>
      </c>
      <c r="AA89">
        <f>Database!B79</f>
        <v/>
      </c>
      <c r="AB89">
        <f>Database!D79</f>
        <v/>
      </c>
      <c r="AC89">
        <f>Database!E79</f>
        <v/>
      </c>
      <c r="AD89">
        <f>Database!I79</f>
        <v/>
      </c>
      <c r="AE89">
        <f>Database!BE79</f>
        <v/>
      </c>
      <c r="AF89">
        <f>Database!BK79</f>
        <v/>
      </c>
      <c r="AG89">
        <f>Database!H79</f>
        <v/>
      </c>
      <c r="AH89">
        <f>Database!BF79</f>
        <v/>
      </c>
    </row>
    <row r="90">
      <c r="A90">
        <f>Database!B90</f>
        <v/>
      </c>
      <c r="B90">
        <f>IF(AND(Screener!$D$8&lt;&gt;"",Database!$E90=Screener!$D$8),1,0)</f>
        <v/>
      </c>
      <c r="C90">
        <f>IF(AND(Screener!$D$7&lt;&gt;"",Database!$D90=Screener!$D$7),1,0)</f>
        <v/>
      </c>
      <c r="D90">
        <f>IF(OR(N(Database!$I90)&lt;=0,N(Screener!$D$9)&lt;=0),0,MAX(0,1-ABS(LOG10(N(Database!$I90)/Screener!$D$9))/W_SIZEHW))</f>
        <v/>
      </c>
      <c r="E90">
        <f>IF(OR(Database!$BE90="",Screener!$D$10=""),0,IF(Database!$BE90=Screener!$D$10,1,0))</f>
        <v/>
      </c>
      <c r="F90">
        <f>IF(OR(Database!$BK90="",Screener!$D$11=""),0,IF(Database!$BK90=Screener!$D$11,1,0))</f>
        <v/>
      </c>
      <c r="G90">
        <f>IF(OR(Database!$H90="",N(Screener!$D$12)&lt;=0),0,MAX(0,1-(N(Screener!$D$12)-Database!$H90)/W_RECD))</f>
        <v/>
      </c>
      <c r="H90">
        <f>IF($U$1="",0,N(ISNUMBER(SEARCH($U$1,Database!$Z90&amp;""))))+IF($V$1="",0,N(ISNUMBER(SEARCH($V$1,Database!$Z90&amp;""))))+IF($W$1="",0,N(ISNUMBER(SEARCH($W$1,Database!$Z90&amp;""))))+IF($X$1="",0,N(ISNUMBER(SEARCH($X$1,Database!$Z90&amp;""))))+IF($Y$1="",0,N(ISNUMBER(SEARCH($Y$1,Database!$Z90&amp;""))))+IF(Screener!$B$17="",0,N(ISNUMBER(SEARCH(LOWER(Screener!$B$17),Database!$Z90&amp;""))))</f>
        <v/>
      </c>
      <c r="I90">
        <f>IF(OR(N(Database!$BF90)&lt;=0,N(Screener!$D$13)&lt;=0),0,MAX(0,1-ABS(LOG10(N(Database!$BF90)/Screener!$D$13))/W_PEHW))</f>
        <v/>
      </c>
      <c r="J90">
        <f>IF(OR(N(Database!$S90)&lt;=0,N(Screener!$D$14)&lt;=0),0,MAX(0,1-ABS(LOG10(Database!$S90/Screener!$D$14))/0.6))</f>
        <v/>
      </c>
      <c r="K90">
        <f>IF(Database!$B90=Screener!$B$5,-999999,IF(ISNUMBER(SEARCH(","&amp;Database!$A90&amp;",",","&amp;SUBSTITUTE(Screener!$D$17," ","")&amp;",")),2000000,IF(IF(OR(Screener!$B$18="All",AND(Screener!$B$18="With A-share",(Database!$BK90="Y")),AND(Screener!$B$18="Without A-share",NOT((Database!$BK90="Y")))),1,0)=0,-999999,IF(Screener!$B$16="cornerstone overlap first",H90*100000,IF(Screener!$B$16="demand-similar first",J90*100000,0))+W_SUB*B90+W_SEC*C90*(1-B90)+W_SIZE*D90+W_PROF*E90+W_AH*F90+W_REC*G90+W_CS*H90+W_PE*I90)))+ROW()/1000000</f>
        <v/>
      </c>
      <c r="AA90">
        <f>Database!B80</f>
        <v/>
      </c>
      <c r="AB90">
        <f>Database!D80</f>
        <v/>
      </c>
      <c r="AC90">
        <f>Database!E80</f>
        <v/>
      </c>
      <c r="AD90">
        <f>Database!I80</f>
        <v/>
      </c>
      <c r="AE90">
        <f>Database!BE80</f>
        <v/>
      </c>
      <c r="AF90">
        <f>Database!BK80</f>
        <v/>
      </c>
      <c r="AG90">
        <f>Database!H80</f>
        <v/>
      </c>
      <c r="AH90">
        <f>Database!BF80</f>
        <v/>
      </c>
    </row>
    <row r="91">
      <c r="A91">
        <f>Database!B91</f>
        <v/>
      </c>
      <c r="B91">
        <f>IF(AND(Screener!$D$8&lt;&gt;"",Database!$E91=Screener!$D$8),1,0)</f>
        <v/>
      </c>
      <c r="C91">
        <f>IF(AND(Screener!$D$7&lt;&gt;"",Database!$D91=Screener!$D$7),1,0)</f>
        <v/>
      </c>
      <c r="D91">
        <f>IF(OR(N(Database!$I91)&lt;=0,N(Screener!$D$9)&lt;=0),0,MAX(0,1-ABS(LOG10(N(Database!$I91)/Screener!$D$9))/W_SIZEHW))</f>
        <v/>
      </c>
      <c r="E91">
        <f>IF(OR(Database!$BE91="",Screener!$D$10=""),0,IF(Database!$BE91=Screener!$D$10,1,0))</f>
        <v/>
      </c>
      <c r="F91">
        <f>IF(OR(Database!$BK91="",Screener!$D$11=""),0,IF(Database!$BK91=Screener!$D$11,1,0))</f>
        <v/>
      </c>
      <c r="G91">
        <f>IF(OR(Database!$H91="",N(Screener!$D$12)&lt;=0),0,MAX(0,1-(N(Screener!$D$12)-Database!$H91)/W_RECD))</f>
        <v/>
      </c>
      <c r="H91">
        <f>IF($U$1="",0,N(ISNUMBER(SEARCH($U$1,Database!$Z91&amp;""))))+IF($V$1="",0,N(ISNUMBER(SEARCH($V$1,Database!$Z91&amp;""))))+IF($W$1="",0,N(ISNUMBER(SEARCH($W$1,Database!$Z91&amp;""))))+IF($X$1="",0,N(ISNUMBER(SEARCH($X$1,Database!$Z91&amp;""))))+IF($Y$1="",0,N(ISNUMBER(SEARCH($Y$1,Database!$Z91&amp;""))))+IF(Screener!$B$17="",0,N(ISNUMBER(SEARCH(LOWER(Screener!$B$17),Database!$Z91&amp;""))))</f>
        <v/>
      </c>
      <c r="I91">
        <f>IF(OR(N(Database!$BF91)&lt;=0,N(Screener!$D$13)&lt;=0),0,MAX(0,1-ABS(LOG10(N(Database!$BF91)/Screener!$D$13))/W_PEHW))</f>
        <v/>
      </c>
      <c r="J91">
        <f>IF(OR(N(Database!$S91)&lt;=0,N(Screener!$D$14)&lt;=0),0,MAX(0,1-ABS(LOG10(Database!$S91/Screener!$D$14))/0.6))</f>
        <v/>
      </c>
      <c r="K91">
        <f>IF(Database!$B91=Screener!$B$5,-999999,IF(ISNUMBER(SEARCH(","&amp;Database!$A91&amp;",",","&amp;SUBSTITUTE(Screener!$D$17," ","")&amp;",")),2000000,IF(IF(OR(Screener!$B$18="All",AND(Screener!$B$18="With A-share",(Database!$BK91="Y")),AND(Screener!$B$18="Without A-share",NOT((Database!$BK91="Y")))),1,0)=0,-999999,IF(Screener!$B$16="cornerstone overlap first",H91*100000,IF(Screener!$B$16="demand-similar first",J91*100000,0))+W_SUB*B91+W_SEC*C91*(1-B91)+W_SIZE*D91+W_PROF*E91+W_AH*F91+W_REC*G91+W_CS*H91+W_PE*I91)))+ROW()/1000000</f>
        <v/>
      </c>
      <c r="AA91">
        <f>Database!B81</f>
        <v/>
      </c>
      <c r="AB91">
        <f>Database!D81</f>
        <v/>
      </c>
      <c r="AC91">
        <f>Database!E81</f>
        <v/>
      </c>
      <c r="AD91">
        <f>Database!I81</f>
        <v/>
      </c>
      <c r="AE91">
        <f>Database!BE81</f>
        <v/>
      </c>
      <c r="AF91">
        <f>Database!BK81</f>
        <v/>
      </c>
      <c r="AG91">
        <f>Database!H81</f>
        <v/>
      </c>
      <c r="AH91">
        <f>Database!BF81</f>
        <v/>
      </c>
    </row>
    <row r="92">
      <c r="A92">
        <f>Database!B92</f>
        <v/>
      </c>
      <c r="B92">
        <f>IF(AND(Screener!$D$8&lt;&gt;"",Database!$E92=Screener!$D$8),1,0)</f>
        <v/>
      </c>
      <c r="C92">
        <f>IF(AND(Screener!$D$7&lt;&gt;"",Database!$D92=Screener!$D$7),1,0)</f>
        <v/>
      </c>
      <c r="D92">
        <f>IF(OR(N(Database!$I92)&lt;=0,N(Screener!$D$9)&lt;=0),0,MAX(0,1-ABS(LOG10(N(Database!$I92)/Screener!$D$9))/W_SIZEHW))</f>
        <v/>
      </c>
      <c r="E92">
        <f>IF(OR(Database!$BE92="",Screener!$D$10=""),0,IF(Database!$BE92=Screener!$D$10,1,0))</f>
        <v/>
      </c>
      <c r="F92">
        <f>IF(OR(Database!$BK92="",Screener!$D$11=""),0,IF(Database!$BK92=Screener!$D$11,1,0))</f>
        <v/>
      </c>
      <c r="G92">
        <f>IF(OR(Database!$H92="",N(Screener!$D$12)&lt;=0),0,MAX(0,1-(N(Screener!$D$12)-Database!$H92)/W_RECD))</f>
        <v/>
      </c>
      <c r="H92">
        <f>IF($U$1="",0,N(ISNUMBER(SEARCH($U$1,Database!$Z92&amp;""))))+IF($V$1="",0,N(ISNUMBER(SEARCH($V$1,Database!$Z92&amp;""))))+IF($W$1="",0,N(ISNUMBER(SEARCH($W$1,Database!$Z92&amp;""))))+IF($X$1="",0,N(ISNUMBER(SEARCH($X$1,Database!$Z92&amp;""))))+IF($Y$1="",0,N(ISNUMBER(SEARCH($Y$1,Database!$Z92&amp;""))))+IF(Screener!$B$17="",0,N(ISNUMBER(SEARCH(LOWER(Screener!$B$17),Database!$Z92&amp;""))))</f>
        <v/>
      </c>
      <c r="I92">
        <f>IF(OR(N(Database!$BF92)&lt;=0,N(Screener!$D$13)&lt;=0),0,MAX(0,1-ABS(LOG10(N(Database!$BF92)/Screener!$D$13))/W_PEHW))</f>
        <v/>
      </c>
      <c r="J92">
        <f>IF(OR(N(Database!$S92)&lt;=0,N(Screener!$D$14)&lt;=0),0,MAX(0,1-ABS(LOG10(Database!$S92/Screener!$D$14))/0.6))</f>
        <v/>
      </c>
      <c r="K92">
        <f>IF(Database!$B92=Screener!$B$5,-999999,IF(ISNUMBER(SEARCH(","&amp;Database!$A92&amp;",",","&amp;SUBSTITUTE(Screener!$D$17," ","")&amp;",")),2000000,IF(IF(OR(Screener!$B$18="All",AND(Screener!$B$18="With A-share",(Database!$BK92="Y")),AND(Screener!$B$18="Without A-share",NOT((Database!$BK92="Y")))),1,0)=0,-999999,IF(Screener!$B$16="cornerstone overlap first",H92*100000,IF(Screener!$B$16="demand-similar first",J92*100000,0))+W_SUB*B92+W_SEC*C92*(1-B92)+W_SIZE*D92+W_PROF*E92+W_AH*F92+W_REC*G92+W_CS*H92+W_PE*I92)))+ROW()/1000000</f>
        <v/>
      </c>
      <c r="AA92">
        <f>Database!B82</f>
        <v/>
      </c>
      <c r="AB92">
        <f>Database!D82</f>
        <v/>
      </c>
      <c r="AC92">
        <f>Database!E82</f>
        <v/>
      </c>
      <c r="AD92">
        <f>Database!I82</f>
        <v/>
      </c>
      <c r="AE92">
        <f>Database!BE82</f>
        <v/>
      </c>
      <c r="AF92">
        <f>Database!BK82</f>
        <v/>
      </c>
      <c r="AG92">
        <f>Database!H82</f>
        <v/>
      </c>
      <c r="AH92">
        <f>Database!BF82</f>
        <v/>
      </c>
    </row>
    <row r="93">
      <c r="A93">
        <f>Database!B93</f>
        <v/>
      </c>
      <c r="B93">
        <f>IF(AND(Screener!$D$8&lt;&gt;"",Database!$E93=Screener!$D$8),1,0)</f>
        <v/>
      </c>
      <c r="C93">
        <f>IF(AND(Screener!$D$7&lt;&gt;"",Database!$D93=Screener!$D$7),1,0)</f>
        <v/>
      </c>
      <c r="D93">
        <f>IF(OR(N(Database!$I93)&lt;=0,N(Screener!$D$9)&lt;=0),0,MAX(0,1-ABS(LOG10(N(Database!$I93)/Screener!$D$9))/W_SIZEHW))</f>
        <v/>
      </c>
      <c r="E93">
        <f>IF(OR(Database!$BE93="",Screener!$D$10=""),0,IF(Database!$BE93=Screener!$D$10,1,0))</f>
        <v/>
      </c>
      <c r="F93">
        <f>IF(OR(Database!$BK93="",Screener!$D$11=""),0,IF(Database!$BK93=Screener!$D$11,1,0))</f>
        <v/>
      </c>
      <c r="G93">
        <f>IF(OR(Database!$H93="",N(Screener!$D$12)&lt;=0),0,MAX(0,1-(N(Screener!$D$12)-Database!$H93)/W_RECD))</f>
        <v/>
      </c>
      <c r="H93">
        <f>IF($U$1="",0,N(ISNUMBER(SEARCH($U$1,Database!$Z93&amp;""))))+IF($V$1="",0,N(ISNUMBER(SEARCH($V$1,Database!$Z93&amp;""))))+IF($W$1="",0,N(ISNUMBER(SEARCH($W$1,Database!$Z93&amp;""))))+IF($X$1="",0,N(ISNUMBER(SEARCH($X$1,Database!$Z93&amp;""))))+IF($Y$1="",0,N(ISNUMBER(SEARCH($Y$1,Database!$Z93&amp;""))))+IF(Screener!$B$17="",0,N(ISNUMBER(SEARCH(LOWER(Screener!$B$17),Database!$Z93&amp;""))))</f>
        <v/>
      </c>
      <c r="I93">
        <f>IF(OR(N(Database!$BF93)&lt;=0,N(Screener!$D$13)&lt;=0),0,MAX(0,1-ABS(LOG10(N(Database!$BF93)/Screener!$D$13))/W_PEHW))</f>
        <v/>
      </c>
      <c r="J93">
        <f>IF(OR(N(Database!$S93)&lt;=0,N(Screener!$D$14)&lt;=0),0,MAX(0,1-ABS(LOG10(Database!$S93/Screener!$D$14))/0.6))</f>
        <v/>
      </c>
      <c r="K93">
        <f>IF(Database!$B93=Screener!$B$5,-999999,IF(ISNUMBER(SEARCH(","&amp;Database!$A93&amp;",",","&amp;SUBSTITUTE(Screener!$D$17," ","")&amp;",")),2000000,IF(IF(OR(Screener!$B$18="All",AND(Screener!$B$18="With A-share",(Database!$BK93="Y")),AND(Screener!$B$18="Without A-share",NOT((Database!$BK93="Y")))),1,0)=0,-999999,IF(Screener!$B$16="cornerstone overlap first",H93*100000,IF(Screener!$B$16="demand-similar first",J93*100000,0))+W_SUB*B93+W_SEC*C93*(1-B93)+W_SIZE*D93+W_PROF*E93+W_AH*F93+W_REC*G93+W_CS*H93+W_PE*I93)))+ROW()/1000000</f>
        <v/>
      </c>
      <c r="AA93">
        <f>Database!B83</f>
        <v/>
      </c>
      <c r="AB93">
        <f>Database!D83</f>
        <v/>
      </c>
      <c r="AC93">
        <f>Database!E83</f>
        <v/>
      </c>
      <c r="AD93">
        <f>Database!I83</f>
        <v/>
      </c>
      <c r="AE93">
        <f>Database!BE83</f>
        <v/>
      </c>
      <c r="AF93">
        <f>Database!BK83</f>
        <v/>
      </c>
      <c r="AG93">
        <f>Database!H83</f>
        <v/>
      </c>
      <c r="AH93">
        <f>Database!BF83</f>
        <v/>
      </c>
    </row>
    <row r="94">
      <c r="A94">
        <f>Database!B94</f>
        <v/>
      </c>
      <c r="B94">
        <f>IF(AND(Screener!$D$8&lt;&gt;"",Database!$E94=Screener!$D$8),1,0)</f>
        <v/>
      </c>
      <c r="C94">
        <f>IF(AND(Screener!$D$7&lt;&gt;"",Database!$D94=Screener!$D$7),1,0)</f>
        <v/>
      </c>
      <c r="D94">
        <f>IF(OR(N(Database!$I94)&lt;=0,N(Screener!$D$9)&lt;=0),0,MAX(0,1-ABS(LOG10(N(Database!$I94)/Screener!$D$9))/W_SIZEHW))</f>
        <v/>
      </c>
      <c r="E94">
        <f>IF(OR(Database!$BE94="",Screener!$D$10=""),0,IF(Database!$BE94=Screener!$D$10,1,0))</f>
        <v/>
      </c>
      <c r="F94">
        <f>IF(OR(Database!$BK94="",Screener!$D$11=""),0,IF(Database!$BK94=Screener!$D$11,1,0))</f>
        <v/>
      </c>
      <c r="G94">
        <f>IF(OR(Database!$H94="",N(Screener!$D$12)&lt;=0),0,MAX(0,1-(N(Screener!$D$12)-Database!$H94)/W_RECD))</f>
        <v/>
      </c>
      <c r="H94">
        <f>IF($U$1="",0,N(ISNUMBER(SEARCH($U$1,Database!$Z94&amp;""))))+IF($V$1="",0,N(ISNUMBER(SEARCH($V$1,Database!$Z94&amp;""))))+IF($W$1="",0,N(ISNUMBER(SEARCH($W$1,Database!$Z94&amp;""))))+IF($X$1="",0,N(ISNUMBER(SEARCH($X$1,Database!$Z94&amp;""))))+IF($Y$1="",0,N(ISNUMBER(SEARCH($Y$1,Database!$Z94&amp;""))))+IF(Screener!$B$17="",0,N(ISNUMBER(SEARCH(LOWER(Screener!$B$17),Database!$Z94&amp;""))))</f>
        <v/>
      </c>
      <c r="I94">
        <f>IF(OR(N(Database!$BF94)&lt;=0,N(Screener!$D$13)&lt;=0),0,MAX(0,1-ABS(LOG10(N(Database!$BF94)/Screener!$D$13))/W_PEHW))</f>
        <v/>
      </c>
      <c r="J94">
        <f>IF(OR(N(Database!$S94)&lt;=0,N(Screener!$D$14)&lt;=0),0,MAX(0,1-ABS(LOG10(Database!$S94/Screener!$D$14))/0.6))</f>
        <v/>
      </c>
      <c r="K94">
        <f>IF(Database!$B94=Screener!$B$5,-999999,IF(ISNUMBER(SEARCH(","&amp;Database!$A94&amp;",",","&amp;SUBSTITUTE(Screener!$D$17," ","")&amp;",")),2000000,IF(IF(OR(Screener!$B$18="All",AND(Screener!$B$18="With A-share",(Database!$BK94="Y")),AND(Screener!$B$18="Without A-share",NOT((Database!$BK94="Y")))),1,0)=0,-999999,IF(Screener!$B$16="cornerstone overlap first",H94*100000,IF(Screener!$B$16="demand-similar first",J94*100000,0))+W_SUB*B94+W_SEC*C94*(1-B94)+W_SIZE*D94+W_PROF*E94+W_AH*F94+W_REC*G94+W_CS*H94+W_PE*I94)))+ROW()/1000000</f>
        <v/>
      </c>
      <c r="AA94">
        <f>Database!B84</f>
        <v/>
      </c>
      <c r="AB94">
        <f>Database!D84</f>
        <v/>
      </c>
      <c r="AC94">
        <f>Database!E84</f>
        <v/>
      </c>
      <c r="AD94">
        <f>Database!I84</f>
        <v/>
      </c>
      <c r="AE94">
        <f>Database!BE84</f>
        <v/>
      </c>
      <c r="AF94">
        <f>Database!BK84</f>
        <v/>
      </c>
      <c r="AG94">
        <f>Database!H84</f>
        <v/>
      </c>
      <c r="AH94">
        <f>Database!BF84</f>
        <v/>
      </c>
    </row>
    <row r="95">
      <c r="A95">
        <f>Database!B95</f>
        <v/>
      </c>
      <c r="B95">
        <f>IF(AND(Screener!$D$8&lt;&gt;"",Database!$E95=Screener!$D$8),1,0)</f>
        <v/>
      </c>
      <c r="C95">
        <f>IF(AND(Screener!$D$7&lt;&gt;"",Database!$D95=Screener!$D$7),1,0)</f>
        <v/>
      </c>
      <c r="D95">
        <f>IF(OR(N(Database!$I95)&lt;=0,N(Screener!$D$9)&lt;=0),0,MAX(0,1-ABS(LOG10(N(Database!$I95)/Screener!$D$9))/W_SIZEHW))</f>
        <v/>
      </c>
      <c r="E95">
        <f>IF(OR(Database!$BE95="",Screener!$D$10=""),0,IF(Database!$BE95=Screener!$D$10,1,0))</f>
        <v/>
      </c>
      <c r="F95">
        <f>IF(OR(Database!$BK95="",Screener!$D$11=""),0,IF(Database!$BK95=Screener!$D$11,1,0))</f>
        <v/>
      </c>
      <c r="G95">
        <f>IF(OR(Database!$H95="",N(Screener!$D$12)&lt;=0),0,MAX(0,1-(N(Screener!$D$12)-Database!$H95)/W_RECD))</f>
        <v/>
      </c>
      <c r="H95">
        <f>IF($U$1="",0,N(ISNUMBER(SEARCH($U$1,Database!$Z95&amp;""))))+IF($V$1="",0,N(ISNUMBER(SEARCH($V$1,Database!$Z95&amp;""))))+IF($W$1="",0,N(ISNUMBER(SEARCH($W$1,Database!$Z95&amp;""))))+IF($X$1="",0,N(ISNUMBER(SEARCH($X$1,Database!$Z95&amp;""))))+IF($Y$1="",0,N(ISNUMBER(SEARCH($Y$1,Database!$Z95&amp;""))))+IF(Screener!$B$17="",0,N(ISNUMBER(SEARCH(LOWER(Screener!$B$17),Database!$Z95&amp;""))))</f>
        <v/>
      </c>
      <c r="I95">
        <f>IF(OR(N(Database!$BF95)&lt;=0,N(Screener!$D$13)&lt;=0),0,MAX(0,1-ABS(LOG10(N(Database!$BF95)/Screener!$D$13))/W_PEHW))</f>
        <v/>
      </c>
      <c r="J95">
        <f>IF(OR(N(Database!$S95)&lt;=0,N(Screener!$D$14)&lt;=0),0,MAX(0,1-ABS(LOG10(Database!$S95/Screener!$D$14))/0.6))</f>
        <v/>
      </c>
      <c r="K95">
        <f>IF(Database!$B95=Screener!$B$5,-999999,IF(ISNUMBER(SEARCH(","&amp;Database!$A95&amp;",",","&amp;SUBSTITUTE(Screener!$D$17," ","")&amp;",")),2000000,IF(IF(OR(Screener!$B$18="All",AND(Screener!$B$18="With A-share",(Database!$BK95="Y")),AND(Screener!$B$18="Without A-share",NOT((Database!$BK95="Y")))),1,0)=0,-999999,IF(Screener!$B$16="cornerstone overlap first",H95*100000,IF(Screener!$B$16="demand-similar first",J95*100000,0))+W_SUB*B95+W_SEC*C95*(1-B95)+W_SIZE*D95+W_PROF*E95+W_AH*F95+W_REC*G95+W_CS*H95+W_PE*I95)))+ROW()/1000000</f>
        <v/>
      </c>
      <c r="AA95">
        <f>Database!B85</f>
        <v/>
      </c>
      <c r="AB95">
        <f>Database!D85</f>
        <v/>
      </c>
      <c r="AC95">
        <f>Database!E85</f>
        <v/>
      </c>
      <c r="AD95">
        <f>Database!I85</f>
        <v/>
      </c>
      <c r="AE95">
        <f>Database!BE85</f>
        <v/>
      </c>
      <c r="AF95">
        <f>Database!BK85</f>
        <v/>
      </c>
      <c r="AG95">
        <f>Database!H85</f>
        <v/>
      </c>
      <c r="AH95">
        <f>Database!BF85</f>
        <v/>
      </c>
    </row>
    <row r="96">
      <c r="A96">
        <f>Database!B96</f>
        <v/>
      </c>
      <c r="B96">
        <f>IF(AND(Screener!$D$8&lt;&gt;"",Database!$E96=Screener!$D$8),1,0)</f>
        <v/>
      </c>
      <c r="C96">
        <f>IF(AND(Screener!$D$7&lt;&gt;"",Database!$D96=Screener!$D$7),1,0)</f>
        <v/>
      </c>
      <c r="D96">
        <f>IF(OR(N(Database!$I96)&lt;=0,N(Screener!$D$9)&lt;=0),0,MAX(0,1-ABS(LOG10(N(Database!$I96)/Screener!$D$9))/W_SIZEHW))</f>
        <v/>
      </c>
      <c r="E96">
        <f>IF(OR(Database!$BE96="",Screener!$D$10=""),0,IF(Database!$BE96=Screener!$D$10,1,0))</f>
        <v/>
      </c>
      <c r="F96">
        <f>IF(OR(Database!$BK96="",Screener!$D$11=""),0,IF(Database!$BK96=Screener!$D$11,1,0))</f>
        <v/>
      </c>
      <c r="G96">
        <f>IF(OR(Database!$H96="",N(Screener!$D$12)&lt;=0),0,MAX(0,1-(N(Screener!$D$12)-Database!$H96)/W_RECD))</f>
        <v/>
      </c>
      <c r="H96">
        <f>IF($U$1="",0,N(ISNUMBER(SEARCH($U$1,Database!$Z96&amp;""))))+IF($V$1="",0,N(ISNUMBER(SEARCH($V$1,Database!$Z96&amp;""))))+IF($W$1="",0,N(ISNUMBER(SEARCH($W$1,Database!$Z96&amp;""))))+IF($X$1="",0,N(ISNUMBER(SEARCH($X$1,Database!$Z96&amp;""))))+IF($Y$1="",0,N(ISNUMBER(SEARCH($Y$1,Database!$Z96&amp;""))))+IF(Screener!$B$17="",0,N(ISNUMBER(SEARCH(LOWER(Screener!$B$17),Database!$Z96&amp;""))))</f>
        <v/>
      </c>
      <c r="I96">
        <f>IF(OR(N(Database!$BF96)&lt;=0,N(Screener!$D$13)&lt;=0),0,MAX(0,1-ABS(LOG10(N(Database!$BF96)/Screener!$D$13))/W_PEHW))</f>
        <v/>
      </c>
      <c r="J96">
        <f>IF(OR(N(Database!$S96)&lt;=0,N(Screener!$D$14)&lt;=0),0,MAX(0,1-ABS(LOG10(Database!$S96/Screener!$D$14))/0.6))</f>
        <v/>
      </c>
      <c r="K96">
        <f>IF(Database!$B96=Screener!$B$5,-999999,IF(ISNUMBER(SEARCH(","&amp;Database!$A96&amp;",",","&amp;SUBSTITUTE(Screener!$D$17," ","")&amp;",")),2000000,IF(IF(OR(Screener!$B$18="All",AND(Screener!$B$18="With A-share",(Database!$BK96="Y")),AND(Screener!$B$18="Without A-share",NOT((Database!$BK96="Y")))),1,0)=0,-999999,IF(Screener!$B$16="cornerstone overlap first",H96*100000,IF(Screener!$B$16="demand-similar first",J96*100000,0))+W_SUB*B96+W_SEC*C96*(1-B96)+W_SIZE*D96+W_PROF*E96+W_AH*F96+W_REC*G96+W_CS*H96+W_PE*I96)))+ROW()/1000000</f>
        <v/>
      </c>
      <c r="AA96">
        <f>Database!B86</f>
        <v/>
      </c>
      <c r="AB96">
        <f>Database!D86</f>
        <v/>
      </c>
      <c r="AC96">
        <f>Database!E86</f>
        <v/>
      </c>
      <c r="AD96">
        <f>Database!I86</f>
        <v/>
      </c>
      <c r="AE96">
        <f>Database!BE86</f>
        <v/>
      </c>
      <c r="AF96">
        <f>Database!BK86</f>
        <v/>
      </c>
      <c r="AG96">
        <f>Database!H86</f>
        <v/>
      </c>
      <c r="AH96">
        <f>Database!BF86</f>
        <v/>
      </c>
    </row>
    <row r="97">
      <c r="A97">
        <f>Database!B97</f>
        <v/>
      </c>
      <c r="B97">
        <f>IF(AND(Screener!$D$8&lt;&gt;"",Database!$E97=Screener!$D$8),1,0)</f>
        <v/>
      </c>
      <c r="C97">
        <f>IF(AND(Screener!$D$7&lt;&gt;"",Database!$D97=Screener!$D$7),1,0)</f>
        <v/>
      </c>
      <c r="D97">
        <f>IF(OR(N(Database!$I97)&lt;=0,N(Screener!$D$9)&lt;=0),0,MAX(0,1-ABS(LOG10(N(Database!$I97)/Screener!$D$9))/W_SIZEHW))</f>
        <v/>
      </c>
      <c r="E97">
        <f>IF(OR(Database!$BE97="",Screener!$D$10=""),0,IF(Database!$BE97=Screener!$D$10,1,0))</f>
        <v/>
      </c>
      <c r="F97">
        <f>IF(OR(Database!$BK97="",Screener!$D$11=""),0,IF(Database!$BK97=Screener!$D$11,1,0))</f>
        <v/>
      </c>
      <c r="G97">
        <f>IF(OR(Database!$H97="",N(Screener!$D$12)&lt;=0),0,MAX(0,1-(N(Screener!$D$12)-Database!$H97)/W_RECD))</f>
        <v/>
      </c>
      <c r="H97">
        <f>IF($U$1="",0,N(ISNUMBER(SEARCH($U$1,Database!$Z97&amp;""))))+IF($V$1="",0,N(ISNUMBER(SEARCH($V$1,Database!$Z97&amp;""))))+IF($W$1="",0,N(ISNUMBER(SEARCH($W$1,Database!$Z97&amp;""))))+IF($X$1="",0,N(ISNUMBER(SEARCH($X$1,Database!$Z97&amp;""))))+IF($Y$1="",0,N(ISNUMBER(SEARCH($Y$1,Database!$Z97&amp;""))))+IF(Screener!$B$17="",0,N(ISNUMBER(SEARCH(LOWER(Screener!$B$17),Database!$Z97&amp;""))))</f>
        <v/>
      </c>
      <c r="I97">
        <f>IF(OR(N(Database!$BF97)&lt;=0,N(Screener!$D$13)&lt;=0),0,MAX(0,1-ABS(LOG10(N(Database!$BF97)/Screener!$D$13))/W_PEHW))</f>
        <v/>
      </c>
      <c r="J97">
        <f>IF(OR(N(Database!$S97)&lt;=0,N(Screener!$D$14)&lt;=0),0,MAX(0,1-ABS(LOG10(Database!$S97/Screener!$D$14))/0.6))</f>
        <v/>
      </c>
      <c r="K97">
        <f>IF(Database!$B97=Screener!$B$5,-999999,IF(ISNUMBER(SEARCH(","&amp;Database!$A97&amp;",",","&amp;SUBSTITUTE(Screener!$D$17," ","")&amp;",")),2000000,IF(IF(OR(Screener!$B$18="All",AND(Screener!$B$18="With A-share",(Database!$BK97="Y")),AND(Screener!$B$18="Without A-share",NOT((Database!$BK97="Y")))),1,0)=0,-999999,IF(Screener!$B$16="cornerstone overlap first",H97*100000,IF(Screener!$B$16="demand-similar first",J97*100000,0))+W_SUB*B97+W_SEC*C97*(1-B97)+W_SIZE*D97+W_PROF*E97+W_AH*F97+W_REC*G97+W_CS*H97+W_PE*I97)))+ROW()/1000000</f>
        <v/>
      </c>
      <c r="AA97">
        <f>Database!B87</f>
        <v/>
      </c>
      <c r="AB97">
        <f>Database!D87</f>
        <v/>
      </c>
      <c r="AC97">
        <f>Database!E87</f>
        <v/>
      </c>
      <c r="AD97">
        <f>Database!I87</f>
        <v/>
      </c>
      <c r="AE97">
        <f>Database!BE87</f>
        <v/>
      </c>
      <c r="AF97">
        <f>Database!BK87</f>
        <v/>
      </c>
      <c r="AG97">
        <f>Database!H87</f>
        <v/>
      </c>
      <c r="AH97">
        <f>Database!BF87</f>
        <v/>
      </c>
    </row>
    <row r="98">
      <c r="A98">
        <f>Database!B98</f>
        <v/>
      </c>
      <c r="B98">
        <f>IF(AND(Screener!$D$8&lt;&gt;"",Database!$E98=Screener!$D$8),1,0)</f>
        <v/>
      </c>
      <c r="C98">
        <f>IF(AND(Screener!$D$7&lt;&gt;"",Database!$D98=Screener!$D$7),1,0)</f>
        <v/>
      </c>
      <c r="D98">
        <f>IF(OR(N(Database!$I98)&lt;=0,N(Screener!$D$9)&lt;=0),0,MAX(0,1-ABS(LOG10(N(Database!$I98)/Screener!$D$9))/W_SIZEHW))</f>
        <v/>
      </c>
      <c r="E98">
        <f>IF(OR(Database!$BE98="",Screener!$D$10=""),0,IF(Database!$BE98=Screener!$D$10,1,0))</f>
        <v/>
      </c>
      <c r="F98">
        <f>IF(OR(Database!$BK98="",Screener!$D$11=""),0,IF(Database!$BK98=Screener!$D$11,1,0))</f>
        <v/>
      </c>
      <c r="G98">
        <f>IF(OR(Database!$H98="",N(Screener!$D$12)&lt;=0),0,MAX(0,1-(N(Screener!$D$12)-Database!$H98)/W_RECD))</f>
        <v/>
      </c>
      <c r="H98">
        <f>IF($U$1="",0,N(ISNUMBER(SEARCH($U$1,Database!$Z98&amp;""))))+IF($V$1="",0,N(ISNUMBER(SEARCH($V$1,Database!$Z98&amp;""))))+IF($W$1="",0,N(ISNUMBER(SEARCH($W$1,Database!$Z98&amp;""))))+IF($X$1="",0,N(ISNUMBER(SEARCH($X$1,Database!$Z98&amp;""))))+IF($Y$1="",0,N(ISNUMBER(SEARCH($Y$1,Database!$Z98&amp;""))))+IF(Screener!$B$17="",0,N(ISNUMBER(SEARCH(LOWER(Screener!$B$17),Database!$Z98&amp;""))))</f>
        <v/>
      </c>
      <c r="I98">
        <f>IF(OR(N(Database!$BF98)&lt;=0,N(Screener!$D$13)&lt;=0),0,MAX(0,1-ABS(LOG10(N(Database!$BF98)/Screener!$D$13))/W_PEHW))</f>
        <v/>
      </c>
      <c r="J98">
        <f>IF(OR(N(Database!$S98)&lt;=0,N(Screener!$D$14)&lt;=0),0,MAX(0,1-ABS(LOG10(Database!$S98/Screener!$D$14))/0.6))</f>
        <v/>
      </c>
      <c r="K98">
        <f>IF(Database!$B98=Screener!$B$5,-999999,IF(ISNUMBER(SEARCH(","&amp;Database!$A98&amp;",",","&amp;SUBSTITUTE(Screener!$D$17," ","")&amp;",")),2000000,IF(IF(OR(Screener!$B$18="All",AND(Screener!$B$18="With A-share",(Database!$BK98="Y")),AND(Screener!$B$18="Without A-share",NOT((Database!$BK98="Y")))),1,0)=0,-999999,IF(Screener!$B$16="cornerstone overlap first",H98*100000,IF(Screener!$B$16="demand-similar first",J98*100000,0))+W_SUB*B98+W_SEC*C98*(1-B98)+W_SIZE*D98+W_PROF*E98+W_AH*F98+W_REC*G98+W_CS*H98+W_PE*I98)))+ROW()/1000000</f>
        <v/>
      </c>
      <c r="AA98">
        <f>Database!B88</f>
        <v/>
      </c>
      <c r="AB98">
        <f>Database!D88</f>
        <v/>
      </c>
      <c r="AC98">
        <f>Database!E88</f>
        <v/>
      </c>
      <c r="AD98">
        <f>Database!I88</f>
        <v/>
      </c>
      <c r="AE98">
        <f>Database!BE88</f>
        <v/>
      </c>
      <c r="AF98">
        <f>Database!BK88</f>
        <v/>
      </c>
      <c r="AG98">
        <f>Database!H88</f>
        <v/>
      </c>
      <c r="AH98">
        <f>Database!BF88</f>
        <v/>
      </c>
    </row>
    <row r="99">
      <c r="A99">
        <f>Database!B99</f>
        <v/>
      </c>
      <c r="B99">
        <f>IF(AND(Screener!$D$8&lt;&gt;"",Database!$E99=Screener!$D$8),1,0)</f>
        <v/>
      </c>
      <c r="C99">
        <f>IF(AND(Screener!$D$7&lt;&gt;"",Database!$D99=Screener!$D$7),1,0)</f>
        <v/>
      </c>
      <c r="D99">
        <f>IF(OR(N(Database!$I99)&lt;=0,N(Screener!$D$9)&lt;=0),0,MAX(0,1-ABS(LOG10(N(Database!$I99)/Screener!$D$9))/W_SIZEHW))</f>
        <v/>
      </c>
      <c r="E99">
        <f>IF(OR(Database!$BE99="",Screener!$D$10=""),0,IF(Database!$BE99=Screener!$D$10,1,0))</f>
        <v/>
      </c>
      <c r="F99">
        <f>IF(OR(Database!$BK99="",Screener!$D$11=""),0,IF(Database!$BK99=Screener!$D$11,1,0))</f>
        <v/>
      </c>
      <c r="G99">
        <f>IF(OR(Database!$H99="",N(Screener!$D$12)&lt;=0),0,MAX(0,1-(N(Screener!$D$12)-Database!$H99)/W_RECD))</f>
        <v/>
      </c>
      <c r="H99">
        <f>IF($U$1="",0,N(ISNUMBER(SEARCH($U$1,Database!$Z99&amp;""))))+IF($V$1="",0,N(ISNUMBER(SEARCH($V$1,Database!$Z99&amp;""))))+IF($W$1="",0,N(ISNUMBER(SEARCH($W$1,Database!$Z99&amp;""))))+IF($X$1="",0,N(ISNUMBER(SEARCH($X$1,Database!$Z99&amp;""))))+IF($Y$1="",0,N(ISNUMBER(SEARCH($Y$1,Database!$Z99&amp;""))))+IF(Screener!$B$17="",0,N(ISNUMBER(SEARCH(LOWER(Screener!$B$17),Database!$Z99&amp;""))))</f>
        <v/>
      </c>
      <c r="I99">
        <f>IF(OR(N(Database!$BF99)&lt;=0,N(Screener!$D$13)&lt;=0),0,MAX(0,1-ABS(LOG10(N(Database!$BF99)/Screener!$D$13))/W_PEHW))</f>
        <v/>
      </c>
      <c r="J99">
        <f>IF(OR(N(Database!$S99)&lt;=0,N(Screener!$D$14)&lt;=0),0,MAX(0,1-ABS(LOG10(Database!$S99/Screener!$D$14))/0.6))</f>
        <v/>
      </c>
      <c r="K99">
        <f>IF(Database!$B99=Screener!$B$5,-999999,IF(ISNUMBER(SEARCH(","&amp;Database!$A99&amp;",",","&amp;SUBSTITUTE(Screener!$D$17," ","")&amp;",")),2000000,IF(IF(OR(Screener!$B$18="All",AND(Screener!$B$18="With A-share",(Database!$BK99="Y")),AND(Screener!$B$18="Without A-share",NOT((Database!$BK99="Y")))),1,0)=0,-999999,IF(Screener!$B$16="cornerstone overlap first",H99*100000,IF(Screener!$B$16="demand-similar first",J99*100000,0))+W_SUB*B99+W_SEC*C99*(1-B99)+W_SIZE*D99+W_PROF*E99+W_AH*F99+W_REC*G99+W_CS*H99+W_PE*I99)))+ROW()/1000000</f>
        <v/>
      </c>
      <c r="AA99">
        <f>Database!B89</f>
        <v/>
      </c>
      <c r="AB99">
        <f>Database!D89</f>
        <v/>
      </c>
      <c r="AC99">
        <f>Database!E89</f>
        <v/>
      </c>
      <c r="AD99">
        <f>Database!I89</f>
        <v/>
      </c>
      <c r="AE99">
        <f>Database!BE89</f>
        <v/>
      </c>
      <c r="AF99">
        <f>Database!BK89</f>
        <v/>
      </c>
      <c r="AG99">
        <f>Database!H89</f>
        <v/>
      </c>
      <c r="AH99">
        <f>Database!BF89</f>
        <v/>
      </c>
    </row>
    <row r="100">
      <c r="A100">
        <f>Database!B100</f>
        <v/>
      </c>
      <c r="B100">
        <f>IF(AND(Screener!$D$8&lt;&gt;"",Database!$E100=Screener!$D$8),1,0)</f>
        <v/>
      </c>
      <c r="C100">
        <f>IF(AND(Screener!$D$7&lt;&gt;"",Database!$D100=Screener!$D$7),1,0)</f>
        <v/>
      </c>
      <c r="D100">
        <f>IF(OR(N(Database!$I100)&lt;=0,N(Screener!$D$9)&lt;=0),0,MAX(0,1-ABS(LOG10(N(Database!$I100)/Screener!$D$9))/W_SIZEHW))</f>
        <v/>
      </c>
      <c r="E100">
        <f>IF(OR(Database!$BE100="",Screener!$D$10=""),0,IF(Database!$BE100=Screener!$D$10,1,0))</f>
        <v/>
      </c>
      <c r="F100">
        <f>IF(OR(Database!$BK100="",Screener!$D$11=""),0,IF(Database!$BK100=Screener!$D$11,1,0))</f>
        <v/>
      </c>
      <c r="G100">
        <f>IF(OR(Database!$H100="",N(Screener!$D$12)&lt;=0),0,MAX(0,1-(N(Screener!$D$12)-Database!$H100)/W_RECD))</f>
        <v/>
      </c>
      <c r="H100">
        <f>IF($U$1="",0,N(ISNUMBER(SEARCH($U$1,Database!$Z100&amp;""))))+IF($V$1="",0,N(ISNUMBER(SEARCH($V$1,Database!$Z100&amp;""))))+IF($W$1="",0,N(ISNUMBER(SEARCH($W$1,Database!$Z100&amp;""))))+IF($X$1="",0,N(ISNUMBER(SEARCH($X$1,Database!$Z100&amp;""))))+IF($Y$1="",0,N(ISNUMBER(SEARCH($Y$1,Database!$Z100&amp;""))))+IF(Screener!$B$17="",0,N(ISNUMBER(SEARCH(LOWER(Screener!$B$17),Database!$Z100&amp;""))))</f>
        <v/>
      </c>
      <c r="I100">
        <f>IF(OR(N(Database!$BF100)&lt;=0,N(Screener!$D$13)&lt;=0),0,MAX(0,1-ABS(LOG10(N(Database!$BF100)/Screener!$D$13))/W_PEHW))</f>
        <v/>
      </c>
      <c r="J100">
        <f>IF(OR(N(Database!$S100)&lt;=0,N(Screener!$D$14)&lt;=0),0,MAX(0,1-ABS(LOG10(Database!$S100/Screener!$D$14))/0.6))</f>
        <v/>
      </c>
      <c r="K100">
        <f>IF(Database!$B100=Screener!$B$5,-999999,IF(ISNUMBER(SEARCH(","&amp;Database!$A100&amp;",",","&amp;SUBSTITUTE(Screener!$D$17," ","")&amp;",")),2000000,IF(IF(OR(Screener!$B$18="All",AND(Screener!$B$18="With A-share",(Database!$BK100="Y")),AND(Screener!$B$18="Without A-share",NOT((Database!$BK100="Y")))),1,0)=0,-999999,IF(Screener!$B$16="cornerstone overlap first",H100*100000,IF(Screener!$B$16="demand-similar first",J100*100000,0))+W_SUB*B100+W_SEC*C100*(1-B100)+W_SIZE*D100+W_PROF*E100+W_AH*F100+W_REC*G100+W_CS*H100+W_PE*I100)))+ROW()/1000000</f>
        <v/>
      </c>
      <c r="AA100">
        <f>Database!B90</f>
        <v/>
      </c>
      <c r="AB100">
        <f>Database!D90</f>
        <v/>
      </c>
      <c r="AC100">
        <f>Database!E90</f>
        <v/>
      </c>
      <c r="AD100">
        <f>Database!I90</f>
        <v/>
      </c>
      <c r="AE100">
        <f>Database!BE90</f>
        <v/>
      </c>
      <c r="AF100">
        <f>Database!BK90</f>
        <v/>
      </c>
      <c r="AG100">
        <f>Database!H90</f>
        <v/>
      </c>
      <c r="AH100">
        <f>Database!BF90</f>
        <v/>
      </c>
    </row>
    <row r="101">
      <c r="A101">
        <f>Database!B101</f>
        <v/>
      </c>
      <c r="B101">
        <f>IF(AND(Screener!$D$8&lt;&gt;"",Database!$E101=Screener!$D$8),1,0)</f>
        <v/>
      </c>
      <c r="C101">
        <f>IF(AND(Screener!$D$7&lt;&gt;"",Database!$D101=Screener!$D$7),1,0)</f>
        <v/>
      </c>
      <c r="D101">
        <f>IF(OR(N(Database!$I101)&lt;=0,N(Screener!$D$9)&lt;=0),0,MAX(0,1-ABS(LOG10(N(Database!$I101)/Screener!$D$9))/W_SIZEHW))</f>
        <v/>
      </c>
      <c r="E101">
        <f>IF(OR(Database!$BE101="",Screener!$D$10=""),0,IF(Database!$BE101=Screener!$D$10,1,0))</f>
        <v/>
      </c>
      <c r="F101">
        <f>IF(OR(Database!$BK101="",Screener!$D$11=""),0,IF(Database!$BK101=Screener!$D$11,1,0))</f>
        <v/>
      </c>
      <c r="G101">
        <f>IF(OR(Database!$H101="",N(Screener!$D$12)&lt;=0),0,MAX(0,1-(N(Screener!$D$12)-Database!$H101)/W_RECD))</f>
        <v/>
      </c>
      <c r="H101">
        <f>IF($U$1="",0,N(ISNUMBER(SEARCH($U$1,Database!$Z101&amp;""))))+IF($V$1="",0,N(ISNUMBER(SEARCH($V$1,Database!$Z101&amp;""))))+IF($W$1="",0,N(ISNUMBER(SEARCH($W$1,Database!$Z101&amp;""))))+IF($X$1="",0,N(ISNUMBER(SEARCH($X$1,Database!$Z101&amp;""))))+IF($Y$1="",0,N(ISNUMBER(SEARCH($Y$1,Database!$Z101&amp;""))))+IF(Screener!$B$17="",0,N(ISNUMBER(SEARCH(LOWER(Screener!$B$17),Database!$Z101&amp;""))))</f>
        <v/>
      </c>
      <c r="I101">
        <f>IF(OR(N(Database!$BF101)&lt;=0,N(Screener!$D$13)&lt;=0),0,MAX(0,1-ABS(LOG10(N(Database!$BF101)/Screener!$D$13))/W_PEHW))</f>
        <v/>
      </c>
      <c r="J101">
        <f>IF(OR(N(Database!$S101)&lt;=0,N(Screener!$D$14)&lt;=0),0,MAX(0,1-ABS(LOG10(Database!$S101/Screener!$D$14))/0.6))</f>
        <v/>
      </c>
      <c r="K101">
        <f>IF(Database!$B101=Screener!$B$5,-999999,IF(ISNUMBER(SEARCH(","&amp;Database!$A101&amp;",",","&amp;SUBSTITUTE(Screener!$D$17," ","")&amp;",")),2000000,IF(IF(OR(Screener!$B$18="All",AND(Screener!$B$18="With A-share",(Database!$BK101="Y")),AND(Screener!$B$18="Without A-share",NOT((Database!$BK101="Y")))),1,0)=0,-999999,IF(Screener!$B$16="cornerstone overlap first",H101*100000,IF(Screener!$B$16="demand-similar first",J101*100000,0))+W_SUB*B101+W_SEC*C101*(1-B101)+W_SIZE*D101+W_PROF*E101+W_AH*F101+W_REC*G101+W_CS*H101+W_PE*I101)))+ROW()/1000000</f>
        <v/>
      </c>
      <c r="AA101">
        <f>Database!B91</f>
        <v/>
      </c>
      <c r="AB101">
        <f>Database!D91</f>
        <v/>
      </c>
      <c r="AC101">
        <f>Database!E91</f>
        <v/>
      </c>
      <c r="AD101">
        <f>Database!I91</f>
        <v/>
      </c>
      <c r="AE101">
        <f>Database!BE91</f>
        <v/>
      </c>
      <c r="AF101">
        <f>Database!BK91</f>
        <v/>
      </c>
      <c r="AG101">
        <f>Database!H91</f>
        <v/>
      </c>
      <c r="AH101">
        <f>Database!BF91</f>
        <v/>
      </c>
    </row>
    <row r="102">
      <c r="A102">
        <f>Database!B102</f>
        <v/>
      </c>
      <c r="B102">
        <f>IF(AND(Screener!$D$8&lt;&gt;"",Database!$E102=Screener!$D$8),1,0)</f>
        <v/>
      </c>
      <c r="C102">
        <f>IF(AND(Screener!$D$7&lt;&gt;"",Database!$D102=Screener!$D$7),1,0)</f>
        <v/>
      </c>
      <c r="D102">
        <f>IF(OR(N(Database!$I102)&lt;=0,N(Screener!$D$9)&lt;=0),0,MAX(0,1-ABS(LOG10(N(Database!$I102)/Screener!$D$9))/W_SIZEHW))</f>
        <v/>
      </c>
      <c r="E102">
        <f>IF(OR(Database!$BE102="",Screener!$D$10=""),0,IF(Database!$BE102=Screener!$D$10,1,0))</f>
        <v/>
      </c>
      <c r="F102">
        <f>IF(OR(Database!$BK102="",Screener!$D$11=""),0,IF(Database!$BK102=Screener!$D$11,1,0))</f>
        <v/>
      </c>
      <c r="G102">
        <f>IF(OR(Database!$H102="",N(Screener!$D$12)&lt;=0),0,MAX(0,1-(N(Screener!$D$12)-Database!$H102)/W_RECD))</f>
        <v/>
      </c>
      <c r="H102">
        <f>IF($U$1="",0,N(ISNUMBER(SEARCH($U$1,Database!$Z102&amp;""))))+IF($V$1="",0,N(ISNUMBER(SEARCH($V$1,Database!$Z102&amp;""))))+IF($W$1="",0,N(ISNUMBER(SEARCH($W$1,Database!$Z102&amp;""))))+IF($X$1="",0,N(ISNUMBER(SEARCH($X$1,Database!$Z102&amp;""))))+IF($Y$1="",0,N(ISNUMBER(SEARCH($Y$1,Database!$Z102&amp;""))))+IF(Screener!$B$17="",0,N(ISNUMBER(SEARCH(LOWER(Screener!$B$17),Database!$Z102&amp;""))))</f>
        <v/>
      </c>
      <c r="I102">
        <f>IF(OR(N(Database!$BF102)&lt;=0,N(Screener!$D$13)&lt;=0),0,MAX(0,1-ABS(LOG10(N(Database!$BF102)/Screener!$D$13))/W_PEHW))</f>
        <v/>
      </c>
      <c r="J102">
        <f>IF(OR(N(Database!$S102)&lt;=0,N(Screener!$D$14)&lt;=0),0,MAX(0,1-ABS(LOG10(Database!$S102/Screener!$D$14))/0.6))</f>
        <v/>
      </c>
      <c r="K102">
        <f>IF(Database!$B102=Screener!$B$5,-999999,IF(ISNUMBER(SEARCH(","&amp;Database!$A102&amp;",",","&amp;SUBSTITUTE(Screener!$D$17," ","")&amp;",")),2000000,IF(IF(OR(Screener!$B$18="All",AND(Screener!$B$18="With A-share",(Database!$BK102="Y")),AND(Screener!$B$18="Without A-share",NOT((Database!$BK102="Y")))),1,0)=0,-999999,IF(Screener!$B$16="cornerstone overlap first",H102*100000,IF(Screener!$B$16="demand-similar first",J102*100000,0))+W_SUB*B102+W_SEC*C102*(1-B102)+W_SIZE*D102+W_PROF*E102+W_AH*F102+W_REC*G102+W_CS*H102+W_PE*I102)))+ROW()/1000000</f>
        <v/>
      </c>
      <c r="AA102">
        <f>Database!B92</f>
        <v/>
      </c>
      <c r="AB102">
        <f>Database!D92</f>
        <v/>
      </c>
      <c r="AC102">
        <f>Database!E92</f>
        <v/>
      </c>
      <c r="AD102">
        <f>Database!I92</f>
        <v/>
      </c>
      <c r="AE102">
        <f>Database!BE92</f>
        <v/>
      </c>
      <c r="AF102">
        <f>Database!BK92</f>
        <v/>
      </c>
      <c r="AG102">
        <f>Database!H92</f>
        <v/>
      </c>
      <c r="AH102">
        <f>Database!BF92</f>
        <v/>
      </c>
    </row>
    <row r="103">
      <c r="A103">
        <f>Database!B103</f>
        <v/>
      </c>
      <c r="B103">
        <f>IF(AND(Screener!$D$8&lt;&gt;"",Database!$E103=Screener!$D$8),1,0)</f>
        <v/>
      </c>
      <c r="C103">
        <f>IF(AND(Screener!$D$7&lt;&gt;"",Database!$D103=Screener!$D$7),1,0)</f>
        <v/>
      </c>
      <c r="D103">
        <f>IF(OR(N(Database!$I103)&lt;=0,N(Screener!$D$9)&lt;=0),0,MAX(0,1-ABS(LOG10(N(Database!$I103)/Screener!$D$9))/W_SIZEHW))</f>
        <v/>
      </c>
      <c r="E103">
        <f>IF(OR(Database!$BE103="",Screener!$D$10=""),0,IF(Database!$BE103=Screener!$D$10,1,0))</f>
        <v/>
      </c>
      <c r="F103">
        <f>IF(OR(Database!$BK103="",Screener!$D$11=""),0,IF(Database!$BK103=Screener!$D$11,1,0))</f>
        <v/>
      </c>
      <c r="G103">
        <f>IF(OR(Database!$H103="",N(Screener!$D$12)&lt;=0),0,MAX(0,1-(N(Screener!$D$12)-Database!$H103)/W_RECD))</f>
        <v/>
      </c>
      <c r="H103">
        <f>IF($U$1="",0,N(ISNUMBER(SEARCH($U$1,Database!$Z103&amp;""))))+IF($V$1="",0,N(ISNUMBER(SEARCH($V$1,Database!$Z103&amp;""))))+IF($W$1="",0,N(ISNUMBER(SEARCH($W$1,Database!$Z103&amp;""))))+IF($X$1="",0,N(ISNUMBER(SEARCH($X$1,Database!$Z103&amp;""))))+IF($Y$1="",0,N(ISNUMBER(SEARCH($Y$1,Database!$Z103&amp;""))))+IF(Screener!$B$17="",0,N(ISNUMBER(SEARCH(LOWER(Screener!$B$17),Database!$Z103&amp;""))))</f>
        <v/>
      </c>
      <c r="I103">
        <f>IF(OR(N(Database!$BF103)&lt;=0,N(Screener!$D$13)&lt;=0),0,MAX(0,1-ABS(LOG10(N(Database!$BF103)/Screener!$D$13))/W_PEHW))</f>
        <v/>
      </c>
      <c r="J103">
        <f>IF(OR(N(Database!$S103)&lt;=0,N(Screener!$D$14)&lt;=0),0,MAX(0,1-ABS(LOG10(Database!$S103/Screener!$D$14))/0.6))</f>
        <v/>
      </c>
      <c r="K103">
        <f>IF(Database!$B103=Screener!$B$5,-999999,IF(ISNUMBER(SEARCH(","&amp;Database!$A103&amp;",",","&amp;SUBSTITUTE(Screener!$D$17," ","")&amp;",")),2000000,IF(IF(OR(Screener!$B$18="All",AND(Screener!$B$18="With A-share",(Database!$BK103="Y")),AND(Screener!$B$18="Without A-share",NOT((Database!$BK103="Y")))),1,0)=0,-999999,IF(Screener!$B$16="cornerstone overlap first",H103*100000,IF(Screener!$B$16="demand-similar first",J103*100000,0))+W_SUB*B103+W_SEC*C103*(1-B103)+W_SIZE*D103+W_PROF*E103+W_AH*F103+W_REC*G103+W_CS*H103+W_PE*I103)))+ROW()/1000000</f>
        <v/>
      </c>
      <c r="AA103">
        <f>Database!B93</f>
        <v/>
      </c>
      <c r="AB103">
        <f>Database!D93</f>
        <v/>
      </c>
      <c r="AC103">
        <f>Database!E93</f>
        <v/>
      </c>
      <c r="AD103">
        <f>Database!I93</f>
        <v/>
      </c>
      <c r="AE103">
        <f>Database!BE93</f>
        <v/>
      </c>
      <c r="AF103">
        <f>Database!BK93</f>
        <v/>
      </c>
      <c r="AG103">
        <f>Database!H93</f>
        <v/>
      </c>
      <c r="AH103">
        <f>Database!BF93</f>
        <v/>
      </c>
    </row>
    <row r="104">
      <c r="A104">
        <f>Database!B104</f>
        <v/>
      </c>
      <c r="B104">
        <f>IF(AND(Screener!$D$8&lt;&gt;"",Database!$E104=Screener!$D$8),1,0)</f>
        <v/>
      </c>
      <c r="C104">
        <f>IF(AND(Screener!$D$7&lt;&gt;"",Database!$D104=Screener!$D$7),1,0)</f>
        <v/>
      </c>
      <c r="D104">
        <f>IF(OR(N(Database!$I104)&lt;=0,N(Screener!$D$9)&lt;=0),0,MAX(0,1-ABS(LOG10(N(Database!$I104)/Screener!$D$9))/W_SIZEHW))</f>
        <v/>
      </c>
      <c r="E104">
        <f>IF(OR(Database!$BE104="",Screener!$D$10=""),0,IF(Database!$BE104=Screener!$D$10,1,0))</f>
        <v/>
      </c>
      <c r="F104">
        <f>IF(OR(Database!$BK104="",Screener!$D$11=""),0,IF(Database!$BK104=Screener!$D$11,1,0))</f>
        <v/>
      </c>
      <c r="G104">
        <f>IF(OR(Database!$H104="",N(Screener!$D$12)&lt;=0),0,MAX(0,1-(N(Screener!$D$12)-Database!$H104)/W_RECD))</f>
        <v/>
      </c>
      <c r="H104">
        <f>IF($U$1="",0,N(ISNUMBER(SEARCH($U$1,Database!$Z104&amp;""))))+IF($V$1="",0,N(ISNUMBER(SEARCH($V$1,Database!$Z104&amp;""))))+IF($W$1="",0,N(ISNUMBER(SEARCH($W$1,Database!$Z104&amp;""))))+IF($X$1="",0,N(ISNUMBER(SEARCH($X$1,Database!$Z104&amp;""))))+IF($Y$1="",0,N(ISNUMBER(SEARCH($Y$1,Database!$Z104&amp;""))))+IF(Screener!$B$17="",0,N(ISNUMBER(SEARCH(LOWER(Screener!$B$17),Database!$Z104&amp;""))))</f>
        <v/>
      </c>
      <c r="I104">
        <f>IF(OR(N(Database!$BF104)&lt;=0,N(Screener!$D$13)&lt;=0),0,MAX(0,1-ABS(LOG10(N(Database!$BF104)/Screener!$D$13))/W_PEHW))</f>
        <v/>
      </c>
      <c r="J104">
        <f>IF(OR(N(Database!$S104)&lt;=0,N(Screener!$D$14)&lt;=0),0,MAX(0,1-ABS(LOG10(Database!$S104/Screener!$D$14))/0.6))</f>
        <v/>
      </c>
      <c r="K104">
        <f>IF(Database!$B104=Screener!$B$5,-999999,IF(ISNUMBER(SEARCH(","&amp;Database!$A104&amp;",",","&amp;SUBSTITUTE(Screener!$D$17," ","")&amp;",")),2000000,IF(IF(OR(Screener!$B$18="All",AND(Screener!$B$18="With A-share",(Database!$BK104="Y")),AND(Screener!$B$18="Without A-share",NOT((Database!$BK104="Y")))),1,0)=0,-999999,IF(Screener!$B$16="cornerstone overlap first",H104*100000,IF(Screener!$B$16="demand-similar first",J104*100000,0))+W_SUB*B104+W_SEC*C104*(1-B104)+W_SIZE*D104+W_PROF*E104+W_AH*F104+W_REC*G104+W_CS*H104+W_PE*I104)))+ROW()/1000000</f>
        <v/>
      </c>
      <c r="AA104">
        <f>Database!B94</f>
        <v/>
      </c>
      <c r="AB104">
        <f>Database!D94</f>
        <v/>
      </c>
      <c r="AC104">
        <f>Database!E94</f>
        <v/>
      </c>
      <c r="AD104">
        <f>Database!I94</f>
        <v/>
      </c>
      <c r="AE104">
        <f>Database!BE94</f>
        <v/>
      </c>
      <c r="AF104">
        <f>Database!BK94</f>
        <v/>
      </c>
      <c r="AG104">
        <f>Database!H94</f>
        <v/>
      </c>
      <c r="AH104">
        <f>Database!BF94</f>
        <v/>
      </c>
    </row>
    <row r="105">
      <c r="A105">
        <f>Database!B105</f>
        <v/>
      </c>
      <c r="B105">
        <f>IF(AND(Screener!$D$8&lt;&gt;"",Database!$E105=Screener!$D$8),1,0)</f>
        <v/>
      </c>
      <c r="C105">
        <f>IF(AND(Screener!$D$7&lt;&gt;"",Database!$D105=Screener!$D$7),1,0)</f>
        <v/>
      </c>
      <c r="D105">
        <f>IF(OR(N(Database!$I105)&lt;=0,N(Screener!$D$9)&lt;=0),0,MAX(0,1-ABS(LOG10(N(Database!$I105)/Screener!$D$9))/W_SIZEHW))</f>
        <v/>
      </c>
      <c r="E105">
        <f>IF(OR(Database!$BE105="",Screener!$D$10=""),0,IF(Database!$BE105=Screener!$D$10,1,0))</f>
        <v/>
      </c>
      <c r="F105">
        <f>IF(OR(Database!$BK105="",Screener!$D$11=""),0,IF(Database!$BK105=Screener!$D$11,1,0))</f>
        <v/>
      </c>
      <c r="G105">
        <f>IF(OR(Database!$H105="",N(Screener!$D$12)&lt;=0),0,MAX(0,1-(N(Screener!$D$12)-Database!$H105)/W_RECD))</f>
        <v/>
      </c>
      <c r="H105">
        <f>IF($U$1="",0,N(ISNUMBER(SEARCH($U$1,Database!$Z105&amp;""))))+IF($V$1="",0,N(ISNUMBER(SEARCH($V$1,Database!$Z105&amp;""))))+IF($W$1="",0,N(ISNUMBER(SEARCH($W$1,Database!$Z105&amp;""))))+IF($X$1="",0,N(ISNUMBER(SEARCH($X$1,Database!$Z105&amp;""))))+IF($Y$1="",0,N(ISNUMBER(SEARCH($Y$1,Database!$Z105&amp;""))))+IF(Screener!$B$17="",0,N(ISNUMBER(SEARCH(LOWER(Screener!$B$17),Database!$Z105&amp;""))))</f>
        <v/>
      </c>
      <c r="I105">
        <f>IF(OR(N(Database!$BF105)&lt;=0,N(Screener!$D$13)&lt;=0),0,MAX(0,1-ABS(LOG10(N(Database!$BF105)/Screener!$D$13))/W_PEHW))</f>
        <v/>
      </c>
      <c r="J105">
        <f>IF(OR(N(Database!$S105)&lt;=0,N(Screener!$D$14)&lt;=0),0,MAX(0,1-ABS(LOG10(Database!$S105/Screener!$D$14))/0.6))</f>
        <v/>
      </c>
      <c r="K105">
        <f>IF(Database!$B105=Screener!$B$5,-999999,IF(ISNUMBER(SEARCH(","&amp;Database!$A105&amp;",",","&amp;SUBSTITUTE(Screener!$D$17," ","")&amp;",")),2000000,IF(IF(OR(Screener!$B$18="All",AND(Screener!$B$18="With A-share",(Database!$BK105="Y")),AND(Screener!$B$18="Without A-share",NOT((Database!$BK105="Y")))),1,0)=0,-999999,IF(Screener!$B$16="cornerstone overlap first",H105*100000,IF(Screener!$B$16="demand-similar first",J105*100000,0))+W_SUB*B105+W_SEC*C105*(1-B105)+W_SIZE*D105+W_PROF*E105+W_AH*F105+W_REC*G105+W_CS*H105+W_PE*I105)))+ROW()/1000000</f>
        <v/>
      </c>
      <c r="AA105">
        <f>Database!B95</f>
        <v/>
      </c>
      <c r="AB105">
        <f>Database!D95</f>
        <v/>
      </c>
      <c r="AC105">
        <f>Database!E95</f>
        <v/>
      </c>
      <c r="AD105">
        <f>Database!I95</f>
        <v/>
      </c>
      <c r="AE105">
        <f>Database!BE95</f>
        <v/>
      </c>
      <c r="AF105">
        <f>Database!BK95</f>
        <v/>
      </c>
      <c r="AG105">
        <f>Database!H95</f>
        <v/>
      </c>
      <c r="AH105">
        <f>Database!BF95</f>
        <v/>
      </c>
    </row>
    <row r="106">
      <c r="A106">
        <f>Database!B106</f>
        <v/>
      </c>
      <c r="B106">
        <f>IF(AND(Screener!$D$8&lt;&gt;"",Database!$E106=Screener!$D$8),1,0)</f>
        <v/>
      </c>
      <c r="C106">
        <f>IF(AND(Screener!$D$7&lt;&gt;"",Database!$D106=Screener!$D$7),1,0)</f>
        <v/>
      </c>
      <c r="D106">
        <f>IF(OR(N(Database!$I106)&lt;=0,N(Screener!$D$9)&lt;=0),0,MAX(0,1-ABS(LOG10(N(Database!$I106)/Screener!$D$9))/W_SIZEHW))</f>
        <v/>
      </c>
      <c r="E106">
        <f>IF(OR(Database!$BE106="",Screener!$D$10=""),0,IF(Database!$BE106=Screener!$D$10,1,0))</f>
        <v/>
      </c>
      <c r="F106">
        <f>IF(OR(Database!$BK106="",Screener!$D$11=""),0,IF(Database!$BK106=Screener!$D$11,1,0))</f>
        <v/>
      </c>
      <c r="G106">
        <f>IF(OR(Database!$H106="",N(Screener!$D$12)&lt;=0),0,MAX(0,1-(N(Screener!$D$12)-Database!$H106)/W_RECD))</f>
        <v/>
      </c>
      <c r="H106">
        <f>IF($U$1="",0,N(ISNUMBER(SEARCH($U$1,Database!$Z106&amp;""))))+IF($V$1="",0,N(ISNUMBER(SEARCH($V$1,Database!$Z106&amp;""))))+IF($W$1="",0,N(ISNUMBER(SEARCH($W$1,Database!$Z106&amp;""))))+IF($X$1="",0,N(ISNUMBER(SEARCH($X$1,Database!$Z106&amp;""))))+IF($Y$1="",0,N(ISNUMBER(SEARCH($Y$1,Database!$Z106&amp;""))))+IF(Screener!$B$17="",0,N(ISNUMBER(SEARCH(LOWER(Screener!$B$17),Database!$Z106&amp;""))))</f>
        <v/>
      </c>
      <c r="I106">
        <f>IF(OR(N(Database!$BF106)&lt;=0,N(Screener!$D$13)&lt;=0),0,MAX(0,1-ABS(LOG10(N(Database!$BF106)/Screener!$D$13))/W_PEHW))</f>
        <v/>
      </c>
      <c r="J106">
        <f>IF(OR(N(Database!$S106)&lt;=0,N(Screener!$D$14)&lt;=0),0,MAX(0,1-ABS(LOG10(Database!$S106/Screener!$D$14))/0.6))</f>
        <v/>
      </c>
      <c r="K106">
        <f>IF(Database!$B106=Screener!$B$5,-999999,IF(ISNUMBER(SEARCH(","&amp;Database!$A106&amp;",",","&amp;SUBSTITUTE(Screener!$D$17," ","")&amp;",")),2000000,IF(IF(OR(Screener!$B$18="All",AND(Screener!$B$18="With A-share",(Database!$BK106="Y")),AND(Screener!$B$18="Without A-share",NOT((Database!$BK106="Y")))),1,0)=0,-999999,IF(Screener!$B$16="cornerstone overlap first",H106*100000,IF(Screener!$B$16="demand-similar first",J106*100000,0))+W_SUB*B106+W_SEC*C106*(1-B106)+W_SIZE*D106+W_PROF*E106+W_AH*F106+W_REC*G106+W_CS*H106+W_PE*I106)))+ROW()/1000000</f>
        <v/>
      </c>
      <c r="AA106">
        <f>Database!B96</f>
        <v/>
      </c>
      <c r="AB106">
        <f>Database!D96</f>
        <v/>
      </c>
      <c r="AC106">
        <f>Database!E96</f>
        <v/>
      </c>
      <c r="AD106">
        <f>Database!I96</f>
        <v/>
      </c>
      <c r="AE106">
        <f>Database!BE96</f>
        <v/>
      </c>
      <c r="AF106">
        <f>Database!BK96</f>
        <v/>
      </c>
      <c r="AG106">
        <f>Database!H96</f>
        <v/>
      </c>
      <c r="AH106">
        <f>Database!BF96</f>
        <v/>
      </c>
    </row>
    <row r="107">
      <c r="A107">
        <f>Database!B107</f>
        <v/>
      </c>
      <c r="B107">
        <f>IF(AND(Screener!$D$8&lt;&gt;"",Database!$E107=Screener!$D$8),1,0)</f>
        <v/>
      </c>
      <c r="C107">
        <f>IF(AND(Screener!$D$7&lt;&gt;"",Database!$D107=Screener!$D$7),1,0)</f>
        <v/>
      </c>
      <c r="D107">
        <f>IF(OR(N(Database!$I107)&lt;=0,N(Screener!$D$9)&lt;=0),0,MAX(0,1-ABS(LOG10(N(Database!$I107)/Screener!$D$9))/W_SIZEHW))</f>
        <v/>
      </c>
      <c r="E107">
        <f>IF(OR(Database!$BE107="",Screener!$D$10=""),0,IF(Database!$BE107=Screener!$D$10,1,0))</f>
        <v/>
      </c>
      <c r="F107">
        <f>IF(OR(Database!$BK107="",Screener!$D$11=""),0,IF(Database!$BK107=Screener!$D$11,1,0))</f>
        <v/>
      </c>
      <c r="G107">
        <f>IF(OR(Database!$H107="",N(Screener!$D$12)&lt;=0),0,MAX(0,1-(N(Screener!$D$12)-Database!$H107)/W_RECD))</f>
        <v/>
      </c>
      <c r="H107">
        <f>IF($U$1="",0,N(ISNUMBER(SEARCH($U$1,Database!$Z107&amp;""))))+IF($V$1="",0,N(ISNUMBER(SEARCH($V$1,Database!$Z107&amp;""))))+IF($W$1="",0,N(ISNUMBER(SEARCH($W$1,Database!$Z107&amp;""))))+IF($X$1="",0,N(ISNUMBER(SEARCH($X$1,Database!$Z107&amp;""))))+IF($Y$1="",0,N(ISNUMBER(SEARCH($Y$1,Database!$Z107&amp;""))))+IF(Screener!$B$17="",0,N(ISNUMBER(SEARCH(LOWER(Screener!$B$17),Database!$Z107&amp;""))))</f>
        <v/>
      </c>
      <c r="I107">
        <f>IF(OR(N(Database!$BF107)&lt;=0,N(Screener!$D$13)&lt;=0),0,MAX(0,1-ABS(LOG10(N(Database!$BF107)/Screener!$D$13))/W_PEHW))</f>
        <v/>
      </c>
      <c r="J107">
        <f>IF(OR(N(Database!$S107)&lt;=0,N(Screener!$D$14)&lt;=0),0,MAX(0,1-ABS(LOG10(Database!$S107/Screener!$D$14))/0.6))</f>
        <v/>
      </c>
      <c r="K107">
        <f>IF(Database!$B107=Screener!$B$5,-999999,IF(ISNUMBER(SEARCH(","&amp;Database!$A107&amp;",",","&amp;SUBSTITUTE(Screener!$D$17," ","")&amp;",")),2000000,IF(IF(OR(Screener!$B$18="All",AND(Screener!$B$18="With A-share",(Database!$BK107="Y")),AND(Screener!$B$18="Without A-share",NOT((Database!$BK107="Y")))),1,0)=0,-999999,IF(Screener!$B$16="cornerstone overlap first",H107*100000,IF(Screener!$B$16="demand-similar first",J107*100000,0))+W_SUB*B107+W_SEC*C107*(1-B107)+W_SIZE*D107+W_PROF*E107+W_AH*F107+W_REC*G107+W_CS*H107+W_PE*I107)))+ROW()/1000000</f>
        <v/>
      </c>
      <c r="AA107">
        <f>Database!B97</f>
        <v/>
      </c>
      <c r="AB107">
        <f>Database!D97</f>
        <v/>
      </c>
      <c r="AC107">
        <f>Database!E97</f>
        <v/>
      </c>
      <c r="AD107">
        <f>Database!I97</f>
        <v/>
      </c>
      <c r="AE107">
        <f>Database!BE97</f>
        <v/>
      </c>
      <c r="AF107">
        <f>Database!BK97</f>
        <v/>
      </c>
      <c r="AG107">
        <f>Database!H97</f>
        <v/>
      </c>
      <c r="AH107">
        <f>Database!BF97</f>
        <v/>
      </c>
    </row>
    <row r="108">
      <c r="A108">
        <f>Database!B108</f>
        <v/>
      </c>
      <c r="B108">
        <f>IF(AND(Screener!$D$8&lt;&gt;"",Database!$E108=Screener!$D$8),1,0)</f>
        <v/>
      </c>
      <c r="C108">
        <f>IF(AND(Screener!$D$7&lt;&gt;"",Database!$D108=Screener!$D$7),1,0)</f>
        <v/>
      </c>
      <c r="D108">
        <f>IF(OR(N(Database!$I108)&lt;=0,N(Screener!$D$9)&lt;=0),0,MAX(0,1-ABS(LOG10(N(Database!$I108)/Screener!$D$9))/W_SIZEHW))</f>
        <v/>
      </c>
      <c r="E108">
        <f>IF(OR(Database!$BE108="",Screener!$D$10=""),0,IF(Database!$BE108=Screener!$D$10,1,0))</f>
        <v/>
      </c>
      <c r="F108">
        <f>IF(OR(Database!$BK108="",Screener!$D$11=""),0,IF(Database!$BK108=Screener!$D$11,1,0))</f>
        <v/>
      </c>
      <c r="G108">
        <f>IF(OR(Database!$H108="",N(Screener!$D$12)&lt;=0),0,MAX(0,1-(N(Screener!$D$12)-Database!$H108)/W_RECD))</f>
        <v/>
      </c>
      <c r="H108">
        <f>IF($U$1="",0,N(ISNUMBER(SEARCH($U$1,Database!$Z108&amp;""))))+IF($V$1="",0,N(ISNUMBER(SEARCH($V$1,Database!$Z108&amp;""))))+IF($W$1="",0,N(ISNUMBER(SEARCH($W$1,Database!$Z108&amp;""))))+IF($X$1="",0,N(ISNUMBER(SEARCH($X$1,Database!$Z108&amp;""))))+IF($Y$1="",0,N(ISNUMBER(SEARCH($Y$1,Database!$Z108&amp;""))))+IF(Screener!$B$17="",0,N(ISNUMBER(SEARCH(LOWER(Screener!$B$17),Database!$Z108&amp;""))))</f>
        <v/>
      </c>
      <c r="I108">
        <f>IF(OR(N(Database!$BF108)&lt;=0,N(Screener!$D$13)&lt;=0),0,MAX(0,1-ABS(LOG10(N(Database!$BF108)/Screener!$D$13))/W_PEHW))</f>
        <v/>
      </c>
      <c r="J108">
        <f>IF(OR(N(Database!$S108)&lt;=0,N(Screener!$D$14)&lt;=0),0,MAX(0,1-ABS(LOG10(Database!$S108/Screener!$D$14))/0.6))</f>
        <v/>
      </c>
      <c r="K108">
        <f>IF(Database!$B108=Screener!$B$5,-999999,IF(ISNUMBER(SEARCH(","&amp;Database!$A108&amp;",",","&amp;SUBSTITUTE(Screener!$D$17," ","")&amp;",")),2000000,IF(IF(OR(Screener!$B$18="All",AND(Screener!$B$18="With A-share",(Database!$BK108="Y")),AND(Screener!$B$18="Without A-share",NOT((Database!$BK108="Y")))),1,0)=0,-999999,IF(Screener!$B$16="cornerstone overlap first",H108*100000,IF(Screener!$B$16="demand-similar first",J108*100000,0))+W_SUB*B108+W_SEC*C108*(1-B108)+W_SIZE*D108+W_PROF*E108+W_AH*F108+W_REC*G108+W_CS*H108+W_PE*I108)))+ROW()/1000000</f>
        <v/>
      </c>
      <c r="AA108">
        <f>Database!B98</f>
        <v/>
      </c>
      <c r="AB108">
        <f>Database!D98</f>
        <v/>
      </c>
      <c r="AC108">
        <f>Database!E98</f>
        <v/>
      </c>
      <c r="AD108">
        <f>Database!I98</f>
        <v/>
      </c>
      <c r="AE108">
        <f>Database!BE98</f>
        <v/>
      </c>
      <c r="AF108">
        <f>Database!BK98</f>
        <v/>
      </c>
      <c r="AG108">
        <f>Database!H98</f>
        <v/>
      </c>
      <c r="AH108">
        <f>Database!BF98</f>
        <v/>
      </c>
    </row>
    <row r="109">
      <c r="A109">
        <f>Database!B109</f>
        <v/>
      </c>
      <c r="B109">
        <f>IF(AND(Screener!$D$8&lt;&gt;"",Database!$E109=Screener!$D$8),1,0)</f>
        <v/>
      </c>
      <c r="C109">
        <f>IF(AND(Screener!$D$7&lt;&gt;"",Database!$D109=Screener!$D$7),1,0)</f>
        <v/>
      </c>
      <c r="D109">
        <f>IF(OR(N(Database!$I109)&lt;=0,N(Screener!$D$9)&lt;=0),0,MAX(0,1-ABS(LOG10(N(Database!$I109)/Screener!$D$9))/W_SIZEHW))</f>
        <v/>
      </c>
      <c r="E109">
        <f>IF(OR(Database!$BE109="",Screener!$D$10=""),0,IF(Database!$BE109=Screener!$D$10,1,0))</f>
        <v/>
      </c>
      <c r="F109">
        <f>IF(OR(Database!$BK109="",Screener!$D$11=""),0,IF(Database!$BK109=Screener!$D$11,1,0))</f>
        <v/>
      </c>
      <c r="G109">
        <f>IF(OR(Database!$H109="",N(Screener!$D$12)&lt;=0),0,MAX(0,1-(N(Screener!$D$12)-Database!$H109)/W_RECD))</f>
        <v/>
      </c>
      <c r="H109">
        <f>IF($U$1="",0,N(ISNUMBER(SEARCH($U$1,Database!$Z109&amp;""))))+IF($V$1="",0,N(ISNUMBER(SEARCH($V$1,Database!$Z109&amp;""))))+IF($W$1="",0,N(ISNUMBER(SEARCH($W$1,Database!$Z109&amp;""))))+IF($X$1="",0,N(ISNUMBER(SEARCH($X$1,Database!$Z109&amp;""))))+IF($Y$1="",0,N(ISNUMBER(SEARCH($Y$1,Database!$Z109&amp;""))))+IF(Screener!$B$17="",0,N(ISNUMBER(SEARCH(LOWER(Screener!$B$17),Database!$Z109&amp;""))))</f>
        <v/>
      </c>
      <c r="I109">
        <f>IF(OR(N(Database!$BF109)&lt;=0,N(Screener!$D$13)&lt;=0),0,MAX(0,1-ABS(LOG10(N(Database!$BF109)/Screener!$D$13))/W_PEHW))</f>
        <v/>
      </c>
      <c r="J109">
        <f>IF(OR(N(Database!$S109)&lt;=0,N(Screener!$D$14)&lt;=0),0,MAX(0,1-ABS(LOG10(Database!$S109/Screener!$D$14))/0.6))</f>
        <v/>
      </c>
      <c r="K109">
        <f>IF(Database!$B109=Screener!$B$5,-999999,IF(ISNUMBER(SEARCH(","&amp;Database!$A109&amp;",",","&amp;SUBSTITUTE(Screener!$D$17," ","")&amp;",")),2000000,IF(IF(OR(Screener!$B$18="All",AND(Screener!$B$18="With A-share",(Database!$BK109="Y")),AND(Screener!$B$18="Without A-share",NOT((Database!$BK109="Y")))),1,0)=0,-999999,IF(Screener!$B$16="cornerstone overlap first",H109*100000,IF(Screener!$B$16="demand-similar first",J109*100000,0))+W_SUB*B109+W_SEC*C109*(1-B109)+W_SIZE*D109+W_PROF*E109+W_AH*F109+W_REC*G109+W_CS*H109+W_PE*I109)))+ROW()/1000000</f>
        <v/>
      </c>
      <c r="AA109">
        <f>Database!B99</f>
        <v/>
      </c>
      <c r="AB109">
        <f>Database!D99</f>
        <v/>
      </c>
      <c r="AC109">
        <f>Database!E99</f>
        <v/>
      </c>
      <c r="AD109">
        <f>Database!I99</f>
        <v/>
      </c>
      <c r="AE109">
        <f>Database!BE99</f>
        <v/>
      </c>
      <c r="AF109">
        <f>Database!BK99</f>
        <v/>
      </c>
      <c r="AG109">
        <f>Database!H99</f>
        <v/>
      </c>
      <c r="AH109">
        <f>Database!BF99</f>
        <v/>
      </c>
    </row>
    <row r="110">
      <c r="A110">
        <f>Database!B110</f>
        <v/>
      </c>
      <c r="B110">
        <f>IF(AND(Screener!$D$8&lt;&gt;"",Database!$E110=Screener!$D$8),1,0)</f>
        <v/>
      </c>
      <c r="C110">
        <f>IF(AND(Screener!$D$7&lt;&gt;"",Database!$D110=Screener!$D$7),1,0)</f>
        <v/>
      </c>
      <c r="D110">
        <f>IF(OR(N(Database!$I110)&lt;=0,N(Screener!$D$9)&lt;=0),0,MAX(0,1-ABS(LOG10(N(Database!$I110)/Screener!$D$9))/W_SIZEHW))</f>
        <v/>
      </c>
      <c r="E110">
        <f>IF(OR(Database!$BE110="",Screener!$D$10=""),0,IF(Database!$BE110=Screener!$D$10,1,0))</f>
        <v/>
      </c>
      <c r="F110">
        <f>IF(OR(Database!$BK110="",Screener!$D$11=""),0,IF(Database!$BK110=Screener!$D$11,1,0))</f>
        <v/>
      </c>
      <c r="G110">
        <f>IF(OR(Database!$H110="",N(Screener!$D$12)&lt;=0),0,MAX(0,1-(N(Screener!$D$12)-Database!$H110)/W_RECD))</f>
        <v/>
      </c>
      <c r="H110">
        <f>IF($U$1="",0,N(ISNUMBER(SEARCH($U$1,Database!$Z110&amp;""))))+IF($V$1="",0,N(ISNUMBER(SEARCH($V$1,Database!$Z110&amp;""))))+IF($W$1="",0,N(ISNUMBER(SEARCH($W$1,Database!$Z110&amp;""))))+IF($X$1="",0,N(ISNUMBER(SEARCH($X$1,Database!$Z110&amp;""))))+IF($Y$1="",0,N(ISNUMBER(SEARCH($Y$1,Database!$Z110&amp;""))))+IF(Screener!$B$17="",0,N(ISNUMBER(SEARCH(LOWER(Screener!$B$17),Database!$Z110&amp;""))))</f>
        <v/>
      </c>
      <c r="I110">
        <f>IF(OR(N(Database!$BF110)&lt;=0,N(Screener!$D$13)&lt;=0),0,MAX(0,1-ABS(LOG10(N(Database!$BF110)/Screener!$D$13))/W_PEHW))</f>
        <v/>
      </c>
      <c r="J110">
        <f>IF(OR(N(Database!$S110)&lt;=0,N(Screener!$D$14)&lt;=0),0,MAX(0,1-ABS(LOG10(Database!$S110/Screener!$D$14))/0.6))</f>
        <v/>
      </c>
      <c r="K110">
        <f>IF(Database!$B110=Screener!$B$5,-999999,IF(ISNUMBER(SEARCH(","&amp;Database!$A110&amp;",",","&amp;SUBSTITUTE(Screener!$D$17," ","")&amp;",")),2000000,IF(IF(OR(Screener!$B$18="All",AND(Screener!$B$18="With A-share",(Database!$BK110="Y")),AND(Screener!$B$18="Without A-share",NOT((Database!$BK110="Y")))),1,0)=0,-999999,IF(Screener!$B$16="cornerstone overlap first",H110*100000,IF(Screener!$B$16="demand-similar first",J110*100000,0))+W_SUB*B110+W_SEC*C110*(1-B110)+W_SIZE*D110+W_PROF*E110+W_AH*F110+W_REC*G110+W_CS*H110+W_PE*I110)))+ROW()/1000000</f>
        <v/>
      </c>
      <c r="AA110">
        <f>Database!B100</f>
        <v/>
      </c>
      <c r="AB110">
        <f>Database!D100</f>
        <v/>
      </c>
      <c r="AC110">
        <f>Database!E100</f>
        <v/>
      </c>
      <c r="AD110">
        <f>Database!I100</f>
        <v/>
      </c>
      <c r="AE110">
        <f>Database!BE100</f>
        <v/>
      </c>
      <c r="AF110">
        <f>Database!BK100</f>
        <v/>
      </c>
      <c r="AG110">
        <f>Database!H100</f>
        <v/>
      </c>
      <c r="AH110">
        <f>Database!BF100</f>
        <v/>
      </c>
    </row>
    <row r="111">
      <c r="A111">
        <f>Database!B111</f>
        <v/>
      </c>
      <c r="B111">
        <f>IF(AND(Screener!$D$8&lt;&gt;"",Database!$E111=Screener!$D$8),1,0)</f>
        <v/>
      </c>
      <c r="C111">
        <f>IF(AND(Screener!$D$7&lt;&gt;"",Database!$D111=Screener!$D$7),1,0)</f>
        <v/>
      </c>
      <c r="D111">
        <f>IF(OR(N(Database!$I111)&lt;=0,N(Screener!$D$9)&lt;=0),0,MAX(0,1-ABS(LOG10(N(Database!$I111)/Screener!$D$9))/W_SIZEHW))</f>
        <v/>
      </c>
      <c r="E111">
        <f>IF(OR(Database!$BE111="",Screener!$D$10=""),0,IF(Database!$BE111=Screener!$D$10,1,0))</f>
        <v/>
      </c>
      <c r="F111">
        <f>IF(OR(Database!$BK111="",Screener!$D$11=""),0,IF(Database!$BK111=Screener!$D$11,1,0))</f>
        <v/>
      </c>
      <c r="G111">
        <f>IF(OR(Database!$H111="",N(Screener!$D$12)&lt;=0),0,MAX(0,1-(N(Screener!$D$12)-Database!$H111)/W_RECD))</f>
        <v/>
      </c>
      <c r="H111">
        <f>IF($U$1="",0,N(ISNUMBER(SEARCH($U$1,Database!$Z111&amp;""))))+IF($V$1="",0,N(ISNUMBER(SEARCH($V$1,Database!$Z111&amp;""))))+IF($W$1="",0,N(ISNUMBER(SEARCH($W$1,Database!$Z111&amp;""))))+IF($X$1="",0,N(ISNUMBER(SEARCH($X$1,Database!$Z111&amp;""))))+IF($Y$1="",0,N(ISNUMBER(SEARCH($Y$1,Database!$Z111&amp;""))))+IF(Screener!$B$17="",0,N(ISNUMBER(SEARCH(LOWER(Screener!$B$17),Database!$Z111&amp;""))))</f>
        <v/>
      </c>
      <c r="I111">
        <f>IF(OR(N(Database!$BF111)&lt;=0,N(Screener!$D$13)&lt;=0),0,MAX(0,1-ABS(LOG10(N(Database!$BF111)/Screener!$D$13))/W_PEHW))</f>
        <v/>
      </c>
      <c r="J111">
        <f>IF(OR(N(Database!$S111)&lt;=0,N(Screener!$D$14)&lt;=0),0,MAX(0,1-ABS(LOG10(Database!$S111/Screener!$D$14))/0.6))</f>
        <v/>
      </c>
      <c r="K111">
        <f>IF(Database!$B111=Screener!$B$5,-999999,IF(ISNUMBER(SEARCH(","&amp;Database!$A111&amp;",",","&amp;SUBSTITUTE(Screener!$D$17," ","")&amp;",")),2000000,IF(IF(OR(Screener!$B$18="All",AND(Screener!$B$18="With A-share",(Database!$BK111="Y")),AND(Screener!$B$18="Without A-share",NOT((Database!$BK111="Y")))),1,0)=0,-999999,IF(Screener!$B$16="cornerstone overlap first",H111*100000,IF(Screener!$B$16="demand-similar first",J111*100000,0))+W_SUB*B111+W_SEC*C111*(1-B111)+W_SIZE*D111+W_PROF*E111+W_AH*F111+W_REC*G111+W_CS*H111+W_PE*I111)))+ROW()/1000000</f>
        <v/>
      </c>
      <c r="AA111">
        <f>Database!B101</f>
        <v/>
      </c>
      <c r="AB111">
        <f>Database!D101</f>
        <v/>
      </c>
      <c r="AC111">
        <f>Database!E101</f>
        <v/>
      </c>
      <c r="AD111">
        <f>Database!I101</f>
        <v/>
      </c>
      <c r="AE111">
        <f>Database!BE101</f>
        <v/>
      </c>
      <c r="AF111">
        <f>Database!BK101</f>
        <v/>
      </c>
      <c r="AG111">
        <f>Database!H101</f>
        <v/>
      </c>
      <c r="AH111">
        <f>Database!BF101</f>
        <v/>
      </c>
    </row>
    <row r="112">
      <c r="A112">
        <f>Database!B112</f>
        <v/>
      </c>
      <c r="B112">
        <f>IF(AND(Screener!$D$8&lt;&gt;"",Database!$E112=Screener!$D$8),1,0)</f>
        <v/>
      </c>
      <c r="C112">
        <f>IF(AND(Screener!$D$7&lt;&gt;"",Database!$D112=Screener!$D$7),1,0)</f>
        <v/>
      </c>
      <c r="D112">
        <f>IF(OR(N(Database!$I112)&lt;=0,N(Screener!$D$9)&lt;=0),0,MAX(0,1-ABS(LOG10(N(Database!$I112)/Screener!$D$9))/W_SIZEHW))</f>
        <v/>
      </c>
      <c r="E112">
        <f>IF(OR(Database!$BE112="",Screener!$D$10=""),0,IF(Database!$BE112=Screener!$D$10,1,0))</f>
        <v/>
      </c>
      <c r="F112">
        <f>IF(OR(Database!$BK112="",Screener!$D$11=""),0,IF(Database!$BK112=Screener!$D$11,1,0))</f>
        <v/>
      </c>
      <c r="G112">
        <f>IF(OR(Database!$H112="",N(Screener!$D$12)&lt;=0),0,MAX(0,1-(N(Screener!$D$12)-Database!$H112)/W_RECD))</f>
        <v/>
      </c>
      <c r="H112">
        <f>IF($U$1="",0,N(ISNUMBER(SEARCH($U$1,Database!$Z112&amp;""))))+IF($V$1="",0,N(ISNUMBER(SEARCH($V$1,Database!$Z112&amp;""))))+IF($W$1="",0,N(ISNUMBER(SEARCH($W$1,Database!$Z112&amp;""))))+IF($X$1="",0,N(ISNUMBER(SEARCH($X$1,Database!$Z112&amp;""))))+IF($Y$1="",0,N(ISNUMBER(SEARCH($Y$1,Database!$Z112&amp;""))))+IF(Screener!$B$17="",0,N(ISNUMBER(SEARCH(LOWER(Screener!$B$17),Database!$Z112&amp;""))))</f>
        <v/>
      </c>
      <c r="I112">
        <f>IF(OR(N(Database!$BF112)&lt;=0,N(Screener!$D$13)&lt;=0),0,MAX(0,1-ABS(LOG10(N(Database!$BF112)/Screener!$D$13))/W_PEHW))</f>
        <v/>
      </c>
      <c r="J112">
        <f>IF(OR(N(Database!$S112)&lt;=0,N(Screener!$D$14)&lt;=0),0,MAX(0,1-ABS(LOG10(Database!$S112/Screener!$D$14))/0.6))</f>
        <v/>
      </c>
      <c r="K112">
        <f>IF(Database!$B112=Screener!$B$5,-999999,IF(ISNUMBER(SEARCH(","&amp;Database!$A112&amp;",",","&amp;SUBSTITUTE(Screener!$D$17," ","")&amp;",")),2000000,IF(IF(OR(Screener!$B$18="All",AND(Screener!$B$18="With A-share",(Database!$BK112="Y")),AND(Screener!$B$18="Without A-share",NOT((Database!$BK112="Y")))),1,0)=0,-999999,IF(Screener!$B$16="cornerstone overlap first",H112*100000,IF(Screener!$B$16="demand-similar first",J112*100000,0))+W_SUB*B112+W_SEC*C112*(1-B112)+W_SIZE*D112+W_PROF*E112+W_AH*F112+W_REC*G112+W_CS*H112+W_PE*I112)))+ROW()/1000000</f>
        <v/>
      </c>
      <c r="AA112">
        <f>Database!B102</f>
        <v/>
      </c>
      <c r="AB112">
        <f>Database!D102</f>
        <v/>
      </c>
      <c r="AC112">
        <f>Database!E102</f>
        <v/>
      </c>
      <c r="AD112">
        <f>Database!I102</f>
        <v/>
      </c>
      <c r="AE112">
        <f>Database!BE102</f>
        <v/>
      </c>
      <c r="AF112">
        <f>Database!BK102</f>
        <v/>
      </c>
      <c r="AG112">
        <f>Database!H102</f>
        <v/>
      </c>
      <c r="AH112">
        <f>Database!BF102</f>
        <v/>
      </c>
    </row>
    <row r="113">
      <c r="A113">
        <f>Database!B113</f>
        <v/>
      </c>
      <c r="B113">
        <f>IF(AND(Screener!$D$8&lt;&gt;"",Database!$E113=Screener!$D$8),1,0)</f>
        <v/>
      </c>
      <c r="C113">
        <f>IF(AND(Screener!$D$7&lt;&gt;"",Database!$D113=Screener!$D$7),1,0)</f>
        <v/>
      </c>
      <c r="D113">
        <f>IF(OR(N(Database!$I113)&lt;=0,N(Screener!$D$9)&lt;=0),0,MAX(0,1-ABS(LOG10(N(Database!$I113)/Screener!$D$9))/W_SIZEHW))</f>
        <v/>
      </c>
      <c r="E113">
        <f>IF(OR(Database!$BE113="",Screener!$D$10=""),0,IF(Database!$BE113=Screener!$D$10,1,0))</f>
        <v/>
      </c>
      <c r="F113">
        <f>IF(OR(Database!$BK113="",Screener!$D$11=""),0,IF(Database!$BK113=Screener!$D$11,1,0))</f>
        <v/>
      </c>
      <c r="G113">
        <f>IF(OR(Database!$H113="",N(Screener!$D$12)&lt;=0),0,MAX(0,1-(N(Screener!$D$12)-Database!$H113)/W_RECD))</f>
        <v/>
      </c>
      <c r="H113">
        <f>IF($U$1="",0,N(ISNUMBER(SEARCH($U$1,Database!$Z113&amp;""))))+IF($V$1="",0,N(ISNUMBER(SEARCH($V$1,Database!$Z113&amp;""))))+IF($W$1="",0,N(ISNUMBER(SEARCH($W$1,Database!$Z113&amp;""))))+IF($X$1="",0,N(ISNUMBER(SEARCH($X$1,Database!$Z113&amp;""))))+IF($Y$1="",0,N(ISNUMBER(SEARCH($Y$1,Database!$Z113&amp;""))))+IF(Screener!$B$17="",0,N(ISNUMBER(SEARCH(LOWER(Screener!$B$17),Database!$Z113&amp;""))))</f>
        <v/>
      </c>
      <c r="I113">
        <f>IF(OR(N(Database!$BF113)&lt;=0,N(Screener!$D$13)&lt;=0),0,MAX(0,1-ABS(LOG10(N(Database!$BF113)/Screener!$D$13))/W_PEHW))</f>
        <v/>
      </c>
      <c r="J113">
        <f>IF(OR(N(Database!$S113)&lt;=0,N(Screener!$D$14)&lt;=0),0,MAX(0,1-ABS(LOG10(Database!$S113/Screener!$D$14))/0.6))</f>
        <v/>
      </c>
      <c r="K113">
        <f>IF(Database!$B113=Screener!$B$5,-999999,IF(ISNUMBER(SEARCH(","&amp;Database!$A113&amp;",",","&amp;SUBSTITUTE(Screener!$D$17," ","")&amp;",")),2000000,IF(IF(OR(Screener!$B$18="All",AND(Screener!$B$18="With A-share",(Database!$BK113="Y")),AND(Screener!$B$18="Without A-share",NOT((Database!$BK113="Y")))),1,0)=0,-999999,IF(Screener!$B$16="cornerstone overlap first",H113*100000,IF(Screener!$B$16="demand-similar first",J113*100000,0))+W_SUB*B113+W_SEC*C113*(1-B113)+W_SIZE*D113+W_PROF*E113+W_AH*F113+W_REC*G113+W_CS*H113+W_PE*I113)))+ROW()/1000000</f>
        <v/>
      </c>
      <c r="AA113">
        <f>Database!B103</f>
        <v/>
      </c>
      <c r="AB113">
        <f>Database!D103</f>
        <v/>
      </c>
      <c r="AC113">
        <f>Database!E103</f>
        <v/>
      </c>
      <c r="AD113">
        <f>Database!I103</f>
        <v/>
      </c>
      <c r="AE113">
        <f>Database!BE103</f>
        <v/>
      </c>
      <c r="AF113">
        <f>Database!BK103</f>
        <v/>
      </c>
      <c r="AG113">
        <f>Database!H103</f>
        <v/>
      </c>
      <c r="AH113">
        <f>Database!BF103</f>
        <v/>
      </c>
    </row>
    <row r="114">
      <c r="A114">
        <f>Database!B114</f>
        <v/>
      </c>
      <c r="B114">
        <f>IF(AND(Screener!$D$8&lt;&gt;"",Database!$E114=Screener!$D$8),1,0)</f>
        <v/>
      </c>
      <c r="C114">
        <f>IF(AND(Screener!$D$7&lt;&gt;"",Database!$D114=Screener!$D$7),1,0)</f>
        <v/>
      </c>
      <c r="D114">
        <f>IF(OR(N(Database!$I114)&lt;=0,N(Screener!$D$9)&lt;=0),0,MAX(0,1-ABS(LOG10(N(Database!$I114)/Screener!$D$9))/W_SIZEHW))</f>
        <v/>
      </c>
      <c r="E114">
        <f>IF(OR(Database!$BE114="",Screener!$D$10=""),0,IF(Database!$BE114=Screener!$D$10,1,0))</f>
        <v/>
      </c>
      <c r="F114">
        <f>IF(OR(Database!$BK114="",Screener!$D$11=""),0,IF(Database!$BK114=Screener!$D$11,1,0))</f>
        <v/>
      </c>
      <c r="G114">
        <f>IF(OR(Database!$H114="",N(Screener!$D$12)&lt;=0),0,MAX(0,1-(N(Screener!$D$12)-Database!$H114)/W_RECD))</f>
        <v/>
      </c>
      <c r="H114">
        <f>IF($U$1="",0,N(ISNUMBER(SEARCH($U$1,Database!$Z114&amp;""))))+IF($V$1="",0,N(ISNUMBER(SEARCH($V$1,Database!$Z114&amp;""))))+IF($W$1="",0,N(ISNUMBER(SEARCH($W$1,Database!$Z114&amp;""))))+IF($X$1="",0,N(ISNUMBER(SEARCH($X$1,Database!$Z114&amp;""))))+IF($Y$1="",0,N(ISNUMBER(SEARCH($Y$1,Database!$Z114&amp;""))))+IF(Screener!$B$17="",0,N(ISNUMBER(SEARCH(LOWER(Screener!$B$17),Database!$Z114&amp;""))))</f>
        <v/>
      </c>
      <c r="I114">
        <f>IF(OR(N(Database!$BF114)&lt;=0,N(Screener!$D$13)&lt;=0),0,MAX(0,1-ABS(LOG10(N(Database!$BF114)/Screener!$D$13))/W_PEHW))</f>
        <v/>
      </c>
      <c r="J114">
        <f>IF(OR(N(Database!$S114)&lt;=0,N(Screener!$D$14)&lt;=0),0,MAX(0,1-ABS(LOG10(Database!$S114/Screener!$D$14))/0.6))</f>
        <v/>
      </c>
      <c r="K114">
        <f>IF(Database!$B114=Screener!$B$5,-999999,IF(ISNUMBER(SEARCH(","&amp;Database!$A114&amp;",",","&amp;SUBSTITUTE(Screener!$D$17," ","")&amp;",")),2000000,IF(IF(OR(Screener!$B$18="All",AND(Screener!$B$18="With A-share",(Database!$BK114="Y")),AND(Screener!$B$18="Without A-share",NOT((Database!$BK114="Y")))),1,0)=0,-999999,IF(Screener!$B$16="cornerstone overlap first",H114*100000,IF(Screener!$B$16="demand-similar first",J114*100000,0))+W_SUB*B114+W_SEC*C114*(1-B114)+W_SIZE*D114+W_PROF*E114+W_AH*F114+W_REC*G114+W_CS*H114+W_PE*I114)))+ROW()/1000000</f>
        <v/>
      </c>
      <c r="AA114">
        <f>Database!B104</f>
        <v/>
      </c>
      <c r="AB114">
        <f>Database!D104</f>
        <v/>
      </c>
      <c r="AC114">
        <f>Database!E104</f>
        <v/>
      </c>
      <c r="AD114">
        <f>Database!I104</f>
        <v/>
      </c>
      <c r="AE114">
        <f>Database!BE104</f>
        <v/>
      </c>
      <c r="AF114">
        <f>Database!BK104</f>
        <v/>
      </c>
      <c r="AG114">
        <f>Database!H104</f>
        <v/>
      </c>
      <c r="AH114">
        <f>Database!BF104</f>
        <v/>
      </c>
    </row>
    <row r="115">
      <c r="A115">
        <f>Database!B115</f>
        <v/>
      </c>
      <c r="B115">
        <f>IF(AND(Screener!$D$8&lt;&gt;"",Database!$E115=Screener!$D$8),1,0)</f>
        <v/>
      </c>
      <c r="C115">
        <f>IF(AND(Screener!$D$7&lt;&gt;"",Database!$D115=Screener!$D$7),1,0)</f>
        <v/>
      </c>
      <c r="D115">
        <f>IF(OR(N(Database!$I115)&lt;=0,N(Screener!$D$9)&lt;=0),0,MAX(0,1-ABS(LOG10(N(Database!$I115)/Screener!$D$9))/W_SIZEHW))</f>
        <v/>
      </c>
      <c r="E115">
        <f>IF(OR(Database!$BE115="",Screener!$D$10=""),0,IF(Database!$BE115=Screener!$D$10,1,0))</f>
        <v/>
      </c>
      <c r="F115">
        <f>IF(OR(Database!$BK115="",Screener!$D$11=""),0,IF(Database!$BK115=Screener!$D$11,1,0))</f>
        <v/>
      </c>
      <c r="G115">
        <f>IF(OR(Database!$H115="",N(Screener!$D$12)&lt;=0),0,MAX(0,1-(N(Screener!$D$12)-Database!$H115)/W_RECD))</f>
        <v/>
      </c>
      <c r="H115">
        <f>IF($U$1="",0,N(ISNUMBER(SEARCH($U$1,Database!$Z115&amp;""))))+IF($V$1="",0,N(ISNUMBER(SEARCH($V$1,Database!$Z115&amp;""))))+IF($W$1="",0,N(ISNUMBER(SEARCH($W$1,Database!$Z115&amp;""))))+IF($X$1="",0,N(ISNUMBER(SEARCH($X$1,Database!$Z115&amp;""))))+IF($Y$1="",0,N(ISNUMBER(SEARCH($Y$1,Database!$Z115&amp;""))))+IF(Screener!$B$17="",0,N(ISNUMBER(SEARCH(LOWER(Screener!$B$17),Database!$Z115&amp;""))))</f>
        <v/>
      </c>
      <c r="I115">
        <f>IF(OR(N(Database!$BF115)&lt;=0,N(Screener!$D$13)&lt;=0),0,MAX(0,1-ABS(LOG10(N(Database!$BF115)/Screener!$D$13))/W_PEHW))</f>
        <v/>
      </c>
      <c r="J115">
        <f>IF(OR(N(Database!$S115)&lt;=0,N(Screener!$D$14)&lt;=0),0,MAX(0,1-ABS(LOG10(Database!$S115/Screener!$D$14))/0.6))</f>
        <v/>
      </c>
      <c r="K115">
        <f>IF(Database!$B115=Screener!$B$5,-999999,IF(ISNUMBER(SEARCH(","&amp;Database!$A115&amp;",",","&amp;SUBSTITUTE(Screener!$D$17," ","")&amp;",")),2000000,IF(IF(OR(Screener!$B$18="All",AND(Screener!$B$18="With A-share",(Database!$BK115="Y")),AND(Screener!$B$18="Without A-share",NOT((Database!$BK115="Y")))),1,0)=0,-999999,IF(Screener!$B$16="cornerstone overlap first",H115*100000,IF(Screener!$B$16="demand-similar first",J115*100000,0))+W_SUB*B115+W_SEC*C115*(1-B115)+W_SIZE*D115+W_PROF*E115+W_AH*F115+W_REC*G115+W_CS*H115+W_PE*I115)))+ROW()/1000000</f>
        <v/>
      </c>
      <c r="AA115">
        <f>Database!B105</f>
        <v/>
      </c>
      <c r="AB115">
        <f>Database!D105</f>
        <v/>
      </c>
      <c r="AC115">
        <f>Database!E105</f>
        <v/>
      </c>
      <c r="AD115">
        <f>Database!I105</f>
        <v/>
      </c>
      <c r="AE115">
        <f>Database!BE105</f>
        <v/>
      </c>
      <c r="AF115">
        <f>Database!BK105</f>
        <v/>
      </c>
      <c r="AG115">
        <f>Database!H105</f>
        <v/>
      </c>
      <c r="AH115">
        <f>Database!BF105</f>
        <v/>
      </c>
    </row>
    <row r="116">
      <c r="A116">
        <f>Database!B116</f>
        <v/>
      </c>
      <c r="B116">
        <f>IF(AND(Screener!$D$8&lt;&gt;"",Database!$E116=Screener!$D$8),1,0)</f>
        <v/>
      </c>
      <c r="C116">
        <f>IF(AND(Screener!$D$7&lt;&gt;"",Database!$D116=Screener!$D$7),1,0)</f>
        <v/>
      </c>
      <c r="D116">
        <f>IF(OR(N(Database!$I116)&lt;=0,N(Screener!$D$9)&lt;=0),0,MAX(0,1-ABS(LOG10(N(Database!$I116)/Screener!$D$9))/W_SIZEHW))</f>
        <v/>
      </c>
      <c r="E116">
        <f>IF(OR(Database!$BE116="",Screener!$D$10=""),0,IF(Database!$BE116=Screener!$D$10,1,0))</f>
        <v/>
      </c>
      <c r="F116">
        <f>IF(OR(Database!$BK116="",Screener!$D$11=""),0,IF(Database!$BK116=Screener!$D$11,1,0))</f>
        <v/>
      </c>
      <c r="G116">
        <f>IF(OR(Database!$H116="",N(Screener!$D$12)&lt;=0),0,MAX(0,1-(N(Screener!$D$12)-Database!$H116)/W_RECD))</f>
        <v/>
      </c>
      <c r="H116">
        <f>IF($U$1="",0,N(ISNUMBER(SEARCH($U$1,Database!$Z116&amp;""))))+IF($V$1="",0,N(ISNUMBER(SEARCH($V$1,Database!$Z116&amp;""))))+IF($W$1="",0,N(ISNUMBER(SEARCH($W$1,Database!$Z116&amp;""))))+IF($X$1="",0,N(ISNUMBER(SEARCH($X$1,Database!$Z116&amp;""))))+IF($Y$1="",0,N(ISNUMBER(SEARCH($Y$1,Database!$Z116&amp;""))))+IF(Screener!$B$17="",0,N(ISNUMBER(SEARCH(LOWER(Screener!$B$17),Database!$Z116&amp;""))))</f>
        <v/>
      </c>
      <c r="I116">
        <f>IF(OR(N(Database!$BF116)&lt;=0,N(Screener!$D$13)&lt;=0),0,MAX(0,1-ABS(LOG10(N(Database!$BF116)/Screener!$D$13))/W_PEHW))</f>
        <v/>
      </c>
      <c r="J116">
        <f>IF(OR(N(Database!$S116)&lt;=0,N(Screener!$D$14)&lt;=0),0,MAX(0,1-ABS(LOG10(Database!$S116/Screener!$D$14))/0.6))</f>
        <v/>
      </c>
      <c r="K116">
        <f>IF(Database!$B116=Screener!$B$5,-999999,IF(ISNUMBER(SEARCH(","&amp;Database!$A116&amp;",",","&amp;SUBSTITUTE(Screener!$D$17," ","")&amp;",")),2000000,IF(IF(OR(Screener!$B$18="All",AND(Screener!$B$18="With A-share",(Database!$BK116="Y")),AND(Screener!$B$18="Without A-share",NOT((Database!$BK116="Y")))),1,0)=0,-999999,IF(Screener!$B$16="cornerstone overlap first",H116*100000,IF(Screener!$B$16="demand-similar first",J116*100000,0))+W_SUB*B116+W_SEC*C116*(1-B116)+W_SIZE*D116+W_PROF*E116+W_AH*F116+W_REC*G116+W_CS*H116+W_PE*I116)))+ROW()/1000000</f>
        <v/>
      </c>
      <c r="AA116">
        <f>Database!B106</f>
        <v/>
      </c>
      <c r="AB116">
        <f>Database!D106</f>
        <v/>
      </c>
      <c r="AC116">
        <f>Database!E106</f>
        <v/>
      </c>
      <c r="AD116">
        <f>Database!I106</f>
        <v/>
      </c>
      <c r="AE116">
        <f>Database!BE106</f>
        <v/>
      </c>
      <c r="AF116">
        <f>Database!BK106</f>
        <v/>
      </c>
      <c r="AG116">
        <f>Database!H106</f>
        <v/>
      </c>
      <c r="AH116">
        <f>Database!BF106</f>
        <v/>
      </c>
    </row>
    <row r="117">
      <c r="A117">
        <f>Database!B117</f>
        <v/>
      </c>
      <c r="B117">
        <f>IF(AND(Screener!$D$8&lt;&gt;"",Database!$E117=Screener!$D$8),1,0)</f>
        <v/>
      </c>
      <c r="C117">
        <f>IF(AND(Screener!$D$7&lt;&gt;"",Database!$D117=Screener!$D$7),1,0)</f>
        <v/>
      </c>
      <c r="D117">
        <f>IF(OR(N(Database!$I117)&lt;=0,N(Screener!$D$9)&lt;=0),0,MAX(0,1-ABS(LOG10(N(Database!$I117)/Screener!$D$9))/W_SIZEHW))</f>
        <v/>
      </c>
      <c r="E117">
        <f>IF(OR(Database!$BE117="",Screener!$D$10=""),0,IF(Database!$BE117=Screener!$D$10,1,0))</f>
        <v/>
      </c>
      <c r="F117">
        <f>IF(OR(Database!$BK117="",Screener!$D$11=""),0,IF(Database!$BK117=Screener!$D$11,1,0))</f>
        <v/>
      </c>
      <c r="G117">
        <f>IF(OR(Database!$H117="",N(Screener!$D$12)&lt;=0),0,MAX(0,1-(N(Screener!$D$12)-Database!$H117)/W_RECD))</f>
        <v/>
      </c>
      <c r="H117">
        <f>IF($U$1="",0,N(ISNUMBER(SEARCH($U$1,Database!$Z117&amp;""))))+IF($V$1="",0,N(ISNUMBER(SEARCH($V$1,Database!$Z117&amp;""))))+IF($W$1="",0,N(ISNUMBER(SEARCH($W$1,Database!$Z117&amp;""))))+IF($X$1="",0,N(ISNUMBER(SEARCH($X$1,Database!$Z117&amp;""))))+IF($Y$1="",0,N(ISNUMBER(SEARCH($Y$1,Database!$Z117&amp;""))))+IF(Screener!$B$17="",0,N(ISNUMBER(SEARCH(LOWER(Screener!$B$17),Database!$Z117&amp;""))))</f>
        <v/>
      </c>
      <c r="I117">
        <f>IF(OR(N(Database!$BF117)&lt;=0,N(Screener!$D$13)&lt;=0),0,MAX(0,1-ABS(LOG10(N(Database!$BF117)/Screener!$D$13))/W_PEHW))</f>
        <v/>
      </c>
      <c r="J117">
        <f>IF(OR(N(Database!$S117)&lt;=0,N(Screener!$D$14)&lt;=0),0,MAX(0,1-ABS(LOG10(Database!$S117/Screener!$D$14))/0.6))</f>
        <v/>
      </c>
      <c r="K117">
        <f>IF(Database!$B117=Screener!$B$5,-999999,IF(ISNUMBER(SEARCH(","&amp;Database!$A117&amp;",",","&amp;SUBSTITUTE(Screener!$D$17," ","")&amp;",")),2000000,IF(IF(OR(Screener!$B$18="All",AND(Screener!$B$18="With A-share",(Database!$BK117="Y")),AND(Screener!$B$18="Without A-share",NOT((Database!$BK117="Y")))),1,0)=0,-999999,IF(Screener!$B$16="cornerstone overlap first",H117*100000,IF(Screener!$B$16="demand-similar first",J117*100000,0))+W_SUB*B117+W_SEC*C117*(1-B117)+W_SIZE*D117+W_PROF*E117+W_AH*F117+W_REC*G117+W_CS*H117+W_PE*I117)))+ROW()/1000000</f>
        <v/>
      </c>
      <c r="AA117">
        <f>Database!B107</f>
        <v/>
      </c>
      <c r="AB117">
        <f>Database!D107</f>
        <v/>
      </c>
      <c r="AC117">
        <f>Database!E107</f>
        <v/>
      </c>
      <c r="AD117">
        <f>Database!I107</f>
        <v/>
      </c>
      <c r="AE117">
        <f>Database!BE107</f>
        <v/>
      </c>
      <c r="AF117">
        <f>Database!BK107</f>
        <v/>
      </c>
      <c r="AG117">
        <f>Database!H107</f>
        <v/>
      </c>
      <c r="AH117">
        <f>Database!BF107</f>
        <v/>
      </c>
    </row>
    <row r="118">
      <c r="A118">
        <f>Database!B118</f>
        <v/>
      </c>
      <c r="B118">
        <f>IF(AND(Screener!$D$8&lt;&gt;"",Database!$E118=Screener!$D$8),1,0)</f>
        <v/>
      </c>
      <c r="C118">
        <f>IF(AND(Screener!$D$7&lt;&gt;"",Database!$D118=Screener!$D$7),1,0)</f>
        <v/>
      </c>
      <c r="D118">
        <f>IF(OR(N(Database!$I118)&lt;=0,N(Screener!$D$9)&lt;=0),0,MAX(0,1-ABS(LOG10(N(Database!$I118)/Screener!$D$9))/W_SIZEHW))</f>
        <v/>
      </c>
      <c r="E118">
        <f>IF(OR(Database!$BE118="",Screener!$D$10=""),0,IF(Database!$BE118=Screener!$D$10,1,0))</f>
        <v/>
      </c>
      <c r="F118">
        <f>IF(OR(Database!$BK118="",Screener!$D$11=""),0,IF(Database!$BK118=Screener!$D$11,1,0))</f>
        <v/>
      </c>
      <c r="G118">
        <f>IF(OR(Database!$H118="",N(Screener!$D$12)&lt;=0),0,MAX(0,1-(N(Screener!$D$12)-Database!$H118)/W_RECD))</f>
        <v/>
      </c>
      <c r="H118">
        <f>IF($U$1="",0,N(ISNUMBER(SEARCH($U$1,Database!$Z118&amp;""))))+IF($V$1="",0,N(ISNUMBER(SEARCH($V$1,Database!$Z118&amp;""))))+IF($W$1="",0,N(ISNUMBER(SEARCH($W$1,Database!$Z118&amp;""))))+IF($X$1="",0,N(ISNUMBER(SEARCH($X$1,Database!$Z118&amp;""))))+IF($Y$1="",0,N(ISNUMBER(SEARCH($Y$1,Database!$Z118&amp;""))))+IF(Screener!$B$17="",0,N(ISNUMBER(SEARCH(LOWER(Screener!$B$17),Database!$Z118&amp;""))))</f>
        <v/>
      </c>
      <c r="I118">
        <f>IF(OR(N(Database!$BF118)&lt;=0,N(Screener!$D$13)&lt;=0),0,MAX(0,1-ABS(LOG10(N(Database!$BF118)/Screener!$D$13))/W_PEHW))</f>
        <v/>
      </c>
      <c r="J118">
        <f>IF(OR(N(Database!$S118)&lt;=0,N(Screener!$D$14)&lt;=0),0,MAX(0,1-ABS(LOG10(Database!$S118/Screener!$D$14))/0.6))</f>
        <v/>
      </c>
      <c r="K118">
        <f>IF(Database!$B118=Screener!$B$5,-999999,IF(ISNUMBER(SEARCH(","&amp;Database!$A118&amp;",",","&amp;SUBSTITUTE(Screener!$D$17," ","")&amp;",")),2000000,IF(IF(OR(Screener!$B$18="All",AND(Screener!$B$18="With A-share",(Database!$BK118="Y")),AND(Screener!$B$18="Without A-share",NOT((Database!$BK118="Y")))),1,0)=0,-999999,IF(Screener!$B$16="cornerstone overlap first",H118*100000,IF(Screener!$B$16="demand-similar first",J118*100000,0))+W_SUB*B118+W_SEC*C118*(1-B118)+W_SIZE*D118+W_PROF*E118+W_AH*F118+W_REC*G118+W_CS*H118+W_PE*I118)))+ROW()/1000000</f>
        <v/>
      </c>
      <c r="AA118">
        <f>Database!B108</f>
        <v/>
      </c>
      <c r="AB118">
        <f>Database!D108</f>
        <v/>
      </c>
      <c r="AC118">
        <f>Database!E108</f>
        <v/>
      </c>
      <c r="AD118">
        <f>Database!I108</f>
        <v/>
      </c>
      <c r="AE118">
        <f>Database!BE108</f>
        <v/>
      </c>
      <c r="AF118">
        <f>Database!BK108</f>
        <v/>
      </c>
      <c r="AG118">
        <f>Database!H108</f>
        <v/>
      </c>
      <c r="AH118">
        <f>Database!BF108</f>
        <v/>
      </c>
    </row>
    <row r="119">
      <c r="A119">
        <f>Database!B119</f>
        <v/>
      </c>
      <c r="B119">
        <f>IF(AND(Screener!$D$8&lt;&gt;"",Database!$E119=Screener!$D$8),1,0)</f>
        <v/>
      </c>
      <c r="C119">
        <f>IF(AND(Screener!$D$7&lt;&gt;"",Database!$D119=Screener!$D$7),1,0)</f>
        <v/>
      </c>
      <c r="D119">
        <f>IF(OR(N(Database!$I119)&lt;=0,N(Screener!$D$9)&lt;=0),0,MAX(0,1-ABS(LOG10(N(Database!$I119)/Screener!$D$9))/W_SIZEHW))</f>
        <v/>
      </c>
      <c r="E119">
        <f>IF(OR(Database!$BE119="",Screener!$D$10=""),0,IF(Database!$BE119=Screener!$D$10,1,0))</f>
        <v/>
      </c>
      <c r="F119">
        <f>IF(OR(Database!$BK119="",Screener!$D$11=""),0,IF(Database!$BK119=Screener!$D$11,1,0))</f>
        <v/>
      </c>
      <c r="G119">
        <f>IF(OR(Database!$H119="",N(Screener!$D$12)&lt;=0),0,MAX(0,1-(N(Screener!$D$12)-Database!$H119)/W_RECD))</f>
        <v/>
      </c>
      <c r="H119">
        <f>IF($U$1="",0,N(ISNUMBER(SEARCH($U$1,Database!$Z119&amp;""))))+IF($V$1="",0,N(ISNUMBER(SEARCH($V$1,Database!$Z119&amp;""))))+IF($W$1="",0,N(ISNUMBER(SEARCH($W$1,Database!$Z119&amp;""))))+IF($X$1="",0,N(ISNUMBER(SEARCH($X$1,Database!$Z119&amp;""))))+IF($Y$1="",0,N(ISNUMBER(SEARCH($Y$1,Database!$Z119&amp;""))))+IF(Screener!$B$17="",0,N(ISNUMBER(SEARCH(LOWER(Screener!$B$17),Database!$Z119&amp;""))))</f>
        <v/>
      </c>
      <c r="I119">
        <f>IF(OR(N(Database!$BF119)&lt;=0,N(Screener!$D$13)&lt;=0),0,MAX(0,1-ABS(LOG10(N(Database!$BF119)/Screener!$D$13))/W_PEHW))</f>
        <v/>
      </c>
      <c r="J119">
        <f>IF(OR(N(Database!$S119)&lt;=0,N(Screener!$D$14)&lt;=0),0,MAX(0,1-ABS(LOG10(Database!$S119/Screener!$D$14))/0.6))</f>
        <v/>
      </c>
      <c r="K119">
        <f>IF(Database!$B119=Screener!$B$5,-999999,IF(ISNUMBER(SEARCH(","&amp;Database!$A119&amp;",",","&amp;SUBSTITUTE(Screener!$D$17," ","")&amp;",")),2000000,IF(IF(OR(Screener!$B$18="All",AND(Screener!$B$18="With A-share",(Database!$BK119="Y")),AND(Screener!$B$18="Without A-share",NOT((Database!$BK119="Y")))),1,0)=0,-999999,IF(Screener!$B$16="cornerstone overlap first",H119*100000,IF(Screener!$B$16="demand-similar first",J119*100000,0))+W_SUB*B119+W_SEC*C119*(1-B119)+W_SIZE*D119+W_PROF*E119+W_AH*F119+W_REC*G119+W_CS*H119+W_PE*I119)))+ROW()/1000000</f>
        <v/>
      </c>
      <c r="AA119">
        <f>Database!B109</f>
        <v/>
      </c>
      <c r="AB119">
        <f>Database!D109</f>
        <v/>
      </c>
      <c r="AC119">
        <f>Database!E109</f>
        <v/>
      </c>
      <c r="AD119">
        <f>Database!I109</f>
        <v/>
      </c>
      <c r="AE119">
        <f>Database!BE109</f>
        <v/>
      </c>
      <c r="AF119">
        <f>Database!BK109</f>
        <v/>
      </c>
      <c r="AG119">
        <f>Database!H109</f>
        <v/>
      </c>
      <c r="AH119">
        <f>Database!BF109</f>
        <v/>
      </c>
    </row>
    <row r="120">
      <c r="A120">
        <f>Database!B120</f>
        <v/>
      </c>
      <c r="B120">
        <f>IF(AND(Screener!$D$8&lt;&gt;"",Database!$E120=Screener!$D$8),1,0)</f>
        <v/>
      </c>
      <c r="C120">
        <f>IF(AND(Screener!$D$7&lt;&gt;"",Database!$D120=Screener!$D$7),1,0)</f>
        <v/>
      </c>
      <c r="D120">
        <f>IF(OR(N(Database!$I120)&lt;=0,N(Screener!$D$9)&lt;=0),0,MAX(0,1-ABS(LOG10(N(Database!$I120)/Screener!$D$9))/W_SIZEHW))</f>
        <v/>
      </c>
      <c r="E120">
        <f>IF(OR(Database!$BE120="",Screener!$D$10=""),0,IF(Database!$BE120=Screener!$D$10,1,0))</f>
        <v/>
      </c>
      <c r="F120">
        <f>IF(OR(Database!$BK120="",Screener!$D$11=""),0,IF(Database!$BK120=Screener!$D$11,1,0))</f>
        <v/>
      </c>
      <c r="G120">
        <f>IF(OR(Database!$H120="",N(Screener!$D$12)&lt;=0),0,MAX(0,1-(N(Screener!$D$12)-Database!$H120)/W_RECD))</f>
        <v/>
      </c>
      <c r="H120">
        <f>IF($U$1="",0,N(ISNUMBER(SEARCH($U$1,Database!$Z120&amp;""))))+IF($V$1="",0,N(ISNUMBER(SEARCH($V$1,Database!$Z120&amp;""))))+IF($W$1="",0,N(ISNUMBER(SEARCH($W$1,Database!$Z120&amp;""))))+IF($X$1="",0,N(ISNUMBER(SEARCH($X$1,Database!$Z120&amp;""))))+IF($Y$1="",0,N(ISNUMBER(SEARCH($Y$1,Database!$Z120&amp;""))))+IF(Screener!$B$17="",0,N(ISNUMBER(SEARCH(LOWER(Screener!$B$17),Database!$Z120&amp;""))))</f>
        <v/>
      </c>
      <c r="I120">
        <f>IF(OR(N(Database!$BF120)&lt;=0,N(Screener!$D$13)&lt;=0),0,MAX(0,1-ABS(LOG10(N(Database!$BF120)/Screener!$D$13))/W_PEHW))</f>
        <v/>
      </c>
      <c r="J120">
        <f>IF(OR(N(Database!$S120)&lt;=0,N(Screener!$D$14)&lt;=0),0,MAX(0,1-ABS(LOG10(Database!$S120/Screener!$D$14))/0.6))</f>
        <v/>
      </c>
      <c r="K120">
        <f>IF(Database!$B120=Screener!$B$5,-999999,IF(ISNUMBER(SEARCH(","&amp;Database!$A120&amp;",",","&amp;SUBSTITUTE(Screener!$D$17," ","")&amp;",")),2000000,IF(IF(OR(Screener!$B$18="All",AND(Screener!$B$18="With A-share",(Database!$BK120="Y")),AND(Screener!$B$18="Without A-share",NOT((Database!$BK120="Y")))),1,0)=0,-999999,IF(Screener!$B$16="cornerstone overlap first",H120*100000,IF(Screener!$B$16="demand-similar first",J120*100000,0))+W_SUB*B120+W_SEC*C120*(1-B120)+W_SIZE*D120+W_PROF*E120+W_AH*F120+W_REC*G120+W_CS*H120+W_PE*I120)))+ROW()/1000000</f>
        <v/>
      </c>
      <c r="AA120">
        <f>Database!B110</f>
        <v/>
      </c>
      <c r="AB120">
        <f>Database!D110</f>
        <v/>
      </c>
      <c r="AC120">
        <f>Database!E110</f>
        <v/>
      </c>
      <c r="AD120">
        <f>Database!I110</f>
        <v/>
      </c>
      <c r="AE120">
        <f>Database!BE110</f>
        <v/>
      </c>
      <c r="AF120">
        <f>Database!BK110</f>
        <v/>
      </c>
      <c r="AG120">
        <f>Database!H110</f>
        <v/>
      </c>
      <c r="AH120">
        <f>Database!BF110</f>
        <v/>
      </c>
    </row>
    <row r="121">
      <c r="A121">
        <f>Database!B121</f>
        <v/>
      </c>
      <c r="B121">
        <f>IF(AND(Screener!$D$8&lt;&gt;"",Database!$E121=Screener!$D$8),1,0)</f>
        <v/>
      </c>
      <c r="C121">
        <f>IF(AND(Screener!$D$7&lt;&gt;"",Database!$D121=Screener!$D$7),1,0)</f>
        <v/>
      </c>
      <c r="D121">
        <f>IF(OR(N(Database!$I121)&lt;=0,N(Screener!$D$9)&lt;=0),0,MAX(0,1-ABS(LOG10(N(Database!$I121)/Screener!$D$9))/W_SIZEHW))</f>
        <v/>
      </c>
      <c r="E121">
        <f>IF(OR(Database!$BE121="",Screener!$D$10=""),0,IF(Database!$BE121=Screener!$D$10,1,0))</f>
        <v/>
      </c>
      <c r="F121">
        <f>IF(OR(Database!$BK121="",Screener!$D$11=""),0,IF(Database!$BK121=Screener!$D$11,1,0))</f>
        <v/>
      </c>
      <c r="G121">
        <f>IF(OR(Database!$H121="",N(Screener!$D$12)&lt;=0),0,MAX(0,1-(N(Screener!$D$12)-Database!$H121)/W_RECD))</f>
        <v/>
      </c>
      <c r="H121">
        <f>IF($U$1="",0,N(ISNUMBER(SEARCH($U$1,Database!$Z121&amp;""))))+IF($V$1="",0,N(ISNUMBER(SEARCH($V$1,Database!$Z121&amp;""))))+IF($W$1="",0,N(ISNUMBER(SEARCH($W$1,Database!$Z121&amp;""))))+IF($X$1="",0,N(ISNUMBER(SEARCH($X$1,Database!$Z121&amp;""))))+IF($Y$1="",0,N(ISNUMBER(SEARCH($Y$1,Database!$Z121&amp;""))))+IF(Screener!$B$17="",0,N(ISNUMBER(SEARCH(LOWER(Screener!$B$17),Database!$Z121&amp;""))))</f>
        <v/>
      </c>
      <c r="I121">
        <f>IF(OR(N(Database!$BF121)&lt;=0,N(Screener!$D$13)&lt;=0),0,MAX(0,1-ABS(LOG10(N(Database!$BF121)/Screener!$D$13))/W_PEHW))</f>
        <v/>
      </c>
      <c r="J121">
        <f>IF(OR(N(Database!$S121)&lt;=0,N(Screener!$D$14)&lt;=0),0,MAX(0,1-ABS(LOG10(Database!$S121/Screener!$D$14))/0.6))</f>
        <v/>
      </c>
      <c r="K121">
        <f>IF(Database!$B121=Screener!$B$5,-999999,IF(ISNUMBER(SEARCH(","&amp;Database!$A121&amp;",",","&amp;SUBSTITUTE(Screener!$D$17," ","")&amp;",")),2000000,IF(IF(OR(Screener!$B$18="All",AND(Screener!$B$18="With A-share",(Database!$BK121="Y")),AND(Screener!$B$18="Without A-share",NOT((Database!$BK121="Y")))),1,0)=0,-999999,IF(Screener!$B$16="cornerstone overlap first",H121*100000,IF(Screener!$B$16="demand-similar first",J121*100000,0))+W_SUB*B121+W_SEC*C121*(1-B121)+W_SIZE*D121+W_PROF*E121+W_AH*F121+W_REC*G121+W_CS*H121+W_PE*I121)))+ROW()/1000000</f>
        <v/>
      </c>
      <c r="AA121">
        <f>Database!B111</f>
        <v/>
      </c>
      <c r="AB121">
        <f>Database!D111</f>
        <v/>
      </c>
      <c r="AC121">
        <f>Database!E111</f>
        <v/>
      </c>
      <c r="AD121">
        <f>Database!I111</f>
        <v/>
      </c>
      <c r="AE121">
        <f>Database!BE111</f>
        <v/>
      </c>
      <c r="AF121">
        <f>Database!BK111</f>
        <v/>
      </c>
      <c r="AG121">
        <f>Database!H111</f>
        <v/>
      </c>
      <c r="AH121">
        <f>Database!BF111</f>
        <v/>
      </c>
    </row>
    <row r="122">
      <c r="A122">
        <f>Database!B122</f>
        <v/>
      </c>
      <c r="B122">
        <f>IF(AND(Screener!$D$8&lt;&gt;"",Database!$E122=Screener!$D$8),1,0)</f>
        <v/>
      </c>
      <c r="C122">
        <f>IF(AND(Screener!$D$7&lt;&gt;"",Database!$D122=Screener!$D$7),1,0)</f>
        <v/>
      </c>
      <c r="D122">
        <f>IF(OR(N(Database!$I122)&lt;=0,N(Screener!$D$9)&lt;=0),0,MAX(0,1-ABS(LOG10(N(Database!$I122)/Screener!$D$9))/W_SIZEHW))</f>
        <v/>
      </c>
      <c r="E122">
        <f>IF(OR(Database!$BE122="",Screener!$D$10=""),0,IF(Database!$BE122=Screener!$D$10,1,0))</f>
        <v/>
      </c>
      <c r="F122">
        <f>IF(OR(Database!$BK122="",Screener!$D$11=""),0,IF(Database!$BK122=Screener!$D$11,1,0))</f>
        <v/>
      </c>
      <c r="G122">
        <f>IF(OR(Database!$H122="",N(Screener!$D$12)&lt;=0),0,MAX(0,1-(N(Screener!$D$12)-Database!$H122)/W_RECD))</f>
        <v/>
      </c>
      <c r="H122">
        <f>IF($U$1="",0,N(ISNUMBER(SEARCH($U$1,Database!$Z122&amp;""))))+IF($V$1="",0,N(ISNUMBER(SEARCH($V$1,Database!$Z122&amp;""))))+IF($W$1="",0,N(ISNUMBER(SEARCH($W$1,Database!$Z122&amp;""))))+IF($X$1="",0,N(ISNUMBER(SEARCH($X$1,Database!$Z122&amp;""))))+IF($Y$1="",0,N(ISNUMBER(SEARCH($Y$1,Database!$Z122&amp;""))))+IF(Screener!$B$17="",0,N(ISNUMBER(SEARCH(LOWER(Screener!$B$17),Database!$Z122&amp;""))))</f>
        <v/>
      </c>
      <c r="I122">
        <f>IF(OR(N(Database!$BF122)&lt;=0,N(Screener!$D$13)&lt;=0),0,MAX(0,1-ABS(LOG10(N(Database!$BF122)/Screener!$D$13))/W_PEHW))</f>
        <v/>
      </c>
      <c r="J122">
        <f>IF(OR(N(Database!$S122)&lt;=0,N(Screener!$D$14)&lt;=0),0,MAX(0,1-ABS(LOG10(Database!$S122/Screener!$D$14))/0.6))</f>
        <v/>
      </c>
      <c r="K122">
        <f>IF(Database!$B122=Screener!$B$5,-999999,IF(ISNUMBER(SEARCH(","&amp;Database!$A122&amp;",",","&amp;SUBSTITUTE(Screener!$D$17," ","")&amp;",")),2000000,IF(IF(OR(Screener!$B$18="All",AND(Screener!$B$18="With A-share",(Database!$BK122="Y")),AND(Screener!$B$18="Without A-share",NOT((Database!$BK122="Y")))),1,0)=0,-999999,IF(Screener!$B$16="cornerstone overlap first",H122*100000,IF(Screener!$B$16="demand-similar first",J122*100000,0))+W_SUB*B122+W_SEC*C122*(1-B122)+W_SIZE*D122+W_PROF*E122+W_AH*F122+W_REC*G122+W_CS*H122+W_PE*I122)))+ROW()/1000000</f>
        <v/>
      </c>
      <c r="AA122">
        <f>Database!B112</f>
        <v/>
      </c>
      <c r="AB122">
        <f>Database!D112</f>
        <v/>
      </c>
      <c r="AC122">
        <f>Database!E112</f>
        <v/>
      </c>
      <c r="AD122">
        <f>Database!I112</f>
        <v/>
      </c>
      <c r="AE122">
        <f>Database!BE112</f>
        <v/>
      </c>
      <c r="AF122">
        <f>Database!BK112</f>
        <v/>
      </c>
      <c r="AG122">
        <f>Database!H112</f>
        <v/>
      </c>
      <c r="AH122">
        <f>Database!BF112</f>
        <v/>
      </c>
    </row>
    <row r="123">
      <c r="A123">
        <f>Database!B123</f>
        <v/>
      </c>
      <c r="B123">
        <f>IF(AND(Screener!$D$8&lt;&gt;"",Database!$E123=Screener!$D$8),1,0)</f>
        <v/>
      </c>
      <c r="C123">
        <f>IF(AND(Screener!$D$7&lt;&gt;"",Database!$D123=Screener!$D$7),1,0)</f>
        <v/>
      </c>
      <c r="D123">
        <f>IF(OR(N(Database!$I123)&lt;=0,N(Screener!$D$9)&lt;=0),0,MAX(0,1-ABS(LOG10(N(Database!$I123)/Screener!$D$9))/W_SIZEHW))</f>
        <v/>
      </c>
      <c r="E123">
        <f>IF(OR(Database!$BE123="",Screener!$D$10=""),0,IF(Database!$BE123=Screener!$D$10,1,0))</f>
        <v/>
      </c>
      <c r="F123">
        <f>IF(OR(Database!$BK123="",Screener!$D$11=""),0,IF(Database!$BK123=Screener!$D$11,1,0))</f>
        <v/>
      </c>
      <c r="G123">
        <f>IF(OR(Database!$H123="",N(Screener!$D$12)&lt;=0),0,MAX(0,1-(N(Screener!$D$12)-Database!$H123)/W_RECD))</f>
        <v/>
      </c>
      <c r="H123">
        <f>IF($U$1="",0,N(ISNUMBER(SEARCH($U$1,Database!$Z123&amp;""))))+IF($V$1="",0,N(ISNUMBER(SEARCH($V$1,Database!$Z123&amp;""))))+IF($W$1="",0,N(ISNUMBER(SEARCH($W$1,Database!$Z123&amp;""))))+IF($X$1="",0,N(ISNUMBER(SEARCH($X$1,Database!$Z123&amp;""))))+IF($Y$1="",0,N(ISNUMBER(SEARCH($Y$1,Database!$Z123&amp;""))))+IF(Screener!$B$17="",0,N(ISNUMBER(SEARCH(LOWER(Screener!$B$17),Database!$Z123&amp;""))))</f>
        <v/>
      </c>
      <c r="I123">
        <f>IF(OR(N(Database!$BF123)&lt;=0,N(Screener!$D$13)&lt;=0),0,MAX(0,1-ABS(LOG10(N(Database!$BF123)/Screener!$D$13))/W_PEHW))</f>
        <v/>
      </c>
      <c r="J123">
        <f>IF(OR(N(Database!$S123)&lt;=0,N(Screener!$D$14)&lt;=0),0,MAX(0,1-ABS(LOG10(Database!$S123/Screener!$D$14))/0.6))</f>
        <v/>
      </c>
      <c r="K123">
        <f>IF(Database!$B123=Screener!$B$5,-999999,IF(ISNUMBER(SEARCH(","&amp;Database!$A123&amp;",",","&amp;SUBSTITUTE(Screener!$D$17," ","")&amp;",")),2000000,IF(IF(OR(Screener!$B$18="All",AND(Screener!$B$18="With A-share",(Database!$BK123="Y")),AND(Screener!$B$18="Without A-share",NOT((Database!$BK123="Y")))),1,0)=0,-999999,IF(Screener!$B$16="cornerstone overlap first",H123*100000,IF(Screener!$B$16="demand-similar first",J123*100000,0))+W_SUB*B123+W_SEC*C123*(1-B123)+W_SIZE*D123+W_PROF*E123+W_AH*F123+W_REC*G123+W_CS*H123+W_PE*I123)))+ROW()/1000000</f>
        <v/>
      </c>
      <c r="AA123">
        <f>Database!B113</f>
        <v/>
      </c>
      <c r="AB123">
        <f>Database!D113</f>
        <v/>
      </c>
      <c r="AC123">
        <f>Database!E113</f>
        <v/>
      </c>
      <c r="AD123">
        <f>Database!I113</f>
        <v/>
      </c>
      <c r="AE123">
        <f>Database!BE113</f>
        <v/>
      </c>
      <c r="AF123">
        <f>Database!BK113</f>
        <v/>
      </c>
      <c r="AG123">
        <f>Database!H113</f>
        <v/>
      </c>
      <c r="AH123">
        <f>Database!BF113</f>
        <v/>
      </c>
    </row>
    <row r="124">
      <c r="A124">
        <f>Database!B124</f>
        <v/>
      </c>
      <c r="B124">
        <f>IF(AND(Screener!$D$8&lt;&gt;"",Database!$E124=Screener!$D$8),1,0)</f>
        <v/>
      </c>
      <c r="C124">
        <f>IF(AND(Screener!$D$7&lt;&gt;"",Database!$D124=Screener!$D$7),1,0)</f>
        <v/>
      </c>
      <c r="D124">
        <f>IF(OR(N(Database!$I124)&lt;=0,N(Screener!$D$9)&lt;=0),0,MAX(0,1-ABS(LOG10(N(Database!$I124)/Screener!$D$9))/W_SIZEHW))</f>
        <v/>
      </c>
      <c r="E124">
        <f>IF(OR(Database!$BE124="",Screener!$D$10=""),0,IF(Database!$BE124=Screener!$D$10,1,0))</f>
        <v/>
      </c>
      <c r="F124">
        <f>IF(OR(Database!$BK124="",Screener!$D$11=""),0,IF(Database!$BK124=Screener!$D$11,1,0))</f>
        <v/>
      </c>
      <c r="G124">
        <f>IF(OR(Database!$H124="",N(Screener!$D$12)&lt;=0),0,MAX(0,1-(N(Screener!$D$12)-Database!$H124)/W_RECD))</f>
        <v/>
      </c>
      <c r="H124">
        <f>IF($U$1="",0,N(ISNUMBER(SEARCH($U$1,Database!$Z124&amp;""))))+IF($V$1="",0,N(ISNUMBER(SEARCH($V$1,Database!$Z124&amp;""))))+IF($W$1="",0,N(ISNUMBER(SEARCH($W$1,Database!$Z124&amp;""))))+IF($X$1="",0,N(ISNUMBER(SEARCH($X$1,Database!$Z124&amp;""))))+IF($Y$1="",0,N(ISNUMBER(SEARCH($Y$1,Database!$Z124&amp;""))))+IF(Screener!$B$17="",0,N(ISNUMBER(SEARCH(LOWER(Screener!$B$17),Database!$Z124&amp;""))))</f>
        <v/>
      </c>
      <c r="I124">
        <f>IF(OR(N(Database!$BF124)&lt;=0,N(Screener!$D$13)&lt;=0),0,MAX(0,1-ABS(LOG10(N(Database!$BF124)/Screener!$D$13))/W_PEHW))</f>
        <v/>
      </c>
      <c r="J124">
        <f>IF(OR(N(Database!$S124)&lt;=0,N(Screener!$D$14)&lt;=0),0,MAX(0,1-ABS(LOG10(Database!$S124/Screener!$D$14))/0.6))</f>
        <v/>
      </c>
      <c r="K124">
        <f>IF(Database!$B124=Screener!$B$5,-999999,IF(ISNUMBER(SEARCH(","&amp;Database!$A124&amp;",",","&amp;SUBSTITUTE(Screener!$D$17," ","")&amp;",")),2000000,IF(IF(OR(Screener!$B$18="All",AND(Screener!$B$18="With A-share",(Database!$BK124="Y")),AND(Screener!$B$18="Without A-share",NOT((Database!$BK124="Y")))),1,0)=0,-999999,IF(Screener!$B$16="cornerstone overlap first",H124*100000,IF(Screener!$B$16="demand-similar first",J124*100000,0))+W_SUB*B124+W_SEC*C124*(1-B124)+W_SIZE*D124+W_PROF*E124+W_AH*F124+W_REC*G124+W_CS*H124+W_PE*I124)))+ROW()/1000000</f>
        <v/>
      </c>
      <c r="AA124">
        <f>Database!B114</f>
        <v/>
      </c>
      <c r="AB124">
        <f>Database!D114</f>
        <v/>
      </c>
      <c r="AC124">
        <f>Database!E114</f>
        <v/>
      </c>
      <c r="AD124">
        <f>Database!I114</f>
        <v/>
      </c>
      <c r="AE124">
        <f>Database!BE114</f>
        <v/>
      </c>
      <c r="AF124">
        <f>Database!BK114</f>
        <v/>
      </c>
      <c r="AG124">
        <f>Database!H114</f>
        <v/>
      </c>
      <c r="AH124">
        <f>Database!BF114</f>
        <v/>
      </c>
    </row>
    <row r="125">
      <c r="A125">
        <f>Database!B125</f>
        <v/>
      </c>
      <c r="B125">
        <f>IF(AND(Screener!$D$8&lt;&gt;"",Database!$E125=Screener!$D$8),1,0)</f>
        <v/>
      </c>
      <c r="C125">
        <f>IF(AND(Screener!$D$7&lt;&gt;"",Database!$D125=Screener!$D$7),1,0)</f>
        <v/>
      </c>
      <c r="D125">
        <f>IF(OR(N(Database!$I125)&lt;=0,N(Screener!$D$9)&lt;=0),0,MAX(0,1-ABS(LOG10(N(Database!$I125)/Screener!$D$9))/W_SIZEHW))</f>
        <v/>
      </c>
      <c r="E125">
        <f>IF(OR(Database!$BE125="",Screener!$D$10=""),0,IF(Database!$BE125=Screener!$D$10,1,0))</f>
        <v/>
      </c>
      <c r="F125">
        <f>IF(OR(Database!$BK125="",Screener!$D$11=""),0,IF(Database!$BK125=Screener!$D$11,1,0))</f>
        <v/>
      </c>
      <c r="G125">
        <f>IF(OR(Database!$H125="",N(Screener!$D$12)&lt;=0),0,MAX(0,1-(N(Screener!$D$12)-Database!$H125)/W_RECD))</f>
        <v/>
      </c>
      <c r="H125">
        <f>IF($U$1="",0,N(ISNUMBER(SEARCH($U$1,Database!$Z125&amp;""))))+IF($V$1="",0,N(ISNUMBER(SEARCH($V$1,Database!$Z125&amp;""))))+IF($W$1="",0,N(ISNUMBER(SEARCH($W$1,Database!$Z125&amp;""))))+IF($X$1="",0,N(ISNUMBER(SEARCH($X$1,Database!$Z125&amp;""))))+IF($Y$1="",0,N(ISNUMBER(SEARCH($Y$1,Database!$Z125&amp;""))))+IF(Screener!$B$17="",0,N(ISNUMBER(SEARCH(LOWER(Screener!$B$17),Database!$Z125&amp;""))))</f>
        <v/>
      </c>
      <c r="I125">
        <f>IF(OR(N(Database!$BF125)&lt;=0,N(Screener!$D$13)&lt;=0),0,MAX(0,1-ABS(LOG10(N(Database!$BF125)/Screener!$D$13))/W_PEHW))</f>
        <v/>
      </c>
      <c r="J125">
        <f>IF(OR(N(Database!$S125)&lt;=0,N(Screener!$D$14)&lt;=0),0,MAX(0,1-ABS(LOG10(Database!$S125/Screener!$D$14))/0.6))</f>
        <v/>
      </c>
      <c r="K125">
        <f>IF(Database!$B125=Screener!$B$5,-999999,IF(ISNUMBER(SEARCH(","&amp;Database!$A125&amp;",",","&amp;SUBSTITUTE(Screener!$D$17," ","")&amp;",")),2000000,IF(IF(OR(Screener!$B$18="All",AND(Screener!$B$18="With A-share",(Database!$BK125="Y")),AND(Screener!$B$18="Without A-share",NOT((Database!$BK125="Y")))),1,0)=0,-999999,IF(Screener!$B$16="cornerstone overlap first",H125*100000,IF(Screener!$B$16="demand-similar first",J125*100000,0))+W_SUB*B125+W_SEC*C125*(1-B125)+W_SIZE*D125+W_PROF*E125+W_AH*F125+W_REC*G125+W_CS*H125+W_PE*I125)))+ROW()/1000000</f>
        <v/>
      </c>
      <c r="AA125">
        <f>Database!B115</f>
        <v/>
      </c>
      <c r="AB125">
        <f>Database!D115</f>
        <v/>
      </c>
      <c r="AC125">
        <f>Database!E115</f>
        <v/>
      </c>
      <c r="AD125">
        <f>Database!I115</f>
        <v/>
      </c>
      <c r="AE125">
        <f>Database!BE115</f>
        <v/>
      </c>
      <c r="AF125">
        <f>Database!BK115</f>
        <v/>
      </c>
      <c r="AG125">
        <f>Database!H115</f>
        <v/>
      </c>
      <c r="AH125">
        <f>Database!BF115</f>
        <v/>
      </c>
    </row>
    <row r="126">
      <c r="A126">
        <f>Database!B126</f>
        <v/>
      </c>
      <c r="B126">
        <f>IF(AND(Screener!$D$8&lt;&gt;"",Database!$E126=Screener!$D$8),1,0)</f>
        <v/>
      </c>
      <c r="C126">
        <f>IF(AND(Screener!$D$7&lt;&gt;"",Database!$D126=Screener!$D$7),1,0)</f>
        <v/>
      </c>
      <c r="D126">
        <f>IF(OR(N(Database!$I126)&lt;=0,N(Screener!$D$9)&lt;=0),0,MAX(0,1-ABS(LOG10(N(Database!$I126)/Screener!$D$9))/W_SIZEHW))</f>
        <v/>
      </c>
      <c r="E126">
        <f>IF(OR(Database!$BE126="",Screener!$D$10=""),0,IF(Database!$BE126=Screener!$D$10,1,0))</f>
        <v/>
      </c>
      <c r="F126">
        <f>IF(OR(Database!$BK126="",Screener!$D$11=""),0,IF(Database!$BK126=Screener!$D$11,1,0))</f>
        <v/>
      </c>
      <c r="G126">
        <f>IF(OR(Database!$H126="",N(Screener!$D$12)&lt;=0),0,MAX(0,1-(N(Screener!$D$12)-Database!$H126)/W_RECD))</f>
        <v/>
      </c>
      <c r="H126">
        <f>IF($U$1="",0,N(ISNUMBER(SEARCH($U$1,Database!$Z126&amp;""))))+IF($V$1="",0,N(ISNUMBER(SEARCH($V$1,Database!$Z126&amp;""))))+IF($W$1="",0,N(ISNUMBER(SEARCH($W$1,Database!$Z126&amp;""))))+IF($X$1="",0,N(ISNUMBER(SEARCH($X$1,Database!$Z126&amp;""))))+IF($Y$1="",0,N(ISNUMBER(SEARCH($Y$1,Database!$Z126&amp;""))))+IF(Screener!$B$17="",0,N(ISNUMBER(SEARCH(LOWER(Screener!$B$17),Database!$Z126&amp;""))))</f>
        <v/>
      </c>
      <c r="I126">
        <f>IF(OR(N(Database!$BF126)&lt;=0,N(Screener!$D$13)&lt;=0),0,MAX(0,1-ABS(LOG10(N(Database!$BF126)/Screener!$D$13))/W_PEHW))</f>
        <v/>
      </c>
      <c r="J126">
        <f>IF(OR(N(Database!$S126)&lt;=0,N(Screener!$D$14)&lt;=0),0,MAX(0,1-ABS(LOG10(Database!$S126/Screener!$D$14))/0.6))</f>
        <v/>
      </c>
      <c r="K126">
        <f>IF(Database!$B126=Screener!$B$5,-999999,IF(ISNUMBER(SEARCH(","&amp;Database!$A126&amp;",",","&amp;SUBSTITUTE(Screener!$D$17," ","")&amp;",")),2000000,IF(IF(OR(Screener!$B$18="All",AND(Screener!$B$18="With A-share",(Database!$BK126="Y")),AND(Screener!$B$18="Without A-share",NOT((Database!$BK126="Y")))),1,0)=0,-999999,IF(Screener!$B$16="cornerstone overlap first",H126*100000,IF(Screener!$B$16="demand-similar first",J126*100000,0))+W_SUB*B126+W_SEC*C126*(1-B126)+W_SIZE*D126+W_PROF*E126+W_AH*F126+W_REC*G126+W_CS*H126+W_PE*I126)))+ROW()/1000000</f>
        <v/>
      </c>
      <c r="AA126">
        <f>Database!B116</f>
        <v/>
      </c>
      <c r="AB126">
        <f>Database!D116</f>
        <v/>
      </c>
      <c r="AC126">
        <f>Database!E116</f>
        <v/>
      </c>
      <c r="AD126">
        <f>Database!I116</f>
        <v/>
      </c>
      <c r="AE126">
        <f>Database!BE116</f>
        <v/>
      </c>
      <c r="AF126">
        <f>Database!BK116</f>
        <v/>
      </c>
      <c r="AG126">
        <f>Database!H116</f>
        <v/>
      </c>
      <c r="AH126">
        <f>Database!BF116</f>
        <v/>
      </c>
    </row>
    <row r="127">
      <c r="A127">
        <f>Database!B127</f>
        <v/>
      </c>
      <c r="B127">
        <f>IF(AND(Screener!$D$8&lt;&gt;"",Database!$E127=Screener!$D$8),1,0)</f>
        <v/>
      </c>
      <c r="C127">
        <f>IF(AND(Screener!$D$7&lt;&gt;"",Database!$D127=Screener!$D$7),1,0)</f>
        <v/>
      </c>
      <c r="D127">
        <f>IF(OR(N(Database!$I127)&lt;=0,N(Screener!$D$9)&lt;=0),0,MAX(0,1-ABS(LOG10(N(Database!$I127)/Screener!$D$9))/W_SIZEHW))</f>
        <v/>
      </c>
      <c r="E127">
        <f>IF(OR(Database!$BE127="",Screener!$D$10=""),0,IF(Database!$BE127=Screener!$D$10,1,0))</f>
        <v/>
      </c>
      <c r="F127">
        <f>IF(OR(Database!$BK127="",Screener!$D$11=""),0,IF(Database!$BK127=Screener!$D$11,1,0))</f>
        <v/>
      </c>
      <c r="G127">
        <f>IF(OR(Database!$H127="",N(Screener!$D$12)&lt;=0),0,MAX(0,1-(N(Screener!$D$12)-Database!$H127)/W_RECD))</f>
        <v/>
      </c>
      <c r="H127">
        <f>IF($U$1="",0,N(ISNUMBER(SEARCH($U$1,Database!$Z127&amp;""))))+IF($V$1="",0,N(ISNUMBER(SEARCH($V$1,Database!$Z127&amp;""))))+IF($W$1="",0,N(ISNUMBER(SEARCH($W$1,Database!$Z127&amp;""))))+IF($X$1="",0,N(ISNUMBER(SEARCH($X$1,Database!$Z127&amp;""))))+IF($Y$1="",0,N(ISNUMBER(SEARCH($Y$1,Database!$Z127&amp;""))))+IF(Screener!$B$17="",0,N(ISNUMBER(SEARCH(LOWER(Screener!$B$17),Database!$Z127&amp;""))))</f>
        <v/>
      </c>
      <c r="I127">
        <f>IF(OR(N(Database!$BF127)&lt;=0,N(Screener!$D$13)&lt;=0),0,MAX(0,1-ABS(LOG10(N(Database!$BF127)/Screener!$D$13))/W_PEHW))</f>
        <v/>
      </c>
      <c r="J127">
        <f>IF(OR(N(Database!$S127)&lt;=0,N(Screener!$D$14)&lt;=0),0,MAX(0,1-ABS(LOG10(Database!$S127/Screener!$D$14))/0.6))</f>
        <v/>
      </c>
      <c r="K127">
        <f>IF(Database!$B127=Screener!$B$5,-999999,IF(ISNUMBER(SEARCH(","&amp;Database!$A127&amp;",",","&amp;SUBSTITUTE(Screener!$D$17," ","")&amp;",")),2000000,IF(IF(OR(Screener!$B$18="All",AND(Screener!$B$18="With A-share",(Database!$BK127="Y")),AND(Screener!$B$18="Without A-share",NOT((Database!$BK127="Y")))),1,0)=0,-999999,IF(Screener!$B$16="cornerstone overlap first",H127*100000,IF(Screener!$B$16="demand-similar first",J127*100000,0))+W_SUB*B127+W_SEC*C127*(1-B127)+W_SIZE*D127+W_PROF*E127+W_AH*F127+W_REC*G127+W_CS*H127+W_PE*I127)))+ROW()/1000000</f>
        <v/>
      </c>
      <c r="AA127">
        <f>Database!B117</f>
        <v/>
      </c>
      <c r="AB127">
        <f>Database!D117</f>
        <v/>
      </c>
      <c r="AC127">
        <f>Database!E117</f>
        <v/>
      </c>
      <c r="AD127">
        <f>Database!I117</f>
        <v/>
      </c>
      <c r="AE127">
        <f>Database!BE117</f>
        <v/>
      </c>
      <c r="AF127">
        <f>Database!BK117</f>
        <v/>
      </c>
      <c r="AG127">
        <f>Database!H117</f>
        <v/>
      </c>
      <c r="AH127">
        <f>Database!BF117</f>
        <v/>
      </c>
    </row>
    <row r="128">
      <c r="A128">
        <f>Database!B128</f>
        <v/>
      </c>
      <c r="B128">
        <f>IF(AND(Screener!$D$8&lt;&gt;"",Database!$E128=Screener!$D$8),1,0)</f>
        <v/>
      </c>
      <c r="C128">
        <f>IF(AND(Screener!$D$7&lt;&gt;"",Database!$D128=Screener!$D$7),1,0)</f>
        <v/>
      </c>
      <c r="D128">
        <f>IF(OR(N(Database!$I128)&lt;=0,N(Screener!$D$9)&lt;=0),0,MAX(0,1-ABS(LOG10(N(Database!$I128)/Screener!$D$9))/W_SIZEHW))</f>
        <v/>
      </c>
      <c r="E128">
        <f>IF(OR(Database!$BE128="",Screener!$D$10=""),0,IF(Database!$BE128=Screener!$D$10,1,0))</f>
        <v/>
      </c>
      <c r="F128">
        <f>IF(OR(Database!$BK128="",Screener!$D$11=""),0,IF(Database!$BK128=Screener!$D$11,1,0))</f>
        <v/>
      </c>
      <c r="G128">
        <f>IF(OR(Database!$H128="",N(Screener!$D$12)&lt;=0),0,MAX(0,1-(N(Screener!$D$12)-Database!$H128)/W_RECD))</f>
        <v/>
      </c>
      <c r="H128">
        <f>IF($U$1="",0,N(ISNUMBER(SEARCH($U$1,Database!$Z128&amp;""))))+IF($V$1="",0,N(ISNUMBER(SEARCH($V$1,Database!$Z128&amp;""))))+IF($W$1="",0,N(ISNUMBER(SEARCH($W$1,Database!$Z128&amp;""))))+IF($X$1="",0,N(ISNUMBER(SEARCH($X$1,Database!$Z128&amp;""))))+IF($Y$1="",0,N(ISNUMBER(SEARCH($Y$1,Database!$Z128&amp;""))))+IF(Screener!$B$17="",0,N(ISNUMBER(SEARCH(LOWER(Screener!$B$17),Database!$Z128&amp;""))))</f>
        <v/>
      </c>
      <c r="I128">
        <f>IF(OR(N(Database!$BF128)&lt;=0,N(Screener!$D$13)&lt;=0),0,MAX(0,1-ABS(LOG10(N(Database!$BF128)/Screener!$D$13))/W_PEHW))</f>
        <v/>
      </c>
      <c r="J128">
        <f>IF(OR(N(Database!$S128)&lt;=0,N(Screener!$D$14)&lt;=0),0,MAX(0,1-ABS(LOG10(Database!$S128/Screener!$D$14))/0.6))</f>
        <v/>
      </c>
      <c r="K128">
        <f>IF(Database!$B128=Screener!$B$5,-999999,IF(ISNUMBER(SEARCH(","&amp;Database!$A128&amp;",",","&amp;SUBSTITUTE(Screener!$D$17," ","")&amp;",")),2000000,IF(IF(OR(Screener!$B$18="All",AND(Screener!$B$18="With A-share",(Database!$BK128="Y")),AND(Screener!$B$18="Without A-share",NOT((Database!$BK128="Y")))),1,0)=0,-999999,IF(Screener!$B$16="cornerstone overlap first",H128*100000,IF(Screener!$B$16="demand-similar first",J128*100000,0))+W_SUB*B128+W_SEC*C128*(1-B128)+W_SIZE*D128+W_PROF*E128+W_AH*F128+W_REC*G128+W_CS*H128+W_PE*I128)))+ROW()/1000000</f>
        <v/>
      </c>
      <c r="AA128">
        <f>Database!B118</f>
        <v/>
      </c>
      <c r="AB128">
        <f>Database!D118</f>
        <v/>
      </c>
      <c r="AC128">
        <f>Database!E118</f>
        <v/>
      </c>
      <c r="AD128">
        <f>Database!I118</f>
        <v/>
      </c>
      <c r="AE128">
        <f>Database!BE118</f>
        <v/>
      </c>
      <c r="AF128">
        <f>Database!BK118</f>
        <v/>
      </c>
      <c r="AG128">
        <f>Database!H118</f>
        <v/>
      </c>
      <c r="AH128">
        <f>Database!BF118</f>
        <v/>
      </c>
    </row>
    <row r="129">
      <c r="A129">
        <f>Database!B129</f>
        <v/>
      </c>
      <c r="B129">
        <f>IF(AND(Screener!$D$8&lt;&gt;"",Database!$E129=Screener!$D$8),1,0)</f>
        <v/>
      </c>
      <c r="C129">
        <f>IF(AND(Screener!$D$7&lt;&gt;"",Database!$D129=Screener!$D$7),1,0)</f>
        <v/>
      </c>
      <c r="D129">
        <f>IF(OR(N(Database!$I129)&lt;=0,N(Screener!$D$9)&lt;=0),0,MAX(0,1-ABS(LOG10(N(Database!$I129)/Screener!$D$9))/W_SIZEHW))</f>
        <v/>
      </c>
      <c r="E129">
        <f>IF(OR(Database!$BE129="",Screener!$D$10=""),0,IF(Database!$BE129=Screener!$D$10,1,0))</f>
        <v/>
      </c>
      <c r="F129">
        <f>IF(OR(Database!$BK129="",Screener!$D$11=""),0,IF(Database!$BK129=Screener!$D$11,1,0))</f>
        <v/>
      </c>
      <c r="G129">
        <f>IF(OR(Database!$H129="",N(Screener!$D$12)&lt;=0),0,MAX(0,1-(N(Screener!$D$12)-Database!$H129)/W_RECD))</f>
        <v/>
      </c>
      <c r="H129">
        <f>IF($U$1="",0,N(ISNUMBER(SEARCH($U$1,Database!$Z129&amp;""))))+IF($V$1="",0,N(ISNUMBER(SEARCH($V$1,Database!$Z129&amp;""))))+IF($W$1="",0,N(ISNUMBER(SEARCH($W$1,Database!$Z129&amp;""))))+IF($X$1="",0,N(ISNUMBER(SEARCH($X$1,Database!$Z129&amp;""))))+IF($Y$1="",0,N(ISNUMBER(SEARCH($Y$1,Database!$Z129&amp;""))))+IF(Screener!$B$17="",0,N(ISNUMBER(SEARCH(LOWER(Screener!$B$17),Database!$Z129&amp;""))))</f>
        <v/>
      </c>
      <c r="I129">
        <f>IF(OR(N(Database!$BF129)&lt;=0,N(Screener!$D$13)&lt;=0),0,MAX(0,1-ABS(LOG10(N(Database!$BF129)/Screener!$D$13))/W_PEHW))</f>
        <v/>
      </c>
      <c r="J129">
        <f>IF(OR(N(Database!$S129)&lt;=0,N(Screener!$D$14)&lt;=0),0,MAX(0,1-ABS(LOG10(Database!$S129/Screener!$D$14))/0.6))</f>
        <v/>
      </c>
      <c r="K129">
        <f>IF(Database!$B129=Screener!$B$5,-999999,IF(ISNUMBER(SEARCH(","&amp;Database!$A129&amp;",",","&amp;SUBSTITUTE(Screener!$D$17," ","")&amp;",")),2000000,IF(IF(OR(Screener!$B$18="All",AND(Screener!$B$18="With A-share",(Database!$BK129="Y")),AND(Screener!$B$18="Without A-share",NOT((Database!$BK129="Y")))),1,0)=0,-999999,IF(Screener!$B$16="cornerstone overlap first",H129*100000,IF(Screener!$B$16="demand-similar first",J129*100000,0))+W_SUB*B129+W_SEC*C129*(1-B129)+W_SIZE*D129+W_PROF*E129+W_AH*F129+W_REC*G129+W_CS*H129+W_PE*I129)))+ROW()/1000000</f>
        <v/>
      </c>
      <c r="AA129">
        <f>Database!B119</f>
        <v/>
      </c>
      <c r="AB129">
        <f>Database!D119</f>
        <v/>
      </c>
      <c r="AC129">
        <f>Database!E119</f>
        <v/>
      </c>
      <c r="AD129">
        <f>Database!I119</f>
        <v/>
      </c>
      <c r="AE129">
        <f>Database!BE119</f>
        <v/>
      </c>
      <c r="AF129">
        <f>Database!BK119</f>
        <v/>
      </c>
      <c r="AG129">
        <f>Database!H119</f>
        <v/>
      </c>
      <c r="AH129">
        <f>Database!BF119</f>
        <v/>
      </c>
    </row>
    <row r="130">
      <c r="A130">
        <f>Database!B130</f>
        <v/>
      </c>
      <c r="B130">
        <f>IF(AND(Screener!$D$8&lt;&gt;"",Database!$E130=Screener!$D$8),1,0)</f>
        <v/>
      </c>
      <c r="C130">
        <f>IF(AND(Screener!$D$7&lt;&gt;"",Database!$D130=Screener!$D$7),1,0)</f>
        <v/>
      </c>
      <c r="D130">
        <f>IF(OR(N(Database!$I130)&lt;=0,N(Screener!$D$9)&lt;=0),0,MAX(0,1-ABS(LOG10(N(Database!$I130)/Screener!$D$9))/W_SIZEHW))</f>
        <v/>
      </c>
      <c r="E130">
        <f>IF(OR(Database!$BE130="",Screener!$D$10=""),0,IF(Database!$BE130=Screener!$D$10,1,0))</f>
        <v/>
      </c>
      <c r="F130">
        <f>IF(OR(Database!$BK130="",Screener!$D$11=""),0,IF(Database!$BK130=Screener!$D$11,1,0))</f>
        <v/>
      </c>
      <c r="G130">
        <f>IF(OR(Database!$H130="",N(Screener!$D$12)&lt;=0),0,MAX(0,1-(N(Screener!$D$12)-Database!$H130)/W_RECD))</f>
        <v/>
      </c>
      <c r="H130">
        <f>IF($U$1="",0,N(ISNUMBER(SEARCH($U$1,Database!$Z130&amp;""))))+IF($V$1="",0,N(ISNUMBER(SEARCH($V$1,Database!$Z130&amp;""))))+IF($W$1="",0,N(ISNUMBER(SEARCH($W$1,Database!$Z130&amp;""))))+IF($X$1="",0,N(ISNUMBER(SEARCH($X$1,Database!$Z130&amp;""))))+IF($Y$1="",0,N(ISNUMBER(SEARCH($Y$1,Database!$Z130&amp;""))))+IF(Screener!$B$17="",0,N(ISNUMBER(SEARCH(LOWER(Screener!$B$17),Database!$Z130&amp;""))))</f>
        <v/>
      </c>
      <c r="I130">
        <f>IF(OR(N(Database!$BF130)&lt;=0,N(Screener!$D$13)&lt;=0),0,MAX(0,1-ABS(LOG10(N(Database!$BF130)/Screener!$D$13))/W_PEHW))</f>
        <v/>
      </c>
      <c r="J130">
        <f>IF(OR(N(Database!$S130)&lt;=0,N(Screener!$D$14)&lt;=0),0,MAX(0,1-ABS(LOG10(Database!$S130/Screener!$D$14))/0.6))</f>
        <v/>
      </c>
      <c r="K130">
        <f>IF(Database!$B130=Screener!$B$5,-999999,IF(ISNUMBER(SEARCH(","&amp;Database!$A130&amp;",",","&amp;SUBSTITUTE(Screener!$D$17," ","")&amp;",")),2000000,IF(IF(OR(Screener!$B$18="All",AND(Screener!$B$18="With A-share",(Database!$BK130="Y")),AND(Screener!$B$18="Without A-share",NOT((Database!$BK130="Y")))),1,0)=0,-999999,IF(Screener!$B$16="cornerstone overlap first",H130*100000,IF(Screener!$B$16="demand-similar first",J130*100000,0))+W_SUB*B130+W_SEC*C130*(1-B130)+W_SIZE*D130+W_PROF*E130+W_AH*F130+W_REC*G130+W_CS*H130+W_PE*I130)))+ROW()/1000000</f>
        <v/>
      </c>
      <c r="AA130">
        <f>Database!B120</f>
        <v/>
      </c>
      <c r="AB130">
        <f>Database!D120</f>
        <v/>
      </c>
      <c r="AC130">
        <f>Database!E120</f>
        <v/>
      </c>
      <c r="AD130">
        <f>Database!I120</f>
        <v/>
      </c>
      <c r="AE130">
        <f>Database!BE120</f>
        <v/>
      </c>
      <c r="AF130">
        <f>Database!BK120</f>
        <v/>
      </c>
      <c r="AG130">
        <f>Database!H120</f>
        <v/>
      </c>
      <c r="AH130">
        <f>Database!BF120</f>
        <v/>
      </c>
    </row>
    <row r="131">
      <c r="A131">
        <f>Database!B131</f>
        <v/>
      </c>
      <c r="B131">
        <f>IF(AND(Screener!$D$8&lt;&gt;"",Database!$E131=Screener!$D$8),1,0)</f>
        <v/>
      </c>
      <c r="C131">
        <f>IF(AND(Screener!$D$7&lt;&gt;"",Database!$D131=Screener!$D$7),1,0)</f>
        <v/>
      </c>
      <c r="D131">
        <f>IF(OR(N(Database!$I131)&lt;=0,N(Screener!$D$9)&lt;=0),0,MAX(0,1-ABS(LOG10(N(Database!$I131)/Screener!$D$9))/W_SIZEHW))</f>
        <v/>
      </c>
      <c r="E131">
        <f>IF(OR(Database!$BE131="",Screener!$D$10=""),0,IF(Database!$BE131=Screener!$D$10,1,0))</f>
        <v/>
      </c>
      <c r="F131">
        <f>IF(OR(Database!$BK131="",Screener!$D$11=""),0,IF(Database!$BK131=Screener!$D$11,1,0))</f>
        <v/>
      </c>
      <c r="G131">
        <f>IF(OR(Database!$H131="",N(Screener!$D$12)&lt;=0),0,MAX(0,1-(N(Screener!$D$12)-Database!$H131)/W_RECD))</f>
        <v/>
      </c>
      <c r="H131">
        <f>IF($U$1="",0,N(ISNUMBER(SEARCH($U$1,Database!$Z131&amp;""))))+IF($V$1="",0,N(ISNUMBER(SEARCH($V$1,Database!$Z131&amp;""))))+IF($W$1="",0,N(ISNUMBER(SEARCH($W$1,Database!$Z131&amp;""))))+IF($X$1="",0,N(ISNUMBER(SEARCH($X$1,Database!$Z131&amp;""))))+IF($Y$1="",0,N(ISNUMBER(SEARCH($Y$1,Database!$Z131&amp;""))))+IF(Screener!$B$17="",0,N(ISNUMBER(SEARCH(LOWER(Screener!$B$17),Database!$Z131&amp;""))))</f>
        <v/>
      </c>
      <c r="I131">
        <f>IF(OR(N(Database!$BF131)&lt;=0,N(Screener!$D$13)&lt;=0),0,MAX(0,1-ABS(LOG10(N(Database!$BF131)/Screener!$D$13))/W_PEHW))</f>
        <v/>
      </c>
      <c r="J131">
        <f>IF(OR(N(Database!$S131)&lt;=0,N(Screener!$D$14)&lt;=0),0,MAX(0,1-ABS(LOG10(Database!$S131/Screener!$D$14))/0.6))</f>
        <v/>
      </c>
      <c r="K131">
        <f>IF(Database!$B131=Screener!$B$5,-999999,IF(ISNUMBER(SEARCH(","&amp;Database!$A131&amp;",",","&amp;SUBSTITUTE(Screener!$D$17," ","")&amp;",")),2000000,IF(IF(OR(Screener!$B$18="All",AND(Screener!$B$18="With A-share",(Database!$BK131="Y")),AND(Screener!$B$18="Without A-share",NOT((Database!$BK131="Y")))),1,0)=0,-999999,IF(Screener!$B$16="cornerstone overlap first",H131*100000,IF(Screener!$B$16="demand-similar first",J131*100000,0))+W_SUB*B131+W_SEC*C131*(1-B131)+W_SIZE*D131+W_PROF*E131+W_AH*F131+W_REC*G131+W_CS*H131+W_PE*I131)))+ROW()/1000000</f>
        <v/>
      </c>
      <c r="AA131">
        <f>Database!B121</f>
        <v/>
      </c>
      <c r="AB131">
        <f>Database!D121</f>
        <v/>
      </c>
      <c r="AC131">
        <f>Database!E121</f>
        <v/>
      </c>
      <c r="AD131">
        <f>Database!I121</f>
        <v/>
      </c>
      <c r="AE131">
        <f>Database!BE121</f>
        <v/>
      </c>
      <c r="AF131">
        <f>Database!BK121</f>
        <v/>
      </c>
      <c r="AG131">
        <f>Database!H121</f>
        <v/>
      </c>
      <c r="AH131">
        <f>Database!BF121</f>
        <v/>
      </c>
    </row>
    <row r="132">
      <c r="A132">
        <f>Database!B132</f>
        <v/>
      </c>
      <c r="B132">
        <f>IF(AND(Screener!$D$8&lt;&gt;"",Database!$E132=Screener!$D$8),1,0)</f>
        <v/>
      </c>
      <c r="C132">
        <f>IF(AND(Screener!$D$7&lt;&gt;"",Database!$D132=Screener!$D$7),1,0)</f>
        <v/>
      </c>
      <c r="D132">
        <f>IF(OR(N(Database!$I132)&lt;=0,N(Screener!$D$9)&lt;=0),0,MAX(0,1-ABS(LOG10(N(Database!$I132)/Screener!$D$9))/W_SIZEHW))</f>
        <v/>
      </c>
      <c r="E132">
        <f>IF(OR(Database!$BE132="",Screener!$D$10=""),0,IF(Database!$BE132=Screener!$D$10,1,0))</f>
        <v/>
      </c>
      <c r="F132">
        <f>IF(OR(Database!$BK132="",Screener!$D$11=""),0,IF(Database!$BK132=Screener!$D$11,1,0))</f>
        <v/>
      </c>
      <c r="G132">
        <f>IF(OR(Database!$H132="",N(Screener!$D$12)&lt;=0),0,MAX(0,1-(N(Screener!$D$12)-Database!$H132)/W_RECD))</f>
        <v/>
      </c>
      <c r="H132">
        <f>IF($U$1="",0,N(ISNUMBER(SEARCH($U$1,Database!$Z132&amp;""))))+IF($V$1="",0,N(ISNUMBER(SEARCH($V$1,Database!$Z132&amp;""))))+IF($W$1="",0,N(ISNUMBER(SEARCH($W$1,Database!$Z132&amp;""))))+IF($X$1="",0,N(ISNUMBER(SEARCH($X$1,Database!$Z132&amp;""))))+IF($Y$1="",0,N(ISNUMBER(SEARCH($Y$1,Database!$Z132&amp;""))))+IF(Screener!$B$17="",0,N(ISNUMBER(SEARCH(LOWER(Screener!$B$17),Database!$Z132&amp;""))))</f>
        <v/>
      </c>
      <c r="I132">
        <f>IF(OR(N(Database!$BF132)&lt;=0,N(Screener!$D$13)&lt;=0),0,MAX(0,1-ABS(LOG10(N(Database!$BF132)/Screener!$D$13))/W_PEHW))</f>
        <v/>
      </c>
      <c r="J132">
        <f>IF(OR(N(Database!$S132)&lt;=0,N(Screener!$D$14)&lt;=0),0,MAX(0,1-ABS(LOG10(Database!$S132/Screener!$D$14))/0.6))</f>
        <v/>
      </c>
      <c r="K132">
        <f>IF(Database!$B132=Screener!$B$5,-999999,IF(ISNUMBER(SEARCH(","&amp;Database!$A132&amp;",",","&amp;SUBSTITUTE(Screener!$D$17," ","")&amp;",")),2000000,IF(IF(OR(Screener!$B$18="All",AND(Screener!$B$18="With A-share",(Database!$BK132="Y")),AND(Screener!$B$18="Without A-share",NOT((Database!$BK132="Y")))),1,0)=0,-999999,IF(Screener!$B$16="cornerstone overlap first",H132*100000,IF(Screener!$B$16="demand-similar first",J132*100000,0))+W_SUB*B132+W_SEC*C132*(1-B132)+W_SIZE*D132+W_PROF*E132+W_AH*F132+W_REC*G132+W_CS*H132+W_PE*I132)))+ROW()/1000000</f>
        <v/>
      </c>
      <c r="AA132">
        <f>Database!B122</f>
        <v/>
      </c>
      <c r="AB132">
        <f>Database!D122</f>
        <v/>
      </c>
      <c r="AC132">
        <f>Database!E122</f>
        <v/>
      </c>
      <c r="AD132">
        <f>Database!I122</f>
        <v/>
      </c>
      <c r="AE132">
        <f>Database!BE122</f>
        <v/>
      </c>
      <c r="AF132">
        <f>Database!BK122</f>
        <v/>
      </c>
      <c r="AG132">
        <f>Database!H122</f>
        <v/>
      </c>
      <c r="AH132">
        <f>Database!BF122</f>
        <v/>
      </c>
    </row>
    <row r="133">
      <c r="A133">
        <f>Database!B133</f>
        <v/>
      </c>
      <c r="B133">
        <f>IF(AND(Screener!$D$8&lt;&gt;"",Database!$E133=Screener!$D$8),1,0)</f>
        <v/>
      </c>
      <c r="C133">
        <f>IF(AND(Screener!$D$7&lt;&gt;"",Database!$D133=Screener!$D$7),1,0)</f>
        <v/>
      </c>
      <c r="D133">
        <f>IF(OR(N(Database!$I133)&lt;=0,N(Screener!$D$9)&lt;=0),0,MAX(0,1-ABS(LOG10(N(Database!$I133)/Screener!$D$9))/W_SIZEHW))</f>
        <v/>
      </c>
      <c r="E133">
        <f>IF(OR(Database!$BE133="",Screener!$D$10=""),0,IF(Database!$BE133=Screener!$D$10,1,0))</f>
        <v/>
      </c>
      <c r="F133">
        <f>IF(OR(Database!$BK133="",Screener!$D$11=""),0,IF(Database!$BK133=Screener!$D$11,1,0))</f>
        <v/>
      </c>
      <c r="G133">
        <f>IF(OR(Database!$H133="",N(Screener!$D$12)&lt;=0),0,MAX(0,1-(N(Screener!$D$12)-Database!$H133)/W_RECD))</f>
        <v/>
      </c>
      <c r="H133">
        <f>IF($U$1="",0,N(ISNUMBER(SEARCH($U$1,Database!$Z133&amp;""))))+IF($V$1="",0,N(ISNUMBER(SEARCH($V$1,Database!$Z133&amp;""))))+IF($W$1="",0,N(ISNUMBER(SEARCH($W$1,Database!$Z133&amp;""))))+IF($X$1="",0,N(ISNUMBER(SEARCH($X$1,Database!$Z133&amp;""))))+IF($Y$1="",0,N(ISNUMBER(SEARCH($Y$1,Database!$Z133&amp;""))))+IF(Screener!$B$17="",0,N(ISNUMBER(SEARCH(LOWER(Screener!$B$17),Database!$Z133&amp;""))))</f>
        <v/>
      </c>
      <c r="I133">
        <f>IF(OR(N(Database!$BF133)&lt;=0,N(Screener!$D$13)&lt;=0),0,MAX(0,1-ABS(LOG10(N(Database!$BF133)/Screener!$D$13))/W_PEHW))</f>
        <v/>
      </c>
      <c r="J133">
        <f>IF(OR(N(Database!$S133)&lt;=0,N(Screener!$D$14)&lt;=0),0,MAX(0,1-ABS(LOG10(Database!$S133/Screener!$D$14))/0.6))</f>
        <v/>
      </c>
      <c r="K133">
        <f>IF(Database!$B133=Screener!$B$5,-999999,IF(ISNUMBER(SEARCH(","&amp;Database!$A133&amp;",",","&amp;SUBSTITUTE(Screener!$D$17," ","")&amp;",")),2000000,IF(IF(OR(Screener!$B$18="All",AND(Screener!$B$18="With A-share",(Database!$BK133="Y")),AND(Screener!$B$18="Without A-share",NOT((Database!$BK133="Y")))),1,0)=0,-999999,IF(Screener!$B$16="cornerstone overlap first",H133*100000,IF(Screener!$B$16="demand-similar first",J133*100000,0))+W_SUB*B133+W_SEC*C133*(1-B133)+W_SIZE*D133+W_PROF*E133+W_AH*F133+W_REC*G133+W_CS*H133+W_PE*I133)))+ROW()/1000000</f>
        <v/>
      </c>
      <c r="AA133">
        <f>Database!B123</f>
        <v/>
      </c>
      <c r="AB133">
        <f>Database!D123</f>
        <v/>
      </c>
      <c r="AC133">
        <f>Database!E123</f>
        <v/>
      </c>
      <c r="AD133">
        <f>Database!I123</f>
        <v/>
      </c>
      <c r="AE133">
        <f>Database!BE123</f>
        <v/>
      </c>
      <c r="AF133">
        <f>Database!BK123</f>
        <v/>
      </c>
      <c r="AG133">
        <f>Database!H123</f>
        <v/>
      </c>
      <c r="AH133">
        <f>Database!BF123</f>
        <v/>
      </c>
    </row>
    <row r="134">
      <c r="A134">
        <f>Database!B134</f>
        <v/>
      </c>
      <c r="B134">
        <f>IF(AND(Screener!$D$8&lt;&gt;"",Database!$E134=Screener!$D$8),1,0)</f>
        <v/>
      </c>
      <c r="C134">
        <f>IF(AND(Screener!$D$7&lt;&gt;"",Database!$D134=Screener!$D$7),1,0)</f>
        <v/>
      </c>
      <c r="D134">
        <f>IF(OR(N(Database!$I134)&lt;=0,N(Screener!$D$9)&lt;=0),0,MAX(0,1-ABS(LOG10(N(Database!$I134)/Screener!$D$9))/W_SIZEHW))</f>
        <v/>
      </c>
      <c r="E134">
        <f>IF(OR(Database!$BE134="",Screener!$D$10=""),0,IF(Database!$BE134=Screener!$D$10,1,0))</f>
        <v/>
      </c>
      <c r="F134">
        <f>IF(OR(Database!$BK134="",Screener!$D$11=""),0,IF(Database!$BK134=Screener!$D$11,1,0))</f>
        <v/>
      </c>
      <c r="G134">
        <f>IF(OR(Database!$H134="",N(Screener!$D$12)&lt;=0),0,MAX(0,1-(N(Screener!$D$12)-Database!$H134)/W_RECD))</f>
        <v/>
      </c>
      <c r="H134">
        <f>IF($U$1="",0,N(ISNUMBER(SEARCH($U$1,Database!$Z134&amp;""))))+IF($V$1="",0,N(ISNUMBER(SEARCH($V$1,Database!$Z134&amp;""))))+IF($W$1="",0,N(ISNUMBER(SEARCH($W$1,Database!$Z134&amp;""))))+IF($X$1="",0,N(ISNUMBER(SEARCH($X$1,Database!$Z134&amp;""))))+IF($Y$1="",0,N(ISNUMBER(SEARCH($Y$1,Database!$Z134&amp;""))))+IF(Screener!$B$17="",0,N(ISNUMBER(SEARCH(LOWER(Screener!$B$17),Database!$Z134&amp;""))))</f>
        <v/>
      </c>
      <c r="I134">
        <f>IF(OR(N(Database!$BF134)&lt;=0,N(Screener!$D$13)&lt;=0),0,MAX(0,1-ABS(LOG10(N(Database!$BF134)/Screener!$D$13))/W_PEHW))</f>
        <v/>
      </c>
      <c r="J134">
        <f>IF(OR(N(Database!$S134)&lt;=0,N(Screener!$D$14)&lt;=0),0,MAX(0,1-ABS(LOG10(Database!$S134/Screener!$D$14))/0.6))</f>
        <v/>
      </c>
      <c r="K134">
        <f>IF(Database!$B134=Screener!$B$5,-999999,IF(ISNUMBER(SEARCH(","&amp;Database!$A134&amp;",",","&amp;SUBSTITUTE(Screener!$D$17," ","")&amp;",")),2000000,IF(IF(OR(Screener!$B$18="All",AND(Screener!$B$18="With A-share",(Database!$BK134="Y")),AND(Screener!$B$18="Without A-share",NOT((Database!$BK134="Y")))),1,0)=0,-999999,IF(Screener!$B$16="cornerstone overlap first",H134*100000,IF(Screener!$B$16="demand-similar first",J134*100000,0))+W_SUB*B134+W_SEC*C134*(1-B134)+W_SIZE*D134+W_PROF*E134+W_AH*F134+W_REC*G134+W_CS*H134+W_PE*I134)))+ROW()/1000000</f>
        <v/>
      </c>
      <c r="AA134">
        <f>Database!B124</f>
        <v/>
      </c>
      <c r="AB134">
        <f>Database!D124</f>
        <v/>
      </c>
      <c r="AC134">
        <f>Database!E124</f>
        <v/>
      </c>
      <c r="AD134">
        <f>Database!I124</f>
        <v/>
      </c>
      <c r="AE134">
        <f>Database!BE124</f>
        <v/>
      </c>
      <c r="AF134">
        <f>Database!BK124</f>
        <v/>
      </c>
      <c r="AG134">
        <f>Database!H124</f>
        <v/>
      </c>
      <c r="AH134">
        <f>Database!BF124</f>
        <v/>
      </c>
    </row>
    <row r="135">
      <c r="A135">
        <f>Database!B135</f>
        <v/>
      </c>
      <c r="B135">
        <f>IF(AND(Screener!$D$8&lt;&gt;"",Database!$E135=Screener!$D$8),1,0)</f>
        <v/>
      </c>
      <c r="C135">
        <f>IF(AND(Screener!$D$7&lt;&gt;"",Database!$D135=Screener!$D$7),1,0)</f>
        <v/>
      </c>
      <c r="D135">
        <f>IF(OR(N(Database!$I135)&lt;=0,N(Screener!$D$9)&lt;=0),0,MAX(0,1-ABS(LOG10(N(Database!$I135)/Screener!$D$9))/W_SIZEHW))</f>
        <v/>
      </c>
      <c r="E135">
        <f>IF(OR(Database!$BE135="",Screener!$D$10=""),0,IF(Database!$BE135=Screener!$D$10,1,0))</f>
        <v/>
      </c>
      <c r="F135">
        <f>IF(OR(Database!$BK135="",Screener!$D$11=""),0,IF(Database!$BK135=Screener!$D$11,1,0))</f>
        <v/>
      </c>
      <c r="G135">
        <f>IF(OR(Database!$H135="",N(Screener!$D$12)&lt;=0),0,MAX(0,1-(N(Screener!$D$12)-Database!$H135)/W_RECD))</f>
        <v/>
      </c>
      <c r="H135">
        <f>IF($U$1="",0,N(ISNUMBER(SEARCH($U$1,Database!$Z135&amp;""))))+IF($V$1="",0,N(ISNUMBER(SEARCH($V$1,Database!$Z135&amp;""))))+IF($W$1="",0,N(ISNUMBER(SEARCH($W$1,Database!$Z135&amp;""))))+IF($X$1="",0,N(ISNUMBER(SEARCH($X$1,Database!$Z135&amp;""))))+IF($Y$1="",0,N(ISNUMBER(SEARCH($Y$1,Database!$Z135&amp;""))))+IF(Screener!$B$17="",0,N(ISNUMBER(SEARCH(LOWER(Screener!$B$17),Database!$Z135&amp;""))))</f>
        <v/>
      </c>
      <c r="I135">
        <f>IF(OR(N(Database!$BF135)&lt;=0,N(Screener!$D$13)&lt;=0),0,MAX(0,1-ABS(LOG10(N(Database!$BF135)/Screener!$D$13))/W_PEHW))</f>
        <v/>
      </c>
      <c r="J135">
        <f>IF(OR(N(Database!$S135)&lt;=0,N(Screener!$D$14)&lt;=0),0,MAX(0,1-ABS(LOG10(Database!$S135/Screener!$D$14))/0.6))</f>
        <v/>
      </c>
      <c r="K135">
        <f>IF(Database!$B135=Screener!$B$5,-999999,IF(ISNUMBER(SEARCH(","&amp;Database!$A135&amp;",",","&amp;SUBSTITUTE(Screener!$D$17," ","")&amp;",")),2000000,IF(IF(OR(Screener!$B$18="All",AND(Screener!$B$18="With A-share",(Database!$BK135="Y")),AND(Screener!$B$18="Without A-share",NOT((Database!$BK135="Y")))),1,0)=0,-999999,IF(Screener!$B$16="cornerstone overlap first",H135*100000,IF(Screener!$B$16="demand-similar first",J135*100000,0))+W_SUB*B135+W_SEC*C135*(1-B135)+W_SIZE*D135+W_PROF*E135+W_AH*F135+W_REC*G135+W_CS*H135+W_PE*I135)))+ROW()/1000000</f>
        <v/>
      </c>
      <c r="AA135">
        <f>Database!B125</f>
        <v/>
      </c>
      <c r="AB135">
        <f>Database!D125</f>
        <v/>
      </c>
      <c r="AC135">
        <f>Database!E125</f>
        <v/>
      </c>
      <c r="AD135">
        <f>Database!I125</f>
        <v/>
      </c>
      <c r="AE135">
        <f>Database!BE125</f>
        <v/>
      </c>
      <c r="AF135">
        <f>Database!BK125</f>
        <v/>
      </c>
      <c r="AG135">
        <f>Database!H125</f>
        <v/>
      </c>
      <c r="AH135">
        <f>Database!BF125</f>
        <v/>
      </c>
    </row>
    <row r="136">
      <c r="A136">
        <f>Database!B136</f>
        <v/>
      </c>
      <c r="B136">
        <f>IF(AND(Screener!$D$8&lt;&gt;"",Database!$E136=Screener!$D$8),1,0)</f>
        <v/>
      </c>
      <c r="C136">
        <f>IF(AND(Screener!$D$7&lt;&gt;"",Database!$D136=Screener!$D$7),1,0)</f>
        <v/>
      </c>
      <c r="D136">
        <f>IF(OR(N(Database!$I136)&lt;=0,N(Screener!$D$9)&lt;=0),0,MAX(0,1-ABS(LOG10(N(Database!$I136)/Screener!$D$9))/W_SIZEHW))</f>
        <v/>
      </c>
      <c r="E136">
        <f>IF(OR(Database!$BE136="",Screener!$D$10=""),0,IF(Database!$BE136=Screener!$D$10,1,0))</f>
        <v/>
      </c>
      <c r="F136">
        <f>IF(OR(Database!$BK136="",Screener!$D$11=""),0,IF(Database!$BK136=Screener!$D$11,1,0))</f>
        <v/>
      </c>
      <c r="G136">
        <f>IF(OR(Database!$H136="",N(Screener!$D$12)&lt;=0),0,MAX(0,1-(N(Screener!$D$12)-Database!$H136)/W_RECD))</f>
        <v/>
      </c>
      <c r="H136">
        <f>IF($U$1="",0,N(ISNUMBER(SEARCH($U$1,Database!$Z136&amp;""))))+IF($V$1="",0,N(ISNUMBER(SEARCH($V$1,Database!$Z136&amp;""))))+IF($W$1="",0,N(ISNUMBER(SEARCH($W$1,Database!$Z136&amp;""))))+IF($X$1="",0,N(ISNUMBER(SEARCH($X$1,Database!$Z136&amp;""))))+IF($Y$1="",0,N(ISNUMBER(SEARCH($Y$1,Database!$Z136&amp;""))))+IF(Screener!$B$17="",0,N(ISNUMBER(SEARCH(LOWER(Screener!$B$17),Database!$Z136&amp;""))))</f>
        <v/>
      </c>
      <c r="I136">
        <f>IF(OR(N(Database!$BF136)&lt;=0,N(Screener!$D$13)&lt;=0),0,MAX(0,1-ABS(LOG10(N(Database!$BF136)/Screener!$D$13))/W_PEHW))</f>
        <v/>
      </c>
      <c r="J136">
        <f>IF(OR(N(Database!$S136)&lt;=0,N(Screener!$D$14)&lt;=0),0,MAX(0,1-ABS(LOG10(Database!$S136/Screener!$D$14))/0.6))</f>
        <v/>
      </c>
      <c r="K136">
        <f>IF(Database!$B136=Screener!$B$5,-999999,IF(ISNUMBER(SEARCH(","&amp;Database!$A136&amp;",",","&amp;SUBSTITUTE(Screener!$D$17," ","")&amp;",")),2000000,IF(IF(OR(Screener!$B$18="All",AND(Screener!$B$18="With A-share",(Database!$BK136="Y")),AND(Screener!$B$18="Without A-share",NOT((Database!$BK136="Y")))),1,0)=0,-999999,IF(Screener!$B$16="cornerstone overlap first",H136*100000,IF(Screener!$B$16="demand-similar first",J136*100000,0))+W_SUB*B136+W_SEC*C136*(1-B136)+W_SIZE*D136+W_PROF*E136+W_AH*F136+W_REC*G136+W_CS*H136+W_PE*I136)))+ROW()/1000000</f>
        <v/>
      </c>
      <c r="AA136">
        <f>Database!B126</f>
        <v/>
      </c>
      <c r="AB136">
        <f>Database!D126</f>
        <v/>
      </c>
      <c r="AC136">
        <f>Database!E126</f>
        <v/>
      </c>
      <c r="AD136">
        <f>Database!I126</f>
        <v/>
      </c>
      <c r="AE136">
        <f>Database!BE126</f>
        <v/>
      </c>
      <c r="AF136">
        <f>Database!BK126</f>
        <v/>
      </c>
      <c r="AG136">
        <f>Database!H126</f>
        <v/>
      </c>
      <c r="AH136">
        <f>Database!BF126</f>
        <v/>
      </c>
    </row>
    <row r="137">
      <c r="A137">
        <f>Database!B137</f>
        <v/>
      </c>
      <c r="B137">
        <f>IF(AND(Screener!$D$8&lt;&gt;"",Database!$E137=Screener!$D$8),1,0)</f>
        <v/>
      </c>
      <c r="C137">
        <f>IF(AND(Screener!$D$7&lt;&gt;"",Database!$D137=Screener!$D$7),1,0)</f>
        <v/>
      </c>
      <c r="D137">
        <f>IF(OR(N(Database!$I137)&lt;=0,N(Screener!$D$9)&lt;=0),0,MAX(0,1-ABS(LOG10(N(Database!$I137)/Screener!$D$9))/W_SIZEHW))</f>
        <v/>
      </c>
      <c r="E137">
        <f>IF(OR(Database!$BE137="",Screener!$D$10=""),0,IF(Database!$BE137=Screener!$D$10,1,0))</f>
        <v/>
      </c>
      <c r="F137">
        <f>IF(OR(Database!$BK137="",Screener!$D$11=""),0,IF(Database!$BK137=Screener!$D$11,1,0))</f>
        <v/>
      </c>
      <c r="G137">
        <f>IF(OR(Database!$H137="",N(Screener!$D$12)&lt;=0),0,MAX(0,1-(N(Screener!$D$12)-Database!$H137)/W_RECD))</f>
        <v/>
      </c>
      <c r="H137">
        <f>IF($U$1="",0,N(ISNUMBER(SEARCH($U$1,Database!$Z137&amp;""))))+IF($V$1="",0,N(ISNUMBER(SEARCH($V$1,Database!$Z137&amp;""))))+IF($W$1="",0,N(ISNUMBER(SEARCH($W$1,Database!$Z137&amp;""))))+IF($X$1="",0,N(ISNUMBER(SEARCH($X$1,Database!$Z137&amp;""))))+IF($Y$1="",0,N(ISNUMBER(SEARCH($Y$1,Database!$Z137&amp;""))))+IF(Screener!$B$17="",0,N(ISNUMBER(SEARCH(LOWER(Screener!$B$17),Database!$Z137&amp;""))))</f>
        <v/>
      </c>
      <c r="I137">
        <f>IF(OR(N(Database!$BF137)&lt;=0,N(Screener!$D$13)&lt;=0),0,MAX(0,1-ABS(LOG10(N(Database!$BF137)/Screener!$D$13))/W_PEHW))</f>
        <v/>
      </c>
      <c r="J137">
        <f>IF(OR(N(Database!$S137)&lt;=0,N(Screener!$D$14)&lt;=0),0,MAX(0,1-ABS(LOG10(Database!$S137/Screener!$D$14))/0.6))</f>
        <v/>
      </c>
      <c r="K137">
        <f>IF(Database!$B137=Screener!$B$5,-999999,IF(ISNUMBER(SEARCH(","&amp;Database!$A137&amp;",",","&amp;SUBSTITUTE(Screener!$D$17," ","")&amp;",")),2000000,IF(IF(OR(Screener!$B$18="All",AND(Screener!$B$18="With A-share",(Database!$BK137="Y")),AND(Screener!$B$18="Without A-share",NOT((Database!$BK137="Y")))),1,0)=0,-999999,IF(Screener!$B$16="cornerstone overlap first",H137*100000,IF(Screener!$B$16="demand-similar first",J137*100000,0))+W_SUB*B137+W_SEC*C137*(1-B137)+W_SIZE*D137+W_PROF*E137+W_AH*F137+W_REC*G137+W_CS*H137+W_PE*I137)))+ROW()/1000000</f>
        <v/>
      </c>
      <c r="AA137">
        <f>Database!B127</f>
        <v/>
      </c>
      <c r="AB137">
        <f>Database!D127</f>
        <v/>
      </c>
      <c r="AC137">
        <f>Database!E127</f>
        <v/>
      </c>
      <c r="AD137">
        <f>Database!I127</f>
        <v/>
      </c>
      <c r="AE137">
        <f>Database!BE127</f>
        <v/>
      </c>
      <c r="AF137">
        <f>Database!BK127</f>
        <v/>
      </c>
      <c r="AG137">
        <f>Database!H127</f>
        <v/>
      </c>
      <c r="AH137">
        <f>Database!BF127</f>
        <v/>
      </c>
    </row>
    <row r="138">
      <c r="A138">
        <f>Database!B138</f>
        <v/>
      </c>
      <c r="B138">
        <f>IF(AND(Screener!$D$8&lt;&gt;"",Database!$E138=Screener!$D$8),1,0)</f>
        <v/>
      </c>
      <c r="C138">
        <f>IF(AND(Screener!$D$7&lt;&gt;"",Database!$D138=Screener!$D$7),1,0)</f>
        <v/>
      </c>
      <c r="D138">
        <f>IF(OR(N(Database!$I138)&lt;=0,N(Screener!$D$9)&lt;=0),0,MAX(0,1-ABS(LOG10(N(Database!$I138)/Screener!$D$9))/W_SIZEHW))</f>
        <v/>
      </c>
      <c r="E138">
        <f>IF(OR(Database!$BE138="",Screener!$D$10=""),0,IF(Database!$BE138=Screener!$D$10,1,0))</f>
        <v/>
      </c>
      <c r="F138">
        <f>IF(OR(Database!$BK138="",Screener!$D$11=""),0,IF(Database!$BK138=Screener!$D$11,1,0))</f>
        <v/>
      </c>
      <c r="G138">
        <f>IF(OR(Database!$H138="",N(Screener!$D$12)&lt;=0),0,MAX(0,1-(N(Screener!$D$12)-Database!$H138)/W_RECD))</f>
        <v/>
      </c>
      <c r="H138">
        <f>IF($U$1="",0,N(ISNUMBER(SEARCH($U$1,Database!$Z138&amp;""))))+IF($V$1="",0,N(ISNUMBER(SEARCH($V$1,Database!$Z138&amp;""))))+IF($W$1="",0,N(ISNUMBER(SEARCH($W$1,Database!$Z138&amp;""))))+IF($X$1="",0,N(ISNUMBER(SEARCH($X$1,Database!$Z138&amp;""))))+IF($Y$1="",0,N(ISNUMBER(SEARCH($Y$1,Database!$Z138&amp;""))))+IF(Screener!$B$17="",0,N(ISNUMBER(SEARCH(LOWER(Screener!$B$17),Database!$Z138&amp;""))))</f>
        <v/>
      </c>
      <c r="I138">
        <f>IF(OR(N(Database!$BF138)&lt;=0,N(Screener!$D$13)&lt;=0),0,MAX(0,1-ABS(LOG10(N(Database!$BF138)/Screener!$D$13))/W_PEHW))</f>
        <v/>
      </c>
      <c r="J138">
        <f>IF(OR(N(Database!$S138)&lt;=0,N(Screener!$D$14)&lt;=0),0,MAX(0,1-ABS(LOG10(Database!$S138/Screener!$D$14))/0.6))</f>
        <v/>
      </c>
      <c r="K138">
        <f>IF(Database!$B138=Screener!$B$5,-999999,IF(ISNUMBER(SEARCH(","&amp;Database!$A138&amp;",",","&amp;SUBSTITUTE(Screener!$D$17," ","")&amp;",")),2000000,IF(IF(OR(Screener!$B$18="All",AND(Screener!$B$18="With A-share",(Database!$BK138="Y")),AND(Screener!$B$18="Without A-share",NOT((Database!$BK138="Y")))),1,0)=0,-999999,IF(Screener!$B$16="cornerstone overlap first",H138*100000,IF(Screener!$B$16="demand-similar first",J138*100000,0))+W_SUB*B138+W_SEC*C138*(1-B138)+W_SIZE*D138+W_PROF*E138+W_AH*F138+W_REC*G138+W_CS*H138+W_PE*I138)))+ROW()/1000000</f>
        <v/>
      </c>
      <c r="AA138">
        <f>Database!B128</f>
        <v/>
      </c>
      <c r="AB138">
        <f>Database!D128</f>
        <v/>
      </c>
      <c r="AC138">
        <f>Database!E128</f>
        <v/>
      </c>
      <c r="AD138">
        <f>Database!I128</f>
        <v/>
      </c>
      <c r="AE138">
        <f>Database!BE128</f>
        <v/>
      </c>
      <c r="AF138">
        <f>Database!BK128</f>
        <v/>
      </c>
      <c r="AG138">
        <f>Database!H128</f>
        <v/>
      </c>
      <c r="AH138">
        <f>Database!BF128</f>
        <v/>
      </c>
    </row>
    <row r="139">
      <c r="A139">
        <f>Database!B139</f>
        <v/>
      </c>
      <c r="B139">
        <f>IF(AND(Screener!$D$8&lt;&gt;"",Database!$E139=Screener!$D$8),1,0)</f>
        <v/>
      </c>
      <c r="C139">
        <f>IF(AND(Screener!$D$7&lt;&gt;"",Database!$D139=Screener!$D$7),1,0)</f>
        <v/>
      </c>
      <c r="D139">
        <f>IF(OR(N(Database!$I139)&lt;=0,N(Screener!$D$9)&lt;=0),0,MAX(0,1-ABS(LOG10(N(Database!$I139)/Screener!$D$9))/W_SIZEHW))</f>
        <v/>
      </c>
      <c r="E139">
        <f>IF(OR(Database!$BE139="",Screener!$D$10=""),0,IF(Database!$BE139=Screener!$D$10,1,0))</f>
        <v/>
      </c>
      <c r="F139">
        <f>IF(OR(Database!$BK139="",Screener!$D$11=""),0,IF(Database!$BK139=Screener!$D$11,1,0))</f>
        <v/>
      </c>
      <c r="G139">
        <f>IF(OR(Database!$H139="",N(Screener!$D$12)&lt;=0),0,MAX(0,1-(N(Screener!$D$12)-Database!$H139)/W_RECD))</f>
        <v/>
      </c>
      <c r="H139">
        <f>IF($U$1="",0,N(ISNUMBER(SEARCH($U$1,Database!$Z139&amp;""))))+IF($V$1="",0,N(ISNUMBER(SEARCH($V$1,Database!$Z139&amp;""))))+IF($W$1="",0,N(ISNUMBER(SEARCH($W$1,Database!$Z139&amp;""))))+IF($X$1="",0,N(ISNUMBER(SEARCH($X$1,Database!$Z139&amp;""))))+IF($Y$1="",0,N(ISNUMBER(SEARCH($Y$1,Database!$Z139&amp;""))))+IF(Screener!$B$17="",0,N(ISNUMBER(SEARCH(LOWER(Screener!$B$17),Database!$Z139&amp;""))))</f>
        <v/>
      </c>
      <c r="I139">
        <f>IF(OR(N(Database!$BF139)&lt;=0,N(Screener!$D$13)&lt;=0),0,MAX(0,1-ABS(LOG10(N(Database!$BF139)/Screener!$D$13))/W_PEHW))</f>
        <v/>
      </c>
      <c r="J139">
        <f>IF(OR(N(Database!$S139)&lt;=0,N(Screener!$D$14)&lt;=0),0,MAX(0,1-ABS(LOG10(Database!$S139/Screener!$D$14))/0.6))</f>
        <v/>
      </c>
      <c r="K139">
        <f>IF(Database!$B139=Screener!$B$5,-999999,IF(ISNUMBER(SEARCH(","&amp;Database!$A139&amp;",",","&amp;SUBSTITUTE(Screener!$D$17," ","")&amp;",")),2000000,IF(IF(OR(Screener!$B$18="All",AND(Screener!$B$18="With A-share",(Database!$BK139="Y")),AND(Screener!$B$18="Without A-share",NOT((Database!$BK139="Y")))),1,0)=0,-999999,IF(Screener!$B$16="cornerstone overlap first",H139*100000,IF(Screener!$B$16="demand-similar first",J139*100000,0))+W_SUB*B139+W_SEC*C139*(1-B139)+W_SIZE*D139+W_PROF*E139+W_AH*F139+W_REC*G139+W_CS*H139+W_PE*I139)))+ROW()/1000000</f>
        <v/>
      </c>
      <c r="AA139">
        <f>Database!B129</f>
        <v/>
      </c>
      <c r="AB139">
        <f>Database!D129</f>
        <v/>
      </c>
      <c r="AC139">
        <f>Database!E129</f>
        <v/>
      </c>
      <c r="AD139">
        <f>Database!I129</f>
        <v/>
      </c>
      <c r="AE139">
        <f>Database!BE129</f>
        <v/>
      </c>
      <c r="AF139">
        <f>Database!BK129</f>
        <v/>
      </c>
      <c r="AG139">
        <f>Database!H129</f>
        <v/>
      </c>
      <c r="AH139">
        <f>Database!BF129</f>
        <v/>
      </c>
    </row>
    <row r="140">
      <c r="A140">
        <f>Database!B140</f>
        <v/>
      </c>
      <c r="B140">
        <f>IF(AND(Screener!$D$8&lt;&gt;"",Database!$E140=Screener!$D$8),1,0)</f>
        <v/>
      </c>
      <c r="C140">
        <f>IF(AND(Screener!$D$7&lt;&gt;"",Database!$D140=Screener!$D$7),1,0)</f>
        <v/>
      </c>
      <c r="D140">
        <f>IF(OR(N(Database!$I140)&lt;=0,N(Screener!$D$9)&lt;=0),0,MAX(0,1-ABS(LOG10(N(Database!$I140)/Screener!$D$9))/W_SIZEHW))</f>
        <v/>
      </c>
      <c r="E140">
        <f>IF(OR(Database!$BE140="",Screener!$D$10=""),0,IF(Database!$BE140=Screener!$D$10,1,0))</f>
        <v/>
      </c>
      <c r="F140">
        <f>IF(OR(Database!$BK140="",Screener!$D$11=""),0,IF(Database!$BK140=Screener!$D$11,1,0))</f>
        <v/>
      </c>
      <c r="G140">
        <f>IF(OR(Database!$H140="",N(Screener!$D$12)&lt;=0),0,MAX(0,1-(N(Screener!$D$12)-Database!$H140)/W_RECD))</f>
        <v/>
      </c>
      <c r="H140">
        <f>IF($U$1="",0,N(ISNUMBER(SEARCH($U$1,Database!$Z140&amp;""))))+IF($V$1="",0,N(ISNUMBER(SEARCH($V$1,Database!$Z140&amp;""))))+IF($W$1="",0,N(ISNUMBER(SEARCH($W$1,Database!$Z140&amp;""))))+IF($X$1="",0,N(ISNUMBER(SEARCH($X$1,Database!$Z140&amp;""))))+IF($Y$1="",0,N(ISNUMBER(SEARCH($Y$1,Database!$Z140&amp;""))))+IF(Screener!$B$17="",0,N(ISNUMBER(SEARCH(LOWER(Screener!$B$17),Database!$Z140&amp;""))))</f>
        <v/>
      </c>
      <c r="I140">
        <f>IF(OR(N(Database!$BF140)&lt;=0,N(Screener!$D$13)&lt;=0),0,MAX(0,1-ABS(LOG10(N(Database!$BF140)/Screener!$D$13))/W_PEHW))</f>
        <v/>
      </c>
      <c r="J140">
        <f>IF(OR(N(Database!$S140)&lt;=0,N(Screener!$D$14)&lt;=0),0,MAX(0,1-ABS(LOG10(Database!$S140/Screener!$D$14))/0.6))</f>
        <v/>
      </c>
      <c r="K140">
        <f>IF(Database!$B140=Screener!$B$5,-999999,IF(ISNUMBER(SEARCH(","&amp;Database!$A140&amp;",",","&amp;SUBSTITUTE(Screener!$D$17," ","")&amp;",")),2000000,IF(IF(OR(Screener!$B$18="All",AND(Screener!$B$18="With A-share",(Database!$BK140="Y")),AND(Screener!$B$18="Without A-share",NOT((Database!$BK140="Y")))),1,0)=0,-999999,IF(Screener!$B$16="cornerstone overlap first",H140*100000,IF(Screener!$B$16="demand-similar first",J140*100000,0))+W_SUB*B140+W_SEC*C140*(1-B140)+W_SIZE*D140+W_PROF*E140+W_AH*F140+W_REC*G140+W_CS*H140+W_PE*I140)))+ROW()/1000000</f>
        <v/>
      </c>
      <c r="AA140">
        <f>Database!B130</f>
        <v/>
      </c>
      <c r="AB140">
        <f>Database!D130</f>
        <v/>
      </c>
      <c r="AC140">
        <f>Database!E130</f>
        <v/>
      </c>
      <c r="AD140">
        <f>Database!I130</f>
        <v/>
      </c>
      <c r="AE140">
        <f>Database!BE130</f>
        <v/>
      </c>
      <c r="AF140">
        <f>Database!BK130</f>
        <v/>
      </c>
      <c r="AG140">
        <f>Database!H130</f>
        <v/>
      </c>
      <c r="AH140">
        <f>Database!BF130</f>
        <v/>
      </c>
    </row>
    <row r="141">
      <c r="A141">
        <f>Database!B141</f>
        <v/>
      </c>
      <c r="B141">
        <f>IF(AND(Screener!$D$8&lt;&gt;"",Database!$E141=Screener!$D$8),1,0)</f>
        <v/>
      </c>
      <c r="C141">
        <f>IF(AND(Screener!$D$7&lt;&gt;"",Database!$D141=Screener!$D$7),1,0)</f>
        <v/>
      </c>
      <c r="D141">
        <f>IF(OR(N(Database!$I141)&lt;=0,N(Screener!$D$9)&lt;=0),0,MAX(0,1-ABS(LOG10(N(Database!$I141)/Screener!$D$9))/W_SIZEHW))</f>
        <v/>
      </c>
      <c r="E141">
        <f>IF(OR(Database!$BE141="",Screener!$D$10=""),0,IF(Database!$BE141=Screener!$D$10,1,0))</f>
        <v/>
      </c>
      <c r="F141">
        <f>IF(OR(Database!$BK141="",Screener!$D$11=""),0,IF(Database!$BK141=Screener!$D$11,1,0))</f>
        <v/>
      </c>
      <c r="G141">
        <f>IF(OR(Database!$H141="",N(Screener!$D$12)&lt;=0),0,MAX(0,1-(N(Screener!$D$12)-Database!$H141)/W_RECD))</f>
        <v/>
      </c>
      <c r="H141">
        <f>IF($U$1="",0,N(ISNUMBER(SEARCH($U$1,Database!$Z141&amp;""))))+IF($V$1="",0,N(ISNUMBER(SEARCH($V$1,Database!$Z141&amp;""))))+IF($W$1="",0,N(ISNUMBER(SEARCH($W$1,Database!$Z141&amp;""))))+IF($X$1="",0,N(ISNUMBER(SEARCH($X$1,Database!$Z141&amp;""))))+IF($Y$1="",0,N(ISNUMBER(SEARCH($Y$1,Database!$Z141&amp;""))))+IF(Screener!$B$17="",0,N(ISNUMBER(SEARCH(LOWER(Screener!$B$17),Database!$Z141&amp;""))))</f>
        <v/>
      </c>
      <c r="I141">
        <f>IF(OR(N(Database!$BF141)&lt;=0,N(Screener!$D$13)&lt;=0),0,MAX(0,1-ABS(LOG10(N(Database!$BF141)/Screener!$D$13))/W_PEHW))</f>
        <v/>
      </c>
      <c r="J141">
        <f>IF(OR(N(Database!$S141)&lt;=0,N(Screener!$D$14)&lt;=0),0,MAX(0,1-ABS(LOG10(Database!$S141/Screener!$D$14))/0.6))</f>
        <v/>
      </c>
      <c r="K141">
        <f>IF(Database!$B141=Screener!$B$5,-999999,IF(ISNUMBER(SEARCH(","&amp;Database!$A141&amp;",",","&amp;SUBSTITUTE(Screener!$D$17," ","")&amp;",")),2000000,IF(IF(OR(Screener!$B$18="All",AND(Screener!$B$18="With A-share",(Database!$BK141="Y")),AND(Screener!$B$18="Without A-share",NOT((Database!$BK141="Y")))),1,0)=0,-999999,IF(Screener!$B$16="cornerstone overlap first",H141*100000,IF(Screener!$B$16="demand-similar first",J141*100000,0))+W_SUB*B141+W_SEC*C141*(1-B141)+W_SIZE*D141+W_PROF*E141+W_AH*F141+W_REC*G141+W_CS*H141+W_PE*I141)))+ROW()/1000000</f>
        <v/>
      </c>
      <c r="AA141">
        <f>Database!B131</f>
        <v/>
      </c>
      <c r="AB141">
        <f>Database!D131</f>
        <v/>
      </c>
      <c r="AC141">
        <f>Database!E131</f>
        <v/>
      </c>
      <c r="AD141">
        <f>Database!I131</f>
        <v/>
      </c>
      <c r="AE141">
        <f>Database!BE131</f>
        <v/>
      </c>
      <c r="AF141">
        <f>Database!BK131</f>
        <v/>
      </c>
      <c r="AG141">
        <f>Database!H131</f>
        <v/>
      </c>
      <c r="AH141">
        <f>Database!BF131</f>
        <v/>
      </c>
    </row>
    <row r="142">
      <c r="A142">
        <f>Database!B142</f>
        <v/>
      </c>
      <c r="B142">
        <f>IF(AND(Screener!$D$8&lt;&gt;"",Database!$E142=Screener!$D$8),1,0)</f>
        <v/>
      </c>
      <c r="C142">
        <f>IF(AND(Screener!$D$7&lt;&gt;"",Database!$D142=Screener!$D$7),1,0)</f>
        <v/>
      </c>
      <c r="D142">
        <f>IF(OR(N(Database!$I142)&lt;=0,N(Screener!$D$9)&lt;=0),0,MAX(0,1-ABS(LOG10(N(Database!$I142)/Screener!$D$9))/W_SIZEHW))</f>
        <v/>
      </c>
      <c r="E142">
        <f>IF(OR(Database!$BE142="",Screener!$D$10=""),0,IF(Database!$BE142=Screener!$D$10,1,0))</f>
        <v/>
      </c>
      <c r="F142">
        <f>IF(OR(Database!$BK142="",Screener!$D$11=""),0,IF(Database!$BK142=Screener!$D$11,1,0))</f>
        <v/>
      </c>
      <c r="G142">
        <f>IF(OR(Database!$H142="",N(Screener!$D$12)&lt;=0),0,MAX(0,1-(N(Screener!$D$12)-Database!$H142)/W_RECD))</f>
        <v/>
      </c>
      <c r="H142">
        <f>IF($U$1="",0,N(ISNUMBER(SEARCH($U$1,Database!$Z142&amp;""))))+IF($V$1="",0,N(ISNUMBER(SEARCH($V$1,Database!$Z142&amp;""))))+IF($W$1="",0,N(ISNUMBER(SEARCH($W$1,Database!$Z142&amp;""))))+IF($X$1="",0,N(ISNUMBER(SEARCH($X$1,Database!$Z142&amp;""))))+IF($Y$1="",0,N(ISNUMBER(SEARCH($Y$1,Database!$Z142&amp;""))))+IF(Screener!$B$17="",0,N(ISNUMBER(SEARCH(LOWER(Screener!$B$17),Database!$Z142&amp;""))))</f>
        <v/>
      </c>
      <c r="I142">
        <f>IF(OR(N(Database!$BF142)&lt;=0,N(Screener!$D$13)&lt;=0),0,MAX(0,1-ABS(LOG10(N(Database!$BF142)/Screener!$D$13))/W_PEHW))</f>
        <v/>
      </c>
      <c r="J142">
        <f>IF(OR(N(Database!$S142)&lt;=0,N(Screener!$D$14)&lt;=0),0,MAX(0,1-ABS(LOG10(Database!$S142/Screener!$D$14))/0.6))</f>
        <v/>
      </c>
      <c r="K142">
        <f>IF(Database!$B142=Screener!$B$5,-999999,IF(ISNUMBER(SEARCH(","&amp;Database!$A142&amp;",",","&amp;SUBSTITUTE(Screener!$D$17," ","")&amp;",")),2000000,IF(IF(OR(Screener!$B$18="All",AND(Screener!$B$18="With A-share",(Database!$BK142="Y")),AND(Screener!$B$18="Without A-share",NOT((Database!$BK142="Y")))),1,0)=0,-999999,IF(Screener!$B$16="cornerstone overlap first",H142*100000,IF(Screener!$B$16="demand-similar first",J142*100000,0))+W_SUB*B142+W_SEC*C142*(1-B142)+W_SIZE*D142+W_PROF*E142+W_AH*F142+W_REC*G142+W_CS*H142+W_PE*I142)))+ROW()/1000000</f>
        <v/>
      </c>
      <c r="AA142">
        <f>Database!B132</f>
        <v/>
      </c>
      <c r="AB142">
        <f>Database!D132</f>
        <v/>
      </c>
      <c r="AC142">
        <f>Database!E132</f>
        <v/>
      </c>
      <c r="AD142">
        <f>Database!I132</f>
        <v/>
      </c>
      <c r="AE142">
        <f>Database!BE132</f>
        <v/>
      </c>
      <c r="AF142">
        <f>Database!BK132</f>
        <v/>
      </c>
      <c r="AG142">
        <f>Database!H132</f>
        <v/>
      </c>
      <c r="AH142">
        <f>Database!BF132</f>
        <v/>
      </c>
    </row>
    <row r="143">
      <c r="A143">
        <f>Database!B143</f>
        <v/>
      </c>
      <c r="B143">
        <f>IF(AND(Screener!$D$8&lt;&gt;"",Database!$E143=Screener!$D$8),1,0)</f>
        <v/>
      </c>
      <c r="C143">
        <f>IF(AND(Screener!$D$7&lt;&gt;"",Database!$D143=Screener!$D$7),1,0)</f>
        <v/>
      </c>
      <c r="D143">
        <f>IF(OR(N(Database!$I143)&lt;=0,N(Screener!$D$9)&lt;=0),0,MAX(0,1-ABS(LOG10(N(Database!$I143)/Screener!$D$9))/W_SIZEHW))</f>
        <v/>
      </c>
      <c r="E143">
        <f>IF(OR(Database!$BE143="",Screener!$D$10=""),0,IF(Database!$BE143=Screener!$D$10,1,0))</f>
        <v/>
      </c>
      <c r="F143">
        <f>IF(OR(Database!$BK143="",Screener!$D$11=""),0,IF(Database!$BK143=Screener!$D$11,1,0))</f>
        <v/>
      </c>
      <c r="G143">
        <f>IF(OR(Database!$H143="",N(Screener!$D$12)&lt;=0),0,MAX(0,1-(N(Screener!$D$12)-Database!$H143)/W_RECD))</f>
        <v/>
      </c>
      <c r="H143">
        <f>IF($U$1="",0,N(ISNUMBER(SEARCH($U$1,Database!$Z143&amp;""))))+IF($V$1="",0,N(ISNUMBER(SEARCH($V$1,Database!$Z143&amp;""))))+IF($W$1="",0,N(ISNUMBER(SEARCH($W$1,Database!$Z143&amp;""))))+IF($X$1="",0,N(ISNUMBER(SEARCH($X$1,Database!$Z143&amp;""))))+IF($Y$1="",0,N(ISNUMBER(SEARCH($Y$1,Database!$Z143&amp;""))))+IF(Screener!$B$17="",0,N(ISNUMBER(SEARCH(LOWER(Screener!$B$17),Database!$Z143&amp;""))))</f>
        <v/>
      </c>
      <c r="I143">
        <f>IF(OR(N(Database!$BF143)&lt;=0,N(Screener!$D$13)&lt;=0),0,MAX(0,1-ABS(LOG10(N(Database!$BF143)/Screener!$D$13))/W_PEHW))</f>
        <v/>
      </c>
      <c r="J143">
        <f>IF(OR(N(Database!$S143)&lt;=0,N(Screener!$D$14)&lt;=0),0,MAX(0,1-ABS(LOG10(Database!$S143/Screener!$D$14))/0.6))</f>
        <v/>
      </c>
      <c r="K143">
        <f>IF(Database!$B143=Screener!$B$5,-999999,IF(ISNUMBER(SEARCH(","&amp;Database!$A143&amp;",",","&amp;SUBSTITUTE(Screener!$D$17," ","")&amp;",")),2000000,IF(IF(OR(Screener!$B$18="All",AND(Screener!$B$18="With A-share",(Database!$BK143="Y")),AND(Screener!$B$18="Without A-share",NOT((Database!$BK143="Y")))),1,0)=0,-999999,IF(Screener!$B$16="cornerstone overlap first",H143*100000,IF(Screener!$B$16="demand-similar first",J143*100000,0))+W_SUB*B143+W_SEC*C143*(1-B143)+W_SIZE*D143+W_PROF*E143+W_AH*F143+W_REC*G143+W_CS*H143+W_PE*I143)))+ROW()/1000000</f>
        <v/>
      </c>
      <c r="AA143">
        <f>Database!B133</f>
        <v/>
      </c>
      <c r="AB143">
        <f>Database!D133</f>
        <v/>
      </c>
      <c r="AC143">
        <f>Database!E133</f>
        <v/>
      </c>
      <c r="AD143">
        <f>Database!I133</f>
        <v/>
      </c>
      <c r="AE143">
        <f>Database!BE133</f>
        <v/>
      </c>
      <c r="AF143">
        <f>Database!BK133</f>
        <v/>
      </c>
      <c r="AG143">
        <f>Database!H133</f>
        <v/>
      </c>
      <c r="AH143">
        <f>Database!BF133</f>
        <v/>
      </c>
    </row>
    <row r="144">
      <c r="A144">
        <f>Database!B144</f>
        <v/>
      </c>
      <c r="B144">
        <f>IF(AND(Screener!$D$8&lt;&gt;"",Database!$E144=Screener!$D$8),1,0)</f>
        <v/>
      </c>
      <c r="C144">
        <f>IF(AND(Screener!$D$7&lt;&gt;"",Database!$D144=Screener!$D$7),1,0)</f>
        <v/>
      </c>
      <c r="D144">
        <f>IF(OR(N(Database!$I144)&lt;=0,N(Screener!$D$9)&lt;=0),0,MAX(0,1-ABS(LOG10(N(Database!$I144)/Screener!$D$9))/W_SIZEHW))</f>
        <v/>
      </c>
      <c r="E144">
        <f>IF(OR(Database!$BE144="",Screener!$D$10=""),0,IF(Database!$BE144=Screener!$D$10,1,0))</f>
        <v/>
      </c>
      <c r="F144">
        <f>IF(OR(Database!$BK144="",Screener!$D$11=""),0,IF(Database!$BK144=Screener!$D$11,1,0))</f>
        <v/>
      </c>
      <c r="G144">
        <f>IF(OR(Database!$H144="",N(Screener!$D$12)&lt;=0),0,MAX(0,1-(N(Screener!$D$12)-Database!$H144)/W_RECD))</f>
        <v/>
      </c>
      <c r="H144">
        <f>IF($U$1="",0,N(ISNUMBER(SEARCH($U$1,Database!$Z144&amp;""))))+IF($V$1="",0,N(ISNUMBER(SEARCH($V$1,Database!$Z144&amp;""))))+IF($W$1="",0,N(ISNUMBER(SEARCH($W$1,Database!$Z144&amp;""))))+IF($X$1="",0,N(ISNUMBER(SEARCH($X$1,Database!$Z144&amp;""))))+IF($Y$1="",0,N(ISNUMBER(SEARCH($Y$1,Database!$Z144&amp;""))))+IF(Screener!$B$17="",0,N(ISNUMBER(SEARCH(LOWER(Screener!$B$17),Database!$Z144&amp;""))))</f>
        <v/>
      </c>
      <c r="I144">
        <f>IF(OR(N(Database!$BF144)&lt;=0,N(Screener!$D$13)&lt;=0),0,MAX(0,1-ABS(LOG10(N(Database!$BF144)/Screener!$D$13))/W_PEHW))</f>
        <v/>
      </c>
      <c r="J144">
        <f>IF(OR(N(Database!$S144)&lt;=0,N(Screener!$D$14)&lt;=0),0,MAX(0,1-ABS(LOG10(Database!$S144/Screener!$D$14))/0.6))</f>
        <v/>
      </c>
      <c r="K144">
        <f>IF(Database!$B144=Screener!$B$5,-999999,IF(ISNUMBER(SEARCH(","&amp;Database!$A144&amp;",",","&amp;SUBSTITUTE(Screener!$D$17," ","")&amp;",")),2000000,IF(IF(OR(Screener!$B$18="All",AND(Screener!$B$18="With A-share",(Database!$BK144="Y")),AND(Screener!$B$18="Without A-share",NOT((Database!$BK144="Y")))),1,0)=0,-999999,IF(Screener!$B$16="cornerstone overlap first",H144*100000,IF(Screener!$B$16="demand-similar first",J144*100000,0))+W_SUB*B144+W_SEC*C144*(1-B144)+W_SIZE*D144+W_PROF*E144+W_AH*F144+W_REC*G144+W_CS*H144+W_PE*I144)))+ROW()/1000000</f>
        <v/>
      </c>
      <c r="AA144">
        <f>Database!B134</f>
        <v/>
      </c>
      <c r="AB144">
        <f>Database!D134</f>
        <v/>
      </c>
      <c r="AC144">
        <f>Database!E134</f>
        <v/>
      </c>
      <c r="AD144">
        <f>Database!I134</f>
        <v/>
      </c>
      <c r="AE144">
        <f>Database!BE134</f>
        <v/>
      </c>
      <c r="AF144">
        <f>Database!BK134</f>
        <v/>
      </c>
      <c r="AG144">
        <f>Database!H134</f>
        <v/>
      </c>
      <c r="AH144">
        <f>Database!BF134</f>
        <v/>
      </c>
    </row>
    <row r="145">
      <c r="A145">
        <f>Database!B145</f>
        <v/>
      </c>
      <c r="B145">
        <f>IF(AND(Screener!$D$8&lt;&gt;"",Database!$E145=Screener!$D$8),1,0)</f>
        <v/>
      </c>
      <c r="C145">
        <f>IF(AND(Screener!$D$7&lt;&gt;"",Database!$D145=Screener!$D$7),1,0)</f>
        <v/>
      </c>
      <c r="D145">
        <f>IF(OR(N(Database!$I145)&lt;=0,N(Screener!$D$9)&lt;=0),0,MAX(0,1-ABS(LOG10(N(Database!$I145)/Screener!$D$9))/W_SIZEHW))</f>
        <v/>
      </c>
      <c r="E145">
        <f>IF(OR(Database!$BE145="",Screener!$D$10=""),0,IF(Database!$BE145=Screener!$D$10,1,0))</f>
        <v/>
      </c>
      <c r="F145">
        <f>IF(OR(Database!$BK145="",Screener!$D$11=""),0,IF(Database!$BK145=Screener!$D$11,1,0))</f>
        <v/>
      </c>
      <c r="G145">
        <f>IF(OR(Database!$H145="",N(Screener!$D$12)&lt;=0),0,MAX(0,1-(N(Screener!$D$12)-Database!$H145)/W_RECD))</f>
        <v/>
      </c>
      <c r="H145">
        <f>IF($U$1="",0,N(ISNUMBER(SEARCH($U$1,Database!$Z145&amp;""))))+IF($V$1="",0,N(ISNUMBER(SEARCH($V$1,Database!$Z145&amp;""))))+IF($W$1="",0,N(ISNUMBER(SEARCH($W$1,Database!$Z145&amp;""))))+IF($X$1="",0,N(ISNUMBER(SEARCH($X$1,Database!$Z145&amp;""))))+IF($Y$1="",0,N(ISNUMBER(SEARCH($Y$1,Database!$Z145&amp;""))))+IF(Screener!$B$17="",0,N(ISNUMBER(SEARCH(LOWER(Screener!$B$17),Database!$Z145&amp;""))))</f>
        <v/>
      </c>
      <c r="I145">
        <f>IF(OR(N(Database!$BF145)&lt;=0,N(Screener!$D$13)&lt;=0),0,MAX(0,1-ABS(LOG10(N(Database!$BF145)/Screener!$D$13))/W_PEHW))</f>
        <v/>
      </c>
      <c r="J145">
        <f>IF(OR(N(Database!$S145)&lt;=0,N(Screener!$D$14)&lt;=0),0,MAX(0,1-ABS(LOG10(Database!$S145/Screener!$D$14))/0.6))</f>
        <v/>
      </c>
      <c r="K145">
        <f>IF(Database!$B145=Screener!$B$5,-999999,IF(ISNUMBER(SEARCH(","&amp;Database!$A145&amp;",",","&amp;SUBSTITUTE(Screener!$D$17," ","")&amp;",")),2000000,IF(IF(OR(Screener!$B$18="All",AND(Screener!$B$18="With A-share",(Database!$BK145="Y")),AND(Screener!$B$18="Without A-share",NOT((Database!$BK145="Y")))),1,0)=0,-999999,IF(Screener!$B$16="cornerstone overlap first",H145*100000,IF(Screener!$B$16="demand-similar first",J145*100000,0))+W_SUB*B145+W_SEC*C145*(1-B145)+W_SIZE*D145+W_PROF*E145+W_AH*F145+W_REC*G145+W_CS*H145+W_PE*I145)))+ROW()/1000000</f>
        <v/>
      </c>
      <c r="AA145">
        <f>Database!B135</f>
        <v/>
      </c>
      <c r="AB145">
        <f>Database!D135</f>
        <v/>
      </c>
      <c r="AC145">
        <f>Database!E135</f>
        <v/>
      </c>
      <c r="AD145">
        <f>Database!I135</f>
        <v/>
      </c>
      <c r="AE145">
        <f>Database!BE135</f>
        <v/>
      </c>
      <c r="AF145">
        <f>Database!BK135</f>
        <v/>
      </c>
      <c r="AG145">
        <f>Database!H135</f>
        <v/>
      </c>
      <c r="AH145">
        <f>Database!BF135</f>
        <v/>
      </c>
    </row>
    <row r="146">
      <c r="A146">
        <f>Database!B146</f>
        <v/>
      </c>
      <c r="B146">
        <f>IF(AND(Screener!$D$8&lt;&gt;"",Database!$E146=Screener!$D$8),1,0)</f>
        <v/>
      </c>
      <c r="C146">
        <f>IF(AND(Screener!$D$7&lt;&gt;"",Database!$D146=Screener!$D$7),1,0)</f>
        <v/>
      </c>
      <c r="D146">
        <f>IF(OR(N(Database!$I146)&lt;=0,N(Screener!$D$9)&lt;=0),0,MAX(0,1-ABS(LOG10(N(Database!$I146)/Screener!$D$9))/W_SIZEHW))</f>
        <v/>
      </c>
      <c r="E146">
        <f>IF(OR(Database!$BE146="",Screener!$D$10=""),0,IF(Database!$BE146=Screener!$D$10,1,0))</f>
        <v/>
      </c>
      <c r="F146">
        <f>IF(OR(Database!$BK146="",Screener!$D$11=""),0,IF(Database!$BK146=Screener!$D$11,1,0))</f>
        <v/>
      </c>
      <c r="G146">
        <f>IF(OR(Database!$H146="",N(Screener!$D$12)&lt;=0),0,MAX(0,1-(N(Screener!$D$12)-Database!$H146)/W_RECD))</f>
        <v/>
      </c>
      <c r="H146">
        <f>IF($U$1="",0,N(ISNUMBER(SEARCH($U$1,Database!$Z146&amp;""))))+IF($V$1="",0,N(ISNUMBER(SEARCH($V$1,Database!$Z146&amp;""))))+IF($W$1="",0,N(ISNUMBER(SEARCH($W$1,Database!$Z146&amp;""))))+IF($X$1="",0,N(ISNUMBER(SEARCH($X$1,Database!$Z146&amp;""))))+IF($Y$1="",0,N(ISNUMBER(SEARCH($Y$1,Database!$Z146&amp;""))))+IF(Screener!$B$17="",0,N(ISNUMBER(SEARCH(LOWER(Screener!$B$17),Database!$Z146&amp;""))))</f>
        <v/>
      </c>
      <c r="I146">
        <f>IF(OR(N(Database!$BF146)&lt;=0,N(Screener!$D$13)&lt;=0),0,MAX(0,1-ABS(LOG10(N(Database!$BF146)/Screener!$D$13))/W_PEHW))</f>
        <v/>
      </c>
      <c r="J146">
        <f>IF(OR(N(Database!$S146)&lt;=0,N(Screener!$D$14)&lt;=0),0,MAX(0,1-ABS(LOG10(Database!$S146/Screener!$D$14))/0.6))</f>
        <v/>
      </c>
      <c r="K146">
        <f>IF(Database!$B146=Screener!$B$5,-999999,IF(ISNUMBER(SEARCH(","&amp;Database!$A146&amp;",",","&amp;SUBSTITUTE(Screener!$D$17," ","")&amp;",")),2000000,IF(IF(OR(Screener!$B$18="All",AND(Screener!$B$18="With A-share",(Database!$BK146="Y")),AND(Screener!$B$18="Without A-share",NOT((Database!$BK146="Y")))),1,0)=0,-999999,IF(Screener!$B$16="cornerstone overlap first",H146*100000,IF(Screener!$B$16="demand-similar first",J146*100000,0))+W_SUB*B146+W_SEC*C146*(1-B146)+W_SIZE*D146+W_PROF*E146+W_AH*F146+W_REC*G146+W_CS*H146+W_PE*I146)))+ROW()/1000000</f>
        <v/>
      </c>
      <c r="AA146">
        <f>Database!B136</f>
        <v/>
      </c>
      <c r="AB146">
        <f>Database!D136</f>
        <v/>
      </c>
      <c r="AC146">
        <f>Database!E136</f>
        <v/>
      </c>
      <c r="AD146">
        <f>Database!I136</f>
        <v/>
      </c>
      <c r="AE146">
        <f>Database!BE136</f>
        <v/>
      </c>
      <c r="AF146">
        <f>Database!BK136</f>
        <v/>
      </c>
      <c r="AG146">
        <f>Database!H136</f>
        <v/>
      </c>
      <c r="AH146">
        <f>Database!BF136</f>
        <v/>
      </c>
    </row>
    <row r="147">
      <c r="A147">
        <f>Database!B147</f>
        <v/>
      </c>
      <c r="B147">
        <f>IF(AND(Screener!$D$8&lt;&gt;"",Database!$E147=Screener!$D$8),1,0)</f>
        <v/>
      </c>
      <c r="C147">
        <f>IF(AND(Screener!$D$7&lt;&gt;"",Database!$D147=Screener!$D$7),1,0)</f>
        <v/>
      </c>
      <c r="D147">
        <f>IF(OR(N(Database!$I147)&lt;=0,N(Screener!$D$9)&lt;=0),0,MAX(0,1-ABS(LOG10(N(Database!$I147)/Screener!$D$9))/W_SIZEHW))</f>
        <v/>
      </c>
      <c r="E147">
        <f>IF(OR(Database!$BE147="",Screener!$D$10=""),0,IF(Database!$BE147=Screener!$D$10,1,0))</f>
        <v/>
      </c>
      <c r="F147">
        <f>IF(OR(Database!$BK147="",Screener!$D$11=""),0,IF(Database!$BK147=Screener!$D$11,1,0))</f>
        <v/>
      </c>
      <c r="G147">
        <f>IF(OR(Database!$H147="",N(Screener!$D$12)&lt;=0),0,MAX(0,1-(N(Screener!$D$12)-Database!$H147)/W_RECD))</f>
        <v/>
      </c>
      <c r="H147">
        <f>IF($U$1="",0,N(ISNUMBER(SEARCH($U$1,Database!$Z147&amp;""))))+IF($V$1="",0,N(ISNUMBER(SEARCH($V$1,Database!$Z147&amp;""))))+IF($W$1="",0,N(ISNUMBER(SEARCH($W$1,Database!$Z147&amp;""))))+IF($X$1="",0,N(ISNUMBER(SEARCH($X$1,Database!$Z147&amp;""))))+IF($Y$1="",0,N(ISNUMBER(SEARCH($Y$1,Database!$Z147&amp;""))))+IF(Screener!$B$17="",0,N(ISNUMBER(SEARCH(LOWER(Screener!$B$17),Database!$Z147&amp;""))))</f>
        <v/>
      </c>
      <c r="I147">
        <f>IF(OR(N(Database!$BF147)&lt;=0,N(Screener!$D$13)&lt;=0),0,MAX(0,1-ABS(LOG10(N(Database!$BF147)/Screener!$D$13))/W_PEHW))</f>
        <v/>
      </c>
      <c r="J147">
        <f>IF(OR(N(Database!$S147)&lt;=0,N(Screener!$D$14)&lt;=0),0,MAX(0,1-ABS(LOG10(Database!$S147/Screener!$D$14))/0.6))</f>
        <v/>
      </c>
      <c r="K147">
        <f>IF(Database!$B147=Screener!$B$5,-999999,IF(ISNUMBER(SEARCH(","&amp;Database!$A147&amp;",",","&amp;SUBSTITUTE(Screener!$D$17," ","")&amp;",")),2000000,IF(IF(OR(Screener!$B$18="All",AND(Screener!$B$18="With A-share",(Database!$BK147="Y")),AND(Screener!$B$18="Without A-share",NOT((Database!$BK147="Y")))),1,0)=0,-999999,IF(Screener!$B$16="cornerstone overlap first",H147*100000,IF(Screener!$B$16="demand-similar first",J147*100000,0))+W_SUB*B147+W_SEC*C147*(1-B147)+W_SIZE*D147+W_PROF*E147+W_AH*F147+W_REC*G147+W_CS*H147+W_PE*I147)))+ROW()/1000000</f>
        <v/>
      </c>
      <c r="AA147">
        <f>Database!B137</f>
        <v/>
      </c>
      <c r="AB147">
        <f>Database!D137</f>
        <v/>
      </c>
      <c r="AC147">
        <f>Database!E137</f>
        <v/>
      </c>
      <c r="AD147">
        <f>Database!I137</f>
        <v/>
      </c>
      <c r="AE147">
        <f>Database!BE137</f>
        <v/>
      </c>
      <c r="AF147">
        <f>Database!BK137</f>
        <v/>
      </c>
      <c r="AG147">
        <f>Database!H137</f>
        <v/>
      </c>
      <c r="AH147">
        <f>Database!BF137</f>
        <v/>
      </c>
    </row>
    <row r="148">
      <c r="A148">
        <f>Database!B148</f>
        <v/>
      </c>
      <c r="B148">
        <f>IF(AND(Screener!$D$8&lt;&gt;"",Database!$E148=Screener!$D$8),1,0)</f>
        <v/>
      </c>
      <c r="C148">
        <f>IF(AND(Screener!$D$7&lt;&gt;"",Database!$D148=Screener!$D$7),1,0)</f>
        <v/>
      </c>
      <c r="D148">
        <f>IF(OR(N(Database!$I148)&lt;=0,N(Screener!$D$9)&lt;=0),0,MAX(0,1-ABS(LOG10(N(Database!$I148)/Screener!$D$9))/W_SIZEHW))</f>
        <v/>
      </c>
      <c r="E148">
        <f>IF(OR(Database!$BE148="",Screener!$D$10=""),0,IF(Database!$BE148=Screener!$D$10,1,0))</f>
        <v/>
      </c>
      <c r="F148">
        <f>IF(OR(Database!$BK148="",Screener!$D$11=""),0,IF(Database!$BK148=Screener!$D$11,1,0))</f>
        <v/>
      </c>
      <c r="G148">
        <f>IF(OR(Database!$H148="",N(Screener!$D$12)&lt;=0),0,MAX(0,1-(N(Screener!$D$12)-Database!$H148)/W_RECD))</f>
        <v/>
      </c>
      <c r="H148">
        <f>IF($U$1="",0,N(ISNUMBER(SEARCH($U$1,Database!$Z148&amp;""))))+IF($V$1="",0,N(ISNUMBER(SEARCH($V$1,Database!$Z148&amp;""))))+IF($W$1="",0,N(ISNUMBER(SEARCH($W$1,Database!$Z148&amp;""))))+IF($X$1="",0,N(ISNUMBER(SEARCH($X$1,Database!$Z148&amp;""))))+IF($Y$1="",0,N(ISNUMBER(SEARCH($Y$1,Database!$Z148&amp;""))))+IF(Screener!$B$17="",0,N(ISNUMBER(SEARCH(LOWER(Screener!$B$17),Database!$Z148&amp;""))))</f>
        <v/>
      </c>
      <c r="I148">
        <f>IF(OR(N(Database!$BF148)&lt;=0,N(Screener!$D$13)&lt;=0),0,MAX(0,1-ABS(LOG10(N(Database!$BF148)/Screener!$D$13))/W_PEHW))</f>
        <v/>
      </c>
      <c r="J148">
        <f>IF(OR(N(Database!$S148)&lt;=0,N(Screener!$D$14)&lt;=0),0,MAX(0,1-ABS(LOG10(Database!$S148/Screener!$D$14))/0.6))</f>
        <v/>
      </c>
      <c r="K148">
        <f>IF(Database!$B148=Screener!$B$5,-999999,IF(ISNUMBER(SEARCH(","&amp;Database!$A148&amp;",",","&amp;SUBSTITUTE(Screener!$D$17," ","")&amp;",")),2000000,IF(IF(OR(Screener!$B$18="All",AND(Screener!$B$18="With A-share",(Database!$BK148="Y")),AND(Screener!$B$18="Without A-share",NOT((Database!$BK148="Y")))),1,0)=0,-999999,IF(Screener!$B$16="cornerstone overlap first",H148*100000,IF(Screener!$B$16="demand-similar first",J148*100000,0))+W_SUB*B148+W_SEC*C148*(1-B148)+W_SIZE*D148+W_PROF*E148+W_AH*F148+W_REC*G148+W_CS*H148+W_PE*I148)))+ROW()/1000000</f>
        <v/>
      </c>
      <c r="AA148">
        <f>Database!B138</f>
        <v/>
      </c>
      <c r="AB148">
        <f>Database!D138</f>
        <v/>
      </c>
      <c r="AC148">
        <f>Database!E138</f>
        <v/>
      </c>
      <c r="AD148">
        <f>Database!I138</f>
        <v/>
      </c>
      <c r="AE148">
        <f>Database!BE138</f>
        <v/>
      </c>
      <c r="AF148">
        <f>Database!BK138</f>
        <v/>
      </c>
      <c r="AG148">
        <f>Database!H138</f>
        <v/>
      </c>
      <c r="AH148">
        <f>Database!BF138</f>
        <v/>
      </c>
    </row>
    <row r="149">
      <c r="A149">
        <f>Database!B149</f>
        <v/>
      </c>
      <c r="B149">
        <f>IF(AND(Screener!$D$8&lt;&gt;"",Database!$E149=Screener!$D$8),1,0)</f>
        <v/>
      </c>
      <c r="C149">
        <f>IF(AND(Screener!$D$7&lt;&gt;"",Database!$D149=Screener!$D$7),1,0)</f>
        <v/>
      </c>
      <c r="D149">
        <f>IF(OR(N(Database!$I149)&lt;=0,N(Screener!$D$9)&lt;=0),0,MAX(0,1-ABS(LOG10(N(Database!$I149)/Screener!$D$9))/W_SIZEHW))</f>
        <v/>
      </c>
      <c r="E149">
        <f>IF(OR(Database!$BE149="",Screener!$D$10=""),0,IF(Database!$BE149=Screener!$D$10,1,0))</f>
        <v/>
      </c>
      <c r="F149">
        <f>IF(OR(Database!$BK149="",Screener!$D$11=""),0,IF(Database!$BK149=Screener!$D$11,1,0))</f>
        <v/>
      </c>
      <c r="G149">
        <f>IF(OR(Database!$H149="",N(Screener!$D$12)&lt;=0),0,MAX(0,1-(N(Screener!$D$12)-Database!$H149)/W_RECD))</f>
        <v/>
      </c>
      <c r="H149">
        <f>IF($U$1="",0,N(ISNUMBER(SEARCH($U$1,Database!$Z149&amp;""))))+IF($V$1="",0,N(ISNUMBER(SEARCH($V$1,Database!$Z149&amp;""))))+IF($W$1="",0,N(ISNUMBER(SEARCH($W$1,Database!$Z149&amp;""))))+IF($X$1="",0,N(ISNUMBER(SEARCH($X$1,Database!$Z149&amp;""))))+IF($Y$1="",0,N(ISNUMBER(SEARCH($Y$1,Database!$Z149&amp;""))))+IF(Screener!$B$17="",0,N(ISNUMBER(SEARCH(LOWER(Screener!$B$17),Database!$Z149&amp;""))))</f>
        <v/>
      </c>
      <c r="I149">
        <f>IF(OR(N(Database!$BF149)&lt;=0,N(Screener!$D$13)&lt;=0),0,MAX(0,1-ABS(LOG10(N(Database!$BF149)/Screener!$D$13))/W_PEHW))</f>
        <v/>
      </c>
      <c r="J149">
        <f>IF(OR(N(Database!$S149)&lt;=0,N(Screener!$D$14)&lt;=0),0,MAX(0,1-ABS(LOG10(Database!$S149/Screener!$D$14))/0.6))</f>
        <v/>
      </c>
      <c r="K149">
        <f>IF(Database!$B149=Screener!$B$5,-999999,IF(ISNUMBER(SEARCH(","&amp;Database!$A149&amp;",",","&amp;SUBSTITUTE(Screener!$D$17," ","")&amp;",")),2000000,IF(IF(OR(Screener!$B$18="All",AND(Screener!$B$18="With A-share",(Database!$BK149="Y")),AND(Screener!$B$18="Without A-share",NOT((Database!$BK149="Y")))),1,0)=0,-999999,IF(Screener!$B$16="cornerstone overlap first",H149*100000,IF(Screener!$B$16="demand-similar first",J149*100000,0))+W_SUB*B149+W_SEC*C149*(1-B149)+W_SIZE*D149+W_PROF*E149+W_AH*F149+W_REC*G149+W_CS*H149+W_PE*I149)))+ROW()/1000000</f>
        <v/>
      </c>
      <c r="AA149">
        <f>Database!B139</f>
        <v/>
      </c>
      <c r="AB149">
        <f>Database!D139</f>
        <v/>
      </c>
      <c r="AC149">
        <f>Database!E139</f>
        <v/>
      </c>
      <c r="AD149">
        <f>Database!I139</f>
        <v/>
      </c>
      <c r="AE149">
        <f>Database!BE139</f>
        <v/>
      </c>
      <c r="AF149">
        <f>Database!BK139</f>
        <v/>
      </c>
      <c r="AG149">
        <f>Database!H139</f>
        <v/>
      </c>
      <c r="AH149">
        <f>Database!BF139</f>
        <v/>
      </c>
    </row>
    <row r="150">
      <c r="A150">
        <f>Database!B150</f>
        <v/>
      </c>
      <c r="B150">
        <f>IF(AND(Screener!$D$8&lt;&gt;"",Database!$E150=Screener!$D$8),1,0)</f>
        <v/>
      </c>
      <c r="C150">
        <f>IF(AND(Screener!$D$7&lt;&gt;"",Database!$D150=Screener!$D$7),1,0)</f>
        <v/>
      </c>
      <c r="D150">
        <f>IF(OR(N(Database!$I150)&lt;=0,N(Screener!$D$9)&lt;=0),0,MAX(0,1-ABS(LOG10(N(Database!$I150)/Screener!$D$9))/W_SIZEHW))</f>
        <v/>
      </c>
      <c r="E150">
        <f>IF(OR(Database!$BE150="",Screener!$D$10=""),0,IF(Database!$BE150=Screener!$D$10,1,0))</f>
        <v/>
      </c>
      <c r="F150">
        <f>IF(OR(Database!$BK150="",Screener!$D$11=""),0,IF(Database!$BK150=Screener!$D$11,1,0))</f>
        <v/>
      </c>
      <c r="G150">
        <f>IF(OR(Database!$H150="",N(Screener!$D$12)&lt;=0),0,MAX(0,1-(N(Screener!$D$12)-Database!$H150)/W_RECD))</f>
        <v/>
      </c>
      <c r="H150">
        <f>IF($U$1="",0,N(ISNUMBER(SEARCH($U$1,Database!$Z150&amp;""))))+IF($V$1="",0,N(ISNUMBER(SEARCH($V$1,Database!$Z150&amp;""))))+IF($W$1="",0,N(ISNUMBER(SEARCH($W$1,Database!$Z150&amp;""))))+IF($X$1="",0,N(ISNUMBER(SEARCH($X$1,Database!$Z150&amp;""))))+IF($Y$1="",0,N(ISNUMBER(SEARCH($Y$1,Database!$Z150&amp;""))))+IF(Screener!$B$17="",0,N(ISNUMBER(SEARCH(LOWER(Screener!$B$17),Database!$Z150&amp;""))))</f>
        <v/>
      </c>
      <c r="I150">
        <f>IF(OR(N(Database!$BF150)&lt;=0,N(Screener!$D$13)&lt;=0),0,MAX(0,1-ABS(LOG10(N(Database!$BF150)/Screener!$D$13))/W_PEHW))</f>
        <v/>
      </c>
      <c r="J150">
        <f>IF(OR(N(Database!$S150)&lt;=0,N(Screener!$D$14)&lt;=0),0,MAX(0,1-ABS(LOG10(Database!$S150/Screener!$D$14))/0.6))</f>
        <v/>
      </c>
      <c r="K150">
        <f>IF(Database!$B150=Screener!$B$5,-999999,IF(ISNUMBER(SEARCH(","&amp;Database!$A150&amp;",",","&amp;SUBSTITUTE(Screener!$D$17," ","")&amp;",")),2000000,IF(IF(OR(Screener!$B$18="All",AND(Screener!$B$18="With A-share",(Database!$BK150="Y")),AND(Screener!$B$18="Without A-share",NOT((Database!$BK150="Y")))),1,0)=0,-999999,IF(Screener!$B$16="cornerstone overlap first",H150*100000,IF(Screener!$B$16="demand-similar first",J150*100000,0))+W_SUB*B150+W_SEC*C150*(1-B150)+W_SIZE*D150+W_PROF*E150+W_AH*F150+W_REC*G150+W_CS*H150+W_PE*I150)))+ROW()/1000000</f>
        <v/>
      </c>
      <c r="AA150">
        <f>Database!B140</f>
        <v/>
      </c>
      <c r="AB150">
        <f>Database!D140</f>
        <v/>
      </c>
      <c r="AC150">
        <f>Database!E140</f>
        <v/>
      </c>
      <c r="AD150">
        <f>Database!I140</f>
        <v/>
      </c>
      <c r="AE150">
        <f>Database!BE140</f>
        <v/>
      </c>
      <c r="AF150">
        <f>Database!BK140</f>
        <v/>
      </c>
      <c r="AG150">
        <f>Database!H140</f>
        <v/>
      </c>
      <c r="AH150">
        <f>Database!BF140</f>
        <v/>
      </c>
    </row>
    <row r="151">
      <c r="A151">
        <f>Database!B151</f>
        <v/>
      </c>
      <c r="B151">
        <f>IF(AND(Screener!$D$8&lt;&gt;"",Database!$E151=Screener!$D$8),1,0)</f>
        <v/>
      </c>
      <c r="C151">
        <f>IF(AND(Screener!$D$7&lt;&gt;"",Database!$D151=Screener!$D$7),1,0)</f>
        <v/>
      </c>
      <c r="D151">
        <f>IF(OR(N(Database!$I151)&lt;=0,N(Screener!$D$9)&lt;=0),0,MAX(0,1-ABS(LOG10(N(Database!$I151)/Screener!$D$9))/W_SIZEHW))</f>
        <v/>
      </c>
      <c r="E151">
        <f>IF(OR(Database!$BE151="",Screener!$D$10=""),0,IF(Database!$BE151=Screener!$D$10,1,0))</f>
        <v/>
      </c>
      <c r="F151">
        <f>IF(OR(Database!$BK151="",Screener!$D$11=""),0,IF(Database!$BK151=Screener!$D$11,1,0))</f>
        <v/>
      </c>
      <c r="G151">
        <f>IF(OR(Database!$H151="",N(Screener!$D$12)&lt;=0),0,MAX(0,1-(N(Screener!$D$12)-Database!$H151)/W_RECD))</f>
        <v/>
      </c>
      <c r="H151">
        <f>IF($U$1="",0,N(ISNUMBER(SEARCH($U$1,Database!$Z151&amp;""))))+IF($V$1="",0,N(ISNUMBER(SEARCH($V$1,Database!$Z151&amp;""))))+IF($W$1="",0,N(ISNUMBER(SEARCH($W$1,Database!$Z151&amp;""))))+IF($X$1="",0,N(ISNUMBER(SEARCH($X$1,Database!$Z151&amp;""))))+IF($Y$1="",0,N(ISNUMBER(SEARCH($Y$1,Database!$Z151&amp;""))))+IF(Screener!$B$17="",0,N(ISNUMBER(SEARCH(LOWER(Screener!$B$17),Database!$Z151&amp;""))))</f>
        <v/>
      </c>
      <c r="I151">
        <f>IF(OR(N(Database!$BF151)&lt;=0,N(Screener!$D$13)&lt;=0),0,MAX(0,1-ABS(LOG10(N(Database!$BF151)/Screener!$D$13))/W_PEHW))</f>
        <v/>
      </c>
      <c r="J151">
        <f>IF(OR(N(Database!$S151)&lt;=0,N(Screener!$D$14)&lt;=0),0,MAX(0,1-ABS(LOG10(Database!$S151/Screener!$D$14))/0.6))</f>
        <v/>
      </c>
      <c r="K151">
        <f>IF(Database!$B151=Screener!$B$5,-999999,IF(ISNUMBER(SEARCH(","&amp;Database!$A151&amp;",",","&amp;SUBSTITUTE(Screener!$D$17," ","")&amp;",")),2000000,IF(IF(OR(Screener!$B$18="All",AND(Screener!$B$18="With A-share",(Database!$BK151="Y")),AND(Screener!$B$18="Without A-share",NOT((Database!$BK151="Y")))),1,0)=0,-999999,IF(Screener!$B$16="cornerstone overlap first",H151*100000,IF(Screener!$B$16="demand-similar first",J151*100000,0))+W_SUB*B151+W_SEC*C151*(1-B151)+W_SIZE*D151+W_PROF*E151+W_AH*F151+W_REC*G151+W_CS*H151+W_PE*I151)))+ROW()/1000000</f>
        <v/>
      </c>
      <c r="AA151">
        <f>Database!B141</f>
        <v/>
      </c>
      <c r="AB151">
        <f>Database!D141</f>
        <v/>
      </c>
      <c r="AC151">
        <f>Database!E141</f>
        <v/>
      </c>
      <c r="AD151">
        <f>Database!I141</f>
        <v/>
      </c>
      <c r="AE151">
        <f>Database!BE141</f>
        <v/>
      </c>
      <c r="AF151">
        <f>Database!BK141</f>
        <v/>
      </c>
      <c r="AG151">
        <f>Database!H141</f>
        <v/>
      </c>
      <c r="AH151">
        <f>Database!BF141</f>
        <v/>
      </c>
    </row>
    <row r="152">
      <c r="A152">
        <f>Database!B152</f>
        <v/>
      </c>
      <c r="B152">
        <f>IF(AND(Screener!$D$8&lt;&gt;"",Database!$E152=Screener!$D$8),1,0)</f>
        <v/>
      </c>
      <c r="C152">
        <f>IF(AND(Screener!$D$7&lt;&gt;"",Database!$D152=Screener!$D$7),1,0)</f>
        <v/>
      </c>
      <c r="D152">
        <f>IF(OR(N(Database!$I152)&lt;=0,N(Screener!$D$9)&lt;=0),0,MAX(0,1-ABS(LOG10(N(Database!$I152)/Screener!$D$9))/W_SIZEHW))</f>
        <v/>
      </c>
      <c r="E152">
        <f>IF(OR(Database!$BE152="",Screener!$D$10=""),0,IF(Database!$BE152=Screener!$D$10,1,0))</f>
        <v/>
      </c>
      <c r="F152">
        <f>IF(OR(Database!$BK152="",Screener!$D$11=""),0,IF(Database!$BK152=Screener!$D$11,1,0))</f>
        <v/>
      </c>
      <c r="G152">
        <f>IF(OR(Database!$H152="",N(Screener!$D$12)&lt;=0),0,MAX(0,1-(N(Screener!$D$12)-Database!$H152)/W_RECD))</f>
        <v/>
      </c>
      <c r="H152">
        <f>IF($U$1="",0,N(ISNUMBER(SEARCH($U$1,Database!$Z152&amp;""))))+IF($V$1="",0,N(ISNUMBER(SEARCH($V$1,Database!$Z152&amp;""))))+IF($W$1="",0,N(ISNUMBER(SEARCH($W$1,Database!$Z152&amp;""))))+IF($X$1="",0,N(ISNUMBER(SEARCH($X$1,Database!$Z152&amp;""))))+IF($Y$1="",0,N(ISNUMBER(SEARCH($Y$1,Database!$Z152&amp;""))))+IF(Screener!$B$17="",0,N(ISNUMBER(SEARCH(LOWER(Screener!$B$17),Database!$Z152&amp;""))))</f>
        <v/>
      </c>
      <c r="I152">
        <f>IF(OR(N(Database!$BF152)&lt;=0,N(Screener!$D$13)&lt;=0),0,MAX(0,1-ABS(LOG10(N(Database!$BF152)/Screener!$D$13))/W_PEHW))</f>
        <v/>
      </c>
      <c r="J152">
        <f>IF(OR(N(Database!$S152)&lt;=0,N(Screener!$D$14)&lt;=0),0,MAX(0,1-ABS(LOG10(Database!$S152/Screener!$D$14))/0.6))</f>
        <v/>
      </c>
      <c r="K152">
        <f>IF(Database!$B152=Screener!$B$5,-999999,IF(ISNUMBER(SEARCH(","&amp;Database!$A152&amp;",",","&amp;SUBSTITUTE(Screener!$D$17," ","")&amp;",")),2000000,IF(IF(OR(Screener!$B$18="All",AND(Screener!$B$18="With A-share",(Database!$BK152="Y")),AND(Screener!$B$18="Without A-share",NOT((Database!$BK152="Y")))),1,0)=0,-999999,IF(Screener!$B$16="cornerstone overlap first",H152*100000,IF(Screener!$B$16="demand-similar first",J152*100000,0))+W_SUB*B152+W_SEC*C152*(1-B152)+W_SIZE*D152+W_PROF*E152+W_AH*F152+W_REC*G152+W_CS*H152+W_PE*I152)))+ROW()/1000000</f>
        <v/>
      </c>
      <c r="AA152">
        <f>Database!B142</f>
        <v/>
      </c>
      <c r="AB152">
        <f>Database!D142</f>
        <v/>
      </c>
      <c r="AC152">
        <f>Database!E142</f>
        <v/>
      </c>
      <c r="AD152">
        <f>Database!I142</f>
        <v/>
      </c>
      <c r="AE152">
        <f>Database!BE142</f>
        <v/>
      </c>
      <c r="AF152">
        <f>Database!BK142</f>
        <v/>
      </c>
      <c r="AG152">
        <f>Database!H142</f>
        <v/>
      </c>
      <c r="AH152">
        <f>Database!BF142</f>
        <v/>
      </c>
    </row>
    <row r="153">
      <c r="A153">
        <f>Database!B153</f>
        <v/>
      </c>
      <c r="B153">
        <f>IF(AND(Screener!$D$8&lt;&gt;"",Database!$E153=Screener!$D$8),1,0)</f>
        <v/>
      </c>
      <c r="C153">
        <f>IF(AND(Screener!$D$7&lt;&gt;"",Database!$D153=Screener!$D$7),1,0)</f>
        <v/>
      </c>
      <c r="D153">
        <f>IF(OR(N(Database!$I153)&lt;=0,N(Screener!$D$9)&lt;=0),0,MAX(0,1-ABS(LOG10(N(Database!$I153)/Screener!$D$9))/W_SIZEHW))</f>
        <v/>
      </c>
      <c r="E153">
        <f>IF(OR(Database!$BE153="",Screener!$D$10=""),0,IF(Database!$BE153=Screener!$D$10,1,0))</f>
        <v/>
      </c>
      <c r="F153">
        <f>IF(OR(Database!$BK153="",Screener!$D$11=""),0,IF(Database!$BK153=Screener!$D$11,1,0))</f>
        <v/>
      </c>
      <c r="G153">
        <f>IF(OR(Database!$H153="",N(Screener!$D$12)&lt;=0),0,MAX(0,1-(N(Screener!$D$12)-Database!$H153)/W_RECD))</f>
        <v/>
      </c>
      <c r="H153">
        <f>IF($U$1="",0,N(ISNUMBER(SEARCH($U$1,Database!$Z153&amp;""))))+IF($V$1="",0,N(ISNUMBER(SEARCH($V$1,Database!$Z153&amp;""))))+IF($W$1="",0,N(ISNUMBER(SEARCH($W$1,Database!$Z153&amp;""))))+IF($X$1="",0,N(ISNUMBER(SEARCH($X$1,Database!$Z153&amp;""))))+IF($Y$1="",0,N(ISNUMBER(SEARCH($Y$1,Database!$Z153&amp;""))))+IF(Screener!$B$17="",0,N(ISNUMBER(SEARCH(LOWER(Screener!$B$17),Database!$Z153&amp;""))))</f>
        <v/>
      </c>
      <c r="I153">
        <f>IF(OR(N(Database!$BF153)&lt;=0,N(Screener!$D$13)&lt;=0),0,MAX(0,1-ABS(LOG10(N(Database!$BF153)/Screener!$D$13))/W_PEHW))</f>
        <v/>
      </c>
      <c r="J153">
        <f>IF(OR(N(Database!$S153)&lt;=0,N(Screener!$D$14)&lt;=0),0,MAX(0,1-ABS(LOG10(Database!$S153/Screener!$D$14))/0.6))</f>
        <v/>
      </c>
      <c r="K153">
        <f>IF(Database!$B153=Screener!$B$5,-999999,IF(ISNUMBER(SEARCH(","&amp;Database!$A153&amp;",",","&amp;SUBSTITUTE(Screener!$D$17," ","")&amp;",")),2000000,IF(IF(OR(Screener!$B$18="All",AND(Screener!$B$18="With A-share",(Database!$BK153="Y")),AND(Screener!$B$18="Without A-share",NOT((Database!$BK153="Y")))),1,0)=0,-999999,IF(Screener!$B$16="cornerstone overlap first",H153*100000,IF(Screener!$B$16="demand-similar first",J153*100000,0))+W_SUB*B153+W_SEC*C153*(1-B153)+W_SIZE*D153+W_PROF*E153+W_AH*F153+W_REC*G153+W_CS*H153+W_PE*I153)))+ROW()/1000000</f>
        <v/>
      </c>
      <c r="AA153">
        <f>Database!B143</f>
        <v/>
      </c>
      <c r="AB153">
        <f>Database!D143</f>
        <v/>
      </c>
      <c r="AC153">
        <f>Database!E143</f>
        <v/>
      </c>
      <c r="AD153">
        <f>Database!I143</f>
        <v/>
      </c>
      <c r="AE153">
        <f>Database!BE143</f>
        <v/>
      </c>
      <c r="AF153">
        <f>Database!BK143</f>
        <v/>
      </c>
      <c r="AG153">
        <f>Database!H143</f>
        <v/>
      </c>
      <c r="AH153">
        <f>Database!BF143</f>
        <v/>
      </c>
    </row>
    <row r="154">
      <c r="A154">
        <f>Database!B154</f>
        <v/>
      </c>
      <c r="B154">
        <f>IF(AND(Screener!$D$8&lt;&gt;"",Database!$E154=Screener!$D$8),1,0)</f>
        <v/>
      </c>
      <c r="C154">
        <f>IF(AND(Screener!$D$7&lt;&gt;"",Database!$D154=Screener!$D$7),1,0)</f>
        <v/>
      </c>
      <c r="D154">
        <f>IF(OR(N(Database!$I154)&lt;=0,N(Screener!$D$9)&lt;=0),0,MAX(0,1-ABS(LOG10(N(Database!$I154)/Screener!$D$9))/W_SIZEHW))</f>
        <v/>
      </c>
      <c r="E154">
        <f>IF(OR(Database!$BE154="",Screener!$D$10=""),0,IF(Database!$BE154=Screener!$D$10,1,0))</f>
        <v/>
      </c>
      <c r="F154">
        <f>IF(OR(Database!$BK154="",Screener!$D$11=""),0,IF(Database!$BK154=Screener!$D$11,1,0))</f>
        <v/>
      </c>
      <c r="G154">
        <f>IF(OR(Database!$H154="",N(Screener!$D$12)&lt;=0),0,MAX(0,1-(N(Screener!$D$12)-Database!$H154)/W_RECD))</f>
        <v/>
      </c>
      <c r="H154">
        <f>IF($U$1="",0,N(ISNUMBER(SEARCH($U$1,Database!$Z154&amp;""))))+IF($V$1="",0,N(ISNUMBER(SEARCH($V$1,Database!$Z154&amp;""))))+IF($W$1="",0,N(ISNUMBER(SEARCH($W$1,Database!$Z154&amp;""))))+IF($X$1="",0,N(ISNUMBER(SEARCH($X$1,Database!$Z154&amp;""))))+IF($Y$1="",0,N(ISNUMBER(SEARCH($Y$1,Database!$Z154&amp;""))))+IF(Screener!$B$17="",0,N(ISNUMBER(SEARCH(LOWER(Screener!$B$17),Database!$Z154&amp;""))))</f>
        <v/>
      </c>
      <c r="I154">
        <f>IF(OR(N(Database!$BF154)&lt;=0,N(Screener!$D$13)&lt;=0),0,MAX(0,1-ABS(LOG10(N(Database!$BF154)/Screener!$D$13))/W_PEHW))</f>
        <v/>
      </c>
      <c r="J154">
        <f>IF(OR(N(Database!$S154)&lt;=0,N(Screener!$D$14)&lt;=0),0,MAX(0,1-ABS(LOG10(Database!$S154/Screener!$D$14))/0.6))</f>
        <v/>
      </c>
      <c r="K154">
        <f>IF(Database!$B154=Screener!$B$5,-999999,IF(ISNUMBER(SEARCH(","&amp;Database!$A154&amp;",",","&amp;SUBSTITUTE(Screener!$D$17," ","")&amp;",")),2000000,IF(IF(OR(Screener!$B$18="All",AND(Screener!$B$18="With A-share",(Database!$BK154="Y")),AND(Screener!$B$18="Without A-share",NOT((Database!$BK154="Y")))),1,0)=0,-999999,IF(Screener!$B$16="cornerstone overlap first",H154*100000,IF(Screener!$B$16="demand-similar first",J154*100000,0))+W_SUB*B154+W_SEC*C154*(1-B154)+W_SIZE*D154+W_PROF*E154+W_AH*F154+W_REC*G154+W_CS*H154+W_PE*I154)))+ROW()/1000000</f>
        <v/>
      </c>
      <c r="AA154">
        <f>Database!B144</f>
        <v/>
      </c>
      <c r="AB154">
        <f>Database!D144</f>
        <v/>
      </c>
      <c r="AC154">
        <f>Database!E144</f>
        <v/>
      </c>
      <c r="AD154">
        <f>Database!I144</f>
        <v/>
      </c>
      <c r="AE154">
        <f>Database!BE144</f>
        <v/>
      </c>
      <c r="AF154">
        <f>Database!BK144</f>
        <v/>
      </c>
      <c r="AG154">
        <f>Database!H144</f>
        <v/>
      </c>
      <c r="AH154">
        <f>Database!BF144</f>
        <v/>
      </c>
    </row>
    <row r="155">
      <c r="A155">
        <f>Database!B155</f>
        <v/>
      </c>
      <c r="B155">
        <f>IF(AND(Screener!$D$8&lt;&gt;"",Database!$E155=Screener!$D$8),1,0)</f>
        <v/>
      </c>
      <c r="C155">
        <f>IF(AND(Screener!$D$7&lt;&gt;"",Database!$D155=Screener!$D$7),1,0)</f>
        <v/>
      </c>
      <c r="D155">
        <f>IF(OR(N(Database!$I155)&lt;=0,N(Screener!$D$9)&lt;=0),0,MAX(0,1-ABS(LOG10(N(Database!$I155)/Screener!$D$9))/W_SIZEHW))</f>
        <v/>
      </c>
      <c r="E155">
        <f>IF(OR(Database!$BE155="",Screener!$D$10=""),0,IF(Database!$BE155=Screener!$D$10,1,0))</f>
        <v/>
      </c>
      <c r="F155">
        <f>IF(OR(Database!$BK155="",Screener!$D$11=""),0,IF(Database!$BK155=Screener!$D$11,1,0))</f>
        <v/>
      </c>
      <c r="G155">
        <f>IF(OR(Database!$H155="",N(Screener!$D$12)&lt;=0),0,MAX(0,1-(N(Screener!$D$12)-Database!$H155)/W_RECD))</f>
        <v/>
      </c>
      <c r="H155">
        <f>IF($U$1="",0,N(ISNUMBER(SEARCH($U$1,Database!$Z155&amp;""))))+IF($V$1="",0,N(ISNUMBER(SEARCH($V$1,Database!$Z155&amp;""))))+IF($W$1="",0,N(ISNUMBER(SEARCH($W$1,Database!$Z155&amp;""))))+IF($X$1="",0,N(ISNUMBER(SEARCH($X$1,Database!$Z155&amp;""))))+IF($Y$1="",0,N(ISNUMBER(SEARCH($Y$1,Database!$Z155&amp;""))))+IF(Screener!$B$17="",0,N(ISNUMBER(SEARCH(LOWER(Screener!$B$17),Database!$Z155&amp;""))))</f>
        <v/>
      </c>
      <c r="I155">
        <f>IF(OR(N(Database!$BF155)&lt;=0,N(Screener!$D$13)&lt;=0),0,MAX(0,1-ABS(LOG10(N(Database!$BF155)/Screener!$D$13))/W_PEHW))</f>
        <v/>
      </c>
      <c r="J155">
        <f>IF(OR(N(Database!$S155)&lt;=0,N(Screener!$D$14)&lt;=0),0,MAX(0,1-ABS(LOG10(Database!$S155/Screener!$D$14))/0.6))</f>
        <v/>
      </c>
      <c r="K155">
        <f>IF(Database!$B155=Screener!$B$5,-999999,IF(ISNUMBER(SEARCH(","&amp;Database!$A155&amp;",",","&amp;SUBSTITUTE(Screener!$D$17," ","")&amp;",")),2000000,IF(IF(OR(Screener!$B$18="All",AND(Screener!$B$18="With A-share",(Database!$BK155="Y")),AND(Screener!$B$18="Without A-share",NOT((Database!$BK155="Y")))),1,0)=0,-999999,IF(Screener!$B$16="cornerstone overlap first",H155*100000,IF(Screener!$B$16="demand-similar first",J155*100000,0))+W_SUB*B155+W_SEC*C155*(1-B155)+W_SIZE*D155+W_PROF*E155+W_AH*F155+W_REC*G155+W_CS*H155+W_PE*I155)))+ROW()/1000000</f>
        <v/>
      </c>
      <c r="AA155">
        <f>Database!B145</f>
        <v/>
      </c>
      <c r="AB155">
        <f>Database!D145</f>
        <v/>
      </c>
      <c r="AC155">
        <f>Database!E145</f>
        <v/>
      </c>
      <c r="AD155">
        <f>Database!I145</f>
        <v/>
      </c>
      <c r="AE155">
        <f>Database!BE145</f>
        <v/>
      </c>
      <c r="AF155">
        <f>Database!BK145</f>
        <v/>
      </c>
      <c r="AG155">
        <f>Database!H145</f>
        <v/>
      </c>
      <c r="AH155">
        <f>Database!BF145</f>
        <v/>
      </c>
    </row>
    <row r="156">
      <c r="A156">
        <f>Database!B156</f>
        <v/>
      </c>
      <c r="B156">
        <f>IF(AND(Screener!$D$8&lt;&gt;"",Database!$E156=Screener!$D$8),1,0)</f>
        <v/>
      </c>
      <c r="C156">
        <f>IF(AND(Screener!$D$7&lt;&gt;"",Database!$D156=Screener!$D$7),1,0)</f>
        <v/>
      </c>
      <c r="D156">
        <f>IF(OR(N(Database!$I156)&lt;=0,N(Screener!$D$9)&lt;=0),0,MAX(0,1-ABS(LOG10(N(Database!$I156)/Screener!$D$9))/W_SIZEHW))</f>
        <v/>
      </c>
      <c r="E156">
        <f>IF(OR(Database!$BE156="",Screener!$D$10=""),0,IF(Database!$BE156=Screener!$D$10,1,0))</f>
        <v/>
      </c>
      <c r="F156">
        <f>IF(OR(Database!$BK156="",Screener!$D$11=""),0,IF(Database!$BK156=Screener!$D$11,1,0))</f>
        <v/>
      </c>
      <c r="G156">
        <f>IF(OR(Database!$H156="",N(Screener!$D$12)&lt;=0),0,MAX(0,1-(N(Screener!$D$12)-Database!$H156)/W_RECD))</f>
        <v/>
      </c>
      <c r="H156">
        <f>IF($U$1="",0,N(ISNUMBER(SEARCH($U$1,Database!$Z156&amp;""))))+IF($V$1="",0,N(ISNUMBER(SEARCH($V$1,Database!$Z156&amp;""))))+IF($W$1="",0,N(ISNUMBER(SEARCH($W$1,Database!$Z156&amp;""))))+IF($X$1="",0,N(ISNUMBER(SEARCH($X$1,Database!$Z156&amp;""))))+IF($Y$1="",0,N(ISNUMBER(SEARCH($Y$1,Database!$Z156&amp;""))))+IF(Screener!$B$17="",0,N(ISNUMBER(SEARCH(LOWER(Screener!$B$17),Database!$Z156&amp;""))))</f>
        <v/>
      </c>
      <c r="I156">
        <f>IF(OR(N(Database!$BF156)&lt;=0,N(Screener!$D$13)&lt;=0),0,MAX(0,1-ABS(LOG10(N(Database!$BF156)/Screener!$D$13))/W_PEHW))</f>
        <v/>
      </c>
      <c r="J156">
        <f>IF(OR(N(Database!$S156)&lt;=0,N(Screener!$D$14)&lt;=0),0,MAX(0,1-ABS(LOG10(Database!$S156/Screener!$D$14))/0.6))</f>
        <v/>
      </c>
      <c r="K156">
        <f>IF(Database!$B156=Screener!$B$5,-999999,IF(ISNUMBER(SEARCH(","&amp;Database!$A156&amp;",",","&amp;SUBSTITUTE(Screener!$D$17," ","")&amp;",")),2000000,IF(IF(OR(Screener!$B$18="All",AND(Screener!$B$18="With A-share",(Database!$BK156="Y")),AND(Screener!$B$18="Without A-share",NOT((Database!$BK156="Y")))),1,0)=0,-999999,IF(Screener!$B$16="cornerstone overlap first",H156*100000,IF(Screener!$B$16="demand-similar first",J156*100000,0))+W_SUB*B156+W_SEC*C156*(1-B156)+W_SIZE*D156+W_PROF*E156+W_AH*F156+W_REC*G156+W_CS*H156+W_PE*I156)))+ROW()/1000000</f>
        <v/>
      </c>
      <c r="AA156">
        <f>Database!B146</f>
        <v/>
      </c>
      <c r="AB156">
        <f>Database!D146</f>
        <v/>
      </c>
      <c r="AC156">
        <f>Database!E146</f>
        <v/>
      </c>
      <c r="AD156">
        <f>Database!I146</f>
        <v/>
      </c>
      <c r="AE156">
        <f>Database!BE146</f>
        <v/>
      </c>
      <c r="AF156">
        <f>Database!BK146</f>
        <v/>
      </c>
      <c r="AG156">
        <f>Database!H146</f>
        <v/>
      </c>
      <c r="AH156">
        <f>Database!BF146</f>
        <v/>
      </c>
    </row>
    <row r="157">
      <c r="A157">
        <f>Database!B157</f>
        <v/>
      </c>
      <c r="B157">
        <f>IF(AND(Screener!$D$8&lt;&gt;"",Database!$E157=Screener!$D$8),1,0)</f>
        <v/>
      </c>
      <c r="C157">
        <f>IF(AND(Screener!$D$7&lt;&gt;"",Database!$D157=Screener!$D$7),1,0)</f>
        <v/>
      </c>
      <c r="D157">
        <f>IF(OR(N(Database!$I157)&lt;=0,N(Screener!$D$9)&lt;=0),0,MAX(0,1-ABS(LOG10(N(Database!$I157)/Screener!$D$9))/W_SIZEHW))</f>
        <v/>
      </c>
      <c r="E157">
        <f>IF(OR(Database!$BE157="",Screener!$D$10=""),0,IF(Database!$BE157=Screener!$D$10,1,0))</f>
        <v/>
      </c>
      <c r="F157">
        <f>IF(OR(Database!$BK157="",Screener!$D$11=""),0,IF(Database!$BK157=Screener!$D$11,1,0))</f>
        <v/>
      </c>
      <c r="G157">
        <f>IF(OR(Database!$H157="",N(Screener!$D$12)&lt;=0),0,MAX(0,1-(N(Screener!$D$12)-Database!$H157)/W_RECD))</f>
        <v/>
      </c>
      <c r="H157">
        <f>IF($U$1="",0,N(ISNUMBER(SEARCH($U$1,Database!$Z157&amp;""))))+IF($V$1="",0,N(ISNUMBER(SEARCH($V$1,Database!$Z157&amp;""))))+IF($W$1="",0,N(ISNUMBER(SEARCH($W$1,Database!$Z157&amp;""))))+IF($X$1="",0,N(ISNUMBER(SEARCH($X$1,Database!$Z157&amp;""))))+IF($Y$1="",0,N(ISNUMBER(SEARCH($Y$1,Database!$Z157&amp;""))))+IF(Screener!$B$17="",0,N(ISNUMBER(SEARCH(LOWER(Screener!$B$17),Database!$Z157&amp;""))))</f>
        <v/>
      </c>
      <c r="I157">
        <f>IF(OR(N(Database!$BF157)&lt;=0,N(Screener!$D$13)&lt;=0),0,MAX(0,1-ABS(LOG10(N(Database!$BF157)/Screener!$D$13))/W_PEHW))</f>
        <v/>
      </c>
      <c r="J157">
        <f>IF(OR(N(Database!$S157)&lt;=0,N(Screener!$D$14)&lt;=0),0,MAX(0,1-ABS(LOG10(Database!$S157/Screener!$D$14))/0.6))</f>
        <v/>
      </c>
      <c r="K157">
        <f>IF(Database!$B157=Screener!$B$5,-999999,IF(ISNUMBER(SEARCH(","&amp;Database!$A157&amp;",",","&amp;SUBSTITUTE(Screener!$D$17," ","")&amp;",")),2000000,IF(IF(OR(Screener!$B$18="All",AND(Screener!$B$18="With A-share",(Database!$BK157="Y")),AND(Screener!$B$18="Without A-share",NOT((Database!$BK157="Y")))),1,0)=0,-999999,IF(Screener!$B$16="cornerstone overlap first",H157*100000,IF(Screener!$B$16="demand-similar first",J157*100000,0))+W_SUB*B157+W_SEC*C157*(1-B157)+W_SIZE*D157+W_PROF*E157+W_AH*F157+W_REC*G157+W_CS*H157+W_PE*I157)))+ROW()/1000000</f>
        <v/>
      </c>
      <c r="AA157">
        <f>Database!B147</f>
        <v/>
      </c>
      <c r="AB157">
        <f>Database!D147</f>
        <v/>
      </c>
      <c r="AC157">
        <f>Database!E147</f>
        <v/>
      </c>
      <c r="AD157">
        <f>Database!I147</f>
        <v/>
      </c>
      <c r="AE157">
        <f>Database!BE147</f>
        <v/>
      </c>
      <c r="AF157">
        <f>Database!BK147</f>
        <v/>
      </c>
      <c r="AG157">
        <f>Database!H147</f>
        <v/>
      </c>
      <c r="AH157">
        <f>Database!BF147</f>
        <v/>
      </c>
    </row>
    <row r="158">
      <c r="A158">
        <f>Database!B158</f>
        <v/>
      </c>
      <c r="B158">
        <f>IF(AND(Screener!$D$8&lt;&gt;"",Database!$E158=Screener!$D$8),1,0)</f>
        <v/>
      </c>
      <c r="C158">
        <f>IF(AND(Screener!$D$7&lt;&gt;"",Database!$D158=Screener!$D$7),1,0)</f>
        <v/>
      </c>
      <c r="D158">
        <f>IF(OR(N(Database!$I158)&lt;=0,N(Screener!$D$9)&lt;=0),0,MAX(0,1-ABS(LOG10(N(Database!$I158)/Screener!$D$9))/W_SIZEHW))</f>
        <v/>
      </c>
      <c r="E158">
        <f>IF(OR(Database!$BE158="",Screener!$D$10=""),0,IF(Database!$BE158=Screener!$D$10,1,0))</f>
        <v/>
      </c>
      <c r="F158">
        <f>IF(OR(Database!$BK158="",Screener!$D$11=""),0,IF(Database!$BK158=Screener!$D$11,1,0))</f>
        <v/>
      </c>
      <c r="G158">
        <f>IF(OR(Database!$H158="",N(Screener!$D$12)&lt;=0),0,MAX(0,1-(N(Screener!$D$12)-Database!$H158)/W_RECD))</f>
        <v/>
      </c>
      <c r="H158">
        <f>IF($U$1="",0,N(ISNUMBER(SEARCH($U$1,Database!$Z158&amp;""))))+IF($V$1="",0,N(ISNUMBER(SEARCH($V$1,Database!$Z158&amp;""))))+IF($W$1="",0,N(ISNUMBER(SEARCH($W$1,Database!$Z158&amp;""))))+IF($X$1="",0,N(ISNUMBER(SEARCH($X$1,Database!$Z158&amp;""))))+IF($Y$1="",0,N(ISNUMBER(SEARCH($Y$1,Database!$Z158&amp;""))))+IF(Screener!$B$17="",0,N(ISNUMBER(SEARCH(LOWER(Screener!$B$17),Database!$Z158&amp;""))))</f>
        <v/>
      </c>
      <c r="I158">
        <f>IF(OR(N(Database!$BF158)&lt;=0,N(Screener!$D$13)&lt;=0),0,MAX(0,1-ABS(LOG10(N(Database!$BF158)/Screener!$D$13))/W_PEHW))</f>
        <v/>
      </c>
      <c r="J158">
        <f>IF(OR(N(Database!$S158)&lt;=0,N(Screener!$D$14)&lt;=0),0,MAX(0,1-ABS(LOG10(Database!$S158/Screener!$D$14))/0.6))</f>
        <v/>
      </c>
      <c r="K158">
        <f>IF(Database!$B158=Screener!$B$5,-999999,IF(ISNUMBER(SEARCH(","&amp;Database!$A158&amp;",",","&amp;SUBSTITUTE(Screener!$D$17," ","")&amp;",")),2000000,IF(IF(OR(Screener!$B$18="All",AND(Screener!$B$18="With A-share",(Database!$BK158="Y")),AND(Screener!$B$18="Without A-share",NOT((Database!$BK158="Y")))),1,0)=0,-999999,IF(Screener!$B$16="cornerstone overlap first",H158*100000,IF(Screener!$B$16="demand-similar first",J158*100000,0))+W_SUB*B158+W_SEC*C158*(1-B158)+W_SIZE*D158+W_PROF*E158+W_AH*F158+W_REC*G158+W_CS*H158+W_PE*I158)))+ROW()/1000000</f>
        <v/>
      </c>
      <c r="AA158">
        <f>Database!B148</f>
        <v/>
      </c>
      <c r="AB158">
        <f>Database!D148</f>
        <v/>
      </c>
      <c r="AC158">
        <f>Database!E148</f>
        <v/>
      </c>
      <c r="AD158">
        <f>Database!I148</f>
        <v/>
      </c>
      <c r="AE158">
        <f>Database!BE148</f>
        <v/>
      </c>
      <c r="AF158">
        <f>Database!BK148</f>
        <v/>
      </c>
      <c r="AG158">
        <f>Database!H148</f>
        <v/>
      </c>
      <c r="AH158">
        <f>Database!BF148</f>
        <v/>
      </c>
    </row>
    <row r="159">
      <c r="A159">
        <f>Database!B159</f>
        <v/>
      </c>
      <c r="B159">
        <f>IF(AND(Screener!$D$8&lt;&gt;"",Database!$E159=Screener!$D$8),1,0)</f>
        <v/>
      </c>
      <c r="C159">
        <f>IF(AND(Screener!$D$7&lt;&gt;"",Database!$D159=Screener!$D$7),1,0)</f>
        <v/>
      </c>
      <c r="D159">
        <f>IF(OR(N(Database!$I159)&lt;=0,N(Screener!$D$9)&lt;=0),0,MAX(0,1-ABS(LOG10(N(Database!$I159)/Screener!$D$9))/W_SIZEHW))</f>
        <v/>
      </c>
      <c r="E159">
        <f>IF(OR(Database!$BE159="",Screener!$D$10=""),0,IF(Database!$BE159=Screener!$D$10,1,0))</f>
        <v/>
      </c>
      <c r="F159">
        <f>IF(OR(Database!$BK159="",Screener!$D$11=""),0,IF(Database!$BK159=Screener!$D$11,1,0))</f>
        <v/>
      </c>
      <c r="G159">
        <f>IF(OR(Database!$H159="",N(Screener!$D$12)&lt;=0),0,MAX(0,1-(N(Screener!$D$12)-Database!$H159)/W_RECD))</f>
        <v/>
      </c>
      <c r="H159">
        <f>IF($U$1="",0,N(ISNUMBER(SEARCH($U$1,Database!$Z159&amp;""))))+IF($V$1="",0,N(ISNUMBER(SEARCH($V$1,Database!$Z159&amp;""))))+IF($W$1="",0,N(ISNUMBER(SEARCH($W$1,Database!$Z159&amp;""))))+IF($X$1="",0,N(ISNUMBER(SEARCH($X$1,Database!$Z159&amp;""))))+IF($Y$1="",0,N(ISNUMBER(SEARCH($Y$1,Database!$Z159&amp;""))))+IF(Screener!$B$17="",0,N(ISNUMBER(SEARCH(LOWER(Screener!$B$17),Database!$Z159&amp;""))))</f>
        <v/>
      </c>
      <c r="I159">
        <f>IF(OR(N(Database!$BF159)&lt;=0,N(Screener!$D$13)&lt;=0),0,MAX(0,1-ABS(LOG10(N(Database!$BF159)/Screener!$D$13))/W_PEHW))</f>
        <v/>
      </c>
      <c r="J159">
        <f>IF(OR(N(Database!$S159)&lt;=0,N(Screener!$D$14)&lt;=0),0,MAX(0,1-ABS(LOG10(Database!$S159/Screener!$D$14))/0.6))</f>
        <v/>
      </c>
      <c r="K159">
        <f>IF(Database!$B159=Screener!$B$5,-999999,IF(ISNUMBER(SEARCH(","&amp;Database!$A159&amp;",",","&amp;SUBSTITUTE(Screener!$D$17," ","")&amp;",")),2000000,IF(IF(OR(Screener!$B$18="All",AND(Screener!$B$18="With A-share",(Database!$BK159="Y")),AND(Screener!$B$18="Without A-share",NOT((Database!$BK159="Y")))),1,0)=0,-999999,IF(Screener!$B$16="cornerstone overlap first",H159*100000,IF(Screener!$B$16="demand-similar first",J159*100000,0))+W_SUB*B159+W_SEC*C159*(1-B159)+W_SIZE*D159+W_PROF*E159+W_AH*F159+W_REC*G159+W_CS*H159+W_PE*I159)))+ROW()/1000000</f>
        <v/>
      </c>
      <c r="AA159">
        <f>Database!B149</f>
        <v/>
      </c>
      <c r="AB159">
        <f>Database!D149</f>
        <v/>
      </c>
      <c r="AC159">
        <f>Database!E149</f>
        <v/>
      </c>
      <c r="AD159">
        <f>Database!I149</f>
        <v/>
      </c>
      <c r="AE159">
        <f>Database!BE149</f>
        <v/>
      </c>
      <c r="AF159">
        <f>Database!BK149</f>
        <v/>
      </c>
      <c r="AG159">
        <f>Database!H149</f>
        <v/>
      </c>
      <c r="AH159">
        <f>Database!BF149</f>
        <v/>
      </c>
    </row>
    <row r="160">
      <c r="A160">
        <f>Database!B160</f>
        <v/>
      </c>
      <c r="B160">
        <f>IF(AND(Screener!$D$8&lt;&gt;"",Database!$E160=Screener!$D$8),1,0)</f>
        <v/>
      </c>
      <c r="C160">
        <f>IF(AND(Screener!$D$7&lt;&gt;"",Database!$D160=Screener!$D$7),1,0)</f>
        <v/>
      </c>
      <c r="D160">
        <f>IF(OR(N(Database!$I160)&lt;=0,N(Screener!$D$9)&lt;=0),0,MAX(0,1-ABS(LOG10(N(Database!$I160)/Screener!$D$9))/W_SIZEHW))</f>
        <v/>
      </c>
      <c r="E160">
        <f>IF(OR(Database!$BE160="",Screener!$D$10=""),0,IF(Database!$BE160=Screener!$D$10,1,0))</f>
        <v/>
      </c>
      <c r="F160">
        <f>IF(OR(Database!$BK160="",Screener!$D$11=""),0,IF(Database!$BK160=Screener!$D$11,1,0))</f>
        <v/>
      </c>
      <c r="G160">
        <f>IF(OR(Database!$H160="",N(Screener!$D$12)&lt;=0),0,MAX(0,1-(N(Screener!$D$12)-Database!$H160)/W_RECD))</f>
        <v/>
      </c>
      <c r="H160">
        <f>IF($U$1="",0,N(ISNUMBER(SEARCH($U$1,Database!$Z160&amp;""))))+IF($V$1="",0,N(ISNUMBER(SEARCH($V$1,Database!$Z160&amp;""))))+IF($W$1="",0,N(ISNUMBER(SEARCH($W$1,Database!$Z160&amp;""))))+IF($X$1="",0,N(ISNUMBER(SEARCH($X$1,Database!$Z160&amp;""))))+IF($Y$1="",0,N(ISNUMBER(SEARCH($Y$1,Database!$Z160&amp;""))))+IF(Screener!$B$17="",0,N(ISNUMBER(SEARCH(LOWER(Screener!$B$17),Database!$Z160&amp;""))))</f>
        <v/>
      </c>
      <c r="I160">
        <f>IF(OR(N(Database!$BF160)&lt;=0,N(Screener!$D$13)&lt;=0),0,MAX(0,1-ABS(LOG10(N(Database!$BF160)/Screener!$D$13))/W_PEHW))</f>
        <v/>
      </c>
      <c r="J160">
        <f>IF(OR(N(Database!$S160)&lt;=0,N(Screener!$D$14)&lt;=0),0,MAX(0,1-ABS(LOG10(Database!$S160/Screener!$D$14))/0.6))</f>
        <v/>
      </c>
      <c r="K160">
        <f>IF(Database!$B160=Screener!$B$5,-999999,IF(ISNUMBER(SEARCH(","&amp;Database!$A160&amp;",",","&amp;SUBSTITUTE(Screener!$D$17," ","")&amp;",")),2000000,IF(IF(OR(Screener!$B$18="All",AND(Screener!$B$18="With A-share",(Database!$BK160="Y")),AND(Screener!$B$18="Without A-share",NOT((Database!$BK160="Y")))),1,0)=0,-999999,IF(Screener!$B$16="cornerstone overlap first",H160*100000,IF(Screener!$B$16="demand-similar first",J160*100000,0))+W_SUB*B160+W_SEC*C160*(1-B160)+W_SIZE*D160+W_PROF*E160+W_AH*F160+W_REC*G160+W_CS*H160+W_PE*I160)))+ROW()/1000000</f>
        <v/>
      </c>
      <c r="AA160">
        <f>Database!B150</f>
        <v/>
      </c>
      <c r="AB160">
        <f>Database!D150</f>
        <v/>
      </c>
      <c r="AC160">
        <f>Database!E150</f>
        <v/>
      </c>
      <c r="AD160">
        <f>Database!I150</f>
        <v/>
      </c>
      <c r="AE160">
        <f>Database!BE150</f>
        <v/>
      </c>
      <c r="AF160">
        <f>Database!BK150</f>
        <v/>
      </c>
      <c r="AG160">
        <f>Database!H150</f>
        <v/>
      </c>
      <c r="AH160">
        <f>Database!BF150</f>
        <v/>
      </c>
    </row>
    <row r="161">
      <c r="A161">
        <f>Database!B161</f>
        <v/>
      </c>
      <c r="B161">
        <f>IF(AND(Screener!$D$8&lt;&gt;"",Database!$E161=Screener!$D$8),1,0)</f>
        <v/>
      </c>
      <c r="C161">
        <f>IF(AND(Screener!$D$7&lt;&gt;"",Database!$D161=Screener!$D$7),1,0)</f>
        <v/>
      </c>
      <c r="D161">
        <f>IF(OR(N(Database!$I161)&lt;=0,N(Screener!$D$9)&lt;=0),0,MAX(0,1-ABS(LOG10(N(Database!$I161)/Screener!$D$9))/W_SIZEHW))</f>
        <v/>
      </c>
      <c r="E161">
        <f>IF(OR(Database!$BE161="",Screener!$D$10=""),0,IF(Database!$BE161=Screener!$D$10,1,0))</f>
        <v/>
      </c>
      <c r="F161">
        <f>IF(OR(Database!$BK161="",Screener!$D$11=""),0,IF(Database!$BK161=Screener!$D$11,1,0))</f>
        <v/>
      </c>
      <c r="G161">
        <f>IF(OR(Database!$H161="",N(Screener!$D$12)&lt;=0),0,MAX(0,1-(N(Screener!$D$12)-Database!$H161)/W_RECD))</f>
        <v/>
      </c>
      <c r="H161">
        <f>IF($U$1="",0,N(ISNUMBER(SEARCH($U$1,Database!$Z161&amp;""))))+IF($V$1="",0,N(ISNUMBER(SEARCH($V$1,Database!$Z161&amp;""))))+IF($W$1="",0,N(ISNUMBER(SEARCH($W$1,Database!$Z161&amp;""))))+IF($X$1="",0,N(ISNUMBER(SEARCH($X$1,Database!$Z161&amp;""))))+IF($Y$1="",0,N(ISNUMBER(SEARCH($Y$1,Database!$Z161&amp;""))))+IF(Screener!$B$17="",0,N(ISNUMBER(SEARCH(LOWER(Screener!$B$17),Database!$Z161&amp;""))))</f>
        <v/>
      </c>
      <c r="I161">
        <f>IF(OR(N(Database!$BF161)&lt;=0,N(Screener!$D$13)&lt;=0),0,MAX(0,1-ABS(LOG10(N(Database!$BF161)/Screener!$D$13))/W_PEHW))</f>
        <v/>
      </c>
      <c r="J161">
        <f>IF(OR(N(Database!$S161)&lt;=0,N(Screener!$D$14)&lt;=0),0,MAX(0,1-ABS(LOG10(Database!$S161/Screener!$D$14))/0.6))</f>
        <v/>
      </c>
      <c r="K161">
        <f>IF(Database!$B161=Screener!$B$5,-999999,IF(ISNUMBER(SEARCH(","&amp;Database!$A161&amp;",",","&amp;SUBSTITUTE(Screener!$D$17," ","")&amp;",")),2000000,IF(IF(OR(Screener!$B$18="All",AND(Screener!$B$18="With A-share",(Database!$BK161="Y")),AND(Screener!$B$18="Without A-share",NOT((Database!$BK161="Y")))),1,0)=0,-999999,IF(Screener!$B$16="cornerstone overlap first",H161*100000,IF(Screener!$B$16="demand-similar first",J161*100000,0))+W_SUB*B161+W_SEC*C161*(1-B161)+W_SIZE*D161+W_PROF*E161+W_AH*F161+W_REC*G161+W_CS*H161+W_PE*I161)))+ROW()/1000000</f>
        <v/>
      </c>
      <c r="AA161">
        <f>Database!B151</f>
        <v/>
      </c>
      <c r="AB161">
        <f>Database!D151</f>
        <v/>
      </c>
      <c r="AC161">
        <f>Database!E151</f>
        <v/>
      </c>
      <c r="AD161">
        <f>Database!I151</f>
        <v/>
      </c>
      <c r="AE161">
        <f>Database!BE151</f>
        <v/>
      </c>
      <c r="AF161">
        <f>Database!BK151</f>
        <v/>
      </c>
      <c r="AG161">
        <f>Database!H151</f>
        <v/>
      </c>
      <c r="AH161">
        <f>Database!BF151</f>
        <v/>
      </c>
    </row>
    <row r="162">
      <c r="A162">
        <f>Database!B162</f>
        <v/>
      </c>
      <c r="B162">
        <f>IF(AND(Screener!$D$8&lt;&gt;"",Database!$E162=Screener!$D$8),1,0)</f>
        <v/>
      </c>
      <c r="C162">
        <f>IF(AND(Screener!$D$7&lt;&gt;"",Database!$D162=Screener!$D$7),1,0)</f>
        <v/>
      </c>
      <c r="D162">
        <f>IF(OR(N(Database!$I162)&lt;=0,N(Screener!$D$9)&lt;=0),0,MAX(0,1-ABS(LOG10(N(Database!$I162)/Screener!$D$9))/W_SIZEHW))</f>
        <v/>
      </c>
      <c r="E162">
        <f>IF(OR(Database!$BE162="",Screener!$D$10=""),0,IF(Database!$BE162=Screener!$D$10,1,0))</f>
        <v/>
      </c>
      <c r="F162">
        <f>IF(OR(Database!$BK162="",Screener!$D$11=""),0,IF(Database!$BK162=Screener!$D$11,1,0))</f>
        <v/>
      </c>
      <c r="G162">
        <f>IF(OR(Database!$H162="",N(Screener!$D$12)&lt;=0),0,MAX(0,1-(N(Screener!$D$12)-Database!$H162)/W_RECD))</f>
        <v/>
      </c>
      <c r="H162">
        <f>IF($U$1="",0,N(ISNUMBER(SEARCH($U$1,Database!$Z162&amp;""))))+IF($V$1="",0,N(ISNUMBER(SEARCH($V$1,Database!$Z162&amp;""))))+IF($W$1="",0,N(ISNUMBER(SEARCH($W$1,Database!$Z162&amp;""))))+IF($X$1="",0,N(ISNUMBER(SEARCH($X$1,Database!$Z162&amp;""))))+IF($Y$1="",0,N(ISNUMBER(SEARCH($Y$1,Database!$Z162&amp;""))))+IF(Screener!$B$17="",0,N(ISNUMBER(SEARCH(LOWER(Screener!$B$17),Database!$Z162&amp;""))))</f>
        <v/>
      </c>
      <c r="I162">
        <f>IF(OR(N(Database!$BF162)&lt;=0,N(Screener!$D$13)&lt;=0),0,MAX(0,1-ABS(LOG10(N(Database!$BF162)/Screener!$D$13))/W_PEHW))</f>
        <v/>
      </c>
      <c r="J162">
        <f>IF(OR(N(Database!$S162)&lt;=0,N(Screener!$D$14)&lt;=0),0,MAX(0,1-ABS(LOG10(Database!$S162/Screener!$D$14))/0.6))</f>
        <v/>
      </c>
      <c r="K162">
        <f>IF(Database!$B162=Screener!$B$5,-999999,IF(ISNUMBER(SEARCH(","&amp;Database!$A162&amp;",",","&amp;SUBSTITUTE(Screener!$D$17," ","")&amp;",")),2000000,IF(IF(OR(Screener!$B$18="All",AND(Screener!$B$18="With A-share",(Database!$BK162="Y")),AND(Screener!$B$18="Without A-share",NOT((Database!$BK162="Y")))),1,0)=0,-999999,IF(Screener!$B$16="cornerstone overlap first",H162*100000,IF(Screener!$B$16="demand-similar first",J162*100000,0))+W_SUB*B162+W_SEC*C162*(1-B162)+W_SIZE*D162+W_PROF*E162+W_AH*F162+W_REC*G162+W_CS*H162+W_PE*I162)))+ROW()/1000000</f>
        <v/>
      </c>
      <c r="AA162">
        <f>Database!B152</f>
        <v/>
      </c>
      <c r="AB162">
        <f>Database!D152</f>
        <v/>
      </c>
      <c r="AC162">
        <f>Database!E152</f>
        <v/>
      </c>
      <c r="AD162">
        <f>Database!I152</f>
        <v/>
      </c>
      <c r="AE162">
        <f>Database!BE152</f>
        <v/>
      </c>
      <c r="AF162">
        <f>Database!BK152</f>
        <v/>
      </c>
      <c r="AG162">
        <f>Database!H152</f>
        <v/>
      </c>
      <c r="AH162">
        <f>Database!BF152</f>
        <v/>
      </c>
    </row>
    <row r="163">
      <c r="A163">
        <f>Database!B163</f>
        <v/>
      </c>
      <c r="B163">
        <f>IF(AND(Screener!$D$8&lt;&gt;"",Database!$E163=Screener!$D$8),1,0)</f>
        <v/>
      </c>
      <c r="C163">
        <f>IF(AND(Screener!$D$7&lt;&gt;"",Database!$D163=Screener!$D$7),1,0)</f>
        <v/>
      </c>
      <c r="D163">
        <f>IF(OR(N(Database!$I163)&lt;=0,N(Screener!$D$9)&lt;=0),0,MAX(0,1-ABS(LOG10(N(Database!$I163)/Screener!$D$9))/W_SIZEHW))</f>
        <v/>
      </c>
      <c r="E163">
        <f>IF(OR(Database!$BE163="",Screener!$D$10=""),0,IF(Database!$BE163=Screener!$D$10,1,0))</f>
        <v/>
      </c>
      <c r="F163">
        <f>IF(OR(Database!$BK163="",Screener!$D$11=""),0,IF(Database!$BK163=Screener!$D$11,1,0))</f>
        <v/>
      </c>
      <c r="G163">
        <f>IF(OR(Database!$H163="",N(Screener!$D$12)&lt;=0),0,MAX(0,1-(N(Screener!$D$12)-Database!$H163)/W_RECD))</f>
        <v/>
      </c>
      <c r="H163">
        <f>IF($U$1="",0,N(ISNUMBER(SEARCH($U$1,Database!$Z163&amp;""))))+IF($V$1="",0,N(ISNUMBER(SEARCH($V$1,Database!$Z163&amp;""))))+IF($W$1="",0,N(ISNUMBER(SEARCH($W$1,Database!$Z163&amp;""))))+IF($X$1="",0,N(ISNUMBER(SEARCH($X$1,Database!$Z163&amp;""))))+IF($Y$1="",0,N(ISNUMBER(SEARCH($Y$1,Database!$Z163&amp;""))))+IF(Screener!$B$17="",0,N(ISNUMBER(SEARCH(LOWER(Screener!$B$17),Database!$Z163&amp;""))))</f>
        <v/>
      </c>
      <c r="I163">
        <f>IF(OR(N(Database!$BF163)&lt;=0,N(Screener!$D$13)&lt;=0),0,MAX(0,1-ABS(LOG10(N(Database!$BF163)/Screener!$D$13))/W_PEHW))</f>
        <v/>
      </c>
      <c r="J163">
        <f>IF(OR(N(Database!$S163)&lt;=0,N(Screener!$D$14)&lt;=0),0,MAX(0,1-ABS(LOG10(Database!$S163/Screener!$D$14))/0.6))</f>
        <v/>
      </c>
      <c r="K163">
        <f>IF(Database!$B163=Screener!$B$5,-999999,IF(ISNUMBER(SEARCH(","&amp;Database!$A163&amp;",",","&amp;SUBSTITUTE(Screener!$D$17," ","")&amp;",")),2000000,IF(IF(OR(Screener!$B$18="All",AND(Screener!$B$18="With A-share",(Database!$BK163="Y")),AND(Screener!$B$18="Without A-share",NOT((Database!$BK163="Y")))),1,0)=0,-999999,IF(Screener!$B$16="cornerstone overlap first",H163*100000,IF(Screener!$B$16="demand-similar first",J163*100000,0))+W_SUB*B163+W_SEC*C163*(1-B163)+W_SIZE*D163+W_PROF*E163+W_AH*F163+W_REC*G163+W_CS*H163+W_PE*I163)))+ROW()/1000000</f>
        <v/>
      </c>
      <c r="AA163">
        <f>Database!B153</f>
        <v/>
      </c>
      <c r="AB163">
        <f>Database!D153</f>
        <v/>
      </c>
      <c r="AC163">
        <f>Database!E153</f>
        <v/>
      </c>
      <c r="AD163">
        <f>Database!I153</f>
        <v/>
      </c>
      <c r="AE163">
        <f>Database!BE153</f>
        <v/>
      </c>
      <c r="AF163">
        <f>Database!BK153</f>
        <v/>
      </c>
      <c r="AG163">
        <f>Database!H153</f>
        <v/>
      </c>
      <c r="AH163">
        <f>Database!BF153</f>
        <v/>
      </c>
    </row>
    <row r="164">
      <c r="A164">
        <f>Database!B164</f>
        <v/>
      </c>
      <c r="B164">
        <f>IF(AND(Screener!$D$8&lt;&gt;"",Database!$E164=Screener!$D$8),1,0)</f>
        <v/>
      </c>
      <c r="C164">
        <f>IF(AND(Screener!$D$7&lt;&gt;"",Database!$D164=Screener!$D$7),1,0)</f>
        <v/>
      </c>
      <c r="D164">
        <f>IF(OR(N(Database!$I164)&lt;=0,N(Screener!$D$9)&lt;=0),0,MAX(0,1-ABS(LOG10(N(Database!$I164)/Screener!$D$9))/W_SIZEHW))</f>
        <v/>
      </c>
      <c r="E164">
        <f>IF(OR(Database!$BE164="",Screener!$D$10=""),0,IF(Database!$BE164=Screener!$D$10,1,0))</f>
        <v/>
      </c>
      <c r="F164">
        <f>IF(OR(Database!$BK164="",Screener!$D$11=""),0,IF(Database!$BK164=Screener!$D$11,1,0))</f>
        <v/>
      </c>
      <c r="G164">
        <f>IF(OR(Database!$H164="",N(Screener!$D$12)&lt;=0),0,MAX(0,1-(N(Screener!$D$12)-Database!$H164)/W_RECD))</f>
        <v/>
      </c>
      <c r="H164">
        <f>IF($U$1="",0,N(ISNUMBER(SEARCH($U$1,Database!$Z164&amp;""))))+IF($V$1="",0,N(ISNUMBER(SEARCH($V$1,Database!$Z164&amp;""))))+IF($W$1="",0,N(ISNUMBER(SEARCH($W$1,Database!$Z164&amp;""))))+IF($X$1="",0,N(ISNUMBER(SEARCH($X$1,Database!$Z164&amp;""))))+IF($Y$1="",0,N(ISNUMBER(SEARCH($Y$1,Database!$Z164&amp;""))))+IF(Screener!$B$17="",0,N(ISNUMBER(SEARCH(LOWER(Screener!$B$17),Database!$Z164&amp;""))))</f>
        <v/>
      </c>
      <c r="I164">
        <f>IF(OR(N(Database!$BF164)&lt;=0,N(Screener!$D$13)&lt;=0),0,MAX(0,1-ABS(LOG10(N(Database!$BF164)/Screener!$D$13))/W_PEHW))</f>
        <v/>
      </c>
      <c r="J164">
        <f>IF(OR(N(Database!$S164)&lt;=0,N(Screener!$D$14)&lt;=0),0,MAX(0,1-ABS(LOG10(Database!$S164/Screener!$D$14))/0.6))</f>
        <v/>
      </c>
      <c r="K164">
        <f>IF(Database!$B164=Screener!$B$5,-999999,IF(ISNUMBER(SEARCH(","&amp;Database!$A164&amp;",",","&amp;SUBSTITUTE(Screener!$D$17," ","")&amp;",")),2000000,IF(IF(OR(Screener!$B$18="All",AND(Screener!$B$18="With A-share",(Database!$BK164="Y")),AND(Screener!$B$18="Without A-share",NOT((Database!$BK164="Y")))),1,0)=0,-999999,IF(Screener!$B$16="cornerstone overlap first",H164*100000,IF(Screener!$B$16="demand-similar first",J164*100000,0))+W_SUB*B164+W_SEC*C164*(1-B164)+W_SIZE*D164+W_PROF*E164+W_AH*F164+W_REC*G164+W_CS*H164+W_PE*I164)))+ROW()/1000000</f>
        <v/>
      </c>
      <c r="AA164">
        <f>Database!B154</f>
        <v/>
      </c>
      <c r="AB164">
        <f>Database!D154</f>
        <v/>
      </c>
      <c r="AC164">
        <f>Database!E154</f>
        <v/>
      </c>
      <c r="AD164">
        <f>Database!I154</f>
        <v/>
      </c>
      <c r="AE164">
        <f>Database!BE154</f>
        <v/>
      </c>
      <c r="AF164">
        <f>Database!BK154</f>
        <v/>
      </c>
      <c r="AG164">
        <f>Database!H154</f>
        <v/>
      </c>
      <c r="AH164">
        <f>Database!BF154</f>
        <v/>
      </c>
    </row>
    <row r="165">
      <c r="A165">
        <f>Database!B165</f>
        <v/>
      </c>
      <c r="B165">
        <f>IF(AND(Screener!$D$8&lt;&gt;"",Database!$E165=Screener!$D$8),1,0)</f>
        <v/>
      </c>
      <c r="C165">
        <f>IF(AND(Screener!$D$7&lt;&gt;"",Database!$D165=Screener!$D$7),1,0)</f>
        <v/>
      </c>
      <c r="D165">
        <f>IF(OR(N(Database!$I165)&lt;=0,N(Screener!$D$9)&lt;=0),0,MAX(0,1-ABS(LOG10(N(Database!$I165)/Screener!$D$9))/W_SIZEHW))</f>
        <v/>
      </c>
      <c r="E165">
        <f>IF(OR(Database!$BE165="",Screener!$D$10=""),0,IF(Database!$BE165=Screener!$D$10,1,0))</f>
        <v/>
      </c>
      <c r="F165">
        <f>IF(OR(Database!$BK165="",Screener!$D$11=""),0,IF(Database!$BK165=Screener!$D$11,1,0))</f>
        <v/>
      </c>
      <c r="G165">
        <f>IF(OR(Database!$H165="",N(Screener!$D$12)&lt;=0),0,MAX(0,1-(N(Screener!$D$12)-Database!$H165)/W_RECD))</f>
        <v/>
      </c>
      <c r="H165">
        <f>IF($U$1="",0,N(ISNUMBER(SEARCH($U$1,Database!$Z165&amp;""))))+IF($V$1="",0,N(ISNUMBER(SEARCH($V$1,Database!$Z165&amp;""))))+IF($W$1="",0,N(ISNUMBER(SEARCH($W$1,Database!$Z165&amp;""))))+IF($X$1="",0,N(ISNUMBER(SEARCH($X$1,Database!$Z165&amp;""))))+IF($Y$1="",0,N(ISNUMBER(SEARCH($Y$1,Database!$Z165&amp;""))))+IF(Screener!$B$17="",0,N(ISNUMBER(SEARCH(LOWER(Screener!$B$17),Database!$Z165&amp;""))))</f>
        <v/>
      </c>
      <c r="I165">
        <f>IF(OR(N(Database!$BF165)&lt;=0,N(Screener!$D$13)&lt;=0),0,MAX(0,1-ABS(LOG10(N(Database!$BF165)/Screener!$D$13))/W_PEHW))</f>
        <v/>
      </c>
      <c r="J165">
        <f>IF(OR(N(Database!$S165)&lt;=0,N(Screener!$D$14)&lt;=0),0,MAX(0,1-ABS(LOG10(Database!$S165/Screener!$D$14))/0.6))</f>
        <v/>
      </c>
      <c r="K165">
        <f>IF(Database!$B165=Screener!$B$5,-999999,IF(ISNUMBER(SEARCH(","&amp;Database!$A165&amp;",",","&amp;SUBSTITUTE(Screener!$D$17," ","")&amp;",")),2000000,IF(IF(OR(Screener!$B$18="All",AND(Screener!$B$18="With A-share",(Database!$BK165="Y")),AND(Screener!$B$18="Without A-share",NOT((Database!$BK165="Y")))),1,0)=0,-999999,IF(Screener!$B$16="cornerstone overlap first",H165*100000,IF(Screener!$B$16="demand-similar first",J165*100000,0))+W_SUB*B165+W_SEC*C165*(1-B165)+W_SIZE*D165+W_PROF*E165+W_AH*F165+W_REC*G165+W_CS*H165+W_PE*I165)))+ROW()/1000000</f>
        <v/>
      </c>
      <c r="AA165">
        <f>Database!B155</f>
        <v/>
      </c>
      <c r="AB165">
        <f>Database!D155</f>
        <v/>
      </c>
      <c r="AC165">
        <f>Database!E155</f>
        <v/>
      </c>
      <c r="AD165">
        <f>Database!I155</f>
        <v/>
      </c>
      <c r="AE165">
        <f>Database!BE155</f>
        <v/>
      </c>
      <c r="AF165">
        <f>Database!BK155</f>
        <v/>
      </c>
      <c r="AG165">
        <f>Database!H155</f>
        <v/>
      </c>
      <c r="AH165">
        <f>Database!BF155</f>
        <v/>
      </c>
    </row>
    <row r="166">
      <c r="A166">
        <f>Database!B166</f>
        <v/>
      </c>
      <c r="B166">
        <f>IF(AND(Screener!$D$8&lt;&gt;"",Database!$E166=Screener!$D$8),1,0)</f>
        <v/>
      </c>
      <c r="C166">
        <f>IF(AND(Screener!$D$7&lt;&gt;"",Database!$D166=Screener!$D$7),1,0)</f>
        <v/>
      </c>
      <c r="D166">
        <f>IF(OR(N(Database!$I166)&lt;=0,N(Screener!$D$9)&lt;=0),0,MAX(0,1-ABS(LOG10(N(Database!$I166)/Screener!$D$9))/W_SIZEHW))</f>
        <v/>
      </c>
      <c r="E166">
        <f>IF(OR(Database!$BE166="",Screener!$D$10=""),0,IF(Database!$BE166=Screener!$D$10,1,0))</f>
        <v/>
      </c>
      <c r="F166">
        <f>IF(OR(Database!$BK166="",Screener!$D$11=""),0,IF(Database!$BK166=Screener!$D$11,1,0))</f>
        <v/>
      </c>
      <c r="G166">
        <f>IF(OR(Database!$H166="",N(Screener!$D$12)&lt;=0),0,MAX(0,1-(N(Screener!$D$12)-Database!$H166)/W_RECD))</f>
        <v/>
      </c>
      <c r="H166">
        <f>IF($U$1="",0,N(ISNUMBER(SEARCH($U$1,Database!$Z166&amp;""))))+IF($V$1="",0,N(ISNUMBER(SEARCH($V$1,Database!$Z166&amp;""))))+IF($W$1="",0,N(ISNUMBER(SEARCH($W$1,Database!$Z166&amp;""))))+IF($X$1="",0,N(ISNUMBER(SEARCH($X$1,Database!$Z166&amp;""))))+IF($Y$1="",0,N(ISNUMBER(SEARCH($Y$1,Database!$Z166&amp;""))))+IF(Screener!$B$17="",0,N(ISNUMBER(SEARCH(LOWER(Screener!$B$17),Database!$Z166&amp;""))))</f>
        <v/>
      </c>
      <c r="I166">
        <f>IF(OR(N(Database!$BF166)&lt;=0,N(Screener!$D$13)&lt;=0),0,MAX(0,1-ABS(LOG10(N(Database!$BF166)/Screener!$D$13))/W_PEHW))</f>
        <v/>
      </c>
      <c r="J166">
        <f>IF(OR(N(Database!$S166)&lt;=0,N(Screener!$D$14)&lt;=0),0,MAX(0,1-ABS(LOG10(Database!$S166/Screener!$D$14))/0.6))</f>
        <v/>
      </c>
      <c r="K166">
        <f>IF(Database!$B166=Screener!$B$5,-999999,IF(ISNUMBER(SEARCH(","&amp;Database!$A166&amp;",",","&amp;SUBSTITUTE(Screener!$D$17," ","")&amp;",")),2000000,IF(IF(OR(Screener!$B$18="All",AND(Screener!$B$18="With A-share",(Database!$BK166="Y")),AND(Screener!$B$18="Without A-share",NOT((Database!$BK166="Y")))),1,0)=0,-999999,IF(Screener!$B$16="cornerstone overlap first",H166*100000,IF(Screener!$B$16="demand-similar first",J166*100000,0))+W_SUB*B166+W_SEC*C166*(1-B166)+W_SIZE*D166+W_PROF*E166+W_AH*F166+W_REC*G166+W_CS*H166+W_PE*I166)))+ROW()/1000000</f>
        <v/>
      </c>
      <c r="AA166">
        <f>Database!B156</f>
        <v/>
      </c>
      <c r="AB166">
        <f>Database!D156</f>
        <v/>
      </c>
      <c r="AC166">
        <f>Database!E156</f>
        <v/>
      </c>
      <c r="AD166">
        <f>Database!I156</f>
        <v/>
      </c>
      <c r="AE166">
        <f>Database!BE156</f>
        <v/>
      </c>
      <c r="AF166">
        <f>Database!BK156</f>
        <v/>
      </c>
      <c r="AG166">
        <f>Database!H156</f>
        <v/>
      </c>
      <c r="AH166">
        <f>Database!BF156</f>
        <v/>
      </c>
    </row>
    <row r="167">
      <c r="A167">
        <f>Database!B167</f>
        <v/>
      </c>
      <c r="B167">
        <f>IF(AND(Screener!$D$8&lt;&gt;"",Database!$E167=Screener!$D$8),1,0)</f>
        <v/>
      </c>
      <c r="C167">
        <f>IF(AND(Screener!$D$7&lt;&gt;"",Database!$D167=Screener!$D$7),1,0)</f>
        <v/>
      </c>
      <c r="D167">
        <f>IF(OR(N(Database!$I167)&lt;=0,N(Screener!$D$9)&lt;=0),0,MAX(0,1-ABS(LOG10(N(Database!$I167)/Screener!$D$9))/W_SIZEHW))</f>
        <v/>
      </c>
      <c r="E167">
        <f>IF(OR(Database!$BE167="",Screener!$D$10=""),0,IF(Database!$BE167=Screener!$D$10,1,0))</f>
        <v/>
      </c>
      <c r="F167">
        <f>IF(OR(Database!$BK167="",Screener!$D$11=""),0,IF(Database!$BK167=Screener!$D$11,1,0))</f>
        <v/>
      </c>
      <c r="G167">
        <f>IF(OR(Database!$H167="",N(Screener!$D$12)&lt;=0),0,MAX(0,1-(N(Screener!$D$12)-Database!$H167)/W_RECD))</f>
        <v/>
      </c>
      <c r="H167">
        <f>IF($U$1="",0,N(ISNUMBER(SEARCH($U$1,Database!$Z167&amp;""))))+IF($V$1="",0,N(ISNUMBER(SEARCH($V$1,Database!$Z167&amp;""))))+IF($W$1="",0,N(ISNUMBER(SEARCH($W$1,Database!$Z167&amp;""))))+IF($X$1="",0,N(ISNUMBER(SEARCH($X$1,Database!$Z167&amp;""))))+IF($Y$1="",0,N(ISNUMBER(SEARCH($Y$1,Database!$Z167&amp;""))))+IF(Screener!$B$17="",0,N(ISNUMBER(SEARCH(LOWER(Screener!$B$17),Database!$Z167&amp;""))))</f>
        <v/>
      </c>
      <c r="I167">
        <f>IF(OR(N(Database!$BF167)&lt;=0,N(Screener!$D$13)&lt;=0),0,MAX(0,1-ABS(LOG10(N(Database!$BF167)/Screener!$D$13))/W_PEHW))</f>
        <v/>
      </c>
      <c r="J167">
        <f>IF(OR(N(Database!$S167)&lt;=0,N(Screener!$D$14)&lt;=0),0,MAX(0,1-ABS(LOG10(Database!$S167/Screener!$D$14))/0.6))</f>
        <v/>
      </c>
      <c r="K167">
        <f>IF(Database!$B167=Screener!$B$5,-999999,IF(ISNUMBER(SEARCH(","&amp;Database!$A167&amp;",",","&amp;SUBSTITUTE(Screener!$D$17," ","")&amp;",")),2000000,IF(IF(OR(Screener!$B$18="All",AND(Screener!$B$18="With A-share",(Database!$BK167="Y")),AND(Screener!$B$18="Without A-share",NOT((Database!$BK167="Y")))),1,0)=0,-999999,IF(Screener!$B$16="cornerstone overlap first",H167*100000,IF(Screener!$B$16="demand-similar first",J167*100000,0))+W_SUB*B167+W_SEC*C167*(1-B167)+W_SIZE*D167+W_PROF*E167+W_AH*F167+W_REC*G167+W_CS*H167+W_PE*I167)))+ROW()/1000000</f>
        <v/>
      </c>
      <c r="AA167">
        <f>Database!B157</f>
        <v/>
      </c>
      <c r="AB167">
        <f>Database!D157</f>
        <v/>
      </c>
      <c r="AC167">
        <f>Database!E157</f>
        <v/>
      </c>
      <c r="AD167">
        <f>Database!I157</f>
        <v/>
      </c>
      <c r="AE167">
        <f>Database!BE157</f>
        <v/>
      </c>
      <c r="AF167">
        <f>Database!BK157</f>
        <v/>
      </c>
      <c r="AG167">
        <f>Database!H157</f>
        <v/>
      </c>
      <c r="AH167">
        <f>Database!BF157</f>
        <v/>
      </c>
    </row>
    <row r="168">
      <c r="A168">
        <f>Database!B168</f>
        <v/>
      </c>
      <c r="B168">
        <f>IF(AND(Screener!$D$8&lt;&gt;"",Database!$E168=Screener!$D$8),1,0)</f>
        <v/>
      </c>
      <c r="C168">
        <f>IF(AND(Screener!$D$7&lt;&gt;"",Database!$D168=Screener!$D$7),1,0)</f>
        <v/>
      </c>
      <c r="D168">
        <f>IF(OR(N(Database!$I168)&lt;=0,N(Screener!$D$9)&lt;=0),0,MAX(0,1-ABS(LOG10(N(Database!$I168)/Screener!$D$9))/W_SIZEHW))</f>
        <v/>
      </c>
      <c r="E168">
        <f>IF(OR(Database!$BE168="",Screener!$D$10=""),0,IF(Database!$BE168=Screener!$D$10,1,0))</f>
        <v/>
      </c>
      <c r="F168">
        <f>IF(OR(Database!$BK168="",Screener!$D$11=""),0,IF(Database!$BK168=Screener!$D$11,1,0))</f>
        <v/>
      </c>
      <c r="G168">
        <f>IF(OR(Database!$H168="",N(Screener!$D$12)&lt;=0),0,MAX(0,1-(N(Screener!$D$12)-Database!$H168)/W_RECD))</f>
        <v/>
      </c>
      <c r="H168">
        <f>IF($U$1="",0,N(ISNUMBER(SEARCH($U$1,Database!$Z168&amp;""))))+IF($V$1="",0,N(ISNUMBER(SEARCH($V$1,Database!$Z168&amp;""))))+IF($W$1="",0,N(ISNUMBER(SEARCH($W$1,Database!$Z168&amp;""))))+IF($X$1="",0,N(ISNUMBER(SEARCH($X$1,Database!$Z168&amp;""))))+IF($Y$1="",0,N(ISNUMBER(SEARCH($Y$1,Database!$Z168&amp;""))))+IF(Screener!$B$17="",0,N(ISNUMBER(SEARCH(LOWER(Screener!$B$17),Database!$Z168&amp;""))))</f>
        <v/>
      </c>
      <c r="I168">
        <f>IF(OR(N(Database!$BF168)&lt;=0,N(Screener!$D$13)&lt;=0),0,MAX(0,1-ABS(LOG10(N(Database!$BF168)/Screener!$D$13))/W_PEHW))</f>
        <v/>
      </c>
      <c r="J168">
        <f>IF(OR(N(Database!$S168)&lt;=0,N(Screener!$D$14)&lt;=0),0,MAX(0,1-ABS(LOG10(Database!$S168/Screener!$D$14))/0.6))</f>
        <v/>
      </c>
      <c r="K168">
        <f>IF(Database!$B168=Screener!$B$5,-999999,IF(ISNUMBER(SEARCH(","&amp;Database!$A168&amp;",",","&amp;SUBSTITUTE(Screener!$D$17," ","")&amp;",")),2000000,IF(IF(OR(Screener!$B$18="All",AND(Screener!$B$18="With A-share",(Database!$BK168="Y")),AND(Screener!$B$18="Without A-share",NOT((Database!$BK168="Y")))),1,0)=0,-999999,IF(Screener!$B$16="cornerstone overlap first",H168*100000,IF(Screener!$B$16="demand-similar first",J168*100000,0))+W_SUB*B168+W_SEC*C168*(1-B168)+W_SIZE*D168+W_PROF*E168+W_AH*F168+W_REC*G168+W_CS*H168+W_PE*I168)))+ROW()/1000000</f>
        <v/>
      </c>
      <c r="AA168">
        <f>Database!B158</f>
        <v/>
      </c>
      <c r="AB168">
        <f>Database!D158</f>
        <v/>
      </c>
      <c r="AC168">
        <f>Database!E158</f>
        <v/>
      </c>
      <c r="AD168">
        <f>Database!I158</f>
        <v/>
      </c>
      <c r="AE168">
        <f>Database!BE158</f>
        <v/>
      </c>
      <c r="AF168">
        <f>Database!BK158</f>
        <v/>
      </c>
      <c r="AG168">
        <f>Database!H158</f>
        <v/>
      </c>
      <c r="AH168">
        <f>Database!BF158</f>
        <v/>
      </c>
    </row>
    <row r="169">
      <c r="A169">
        <f>Database!B169</f>
        <v/>
      </c>
      <c r="B169">
        <f>IF(AND(Screener!$D$8&lt;&gt;"",Database!$E169=Screener!$D$8),1,0)</f>
        <v/>
      </c>
      <c r="C169">
        <f>IF(AND(Screener!$D$7&lt;&gt;"",Database!$D169=Screener!$D$7),1,0)</f>
        <v/>
      </c>
      <c r="D169">
        <f>IF(OR(N(Database!$I169)&lt;=0,N(Screener!$D$9)&lt;=0),0,MAX(0,1-ABS(LOG10(N(Database!$I169)/Screener!$D$9))/W_SIZEHW))</f>
        <v/>
      </c>
      <c r="E169">
        <f>IF(OR(Database!$BE169="",Screener!$D$10=""),0,IF(Database!$BE169=Screener!$D$10,1,0))</f>
        <v/>
      </c>
      <c r="F169">
        <f>IF(OR(Database!$BK169="",Screener!$D$11=""),0,IF(Database!$BK169=Screener!$D$11,1,0))</f>
        <v/>
      </c>
      <c r="G169">
        <f>IF(OR(Database!$H169="",N(Screener!$D$12)&lt;=0),0,MAX(0,1-(N(Screener!$D$12)-Database!$H169)/W_RECD))</f>
        <v/>
      </c>
      <c r="H169">
        <f>IF($U$1="",0,N(ISNUMBER(SEARCH($U$1,Database!$Z169&amp;""))))+IF($V$1="",0,N(ISNUMBER(SEARCH($V$1,Database!$Z169&amp;""))))+IF($W$1="",0,N(ISNUMBER(SEARCH($W$1,Database!$Z169&amp;""))))+IF($X$1="",0,N(ISNUMBER(SEARCH($X$1,Database!$Z169&amp;""))))+IF($Y$1="",0,N(ISNUMBER(SEARCH($Y$1,Database!$Z169&amp;""))))+IF(Screener!$B$17="",0,N(ISNUMBER(SEARCH(LOWER(Screener!$B$17),Database!$Z169&amp;""))))</f>
        <v/>
      </c>
      <c r="I169">
        <f>IF(OR(N(Database!$BF169)&lt;=0,N(Screener!$D$13)&lt;=0),0,MAX(0,1-ABS(LOG10(N(Database!$BF169)/Screener!$D$13))/W_PEHW))</f>
        <v/>
      </c>
      <c r="J169">
        <f>IF(OR(N(Database!$S169)&lt;=0,N(Screener!$D$14)&lt;=0),0,MAX(0,1-ABS(LOG10(Database!$S169/Screener!$D$14))/0.6))</f>
        <v/>
      </c>
      <c r="K169">
        <f>IF(Database!$B169=Screener!$B$5,-999999,IF(ISNUMBER(SEARCH(","&amp;Database!$A169&amp;",",","&amp;SUBSTITUTE(Screener!$D$17," ","")&amp;",")),2000000,IF(IF(OR(Screener!$B$18="All",AND(Screener!$B$18="With A-share",(Database!$BK169="Y")),AND(Screener!$B$18="Without A-share",NOT((Database!$BK169="Y")))),1,0)=0,-999999,IF(Screener!$B$16="cornerstone overlap first",H169*100000,IF(Screener!$B$16="demand-similar first",J169*100000,0))+W_SUB*B169+W_SEC*C169*(1-B169)+W_SIZE*D169+W_PROF*E169+W_AH*F169+W_REC*G169+W_CS*H169+W_PE*I169)))+ROW()/1000000</f>
        <v/>
      </c>
      <c r="AA169">
        <f>Database!B159</f>
        <v/>
      </c>
      <c r="AB169">
        <f>Database!D159</f>
        <v/>
      </c>
      <c r="AC169">
        <f>Database!E159</f>
        <v/>
      </c>
      <c r="AD169">
        <f>Database!I159</f>
        <v/>
      </c>
      <c r="AE169">
        <f>Database!BE159</f>
        <v/>
      </c>
      <c r="AF169">
        <f>Database!BK159</f>
        <v/>
      </c>
      <c r="AG169">
        <f>Database!H159</f>
        <v/>
      </c>
      <c r="AH169">
        <f>Database!BF159</f>
        <v/>
      </c>
    </row>
    <row r="170">
      <c r="A170">
        <f>Database!B170</f>
        <v/>
      </c>
      <c r="B170">
        <f>IF(AND(Screener!$D$8&lt;&gt;"",Database!$E170=Screener!$D$8),1,0)</f>
        <v/>
      </c>
      <c r="C170">
        <f>IF(AND(Screener!$D$7&lt;&gt;"",Database!$D170=Screener!$D$7),1,0)</f>
        <v/>
      </c>
      <c r="D170">
        <f>IF(OR(N(Database!$I170)&lt;=0,N(Screener!$D$9)&lt;=0),0,MAX(0,1-ABS(LOG10(N(Database!$I170)/Screener!$D$9))/W_SIZEHW))</f>
        <v/>
      </c>
      <c r="E170">
        <f>IF(OR(Database!$BE170="",Screener!$D$10=""),0,IF(Database!$BE170=Screener!$D$10,1,0))</f>
        <v/>
      </c>
      <c r="F170">
        <f>IF(OR(Database!$BK170="",Screener!$D$11=""),0,IF(Database!$BK170=Screener!$D$11,1,0))</f>
        <v/>
      </c>
      <c r="G170">
        <f>IF(OR(Database!$H170="",N(Screener!$D$12)&lt;=0),0,MAX(0,1-(N(Screener!$D$12)-Database!$H170)/W_RECD))</f>
        <v/>
      </c>
      <c r="H170">
        <f>IF($U$1="",0,N(ISNUMBER(SEARCH($U$1,Database!$Z170&amp;""))))+IF($V$1="",0,N(ISNUMBER(SEARCH($V$1,Database!$Z170&amp;""))))+IF($W$1="",0,N(ISNUMBER(SEARCH($W$1,Database!$Z170&amp;""))))+IF($X$1="",0,N(ISNUMBER(SEARCH($X$1,Database!$Z170&amp;""))))+IF($Y$1="",0,N(ISNUMBER(SEARCH($Y$1,Database!$Z170&amp;""))))+IF(Screener!$B$17="",0,N(ISNUMBER(SEARCH(LOWER(Screener!$B$17),Database!$Z170&amp;""))))</f>
        <v/>
      </c>
      <c r="I170">
        <f>IF(OR(N(Database!$BF170)&lt;=0,N(Screener!$D$13)&lt;=0),0,MAX(0,1-ABS(LOG10(N(Database!$BF170)/Screener!$D$13))/W_PEHW))</f>
        <v/>
      </c>
      <c r="J170">
        <f>IF(OR(N(Database!$S170)&lt;=0,N(Screener!$D$14)&lt;=0),0,MAX(0,1-ABS(LOG10(Database!$S170/Screener!$D$14))/0.6))</f>
        <v/>
      </c>
      <c r="K170">
        <f>IF(Database!$B170=Screener!$B$5,-999999,IF(ISNUMBER(SEARCH(","&amp;Database!$A170&amp;",",","&amp;SUBSTITUTE(Screener!$D$17," ","")&amp;",")),2000000,IF(IF(OR(Screener!$B$18="All",AND(Screener!$B$18="With A-share",(Database!$BK170="Y")),AND(Screener!$B$18="Without A-share",NOT((Database!$BK170="Y")))),1,0)=0,-999999,IF(Screener!$B$16="cornerstone overlap first",H170*100000,IF(Screener!$B$16="demand-similar first",J170*100000,0))+W_SUB*B170+W_SEC*C170*(1-B170)+W_SIZE*D170+W_PROF*E170+W_AH*F170+W_REC*G170+W_CS*H170+W_PE*I170)))+ROW()/1000000</f>
        <v/>
      </c>
      <c r="AA170">
        <f>Database!B160</f>
        <v/>
      </c>
      <c r="AB170">
        <f>Database!D160</f>
        <v/>
      </c>
      <c r="AC170">
        <f>Database!E160</f>
        <v/>
      </c>
      <c r="AD170">
        <f>Database!I160</f>
        <v/>
      </c>
      <c r="AE170">
        <f>Database!BE160</f>
        <v/>
      </c>
      <c r="AF170">
        <f>Database!BK160</f>
        <v/>
      </c>
      <c r="AG170">
        <f>Database!H160</f>
        <v/>
      </c>
      <c r="AH170">
        <f>Database!BF160</f>
        <v/>
      </c>
    </row>
    <row r="171">
      <c r="A171">
        <f>Database!B171</f>
        <v/>
      </c>
      <c r="B171">
        <f>IF(AND(Screener!$D$8&lt;&gt;"",Database!$E171=Screener!$D$8),1,0)</f>
        <v/>
      </c>
      <c r="C171">
        <f>IF(AND(Screener!$D$7&lt;&gt;"",Database!$D171=Screener!$D$7),1,0)</f>
        <v/>
      </c>
      <c r="D171">
        <f>IF(OR(N(Database!$I171)&lt;=0,N(Screener!$D$9)&lt;=0),0,MAX(0,1-ABS(LOG10(N(Database!$I171)/Screener!$D$9))/W_SIZEHW))</f>
        <v/>
      </c>
      <c r="E171">
        <f>IF(OR(Database!$BE171="",Screener!$D$10=""),0,IF(Database!$BE171=Screener!$D$10,1,0))</f>
        <v/>
      </c>
      <c r="F171">
        <f>IF(OR(Database!$BK171="",Screener!$D$11=""),0,IF(Database!$BK171=Screener!$D$11,1,0))</f>
        <v/>
      </c>
      <c r="G171">
        <f>IF(OR(Database!$H171="",N(Screener!$D$12)&lt;=0),0,MAX(0,1-(N(Screener!$D$12)-Database!$H171)/W_RECD))</f>
        <v/>
      </c>
      <c r="H171">
        <f>IF($U$1="",0,N(ISNUMBER(SEARCH($U$1,Database!$Z171&amp;""))))+IF($V$1="",0,N(ISNUMBER(SEARCH($V$1,Database!$Z171&amp;""))))+IF($W$1="",0,N(ISNUMBER(SEARCH($W$1,Database!$Z171&amp;""))))+IF($X$1="",0,N(ISNUMBER(SEARCH($X$1,Database!$Z171&amp;""))))+IF($Y$1="",0,N(ISNUMBER(SEARCH($Y$1,Database!$Z171&amp;""))))+IF(Screener!$B$17="",0,N(ISNUMBER(SEARCH(LOWER(Screener!$B$17),Database!$Z171&amp;""))))</f>
        <v/>
      </c>
      <c r="I171">
        <f>IF(OR(N(Database!$BF171)&lt;=0,N(Screener!$D$13)&lt;=0),0,MAX(0,1-ABS(LOG10(N(Database!$BF171)/Screener!$D$13))/W_PEHW))</f>
        <v/>
      </c>
      <c r="J171">
        <f>IF(OR(N(Database!$S171)&lt;=0,N(Screener!$D$14)&lt;=0),0,MAX(0,1-ABS(LOG10(Database!$S171/Screener!$D$14))/0.6))</f>
        <v/>
      </c>
      <c r="K171">
        <f>IF(Database!$B171=Screener!$B$5,-999999,IF(ISNUMBER(SEARCH(","&amp;Database!$A171&amp;",",","&amp;SUBSTITUTE(Screener!$D$17," ","")&amp;",")),2000000,IF(IF(OR(Screener!$B$18="All",AND(Screener!$B$18="With A-share",(Database!$BK171="Y")),AND(Screener!$B$18="Without A-share",NOT((Database!$BK171="Y")))),1,0)=0,-999999,IF(Screener!$B$16="cornerstone overlap first",H171*100000,IF(Screener!$B$16="demand-similar first",J171*100000,0))+W_SUB*B171+W_SEC*C171*(1-B171)+W_SIZE*D171+W_PROF*E171+W_AH*F171+W_REC*G171+W_CS*H171+W_PE*I171)))+ROW()/1000000</f>
        <v/>
      </c>
      <c r="AA171">
        <f>Database!B161</f>
        <v/>
      </c>
      <c r="AB171">
        <f>Database!D161</f>
        <v/>
      </c>
      <c r="AC171">
        <f>Database!E161</f>
        <v/>
      </c>
      <c r="AD171">
        <f>Database!I161</f>
        <v/>
      </c>
      <c r="AE171">
        <f>Database!BE161</f>
        <v/>
      </c>
      <c r="AF171">
        <f>Database!BK161</f>
        <v/>
      </c>
      <c r="AG171">
        <f>Database!H161</f>
        <v/>
      </c>
      <c r="AH171">
        <f>Database!BF161</f>
        <v/>
      </c>
    </row>
    <row r="172">
      <c r="A172">
        <f>Database!B172</f>
        <v/>
      </c>
      <c r="B172">
        <f>IF(AND(Screener!$D$8&lt;&gt;"",Database!$E172=Screener!$D$8),1,0)</f>
        <v/>
      </c>
      <c r="C172">
        <f>IF(AND(Screener!$D$7&lt;&gt;"",Database!$D172=Screener!$D$7),1,0)</f>
        <v/>
      </c>
      <c r="D172">
        <f>IF(OR(N(Database!$I172)&lt;=0,N(Screener!$D$9)&lt;=0),0,MAX(0,1-ABS(LOG10(N(Database!$I172)/Screener!$D$9))/W_SIZEHW))</f>
        <v/>
      </c>
      <c r="E172">
        <f>IF(OR(Database!$BE172="",Screener!$D$10=""),0,IF(Database!$BE172=Screener!$D$10,1,0))</f>
        <v/>
      </c>
      <c r="F172">
        <f>IF(OR(Database!$BK172="",Screener!$D$11=""),0,IF(Database!$BK172=Screener!$D$11,1,0))</f>
        <v/>
      </c>
      <c r="G172">
        <f>IF(OR(Database!$H172="",N(Screener!$D$12)&lt;=0),0,MAX(0,1-(N(Screener!$D$12)-Database!$H172)/W_RECD))</f>
        <v/>
      </c>
      <c r="H172">
        <f>IF($U$1="",0,N(ISNUMBER(SEARCH($U$1,Database!$Z172&amp;""))))+IF($V$1="",0,N(ISNUMBER(SEARCH($V$1,Database!$Z172&amp;""))))+IF($W$1="",0,N(ISNUMBER(SEARCH($W$1,Database!$Z172&amp;""))))+IF($X$1="",0,N(ISNUMBER(SEARCH($X$1,Database!$Z172&amp;""))))+IF($Y$1="",0,N(ISNUMBER(SEARCH($Y$1,Database!$Z172&amp;""))))+IF(Screener!$B$17="",0,N(ISNUMBER(SEARCH(LOWER(Screener!$B$17),Database!$Z172&amp;""))))</f>
        <v/>
      </c>
      <c r="I172">
        <f>IF(OR(N(Database!$BF172)&lt;=0,N(Screener!$D$13)&lt;=0),0,MAX(0,1-ABS(LOG10(N(Database!$BF172)/Screener!$D$13))/W_PEHW))</f>
        <v/>
      </c>
      <c r="J172">
        <f>IF(OR(N(Database!$S172)&lt;=0,N(Screener!$D$14)&lt;=0),0,MAX(0,1-ABS(LOG10(Database!$S172/Screener!$D$14))/0.6))</f>
        <v/>
      </c>
      <c r="K172">
        <f>IF(Database!$B172=Screener!$B$5,-999999,IF(ISNUMBER(SEARCH(","&amp;Database!$A172&amp;",",","&amp;SUBSTITUTE(Screener!$D$17," ","")&amp;",")),2000000,IF(IF(OR(Screener!$B$18="All",AND(Screener!$B$18="With A-share",(Database!$BK172="Y")),AND(Screener!$B$18="Without A-share",NOT((Database!$BK172="Y")))),1,0)=0,-999999,IF(Screener!$B$16="cornerstone overlap first",H172*100000,IF(Screener!$B$16="demand-similar first",J172*100000,0))+W_SUB*B172+W_SEC*C172*(1-B172)+W_SIZE*D172+W_PROF*E172+W_AH*F172+W_REC*G172+W_CS*H172+W_PE*I172)))+ROW()/1000000</f>
        <v/>
      </c>
      <c r="AA172">
        <f>Database!B162</f>
        <v/>
      </c>
      <c r="AB172">
        <f>Database!D162</f>
        <v/>
      </c>
      <c r="AC172">
        <f>Database!E162</f>
        <v/>
      </c>
      <c r="AD172">
        <f>Database!I162</f>
        <v/>
      </c>
      <c r="AE172">
        <f>Database!BE162</f>
        <v/>
      </c>
      <c r="AF172">
        <f>Database!BK162</f>
        <v/>
      </c>
      <c r="AG172">
        <f>Database!H162</f>
        <v/>
      </c>
      <c r="AH172">
        <f>Database!BF162</f>
        <v/>
      </c>
    </row>
    <row r="173">
      <c r="A173">
        <f>Database!B173</f>
        <v/>
      </c>
      <c r="B173">
        <f>IF(AND(Screener!$D$8&lt;&gt;"",Database!$E173=Screener!$D$8),1,0)</f>
        <v/>
      </c>
      <c r="C173">
        <f>IF(AND(Screener!$D$7&lt;&gt;"",Database!$D173=Screener!$D$7),1,0)</f>
        <v/>
      </c>
      <c r="D173">
        <f>IF(OR(N(Database!$I173)&lt;=0,N(Screener!$D$9)&lt;=0),0,MAX(0,1-ABS(LOG10(N(Database!$I173)/Screener!$D$9))/W_SIZEHW))</f>
        <v/>
      </c>
      <c r="E173">
        <f>IF(OR(Database!$BE173="",Screener!$D$10=""),0,IF(Database!$BE173=Screener!$D$10,1,0))</f>
        <v/>
      </c>
      <c r="F173">
        <f>IF(OR(Database!$BK173="",Screener!$D$11=""),0,IF(Database!$BK173=Screener!$D$11,1,0))</f>
        <v/>
      </c>
      <c r="G173">
        <f>IF(OR(Database!$H173="",N(Screener!$D$12)&lt;=0),0,MAX(0,1-(N(Screener!$D$12)-Database!$H173)/W_RECD))</f>
        <v/>
      </c>
      <c r="H173">
        <f>IF($U$1="",0,N(ISNUMBER(SEARCH($U$1,Database!$Z173&amp;""))))+IF($V$1="",0,N(ISNUMBER(SEARCH($V$1,Database!$Z173&amp;""))))+IF($W$1="",0,N(ISNUMBER(SEARCH($W$1,Database!$Z173&amp;""))))+IF($X$1="",0,N(ISNUMBER(SEARCH($X$1,Database!$Z173&amp;""))))+IF($Y$1="",0,N(ISNUMBER(SEARCH($Y$1,Database!$Z173&amp;""))))+IF(Screener!$B$17="",0,N(ISNUMBER(SEARCH(LOWER(Screener!$B$17),Database!$Z173&amp;""))))</f>
        <v/>
      </c>
      <c r="I173">
        <f>IF(OR(N(Database!$BF173)&lt;=0,N(Screener!$D$13)&lt;=0),0,MAX(0,1-ABS(LOG10(N(Database!$BF173)/Screener!$D$13))/W_PEHW))</f>
        <v/>
      </c>
      <c r="J173">
        <f>IF(OR(N(Database!$S173)&lt;=0,N(Screener!$D$14)&lt;=0),0,MAX(0,1-ABS(LOG10(Database!$S173/Screener!$D$14))/0.6))</f>
        <v/>
      </c>
      <c r="K173">
        <f>IF(Database!$B173=Screener!$B$5,-999999,IF(ISNUMBER(SEARCH(","&amp;Database!$A173&amp;",",","&amp;SUBSTITUTE(Screener!$D$17," ","")&amp;",")),2000000,IF(IF(OR(Screener!$B$18="All",AND(Screener!$B$18="With A-share",(Database!$BK173="Y")),AND(Screener!$B$18="Without A-share",NOT((Database!$BK173="Y")))),1,0)=0,-999999,IF(Screener!$B$16="cornerstone overlap first",H173*100000,IF(Screener!$B$16="demand-similar first",J173*100000,0))+W_SUB*B173+W_SEC*C173*(1-B173)+W_SIZE*D173+W_PROF*E173+W_AH*F173+W_REC*G173+W_CS*H173+W_PE*I173)))+ROW()/1000000</f>
        <v/>
      </c>
      <c r="AA173">
        <f>Database!B163</f>
        <v/>
      </c>
      <c r="AB173">
        <f>Database!D163</f>
        <v/>
      </c>
      <c r="AC173">
        <f>Database!E163</f>
        <v/>
      </c>
      <c r="AD173">
        <f>Database!I163</f>
        <v/>
      </c>
      <c r="AE173">
        <f>Database!BE163</f>
        <v/>
      </c>
      <c r="AF173">
        <f>Database!BK163</f>
        <v/>
      </c>
      <c r="AG173">
        <f>Database!H163</f>
        <v/>
      </c>
      <c r="AH173">
        <f>Database!BF163</f>
        <v/>
      </c>
    </row>
    <row r="174">
      <c r="A174">
        <f>Database!B174</f>
        <v/>
      </c>
      <c r="B174">
        <f>IF(AND(Screener!$D$8&lt;&gt;"",Database!$E174=Screener!$D$8),1,0)</f>
        <v/>
      </c>
      <c r="C174">
        <f>IF(AND(Screener!$D$7&lt;&gt;"",Database!$D174=Screener!$D$7),1,0)</f>
        <v/>
      </c>
      <c r="D174">
        <f>IF(OR(N(Database!$I174)&lt;=0,N(Screener!$D$9)&lt;=0),0,MAX(0,1-ABS(LOG10(N(Database!$I174)/Screener!$D$9))/W_SIZEHW))</f>
        <v/>
      </c>
      <c r="E174">
        <f>IF(OR(Database!$BE174="",Screener!$D$10=""),0,IF(Database!$BE174=Screener!$D$10,1,0))</f>
        <v/>
      </c>
      <c r="F174">
        <f>IF(OR(Database!$BK174="",Screener!$D$11=""),0,IF(Database!$BK174=Screener!$D$11,1,0))</f>
        <v/>
      </c>
      <c r="G174">
        <f>IF(OR(Database!$H174="",N(Screener!$D$12)&lt;=0),0,MAX(0,1-(N(Screener!$D$12)-Database!$H174)/W_RECD))</f>
        <v/>
      </c>
      <c r="H174">
        <f>IF($U$1="",0,N(ISNUMBER(SEARCH($U$1,Database!$Z174&amp;""))))+IF($V$1="",0,N(ISNUMBER(SEARCH($V$1,Database!$Z174&amp;""))))+IF($W$1="",0,N(ISNUMBER(SEARCH($W$1,Database!$Z174&amp;""))))+IF($X$1="",0,N(ISNUMBER(SEARCH($X$1,Database!$Z174&amp;""))))+IF($Y$1="",0,N(ISNUMBER(SEARCH($Y$1,Database!$Z174&amp;""))))+IF(Screener!$B$17="",0,N(ISNUMBER(SEARCH(LOWER(Screener!$B$17),Database!$Z174&amp;""))))</f>
        <v/>
      </c>
      <c r="I174">
        <f>IF(OR(N(Database!$BF174)&lt;=0,N(Screener!$D$13)&lt;=0),0,MAX(0,1-ABS(LOG10(N(Database!$BF174)/Screener!$D$13))/W_PEHW))</f>
        <v/>
      </c>
      <c r="J174">
        <f>IF(OR(N(Database!$S174)&lt;=0,N(Screener!$D$14)&lt;=0),0,MAX(0,1-ABS(LOG10(Database!$S174/Screener!$D$14))/0.6))</f>
        <v/>
      </c>
      <c r="K174">
        <f>IF(Database!$B174=Screener!$B$5,-999999,IF(ISNUMBER(SEARCH(","&amp;Database!$A174&amp;",",","&amp;SUBSTITUTE(Screener!$D$17," ","")&amp;",")),2000000,IF(IF(OR(Screener!$B$18="All",AND(Screener!$B$18="With A-share",(Database!$BK174="Y")),AND(Screener!$B$18="Without A-share",NOT((Database!$BK174="Y")))),1,0)=0,-999999,IF(Screener!$B$16="cornerstone overlap first",H174*100000,IF(Screener!$B$16="demand-similar first",J174*100000,0))+W_SUB*B174+W_SEC*C174*(1-B174)+W_SIZE*D174+W_PROF*E174+W_AH*F174+W_REC*G174+W_CS*H174+W_PE*I174)))+ROW()/1000000</f>
        <v/>
      </c>
      <c r="AA174">
        <f>Database!B164</f>
        <v/>
      </c>
      <c r="AB174">
        <f>Database!D164</f>
        <v/>
      </c>
      <c r="AC174">
        <f>Database!E164</f>
        <v/>
      </c>
      <c r="AD174">
        <f>Database!I164</f>
        <v/>
      </c>
      <c r="AE174">
        <f>Database!BE164</f>
        <v/>
      </c>
      <c r="AF174">
        <f>Database!BK164</f>
        <v/>
      </c>
      <c r="AG174">
        <f>Database!H164</f>
        <v/>
      </c>
      <c r="AH174">
        <f>Database!BF164</f>
        <v/>
      </c>
    </row>
    <row r="175">
      <c r="A175">
        <f>Database!B175</f>
        <v/>
      </c>
      <c r="B175">
        <f>IF(AND(Screener!$D$8&lt;&gt;"",Database!$E175=Screener!$D$8),1,0)</f>
        <v/>
      </c>
      <c r="C175">
        <f>IF(AND(Screener!$D$7&lt;&gt;"",Database!$D175=Screener!$D$7),1,0)</f>
        <v/>
      </c>
      <c r="D175">
        <f>IF(OR(N(Database!$I175)&lt;=0,N(Screener!$D$9)&lt;=0),0,MAX(0,1-ABS(LOG10(N(Database!$I175)/Screener!$D$9))/W_SIZEHW))</f>
        <v/>
      </c>
      <c r="E175">
        <f>IF(OR(Database!$BE175="",Screener!$D$10=""),0,IF(Database!$BE175=Screener!$D$10,1,0))</f>
        <v/>
      </c>
      <c r="F175">
        <f>IF(OR(Database!$BK175="",Screener!$D$11=""),0,IF(Database!$BK175=Screener!$D$11,1,0))</f>
        <v/>
      </c>
      <c r="G175">
        <f>IF(OR(Database!$H175="",N(Screener!$D$12)&lt;=0),0,MAX(0,1-(N(Screener!$D$12)-Database!$H175)/W_RECD))</f>
        <v/>
      </c>
      <c r="H175">
        <f>IF($U$1="",0,N(ISNUMBER(SEARCH($U$1,Database!$Z175&amp;""))))+IF($V$1="",0,N(ISNUMBER(SEARCH($V$1,Database!$Z175&amp;""))))+IF($W$1="",0,N(ISNUMBER(SEARCH($W$1,Database!$Z175&amp;""))))+IF($X$1="",0,N(ISNUMBER(SEARCH($X$1,Database!$Z175&amp;""))))+IF($Y$1="",0,N(ISNUMBER(SEARCH($Y$1,Database!$Z175&amp;""))))+IF(Screener!$B$17="",0,N(ISNUMBER(SEARCH(LOWER(Screener!$B$17),Database!$Z175&amp;""))))</f>
        <v/>
      </c>
      <c r="I175">
        <f>IF(OR(N(Database!$BF175)&lt;=0,N(Screener!$D$13)&lt;=0),0,MAX(0,1-ABS(LOG10(N(Database!$BF175)/Screener!$D$13))/W_PEHW))</f>
        <v/>
      </c>
      <c r="J175">
        <f>IF(OR(N(Database!$S175)&lt;=0,N(Screener!$D$14)&lt;=0),0,MAX(0,1-ABS(LOG10(Database!$S175/Screener!$D$14))/0.6))</f>
        <v/>
      </c>
      <c r="K175">
        <f>IF(Database!$B175=Screener!$B$5,-999999,IF(ISNUMBER(SEARCH(","&amp;Database!$A175&amp;",",","&amp;SUBSTITUTE(Screener!$D$17," ","")&amp;",")),2000000,IF(IF(OR(Screener!$B$18="All",AND(Screener!$B$18="With A-share",(Database!$BK175="Y")),AND(Screener!$B$18="Without A-share",NOT((Database!$BK175="Y")))),1,0)=0,-999999,IF(Screener!$B$16="cornerstone overlap first",H175*100000,IF(Screener!$B$16="demand-similar first",J175*100000,0))+W_SUB*B175+W_SEC*C175*(1-B175)+W_SIZE*D175+W_PROF*E175+W_AH*F175+W_REC*G175+W_CS*H175+W_PE*I175)))+ROW()/1000000</f>
        <v/>
      </c>
      <c r="AA175">
        <f>Database!B165</f>
        <v/>
      </c>
      <c r="AB175">
        <f>Database!D165</f>
        <v/>
      </c>
      <c r="AC175">
        <f>Database!E165</f>
        <v/>
      </c>
      <c r="AD175">
        <f>Database!I165</f>
        <v/>
      </c>
      <c r="AE175">
        <f>Database!BE165</f>
        <v/>
      </c>
      <c r="AF175">
        <f>Database!BK165</f>
        <v/>
      </c>
      <c r="AG175">
        <f>Database!H165</f>
        <v/>
      </c>
      <c r="AH175">
        <f>Database!BF165</f>
        <v/>
      </c>
    </row>
    <row r="176">
      <c r="A176">
        <f>Database!B176</f>
        <v/>
      </c>
      <c r="B176">
        <f>IF(AND(Screener!$D$8&lt;&gt;"",Database!$E176=Screener!$D$8),1,0)</f>
        <v/>
      </c>
      <c r="C176">
        <f>IF(AND(Screener!$D$7&lt;&gt;"",Database!$D176=Screener!$D$7),1,0)</f>
        <v/>
      </c>
      <c r="D176">
        <f>IF(OR(N(Database!$I176)&lt;=0,N(Screener!$D$9)&lt;=0),0,MAX(0,1-ABS(LOG10(N(Database!$I176)/Screener!$D$9))/W_SIZEHW))</f>
        <v/>
      </c>
      <c r="E176">
        <f>IF(OR(Database!$BE176="",Screener!$D$10=""),0,IF(Database!$BE176=Screener!$D$10,1,0))</f>
        <v/>
      </c>
      <c r="F176">
        <f>IF(OR(Database!$BK176="",Screener!$D$11=""),0,IF(Database!$BK176=Screener!$D$11,1,0))</f>
        <v/>
      </c>
      <c r="G176">
        <f>IF(OR(Database!$H176="",N(Screener!$D$12)&lt;=0),0,MAX(0,1-(N(Screener!$D$12)-Database!$H176)/W_RECD))</f>
        <v/>
      </c>
      <c r="H176">
        <f>IF($U$1="",0,N(ISNUMBER(SEARCH($U$1,Database!$Z176&amp;""))))+IF($V$1="",0,N(ISNUMBER(SEARCH($V$1,Database!$Z176&amp;""))))+IF($W$1="",0,N(ISNUMBER(SEARCH($W$1,Database!$Z176&amp;""))))+IF($X$1="",0,N(ISNUMBER(SEARCH($X$1,Database!$Z176&amp;""))))+IF($Y$1="",0,N(ISNUMBER(SEARCH($Y$1,Database!$Z176&amp;""))))+IF(Screener!$B$17="",0,N(ISNUMBER(SEARCH(LOWER(Screener!$B$17),Database!$Z176&amp;""))))</f>
        <v/>
      </c>
      <c r="I176">
        <f>IF(OR(N(Database!$BF176)&lt;=0,N(Screener!$D$13)&lt;=0),0,MAX(0,1-ABS(LOG10(N(Database!$BF176)/Screener!$D$13))/W_PEHW))</f>
        <v/>
      </c>
      <c r="J176">
        <f>IF(OR(N(Database!$S176)&lt;=0,N(Screener!$D$14)&lt;=0),0,MAX(0,1-ABS(LOG10(Database!$S176/Screener!$D$14))/0.6))</f>
        <v/>
      </c>
      <c r="K176">
        <f>IF(Database!$B176=Screener!$B$5,-999999,IF(ISNUMBER(SEARCH(","&amp;Database!$A176&amp;",",","&amp;SUBSTITUTE(Screener!$D$17," ","")&amp;",")),2000000,IF(IF(OR(Screener!$B$18="All",AND(Screener!$B$18="With A-share",(Database!$BK176="Y")),AND(Screener!$B$18="Without A-share",NOT((Database!$BK176="Y")))),1,0)=0,-999999,IF(Screener!$B$16="cornerstone overlap first",H176*100000,IF(Screener!$B$16="demand-similar first",J176*100000,0))+W_SUB*B176+W_SEC*C176*(1-B176)+W_SIZE*D176+W_PROF*E176+W_AH*F176+W_REC*G176+W_CS*H176+W_PE*I176)))+ROW()/1000000</f>
        <v/>
      </c>
      <c r="AA176">
        <f>Database!B166</f>
        <v/>
      </c>
      <c r="AB176">
        <f>Database!D166</f>
        <v/>
      </c>
      <c r="AC176">
        <f>Database!E166</f>
        <v/>
      </c>
      <c r="AD176">
        <f>Database!I166</f>
        <v/>
      </c>
      <c r="AE176">
        <f>Database!BE166</f>
        <v/>
      </c>
      <c r="AF176">
        <f>Database!BK166</f>
        <v/>
      </c>
      <c r="AG176">
        <f>Database!H166</f>
        <v/>
      </c>
      <c r="AH176">
        <f>Database!BF166</f>
        <v/>
      </c>
    </row>
    <row r="177">
      <c r="A177">
        <f>Database!B177</f>
        <v/>
      </c>
      <c r="B177">
        <f>IF(AND(Screener!$D$8&lt;&gt;"",Database!$E177=Screener!$D$8),1,0)</f>
        <v/>
      </c>
      <c r="C177">
        <f>IF(AND(Screener!$D$7&lt;&gt;"",Database!$D177=Screener!$D$7),1,0)</f>
        <v/>
      </c>
      <c r="D177">
        <f>IF(OR(N(Database!$I177)&lt;=0,N(Screener!$D$9)&lt;=0),0,MAX(0,1-ABS(LOG10(N(Database!$I177)/Screener!$D$9))/W_SIZEHW))</f>
        <v/>
      </c>
      <c r="E177">
        <f>IF(OR(Database!$BE177="",Screener!$D$10=""),0,IF(Database!$BE177=Screener!$D$10,1,0))</f>
        <v/>
      </c>
      <c r="F177">
        <f>IF(OR(Database!$BK177="",Screener!$D$11=""),0,IF(Database!$BK177=Screener!$D$11,1,0))</f>
        <v/>
      </c>
      <c r="G177">
        <f>IF(OR(Database!$H177="",N(Screener!$D$12)&lt;=0),0,MAX(0,1-(N(Screener!$D$12)-Database!$H177)/W_RECD))</f>
        <v/>
      </c>
      <c r="H177">
        <f>IF($U$1="",0,N(ISNUMBER(SEARCH($U$1,Database!$Z177&amp;""))))+IF($V$1="",0,N(ISNUMBER(SEARCH($V$1,Database!$Z177&amp;""))))+IF($W$1="",0,N(ISNUMBER(SEARCH($W$1,Database!$Z177&amp;""))))+IF($X$1="",0,N(ISNUMBER(SEARCH($X$1,Database!$Z177&amp;""))))+IF($Y$1="",0,N(ISNUMBER(SEARCH($Y$1,Database!$Z177&amp;""))))+IF(Screener!$B$17="",0,N(ISNUMBER(SEARCH(LOWER(Screener!$B$17),Database!$Z177&amp;""))))</f>
        <v/>
      </c>
      <c r="I177">
        <f>IF(OR(N(Database!$BF177)&lt;=0,N(Screener!$D$13)&lt;=0),0,MAX(0,1-ABS(LOG10(N(Database!$BF177)/Screener!$D$13))/W_PEHW))</f>
        <v/>
      </c>
      <c r="J177">
        <f>IF(OR(N(Database!$S177)&lt;=0,N(Screener!$D$14)&lt;=0),0,MAX(0,1-ABS(LOG10(Database!$S177/Screener!$D$14))/0.6))</f>
        <v/>
      </c>
      <c r="K177">
        <f>IF(Database!$B177=Screener!$B$5,-999999,IF(ISNUMBER(SEARCH(","&amp;Database!$A177&amp;",",","&amp;SUBSTITUTE(Screener!$D$17," ","")&amp;",")),2000000,IF(IF(OR(Screener!$B$18="All",AND(Screener!$B$18="With A-share",(Database!$BK177="Y")),AND(Screener!$B$18="Without A-share",NOT((Database!$BK177="Y")))),1,0)=0,-999999,IF(Screener!$B$16="cornerstone overlap first",H177*100000,IF(Screener!$B$16="demand-similar first",J177*100000,0))+W_SUB*B177+W_SEC*C177*(1-B177)+W_SIZE*D177+W_PROF*E177+W_AH*F177+W_REC*G177+W_CS*H177+W_PE*I177)))+ROW()/1000000</f>
        <v/>
      </c>
      <c r="AA177">
        <f>Database!B167</f>
        <v/>
      </c>
      <c r="AB177">
        <f>Database!D167</f>
        <v/>
      </c>
      <c r="AC177">
        <f>Database!E167</f>
        <v/>
      </c>
      <c r="AD177">
        <f>Database!I167</f>
        <v/>
      </c>
      <c r="AE177">
        <f>Database!BE167</f>
        <v/>
      </c>
      <c r="AF177">
        <f>Database!BK167</f>
        <v/>
      </c>
      <c r="AG177">
        <f>Database!H167</f>
        <v/>
      </c>
      <c r="AH177">
        <f>Database!BF167</f>
        <v/>
      </c>
    </row>
    <row r="178">
      <c r="A178">
        <f>Database!B178</f>
        <v/>
      </c>
      <c r="B178">
        <f>IF(AND(Screener!$D$8&lt;&gt;"",Database!$E178=Screener!$D$8),1,0)</f>
        <v/>
      </c>
      <c r="C178">
        <f>IF(AND(Screener!$D$7&lt;&gt;"",Database!$D178=Screener!$D$7),1,0)</f>
        <v/>
      </c>
      <c r="D178">
        <f>IF(OR(N(Database!$I178)&lt;=0,N(Screener!$D$9)&lt;=0),0,MAX(0,1-ABS(LOG10(N(Database!$I178)/Screener!$D$9))/W_SIZEHW))</f>
        <v/>
      </c>
      <c r="E178">
        <f>IF(OR(Database!$BE178="",Screener!$D$10=""),0,IF(Database!$BE178=Screener!$D$10,1,0))</f>
        <v/>
      </c>
      <c r="F178">
        <f>IF(OR(Database!$BK178="",Screener!$D$11=""),0,IF(Database!$BK178=Screener!$D$11,1,0))</f>
        <v/>
      </c>
      <c r="G178">
        <f>IF(OR(Database!$H178="",N(Screener!$D$12)&lt;=0),0,MAX(0,1-(N(Screener!$D$12)-Database!$H178)/W_RECD))</f>
        <v/>
      </c>
      <c r="H178">
        <f>IF($U$1="",0,N(ISNUMBER(SEARCH($U$1,Database!$Z178&amp;""))))+IF($V$1="",0,N(ISNUMBER(SEARCH($V$1,Database!$Z178&amp;""))))+IF($W$1="",0,N(ISNUMBER(SEARCH($W$1,Database!$Z178&amp;""))))+IF($X$1="",0,N(ISNUMBER(SEARCH($X$1,Database!$Z178&amp;""))))+IF($Y$1="",0,N(ISNUMBER(SEARCH($Y$1,Database!$Z178&amp;""))))+IF(Screener!$B$17="",0,N(ISNUMBER(SEARCH(LOWER(Screener!$B$17),Database!$Z178&amp;""))))</f>
        <v/>
      </c>
      <c r="I178">
        <f>IF(OR(N(Database!$BF178)&lt;=0,N(Screener!$D$13)&lt;=0),0,MAX(0,1-ABS(LOG10(N(Database!$BF178)/Screener!$D$13))/W_PEHW))</f>
        <v/>
      </c>
      <c r="J178">
        <f>IF(OR(N(Database!$S178)&lt;=0,N(Screener!$D$14)&lt;=0),0,MAX(0,1-ABS(LOG10(Database!$S178/Screener!$D$14))/0.6))</f>
        <v/>
      </c>
      <c r="K178">
        <f>IF(Database!$B178=Screener!$B$5,-999999,IF(ISNUMBER(SEARCH(","&amp;Database!$A178&amp;",",","&amp;SUBSTITUTE(Screener!$D$17," ","")&amp;",")),2000000,IF(IF(OR(Screener!$B$18="All",AND(Screener!$B$18="With A-share",(Database!$BK178="Y")),AND(Screener!$B$18="Without A-share",NOT((Database!$BK178="Y")))),1,0)=0,-999999,IF(Screener!$B$16="cornerstone overlap first",H178*100000,IF(Screener!$B$16="demand-similar first",J178*100000,0))+W_SUB*B178+W_SEC*C178*(1-B178)+W_SIZE*D178+W_PROF*E178+W_AH*F178+W_REC*G178+W_CS*H178+W_PE*I178)))+ROW()/1000000</f>
        <v/>
      </c>
      <c r="AA178">
        <f>Database!B168</f>
        <v/>
      </c>
      <c r="AB178">
        <f>Database!D168</f>
        <v/>
      </c>
      <c r="AC178">
        <f>Database!E168</f>
        <v/>
      </c>
      <c r="AD178">
        <f>Database!I168</f>
        <v/>
      </c>
      <c r="AE178">
        <f>Database!BE168</f>
        <v/>
      </c>
      <c r="AF178">
        <f>Database!BK168</f>
        <v/>
      </c>
      <c r="AG178">
        <f>Database!H168</f>
        <v/>
      </c>
      <c r="AH178">
        <f>Database!BF168</f>
        <v/>
      </c>
    </row>
    <row r="179">
      <c r="A179">
        <f>Database!B179</f>
        <v/>
      </c>
      <c r="B179">
        <f>IF(AND(Screener!$D$8&lt;&gt;"",Database!$E179=Screener!$D$8),1,0)</f>
        <v/>
      </c>
      <c r="C179">
        <f>IF(AND(Screener!$D$7&lt;&gt;"",Database!$D179=Screener!$D$7),1,0)</f>
        <v/>
      </c>
      <c r="D179">
        <f>IF(OR(N(Database!$I179)&lt;=0,N(Screener!$D$9)&lt;=0),0,MAX(0,1-ABS(LOG10(N(Database!$I179)/Screener!$D$9))/W_SIZEHW))</f>
        <v/>
      </c>
      <c r="E179">
        <f>IF(OR(Database!$BE179="",Screener!$D$10=""),0,IF(Database!$BE179=Screener!$D$10,1,0))</f>
        <v/>
      </c>
      <c r="F179">
        <f>IF(OR(Database!$BK179="",Screener!$D$11=""),0,IF(Database!$BK179=Screener!$D$11,1,0))</f>
        <v/>
      </c>
      <c r="G179">
        <f>IF(OR(Database!$H179="",N(Screener!$D$12)&lt;=0),0,MAX(0,1-(N(Screener!$D$12)-Database!$H179)/W_RECD))</f>
        <v/>
      </c>
      <c r="H179">
        <f>IF($U$1="",0,N(ISNUMBER(SEARCH($U$1,Database!$Z179&amp;""))))+IF($V$1="",0,N(ISNUMBER(SEARCH($V$1,Database!$Z179&amp;""))))+IF($W$1="",0,N(ISNUMBER(SEARCH($W$1,Database!$Z179&amp;""))))+IF($X$1="",0,N(ISNUMBER(SEARCH($X$1,Database!$Z179&amp;""))))+IF($Y$1="",0,N(ISNUMBER(SEARCH($Y$1,Database!$Z179&amp;""))))+IF(Screener!$B$17="",0,N(ISNUMBER(SEARCH(LOWER(Screener!$B$17),Database!$Z179&amp;""))))</f>
        <v/>
      </c>
      <c r="I179">
        <f>IF(OR(N(Database!$BF179)&lt;=0,N(Screener!$D$13)&lt;=0),0,MAX(0,1-ABS(LOG10(N(Database!$BF179)/Screener!$D$13))/W_PEHW))</f>
        <v/>
      </c>
      <c r="J179">
        <f>IF(OR(N(Database!$S179)&lt;=0,N(Screener!$D$14)&lt;=0),0,MAX(0,1-ABS(LOG10(Database!$S179/Screener!$D$14))/0.6))</f>
        <v/>
      </c>
      <c r="K179">
        <f>IF(Database!$B179=Screener!$B$5,-999999,IF(ISNUMBER(SEARCH(","&amp;Database!$A179&amp;",",","&amp;SUBSTITUTE(Screener!$D$17," ","")&amp;",")),2000000,IF(IF(OR(Screener!$B$18="All",AND(Screener!$B$18="With A-share",(Database!$BK179="Y")),AND(Screener!$B$18="Without A-share",NOT((Database!$BK179="Y")))),1,0)=0,-999999,IF(Screener!$B$16="cornerstone overlap first",H179*100000,IF(Screener!$B$16="demand-similar first",J179*100000,0))+W_SUB*B179+W_SEC*C179*(1-B179)+W_SIZE*D179+W_PROF*E179+W_AH*F179+W_REC*G179+W_CS*H179+W_PE*I179)))+ROW()/1000000</f>
        <v/>
      </c>
      <c r="AA179">
        <f>Database!B169</f>
        <v/>
      </c>
      <c r="AB179">
        <f>Database!D169</f>
        <v/>
      </c>
      <c r="AC179">
        <f>Database!E169</f>
        <v/>
      </c>
      <c r="AD179">
        <f>Database!I169</f>
        <v/>
      </c>
      <c r="AE179">
        <f>Database!BE169</f>
        <v/>
      </c>
      <c r="AF179">
        <f>Database!BK169</f>
        <v/>
      </c>
      <c r="AG179">
        <f>Database!H169</f>
        <v/>
      </c>
      <c r="AH179">
        <f>Database!BF169</f>
        <v/>
      </c>
    </row>
    <row r="180">
      <c r="A180">
        <f>Database!B180</f>
        <v/>
      </c>
      <c r="B180">
        <f>IF(AND(Screener!$D$8&lt;&gt;"",Database!$E180=Screener!$D$8),1,0)</f>
        <v/>
      </c>
      <c r="C180">
        <f>IF(AND(Screener!$D$7&lt;&gt;"",Database!$D180=Screener!$D$7),1,0)</f>
        <v/>
      </c>
      <c r="D180">
        <f>IF(OR(N(Database!$I180)&lt;=0,N(Screener!$D$9)&lt;=0),0,MAX(0,1-ABS(LOG10(N(Database!$I180)/Screener!$D$9))/W_SIZEHW))</f>
        <v/>
      </c>
      <c r="E180">
        <f>IF(OR(Database!$BE180="",Screener!$D$10=""),0,IF(Database!$BE180=Screener!$D$10,1,0))</f>
        <v/>
      </c>
      <c r="F180">
        <f>IF(OR(Database!$BK180="",Screener!$D$11=""),0,IF(Database!$BK180=Screener!$D$11,1,0))</f>
        <v/>
      </c>
      <c r="G180">
        <f>IF(OR(Database!$H180="",N(Screener!$D$12)&lt;=0),0,MAX(0,1-(N(Screener!$D$12)-Database!$H180)/W_RECD))</f>
        <v/>
      </c>
      <c r="H180">
        <f>IF($U$1="",0,N(ISNUMBER(SEARCH($U$1,Database!$Z180&amp;""))))+IF($V$1="",0,N(ISNUMBER(SEARCH($V$1,Database!$Z180&amp;""))))+IF($W$1="",0,N(ISNUMBER(SEARCH($W$1,Database!$Z180&amp;""))))+IF($X$1="",0,N(ISNUMBER(SEARCH($X$1,Database!$Z180&amp;""))))+IF($Y$1="",0,N(ISNUMBER(SEARCH($Y$1,Database!$Z180&amp;""))))+IF(Screener!$B$17="",0,N(ISNUMBER(SEARCH(LOWER(Screener!$B$17),Database!$Z180&amp;""))))</f>
        <v/>
      </c>
      <c r="I180">
        <f>IF(OR(N(Database!$BF180)&lt;=0,N(Screener!$D$13)&lt;=0),0,MAX(0,1-ABS(LOG10(N(Database!$BF180)/Screener!$D$13))/W_PEHW))</f>
        <v/>
      </c>
      <c r="J180">
        <f>IF(OR(N(Database!$S180)&lt;=0,N(Screener!$D$14)&lt;=0),0,MAX(0,1-ABS(LOG10(Database!$S180/Screener!$D$14))/0.6))</f>
        <v/>
      </c>
      <c r="K180">
        <f>IF(Database!$B180=Screener!$B$5,-999999,IF(ISNUMBER(SEARCH(","&amp;Database!$A180&amp;",",","&amp;SUBSTITUTE(Screener!$D$17," ","")&amp;",")),2000000,IF(IF(OR(Screener!$B$18="All",AND(Screener!$B$18="With A-share",(Database!$BK180="Y")),AND(Screener!$B$18="Without A-share",NOT((Database!$BK180="Y")))),1,0)=0,-999999,IF(Screener!$B$16="cornerstone overlap first",H180*100000,IF(Screener!$B$16="demand-similar first",J180*100000,0))+W_SUB*B180+W_SEC*C180*(1-B180)+W_SIZE*D180+W_PROF*E180+W_AH*F180+W_REC*G180+W_CS*H180+W_PE*I180)))+ROW()/1000000</f>
        <v/>
      </c>
      <c r="AA180">
        <f>Database!B170</f>
        <v/>
      </c>
      <c r="AB180">
        <f>Database!D170</f>
        <v/>
      </c>
      <c r="AC180">
        <f>Database!E170</f>
        <v/>
      </c>
      <c r="AD180">
        <f>Database!I170</f>
        <v/>
      </c>
      <c r="AE180">
        <f>Database!BE170</f>
        <v/>
      </c>
      <c r="AF180">
        <f>Database!BK170</f>
        <v/>
      </c>
      <c r="AG180">
        <f>Database!H170</f>
        <v/>
      </c>
      <c r="AH180">
        <f>Database!BF170</f>
        <v/>
      </c>
    </row>
    <row r="181">
      <c r="A181">
        <f>Database!B181</f>
        <v/>
      </c>
      <c r="B181">
        <f>IF(AND(Screener!$D$8&lt;&gt;"",Database!$E181=Screener!$D$8),1,0)</f>
        <v/>
      </c>
      <c r="C181">
        <f>IF(AND(Screener!$D$7&lt;&gt;"",Database!$D181=Screener!$D$7),1,0)</f>
        <v/>
      </c>
      <c r="D181">
        <f>IF(OR(N(Database!$I181)&lt;=0,N(Screener!$D$9)&lt;=0),0,MAX(0,1-ABS(LOG10(N(Database!$I181)/Screener!$D$9))/W_SIZEHW))</f>
        <v/>
      </c>
      <c r="E181">
        <f>IF(OR(Database!$BE181="",Screener!$D$10=""),0,IF(Database!$BE181=Screener!$D$10,1,0))</f>
        <v/>
      </c>
      <c r="F181">
        <f>IF(OR(Database!$BK181="",Screener!$D$11=""),0,IF(Database!$BK181=Screener!$D$11,1,0))</f>
        <v/>
      </c>
      <c r="G181">
        <f>IF(OR(Database!$H181="",N(Screener!$D$12)&lt;=0),0,MAX(0,1-(N(Screener!$D$12)-Database!$H181)/W_RECD))</f>
        <v/>
      </c>
      <c r="H181">
        <f>IF($U$1="",0,N(ISNUMBER(SEARCH($U$1,Database!$Z181&amp;""))))+IF($V$1="",0,N(ISNUMBER(SEARCH($V$1,Database!$Z181&amp;""))))+IF($W$1="",0,N(ISNUMBER(SEARCH($W$1,Database!$Z181&amp;""))))+IF($X$1="",0,N(ISNUMBER(SEARCH($X$1,Database!$Z181&amp;""))))+IF($Y$1="",0,N(ISNUMBER(SEARCH($Y$1,Database!$Z181&amp;""))))+IF(Screener!$B$17="",0,N(ISNUMBER(SEARCH(LOWER(Screener!$B$17),Database!$Z181&amp;""))))</f>
        <v/>
      </c>
      <c r="I181">
        <f>IF(OR(N(Database!$BF181)&lt;=0,N(Screener!$D$13)&lt;=0),0,MAX(0,1-ABS(LOG10(N(Database!$BF181)/Screener!$D$13))/W_PEHW))</f>
        <v/>
      </c>
      <c r="J181">
        <f>IF(OR(N(Database!$S181)&lt;=0,N(Screener!$D$14)&lt;=0),0,MAX(0,1-ABS(LOG10(Database!$S181/Screener!$D$14))/0.6))</f>
        <v/>
      </c>
      <c r="K181">
        <f>IF(Database!$B181=Screener!$B$5,-999999,IF(ISNUMBER(SEARCH(","&amp;Database!$A181&amp;",",","&amp;SUBSTITUTE(Screener!$D$17," ","")&amp;",")),2000000,IF(IF(OR(Screener!$B$18="All",AND(Screener!$B$18="With A-share",(Database!$BK181="Y")),AND(Screener!$B$18="Without A-share",NOT((Database!$BK181="Y")))),1,0)=0,-999999,IF(Screener!$B$16="cornerstone overlap first",H181*100000,IF(Screener!$B$16="demand-similar first",J181*100000,0))+W_SUB*B181+W_SEC*C181*(1-B181)+W_SIZE*D181+W_PROF*E181+W_AH*F181+W_REC*G181+W_CS*H181+W_PE*I181)))+ROW()/1000000</f>
        <v/>
      </c>
      <c r="AA181">
        <f>Database!B171</f>
        <v/>
      </c>
      <c r="AB181">
        <f>Database!D171</f>
        <v/>
      </c>
      <c r="AC181">
        <f>Database!E171</f>
        <v/>
      </c>
      <c r="AD181">
        <f>Database!I171</f>
        <v/>
      </c>
      <c r="AE181">
        <f>Database!BE171</f>
        <v/>
      </c>
      <c r="AF181">
        <f>Database!BK171</f>
        <v/>
      </c>
      <c r="AG181">
        <f>Database!H171</f>
        <v/>
      </c>
      <c r="AH181">
        <f>Database!BF171</f>
        <v/>
      </c>
    </row>
    <row r="182">
      <c r="A182">
        <f>Database!B182</f>
        <v/>
      </c>
      <c r="B182">
        <f>IF(AND(Screener!$D$8&lt;&gt;"",Database!$E182=Screener!$D$8),1,0)</f>
        <v/>
      </c>
      <c r="C182">
        <f>IF(AND(Screener!$D$7&lt;&gt;"",Database!$D182=Screener!$D$7),1,0)</f>
        <v/>
      </c>
      <c r="D182">
        <f>IF(OR(N(Database!$I182)&lt;=0,N(Screener!$D$9)&lt;=0),0,MAX(0,1-ABS(LOG10(N(Database!$I182)/Screener!$D$9))/W_SIZEHW))</f>
        <v/>
      </c>
      <c r="E182">
        <f>IF(OR(Database!$BE182="",Screener!$D$10=""),0,IF(Database!$BE182=Screener!$D$10,1,0))</f>
        <v/>
      </c>
      <c r="F182">
        <f>IF(OR(Database!$BK182="",Screener!$D$11=""),0,IF(Database!$BK182=Screener!$D$11,1,0))</f>
        <v/>
      </c>
      <c r="G182">
        <f>IF(OR(Database!$H182="",N(Screener!$D$12)&lt;=0),0,MAX(0,1-(N(Screener!$D$12)-Database!$H182)/W_RECD))</f>
        <v/>
      </c>
      <c r="H182">
        <f>IF($U$1="",0,N(ISNUMBER(SEARCH($U$1,Database!$Z182&amp;""))))+IF($V$1="",0,N(ISNUMBER(SEARCH($V$1,Database!$Z182&amp;""))))+IF($W$1="",0,N(ISNUMBER(SEARCH($W$1,Database!$Z182&amp;""))))+IF($X$1="",0,N(ISNUMBER(SEARCH($X$1,Database!$Z182&amp;""))))+IF($Y$1="",0,N(ISNUMBER(SEARCH($Y$1,Database!$Z182&amp;""))))+IF(Screener!$B$17="",0,N(ISNUMBER(SEARCH(LOWER(Screener!$B$17),Database!$Z182&amp;""))))</f>
        <v/>
      </c>
      <c r="I182">
        <f>IF(OR(N(Database!$BF182)&lt;=0,N(Screener!$D$13)&lt;=0),0,MAX(0,1-ABS(LOG10(N(Database!$BF182)/Screener!$D$13))/W_PEHW))</f>
        <v/>
      </c>
      <c r="J182">
        <f>IF(OR(N(Database!$S182)&lt;=0,N(Screener!$D$14)&lt;=0),0,MAX(0,1-ABS(LOG10(Database!$S182/Screener!$D$14))/0.6))</f>
        <v/>
      </c>
      <c r="K182">
        <f>IF(Database!$B182=Screener!$B$5,-999999,IF(ISNUMBER(SEARCH(","&amp;Database!$A182&amp;",",","&amp;SUBSTITUTE(Screener!$D$17," ","")&amp;",")),2000000,IF(IF(OR(Screener!$B$18="All",AND(Screener!$B$18="With A-share",(Database!$BK182="Y")),AND(Screener!$B$18="Without A-share",NOT((Database!$BK182="Y")))),1,0)=0,-999999,IF(Screener!$B$16="cornerstone overlap first",H182*100000,IF(Screener!$B$16="demand-similar first",J182*100000,0))+W_SUB*B182+W_SEC*C182*(1-B182)+W_SIZE*D182+W_PROF*E182+W_AH*F182+W_REC*G182+W_CS*H182+W_PE*I182)))+ROW()/1000000</f>
        <v/>
      </c>
      <c r="AA182">
        <f>Database!B172</f>
        <v/>
      </c>
      <c r="AB182">
        <f>Database!D172</f>
        <v/>
      </c>
      <c r="AC182">
        <f>Database!E172</f>
        <v/>
      </c>
      <c r="AD182">
        <f>Database!I172</f>
        <v/>
      </c>
      <c r="AE182">
        <f>Database!BE172</f>
        <v/>
      </c>
      <c r="AF182">
        <f>Database!BK172</f>
        <v/>
      </c>
      <c r="AG182">
        <f>Database!H172</f>
        <v/>
      </c>
      <c r="AH182">
        <f>Database!BF172</f>
        <v/>
      </c>
    </row>
    <row r="183">
      <c r="A183">
        <f>Database!B183</f>
        <v/>
      </c>
      <c r="B183">
        <f>IF(AND(Screener!$D$8&lt;&gt;"",Database!$E183=Screener!$D$8),1,0)</f>
        <v/>
      </c>
      <c r="C183">
        <f>IF(AND(Screener!$D$7&lt;&gt;"",Database!$D183=Screener!$D$7),1,0)</f>
        <v/>
      </c>
      <c r="D183">
        <f>IF(OR(N(Database!$I183)&lt;=0,N(Screener!$D$9)&lt;=0),0,MAX(0,1-ABS(LOG10(N(Database!$I183)/Screener!$D$9))/W_SIZEHW))</f>
        <v/>
      </c>
      <c r="E183">
        <f>IF(OR(Database!$BE183="",Screener!$D$10=""),0,IF(Database!$BE183=Screener!$D$10,1,0))</f>
        <v/>
      </c>
      <c r="F183">
        <f>IF(OR(Database!$BK183="",Screener!$D$11=""),0,IF(Database!$BK183=Screener!$D$11,1,0))</f>
        <v/>
      </c>
      <c r="G183">
        <f>IF(OR(Database!$H183="",N(Screener!$D$12)&lt;=0),0,MAX(0,1-(N(Screener!$D$12)-Database!$H183)/W_RECD))</f>
        <v/>
      </c>
      <c r="H183">
        <f>IF($U$1="",0,N(ISNUMBER(SEARCH($U$1,Database!$Z183&amp;""))))+IF($V$1="",0,N(ISNUMBER(SEARCH($V$1,Database!$Z183&amp;""))))+IF($W$1="",0,N(ISNUMBER(SEARCH($W$1,Database!$Z183&amp;""))))+IF($X$1="",0,N(ISNUMBER(SEARCH($X$1,Database!$Z183&amp;""))))+IF($Y$1="",0,N(ISNUMBER(SEARCH($Y$1,Database!$Z183&amp;""))))+IF(Screener!$B$17="",0,N(ISNUMBER(SEARCH(LOWER(Screener!$B$17),Database!$Z183&amp;""))))</f>
        <v/>
      </c>
      <c r="I183">
        <f>IF(OR(N(Database!$BF183)&lt;=0,N(Screener!$D$13)&lt;=0),0,MAX(0,1-ABS(LOG10(N(Database!$BF183)/Screener!$D$13))/W_PEHW))</f>
        <v/>
      </c>
      <c r="J183">
        <f>IF(OR(N(Database!$S183)&lt;=0,N(Screener!$D$14)&lt;=0),0,MAX(0,1-ABS(LOG10(Database!$S183/Screener!$D$14))/0.6))</f>
        <v/>
      </c>
      <c r="K183">
        <f>IF(Database!$B183=Screener!$B$5,-999999,IF(ISNUMBER(SEARCH(","&amp;Database!$A183&amp;",",","&amp;SUBSTITUTE(Screener!$D$17," ","")&amp;",")),2000000,IF(IF(OR(Screener!$B$18="All",AND(Screener!$B$18="With A-share",(Database!$BK183="Y")),AND(Screener!$B$18="Without A-share",NOT((Database!$BK183="Y")))),1,0)=0,-999999,IF(Screener!$B$16="cornerstone overlap first",H183*100000,IF(Screener!$B$16="demand-similar first",J183*100000,0))+W_SUB*B183+W_SEC*C183*(1-B183)+W_SIZE*D183+W_PROF*E183+W_AH*F183+W_REC*G183+W_CS*H183+W_PE*I183)))+ROW()/1000000</f>
        <v/>
      </c>
      <c r="AA183">
        <f>Database!B173</f>
        <v/>
      </c>
      <c r="AB183">
        <f>Database!D173</f>
        <v/>
      </c>
      <c r="AC183">
        <f>Database!E173</f>
        <v/>
      </c>
      <c r="AD183">
        <f>Database!I173</f>
        <v/>
      </c>
      <c r="AE183">
        <f>Database!BE173</f>
        <v/>
      </c>
      <c r="AF183">
        <f>Database!BK173</f>
        <v/>
      </c>
      <c r="AG183">
        <f>Database!H173</f>
        <v/>
      </c>
      <c r="AH183">
        <f>Database!BF173</f>
        <v/>
      </c>
    </row>
    <row r="184">
      <c r="A184">
        <f>Database!B184</f>
        <v/>
      </c>
      <c r="B184">
        <f>IF(AND(Screener!$D$8&lt;&gt;"",Database!$E184=Screener!$D$8),1,0)</f>
        <v/>
      </c>
      <c r="C184">
        <f>IF(AND(Screener!$D$7&lt;&gt;"",Database!$D184=Screener!$D$7),1,0)</f>
        <v/>
      </c>
      <c r="D184">
        <f>IF(OR(N(Database!$I184)&lt;=0,N(Screener!$D$9)&lt;=0),0,MAX(0,1-ABS(LOG10(N(Database!$I184)/Screener!$D$9))/W_SIZEHW))</f>
        <v/>
      </c>
      <c r="E184">
        <f>IF(OR(Database!$BE184="",Screener!$D$10=""),0,IF(Database!$BE184=Screener!$D$10,1,0))</f>
        <v/>
      </c>
      <c r="F184">
        <f>IF(OR(Database!$BK184="",Screener!$D$11=""),0,IF(Database!$BK184=Screener!$D$11,1,0))</f>
        <v/>
      </c>
      <c r="G184">
        <f>IF(OR(Database!$H184="",N(Screener!$D$12)&lt;=0),0,MAX(0,1-(N(Screener!$D$12)-Database!$H184)/W_RECD))</f>
        <v/>
      </c>
      <c r="H184">
        <f>IF($U$1="",0,N(ISNUMBER(SEARCH($U$1,Database!$Z184&amp;""))))+IF($V$1="",0,N(ISNUMBER(SEARCH($V$1,Database!$Z184&amp;""))))+IF($W$1="",0,N(ISNUMBER(SEARCH($W$1,Database!$Z184&amp;""))))+IF($X$1="",0,N(ISNUMBER(SEARCH($X$1,Database!$Z184&amp;""))))+IF($Y$1="",0,N(ISNUMBER(SEARCH($Y$1,Database!$Z184&amp;""))))+IF(Screener!$B$17="",0,N(ISNUMBER(SEARCH(LOWER(Screener!$B$17),Database!$Z184&amp;""))))</f>
        <v/>
      </c>
      <c r="I184">
        <f>IF(OR(N(Database!$BF184)&lt;=0,N(Screener!$D$13)&lt;=0),0,MAX(0,1-ABS(LOG10(N(Database!$BF184)/Screener!$D$13))/W_PEHW))</f>
        <v/>
      </c>
      <c r="J184">
        <f>IF(OR(N(Database!$S184)&lt;=0,N(Screener!$D$14)&lt;=0),0,MAX(0,1-ABS(LOG10(Database!$S184/Screener!$D$14))/0.6))</f>
        <v/>
      </c>
      <c r="K184">
        <f>IF(Database!$B184=Screener!$B$5,-999999,IF(ISNUMBER(SEARCH(","&amp;Database!$A184&amp;",",","&amp;SUBSTITUTE(Screener!$D$17," ","")&amp;",")),2000000,IF(IF(OR(Screener!$B$18="All",AND(Screener!$B$18="With A-share",(Database!$BK184="Y")),AND(Screener!$B$18="Without A-share",NOT((Database!$BK184="Y")))),1,0)=0,-999999,IF(Screener!$B$16="cornerstone overlap first",H184*100000,IF(Screener!$B$16="demand-similar first",J184*100000,0))+W_SUB*B184+W_SEC*C184*(1-B184)+W_SIZE*D184+W_PROF*E184+W_AH*F184+W_REC*G184+W_CS*H184+W_PE*I184)))+ROW()/1000000</f>
        <v/>
      </c>
      <c r="AA184">
        <f>Database!B174</f>
        <v/>
      </c>
      <c r="AB184">
        <f>Database!D174</f>
        <v/>
      </c>
      <c r="AC184">
        <f>Database!E174</f>
        <v/>
      </c>
      <c r="AD184">
        <f>Database!I174</f>
        <v/>
      </c>
      <c r="AE184">
        <f>Database!BE174</f>
        <v/>
      </c>
      <c r="AF184">
        <f>Database!BK174</f>
        <v/>
      </c>
      <c r="AG184">
        <f>Database!H174</f>
        <v/>
      </c>
      <c r="AH184">
        <f>Database!BF174</f>
        <v/>
      </c>
    </row>
    <row r="185">
      <c r="A185">
        <f>Database!B185</f>
        <v/>
      </c>
      <c r="B185">
        <f>IF(AND(Screener!$D$8&lt;&gt;"",Database!$E185=Screener!$D$8),1,0)</f>
        <v/>
      </c>
      <c r="C185">
        <f>IF(AND(Screener!$D$7&lt;&gt;"",Database!$D185=Screener!$D$7),1,0)</f>
        <v/>
      </c>
      <c r="D185">
        <f>IF(OR(N(Database!$I185)&lt;=0,N(Screener!$D$9)&lt;=0),0,MAX(0,1-ABS(LOG10(N(Database!$I185)/Screener!$D$9))/W_SIZEHW))</f>
        <v/>
      </c>
      <c r="E185">
        <f>IF(OR(Database!$BE185="",Screener!$D$10=""),0,IF(Database!$BE185=Screener!$D$10,1,0))</f>
        <v/>
      </c>
      <c r="F185">
        <f>IF(OR(Database!$BK185="",Screener!$D$11=""),0,IF(Database!$BK185=Screener!$D$11,1,0))</f>
        <v/>
      </c>
      <c r="G185">
        <f>IF(OR(Database!$H185="",N(Screener!$D$12)&lt;=0),0,MAX(0,1-(N(Screener!$D$12)-Database!$H185)/W_RECD))</f>
        <v/>
      </c>
      <c r="H185">
        <f>IF($U$1="",0,N(ISNUMBER(SEARCH($U$1,Database!$Z185&amp;""))))+IF($V$1="",0,N(ISNUMBER(SEARCH($V$1,Database!$Z185&amp;""))))+IF($W$1="",0,N(ISNUMBER(SEARCH($W$1,Database!$Z185&amp;""))))+IF($X$1="",0,N(ISNUMBER(SEARCH($X$1,Database!$Z185&amp;""))))+IF($Y$1="",0,N(ISNUMBER(SEARCH($Y$1,Database!$Z185&amp;""))))+IF(Screener!$B$17="",0,N(ISNUMBER(SEARCH(LOWER(Screener!$B$17),Database!$Z185&amp;""))))</f>
        <v/>
      </c>
      <c r="I185">
        <f>IF(OR(N(Database!$BF185)&lt;=0,N(Screener!$D$13)&lt;=0),0,MAX(0,1-ABS(LOG10(N(Database!$BF185)/Screener!$D$13))/W_PEHW))</f>
        <v/>
      </c>
      <c r="J185">
        <f>IF(OR(N(Database!$S185)&lt;=0,N(Screener!$D$14)&lt;=0),0,MAX(0,1-ABS(LOG10(Database!$S185/Screener!$D$14))/0.6))</f>
        <v/>
      </c>
      <c r="K185">
        <f>IF(Database!$B185=Screener!$B$5,-999999,IF(ISNUMBER(SEARCH(","&amp;Database!$A185&amp;",",","&amp;SUBSTITUTE(Screener!$D$17," ","")&amp;",")),2000000,IF(IF(OR(Screener!$B$18="All",AND(Screener!$B$18="With A-share",(Database!$BK185="Y")),AND(Screener!$B$18="Without A-share",NOT((Database!$BK185="Y")))),1,0)=0,-999999,IF(Screener!$B$16="cornerstone overlap first",H185*100000,IF(Screener!$B$16="demand-similar first",J185*100000,0))+W_SUB*B185+W_SEC*C185*(1-B185)+W_SIZE*D185+W_PROF*E185+W_AH*F185+W_REC*G185+W_CS*H185+W_PE*I185)))+ROW()/1000000</f>
        <v/>
      </c>
      <c r="AA185">
        <f>Database!B175</f>
        <v/>
      </c>
      <c r="AB185">
        <f>Database!D175</f>
        <v/>
      </c>
      <c r="AC185">
        <f>Database!E175</f>
        <v/>
      </c>
      <c r="AD185">
        <f>Database!I175</f>
        <v/>
      </c>
      <c r="AE185">
        <f>Database!BE175</f>
        <v/>
      </c>
      <c r="AF185">
        <f>Database!BK175</f>
        <v/>
      </c>
      <c r="AG185">
        <f>Database!H175</f>
        <v/>
      </c>
      <c r="AH185">
        <f>Database!BF175</f>
        <v/>
      </c>
    </row>
    <row r="186">
      <c r="A186">
        <f>Database!B186</f>
        <v/>
      </c>
      <c r="B186">
        <f>IF(AND(Screener!$D$8&lt;&gt;"",Database!$E186=Screener!$D$8),1,0)</f>
        <v/>
      </c>
      <c r="C186">
        <f>IF(AND(Screener!$D$7&lt;&gt;"",Database!$D186=Screener!$D$7),1,0)</f>
        <v/>
      </c>
      <c r="D186">
        <f>IF(OR(N(Database!$I186)&lt;=0,N(Screener!$D$9)&lt;=0),0,MAX(0,1-ABS(LOG10(N(Database!$I186)/Screener!$D$9))/W_SIZEHW))</f>
        <v/>
      </c>
      <c r="E186">
        <f>IF(OR(Database!$BE186="",Screener!$D$10=""),0,IF(Database!$BE186=Screener!$D$10,1,0))</f>
        <v/>
      </c>
      <c r="F186">
        <f>IF(OR(Database!$BK186="",Screener!$D$11=""),0,IF(Database!$BK186=Screener!$D$11,1,0))</f>
        <v/>
      </c>
      <c r="G186">
        <f>IF(OR(Database!$H186="",N(Screener!$D$12)&lt;=0),0,MAX(0,1-(N(Screener!$D$12)-Database!$H186)/W_RECD))</f>
        <v/>
      </c>
      <c r="H186">
        <f>IF($U$1="",0,N(ISNUMBER(SEARCH($U$1,Database!$Z186&amp;""))))+IF($V$1="",0,N(ISNUMBER(SEARCH($V$1,Database!$Z186&amp;""))))+IF($W$1="",0,N(ISNUMBER(SEARCH($W$1,Database!$Z186&amp;""))))+IF($X$1="",0,N(ISNUMBER(SEARCH($X$1,Database!$Z186&amp;""))))+IF($Y$1="",0,N(ISNUMBER(SEARCH($Y$1,Database!$Z186&amp;""))))+IF(Screener!$B$17="",0,N(ISNUMBER(SEARCH(LOWER(Screener!$B$17),Database!$Z186&amp;""))))</f>
        <v/>
      </c>
      <c r="I186">
        <f>IF(OR(N(Database!$BF186)&lt;=0,N(Screener!$D$13)&lt;=0),0,MAX(0,1-ABS(LOG10(N(Database!$BF186)/Screener!$D$13))/W_PEHW))</f>
        <v/>
      </c>
      <c r="J186">
        <f>IF(OR(N(Database!$S186)&lt;=0,N(Screener!$D$14)&lt;=0),0,MAX(0,1-ABS(LOG10(Database!$S186/Screener!$D$14))/0.6))</f>
        <v/>
      </c>
      <c r="K186">
        <f>IF(Database!$B186=Screener!$B$5,-999999,IF(ISNUMBER(SEARCH(","&amp;Database!$A186&amp;",",","&amp;SUBSTITUTE(Screener!$D$17," ","")&amp;",")),2000000,IF(IF(OR(Screener!$B$18="All",AND(Screener!$B$18="With A-share",(Database!$BK186="Y")),AND(Screener!$B$18="Without A-share",NOT((Database!$BK186="Y")))),1,0)=0,-999999,IF(Screener!$B$16="cornerstone overlap first",H186*100000,IF(Screener!$B$16="demand-similar first",J186*100000,0))+W_SUB*B186+W_SEC*C186*(1-B186)+W_SIZE*D186+W_PROF*E186+W_AH*F186+W_REC*G186+W_CS*H186+W_PE*I186)))+ROW()/1000000</f>
        <v/>
      </c>
      <c r="AA186">
        <f>Database!B176</f>
        <v/>
      </c>
      <c r="AB186">
        <f>Database!D176</f>
        <v/>
      </c>
      <c r="AC186">
        <f>Database!E176</f>
        <v/>
      </c>
      <c r="AD186">
        <f>Database!I176</f>
        <v/>
      </c>
      <c r="AE186">
        <f>Database!BE176</f>
        <v/>
      </c>
      <c r="AF186">
        <f>Database!BK176</f>
        <v/>
      </c>
      <c r="AG186">
        <f>Database!H176</f>
        <v/>
      </c>
      <c r="AH186">
        <f>Database!BF176</f>
        <v/>
      </c>
    </row>
    <row r="187">
      <c r="A187">
        <f>Database!B187</f>
        <v/>
      </c>
      <c r="B187">
        <f>IF(AND(Screener!$D$8&lt;&gt;"",Database!$E187=Screener!$D$8),1,0)</f>
        <v/>
      </c>
      <c r="C187">
        <f>IF(AND(Screener!$D$7&lt;&gt;"",Database!$D187=Screener!$D$7),1,0)</f>
        <v/>
      </c>
      <c r="D187">
        <f>IF(OR(N(Database!$I187)&lt;=0,N(Screener!$D$9)&lt;=0),0,MAX(0,1-ABS(LOG10(N(Database!$I187)/Screener!$D$9))/W_SIZEHW))</f>
        <v/>
      </c>
      <c r="E187">
        <f>IF(OR(Database!$BE187="",Screener!$D$10=""),0,IF(Database!$BE187=Screener!$D$10,1,0))</f>
        <v/>
      </c>
      <c r="F187">
        <f>IF(OR(Database!$BK187="",Screener!$D$11=""),0,IF(Database!$BK187=Screener!$D$11,1,0))</f>
        <v/>
      </c>
      <c r="G187">
        <f>IF(OR(Database!$H187="",N(Screener!$D$12)&lt;=0),0,MAX(0,1-(N(Screener!$D$12)-Database!$H187)/W_RECD))</f>
        <v/>
      </c>
      <c r="H187">
        <f>IF($U$1="",0,N(ISNUMBER(SEARCH($U$1,Database!$Z187&amp;""))))+IF($V$1="",0,N(ISNUMBER(SEARCH($V$1,Database!$Z187&amp;""))))+IF($W$1="",0,N(ISNUMBER(SEARCH($W$1,Database!$Z187&amp;""))))+IF($X$1="",0,N(ISNUMBER(SEARCH($X$1,Database!$Z187&amp;""))))+IF($Y$1="",0,N(ISNUMBER(SEARCH($Y$1,Database!$Z187&amp;""))))+IF(Screener!$B$17="",0,N(ISNUMBER(SEARCH(LOWER(Screener!$B$17),Database!$Z187&amp;""))))</f>
        <v/>
      </c>
      <c r="I187">
        <f>IF(OR(N(Database!$BF187)&lt;=0,N(Screener!$D$13)&lt;=0),0,MAX(0,1-ABS(LOG10(N(Database!$BF187)/Screener!$D$13))/W_PEHW))</f>
        <v/>
      </c>
      <c r="J187">
        <f>IF(OR(N(Database!$S187)&lt;=0,N(Screener!$D$14)&lt;=0),0,MAX(0,1-ABS(LOG10(Database!$S187/Screener!$D$14))/0.6))</f>
        <v/>
      </c>
      <c r="K187">
        <f>IF(Database!$B187=Screener!$B$5,-999999,IF(ISNUMBER(SEARCH(","&amp;Database!$A187&amp;",",","&amp;SUBSTITUTE(Screener!$D$17," ","")&amp;",")),2000000,IF(IF(OR(Screener!$B$18="All",AND(Screener!$B$18="With A-share",(Database!$BK187="Y")),AND(Screener!$B$18="Without A-share",NOT((Database!$BK187="Y")))),1,0)=0,-999999,IF(Screener!$B$16="cornerstone overlap first",H187*100000,IF(Screener!$B$16="demand-similar first",J187*100000,0))+W_SUB*B187+W_SEC*C187*(1-B187)+W_SIZE*D187+W_PROF*E187+W_AH*F187+W_REC*G187+W_CS*H187+W_PE*I187)))+ROW()/1000000</f>
        <v/>
      </c>
      <c r="AA187">
        <f>Database!B177</f>
        <v/>
      </c>
      <c r="AB187">
        <f>Database!D177</f>
        <v/>
      </c>
      <c r="AC187">
        <f>Database!E177</f>
        <v/>
      </c>
      <c r="AD187">
        <f>Database!I177</f>
        <v/>
      </c>
      <c r="AE187">
        <f>Database!BE177</f>
        <v/>
      </c>
      <c r="AF187">
        <f>Database!BK177</f>
        <v/>
      </c>
      <c r="AG187">
        <f>Database!H177</f>
        <v/>
      </c>
      <c r="AH187">
        <f>Database!BF177</f>
        <v/>
      </c>
    </row>
    <row r="188">
      <c r="A188">
        <f>Database!B188</f>
        <v/>
      </c>
      <c r="B188">
        <f>IF(AND(Screener!$D$8&lt;&gt;"",Database!$E188=Screener!$D$8),1,0)</f>
        <v/>
      </c>
      <c r="C188">
        <f>IF(AND(Screener!$D$7&lt;&gt;"",Database!$D188=Screener!$D$7),1,0)</f>
        <v/>
      </c>
      <c r="D188">
        <f>IF(OR(N(Database!$I188)&lt;=0,N(Screener!$D$9)&lt;=0),0,MAX(0,1-ABS(LOG10(N(Database!$I188)/Screener!$D$9))/W_SIZEHW))</f>
        <v/>
      </c>
      <c r="E188">
        <f>IF(OR(Database!$BE188="",Screener!$D$10=""),0,IF(Database!$BE188=Screener!$D$10,1,0))</f>
        <v/>
      </c>
      <c r="F188">
        <f>IF(OR(Database!$BK188="",Screener!$D$11=""),0,IF(Database!$BK188=Screener!$D$11,1,0))</f>
        <v/>
      </c>
      <c r="G188">
        <f>IF(OR(Database!$H188="",N(Screener!$D$12)&lt;=0),0,MAX(0,1-(N(Screener!$D$12)-Database!$H188)/W_RECD))</f>
        <v/>
      </c>
      <c r="H188">
        <f>IF($U$1="",0,N(ISNUMBER(SEARCH($U$1,Database!$Z188&amp;""))))+IF($V$1="",0,N(ISNUMBER(SEARCH($V$1,Database!$Z188&amp;""))))+IF($W$1="",0,N(ISNUMBER(SEARCH($W$1,Database!$Z188&amp;""))))+IF($X$1="",0,N(ISNUMBER(SEARCH($X$1,Database!$Z188&amp;""))))+IF($Y$1="",0,N(ISNUMBER(SEARCH($Y$1,Database!$Z188&amp;""))))+IF(Screener!$B$17="",0,N(ISNUMBER(SEARCH(LOWER(Screener!$B$17),Database!$Z188&amp;""))))</f>
        <v/>
      </c>
      <c r="I188">
        <f>IF(OR(N(Database!$BF188)&lt;=0,N(Screener!$D$13)&lt;=0),0,MAX(0,1-ABS(LOG10(N(Database!$BF188)/Screener!$D$13))/W_PEHW))</f>
        <v/>
      </c>
      <c r="J188">
        <f>IF(OR(N(Database!$S188)&lt;=0,N(Screener!$D$14)&lt;=0),0,MAX(0,1-ABS(LOG10(Database!$S188/Screener!$D$14))/0.6))</f>
        <v/>
      </c>
      <c r="K188">
        <f>IF(Database!$B188=Screener!$B$5,-999999,IF(ISNUMBER(SEARCH(","&amp;Database!$A188&amp;",",","&amp;SUBSTITUTE(Screener!$D$17," ","")&amp;",")),2000000,IF(IF(OR(Screener!$B$18="All",AND(Screener!$B$18="With A-share",(Database!$BK188="Y")),AND(Screener!$B$18="Without A-share",NOT((Database!$BK188="Y")))),1,0)=0,-999999,IF(Screener!$B$16="cornerstone overlap first",H188*100000,IF(Screener!$B$16="demand-similar first",J188*100000,0))+W_SUB*B188+W_SEC*C188*(1-B188)+W_SIZE*D188+W_PROF*E188+W_AH*F188+W_REC*G188+W_CS*H188+W_PE*I188)))+ROW()/1000000</f>
        <v/>
      </c>
      <c r="AA188">
        <f>Database!B178</f>
        <v/>
      </c>
      <c r="AB188">
        <f>Database!D178</f>
        <v/>
      </c>
      <c r="AC188">
        <f>Database!E178</f>
        <v/>
      </c>
      <c r="AD188">
        <f>Database!I178</f>
        <v/>
      </c>
      <c r="AE188">
        <f>Database!BE178</f>
        <v/>
      </c>
      <c r="AF188">
        <f>Database!BK178</f>
        <v/>
      </c>
      <c r="AG188">
        <f>Database!H178</f>
        <v/>
      </c>
      <c r="AH188">
        <f>Database!BF178</f>
        <v/>
      </c>
    </row>
    <row r="189">
      <c r="A189">
        <f>Database!B189</f>
        <v/>
      </c>
      <c r="B189">
        <f>IF(AND(Screener!$D$8&lt;&gt;"",Database!$E189=Screener!$D$8),1,0)</f>
        <v/>
      </c>
      <c r="C189">
        <f>IF(AND(Screener!$D$7&lt;&gt;"",Database!$D189=Screener!$D$7),1,0)</f>
        <v/>
      </c>
      <c r="D189">
        <f>IF(OR(N(Database!$I189)&lt;=0,N(Screener!$D$9)&lt;=0),0,MAX(0,1-ABS(LOG10(N(Database!$I189)/Screener!$D$9))/W_SIZEHW))</f>
        <v/>
      </c>
      <c r="E189">
        <f>IF(OR(Database!$BE189="",Screener!$D$10=""),0,IF(Database!$BE189=Screener!$D$10,1,0))</f>
        <v/>
      </c>
      <c r="F189">
        <f>IF(OR(Database!$BK189="",Screener!$D$11=""),0,IF(Database!$BK189=Screener!$D$11,1,0))</f>
        <v/>
      </c>
      <c r="G189">
        <f>IF(OR(Database!$H189="",N(Screener!$D$12)&lt;=0),0,MAX(0,1-(N(Screener!$D$12)-Database!$H189)/W_RECD))</f>
        <v/>
      </c>
      <c r="H189">
        <f>IF($U$1="",0,N(ISNUMBER(SEARCH($U$1,Database!$Z189&amp;""))))+IF($V$1="",0,N(ISNUMBER(SEARCH($V$1,Database!$Z189&amp;""))))+IF($W$1="",0,N(ISNUMBER(SEARCH($W$1,Database!$Z189&amp;""))))+IF($X$1="",0,N(ISNUMBER(SEARCH($X$1,Database!$Z189&amp;""))))+IF($Y$1="",0,N(ISNUMBER(SEARCH($Y$1,Database!$Z189&amp;""))))+IF(Screener!$B$17="",0,N(ISNUMBER(SEARCH(LOWER(Screener!$B$17),Database!$Z189&amp;""))))</f>
        <v/>
      </c>
      <c r="I189">
        <f>IF(OR(N(Database!$BF189)&lt;=0,N(Screener!$D$13)&lt;=0),0,MAX(0,1-ABS(LOG10(N(Database!$BF189)/Screener!$D$13))/W_PEHW))</f>
        <v/>
      </c>
      <c r="J189">
        <f>IF(OR(N(Database!$S189)&lt;=0,N(Screener!$D$14)&lt;=0),0,MAX(0,1-ABS(LOG10(Database!$S189/Screener!$D$14))/0.6))</f>
        <v/>
      </c>
      <c r="K189">
        <f>IF(Database!$B189=Screener!$B$5,-999999,IF(ISNUMBER(SEARCH(","&amp;Database!$A189&amp;",",","&amp;SUBSTITUTE(Screener!$D$17," ","")&amp;",")),2000000,IF(IF(OR(Screener!$B$18="All",AND(Screener!$B$18="With A-share",(Database!$BK189="Y")),AND(Screener!$B$18="Without A-share",NOT((Database!$BK189="Y")))),1,0)=0,-999999,IF(Screener!$B$16="cornerstone overlap first",H189*100000,IF(Screener!$B$16="demand-similar first",J189*100000,0))+W_SUB*B189+W_SEC*C189*(1-B189)+W_SIZE*D189+W_PROF*E189+W_AH*F189+W_REC*G189+W_CS*H189+W_PE*I189)))+ROW()/1000000</f>
        <v/>
      </c>
      <c r="AA189">
        <f>Database!B179</f>
        <v/>
      </c>
      <c r="AB189">
        <f>Database!D179</f>
        <v/>
      </c>
      <c r="AC189">
        <f>Database!E179</f>
        <v/>
      </c>
      <c r="AD189">
        <f>Database!I179</f>
        <v/>
      </c>
      <c r="AE189">
        <f>Database!BE179</f>
        <v/>
      </c>
      <c r="AF189">
        <f>Database!BK179</f>
        <v/>
      </c>
      <c r="AG189">
        <f>Database!H179</f>
        <v/>
      </c>
      <c r="AH189">
        <f>Database!BF179</f>
        <v/>
      </c>
    </row>
    <row r="190">
      <c r="A190">
        <f>Database!B190</f>
        <v/>
      </c>
      <c r="B190">
        <f>IF(AND(Screener!$D$8&lt;&gt;"",Database!$E190=Screener!$D$8),1,0)</f>
        <v/>
      </c>
      <c r="C190">
        <f>IF(AND(Screener!$D$7&lt;&gt;"",Database!$D190=Screener!$D$7),1,0)</f>
        <v/>
      </c>
      <c r="D190">
        <f>IF(OR(N(Database!$I190)&lt;=0,N(Screener!$D$9)&lt;=0),0,MAX(0,1-ABS(LOG10(N(Database!$I190)/Screener!$D$9))/W_SIZEHW))</f>
        <v/>
      </c>
      <c r="E190">
        <f>IF(OR(Database!$BE190="",Screener!$D$10=""),0,IF(Database!$BE190=Screener!$D$10,1,0))</f>
        <v/>
      </c>
      <c r="F190">
        <f>IF(OR(Database!$BK190="",Screener!$D$11=""),0,IF(Database!$BK190=Screener!$D$11,1,0))</f>
        <v/>
      </c>
      <c r="G190">
        <f>IF(OR(Database!$H190="",N(Screener!$D$12)&lt;=0),0,MAX(0,1-(N(Screener!$D$12)-Database!$H190)/W_RECD))</f>
        <v/>
      </c>
      <c r="H190">
        <f>IF($U$1="",0,N(ISNUMBER(SEARCH($U$1,Database!$Z190&amp;""))))+IF($V$1="",0,N(ISNUMBER(SEARCH($V$1,Database!$Z190&amp;""))))+IF($W$1="",0,N(ISNUMBER(SEARCH($W$1,Database!$Z190&amp;""))))+IF($X$1="",0,N(ISNUMBER(SEARCH($X$1,Database!$Z190&amp;""))))+IF($Y$1="",0,N(ISNUMBER(SEARCH($Y$1,Database!$Z190&amp;""))))+IF(Screener!$B$17="",0,N(ISNUMBER(SEARCH(LOWER(Screener!$B$17),Database!$Z190&amp;""))))</f>
        <v/>
      </c>
      <c r="I190">
        <f>IF(OR(N(Database!$BF190)&lt;=0,N(Screener!$D$13)&lt;=0),0,MAX(0,1-ABS(LOG10(N(Database!$BF190)/Screener!$D$13))/W_PEHW))</f>
        <v/>
      </c>
      <c r="J190">
        <f>IF(OR(N(Database!$S190)&lt;=0,N(Screener!$D$14)&lt;=0),0,MAX(0,1-ABS(LOG10(Database!$S190/Screener!$D$14))/0.6))</f>
        <v/>
      </c>
      <c r="K190">
        <f>IF(Database!$B190=Screener!$B$5,-999999,IF(ISNUMBER(SEARCH(","&amp;Database!$A190&amp;",",","&amp;SUBSTITUTE(Screener!$D$17," ","")&amp;",")),2000000,IF(IF(OR(Screener!$B$18="All",AND(Screener!$B$18="With A-share",(Database!$BK190="Y")),AND(Screener!$B$18="Without A-share",NOT((Database!$BK190="Y")))),1,0)=0,-999999,IF(Screener!$B$16="cornerstone overlap first",H190*100000,IF(Screener!$B$16="demand-similar first",J190*100000,0))+W_SUB*B190+W_SEC*C190*(1-B190)+W_SIZE*D190+W_PROF*E190+W_AH*F190+W_REC*G190+W_CS*H190+W_PE*I190)))+ROW()/1000000</f>
        <v/>
      </c>
      <c r="AA190">
        <f>Database!B180</f>
        <v/>
      </c>
      <c r="AB190">
        <f>Database!D180</f>
        <v/>
      </c>
      <c r="AC190">
        <f>Database!E180</f>
        <v/>
      </c>
      <c r="AD190">
        <f>Database!I180</f>
        <v/>
      </c>
      <c r="AE190">
        <f>Database!BE180</f>
        <v/>
      </c>
      <c r="AF190">
        <f>Database!BK180</f>
        <v/>
      </c>
      <c r="AG190">
        <f>Database!H180</f>
        <v/>
      </c>
      <c r="AH190">
        <f>Database!BF180</f>
        <v/>
      </c>
    </row>
    <row r="191">
      <c r="A191">
        <f>Database!B191</f>
        <v/>
      </c>
      <c r="B191">
        <f>IF(AND(Screener!$D$8&lt;&gt;"",Database!$E191=Screener!$D$8),1,0)</f>
        <v/>
      </c>
      <c r="C191">
        <f>IF(AND(Screener!$D$7&lt;&gt;"",Database!$D191=Screener!$D$7),1,0)</f>
        <v/>
      </c>
      <c r="D191">
        <f>IF(OR(N(Database!$I191)&lt;=0,N(Screener!$D$9)&lt;=0),0,MAX(0,1-ABS(LOG10(N(Database!$I191)/Screener!$D$9))/W_SIZEHW))</f>
        <v/>
      </c>
      <c r="E191">
        <f>IF(OR(Database!$BE191="",Screener!$D$10=""),0,IF(Database!$BE191=Screener!$D$10,1,0))</f>
        <v/>
      </c>
      <c r="F191">
        <f>IF(OR(Database!$BK191="",Screener!$D$11=""),0,IF(Database!$BK191=Screener!$D$11,1,0))</f>
        <v/>
      </c>
      <c r="G191">
        <f>IF(OR(Database!$H191="",N(Screener!$D$12)&lt;=0),0,MAX(0,1-(N(Screener!$D$12)-Database!$H191)/W_RECD))</f>
        <v/>
      </c>
      <c r="H191">
        <f>IF($U$1="",0,N(ISNUMBER(SEARCH($U$1,Database!$Z191&amp;""))))+IF($V$1="",0,N(ISNUMBER(SEARCH($V$1,Database!$Z191&amp;""))))+IF($W$1="",0,N(ISNUMBER(SEARCH($W$1,Database!$Z191&amp;""))))+IF($X$1="",0,N(ISNUMBER(SEARCH($X$1,Database!$Z191&amp;""))))+IF($Y$1="",0,N(ISNUMBER(SEARCH($Y$1,Database!$Z191&amp;""))))+IF(Screener!$B$17="",0,N(ISNUMBER(SEARCH(LOWER(Screener!$B$17),Database!$Z191&amp;""))))</f>
        <v/>
      </c>
      <c r="I191">
        <f>IF(OR(N(Database!$BF191)&lt;=0,N(Screener!$D$13)&lt;=0),0,MAX(0,1-ABS(LOG10(N(Database!$BF191)/Screener!$D$13))/W_PEHW))</f>
        <v/>
      </c>
      <c r="J191">
        <f>IF(OR(N(Database!$S191)&lt;=0,N(Screener!$D$14)&lt;=0),0,MAX(0,1-ABS(LOG10(Database!$S191/Screener!$D$14))/0.6))</f>
        <v/>
      </c>
      <c r="K191">
        <f>IF(Database!$B191=Screener!$B$5,-999999,IF(ISNUMBER(SEARCH(","&amp;Database!$A191&amp;",",","&amp;SUBSTITUTE(Screener!$D$17," ","")&amp;",")),2000000,IF(IF(OR(Screener!$B$18="All",AND(Screener!$B$18="With A-share",(Database!$BK191="Y")),AND(Screener!$B$18="Without A-share",NOT((Database!$BK191="Y")))),1,0)=0,-999999,IF(Screener!$B$16="cornerstone overlap first",H191*100000,IF(Screener!$B$16="demand-similar first",J191*100000,0))+W_SUB*B191+W_SEC*C191*(1-B191)+W_SIZE*D191+W_PROF*E191+W_AH*F191+W_REC*G191+W_CS*H191+W_PE*I191)))+ROW()/1000000</f>
        <v/>
      </c>
      <c r="AA191">
        <f>Database!B181</f>
        <v/>
      </c>
      <c r="AB191">
        <f>Database!D181</f>
        <v/>
      </c>
      <c r="AC191">
        <f>Database!E181</f>
        <v/>
      </c>
      <c r="AD191">
        <f>Database!I181</f>
        <v/>
      </c>
      <c r="AE191">
        <f>Database!BE181</f>
        <v/>
      </c>
      <c r="AF191">
        <f>Database!BK181</f>
        <v/>
      </c>
      <c r="AG191">
        <f>Database!H181</f>
        <v/>
      </c>
      <c r="AH191">
        <f>Database!BF181</f>
        <v/>
      </c>
    </row>
    <row r="192">
      <c r="A192">
        <f>Database!B192</f>
        <v/>
      </c>
      <c r="B192">
        <f>IF(AND(Screener!$D$8&lt;&gt;"",Database!$E192=Screener!$D$8),1,0)</f>
        <v/>
      </c>
      <c r="C192">
        <f>IF(AND(Screener!$D$7&lt;&gt;"",Database!$D192=Screener!$D$7),1,0)</f>
        <v/>
      </c>
      <c r="D192">
        <f>IF(OR(N(Database!$I192)&lt;=0,N(Screener!$D$9)&lt;=0),0,MAX(0,1-ABS(LOG10(N(Database!$I192)/Screener!$D$9))/W_SIZEHW))</f>
        <v/>
      </c>
      <c r="E192">
        <f>IF(OR(Database!$BE192="",Screener!$D$10=""),0,IF(Database!$BE192=Screener!$D$10,1,0))</f>
        <v/>
      </c>
      <c r="F192">
        <f>IF(OR(Database!$BK192="",Screener!$D$11=""),0,IF(Database!$BK192=Screener!$D$11,1,0))</f>
        <v/>
      </c>
      <c r="G192">
        <f>IF(OR(Database!$H192="",N(Screener!$D$12)&lt;=0),0,MAX(0,1-(N(Screener!$D$12)-Database!$H192)/W_RECD))</f>
        <v/>
      </c>
      <c r="H192">
        <f>IF($U$1="",0,N(ISNUMBER(SEARCH($U$1,Database!$Z192&amp;""))))+IF($V$1="",0,N(ISNUMBER(SEARCH($V$1,Database!$Z192&amp;""))))+IF($W$1="",0,N(ISNUMBER(SEARCH($W$1,Database!$Z192&amp;""))))+IF($X$1="",0,N(ISNUMBER(SEARCH($X$1,Database!$Z192&amp;""))))+IF($Y$1="",0,N(ISNUMBER(SEARCH($Y$1,Database!$Z192&amp;""))))+IF(Screener!$B$17="",0,N(ISNUMBER(SEARCH(LOWER(Screener!$B$17),Database!$Z192&amp;""))))</f>
        <v/>
      </c>
      <c r="I192">
        <f>IF(OR(N(Database!$BF192)&lt;=0,N(Screener!$D$13)&lt;=0),0,MAX(0,1-ABS(LOG10(N(Database!$BF192)/Screener!$D$13))/W_PEHW))</f>
        <v/>
      </c>
      <c r="J192">
        <f>IF(OR(N(Database!$S192)&lt;=0,N(Screener!$D$14)&lt;=0),0,MAX(0,1-ABS(LOG10(Database!$S192/Screener!$D$14))/0.6))</f>
        <v/>
      </c>
      <c r="K192">
        <f>IF(Database!$B192=Screener!$B$5,-999999,IF(ISNUMBER(SEARCH(","&amp;Database!$A192&amp;",",","&amp;SUBSTITUTE(Screener!$D$17," ","")&amp;",")),2000000,IF(IF(OR(Screener!$B$18="All",AND(Screener!$B$18="With A-share",(Database!$BK192="Y")),AND(Screener!$B$18="Without A-share",NOT((Database!$BK192="Y")))),1,0)=0,-999999,IF(Screener!$B$16="cornerstone overlap first",H192*100000,IF(Screener!$B$16="demand-similar first",J192*100000,0))+W_SUB*B192+W_SEC*C192*(1-B192)+W_SIZE*D192+W_PROF*E192+W_AH*F192+W_REC*G192+W_CS*H192+W_PE*I192)))+ROW()/1000000</f>
        <v/>
      </c>
      <c r="AA192">
        <f>Database!B182</f>
        <v/>
      </c>
      <c r="AB192">
        <f>Database!D182</f>
        <v/>
      </c>
      <c r="AC192">
        <f>Database!E182</f>
        <v/>
      </c>
      <c r="AD192">
        <f>Database!I182</f>
        <v/>
      </c>
      <c r="AE192">
        <f>Database!BE182</f>
        <v/>
      </c>
      <c r="AF192">
        <f>Database!BK182</f>
        <v/>
      </c>
      <c r="AG192">
        <f>Database!H182</f>
        <v/>
      </c>
      <c r="AH192">
        <f>Database!BF182</f>
        <v/>
      </c>
    </row>
    <row r="193">
      <c r="A193">
        <f>Database!B193</f>
        <v/>
      </c>
      <c r="B193">
        <f>IF(AND(Screener!$D$8&lt;&gt;"",Database!$E193=Screener!$D$8),1,0)</f>
        <v/>
      </c>
      <c r="C193">
        <f>IF(AND(Screener!$D$7&lt;&gt;"",Database!$D193=Screener!$D$7),1,0)</f>
        <v/>
      </c>
      <c r="D193">
        <f>IF(OR(N(Database!$I193)&lt;=0,N(Screener!$D$9)&lt;=0),0,MAX(0,1-ABS(LOG10(N(Database!$I193)/Screener!$D$9))/W_SIZEHW))</f>
        <v/>
      </c>
      <c r="E193">
        <f>IF(OR(Database!$BE193="",Screener!$D$10=""),0,IF(Database!$BE193=Screener!$D$10,1,0))</f>
        <v/>
      </c>
      <c r="F193">
        <f>IF(OR(Database!$BK193="",Screener!$D$11=""),0,IF(Database!$BK193=Screener!$D$11,1,0))</f>
        <v/>
      </c>
      <c r="G193">
        <f>IF(OR(Database!$H193="",N(Screener!$D$12)&lt;=0),0,MAX(0,1-(N(Screener!$D$12)-Database!$H193)/W_RECD))</f>
        <v/>
      </c>
      <c r="H193">
        <f>IF($U$1="",0,N(ISNUMBER(SEARCH($U$1,Database!$Z193&amp;""))))+IF($V$1="",0,N(ISNUMBER(SEARCH($V$1,Database!$Z193&amp;""))))+IF($W$1="",0,N(ISNUMBER(SEARCH($W$1,Database!$Z193&amp;""))))+IF($X$1="",0,N(ISNUMBER(SEARCH($X$1,Database!$Z193&amp;""))))+IF($Y$1="",0,N(ISNUMBER(SEARCH($Y$1,Database!$Z193&amp;""))))+IF(Screener!$B$17="",0,N(ISNUMBER(SEARCH(LOWER(Screener!$B$17),Database!$Z193&amp;""))))</f>
        <v/>
      </c>
      <c r="I193">
        <f>IF(OR(N(Database!$BF193)&lt;=0,N(Screener!$D$13)&lt;=0),0,MAX(0,1-ABS(LOG10(N(Database!$BF193)/Screener!$D$13))/W_PEHW))</f>
        <v/>
      </c>
      <c r="J193">
        <f>IF(OR(N(Database!$S193)&lt;=0,N(Screener!$D$14)&lt;=0),0,MAX(0,1-ABS(LOG10(Database!$S193/Screener!$D$14))/0.6))</f>
        <v/>
      </c>
      <c r="K193">
        <f>IF(Database!$B193=Screener!$B$5,-999999,IF(ISNUMBER(SEARCH(","&amp;Database!$A193&amp;",",","&amp;SUBSTITUTE(Screener!$D$17," ","")&amp;",")),2000000,IF(IF(OR(Screener!$B$18="All",AND(Screener!$B$18="With A-share",(Database!$BK193="Y")),AND(Screener!$B$18="Without A-share",NOT((Database!$BK193="Y")))),1,0)=0,-999999,IF(Screener!$B$16="cornerstone overlap first",H193*100000,IF(Screener!$B$16="demand-similar first",J193*100000,0))+W_SUB*B193+W_SEC*C193*(1-B193)+W_SIZE*D193+W_PROF*E193+W_AH*F193+W_REC*G193+W_CS*H193+W_PE*I193)))+ROW()/1000000</f>
        <v/>
      </c>
      <c r="AA193">
        <f>Database!B183</f>
        <v/>
      </c>
      <c r="AB193">
        <f>Database!D183</f>
        <v/>
      </c>
      <c r="AC193">
        <f>Database!E183</f>
        <v/>
      </c>
      <c r="AD193">
        <f>Database!I183</f>
        <v/>
      </c>
      <c r="AE193">
        <f>Database!BE183</f>
        <v/>
      </c>
      <c r="AF193">
        <f>Database!BK183</f>
        <v/>
      </c>
      <c r="AG193">
        <f>Database!H183</f>
        <v/>
      </c>
      <c r="AH193">
        <f>Database!BF183</f>
        <v/>
      </c>
    </row>
    <row r="194">
      <c r="A194">
        <f>Database!B194</f>
        <v/>
      </c>
      <c r="B194">
        <f>IF(AND(Screener!$D$8&lt;&gt;"",Database!$E194=Screener!$D$8),1,0)</f>
        <v/>
      </c>
      <c r="C194">
        <f>IF(AND(Screener!$D$7&lt;&gt;"",Database!$D194=Screener!$D$7),1,0)</f>
        <v/>
      </c>
      <c r="D194">
        <f>IF(OR(N(Database!$I194)&lt;=0,N(Screener!$D$9)&lt;=0),0,MAX(0,1-ABS(LOG10(N(Database!$I194)/Screener!$D$9))/W_SIZEHW))</f>
        <v/>
      </c>
      <c r="E194">
        <f>IF(OR(Database!$BE194="",Screener!$D$10=""),0,IF(Database!$BE194=Screener!$D$10,1,0))</f>
        <v/>
      </c>
      <c r="F194">
        <f>IF(OR(Database!$BK194="",Screener!$D$11=""),0,IF(Database!$BK194=Screener!$D$11,1,0))</f>
        <v/>
      </c>
      <c r="G194">
        <f>IF(OR(Database!$H194="",N(Screener!$D$12)&lt;=0),0,MAX(0,1-(N(Screener!$D$12)-Database!$H194)/W_RECD))</f>
        <v/>
      </c>
      <c r="H194">
        <f>IF($U$1="",0,N(ISNUMBER(SEARCH($U$1,Database!$Z194&amp;""))))+IF($V$1="",0,N(ISNUMBER(SEARCH($V$1,Database!$Z194&amp;""))))+IF($W$1="",0,N(ISNUMBER(SEARCH($W$1,Database!$Z194&amp;""))))+IF($X$1="",0,N(ISNUMBER(SEARCH($X$1,Database!$Z194&amp;""))))+IF($Y$1="",0,N(ISNUMBER(SEARCH($Y$1,Database!$Z194&amp;""))))+IF(Screener!$B$17="",0,N(ISNUMBER(SEARCH(LOWER(Screener!$B$17),Database!$Z194&amp;""))))</f>
        <v/>
      </c>
      <c r="I194">
        <f>IF(OR(N(Database!$BF194)&lt;=0,N(Screener!$D$13)&lt;=0),0,MAX(0,1-ABS(LOG10(N(Database!$BF194)/Screener!$D$13))/W_PEHW))</f>
        <v/>
      </c>
      <c r="J194">
        <f>IF(OR(N(Database!$S194)&lt;=0,N(Screener!$D$14)&lt;=0),0,MAX(0,1-ABS(LOG10(Database!$S194/Screener!$D$14))/0.6))</f>
        <v/>
      </c>
      <c r="K194">
        <f>IF(Database!$B194=Screener!$B$5,-999999,IF(ISNUMBER(SEARCH(","&amp;Database!$A194&amp;",",","&amp;SUBSTITUTE(Screener!$D$17," ","")&amp;",")),2000000,IF(IF(OR(Screener!$B$18="All",AND(Screener!$B$18="With A-share",(Database!$BK194="Y")),AND(Screener!$B$18="Without A-share",NOT((Database!$BK194="Y")))),1,0)=0,-999999,IF(Screener!$B$16="cornerstone overlap first",H194*100000,IF(Screener!$B$16="demand-similar first",J194*100000,0))+W_SUB*B194+W_SEC*C194*(1-B194)+W_SIZE*D194+W_PROF*E194+W_AH*F194+W_REC*G194+W_CS*H194+W_PE*I194)))+ROW()/1000000</f>
        <v/>
      </c>
      <c r="AA194">
        <f>Database!B184</f>
        <v/>
      </c>
      <c r="AB194">
        <f>Database!D184</f>
        <v/>
      </c>
      <c r="AC194">
        <f>Database!E184</f>
        <v/>
      </c>
      <c r="AD194">
        <f>Database!I184</f>
        <v/>
      </c>
      <c r="AE194">
        <f>Database!BE184</f>
        <v/>
      </c>
      <c r="AF194">
        <f>Database!BK184</f>
        <v/>
      </c>
      <c r="AG194">
        <f>Database!H184</f>
        <v/>
      </c>
      <c r="AH194">
        <f>Database!BF184</f>
        <v/>
      </c>
    </row>
    <row r="195">
      <c r="A195">
        <f>Database!B195</f>
        <v/>
      </c>
      <c r="B195">
        <f>IF(AND(Screener!$D$8&lt;&gt;"",Database!$E195=Screener!$D$8),1,0)</f>
        <v/>
      </c>
      <c r="C195">
        <f>IF(AND(Screener!$D$7&lt;&gt;"",Database!$D195=Screener!$D$7),1,0)</f>
        <v/>
      </c>
      <c r="D195">
        <f>IF(OR(N(Database!$I195)&lt;=0,N(Screener!$D$9)&lt;=0),0,MAX(0,1-ABS(LOG10(N(Database!$I195)/Screener!$D$9))/W_SIZEHW))</f>
        <v/>
      </c>
      <c r="E195">
        <f>IF(OR(Database!$BE195="",Screener!$D$10=""),0,IF(Database!$BE195=Screener!$D$10,1,0))</f>
        <v/>
      </c>
      <c r="F195">
        <f>IF(OR(Database!$BK195="",Screener!$D$11=""),0,IF(Database!$BK195=Screener!$D$11,1,0))</f>
        <v/>
      </c>
      <c r="G195">
        <f>IF(OR(Database!$H195="",N(Screener!$D$12)&lt;=0),0,MAX(0,1-(N(Screener!$D$12)-Database!$H195)/W_RECD))</f>
        <v/>
      </c>
      <c r="H195">
        <f>IF($U$1="",0,N(ISNUMBER(SEARCH($U$1,Database!$Z195&amp;""))))+IF($V$1="",0,N(ISNUMBER(SEARCH($V$1,Database!$Z195&amp;""))))+IF($W$1="",0,N(ISNUMBER(SEARCH($W$1,Database!$Z195&amp;""))))+IF($X$1="",0,N(ISNUMBER(SEARCH($X$1,Database!$Z195&amp;""))))+IF($Y$1="",0,N(ISNUMBER(SEARCH($Y$1,Database!$Z195&amp;""))))+IF(Screener!$B$17="",0,N(ISNUMBER(SEARCH(LOWER(Screener!$B$17),Database!$Z195&amp;""))))</f>
        <v/>
      </c>
      <c r="I195">
        <f>IF(OR(N(Database!$BF195)&lt;=0,N(Screener!$D$13)&lt;=0),0,MAX(0,1-ABS(LOG10(N(Database!$BF195)/Screener!$D$13))/W_PEHW))</f>
        <v/>
      </c>
      <c r="J195">
        <f>IF(OR(N(Database!$S195)&lt;=0,N(Screener!$D$14)&lt;=0),0,MAX(0,1-ABS(LOG10(Database!$S195/Screener!$D$14))/0.6))</f>
        <v/>
      </c>
      <c r="K195">
        <f>IF(Database!$B195=Screener!$B$5,-999999,IF(ISNUMBER(SEARCH(","&amp;Database!$A195&amp;",",","&amp;SUBSTITUTE(Screener!$D$17," ","")&amp;",")),2000000,IF(IF(OR(Screener!$B$18="All",AND(Screener!$B$18="With A-share",(Database!$BK195="Y")),AND(Screener!$B$18="Without A-share",NOT((Database!$BK195="Y")))),1,0)=0,-999999,IF(Screener!$B$16="cornerstone overlap first",H195*100000,IF(Screener!$B$16="demand-similar first",J195*100000,0))+W_SUB*B195+W_SEC*C195*(1-B195)+W_SIZE*D195+W_PROF*E195+W_AH*F195+W_REC*G195+W_CS*H195+W_PE*I195)))+ROW()/1000000</f>
        <v/>
      </c>
      <c r="AA195">
        <f>Database!B185</f>
        <v/>
      </c>
      <c r="AB195">
        <f>Database!D185</f>
        <v/>
      </c>
      <c r="AC195">
        <f>Database!E185</f>
        <v/>
      </c>
      <c r="AD195">
        <f>Database!I185</f>
        <v/>
      </c>
      <c r="AE195">
        <f>Database!BE185</f>
        <v/>
      </c>
      <c r="AF195">
        <f>Database!BK185</f>
        <v/>
      </c>
      <c r="AG195">
        <f>Database!H185</f>
        <v/>
      </c>
      <c r="AH195">
        <f>Database!BF185</f>
        <v/>
      </c>
    </row>
    <row r="196">
      <c r="A196">
        <f>Database!B196</f>
        <v/>
      </c>
      <c r="B196">
        <f>IF(AND(Screener!$D$8&lt;&gt;"",Database!$E196=Screener!$D$8),1,0)</f>
        <v/>
      </c>
      <c r="C196">
        <f>IF(AND(Screener!$D$7&lt;&gt;"",Database!$D196=Screener!$D$7),1,0)</f>
        <v/>
      </c>
      <c r="D196">
        <f>IF(OR(N(Database!$I196)&lt;=0,N(Screener!$D$9)&lt;=0),0,MAX(0,1-ABS(LOG10(N(Database!$I196)/Screener!$D$9))/W_SIZEHW))</f>
        <v/>
      </c>
      <c r="E196">
        <f>IF(OR(Database!$BE196="",Screener!$D$10=""),0,IF(Database!$BE196=Screener!$D$10,1,0))</f>
        <v/>
      </c>
      <c r="F196">
        <f>IF(OR(Database!$BK196="",Screener!$D$11=""),0,IF(Database!$BK196=Screener!$D$11,1,0))</f>
        <v/>
      </c>
      <c r="G196">
        <f>IF(OR(Database!$H196="",N(Screener!$D$12)&lt;=0),0,MAX(0,1-(N(Screener!$D$12)-Database!$H196)/W_RECD))</f>
        <v/>
      </c>
      <c r="H196">
        <f>IF($U$1="",0,N(ISNUMBER(SEARCH($U$1,Database!$Z196&amp;""))))+IF($V$1="",0,N(ISNUMBER(SEARCH($V$1,Database!$Z196&amp;""))))+IF($W$1="",0,N(ISNUMBER(SEARCH($W$1,Database!$Z196&amp;""))))+IF($X$1="",0,N(ISNUMBER(SEARCH($X$1,Database!$Z196&amp;""))))+IF($Y$1="",0,N(ISNUMBER(SEARCH($Y$1,Database!$Z196&amp;""))))+IF(Screener!$B$17="",0,N(ISNUMBER(SEARCH(LOWER(Screener!$B$17),Database!$Z196&amp;""))))</f>
        <v/>
      </c>
      <c r="I196">
        <f>IF(OR(N(Database!$BF196)&lt;=0,N(Screener!$D$13)&lt;=0),0,MAX(0,1-ABS(LOG10(N(Database!$BF196)/Screener!$D$13))/W_PEHW))</f>
        <v/>
      </c>
      <c r="J196">
        <f>IF(OR(N(Database!$S196)&lt;=0,N(Screener!$D$14)&lt;=0),0,MAX(0,1-ABS(LOG10(Database!$S196/Screener!$D$14))/0.6))</f>
        <v/>
      </c>
      <c r="K196">
        <f>IF(Database!$B196=Screener!$B$5,-999999,IF(ISNUMBER(SEARCH(","&amp;Database!$A196&amp;",",","&amp;SUBSTITUTE(Screener!$D$17," ","")&amp;",")),2000000,IF(IF(OR(Screener!$B$18="All",AND(Screener!$B$18="With A-share",(Database!$BK196="Y")),AND(Screener!$B$18="Without A-share",NOT((Database!$BK196="Y")))),1,0)=0,-999999,IF(Screener!$B$16="cornerstone overlap first",H196*100000,IF(Screener!$B$16="demand-similar first",J196*100000,0))+W_SUB*B196+W_SEC*C196*(1-B196)+W_SIZE*D196+W_PROF*E196+W_AH*F196+W_REC*G196+W_CS*H196+W_PE*I196)))+ROW()/1000000</f>
        <v/>
      </c>
      <c r="AA196">
        <f>Database!B186</f>
        <v/>
      </c>
      <c r="AB196">
        <f>Database!D186</f>
        <v/>
      </c>
      <c r="AC196">
        <f>Database!E186</f>
        <v/>
      </c>
      <c r="AD196">
        <f>Database!I186</f>
        <v/>
      </c>
      <c r="AE196">
        <f>Database!BE186</f>
        <v/>
      </c>
      <c r="AF196">
        <f>Database!BK186</f>
        <v/>
      </c>
      <c r="AG196">
        <f>Database!H186</f>
        <v/>
      </c>
      <c r="AH196">
        <f>Database!BF186</f>
        <v/>
      </c>
    </row>
    <row r="197">
      <c r="A197">
        <f>Database!B197</f>
        <v/>
      </c>
      <c r="B197">
        <f>IF(AND(Screener!$D$8&lt;&gt;"",Database!$E197=Screener!$D$8),1,0)</f>
        <v/>
      </c>
      <c r="C197">
        <f>IF(AND(Screener!$D$7&lt;&gt;"",Database!$D197=Screener!$D$7),1,0)</f>
        <v/>
      </c>
      <c r="D197">
        <f>IF(OR(N(Database!$I197)&lt;=0,N(Screener!$D$9)&lt;=0),0,MAX(0,1-ABS(LOG10(N(Database!$I197)/Screener!$D$9))/W_SIZEHW))</f>
        <v/>
      </c>
      <c r="E197">
        <f>IF(OR(Database!$BE197="",Screener!$D$10=""),0,IF(Database!$BE197=Screener!$D$10,1,0))</f>
        <v/>
      </c>
      <c r="F197">
        <f>IF(OR(Database!$BK197="",Screener!$D$11=""),0,IF(Database!$BK197=Screener!$D$11,1,0))</f>
        <v/>
      </c>
      <c r="G197">
        <f>IF(OR(Database!$H197="",N(Screener!$D$12)&lt;=0),0,MAX(0,1-(N(Screener!$D$12)-Database!$H197)/W_RECD))</f>
        <v/>
      </c>
      <c r="H197">
        <f>IF($U$1="",0,N(ISNUMBER(SEARCH($U$1,Database!$Z197&amp;""))))+IF($V$1="",0,N(ISNUMBER(SEARCH($V$1,Database!$Z197&amp;""))))+IF($W$1="",0,N(ISNUMBER(SEARCH($W$1,Database!$Z197&amp;""))))+IF($X$1="",0,N(ISNUMBER(SEARCH($X$1,Database!$Z197&amp;""))))+IF($Y$1="",0,N(ISNUMBER(SEARCH($Y$1,Database!$Z197&amp;""))))+IF(Screener!$B$17="",0,N(ISNUMBER(SEARCH(LOWER(Screener!$B$17),Database!$Z197&amp;""))))</f>
        <v/>
      </c>
      <c r="I197">
        <f>IF(OR(N(Database!$BF197)&lt;=0,N(Screener!$D$13)&lt;=0),0,MAX(0,1-ABS(LOG10(N(Database!$BF197)/Screener!$D$13))/W_PEHW))</f>
        <v/>
      </c>
      <c r="J197">
        <f>IF(OR(N(Database!$S197)&lt;=0,N(Screener!$D$14)&lt;=0),0,MAX(0,1-ABS(LOG10(Database!$S197/Screener!$D$14))/0.6))</f>
        <v/>
      </c>
      <c r="K197">
        <f>IF(Database!$B197=Screener!$B$5,-999999,IF(ISNUMBER(SEARCH(","&amp;Database!$A197&amp;",",","&amp;SUBSTITUTE(Screener!$D$17," ","")&amp;",")),2000000,IF(IF(OR(Screener!$B$18="All",AND(Screener!$B$18="With A-share",(Database!$BK197="Y")),AND(Screener!$B$18="Without A-share",NOT((Database!$BK197="Y")))),1,0)=0,-999999,IF(Screener!$B$16="cornerstone overlap first",H197*100000,IF(Screener!$B$16="demand-similar first",J197*100000,0))+W_SUB*B197+W_SEC*C197*(1-B197)+W_SIZE*D197+W_PROF*E197+W_AH*F197+W_REC*G197+W_CS*H197+W_PE*I197)))+ROW()/1000000</f>
        <v/>
      </c>
      <c r="AA197">
        <f>Database!B187</f>
        <v/>
      </c>
      <c r="AB197">
        <f>Database!D187</f>
        <v/>
      </c>
      <c r="AC197">
        <f>Database!E187</f>
        <v/>
      </c>
      <c r="AD197">
        <f>Database!I187</f>
        <v/>
      </c>
      <c r="AE197">
        <f>Database!BE187</f>
        <v/>
      </c>
      <c r="AF197">
        <f>Database!BK187</f>
        <v/>
      </c>
      <c r="AG197">
        <f>Database!H187</f>
        <v/>
      </c>
      <c r="AH197">
        <f>Database!BF187</f>
        <v/>
      </c>
    </row>
    <row r="198">
      <c r="A198">
        <f>Database!B198</f>
        <v/>
      </c>
      <c r="B198">
        <f>IF(AND(Screener!$D$8&lt;&gt;"",Database!$E198=Screener!$D$8),1,0)</f>
        <v/>
      </c>
      <c r="C198">
        <f>IF(AND(Screener!$D$7&lt;&gt;"",Database!$D198=Screener!$D$7),1,0)</f>
        <v/>
      </c>
      <c r="D198">
        <f>IF(OR(N(Database!$I198)&lt;=0,N(Screener!$D$9)&lt;=0),0,MAX(0,1-ABS(LOG10(N(Database!$I198)/Screener!$D$9))/W_SIZEHW))</f>
        <v/>
      </c>
      <c r="E198">
        <f>IF(OR(Database!$BE198="",Screener!$D$10=""),0,IF(Database!$BE198=Screener!$D$10,1,0))</f>
        <v/>
      </c>
      <c r="F198">
        <f>IF(OR(Database!$BK198="",Screener!$D$11=""),0,IF(Database!$BK198=Screener!$D$11,1,0))</f>
        <v/>
      </c>
      <c r="G198">
        <f>IF(OR(Database!$H198="",N(Screener!$D$12)&lt;=0),0,MAX(0,1-(N(Screener!$D$12)-Database!$H198)/W_RECD))</f>
        <v/>
      </c>
      <c r="H198">
        <f>IF($U$1="",0,N(ISNUMBER(SEARCH($U$1,Database!$Z198&amp;""))))+IF($V$1="",0,N(ISNUMBER(SEARCH($V$1,Database!$Z198&amp;""))))+IF($W$1="",0,N(ISNUMBER(SEARCH($W$1,Database!$Z198&amp;""))))+IF($X$1="",0,N(ISNUMBER(SEARCH($X$1,Database!$Z198&amp;""))))+IF($Y$1="",0,N(ISNUMBER(SEARCH($Y$1,Database!$Z198&amp;""))))+IF(Screener!$B$17="",0,N(ISNUMBER(SEARCH(LOWER(Screener!$B$17),Database!$Z198&amp;""))))</f>
        <v/>
      </c>
      <c r="I198">
        <f>IF(OR(N(Database!$BF198)&lt;=0,N(Screener!$D$13)&lt;=0),0,MAX(0,1-ABS(LOG10(N(Database!$BF198)/Screener!$D$13))/W_PEHW))</f>
        <v/>
      </c>
      <c r="J198">
        <f>IF(OR(N(Database!$S198)&lt;=0,N(Screener!$D$14)&lt;=0),0,MAX(0,1-ABS(LOG10(Database!$S198/Screener!$D$14))/0.6))</f>
        <v/>
      </c>
      <c r="K198">
        <f>IF(Database!$B198=Screener!$B$5,-999999,IF(ISNUMBER(SEARCH(","&amp;Database!$A198&amp;",",","&amp;SUBSTITUTE(Screener!$D$17," ","")&amp;",")),2000000,IF(IF(OR(Screener!$B$18="All",AND(Screener!$B$18="With A-share",(Database!$BK198="Y")),AND(Screener!$B$18="Without A-share",NOT((Database!$BK198="Y")))),1,0)=0,-999999,IF(Screener!$B$16="cornerstone overlap first",H198*100000,IF(Screener!$B$16="demand-similar first",J198*100000,0))+W_SUB*B198+W_SEC*C198*(1-B198)+W_SIZE*D198+W_PROF*E198+W_AH*F198+W_REC*G198+W_CS*H198+W_PE*I198)))+ROW()/1000000</f>
        <v/>
      </c>
      <c r="AA198">
        <f>Database!B188</f>
        <v/>
      </c>
      <c r="AB198">
        <f>Database!D188</f>
        <v/>
      </c>
      <c r="AC198">
        <f>Database!E188</f>
        <v/>
      </c>
      <c r="AD198">
        <f>Database!I188</f>
        <v/>
      </c>
      <c r="AE198">
        <f>Database!BE188</f>
        <v/>
      </c>
      <c r="AF198">
        <f>Database!BK188</f>
        <v/>
      </c>
      <c r="AG198">
        <f>Database!H188</f>
        <v/>
      </c>
      <c r="AH198">
        <f>Database!BF188</f>
        <v/>
      </c>
    </row>
    <row r="199">
      <c r="A199">
        <f>Database!B199</f>
        <v/>
      </c>
      <c r="B199">
        <f>IF(AND(Screener!$D$8&lt;&gt;"",Database!$E199=Screener!$D$8),1,0)</f>
        <v/>
      </c>
      <c r="C199">
        <f>IF(AND(Screener!$D$7&lt;&gt;"",Database!$D199=Screener!$D$7),1,0)</f>
        <v/>
      </c>
      <c r="D199">
        <f>IF(OR(N(Database!$I199)&lt;=0,N(Screener!$D$9)&lt;=0),0,MAX(0,1-ABS(LOG10(N(Database!$I199)/Screener!$D$9))/W_SIZEHW))</f>
        <v/>
      </c>
      <c r="E199">
        <f>IF(OR(Database!$BE199="",Screener!$D$10=""),0,IF(Database!$BE199=Screener!$D$10,1,0))</f>
        <v/>
      </c>
      <c r="F199">
        <f>IF(OR(Database!$BK199="",Screener!$D$11=""),0,IF(Database!$BK199=Screener!$D$11,1,0))</f>
        <v/>
      </c>
      <c r="G199">
        <f>IF(OR(Database!$H199="",N(Screener!$D$12)&lt;=0),0,MAX(0,1-(N(Screener!$D$12)-Database!$H199)/W_RECD))</f>
        <v/>
      </c>
      <c r="H199">
        <f>IF($U$1="",0,N(ISNUMBER(SEARCH($U$1,Database!$Z199&amp;""))))+IF($V$1="",0,N(ISNUMBER(SEARCH($V$1,Database!$Z199&amp;""))))+IF($W$1="",0,N(ISNUMBER(SEARCH($W$1,Database!$Z199&amp;""))))+IF($X$1="",0,N(ISNUMBER(SEARCH($X$1,Database!$Z199&amp;""))))+IF($Y$1="",0,N(ISNUMBER(SEARCH($Y$1,Database!$Z199&amp;""))))+IF(Screener!$B$17="",0,N(ISNUMBER(SEARCH(LOWER(Screener!$B$17),Database!$Z199&amp;""))))</f>
        <v/>
      </c>
      <c r="I199">
        <f>IF(OR(N(Database!$BF199)&lt;=0,N(Screener!$D$13)&lt;=0),0,MAX(0,1-ABS(LOG10(N(Database!$BF199)/Screener!$D$13))/W_PEHW))</f>
        <v/>
      </c>
      <c r="J199">
        <f>IF(OR(N(Database!$S199)&lt;=0,N(Screener!$D$14)&lt;=0),0,MAX(0,1-ABS(LOG10(Database!$S199/Screener!$D$14))/0.6))</f>
        <v/>
      </c>
      <c r="K199">
        <f>IF(Database!$B199=Screener!$B$5,-999999,IF(ISNUMBER(SEARCH(","&amp;Database!$A199&amp;",",","&amp;SUBSTITUTE(Screener!$D$17," ","")&amp;",")),2000000,IF(IF(OR(Screener!$B$18="All",AND(Screener!$B$18="With A-share",(Database!$BK199="Y")),AND(Screener!$B$18="Without A-share",NOT((Database!$BK199="Y")))),1,0)=0,-999999,IF(Screener!$B$16="cornerstone overlap first",H199*100000,IF(Screener!$B$16="demand-similar first",J199*100000,0))+W_SUB*B199+W_SEC*C199*(1-B199)+W_SIZE*D199+W_PROF*E199+W_AH*F199+W_REC*G199+W_CS*H199+W_PE*I199)))+ROW()/1000000</f>
        <v/>
      </c>
      <c r="AA199">
        <f>Database!B189</f>
        <v/>
      </c>
      <c r="AB199">
        <f>Database!D189</f>
        <v/>
      </c>
      <c r="AC199">
        <f>Database!E189</f>
        <v/>
      </c>
      <c r="AD199">
        <f>Database!I189</f>
        <v/>
      </c>
      <c r="AE199">
        <f>Database!BE189</f>
        <v/>
      </c>
      <c r="AF199">
        <f>Database!BK189</f>
        <v/>
      </c>
      <c r="AG199">
        <f>Database!H189</f>
        <v/>
      </c>
      <c r="AH199">
        <f>Database!BF189</f>
        <v/>
      </c>
    </row>
    <row r="200">
      <c r="A200">
        <f>Database!B200</f>
        <v/>
      </c>
      <c r="B200">
        <f>IF(AND(Screener!$D$8&lt;&gt;"",Database!$E200=Screener!$D$8),1,0)</f>
        <v/>
      </c>
      <c r="C200">
        <f>IF(AND(Screener!$D$7&lt;&gt;"",Database!$D200=Screener!$D$7),1,0)</f>
        <v/>
      </c>
      <c r="D200">
        <f>IF(OR(N(Database!$I200)&lt;=0,N(Screener!$D$9)&lt;=0),0,MAX(0,1-ABS(LOG10(N(Database!$I200)/Screener!$D$9))/W_SIZEHW))</f>
        <v/>
      </c>
      <c r="E200">
        <f>IF(OR(Database!$BE200="",Screener!$D$10=""),0,IF(Database!$BE200=Screener!$D$10,1,0))</f>
        <v/>
      </c>
      <c r="F200">
        <f>IF(OR(Database!$BK200="",Screener!$D$11=""),0,IF(Database!$BK200=Screener!$D$11,1,0))</f>
        <v/>
      </c>
      <c r="G200">
        <f>IF(OR(Database!$H200="",N(Screener!$D$12)&lt;=0),0,MAX(0,1-(N(Screener!$D$12)-Database!$H200)/W_RECD))</f>
        <v/>
      </c>
      <c r="H200">
        <f>IF($U$1="",0,N(ISNUMBER(SEARCH($U$1,Database!$Z200&amp;""))))+IF($V$1="",0,N(ISNUMBER(SEARCH($V$1,Database!$Z200&amp;""))))+IF($W$1="",0,N(ISNUMBER(SEARCH($W$1,Database!$Z200&amp;""))))+IF($X$1="",0,N(ISNUMBER(SEARCH($X$1,Database!$Z200&amp;""))))+IF($Y$1="",0,N(ISNUMBER(SEARCH($Y$1,Database!$Z200&amp;""))))+IF(Screener!$B$17="",0,N(ISNUMBER(SEARCH(LOWER(Screener!$B$17),Database!$Z200&amp;""))))</f>
        <v/>
      </c>
      <c r="I200">
        <f>IF(OR(N(Database!$BF200)&lt;=0,N(Screener!$D$13)&lt;=0),0,MAX(0,1-ABS(LOG10(N(Database!$BF200)/Screener!$D$13))/W_PEHW))</f>
        <v/>
      </c>
      <c r="J200">
        <f>IF(OR(N(Database!$S200)&lt;=0,N(Screener!$D$14)&lt;=0),0,MAX(0,1-ABS(LOG10(Database!$S200/Screener!$D$14))/0.6))</f>
        <v/>
      </c>
      <c r="K200">
        <f>IF(Database!$B200=Screener!$B$5,-999999,IF(ISNUMBER(SEARCH(","&amp;Database!$A200&amp;",",","&amp;SUBSTITUTE(Screener!$D$17," ","")&amp;",")),2000000,IF(IF(OR(Screener!$B$18="All",AND(Screener!$B$18="With A-share",(Database!$BK200="Y")),AND(Screener!$B$18="Without A-share",NOT((Database!$BK200="Y")))),1,0)=0,-999999,IF(Screener!$B$16="cornerstone overlap first",H200*100000,IF(Screener!$B$16="demand-similar first",J200*100000,0))+W_SUB*B200+W_SEC*C200*(1-B200)+W_SIZE*D200+W_PROF*E200+W_AH*F200+W_REC*G200+W_CS*H200+W_PE*I200)))+ROW()/1000000</f>
        <v/>
      </c>
      <c r="AA200">
        <f>Database!B190</f>
        <v/>
      </c>
      <c r="AB200">
        <f>Database!D190</f>
        <v/>
      </c>
      <c r="AC200">
        <f>Database!E190</f>
        <v/>
      </c>
      <c r="AD200">
        <f>Database!I190</f>
        <v/>
      </c>
      <c r="AE200">
        <f>Database!BE190</f>
        <v/>
      </c>
      <c r="AF200">
        <f>Database!BK190</f>
        <v/>
      </c>
      <c r="AG200">
        <f>Database!H190</f>
        <v/>
      </c>
      <c r="AH200">
        <f>Database!BF190</f>
        <v/>
      </c>
    </row>
    <row r="201">
      <c r="A201">
        <f>Database!B201</f>
        <v/>
      </c>
      <c r="B201">
        <f>IF(AND(Screener!$D$8&lt;&gt;"",Database!$E201=Screener!$D$8),1,0)</f>
        <v/>
      </c>
      <c r="C201">
        <f>IF(AND(Screener!$D$7&lt;&gt;"",Database!$D201=Screener!$D$7),1,0)</f>
        <v/>
      </c>
      <c r="D201">
        <f>IF(OR(N(Database!$I201)&lt;=0,N(Screener!$D$9)&lt;=0),0,MAX(0,1-ABS(LOG10(N(Database!$I201)/Screener!$D$9))/W_SIZEHW))</f>
        <v/>
      </c>
      <c r="E201">
        <f>IF(OR(Database!$BE201="",Screener!$D$10=""),0,IF(Database!$BE201=Screener!$D$10,1,0))</f>
        <v/>
      </c>
      <c r="F201">
        <f>IF(OR(Database!$BK201="",Screener!$D$11=""),0,IF(Database!$BK201=Screener!$D$11,1,0))</f>
        <v/>
      </c>
      <c r="G201">
        <f>IF(OR(Database!$H201="",N(Screener!$D$12)&lt;=0),0,MAX(0,1-(N(Screener!$D$12)-Database!$H201)/W_RECD))</f>
        <v/>
      </c>
      <c r="H201">
        <f>IF($U$1="",0,N(ISNUMBER(SEARCH($U$1,Database!$Z201&amp;""))))+IF($V$1="",0,N(ISNUMBER(SEARCH($V$1,Database!$Z201&amp;""))))+IF($W$1="",0,N(ISNUMBER(SEARCH($W$1,Database!$Z201&amp;""))))+IF($X$1="",0,N(ISNUMBER(SEARCH($X$1,Database!$Z201&amp;""))))+IF($Y$1="",0,N(ISNUMBER(SEARCH($Y$1,Database!$Z201&amp;""))))+IF(Screener!$B$17="",0,N(ISNUMBER(SEARCH(LOWER(Screener!$B$17),Database!$Z201&amp;""))))</f>
        <v/>
      </c>
      <c r="I201">
        <f>IF(OR(N(Database!$BF201)&lt;=0,N(Screener!$D$13)&lt;=0),0,MAX(0,1-ABS(LOG10(N(Database!$BF201)/Screener!$D$13))/W_PEHW))</f>
        <v/>
      </c>
      <c r="J201">
        <f>IF(OR(N(Database!$S201)&lt;=0,N(Screener!$D$14)&lt;=0),0,MAX(0,1-ABS(LOG10(Database!$S201/Screener!$D$14))/0.6))</f>
        <v/>
      </c>
      <c r="K201">
        <f>IF(Database!$B201=Screener!$B$5,-999999,IF(ISNUMBER(SEARCH(","&amp;Database!$A201&amp;",",","&amp;SUBSTITUTE(Screener!$D$17," ","")&amp;",")),2000000,IF(IF(OR(Screener!$B$18="All",AND(Screener!$B$18="With A-share",(Database!$BK201="Y")),AND(Screener!$B$18="Without A-share",NOT((Database!$BK201="Y")))),1,0)=0,-999999,IF(Screener!$B$16="cornerstone overlap first",H201*100000,IF(Screener!$B$16="demand-similar first",J201*100000,0))+W_SUB*B201+W_SEC*C201*(1-B201)+W_SIZE*D201+W_PROF*E201+W_AH*F201+W_REC*G201+W_CS*H201+W_PE*I201)))+ROW()/1000000</f>
        <v/>
      </c>
      <c r="AA201">
        <f>Database!B191</f>
        <v/>
      </c>
      <c r="AB201">
        <f>Database!D191</f>
        <v/>
      </c>
      <c r="AC201">
        <f>Database!E191</f>
        <v/>
      </c>
      <c r="AD201">
        <f>Database!I191</f>
        <v/>
      </c>
      <c r="AE201">
        <f>Database!BE191</f>
        <v/>
      </c>
      <c r="AF201">
        <f>Database!BK191</f>
        <v/>
      </c>
      <c r="AG201">
        <f>Database!H191</f>
        <v/>
      </c>
      <c r="AH201">
        <f>Database!BF191</f>
        <v/>
      </c>
    </row>
    <row r="202">
      <c r="A202">
        <f>Database!B202</f>
        <v/>
      </c>
      <c r="B202">
        <f>IF(AND(Screener!$D$8&lt;&gt;"",Database!$E202=Screener!$D$8),1,0)</f>
        <v/>
      </c>
      <c r="C202">
        <f>IF(AND(Screener!$D$7&lt;&gt;"",Database!$D202=Screener!$D$7),1,0)</f>
        <v/>
      </c>
      <c r="D202">
        <f>IF(OR(N(Database!$I202)&lt;=0,N(Screener!$D$9)&lt;=0),0,MAX(0,1-ABS(LOG10(N(Database!$I202)/Screener!$D$9))/W_SIZEHW))</f>
        <v/>
      </c>
      <c r="E202">
        <f>IF(OR(Database!$BE202="",Screener!$D$10=""),0,IF(Database!$BE202=Screener!$D$10,1,0))</f>
        <v/>
      </c>
      <c r="F202">
        <f>IF(OR(Database!$BK202="",Screener!$D$11=""),0,IF(Database!$BK202=Screener!$D$11,1,0))</f>
        <v/>
      </c>
      <c r="G202">
        <f>IF(OR(Database!$H202="",N(Screener!$D$12)&lt;=0),0,MAX(0,1-(N(Screener!$D$12)-Database!$H202)/W_RECD))</f>
        <v/>
      </c>
      <c r="H202">
        <f>IF($U$1="",0,N(ISNUMBER(SEARCH($U$1,Database!$Z202&amp;""))))+IF($V$1="",0,N(ISNUMBER(SEARCH($V$1,Database!$Z202&amp;""))))+IF($W$1="",0,N(ISNUMBER(SEARCH($W$1,Database!$Z202&amp;""))))+IF($X$1="",0,N(ISNUMBER(SEARCH($X$1,Database!$Z202&amp;""))))+IF($Y$1="",0,N(ISNUMBER(SEARCH($Y$1,Database!$Z202&amp;""))))+IF(Screener!$B$17="",0,N(ISNUMBER(SEARCH(LOWER(Screener!$B$17),Database!$Z202&amp;""))))</f>
        <v/>
      </c>
      <c r="I202">
        <f>IF(OR(N(Database!$BF202)&lt;=0,N(Screener!$D$13)&lt;=0),0,MAX(0,1-ABS(LOG10(N(Database!$BF202)/Screener!$D$13))/W_PEHW))</f>
        <v/>
      </c>
      <c r="J202">
        <f>IF(OR(N(Database!$S202)&lt;=0,N(Screener!$D$14)&lt;=0),0,MAX(0,1-ABS(LOG10(Database!$S202/Screener!$D$14))/0.6))</f>
        <v/>
      </c>
      <c r="K202">
        <f>IF(Database!$B202=Screener!$B$5,-999999,IF(ISNUMBER(SEARCH(","&amp;Database!$A202&amp;",",","&amp;SUBSTITUTE(Screener!$D$17," ","")&amp;",")),2000000,IF(IF(OR(Screener!$B$18="All",AND(Screener!$B$18="With A-share",(Database!$BK202="Y")),AND(Screener!$B$18="Without A-share",NOT((Database!$BK202="Y")))),1,0)=0,-999999,IF(Screener!$B$16="cornerstone overlap first",H202*100000,IF(Screener!$B$16="demand-similar first",J202*100000,0))+W_SUB*B202+W_SEC*C202*(1-B202)+W_SIZE*D202+W_PROF*E202+W_AH*F202+W_REC*G202+W_CS*H202+W_PE*I202)))+ROW()/1000000</f>
        <v/>
      </c>
      <c r="AA202">
        <f>Database!B192</f>
        <v/>
      </c>
      <c r="AB202">
        <f>Database!D192</f>
        <v/>
      </c>
      <c r="AC202">
        <f>Database!E192</f>
        <v/>
      </c>
      <c r="AD202">
        <f>Database!I192</f>
        <v/>
      </c>
      <c r="AE202">
        <f>Database!BE192</f>
        <v/>
      </c>
      <c r="AF202">
        <f>Database!BK192</f>
        <v/>
      </c>
      <c r="AG202">
        <f>Database!H192</f>
        <v/>
      </c>
      <c r="AH202">
        <f>Database!BF192</f>
        <v/>
      </c>
    </row>
    <row r="203">
      <c r="A203">
        <f>Database!B203</f>
        <v/>
      </c>
      <c r="B203">
        <f>IF(AND(Screener!$D$8&lt;&gt;"",Database!$E203=Screener!$D$8),1,0)</f>
        <v/>
      </c>
      <c r="C203">
        <f>IF(AND(Screener!$D$7&lt;&gt;"",Database!$D203=Screener!$D$7),1,0)</f>
        <v/>
      </c>
      <c r="D203">
        <f>IF(OR(N(Database!$I203)&lt;=0,N(Screener!$D$9)&lt;=0),0,MAX(0,1-ABS(LOG10(N(Database!$I203)/Screener!$D$9))/W_SIZEHW))</f>
        <v/>
      </c>
      <c r="E203">
        <f>IF(OR(Database!$BE203="",Screener!$D$10=""),0,IF(Database!$BE203=Screener!$D$10,1,0))</f>
        <v/>
      </c>
      <c r="F203">
        <f>IF(OR(Database!$BK203="",Screener!$D$11=""),0,IF(Database!$BK203=Screener!$D$11,1,0))</f>
        <v/>
      </c>
      <c r="G203">
        <f>IF(OR(Database!$H203="",N(Screener!$D$12)&lt;=0),0,MAX(0,1-(N(Screener!$D$12)-Database!$H203)/W_RECD))</f>
        <v/>
      </c>
      <c r="H203">
        <f>IF($U$1="",0,N(ISNUMBER(SEARCH($U$1,Database!$Z203&amp;""))))+IF($V$1="",0,N(ISNUMBER(SEARCH($V$1,Database!$Z203&amp;""))))+IF($W$1="",0,N(ISNUMBER(SEARCH($W$1,Database!$Z203&amp;""))))+IF($X$1="",0,N(ISNUMBER(SEARCH($X$1,Database!$Z203&amp;""))))+IF($Y$1="",0,N(ISNUMBER(SEARCH($Y$1,Database!$Z203&amp;""))))+IF(Screener!$B$17="",0,N(ISNUMBER(SEARCH(LOWER(Screener!$B$17),Database!$Z203&amp;""))))</f>
        <v/>
      </c>
      <c r="I203">
        <f>IF(OR(N(Database!$BF203)&lt;=0,N(Screener!$D$13)&lt;=0),0,MAX(0,1-ABS(LOG10(N(Database!$BF203)/Screener!$D$13))/W_PEHW))</f>
        <v/>
      </c>
      <c r="J203">
        <f>IF(OR(N(Database!$S203)&lt;=0,N(Screener!$D$14)&lt;=0),0,MAX(0,1-ABS(LOG10(Database!$S203/Screener!$D$14))/0.6))</f>
        <v/>
      </c>
      <c r="K203">
        <f>IF(Database!$B203=Screener!$B$5,-999999,IF(ISNUMBER(SEARCH(","&amp;Database!$A203&amp;",",","&amp;SUBSTITUTE(Screener!$D$17," ","")&amp;",")),2000000,IF(IF(OR(Screener!$B$18="All",AND(Screener!$B$18="With A-share",(Database!$BK203="Y")),AND(Screener!$B$18="Without A-share",NOT((Database!$BK203="Y")))),1,0)=0,-999999,IF(Screener!$B$16="cornerstone overlap first",H203*100000,IF(Screener!$B$16="demand-similar first",J203*100000,0))+W_SUB*B203+W_SEC*C203*(1-B203)+W_SIZE*D203+W_PROF*E203+W_AH*F203+W_REC*G203+W_CS*H203+W_PE*I203)))+ROW()/1000000</f>
        <v/>
      </c>
      <c r="AA203">
        <f>Database!B193</f>
        <v/>
      </c>
      <c r="AB203">
        <f>Database!D193</f>
        <v/>
      </c>
      <c r="AC203">
        <f>Database!E193</f>
        <v/>
      </c>
      <c r="AD203">
        <f>Database!I193</f>
        <v/>
      </c>
      <c r="AE203">
        <f>Database!BE193</f>
        <v/>
      </c>
      <c r="AF203">
        <f>Database!BK193</f>
        <v/>
      </c>
      <c r="AG203">
        <f>Database!H193</f>
        <v/>
      </c>
      <c r="AH203">
        <f>Database!BF193</f>
        <v/>
      </c>
    </row>
    <row r="204">
      <c r="A204">
        <f>Database!B204</f>
        <v/>
      </c>
      <c r="B204">
        <f>IF(AND(Screener!$D$8&lt;&gt;"",Database!$E204=Screener!$D$8),1,0)</f>
        <v/>
      </c>
      <c r="C204">
        <f>IF(AND(Screener!$D$7&lt;&gt;"",Database!$D204=Screener!$D$7),1,0)</f>
        <v/>
      </c>
      <c r="D204">
        <f>IF(OR(N(Database!$I204)&lt;=0,N(Screener!$D$9)&lt;=0),0,MAX(0,1-ABS(LOG10(N(Database!$I204)/Screener!$D$9))/W_SIZEHW))</f>
        <v/>
      </c>
      <c r="E204">
        <f>IF(OR(Database!$BE204="",Screener!$D$10=""),0,IF(Database!$BE204=Screener!$D$10,1,0))</f>
        <v/>
      </c>
      <c r="F204">
        <f>IF(OR(Database!$BK204="",Screener!$D$11=""),0,IF(Database!$BK204=Screener!$D$11,1,0))</f>
        <v/>
      </c>
      <c r="G204">
        <f>IF(OR(Database!$H204="",N(Screener!$D$12)&lt;=0),0,MAX(0,1-(N(Screener!$D$12)-Database!$H204)/W_RECD))</f>
        <v/>
      </c>
      <c r="H204">
        <f>IF($U$1="",0,N(ISNUMBER(SEARCH($U$1,Database!$Z204&amp;""))))+IF($V$1="",0,N(ISNUMBER(SEARCH($V$1,Database!$Z204&amp;""))))+IF($W$1="",0,N(ISNUMBER(SEARCH($W$1,Database!$Z204&amp;""))))+IF($X$1="",0,N(ISNUMBER(SEARCH($X$1,Database!$Z204&amp;""))))+IF($Y$1="",0,N(ISNUMBER(SEARCH($Y$1,Database!$Z204&amp;""))))+IF(Screener!$B$17="",0,N(ISNUMBER(SEARCH(LOWER(Screener!$B$17),Database!$Z204&amp;""))))</f>
        <v/>
      </c>
      <c r="I204">
        <f>IF(OR(N(Database!$BF204)&lt;=0,N(Screener!$D$13)&lt;=0),0,MAX(0,1-ABS(LOG10(N(Database!$BF204)/Screener!$D$13))/W_PEHW))</f>
        <v/>
      </c>
      <c r="J204">
        <f>IF(OR(N(Database!$S204)&lt;=0,N(Screener!$D$14)&lt;=0),0,MAX(0,1-ABS(LOG10(Database!$S204/Screener!$D$14))/0.6))</f>
        <v/>
      </c>
      <c r="K204">
        <f>IF(Database!$B204=Screener!$B$5,-999999,IF(ISNUMBER(SEARCH(","&amp;Database!$A204&amp;",",","&amp;SUBSTITUTE(Screener!$D$17," ","")&amp;",")),2000000,IF(IF(OR(Screener!$B$18="All",AND(Screener!$B$18="With A-share",(Database!$BK204="Y")),AND(Screener!$B$18="Without A-share",NOT((Database!$BK204="Y")))),1,0)=0,-999999,IF(Screener!$B$16="cornerstone overlap first",H204*100000,IF(Screener!$B$16="demand-similar first",J204*100000,0))+W_SUB*B204+W_SEC*C204*(1-B204)+W_SIZE*D204+W_PROF*E204+W_AH*F204+W_REC*G204+W_CS*H204+W_PE*I204)))+ROW()/1000000</f>
        <v/>
      </c>
      <c r="AA204">
        <f>Database!B194</f>
        <v/>
      </c>
      <c r="AB204">
        <f>Database!D194</f>
        <v/>
      </c>
      <c r="AC204">
        <f>Database!E194</f>
        <v/>
      </c>
      <c r="AD204">
        <f>Database!I194</f>
        <v/>
      </c>
      <c r="AE204">
        <f>Database!BE194</f>
        <v/>
      </c>
      <c r="AF204">
        <f>Database!BK194</f>
        <v/>
      </c>
      <c r="AG204">
        <f>Database!H194</f>
        <v/>
      </c>
      <c r="AH204">
        <f>Database!BF194</f>
        <v/>
      </c>
    </row>
    <row r="205">
      <c r="A205">
        <f>Database!B205</f>
        <v/>
      </c>
      <c r="B205">
        <f>IF(AND(Screener!$D$8&lt;&gt;"",Database!$E205=Screener!$D$8),1,0)</f>
        <v/>
      </c>
      <c r="C205">
        <f>IF(AND(Screener!$D$7&lt;&gt;"",Database!$D205=Screener!$D$7),1,0)</f>
        <v/>
      </c>
      <c r="D205">
        <f>IF(OR(N(Database!$I205)&lt;=0,N(Screener!$D$9)&lt;=0),0,MAX(0,1-ABS(LOG10(N(Database!$I205)/Screener!$D$9))/W_SIZEHW))</f>
        <v/>
      </c>
      <c r="E205">
        <f>IF(OR(Database!$BE205="",Screener!$D$10=""),0,IF(Database!$BE205=Screener!$D$10,1,0))</f>
        <v/>
      </c>
      <c r="F205">
        <f>IF(OR(Database!$BK205="",Screener!$D$11=""),0,IF(Database!$BK205=Screener!$D$11,1,0))</f>
        <v/>
      </c>
      <c r="G205">
        <f>IF(OR(Database!$H205="",N(Screener!$D$12)&lt;=0),0,MAX(0,1-(N(Screener!$D$12)-Database!$H205)/W_RECD))</f>
        <v/>
      </c>
      <c r="H205">
        <f>IF($U$1="",0,N(ISNUMBER(SEARCH($U$1,Database!$Z205&amp;""))))+IF($V$1="",0,N(ISNUMBER(SEARCH($V$1,Database!$Z205&amp;""))))+IF($W$1="",0,N(ISNUMBER(SEARCH($W$1,Database!$Z205&amp;""))))+IF($X$1="",0,N(ISNUMBER(SEARCH($X$1,Database!$Z205&amp;""))))+IF($Y$1="",0,N(ISNUMBER(SEARCH($Y$1,Database!$Z205&amp;""))))+IF(Screener!$B$17="",0,N(ISNUMBER(SEARCH(LOWER(Screener!$B$17),Database!$Z205&amp;""))))</f>
        <v/>
      </c>
      <c r="I205">
        <f>IF(OR(N(Database!$BF205)&lt;=0,N(Screener!$D$13)&lt;=0),0,MAX(0,1-ABS(LOG10(N(Database!$BF205)/Screener!$D$13))/W_PEHW))</f>
        <v/>
      </c>
      <c r="J205">
        <f>IF(OR(N(Database!$S205)&lt;=0,N(Screener!$D$14)&lt;=0),0,MAX(0,1-ABS(LOG10(Database!$S205/Screener!$D$14))/0.6))</f>
        <v/>
      </c>
      <c r="K205">
        <f>IF(Database!$B205=Screener!$B$5,-999999,IF(ISNUMBER(SEARCH(","&amp;Database!$A205&amp;",",","&amp;SUBSTITUTE(Screener!$D$17," ","")&amp;",")),2000000,IF(IF(OR(Screener!$B$18="All",AND(Screener!$B$18="With A-share",(Database!$BK205="Y")),AND(Screener!$B$18="Without A-share",NOT((Database!$BK205="Y")))),1,0)=0,-999999,IF(Screener!$B$16="cornerstone overlap first",H205*100000,IF(Screener!$B$16="demand-similar first",J205*100000,0))+W_SUB*B205+W_SEC*C205*(1-B205)+W_SIZE*D205+W_PROF*E205+W_AH*F205+W_REC*G205+W_CS*H205+W_PE*I205)))+ROW()/1000000</f>
        <v/>
      </c>
      <c r="AA205">
        <f>Database!B195</f>
        <v/>
      </c>
      <c r="AB205">
        <f>Database!D195</f>
        <v/>
      </c>
      <c r="AC205">
        <f>Database!E195</f>
        <v/>
      </c>
      <c r="AD205">
        <f>Database!I195</f>
        <v/>
      </c>
      <c r="AE205">
        <f>Database!BE195</f>
        <v/>
      </c>
      <c r="AF205">
        <f>Database!BK195</f>
        <v/>
      </c>
      <c r="AG205">
        <f>Database!H195</f>
        <v/>
      </c>
      <c r="AH205">
        <f>Database!BF195</f>
        <v/>
      </c>
    </row>
    <row r="206">
      <c r="A206">
        <f>Database!B206</f>
        <v/>
      </c>
      <c r="B206">
        <f>IF(AND(Screener!$D$8&lt;&gt;"",Database!$E206=Screener!$D$8),1,0)</f>
        <v/>
      </c>
      <c r="C206">
        <f>IF(AND(Screener!$D$7&lt;&gt;"",Database!$D206=Screener!$D$7),1,0)</f>
        <v/>
      </c>
      <c r="D206">
        <f>IF(OR(N(Database!$I206)&lt;=0,N(Screener!$D$9)&lt;=0),0,MAX(0,1-ABS(LOG10(N(Database!$I206)/Screener!$D$9))/W_SIZEHW))</f>
        <v/>
      </c>
      <c r="E206">
        <f>IF(OR(Database!$BE206="",Screener!$D$10=""),0,IF(Database!$BE206=Screener!$D$10,1,0))</f>
        <v/>
      </c>
      <c r="F206">
        <f>IF(OR(Database!$BK206="",Screener!$D$11=""),0,IF(Database!$BK206=Screener!$D$11,1,0))</f>
        <v/>
      </c>
      <c r="G206">
        <f>IF(OR(Database!$H206="",N(Screener!$D$12)&lt;=0),0,MAX(0,1-(N(Screener!$D$12)-Database!$H206)/W_RECD))</f>
        <v/>
      </c>
      <c r="H206">
        <f>IF($U$1="",0,N(ISNUMBER(SEARCH($U$1,Database!$Z206&amp;""))))+IF($V$1="",0,N(ISNUMBER(SEARCH($V$1,Database!$Z206&amp;""))))+IF($W$1="",0,N(ISNUMBER(SEARCH($W$1,Database!$Z206&amp;""))))+IF($X$1="",0,N(ISNUMBER(SEARCH($X$1,Database!$Z206&amp;""))))+IF($Y$1="",0,N(ISNUMBER(SEARCH($Y$1,Database!$Z206&amp;""))))+IF(Screener!$B$17="",0,N(ISNUMBER(SEARCH(LOWER(Screener!$B$17),Database!$Z206&amp;""))))</f>
        <v/>
      </c>
      <c r="I206">
        <f>IF(OR(N(Database!$BF206)&lt;=0,N(Screener!$D$13)&lt;=0),0,MAX(0,1-ABS(LOG10(N(Database!$BF206)/Screener!$D$13))/W_PEHW))</f>
        <v/>
      </c>
      <c r="J206">
        <f>IF(OR(N(Database!$S206)&lt;=0,N(Screener!$D$14)&lt;=0),0,MAX(0,1-ABS(LOG10(Database!$S206/Screener!$D$14))/0.6))</f>
        <v/>
      </c>
      <c r="K206">
        <f>IF(Database!$B206=Screener!$B$5,-999999,IF(ISNUMBER(SEARCH(","&amp;Database!$A206&amp;",",","&amp;SUBSTITUTE(Screener!$D$17," ","")&amp;",")),2000000,IF(IF(OR(Screener!$B$18="All",AND(Screener!$B$18="With A-share",(Database!$BK206="Y")),AND(Screener!$B$18="Without A-share",NOT((Database!$BK206="Y")))),1,0)=0,-999999,IF(Screener!$B$16="cornerstone overlap first",H206*100000,IF(Screener!$B$16="demand-similar first",J206*100000,0))+W_SUB*B206+W_SEC*C206*(1-B206)+W_SIZE*D206+W_PROF*E206+W_AH*F206+W_REC*G206+W_CS*H206+W_PE*I206)))+ROW()/1000000</f>
        <v/>
      </c>
      <c r="AA206">
        <f>Database!B196</f>
        <v/>
      </c>
      <c r="AB206">
        <f>Database!D196</f>
        <v/>
      </c>
      <c r="AC206">
        <f>Database!E196</f>
        <v/>
      </c>
      <c r="AD206">
        <f>Database!I196</f>
        <v/>
      </c>
      <c r="AE206">
        <f>Database!BE196</f>
        <v/>
      </c>
      <c r="AF206">
        <f>Database!BK196</f>
        <v/>
      </c>
      <c r="AG206">
        <f>Database!H196</f>
        <v/>
      </c>
      <c r="AH206">
        <f>Database!BF196</f>
        <v/>
      </c>
    </row>
    <row r="207">
      <c r="A207">
        <f>Database!B207</f>
        <v/>
      </c>
      <c r="B207">
        <f>IF(AND(Screener!$D$8&lt;&gt;"",Database!$E207=Screener!$D$8),1,0)</f>
        <v/>
      </c>
      <c r="C207">
        <f>IF(AND(Screener!$D$7&lt;&gt;"",Database!$D207=Screener!$D$7),1,0)</f>
        <v/>
      </c>
      <c r="D207">
        <f>IF(OR(N(Database!$I207)&lt;=0,N(Screener!$D$9)&lt;=0),0,MAX(0,1-ABS(LOG10(N(Database!$I207)/Screener!$D$9))/W_SIZEHW))</f>
        <v/>
      </c>
      <c r="E207">
        <f>IF(OR(Database!$BE207="",Screener!$D$10=""),0,IF(Database!$BE207=Screener!$D$10,1,0))</f>
        <v/>
      </c>
      <c r="F207">
        <f>IF(OR(Database!$BK207="",Screener!$D$11=""),0,IF(Database!$BK207=Screener!$D$11,1,0))</f>
        <v/>
      </c>
      <c r="G207">
        <f>IF(OR(Database!$H207="",N(Screener!$D$12)&lt;=0),0,MAX(0,1-(N(Screener!$D$12)-Database!$H207)/W_RECD))</f>
        <v/>
      </c>
      <c r="H207">
        <f>IF($U$1="",0,N(ISNUMBER(SEARCH($U$1,Database!$Z207&amp;""))))+IF($V$1="",0,N(ISNUMBER(SEARCH($V$1,Database!$Z207&amp;""))))+IF($W$1="",0,N(ISNUMBER(SEARCH($W$1,Database!$Z207&amp;""))))+IF($X$1="",0,N(ISNUMBER(SEARCH($X$1,Database!$Z207&amp;""))))+IF($Y$1="",0,N(ISNUMBER(SEARCH($Y$1,Database!$Z207&amp;""))))+IF(Screener!$B$17="",0,N(ISNUMBER(SEARCH(LOWER(Screener!$B$17),Database!$Z207&amp;""))))</f>
        <v/>
      </c>
      <c r="I207">
        <f>IF(OR(N(Database!$BF207)&lt;=0,N(Screener!$D$13)&lt;=0),0,MAX(0,1-ABS(LOG10(N(Database!$BF207)/Screener!$D$13))/W_PEHW))</f>
        <v/>
      </c>
      <c r="J207">
        <f>IF(OR(N(Database!$S207)&lt;=0,N(Screener!$D$14)&lt;=0),0,MAX(0,1-ABS(LOG10(Database!$S207/Screener!$D$14))/0.6))</f>
        <v/>
      </c>
      <c r="K207">
        <f>IF(Database!$B207=Screener!$B$5,-999999,IF(ISNUMBER(SEARCH(","&amp;Database!$A207&amp;",",","&amp;SUBSTITUTE(Screener!$D$17," ","")&amp;",")),2000000,IF(IF(OR(Screener!$B$18="All",AND(Screener!$B$18="With A-share",(Database!$BK207="Y")),AND(Screener!$B$18="Without A-share",NOT((Database!$BK207="Y")))),1,0)=0,-999999,IF(Screener!$B$16="cornerstone overlap first",H207*100000,IF(Screener!$B$16="demand-similar first",J207*100000,0))+W_SUB*B207+W_SEC*C207*(1-B207)+W_SIZE*D207+W_PROF*E207+W_AH*F207+W_REC*G207+W_CS*H207+W_PE*I207)))+ROW()/1000000</f>
        <v/>
      </c>
      <c r="AA207">
        <f>Database!B197</f>
        <v/>
      </c>
      <c r="AB207">
        <f>Database!D197</f>
        <v/>
      </c>
      <c r="AC207">
        <f>Database!E197</f>
        <v/>
      </c>
      <c r="AD207">
        <f>Database!I197</f>
        <v/>
      </c>
      <c r="AE207">
        <f>Database!BE197</f>
        <v/>
      </c>
      <c r="AF207">
        <f>Database!BK197</f>
        <v/>
      </c>
      <c r="AG207">
        <f>Database!H197</f>
        <v/>
      </c>
      <c r="AH207">
        <f>Database!BF197</f>
        <v/>
      </c>
    </row>
    <row r="208">
      <c r="A208">
        <f>Database!B208</f>
        <v/>
      </c>
      <c r="B208">
        <f>IF(AND(Screener!$D$8&lt;&gt;"",Database!$E208=Screener!$D$8),1,0)</f>
        <v/>
      </c>
      <c r="C208">
        <f>IF(AND(Screener!$D$7&lt;&gt;"",Database!$D208=Screener!$D$7),1,0)</f>
        <v/>
      </c>
      <c r="D208">
        <f>IF(OR(N(Database!$I208)&lt;=0,N(Screener!$D$9)&lt;=0),0,MAX(0,1-ABS(LOG10(N(Database!$I208)/Screener!$D$9))/W_SIZEHW))</f>
        <v/>
      </c>
      <c r="E208">
        <f>IF(OR(Database!$BE208="",Screener!$D$10=""),0,IF(Database!$BE208=Screener!$D$10,1,0))</f>
        <v/>
      </c>
      <c r="F208">
        <f>IF(OR(Database!$BK208="",Screener!$D$11=""),0,IF(Database!$BK208=Screener!$D$11,1,0))</f>
        <v/>
      </c>
      <c r="G208">
        <f>IF(OR(Database!$H208="",N(Screener!$D$12)&lt;=0),0,MAX(0,1-(N(Screener!$D$12)-Database!$H208)/W_RECD))</f>
        <v/>
      </c>
      <c r="H208">
        <f>IF($U$1="",0,N(ISNUMBER(SEARCH($U$1,Database!$Z208&amp;""))))+IF($V$1="",0,N(ISNUMBER(SEARCH($V$1,Database!$Z208&amp;""))))+IF($W$1="",0,N(ISNUMBER(SEARCH($W$1,Database!$Z208&amp;""))))+IF($X$1="",0,N(ISNUMBER(SEARCH($X$1,Database!$Z208&amp;""))))+IF($Y$1="",0,N(ISNUMBER(SEARCH($Y$1,Database!$Z208&amp;""))))+IF(Screener!$B$17="",0,N(ISNUMBER(SEARCH(LOWER(Screener!$B$17),Database!$Z208&amp;""))))</f>
        <v/>
      </c>
      <c r="I208">
        <f>IF(OR(N(Database!$BF208)&lt;=0,N(Screener!$D$13)&lt;=0),0,MAX(0,1-ABS(LOG10(N(Database!$BF208)/Screener!$D$13))/W_PEHW))</f>
        <v/>
      </c>
      <c r="J208">
        <f>IF(OR(N(Database!$S208)&lt;=0,N(Screener!$D$14)&lt;=0),0,MAX(0,1-ABS(LOG10(Database!$S208/Screener!$D$14))/0.6))</f>
        <v/>
      </c>
      <c r="K208">
        <f>IF(Database!$B208=Screener!$B$5,-999999,IF(ISNUMBER(SEARCH(","&amp;Database!$A208&amp;",",","&amp;SUBSTITUTE(Screener!$D$17," ","")&amp;",")),2000000,IF(IF(OR(Screener!$B$18="All",AND(Screener!$B$18="With A-share",(Database!$BK208="Y")),AND(Screener!$B$18="Without A-share",NOT((Database!$BK208="Y")))),1,0)=0,-999999,IF(Screener!$B$16="cornerstone overlap first",H208*100000,IF(Screener!$B$16="demand-similar first",J208*100000,0))+W_SUB*B208+W_SEC*C208*(1-B208)+W_SIZE*D208+W_PROF*E208+W_AH*F208+W_REC*G208+W_CS*H208+W_PE*I208)))+ROW()/1000000</f>
        <v/>
      </c>
      <c r="AA208">
        <f>Database!B198</f>
        <v/>
      </c>
      <c r="AB208">
        <f>Database!D198</f>
        <v/>
      </c>
      <c r="AC208">
        <f>Database!E198</f>
        <v/>
      </c>
      <c r="AD208">
        <f>Database!I198</f>
        <v/>
      </c>
      <c r="AE208">
        <f>Database!BE198</f>
        <v/>
      </c>
      <c r="AF208">
        <f>Database!BK198</f>
        <v/>
      </c>
      <c r="AG208">
        <f>Database!H198</f>
        <v/>
      </c>
      <c r="AH208">
        <f>Database!BF198</f>
        <v/>
      </c>
    </row>
    <row r="209">
      <c r="A209">
        <f>Database!B209</f>
        <v/>
      </c>
      <c r="B209">
        <f>IF(AND(Screener!$D$8&lt;&gt;"",Database!$E209=Screener!$D$8),1,0)</f>
        <v/>
      </c>
      <c r="C209">
        <f>IF(AND(Screener!$D$7&lt;&gt;"",Database!$D209=Screener!$D$7),1,0)</f>
        <v/>
      </c>
      <c r="D209">
        <f>IF(OR(N(Database!$I209)&lt;=0,N(Screener!$D$9)&lt;=0),0,MAX(0,1-ABS(LOG10(N(Database!$I209)/Screener!$D$9))/W_SIZEHW))</f>
        <v/>
      </c>
      <c r="E209">
        <f>IF(OR(Database!$BE209="",Screener!$D$10=""),0,IF(Database!$BE209=Screener!$D$10,1,0))</f>
        <v/>
      </c>
      <c r="F209">
        <f>IF(OR(Database!$BK209="",Screener!$D$11=""),0,IF(Database!$BK209=Screener!$D$11,1,0))</f>
        <v/>
      </c>
      <c r="G209">
        <f>IF(OR(Database!$H209="",N(Screener!$D$12)&lt;=0),0,MAX(0,1-(N(Screener!$D$12)-Database!$H209)/W_RECD))</f>
        <v/>
      </c>
      <c r="H209">
        <f>IF($U$1="",0,N(ISNUMBER(SEARCH($U$1,Database!$Z209&amp;""))))+IF($V$1="",0,N(ISNUMBER(SEARCH($V$1,Database!$Z209&amp;""))))+IF($W$1="",0,N(ISNUMBER(SEARCH($W$1,Database!$Z209&amp;""))))+IF($X$1="",0,N(ISNUMBER(SEARCH($X$1,Database!$Z209&amp;""))))+IF($Y$1="",0,N(ISNUMBER(SEARCH($Y$1,Database!$Z209&amp;""))))+IF(Screener!$B$17="",0,N(ISNUMBER(SEARCH(LOWER(Screener!$B$17),Database!$Z209&amp;""))))</f>
        <v/>
      </c>
      <c r="I209">
        <f>IF(OR(N(Database!$BF209)&lt;=0,N(Screener!$D$13)&lt;=0),0,MAX(0,1-ABS(LOG10(N(Database!$BF209)/Screener!$D$13))/W_PEHW))</f>
        <v/>
      </c>
      <c r="J209">
        <f>IF(OR(N(Database!$S209)&lt;=0,N(Screener!$D$14)&lt;=0),0,MAX(0,1-ABS(LOG10(Database!$S209/Screener!$D$14))/0.6))</f>
        <v/>
      </c>
      <c r="K209">
        <f>IF(Database!$B209=Screener!$B$5,-999999,IF(ISNUMBER(SEARCH(","&amp;Database!$A209&amp;",",","&amp;SUBSTITUTE(Screener!$D$17," ","")&amp;",")),2000000,IF(IF(OR(Screener!$B$18="All",AND(Screener!$B$18="With A-share",(Database!$BK209="Y")),AND(Screener!$B$18="Without A-share",NOT((Database!$BK209="Y")))),1,0)=0,-999999,IF(Screener!$B$16="cornerstone overlap first",H209*100000,IF(Screener!$B$16="demand-similar first",J209*100000,0))+W_SUB*B209+W_SEC*C209*(1-B209)+W_SIZE*D209+W_PROF*E209+W_AH*F209+W_REC*G209+W_CS*H209+W_PE*I209)))+ROW()/1000000</f>
        <v/>
      </c>
      <c r="AA209">
        <f>Database!B199</f>
        <v/>
      </c>
      <c r="AB209">
        <f>Database!D199</f>
        <v/>
      </c>
      <c r="AC209">
        <f>Database!E199</f>
        <v/>
      </c>
      <c r="AD209">
        <f>Database!I199</f>
        <v/>
      </c>
      <c r="AE209">
        <f>Database!BE199</f>
        <v/>
      </c>
      <c r="AF209">
        <f>Database!BK199</f>
        <v/>
      </c>
      <c r="AG209">
        <f>Database!H199</f>
        <v/>
      </c>
      <c r="AH209">
        <f>Database!BF199</f>
        <v/>
      </c>
    </row>
    <row r="210">
      <c r="A210">
        <f>Database!B210</f>
        <v/>
      </c>
      <c r="B210">
        <f>IF(AND(Screener!$D$8&lt;&gt;"",Database!$E210=Screener!$D$8),1,0)</f>
        <v/>
      </c>
      <c r="C210">
        <f>IF(AND(Screener!$D$7&lt;&gt;"",Database!$D210=Screener!$D$7),1,0)</f>
        <v/>
      </c>
      <c r="D210">
        <f>IF(OR(N(Database!$I210)&lt;=0,N(Screener!$D$9)&lt;=0),0,MAX(0,1-ABS(LOG10(N(Database!$I210)/Screener!$D$9))/W_SIZEHW))</f>
        <v/>
      </c>
      <c r="E210">
        <f>IF(OR(Database!$BE210="",Screener!$D$10=""),0,IF(Database!$BE210=Screener!$D$10,1,0))</f>
        <v/>
      </c>
      <c r="F210">
        <f>IF(OR(Database!$BK210="",Screener!$D$11=""),0,IF(Database!$BK210=Screener!$D$11,1,0))</f>
        <v/>
      </c>
      <c r="G210">
        <f>IF(OR(Database!$H210="",N(Screener!$D$12)&lt;=0),0,MAX(0,1-(N(Screener!$D$12)-Database!$H210)/W_RECD))</f>
        <v/>
      </c>
      <c r="H210">
        <f>IF($U$1="",0,N(ISNUMBER(SEARCH($U$1,Database!$Z210&amp;""))))+IF($V$1="",0,N(ISNUMBER(SEARCH($V$1,Database!$Z210&amp;""))))+IF($W$1="",0,N(ISNUMBER(SEARCH($W$1,Database!$Z210&amp;""))))+IF($X$1="",0,N(ISNUMBER(SEARCH($X$1,Database!$Z210&amp;""))))+IF($Y$1="",0,N(ISNUMBER(SEARCH($Y$1,Database!$Z210&amp;""))))+IF(Screener!$B$17="",0,N(ISNUMBER(SEARCH(LOWER(Screener!$B$17),Database!$Z210&amp;""))))</f>
        <v/>
      </c>
      <c r="I210">
        <f>IF(OR(N(Database!$BF210)&lt;=0,N(Screener!$D$13)&lt;=0),0,MAX(0,1-ABS(LOG10(N(Database!$BF210)/Screener!$D$13))/W_PEHW))</f>
        <v/>
      </c>
      <c r="J210">
        <f>IF(OR(N(Database!$S210)&lt;=0,N(Screener!$D$14)&lt;=0),0,MAX(0,1-ABS(LOG10(Database!$S210/Screener!$D$14))/0.6))</f>
        <v/>
      </c>
      <c r="K210">
        <f>IF(Database!$B210=Screener!$B$5,-999999,IF(ISNUMBER(SEARCH(","&amp;Database!$A210&amp;",",","&amp;SUBSTITUTE(Screener!$D$17," ","")&amp;",")),2000000,IF(IF(OR(Screener!$B$18="All",AND(Screener!$B$18="With A-share",(Database!$BK210="Y")),AND(Screener!$B$18="Without A-share",NOT((Database!$BK210="Y")))),1,0)=0,-999999,IF(Screener!$B$16="cornerstone overlap first",H210*100000,IF(Screener!$B$16="demand-similar first",J210*100000,0))+W_SUB*B210+W_SEC*C210*(1-B210)+W_SIZE*D210+W_PROF*E210+W_AH*F210+W_REC*G210+W_CS*H210+W_PE*I210)))+ROW()/1000000</f>
        <v/>
      </c>
      <c r="AA210">
        <f>Database!B200</f>
        <v/>
      </c>
      <c r="AB210">
        <f>Database!D200</f>
        <v/>
      </c>
      <c r="AC210">
        <f>Database!E200</f>
        <v/>
      </c>
      <c r="AD210">
        <f>Database!I200</f>
        <v/>
      </c>
      <c r="AE210">
        <f>Database!BE200</f>
        <v/>
      </c>
      <c r="AF210">
        <f>Database!BK200</f>
        <v/>
      </c>
      <c r="AG210">
        <f>Database!H200</f>
        <v/>
      </c>
      <c r="AH210">
        <f>Database!BF200</f>
        <v/>
      </c>
    </row>
    <row r="211">
      <c r="A211">
        <f>Database!B211</f>
        <v/>
      </c>
      <c r="B211">
        <f>IF(AND(Screener!$D$8&lt;&gt;"",Database!$E211=Screener!$D$8),1,0)</f>
        <v/>
      </c>
      <c r="C211">
        <f>IF(AND(Screener!$D$7&lt;&gt;"",Database!$D211=Screener!$D$7),1,0)</f>
        <v/>
      </c>
      <c r="D211">
        <f>IF(OR(N(Database!$I211)&lt;=0,N(Screener!$D$9)&lt;=0),0,MAX(0,1-ABS(LOG10(N(Database!$I211)/Screener!$D$9))/W_SIZEHW))</f>
        <v/>
      </c>
      <c r="E211">
        <f>IF(OR(Database!$BE211="",Screener!$D$10=""),0,IF(Database!$BE211=Screener!$D$10,1,0))</f>
        <v/>
      </c>
      <c r="F211">
        <f>IF(OR(Database!$BK211="",Screener!$D$11=""),0,IF(Database!$BK211=Screener!$D$11,1,0))</f>
        <v/>
      </c>
      <c r="G211">
        <f>IF(OR(Database!$H211="",N(Screener!$D$12)&lt;=0),0,MAX(0,1-(N(Screener!$D$12)-Database!$H211)/W_RECD))</f>
        <v/>
      </c>
      <c r="H211">
        <f>IF($U$1="",0,N(ISNUMBER(SEARCH($U$1,Database!$Z211&amp;""))))+IF($V$1="",0,N(ISNUMBER(SEARCH($V$1,Database!$Z211&amp;""))))+IF($W$1="",0,N(ISNUMBER(SEARCH($W$1,Database!$Z211&amp;""))))+IF($X$1="",0,N(ISNUMBER(SEARCH($X$1,Database!$Z211&amp;""))))+IF($Y$1="",0,N(ISNUMBER(SEARCH($Y$1,Database!$Z211&amp;""))))+IF(Screener!$B$17="",0,N(ISNUMBER(SEARCH(LOWER(Screener!$B$17),Database!$Z211&amp;""))))</f>
        <v/>
      </c>
      <c r="I211">
        <f>IF(OR(N(Database!$BF211)&lt;=0,N(Screener!$D$13)&lt;=0),0,MAX(0,1-ABS(LOG10(N(Database!$BF211)/Screener!$D$13))/W_PEHW))</f>
        <v/>
      </c>
      <c r="J211">
        <f>IF(OR(N(Database!$S211)&lt;=0,N(Screener!$D$14)&lt;=0),0,MAX(0,1-ABS(LOG10(Database!$S211/Screener!$D$14))/0.6))</f>
        <v/>
      </c>
      <c r="K211">
        <f>IF(Database!$B211=Screener!$B$5,-999999,IF(ISNUMBER(SEARCH(","&amp;Database!$A211&amp;",",","&amp;SUBSTITUTE(Screener!$D$17," ","")&amp;",")),2000000,IF(IF(OR(Screener!$B$18="All",AND(Screener!$B$18="With A-share",(Database!$BK211="Y")),AND(Screener!$B$18="Without A-share",NOT((Database!$BK211="Y")))),1,0)=0,-999999,IF(Screener!$B$16="cornerstone overlap first",H211*100000,IF(Screener!$B$16="demand-similar first",J211*100000,0))+W_SUB*B211+W_SEC*C211*(1-B211)+W_SIZE*D211+W_PROF*E211+W_AH*F211+W_REC*G211+W_CS*H211+W_PE*I211)))+ROW()/1000000</f>
        <v/>
      </c>
      <c r="AA211">
        <f>Database!B201</f>
        <v/>
      </c>
      <c r="AB211">
        <f>Database!D201</f>
        <v/>
      </c>
      <c r="AC211">
        <f>Database!E201</f>
        <v/>
      </c>
      <c r="AD211">
        <f>Database!I201</f>
        <v/>
      </c>
      <c r="AE211">
        <f>Database!BE201</f>
        <v/>
      </c>
      <c r="AF211">
        <f>Database!BK201</f>
        <v/>
      </c>
      <c r="AG211">
        <f>Database!H201</f>
        <v/>
      </c>
      <c r="AH211">
        <f>Database!BF201</f>
        <v/>
      </c>
    </row>
    <row r="212">
      <c r="A212">
        <f>Database!B212</f>
        <v/>
      </c>
      <c r="B212">
        <f>IF(AND(Screener!$D$8&lt;&gt;"",Database!$E212=Screener!$D$8),1,0)</f>
        <v/>
      </c>
      <c r="C212">
        <f>IF(AND(Screener!$D$7&lt;&gt;"",Database!$D212=Screener!$D$7),1,0)</f>
        <v/>
      </c>
      <c r="D212">
        <f>IF(OR(N(Database!$I212)&lt;=0,N(Screener!$D$9)&lt;=0),0,MAX(0,1-ABS(LOG10(N(Database!$I212)/Screener!$D$9))/W_SIZEHW))</f>
        <v/>
      </c>
      <c r="E212">
        <f>IF(OR(Database!$BE212="",Screener!$D$10=""),0,IF(Database!$BE212=Screener!$D$10,1,0))</f>
        <v/>
      </c>
      <c r="F212">
        <f>IF(OR(Database!$BK212="",Screener!$D$11=""),0,IF(Database!$BK212=Screener!$D$11,1,0))</f>
        <v/>
      </c>
      <c r="G212">
        <f>IF(OR(Database!$H212="",N(Screener!$D$12)&lt;=0),0,MAX(0,1-(N(Screener!$D$12)-Database!$H212)/W_RECD))</f>
        <v/>
      </c>
      <c r="H212">
        <f>IF($U$1="",0,N(ISNUMBER(SEARCH($U$1,Database!$Z212&amp;""))))+IF($V$1="",0,N(ISNUMBER(SEARCH($V$1,Database!$Z212&amp;""))))+IF($W$1="",0,N(ISNUMBER(SEARCH($W$1,Database!$Z212&amp;""))))+IF($X$1="",0,N(ISNUMBER(SEARCH($X$1,Database!$Z212&amp;""))))+IF($Y$1="",0,N(ISNUMBER(SEARCH($Y$1,Database!$Z212&amp;""))))+IF(Screener!$B$17="",0,N(ISNUMBER(SEARCH(LOWER(Screener!$B$17),Database!$Z212&amp;""))))</f>
        <v/>
      </c>
      <c r="I212">
        <f>IF(OR(N(Database!$BF212)&lt;=0,N(Screener!$D$13)&lt;=0),0,MAX(0,1-ABS(LOG10(N(Database!$BF212)/Screener!$D$13))/W_PEHW))</f>
        <v/>
      </c>
      <c r="J212">
        <f>IF(OR(N(Database!$S212)&lt;=0,N(Screener!$D$14)&lt;=0),0,MAX(0,1-ABS(LOG10(Database!$S212/Screener!$D$14))/0.6))</f>
        <v/>
      </c>
      <c r="K212">
        <f>IF(Database!$B212=Screener!$B$5,-999999,IF(ISNUMBER(SEARCH(","&amp;Database!$A212&amp;",",","&amp;SUBSTITUTE(Screener!$D$17," ","")&amp;",")),2000000,IF(IF(OR(Screener!$B$18="All",AND(Screener!$B$18="With A-share",(Database!$BK212="Y")),AND(Screener!$B$18="Without A-share",NOT((Database!$BK212="Y")))),1,0)=0,-999999,IF(Screener!$B$16="cornerstone overlap first",H212*100000,IF(Screener!$B$16="demand-similar first",J212*100000,0))+W_SUB*B212+W_SEC*C212*(1-B212)+W_SIZE*D212+W_PROF*E212+W_AH*F212+W_REC*G212+W_CS*H212+W_PE*I212)))+ROW()/1000000</f>
        <v/>
      </c>
      <c r="AA212">
        <f>Database!B202</f>
        <v/>
      </c>
      <c r="AB212">
        <f>Database!D202</f>
        <v/>
      </c>
      <c r="AC212">
        <f>Database!E202</f>
        <v/>
      </c>
      <c r="AD212">
        <f>Database!I202</f>
        <v/>
      </c>
      <c r="AE212">
        <f>Database!BE202</f>
        <v/>
      </c>
      <c r="AF212">
        <f>Database!BK202</f>
        <v/>
      </c>
      <c r="AG212">
        <f>Database!H202</f>
        <v/>
      </c>
      <c r="AH212">
        <f>Database!BF202</f>
        <v/>
      </c>
    </row>
    <row r="213">
      <c r="A213">
        <f>Database!B213</f>
        <v/>
      </c>
      <c r="B213">
        <f>IF(AND(Screener!$D$8&lt;&gt;"",Database!$E213=Screener!$D$8),1,0)</f>
        <v/>
      </c>
      <c r="C213">
        <f>IF(AND(Screener!$D$7&lt;&gt;"",Database!$D213=Screener!$D$7),1,0)</f>
        <v/>
      </c>
      <c r="D213">
        <f>IF(OR(N(Database!$I213)&lt;=0,N(Screener!$D$9)&lt;=0),0,MAX(0,1-ABS(LOG10(N(Database!$I213)/Screener!$D$9))/W_SIZEHW))</f>
        <v/>
      </c>
      <c r="E213">
        <f>IF(OR(Database!$BE213="",Screener!$D$10=""),0,IF(Database!$BE213=Screener!$D$10,1,0))</f>
        <v/>
      </c>
      <c r="F213">
        <f>IF(OR(Database!$BK213="",Screener!$D$11=""),0,IF(Database!$BK213=Screener!$D$11,1,0))</f>
        <v/>
      </c>
      <c r="G213">
        <f>IF(OR(Database!$H213="",N(Screener!$D$12)&lt;=0),0,MAX(0,1-(N(Screener!$D$12)-Database!$H213)/W_RECD))</f>
        <v/>
      </c>
      <c r="H213">
        <f>IF($U$1="",0,N(ISNUMBER(SEARCH($U$1,Database!$Z213&amp;""))))+IF($V$1="",0,N(ISNUMBER(SEARCH($V$1,Database!$Z213&amp;""))))+IF($W$1="",0,N(ISNUMBER(SEARCH($W$1,Database!$Z213&amp;""))))+IF($X$1="",0,N(ISNUMBER(SEARCH($X$1,Database!$Z213&amp;""))))+IF($Y$1="",0,N(ISNUMBER(SEARCH($Y$1,Database!$Z213&amp;""))))+IF(Screener!$B$17="",0,N(ISNUMBER(SEARCH(LOWER(Screener!$B$17),Database!$Z213&amp;""))))</f>
        <v/>
      </c>
      <c r="I213">
        <f>IF(OR(N(Database!$BF213)&lt;=0,N(Screener!$D$13)&lt;=0),0,MAX(0,1-ABS(LOG10(N(Database!$BF213)/Screener!$D$13))/W_PEHW))</f>
        <v/>
      </c>
      <c r="J213">
        <f>IF(OR(N(Database!$S213)&lt;=0,N(Screener!$D$14)&lt;=0),0,MAX(0,1-ABS(LOG10(Database!$S213/Screener!$D$14))/0.6))</f>
        <v/>
      </c>
      <c r="K213">
        <f>IF(Database!$B213=Screener!$B$5,-999999,IF(ISNUMBER(SEARCH(","&amp;Database!$A213&amp;",",","&amp;SUBSTITUTE(Screener!$D$17," ","")&amp;",")),2000000,IF(IF(OR(Screener!$B$18="All",AND(Screener!$B$18="With A-share",(Database!$BK213="Y")),AND(Screener!$B$18="Without A-share",NOT((Database!$BK213="Y")))),1,0)=0,-999999,IF(Screener!$B$16="cornerstone overlap first",H213*100000,IF(Screener!$B$16="demand-similar first",J213*100000,0))+W_SUB*B213+W_SEC*C213*(1-B213)+W_SIZE*D213+W_PROF*E213+W_AH*F213+W_REC*G213+W_CS*H213+W_PE*I213)))+ROW()/1000000</f>
        <v/>
      </c>
      <c r="AA213">
        <f>Database!B203</f>
        <v/>
      </c>
      <c r="AB213">
        <f>Database!D203</f>
        <v/>
      </c>
      <c r="AC213">
        <f>Database!E203</f>
        <v/>
      </c>
      <c r="AD213">
        <f>Database!I203</f>
        <v/>
      </c>
      <c r="AE213">
        <f>Database!BE203</f>
        <v/>
      </c>
      <c r="AF213">
        <f>Database!BK203</f>
        <v/>
      </c>
      <c r="AG213">
        <f>Database!H203</f>
        <v/>
      </c>
      <c r="AH213">
        <f>Database!BF203</f>
        <v/>
      </c>
    </row>
    <row r="214">
      <c r="A214">
        <f>Database!B214</f>
        <v/>
      </c>
      <c r="B214">
        <f>IF(AND(Screener!$D$8&lt;&gt;"",Database!$E214=Screener!$D$8),1,0)</f>
        <v/>
      </c>
      <c r="C214">
        <f>IF(AND(Screener!$D$7&lt;&gt;"",Database!$D214=Screener!$D$7),1,0)</f>
        <v/>
      </c>
      <c r="D214">
        <f>IF(OR(N(Database!$I214)&lt;=0,N(Screener!$D$9)&lt;=0),0,MAX(0,1-ABS(LOG10(N(Database!$I214)/Screener!$D$9))/W_SIZEHW))</f>
        <v/>
      </c>
      <c r="E214">
        <f>IF(OR(Database!$BE214="",Screener!$D$10=""),0,IF(Database!$BE214=Screener!$D$10,1,0))</f>
        <v/>
      </c>
      <c r="F214">
        <f>IF(OR(Database!$BK214="",Screener!$D$11=""),0,IF(Database!$BK214=Screener!$D$11,1,0))</f>
        <v/>
      </c>
      <c r="G214">
        <f>IF(OR(Database!$H214="",N(Screener!$D$12)&lt;=0),0,MAX(0,1-(N(Screener!$D$12)-Database!$H214)/W_RECD))</f>
        <v/>
      </c>
      <c r="H214">
        <f>IF($U$1="",0,N(ISNUMBER(SEARCH($U$1,Database!$Z214&amp;""))))+IF($V$1="",0,N(ISNUMBER(SEARCH($V$1,Database!$Z214&amp;""))))+IF($W$1="",0,N(ISNUMBER(SEARCH($W$1,Database!$Z214&amp;""))))+IF($X$1="",0,N(ISNUMBER(SEARCH($X$1,Database!$Z214&amp;""))))+IF($Y$1="",0,N(ISNUMBER(SEARCH($Y$1,Database!$Z214&amp;""))))+IF(Screener!$B$17="",0,N(ISNUMBER(SEARCH(LOWER(Screener!$B$17),Database!$Z214&amp;""))))</f>
        <v/>
      </c>
      <c r="I214">
        <f>IF(OR(N(Database!$BF214)&lt;=0,N(Screener!$D$13)&lt;=0),0,MAX(0,1-ABS(LOG10(N(Database!$BF214)/Screener!$D$13))/W_PEHW))</f>
        <v/>
      </c>
      <c r="J214">
        <f>IF(OR(N(Database!$S214)&lt;=0,N(Screener!$D$14)&lt;=0),0,MAX(0,1-ABS(LOG10(Database!$S214/Screener!$D$14))/0.6))</f>
        <v/>
      </c>
      <c r="K214">
        <f>IF(Database!$B214=Screener!$B$5,-999999,IF(ISNUMBER(SEARCH(","&amp;Database!$A214&amp;",",","&amp;SUBSTITUTE(Screener!$D$17," ","")&amp;",")),2000000,IF(IF(OR(Screener!$B$18="All",AND(Screener!$B$18="With A-share",(Database!$BK214="Y")),AND(Screener!$B$18="Without A-share",NOT((Database!$BK214="Y")))),1,0)=0,-999999,IF(Screener!$B$16="cornerstone overlap first",H214*100000,IF(Screener!$B$16="demand-similar first",J214*100000,0))+W_SUB*B214+W_SEC*C214*(1-B214)+W_SIZE*D214+W_PROF*E214+W_AH*F214+W_REC*G214+W_CS*H214+W_PE*I214)))+ROW()/1000000</f>
        <v/>
      </c>
      <c r="AA214">
        <f>Database!B204</f>
        <v/>
      </c>
      <c r="AB214">
        <f>Database!D204</f>
        <v/>
      </c>
      <c r="AC214">
        <f>Database!E204</f>
        <v/>
      </c>
      <c r="AD214">
        <f>Database!I204</f>
        <v/>
      </c>
      <c r="AE214">
        <f>Database!BE204</f>
        <v/>
      </c>
      <c r="AF214">
        <f>Database!BK204</f>
        <v/>
      </c>
      <c r="AG214">
        <f>Database!H204</f>
        <v/>
      </c>
      <c r="AH214">
        <f>Database!BF204</f>
        <v/>
      </c>
    </row>
    <row r="215">
      <c r="A215">
        <f>Database!B215</f>
        <v/>
      </c>
      <c r="B215">
        <f>IF(AND(Screener!$D$8&lt;&gt;"",Database!$E215=Screener!$D$8),1,0)</f>
        <v/>
      </c>
      <c r="C215">
        <f>IF(AND(Screener!$D$7&lt;&gt;"",Database!$D215=Screener!$D$7),1,0)</f>
        <v/>
      </c>
      <c r="D215">
        <f>IF(OR(N(Database!$I215)&lt;=0,N(Screener!$D$9)&lt;=0),0,MAX(0,1-ABS(LOG10(N(Database!$I215)/Screener!$D$9))/W_SIZEHW))</f>
        <v/>
      </c>
      <c r="E215">
        <f>IF(OR(Database!$BE215="",Screener!$D$10=""),0,IF(Database!$BE215=Screener!$D$10,1,0))</f>
        <v/>
      </c>
      <c r="F215">
        <f>IF(OR(Database!$BK215="",Screener!$D$11=""),0,IF(Database!$BK215=Screener!$D$11,1,0))</f>
        <v/>
      </c>
      <c r="G215">
        <f>IF(OR(Database!$H215="",N(Screener!$D$12)&lt;=0),0,MAX(0,1-(N(Screener!$D$12)-Database!$H215)/W_RECD))</f>
        <v/>
      </c>
      <c r="H215">
        <f>IF($U$1="",0,N(ISNUMBER(SEARCH($U$1,Database!$Z215&amp;""))))+IF($V$1="",0,N(ISNUMBER(SEARCH($V$1,Database!$Z215&amp;""))))+IF($W$1="",0,N(ISNUMBER(SEARCH($W$1,Database!$Z215&amp;""))))+IF($X$1="",0,N(ISNUMBER(SEARCH($X$1,Database!$Z215&amp;""))))+IF($Y$1="",0,N(ISNUMBER(SEARCH($Y$1,Database!$Z215&amp;""))))+IF(Screener!$B$17="",0,N(ISNUMBER(SEARCH(LOWER(Screener!$B$17),Database!$Z215&amp;""))))</f>
        <v/>
      </c>
      <c r="I215">
        <f>IF(OR(N(Database!$BF215)&lt;=0,N(Screener!$D$13)&lt;=0),0,MAX(0,1-ABS(LOG10(N(Database!$BF215)/Screener!$D$13))/W_PEHW))</f>
        <v/>
      </c>
      <c r="J215">
        <f>IF(OR(N(Database!$S215)&lt;=0,N(Screener!$D$14)&lt;=0),0,MAX(0,1-ABS(LOG10(Database!$S215/Screener!$D$14))/0.6))</f>
        <v/>
      </c>
      <c r="K215">
        <f>IF(Database!$B215=Screener!$B$5,-999999,IF(ISNUMBER(SEARCH(","&amp;Database!$A215&amp;",",","&amp;SUBSTITUTE(Screener!$D$17," ","")&amp;",")),2000000,IF(IF(OR(Screener!$B$18="All",AND(Screener!$B$18="With A-share",(Database!$BK215="Y")),AND(Screener!$B$18="Without A-share",NOT((Database!$BK215="Y")))),1,0)=0,-999999,IF(Screener!$B$16="cornerstone overlap first",H215*100000,IF(Screener!$B$16="demand-similar first",J215*100000,0))+W_SUB*B215+W_SEC*C215*(1-B215)+W_SIZE*D215+W_PROF*E215+W_AH*F215+W_REC*G215+W_CS*H215+W_PE*I215)))+ROW()/1000000</f>
        <v/>
      </c>
      <c r="AA215">
        <f>Database!B205</f>
        <v/>
      </c>
      <c r="AB215">
        <f>Database!D205</f>
        <v/>
      </c>
      <c r="AC215">
        <f>Database!E205</f>
        <v/>
      </c>
      <c r="AD215">
        <f>Database!I205</f>
        <v/>
      </c>
      <c r="AE215">
        <f>Database!BE205</f>
        <v/>
      </c>
      <c r="AF215">
        <f>Database!BK205</f>
        <v/>
      </c>
      <c r="AG215">
        <f>Database!H205</f>
        <v/>
      </c>
      <c r="AH215">
        <f>Database!BF205</f>
        <v/>
      </c>
    </row>
    <row r="216">
      <c r="A216">
        <f>Database!B216</f>
        <v/>
      </c>
      <c r="B216">
        <f>IF(AND(Screener!$D$8&lt;&gt;"",Database!$E216=Screener!$D$8),1,0)</f>
        <v/>
      </c>
      <c r="C216">
        <f>IF(AND(Screener!$D$7&lt;&gt;"",Database!$D216=Screener!$D$7),1,0)</f>
        <v/>
      </c>
      <c r="D216">
        <f>IF(OR(N(Database!$I216)&lt;=0,N(Screener!$D$9)&lt;=0),0,MAX(0,1-ABS(LOG10(N(Database!$I216)/Screener!$D$9))/W_SIZEHW))</f>
        <v/>
      </c>
      <c r="E216">
        <f>IF(OR(Database!$BE216="",Screener!$D$10=""),0,IF(Database!$BE216=Screener!$D$10,1,0))</f>
        <v/>
      </c>
      <c r="F216">
        <f>IF(OR(Database!$BK216="",Screener!$D$11=""),0,IF(Database!$BK216=Screener!$D$11,1,0))</f>
        <v/>
      </c>
      <c r="G216">
        <f>IF(OR(Database!$H216="",N(Screener!$D$12)&lt;=0),0,MAX(0,1-(N(Screener!$D$12)-Database!$H216)/W_RECD))</f>
        <v/>
      </c>
      <c r="H216">
        <f>IF($U$1="",0,N(ISNUMBER(SEARCH($U$1,Database!$Z216&amp;""))))+IF($V$1="",0,N(ISNUMBER(SEARCH($V$1,Database!$Z216&amp;""))))+IF($W$1="",0,N(ISNUMBER(SEARCH($W$1,Database!$Z216&amp;""))))+IF($X$1="",0,N(ISNUMBER(SEARCH($X$1,Database!$Z216&amp;""))))+IF($Y$1="",0,N(ISNUMBER(SEARCH($Y$1,Database!$Z216&amp;""))))+IF(Screener!$B$17="",0,N(ISNUMBER(SEARCH(LOWER(Screener!$B$17),Database!$Z216&amp;""))))</f>
        <v/>
      </c>
      <c r="I216">
        <f>IF(OR(N(Database!$BF216)&lt;=0,N(Screener!$D$13)&lt;=0),0,MAX(0,1-ABS(LOG10(N(Database!$BF216)/Screener!$D$13))/W_PEHW))</f>
        <v/>
      </c>
      <c r="J216">
        <f>IF(OR(N(Database!$S216)&lt;=0,N(Screener!$D$14)&lt;=0),0,MAX(0,1-ABS(LOG10(Database!$S216/Screener!$D$14))/0.6))</f>
        <v/>
      </c>
      <c r="K216">
        <f>IF(Database!$B216=Screener!$B$5,-999999,IF(ISNUMBER(SEARCH(","&amp;Database!$A216&amp;",",","&amp;SUBSTITUTE(Screener!$D$17," ","")&amp;",")),2000000,IF(IF(OR(Screener!$B$18="All",AND(Screener!$B$18="With A-share",(Database!$BK216="Y")),AND(Screener!$B$18="Without A-share",NOT((Database!$BK216="Y")))),1,0)=0,-999999,IF(Screener!$B$16="cornerstone overlap first",H216*100000,IF(Screener!$B$16="demand-similar first",J216*100000,0))+W_SUB*B216+W_SEC*C216*(1-B216)+W_SIZE*D216+W_PROF*E216+W_AH*F216+W_REC*G216+W_CS*H216+W_PE*I216)))+ROW()/1000000</f>
        <v/>
      </c>
      <c r="AA216">
        <f>Database!B206</f>
        <v/>
      </c>
      <c r="AB216">
        <f>Database!D206</f>
        <v/>
      </c>
      <c r="AC216">
        <f>Database!E206</f>
        <v/>
      </c>
      <c r="AD216">
        <f>Database!I206</f>
        <v/>
      </c>
      <c r="AE216">
        <f>Database!BE206</f>
        <v/>
      </c>
      <c r="AF216">
        <f>Database!BK206</f>
        <v/>
      </c>
      <c r="AG216">
        <f>Database!H206</f>
        <v/>
      </c>
      <c r="AH216">
        <f>Database!BF206</f>
        <v/>
      </c>
    </row>
    <row r="217">
      <c r="A217">
        <f>Database!B217</f>
        <v/>
      </c>
      <c r="B217">
        <f>IF(AND(Screener!$D$8&lt;&gt;"",Database!$E217=Screener!$D$8),1,0)</f>
        <v/>
      </c>
      <c r="C217">
        <f>IF(AND(Screener!$D$7&lt;&gt;"",Database!$D217=Screener!$D$7),1,0)</f>
        <v/>
      </c>
      <c r="D217">
        <f>IF(OR(N(Database!$I217)&lt;=0,N(Screener!$D$9)&lt;=0),0,MAX(0,1-ABS(LOG10(N(Database!$I217)/Screener!$D$9))/W_SIZEHW))</f>
        <v/>
      </c>
      <c r="E217">
        <f>IF(OR(Database!$BE217="",Screener!$D$10=""),0,IF(Database!$BE217=Screener!$D$10,1,0))</f>
        <v/>
      </c>
      <c r="F217">
        <f>IF(OR(Database!$BK217="",Screener!$D$11=""),0,IF(Database!$BK217=Screener!$D$11,1,0))</f>
        <v/>
      </c>
      <c r="G217">
        <f>IF(OR(Database!$H217="",N(Screener!$D$12)&lt;=0),0,MAX(0,1-(N(Screener!$D$12)-Database!$H217)/W_RECD))</f>
        <v/>
      </c>
      <c r="H217">
        <f>IF($U$1="",0,N(ISNUMBER(SEARCH($U$1,Database!$Z217&amp;""))))+IF($V$1="",0,N(ISNUMBER(SEARCH($V$1,Database!$Z217&amp;""))))+IF($W$1="",0,N(ISNUMBER(SEARCH($W$1,Database!$Z217&amp;""))))+IF($X$1="",0,N(ISNUMBER(SEARCH($X$1,Database!$Z217&amp;""))))+IF($Y$1="",0,N(ISNUMBER(SEARCH($Y$1,Database!$Z217&amp;""))))+IF(Screener!$B$17="",0,N(ISNUMBER(SEARCH(LOWER(Screener!$B$17),Database!$Z217&amp;""))))</f>
        <v/>
      </c>
      <c r="I217">
        <f>IF(OR(N(Database!$BF217)&lt;=0,N(Screener!$D$13)&lt;=0),0,MAX(0,1-ABS(LOG10(N(Database!$BF217)/Screener!$D$13))/W_PEHW))</f>
        <v/>
      </c>
      <c r="J217">
        <f>IF(OR(N(Database!$S217)&lt;=0,N(Screener!$D$14)&lt;=0),0,MAX(0,1-ABS(LOG10(Database!$S217/Screener!$D$14))/0.6))</f>
        <v/>
      </c>
      <c r="K217">
        <f>IF(Database!$B217=Screener!$B$5,-999999,IF(ISNUMBER(SEARCH(","&amp;Database!$A217&amp;",",","&amp;SUBSTITUTE(Screener!$D$17," ","")&amp;",")),2000000,IF(IF(OR(Screener!$B$18="All",AND(Screener!$B$18="With A-share",(Database!$BK217="Y")),AND(Screener!$B$18="Without A-share",NOT((Database!$BK217="Y")))),1,0)=0,-999999,IF(Screener!$B$16="cornerstone overlap first",H217*100000,IF(Screener!$B$16="demand-similar first",J217*100000,0))+W_SUB*B217+W_SEC*C217*(1-B217)+W_SIZE*D217+W_PROF*E217+W_AH*F217+W_REC*G217+W_CS*H217+W_PE*I217)))+ROW()/1000000</f>
        <v/>
      </c>
      <c r="AA217">
        <f>Database!B207</f>
        <v/>
      </c>
      <c r="AB217">
        <f>Database!D207</f>
        <v/>
      </c>
      <c r="AC217">
        <f>Database!E207</f>
        <v/>
      </c>
      <c r="AD217">
        <f>Database!I207</f>
        <v/>
      </c>
      <c r="AE217">
        <f>Database!BE207</f>
        <v/>
      </c>
      <c r="AF217">
        <f>Database!BK207</f>
        <v/>
      </c>
      <c r="AG217">
        <f>Database!H207</f>
        <v/>
      </c>
      <c r="AH217">
        <f>Database!BF207</f>
        <v/>
      </c>
    </row>
    <row r="218">
      <c r="A218">
        <f>Database!B218</f>
        <v/>
      </c>
      <c r="B218">
        <f>IF(AND(Screener!$D$8&lt;&gt;"",Database!$E218=Screener!$D$8),1,0)</f>
        <v/>
      </c>
      <c r="C218">
        <f>IF(AND(Screener!$D$7&lt;&gt;"",Database!$D218=Screener!$D$7),1,0)</f>
        <v/>
      </c>
      <c r="D218">
        <f>IF(OR(N(Database!$I218)&lt;=0,N(Screener!$D$9)&lt;=0),0,MAX(0,1-ABS(LOG10(N(Database!$I218)/Screener!$D$9))/W_SIZEHW))</f>
        <v/>
      </c>
      <c r="E218">
        <f>IF(OR(Database!$BE218="",Screener!$D$10=""),0,IF(Database!$BE218=Screener!$D$10,1,0))</f>
        <v/>
      </c>
      <c r="F218">
        <f>IF(OR(Database!$BK218="",Screener!$D$11=""),0,IF(Database!$BK218=Screener!$D$11,1,0))</f>
        <v/>
      </c>
      <c r="G218">
        <f>IF(OR(Database!$H218="",N(Screener!$D$12)&lt;=0),0,MAX(0,1-(N(Screener!$D$12)-Database!$H218)/W_RECD))</f>
        <v/>
      </c>
      <c r="H218">
        <f>IF($U$1="",0,N(ISNUMBER(SEARCH($U$1,Database!$Z218&amp;""))))+IF($V$1="",0,N(ISNUMBER(SEARCH($V$1,Database!$Z218&amp;""))))+IF($W$1="",0,N(ISNUMBER(SEARCH($W$1,Database!$Z218&amp;""))))+IF($X$1="",0,N(ISNUMBER(SEARCH($X$1,Database!$Z218&amp;""))))+IF($Y$1="",0,N(ISNUMBER(SEARCH($Y$1,Database!$Z218&amp;""))))+IF(Screener!$B$17="",0,N(ISNUMBER(SEARCH(LOWER(Screener!$B$17),Database!$Z218&amp;""))))</f>
        <v/>
      </c>
      <c r="I218">
        <f>IF(OR(N(Database!$BF218)&lt;=0,N(Screener!$D$13)&lt;=0),0,MAX(0,1-ABS(LOG10(N(Database!$BF218)/Screener!$D$13))/W_PEHW))</f>
        <v/>
      </c>
      <c r="J218">
        <f>IF(OR(N(Database!$S218)&lt;=0,N(Screener!$D$14)&lt;=0),0,MAX(0,1-ABS(LOG10(Database!$S218/Screener!$D$14))/0.6))</f>
        <v/>
      </c>
      <c r="K218">
        <f>IF(Database!$B218=Screener!$B$5,-999999,IF(ISNUMBER(SEARCH(","&amp;Database!$A218&amp;",",","&amp;SUBSTITUTE(Screener!$D$17," ","")&amp;",")),2000000,IF(IF(OR(Screener!$B$18="All",AND(Screener!$B$18="With A-share",(Database!$BK218="Y")),AND(Screener!$B$18="Without A-share",NOT((Database!$BK218="Y")))),1,0)=0,-999999,IF(Screener!$B$16="cornerstone overlap first",H218*100000,IF(Screener!$B$16="demand-similar first",J218*100000,0))+W_SUB*B218+W_SEC*C218*(1-B218)+W_SIZE*D218+W_PROF*E218+W_AH*F218+W_REC*G218+W_CS*H218+W_PE*I218)))+ROW()/1000000</f>
        <v/>
      </c>
      <c r="AA218">
        <f>Database!B208</f>
        <v/>
      </c>
      <c r="AB218">
        <f>Database!D208</f>
        <v/>
      </c>
      <c r="AC218">
        <f>Database!E208</f>
        <v/>
      </c>
      <c r="AD218">
        <f>Database!I208</f>
        <v/>
      </c>
      <c r="AE218">
        <f>Database!BE208</f>
        <v/>
      </c>
      <c r="AF218">
        <f>Database!BK208</f>
        <v/>
      </c>
      <c r="AG218">
        <f>Database!H208</f>
        <v/>
      </c>
      <c r="AH218">
        <f>Database!BF208</f>
        <v/>
      </c>
    </row>
    <row r="219">
      <c r="A219">
        <f>Database!B219</f>
        <v/>
      </c>
      <c r="B219">
        <f>IF(AND(Screener!$D$8&lt;&gt;"",Database!$E219=Screener!$D$8),1,0)</f>
        <v/>
      </c>
      <c r="C219">
        <f>IF(AND(Screener!$D$7&lt;&gt;"",Database!$D219=Screener!$D$7),1,0)</f>
        <v/>
      </c>
      <c r="D219">
        <f>IF(OR(N(Database!$I219)&lt;=0,N(Screener!$D$9)&lt;=0),0,MAX(0,1-ABS(LOG10(N(Database!$I219)/Screener!$D$9))/W_SIZEHW))</f>
        <v/>
      </c>
      <c r="E219">
        <f>IF(OR(Database!$BE219="",Screener!$D$10=""),0,IF(Database!$BE219=Screener!$D$10,1,0))</f>
        <v/>
      </c>
      <c r="F219">
        <f>IF(OR(Database!$BK219="",Screener!$D$11=""),0,IF(Database!$BK219=Screener!$D$11,1,0))</f>
        <v/>
      </c>
      <c r="G219">
        <f>IF(OR(Database!$H219="",N(Screener!$D$12)&lt;=0),0,MAX(0,1-(N(Screener!$D$12)-Database!$H219)/W_RECD))</f>
        <v/>
      </c>
      <c r="H219">
        <f>IF($U$1="",0,N(ISNUMBER(SEARCH($U$1,Database!$Z219&amp;""))))+IF($V$1="",0,N(ISNUMBER(SEARCH($V$1,Database!$Z219&amp;""))))+IF($W$1="",0,N(ISNUMBER(SEARCH($W$1,Database!$Z219&amp;""))))+IF($X$1="",0,N(ISNUMBER(SEARCH($X$1,Database!$Z219&amp;""))))+IF($Y$1="",0,N(ISNUMBER(SEARCH($Y$1,Database!$Z219&amp;""))))+IF(Screener!$B$17="",0,N(ISNUMBER(SEARCH(LOWER(Screener!$B$17),Database!$Z219&amp;""))))</f>
        <v/>
      </c>
      <c r="I219">
        <f>IF(OR(N(Database!$BF219)&lt;=0,N(Screener!$D$13)&lt;=0),0,MAX(0,1-ABS(LOG10(N(Database!$BF219)/Screener!$D$13))/W_PEHW))</f>
        <v/>
      </c>
      <c r="J219">
        <f>IF(OR(N(Database!$S219)&lt;=0,N(Screener!$D$14)&lt;=0),0,MAX(0,1-ABS(LOG10(Database!$S219/Screener!$D$14))/0.6))</f>
        <v/>
      </c>
      <c r="K219">
        <f>IF(Database!$B219=Screener!$B$5,-999999,IF(ISNUMBER(SEARCH(","&amp;Database!$A219&amp;",",","&amp;SUBSTITUTE(Screener!$D$17," ","")&amp;",")),2000000,IF(IF(OR(Screener!$B$18="All",AND(Screener!$B$18="With A-share",(Database!$BK219="Y")),AND(Screener!$B$18="Without A-share",NOT((Database!$BK219="Y")))),1,0)=0,-999999,IF(Screener!$B$16="cornerstone overlap first",H219*100000,IF(Screener!$B$16="demand-similar first",J219*100000,0))+W_SUB*B219+W_SEC*C219*(1-B219)+W_SIZE*D219+W_PROF*E219+W_AH*F219+W_REC*G219+W_CS*H219+W_PE*I219)))+ROW()/1000000</f>
        <v/>
      </c>
      <c r="AA219">
        <f>Database!B209</f>
        <v/>
      </c>
      <c r="AB219">
        <f>Database!D209</f>
        <v/>
      </c>
      <c r="AC219">
        <f>Database!E209</f>
        <v/>
      </c>
      <c r="AD219">
        <f>Database!I209</f>
        <v/>
      </c>
      <c r="AE219">
        <f>Database!BE209</f>
        <v/>
      </c>
      <c r="AF219">
        <f>Database!BK209</f>
        <v/>
      </c>
      <c r="AG219">
        <f>Database!H209</f>
        <v/>
      </c>
      <c r="AH219">
        <f>Database!BF209</f>
        <v/>
      </c>
    </row>
    <row r="220">
      <c r="A220">
        <f>Database!B220</f>
        <v/>
      </c>
      <c r="B220">
        <f>IF(AND(Screener!$D$8&lt;&gt;"",Database!$E220=Screener!$D$8),1,0)</f>
        <v/>
      </c>
      <c r="C220">
        <f>IF(AND(Screener!$D$7&lt;&gt;"",Database!$D220=Screener!$D$7),1,0)</f>
        <v/>
      </c>
      <c r="D220">
        <f>IF(OR(N(Database!$I220)&lt;=0,N(Screener!$D$9)&lt;=0),0,MAX(0,1-ABS(LOG10(N(Database!$I220)/Screener!$D$9))/W_SIZEHW))</f>
        <v/>
      </c>
      <c r="E220">
        <f>IF(OR(Database!$BE220="",Screener!$D$10=""),0,IF(Database!$BE220=Screener!$D$10,1,0))</f>
        <v/>
      </c>
      <c r="F220">
        <f>IF(OR(Database!$BK220="",Screener!$D$11=""),0,IF(Database!$BK220=Screener!$D$11,1,0))</f>
        <v/>
      </c>
      <c r="G220">
        <f>IF(OR(Database!$H220="",N(Screener!$D$12)&lt;=0),0,MAX(0,1-(N(Screener!$D$12)-Database!$H220)/W_RECD))</f>
        <v/>
      </c>
      <c r="H220">
        <f>IF($U$1="",0,N(ISNUMBER(SEARCH($U$1,Database!$Z220&amp;""))))+IF($V$1="",0,N(ISNUMBER(SEARCH($V$1,Database!$Z220&amp;""))))+IF($W$1="",0,N(ISNUMBER(SEARCH($W$1,Database!$Z220&amp;""))))+IF($X$1="",0,N(ISNUMBER(SEARCH($X$1,Database!$Z220&amp;""))))+IF($Y$1="",0,N(ISNUMBER(SEARCH($Y$1,Database!$Z220&amp;""))))+IF(Screener!$B$17="",0,N(ISNUMBER(SEARCH(LOWER(Screener!$B$17),Database!$Z220&amp;""))))</f>
        <v/>
      </c>
      <c r="I220">
        <f>IF(OR(N(Database!$BF220)&lt;=0,N(Screener!$D$13)&lt;=0),0,MAX(0,1-ABS(LOG10(N(Database!$BF220)/Screener!$D$13))/W_PEHW))</f>
        <v/>
      </c>
      <c r="J220">
        <f>IF(OR(N(Database!$S220)&lt;=0,N(Screener!$D$14)&lt;=0),0,MAX(0,1-ABS(LOG10(Database!$S220/Screener!$D$14))/0.6))</f>
        <v/>
      </c>
      <c r="K220">
        <f>IF(Database!$B220=Screener!$B$5,-999999,IF(ISNUMBER(SEARCH(","&amp;Database!$A220&amp;",",","&amp;SUBSTITUTE(Screener!$D$17," ","")&amp;",")),2000000,IF(IF(OR(Screener!$B$18="All",AND(Screener!$B$18="With A-share",(Database!$BK220="Y")),AND(Screener!$B$18="Without A-share",NOT((Database!$BK220="Y")))),1,0)=0,-999999,IF(Screener!$B$16="cornerstone overlap first",H220*100000,IF(Screener!$B$16="demand-similar first",J220*100000,0))+W_SUB*B220+W_SEC*C220*(1-B220)+W_SIZE*D220+W_PROF*E220+W_AH*F220+W_REC*G220+W_CS*H220+W_PE*I220)))+ROW()/1000000</f>
        <v/>
      </c>
      <c r="AA220">
        <f>Database!B210</f>
        <v/>
      </c>
      <c r="AB220">
        <f>Database!D210</f>
        <v/>
      </c>
      <c r="AC220">
        <f>Database!E210</f>
        <v/>
      </c>
      <c r="AD220">
        <f>Database!I210</f>
        <v/>
      </c>
      <c r="AE220">
        <f>Database!BE210</f>
        <v/>
      </c>
      <c r="AF220">
        <f>Database!BK210</f>
        <v/>
      </c>
      <c r="AG220">
        <f>Database!H210</f>
        <v/>
      </c>
      <c r="AH220">
        <f>Database!BF210</f>
        <v/>
      </c>
    </row>
    <row r="221">
      <c r="A221">
        <f>Database!B221</f>
        <v/>
      </c>
      <c r="B221">
        <f>IF(AND(Screener!$D$8&lt;&gt;"",Database!$E221=Screener!$D$8),1,0)</f>
        <v/>
      </c>
      <c r="C221">
        <f>IF(AND(Screener!$D$7&lt;&gt;"",Database!$D221=Screener!$D$7),1,0)</f>
        <v/>
      </c>
      <c r="D221">
        <f>IF(OR(N(Database!$I221)&lt;=0,N(Screener!$D$9)&lt;=0),0,MAX(0,1-ABS(LOG10(N(Database!$I221)/Screener!$D$9))/W_SIZEHW))</f>
        <v/>
      </c>
      <c r="E221">
        <f>IF(OR(Database!$BE221="",Screener!$D$10=""),0,IF(Database!$BE221=Screener!$D$10,1,0))</f>
        <v/>
      </c>
      <c r="F221">
        <f>IF(OR(Database!$BK221="",Screener!$D$11=""),0,IF(Database!$BK221=Screener!$D$11,1,0))</f>
        <v/>
      </c>
      <c r="G221">
        <f>IF(OR(Database!$H221="",N(Screener!$D$12)&lt;=0),0,MAX(0,1-(N(Screener!$D$12)-Database!$H221)/W_RECD))</f>
        <v/>
      </c>
      <c r="H221">
        <f>IF($U$1="",0,N(ISNUMBER(SEARCH($U$1,Database!$Z221&amp;""))))+IF($V$1="",0,N(ISNUMBER(SEARCH($V$1,Database!$Z221&amp;""))))+IF($W$1="",0,N(ISNUMBER(SEARCH($W$1,Database!$Z221&amp;""))))+IF($X$1="",0,N(ISNUMBER(SEARCH($X$1,Database!$Z221&amp;""))))+IF($Y$1="",0,N(ISNUMBER(SEARCH($Y$1,Database!$Z221&amp;""))))+IF(Screener!$B$17="",0,N(ISNUMBER(SEARCH(LOWER(Screener!$B$17),Database!$Z221&amp;""))))</f>
        <v/>
      </c>
      <c r="I221">
        <f>IF(OR(N(Database!$BF221)&lt;=0,N(Screener!$D$13)&lt;=0),0,MAX(0,1-ABS(LOG10(N(Database!$BF221)/Screener!$D$13))/W_PEHW))</f>
        <v/>
      </c>
      <c r="J221">
        <f>IF(OR(N(Database!$S221)&lt;=0,N(Screener!$D$14)&lt;=0),0,MAX(0,1-ABS(LOG10(Database!$S221/Screener!$D$14))/0.6))</f>
        <v/>
      </c>
      <c r="K221">
        <f>IF(Database!$B221=Screener!$B$5,-999999,IF(ISNUMBER(SEARCH(","&amp;Database!$A221&amp;",",","&amp;SUBSTITUTE(Screener!$D$17," ","")&amp;",")),2000000,IF(IF(OR(Screener!$B$18="All",AND(Screener!$B$18="With A-share",(Database!$BK221="Y")),AND(Screener!$B$18="Without A-share",NOT((Database!$BK221="Y")))),1,0)=0,-999999,IF(Screener!$B$16="cornerstone overlap first",H221*100000,IF(Screener!$B$16="demand-similar first",J221*100000,0))+W_SUB*B221+W_SEC*C221*(1-B221)+W_SIZE*D221+W_PROF*E221+W_AH*F221+W_REC*G221+W_CS*H221+W_PE*I221)))+ROW()/1000000</f>
        <v/>
      </c>
      <c r="AA221">
        <f>Database!B211</f>
        <v/>
      </c>
      <c r="AB221">
        <f>Database!D211</f>
        <v/>
      </c>
      <c r="AC221">
        <f>Database!E211</f>
        <v/>
      </c>
      <c r="AD221">
        <f>Database!I211</f>
        <v/>
      </c>
      <c r="AE221">
        <f>Database!BE211</f>
        <v/>
      </c>
      <c r="AF221">
        <f>Database!BK211</f>
        <v/>
      </c>
      <c r="AG221">
        <f>Database!H211</f>
        <v/>
      </c>
      <c r="AH221">
        <f>Database!BF211</f>
        <v/>
      </c>
    </row>
    <row r="222">
      <c r="A222">
        <f>Database!B222</f>
        <v/>
      </c>
      <c r="B222">
        <f>IF(AND(Screener!$D$8&lt;&gt;"",Database!$E222=Screener!$D$8),1,0)</f>
        <v/>
      </c>
      <c r="C222">
        <f>IF(AND(Screener!$D$7&lt;&gt;"",Database!$D222=Screener!$D$7),1,0)</f>
        <v/>
      </c>
      <c r="D222">
        <f>IF(OR(N(Database!$I222)&lt;=0,N(Screener!$D$9)&lt;=0),0,MAX(0,1-ABS(LOG10(N(Database!$I222)/Screener!$D$9))/W_SIZEHW))</f>
        <v/>
      </c>
      <c r="E222">
        <f>IF(OR(Database!$BE222="",Screener!$D$10=""),0,IF(Database!$BE222=Screener!$D$10,1,0))</f>
        <v/>
      </c>
      <c r="F222">
        <f>IF(OR(Database!$BK222="",Screener!$D$11=""),0,IF(Database!$BK222=Screener!$D$11,1,0))</f>
        <v/>
      </c>
      <c r="G222">
        <f>IF(OR(Database!$H222="",N(Screener!$D$12)&lt;=0),0,MAX(0,1-(N(Screener!$D$12)-Database!$H222)/W_RECD))</f>
        <v/>
      </c>
      <c r="H222">
        <f>IF($U$1="",0,N(ISNUMBER(SEARCH($U$1,Database!$Z222&amp;""))))+IF($V$1="",0,N(ISNUMBER(SEARCH($V$1,Database!$Z222&amp;""))))+IF($W$1="",0,N(ISNUMBER(SEARCH($W$1,Database!$Z222&amp;""))))+IF($X$1="",0,N(ISNUMBER(SEARCH($X$1,Database!$Z222&amp;""))))+IF($Y$1="",0,N(ISNUMBER(SEARCH($Y$1,Database!$Z222&amp;""))))+IF(Screener!$B$17="",0,N(ISNUMBER(SEARCH(LOWER(Screener!$B$17),Database!$Z222&amp;""))))</f>
        <v/>
      </c>
      <c r="I222">
        <f>IF(OR(N(Database!$BF222)&lt;=0,N(Screener!$D$13)&lt;=0),0,MAX(0,1-ABS(LOG10(N(Database!$BF222)/Screener!$D$13))/W_PEHW))</f>
        <v/>
      </c>
      <c r="J222">
        <f>IF(OR(N(Database!$S222)&lt;=0,N(Screener!$D$14)&lt;=0),0,MAX(0,1-ABS(LOG10(Database!$S222/Screener!$D$14))/0.6))</f>
        <v/>
      </c>
      <c r="K222">
        <f>IF(Database!$B222=Screener!$B$5,-999999,IF(ISNUMBER(SEARCH(","&amp;Database!$A222&amp;",",","&amp;SUBSTITUTE(Screener!$D$17," ","")&amp;",")),2000000,IF(IF(OR(Screener!$B$18="All",AND(Screener!$B$18="With A-share",(Database!$BK222="Y")),AND(Screener!$B$18="Without A-share",NOT((Database!$BK222="Y")))),1,0)=0,-999999,IF(Screener!$B$16="cornerstone overlap first",H222*100000,IF(Screener!$B$16="demand-similar first",J222*100000,0))+W_SUB*B222+W_SEC*C222*(1-B222)+W_SIZE*D222+W_PROF*E222+W_AH*F222+W_REC*G222+W_CS*H222+W_PE*I222)))+ROW()/1000000</f>
        <v/>
      </c>
      <c r="AA222">
        <f>Database!B212</f>
        <v/>
      </c>
      <c r="AB222">
        <f>Database!D212</f>
        <v/>
      </c>
      <c r="AC222">
        <f>Database!E212</f>
        <v/>
      </c>
      <c r="AD222">
        <f>Database!I212</f>
        <v/>
      </c>
      <c r="AE222">
        <f>Database!BE212</f>
        <v/>
      </c>
      <c r="AF222">
        <f>Database!BK212</f>
        <v/>
      </c>
      <c r="AG222">
        <f>Database!H212</f>
        <v/>
      </c>
      <c r="AH222">
        <f>Database!BF212</f>
        <v/>
      </c>
    </row>
    <row r="223">
      <c r="A223">
        <f>Database!B223</f>
        <v/>
      </c>
      <c r="B223">
        <f>IF(AND(Screener!$D$8&lt;&gt;"",Database!$E223=Screener!$D$8),1,0)</f>
        <v/>
      </c>
      <c r="C223">
        <f>IF(AND(Screener!$D$7&lt;&gt;"",Database!$D223=Screener!$D$7),1,0)</f>
        <v/>
      </c>
      <c r="D223">
        <f>IF(OR(N(Database!$I223)&lt;=0,N(Screener!$D$9)&lt;=0),0,MAX(0,1-ABS(LOG10(N(Database!$I223)/Screener!$D$9))/W_SIZEHW))</f>
        <v/>
      </c>
      <c r="E223">
        <f>IF(OR(Database!$BE223="",Screener!$D$10=""),0,IF(Database!$BE223=Screener!$D$10,1,0))</f>
        <v/>
      </c>
      <c r="F223">
        <f>IF(OR(Database!$BK223="",Screener!$D$11=""),0,IF(Database!$BK223=Screener!$D$11,1,0))</f>
        <v/>
      </c>
      <c r="G223">
        <f>IF(OR(Database!$H223="",N(Screener!$D$12)&lt;=0),0,MAX(0,1-(N(Screener!$D$12)-Database!$H223)/W_RECD))</f>
        <v/>
      </c>
      <c r="H223">
        <f>IF($U$1="",0,N(ISNUMBER(SEARCH($U$1,Database!$Z223&amp;""))))+IF($V$1="",0,N(ISNUMBER(SEARCH($V$1,Database!$Z223&amp;""))))+IF($W$1="",0,N(ISNUMBER(SEARCH($W$1,Database!$Z223&amp;""))))+IF($X$1="",0,N(ISNUMBER(SEARCH($X$1,Database!$Z223&amp;""))))+IF($Y$1="",0,N(ISNUMBER(SEARCH($Y$1,Database!$Z223&amp;""))))+IF(Screener!$B$17="",0,N(ISNUMBER(SEARCH(LOWER(Screener!$B$17),Database!$Z223&amp;""))))</f>
        <v/>
      </c>
      <c r="I223">
        <f>IF(OR(N(Database!$BF223)&lt;=0,N(Screener!$D$13)&lt;=0),0,MAX(0,1-ABS(LOG10(N(Database!$BF223)/Screener!$D$13))/W_PEHW))</f>
        <v/>
      </c>
      <c r="J223">
        <f>IF(OR(N(Database!$S223)&lt;=0,N(Screener!$D$14)&lt;=0),0,MAX(0,1-ABS(LOG10(Database!$S223/Screener!$D$14))/0.6))</f>
        <v/>
      </c>
      <c r="K223">
        <f>IF(Database!$B223=Screener!$B$5,-999999,IF(ISNUMBER(SEARCH(","&amp;Database!$A223&amp;",",","&amp;SUBSTITUTE(Screener!$D$17," ","")&amp;",")),2000000,IF(IF(OR(Screener!$B$18="All",AND(Screener!$B$18="With A-share",(Database!$BK223="Y")),AND(Screener!$B$18="Without A-share",NOT((Database!$BK223="Y")))),1,0)=0,-999999,IF(Screener!$B$16="cornerstone overlap first",H223*100000,IF(Screener!$B$16="demand-similar first",J223*100000,0))+W_SUB*B223+W_SEC*C223*(1-B223)+W_SIZE*D223+W_PROF*E223+W_AH*F223+W_REC*G223+W_CS*H223+W_PE*I223)))+ROW()/1000000</f>
        <v/>
      </c>
      <c r="AA223">
        <f>Database!B213</f>
        <v/>
      </c>
      <c r="AB223">
        <f>Database!D213</f>
        <v/>
      </c>
      <c r="AC223">
        <f>Database!E213</f>
        <v/>
      </c>
      <c r="AD223">
        <f>Database!I213</f>
        <v/>
      </c>
      <c r="AE223">
        <f>Database!BE213</f>
        <v/>
      </c>
      <c r="AF223">
        <f>Database!BK213</f>
        <v/>
      </c>
      <c r="AG223">
        <f>Database!H213</f>
        <v/>
      </c>
      <c r="AH223">
        <f>Database!BF213</f>
        <v/>
      </c>
    </row>
    <row r="224">
      <c r="A224">
        <f>Database!B224</f>
        <v/>
      </c>
      <c r="B224">
        <f>IF(AND(Screener!$D$8&lt;&gt;"",Database!$E224=Screener!$D$8),1,0)</f>
        <v/>
      </c>
      <c r="C224">
        <f>IF(AND(Screener!$D$7&lt;&gt;"",Database!$D224=Screener!$D$7),1,0)</f>
        <v/>
      </c>
      <c r="D224">
        <f>IF(OR(N(Database!$I224)&lt;=0,N(Screener!$D$9)&lt;=0),0,MAX(0,1-ABS(LOG10(N(Database!$I224)/Screener!$D$9))/W_SIZEHW))</f>
        <v/>
      </c>
      <c r="E224">
        <f>IF(OR(Database!$BE224="",Screener!$D$10=""),0,IF(Database!$BE224=Screener!$D$10,1,0))</f>
        <v/>
      </c>
      <c r="F224">
        <f>IF(OR(Database!$BK224="",Screener!$D$11=""),0,IF(Database!$BK224=Screener!$D$11,1,0))</f>
        <v/>
      </c>
      <c r="G224">
        <f>IF(OR(Database!$H224="",N(Screener!$D$12)&lt;=0),0,MAX(0,1-(N(Screener!$D$12)-Database!$H224)/W_RECD))</f>
        <v/>
      </c>
      <c r="H224">
        <f>IF($U$1="",0,N(ISNUMBER(SEARCH($U$1,Database!$Z224&amp;""))))+IF($V$1="",0,N(ISNUMBER(SEARCH($V$1,Database!$Z224&amp;""))))+IF($W$1="",0,N(ISNUMBER(SEARCH($W$1,Database!$Z224&amp;""))))+IF($X$1="",0,N(ISNUMBER(SEARCH($X$1,Database!$Z224&amp;""))))+IF($Y$1="",0,N(ISNUMBER(SEARCH($Y$1,Database!$Z224&amp;""))))+IF(Screener!$B$17="",0,N(ISNUMBER(SEARCH(LOWER(Screener!$B$17),Database!$Z224&amp;""))))</f>
        <v/>
      </c>
      <c r="I224">
        <f>IF(OR(N(Database!$BF224)&lt;=0,N(Screener!$D$13)&lt;=0),0,MAX(0,1-ABS(LOG10(N(Database!$BF224)/Screener!$D$13))/W_PEHW))</f>
        <v/>
      </c>
      <c r="J224">
        <f>IF(OR(N(Database!$S224)&lt;=0,N(Screener!$D$14)&lt;=0),0,MAX(0,1-ABS(LOG10(Database!$S224/Screener!$D$14))/0.6))</f>
        <v/>
      </c>
      <c r="K224">
        <f>IF(Database!$B224=Screener!$B$5,-999999,IF(ISNUMBER(SEARCH(","&amp;Database!$A224&amp;",",","&amp;SUBSTITUTE(Screener!$D$17," ","")&amp;",")),2000000,IF(IF(OR(Screener!$B$18="All",AND(Screener!$B$18="With A-share",(Database!$BK224="Y")),AND(Screener!$B$18="Without A-share",NOT((Database!$BK224="Y")))),1,0)=0,-999999,IF(Screener!$B$16="cornerstone overlap first",H224*100000,IF(Screener!$B$16="demand-similar first",J224*100000,0))+W_SUB*B224+W_SEC*C224*(1-B224)+W_SIZE*D224+W_PROF*E224+W_AH*F224+W_REC*G224+W_CS*H224+W_PE*I224)))+ROW()/1000000</f>
        <v/>
      </c>
      <c r="AA224">
        <f>Database!B214</f>
        <v/>
      </c>
      <c r="AB224">
        <f>Database!D214</f>
        <v/>
      </c>
      <c r="AC224">
        <f>Database!E214</f>
        <v/>
      </c>
      <c r="AD224">
        <f>Database!I214</f>
        <v/>
      </c>
      <c r="AE224">
        <f>Database!BE214</f>
        <v/>
      </c>
      <c r="AF224">
        <f>Database!BK214</f>
        <v/>
      </c>
      <c r="AG224">
        <f>Database!H214</f>
        <v/>
      </c>
      <c r="AH224">
        <f>Database!BF214</f>
        <v/>
      </c>
    </row>
    <row r="225">
      <c r="A225">
        <f>Database!B225</f>
        <v/>
      </c>
      <c r="B225">
        <f>IF(AND(Screener!$D$8&lt;&gt;"",Database!$E225=Screener!$D$8),1,0)</f>
        <v/>
      </c>
      <c r="C225">
        <f>IF(AND(Screener!$D$7&lt;&gt;"",Database!$D225=Screener!$D$7),1,0)</f>
        <v/>
      </c>
      <c r="D225">
        <f>IF(OR(N(Database!$I225)&lt;=0,N(Screener!$D$9)&lt;=0),0,MAX(0,1-ABS(LOG10(N(Database!$I225)/Screener!$D$9))/W_SIZEHW))</f>
        <v/>
      </c>
      <c r="E225">
        <f>IF(OR(Database!$BE225="",Screener!$D$10=""),0,IF(Database!$BE225=Screener!$D$10,1,0))</f>
        <v/>
      </c>
      <c r="F225">
        <f>IF(OR(Database!$BK225="",Screener!$D$11=""),0,IF(Database!$BK225=Screener!$D$11,1,0))</f>
        <v/>
      </c>
      <c r="G225">
        <f>IF(OR(Database!$H225="",N(Screener!$D$12)&lt;=0),0,MAX(0,1-(N(Screener!$D$12)-Database!$H225)/W_RECD))</f>
        <v/>
      </c>
      <c r="H225">
        <f>IF($U$1="",0,N(ISNUMBER(SEARCH($U$1,Database!$Z225&amp;""))))+IF($V$1="",0,N(ISNUMBER(SEARCH($V$1,Database!$Z225&amp;""))))+IF($W$1="",0,N(ISNUMBER(SEARCH($W$1,Database!$Z225&amp;""))))+IF($X$1="",0,N(ISNUMBER(SEARCH($X$1,Database!$Z225&amp;""))))+IF($Y$1="",0,N(ISNUMBER(SEARCH($Y$1,Database!$Z225&amp;""))))+IF(Screener!$B$17="",0,N(ISNUMBER(SEARCH(LOWER(Screener!$B$17),Database!$Z225&amp;""))))</f>
        <v/>
      </c>
      <c r="I225">
        <f>IF(OR(N(Database!$BF225)&lt;=0,N(Screener!$D$13)&lt;=0),0,MAX(0,1-ABS(LOG10(N(Database!$BF225)/Screener!$D$13))/W_PEHW))</f>
        <v/>
      </c>
      <c r="J225">
        <f>IF(OR(N(Database!$S225)&lt;=0,N(Screener!$D$14)&lt;=0),0,MAX(0,1-ABS(LOG10(Database!$S225/Screener!$D$14))/0.6))</f>
        <v/>
      </c>
      <c r="K225">
        <f>IF(Database!$B225=Screener!$B$5,-999999,IF(ISNUMBER(SEARCH(","&amp;Database!$A225&amp;",",","&amp;SUBSTITUTE(Screener!$D$17," ","")&amp;",")),2000000,IF(IF(OR(Screener!$B$18="All",AND(Screener!$B$18="With A-share",(Database!$BK225="Y")),AND(Screener!$B$18="Without A-share",NOT((Database!$BK225="Y")))),1,0)=0,-999999,IF(Screener!$B$16="cornerstone overlap first",H225*100000,IF(Screener!$B$16="demand-similar first",J225*100000,0))+W_SUB*B225+W_SEC*C225*(1-B225)+W_SIZE*D225+W_PROF*E225+W_AH*F225+W_REC*G225+W_CS*H225+W_PE*I225)))+ROW()/1000000</f>
        <v/>
      </c>
      <c r="AA225">
        <f>Database!B215</f>
        <v/>
      </c>
      <c r="AB225">
        <f>Database!D215</f>
        <v/>
      </c>
      <c r="AC225">
        <f>Database!E215</f>
        <v/>
      </c>
      <c r="AD225">
        <f>Database!I215</f>
        <v/>
      </c>
      <c r="AE225">
        <f>Database!BE215</f>
        <v/>
      </c>
      <c r="AF225">
        <f>Database!BK215</f>
        <v/>
      </c>
      <c r="AG225">
        <f>Database!H215</f>
        <v/>
      </c>
      <c r="AH225">
        <f>Database!BF215</f>
        <v/>
      </c>
    </row>
    <row r="226">
      <c r="A226">
        <f>Database!B226</f>
        <v/>
      </c>
      <c r="B226">
        <f>IF(AND(Screener!$D$8&lt;&gt;"",Database!$E226=Screener!$D$8),1,0)</f>
        <v/>
      </c>
      <c r="C226">
        <f>IF(AND(Screener!$D$7&lt;&gt;"",Database!$D226=Screener!$D$7),1,0)</f>
        <v/>
      </c>
      <c r="D226">
        <f>IF(OR(N(Database!$I226)&lt;=0,N(Screener!$D$9)&lt;=0),0,MAX(0,1-ABS(LOG10(N(Database!$I226)/Screener!$D$9))/W_SIZEHW))</f>
        <v/>
      </c>
      <c r="E226">
        <f>IF(OR(Database!$BE226="",Screener!$D$10=""),0,IF(Database!$BE226=Screener!$D$10,1,0))</f>
        <v/>
      </c>
      <c r="F226">
        <f>IF(OR(Database!$BK226="",Screener!$D$11=""),0,IF(Database!$BK226=Screener!$D$11,1,0))</f>
        <v/>
      </c>
      <c r="G226">
        <f>IF(OR(Database!$H226="",N(Screener!$D$12)&lt;=0),0,MAX(0,1-(N(Screener!$D$12)-Database!$H226)/W_RECD))</f>
        <v/>
      </c>
      <c r="H226">
        <f>IF($U$1="",0,N(ISNUMBER(SEARCH($U$1,Database!$Z226&amp;""))))+IF($V$1="",0,N(ISNUMBER(SEARCH($V$1,Database!$Z226&amp;""))))+IF($W$1="",0,N(ISNUMBER(SEARCH($W$1,Database!$Z226&amp;""))))+IF($X$1="",0,N(ISNUMBER(SEARCH($X$1,Database!$Z226&amp;""))))+IF($Y$1="",0,N(ISNUMBER(SEARCH($Y$1,Database!$Z226&amp;""))))+IF(Screener!$B$17="",0,N(ISNUMBER(SEARCH(LOWER(Screener!$B$17),Database!$Z226&amp;""))))</f>
        <v/>
      </c>
      <c r="I226">
        <f>IF(OR(N(Database!$BF226)&lt;=0,N(Screener!$D$13)&lt;=0),0,MAX(0,1-ABS(LOG10(N(Database!$BF226)/Screener!$D$13))/W_PEHW))</f>
        <v/>
      </c>
      <c r="J226">
        <f>IF(OR(N(Database!$S226)&lt;=0,N(Screener!$D$14)&lt;=0),0,MAX(0,1-ABS(LOG10(Database!$S226/Screener!$D$14))/0.6))</f>
        <v/>
      </c>
      <c r="K226">
        <f>IF(Database!$B226=Screener!$B$5,-999999,IF(ISNUMBER(SEARCH(","&amp;Database!$A226&amp;",",","&amp;SUBSTITUTE(Screener!$D$17," ","")&amp;",")),2000000,IF(IF(OR(Screener!$B$18="All",AND(Screener!$B$18="With A-share",(Database!$BK226="Y")),AND(Screener!$B$18="Without A-share",NOT((Database!$BK226="Y")))),1,0)=0,-999999,IF(Screener!$B$16="cornerstone overlap first",H226*100000,IF(Screener!$B$16="demand-similar first",J226*100000,0))+W_SUB*B226+W_SEC*C226*(1-B226)+W_SIZE*D226+W_PROF*E226+W_AH*F226+W_REC*G226+W_CS*H226+W_PE*I226)))+ROW()/1000000</f>
        <v/>
      </c>
      <c r="AA226">
        <f>Database!B216</f>
        <v/>
      </c>
      <c r="AB226">
        <f>Database!D216</f>
        <v/>
      </c>
      <c r="AC226">
        <f>Database!E216</f>
        <v/>
      </c>
      <c r="AD226">
        <f>Database!I216</f>
        <v/>
      </c>
      <c r="AE226">
        <f>Database!BE216</f>
        <v/>
      </c>
      <c r="AF226">
        <f>Database!BK216</f>
        <v/>
      </c>
      <c r="AG226">
        <f>Database!H216</f>
        <v/>
      </c>
      <c r="AH226">
        <f>Database!BF216</f>
        <v/>
      </c>
    </row>
    <row r="227">
      <c r="A227">
        <f>Database!B227</f>
        <v/>
      </c>
      <c r="B227">
        <f>IF(AND(Screener!$D$8&lt;&gt;"",Database!$E227=Screener!$D$8),1,0)</f>
        <v/>
      </c>
      <c r="C227">
        <f>IF(AND(Screener!$D$7&lt;&gt;"",Database!$D227=Screener!$D$7),1,0)</f>
        <v/>
      </c>
      <c r="D227">
        <f>IF(OR(N(Database!$I227)&lt;=0,N(Screener!$D$9)&lt;=0),0,MAX(0,1-ABS(LOG10(N(Database!$I227)/Screener!$D$9))/W_SIZEHW))</f>
        <v/>
      </c>
      <c r="E227">
        <f>IF(OR(Database!$BE227="",Screener!$D$10=""),0,IF(Database!$BE227=Screener!$D$10,1,0))</f>
        <v/>
      </c>
      <c r="F227">
        <f>IF(OR(Database!$BK227="",Screener!$D$11=""),0,IF(Database!$BK227=Screener!$D$11,1,0))</f>
        <v/>
      </c>
      <c r="G227">
        <f>IF(OR(Database!$H227="",N(Screener!$D$12)&lt;=0),0,MAX(0,1-(N(Screener!$D$12)-Database!$H227)/W_RECD))</f>
        <v/>
      </c>
      <c r="H227">
        <f>IF($U$1="",0,N(ISNUMBER(SEARCH($U$1,Database!$Z227&amp;""))))+IF($V$1="",0,N(ISNUMBER(SEARCH($V$1,Database!$Z227&amp;""))))+IF($W$1="",0,N(ISNUMBER(SEARCH($W$1,Database!$Z227&amp;""))))+IF($X$1="",0,N(ISNUMBER(SEARCH($X$1,Database!$Z227&amp;""))))+IF($Y$1="",0,N(ISNUMBER(SEARCH($Y$1,Database!$Z227&amp;""))))+IF(Screener!$B$17="",0,N(ISNUMBER(SEARCH(LOWER(Screener!$B$17),Database!$Z227&amp;""))))</f>
        <v/>
      </c>
      <c r="I227">
        <f>IF(OR(N(Database!$BF227)&lt;=0,N(Screener!$D$13)&lt;=0),0,MAX(0,1-ABS(LOG10(N(Database!$BF227)/Screener!$D$13))/W_PEHW))</f>
        <v/>
      </c>
      <c r="J227">
        <f>IF(OR(N(Database!$S227)&lt;=0,N(Screener!$D$14)&lt;=0),0,MAX(0,1-ABS(LOG10(Database!$S227/Screener!$D$14))/0.6))</f>
        <v/>
      </c>
      <c r="K227">
        <f>IF(Database!$B227=Screener!$B$5,-999999,IF(ISNUMBER(SEARCH(","&amp;Database!$A227&amp;",",","&amp;SUBSTITUTE(Screener!$D$17," ","")&amp;",")),2000000,IF(IF(OR(Screener!$B$18="All",AND(Screener!$B$18="With A-share",(Database!$BK227="Y")),AND(Screener!$B$18="Without A-share",NOT((Database!$BK227="Y")))),1,0)=0,-999999,IF(Screener!$B$16="cornerstone overlap first",H227*100000,IF(Screener!$B$16="demand-similar first",J227*100000,0))+W_SUB*B227+W_SEC*C227*(1-B227)+W_SIZE*D227+W_PROF*E227+W_AH*F227+W_REC*G227+W_CS*H227+W_PE*I227)))+ROW()/1000000</f>
        <v/>
      </c>
      <c r="AA227">
        <f>Database!B217</f>
        <v/>
      </c>
      <c r="AB227">
        <f>Database!D217</f>
        <v/>
      </c>
      <c r="AC227">
        <f>Database!E217</f>
        <v/>
      </c>
      <c r="AD227">
        <f>Database!I217</f>
        <v/>
      </c>
      <c r="AE227">
        <f>Database!BE217</f>
        <v/>
      </c>
      <c r="AF227">
        <f>Database!BK217</f>
        <v/>
      </c>
      <c r="AG227">
        <f>Database!H217</f>
        <v/>
      </c>
      <c r="AH227">
        <f>Database!BF217</f>
        <v/>
      </c>
    </row>
    <row r="228">
      <c r="A228">
        <f>Database!B228</f>
        <v/>
      </c>
      <c r="B228">
        <f>IF(AND(Screener!$D$8&lt;&gt;"",Database!$E228=Screener!$D$8),1,0)</f>
        <v/>
      </c>
      <c r="C228">
        <f>IF(AND(Screener!$D$7&lt;&gt;"",Database!$D228=Screener!$D$7),1,0)</f>
        <v/>
      </c>
      <c r="D228">
        <f>IF(OR(N(Database!$I228)&lt;=0,N(Screener!$D$9)&lt;=0),0,MAX(0,1-ABS(LOG10(N(Database!$I228)/Screener!$D$9))/W_SIZEHW))</f>
        <v/>
      </c>
      <c r="E228">
        <f>IF(OR(Database!$BE228="",Screener!$D$10=""),0,IF(Database!$BE228=Screener!$D$10,1,0))</f>
        <v/>
      </c>
      <c r="F228">
        <f>IF(OR(Database!$BK228="",Screener!$D$11=""),0,IF(Database!$BK228=Screener!$D$11,1,0))</f>
        <v/>
      </c>
      <c r="G228">
        <f>IF(OR(Database!$H228="",N(Screener!$D$12)&lt;=0),0,MAX(0,1-(N(Screener!$D$12)-Database!$H228)/W_RECD))</f>
        <v/>
      </c>
      <c r="H228">
        <f>IF($U$1="",0,N(ISNUMBER(SEARCH($U$1,Database!$Z228&amp;""))))+IF($V$1="",0,N(ISNUMBER(SEARCH($V$1,Database!$Z228&amp;""))))+IF($W$1="",0,N(ISNUMBER(SEARCH($W$1,Database!$Z228&amp;""))))+IF($X$1="",0,N(ISNUMBER(SEARCH($X$1,Database!$Z228&amp;""))))+IF($Y$1="",0,N(ISNUMBER(SEARCH($Y$1,Database!$Z228&amp;""))))+IF(Screener!$B$17="",0,N(ISNUMBER(SEARCH(LOWER(Screener!$B$17),Database!$Z228&amp;""))))</f>
        <v/>
      </c>
      <c r="I228">
        <f>IF(OR(N(Database!$BF228)&lt;=0,N(Screener!$D$13)&lt;=0),0,MAX(0,1-ABS(LOG10(N(Database!$BF228)/Screener!$D$13))/W_PEHW))</f>
        <v/>
      </c>
      <c r="J228">
        <f>IF(OR(N(Database!$S228)&lt;=0,N(Screener!$D$14)&lt;=0),0,MAX(0,1-ABS(LOG10(Database!$S228/Screener!$D$14))/0.6))</f>
        <v/>
      </c>
      <c r="K228">
        <f>IF(Database!$B228=Screener!$B$5,-999999,IF(ISNUMBER(SEARCH(","&amp;Database!$A228&amp;",",","&amp;SUBSTITUTE(Screener!$D$17," ","")&amp;",")),2000000,IF(IF(OR(Screener!$B$18="All",AND(Screener!$B$18="With A-share",(Database!$BK228="Y")),AND(Screener!$B$18="Without A-share",NOT((Database!$BK228="Y")))),1,0)=0,-999999,IF(Screener!$B$16="cornerstone overlap first",H228*100000,IF(Screener!$B$16="demand-similar first",J228*100000,0))+W_SUB*B228+W_SEC*C228*(1-B228)+W_SIZE*D228+W_PROF*E228+W_AH*F228+W_REC*G228+W_CS*H228+W_PE*I228)))+ROW()/1000000</f>
        <v/>
      </c>
      <c r="AA228">
        <f>Database!B218</f>
        <v/>
      </c>
      <c r="AB228">
        <f>Database!D218</f>
        <v/>
      </c>
      <c r="AC228">
        <f>Database!E218</f>
        <v/>
      </c>
      <c r="AD228">
        <f>Database!I218</f>
        <v/>
      </c>
      <c r="AE228">
        <f>Database!BE218</f>
        <v/>
      </c>
      <c r="AF228">
        <f>Database!BK218</f>
        <v/>
      </c>
      <c r="AG228">
        <f>Database!H218</f>
        <v/>
      </c>
      <c r="AH228">
        <f>Database!BF218</f>
        <v/>
      </c>
    </row>
    <row r="229">
      <c r="A229">
        <f>Database!B229</f>
        <v/>
      </c>
      <c r="B229">
        <f>IF(AND(Screener!$D$8&lt;&gt;"",Database!$E229=Screener!$D$8),1,0)</f>
        <v/>
      </c>
      <c r="C229">
        <f>IF(AND(Screener!$D$7&lt;&gt;"",Database!$D229=Screener!$D$7),1,0)</f>
        <v/>
      </c>
      <c r="D229">
        <f>IF(OR(N(Database!$I229)&lt;=0,N(Screener!$D$9)&lt;=0),0,MAX(0,1-ABS(LOG10(N(Database!$I229)/Screener!$D$9))/W_SIZEHW))</f>
        <v/>
      </c>
      <c r="E229">
        <f>IF(OR(Database!$BE229="",Screener!$D$10=""),0,IF(Database!$BE229=Screener!$D$10,1,0))</f>
        <v/>
      </c>
      <c r="F229">
        <f>IF(OR(Database!$BK229="",Screener!$D$11=""),0,IF(Database!$BK229=Screener!$D$11,1,0))</f>
        <v/>
      </c>
      <c r="G229">
        <f>IF(OR(Database!$H229="",N(Screener!$D$12)&lt;=0),0,MAX(0,1-(N(Screener!$D$12)-Database!$H229)/W_RECD))</f>
        <v/>
      </c>
      <c r="H229">
        <f>IF($U$1="",0,N(ISNUMBER(SEARCH($U$1,Database!$Z229&amp;""))))+IF($V$1="",0,N(ISNUMBER(SEARCH($V$1,Database!$Z229&amp;""))))+IF($W$1="",0,N(ISNUMBER(SEARCH($W$1,Database!$Z229&amp;""))))+IF($X$1="",0,N(ISNUMBER(SEARCH($X$1,Database!$Z229&amp;""))))+IF($Y$1="",0,N(ISNUMBER(SEARCH($Y$1,Database!$Z229&amp;""))))+IF(Screener!$B$17="",0,N(ISNUMBER(SEARCH(LOWER(Screener!$B$17),Database!$Z229&amp;""))))</f>
        <v/>
      </c>
      <c r="I229">
        <f>IF(OR(N(Database!$BF229)&lt;=0,N(Screener!$D$13)&lt;=0),0,MAX(0,1-ABS(LOG10(N(Database!$BF229)/Screener!$D$13))/W_PEHW))</f>
        <v/>
      </c>
      <c r="J229">
        <f>IF(OR(N(Database!$S229)&lt;=0,N(Screener!$D$14)&lt;=0),0,MAX(0,1-ABS(LOG10(Database!$S229/Screener!$D$14))/0.6))</f>
        <v/>
      </c>
      <c r="K229">
        <f>IF(Database!$B229=Screener!$B$5,-999999,IF(ISNUMBER(SEARCH(","&amp;Database!$A229&amp;",",","&amp;SUBSTITUTE(Screener!$D$17," ","")&amp;",")),2000000,IF(IF(OR(Screener!$B$18="All",AND(Screener!$B$18="With A-share",(Database!$BK229="Y")),AND(Screener!$B$18="Without A-share",NOT((Database!$BK229="Y")))),1,0)=0,-999999,IF(Screener!$B$16="cornerstone overlap first",H229*100000,IF(Screener!$B$16="demand-similar first",J229*100000,0))+W_SUB*B229+W_SEC*C229*(1-B229)+W_SIZE*D229+W_PROF*E229+W_AH*F229+W_REC*G229+W_CS*H229+W_PE*I229)))+ROW()/1000000</f>
        <v/>
      </c>
      <c r="AA229">
        <f>Database!B219</f>
        <v/>
      </c>
      <c r="AB229">
        <f>Database!D219</f>
        <v/>
      </c>
      <c r="AC229">
        <f>Database!E219</f>
        <v/>
      </c>
      <c r="AD229">
        <f>Database!I219</f>
        <v/>
      </c>
      <c r="AE229">
        <f>Database!BE219</f>
        <v/>
      </c>
      <c r="AF229">
        <f>Database!BK219</f>
        <v/>
      </c>
      <c r="AG229">
        <f>Database!H219</f>
        <v/>
      </c>
      <c r="AH229">
        <f>Database!BF219</f>
        <v/>
      </c>
    </row>
    <row r="230">
      <c r="A230">
        <f>Database!B230</f>
        <v/>
      </c>
      <c r="B230">
        <f>IF(AND(Screener!$D$8&lt;&gt;"",Database!$E230=Screener!$D$8),1,0)</f>
        <v/>
      </c>
      <c r="C230">
        <f>IF(AND(Screener!$D$7&lt;&gt;"",Database!$D230=Screener!$D$7),1,0)</f>
        <v/>
      </c>
      <c r="D230">
        <f>IF(OR(N(Database!$I230)&lt;=0,N(Screener!$D$9)&lt;=0),0,MAX(0,1-ABS(LOG10(N(Database!$I230)/Screener!$D$9))/W_SIZEHW))</f>
        <v/>
      </c>
      <c r="E230">
        <f>IF(OR(Database!$BE230="",Screener!$D$10=""),0,IF(Database!$BE230=Screener!$D$10,1,0))</f>
        <v/>
      </c>
      <c r="F230">
        <f>IF(OR(Database!$BK230="",Screener!$D$11=""),0,IF(Database!$BK230=Screener!$D$11,1,0))</f>
        <v/>
      </c>
      <c r="G230">
        <f>IF(OR(Database!$H230="",N(Screener!$D$12)&lt;=0),0,MAX(0,1-(N(Screener!$D$12)-Database!$H230)/W_RECD))</f>
        <v/>
      </c>
      <c r="H230">
        <f>IF($U$1="",0,N(ISNUMBER(SEARCH($U$1,Database!$Z230&amp;""))))+IF($V$1="",0,N(ISNUMBER(SEARCH($V$1,Database!$Z230&amp;""))))+IF($W$1="",0,N(ISNUMBER(SEARCH($W$1,Database!$Z230&amp;""))))+IF($X$1="",0,N(ISNUMBER(SEARCH($X$1,Database!$Z230&amp;""))))+IF($Y$1="",0,N(ISNUMBER(SEARCH($Y$1,Database!$Z230&amp;""))))+IF(Screener!$B$17="",0,N(ISNUMBER(SEARCH(LOWER(Screener!$B$17),Database!$Z230&amp;""))))</f>
        <v/>
      </c>
      <c r="I230">
        <f>IF(OR(N(Database!$BF230)&lt;=0,N(Screener!$D$13)&lt;=0),0,MAX(0,1-ABS(LOG10(N(Database!$BF230)/Screener!$D$13))/W_PEHW))</f>
        <v/>
      </c>
      <c r="J230">
        <f>IF(OR(N(Database!$S230)&lt;=0,N(Screener!$D$14)&lt;=0),0,MAX(0,1-ABS(LOG10(Database!$S230/Screener!$D$14))/0.6))</f>
        <v/>
      </c>
      <c r="K230">
        <f>IF(Database!$B230=Screener!$B$5,-999999,IF(ISNUMBER(SEARCH(","&amp;Database!$A230&amp;",",","&amp;SUBSTITUTE(Screener!$D$17," ","")&amp;",")),2000000,IF(IF(OR(Screener!$B$18="All",AND(Screener!$B$18="With A-share",(Database!$BK230="Y")),AND(Screener!$B$18="Without A-share",NOT((Database!$BK230="Y")))),1,0)=0,-999999,IF(Screener!$B$16="cornerstone overlap first",H230*100000,IF(Screener!$B$16="demand-similar first",J230*100000,0))+W_SUB*B230+W_SEC*C230*(1-B230)+W_SIZE*D230+W_PROF*E230+W_AH*F230+W_REC*G230+W_CS*H230+W_PE*I230)))+ROW()/1000000</f>
        <v/>
      </c>
      <c r="AA230">
        <f>Database!B220</f>
        <v/>
      </c>
      <c r="AB230">
        <f>Database!D220</f>
        <v/>
      </c>
      <c r="AC230">
        <f>Database!E220</f>
        <v/>
      </c>
      <c r="AD230">
        <f>Database!I220</f>
        <v/>
      </c>
      <c r="AE230">
        <f>Database!BE220</f>
        <v/>
      </c>
      <c r="AF230">
        <f>Database!BK220</f>
        <v/>
      </c>
      <c r="AG230">
        <f>Database!H220</f>
        <v/>
      </c>
      <c r="AH230">
        <f>Database!BF220</f>
        <v/>
      </c>
    </row>
    <row r="231">
      <c r="A231">
        <f>Database!B231</f>
        <v/>
      </c>
      <c r="B231">
        <f>IF(AND(Screener!$D$8&lt;&gt;"",Database!$E231=Screener!$D$8),1,0)</f>
        <v/>
      </c>
      <c r="C231">
        <f>IF(AND(Screener!$D$7&lt;&gt;"",Database!$D231=Screener!$D$7),1,0)</f>
        <v/>
      </c>
      <c r="D231">
        <f>IF(OR(N(Database!$I231)&lt;=0,N(Screener!$D$9)&lt;=0),0,MAX(0,1-ABS(LOG10(N(Database!$I231)/Screener!$D$9))/W_SIZEHW))</f>
        <v/>
      </c>
      <c r="E231">
        <f>IF(OR(Database!$BE231="",Screener!$D$10=""),0,IF(Database!$BE231=Screener!$D$10,1,0))</f>
        <v/>
      </c>
      <c r="F231">
        <f>IF(OR(Database!$BK231="",Screener!$D$11=""),0,IF(Database!$BK231=Screener!$D$11,1,0))</f>
        <v/>
      </c>
      <c r="G231">
        <f>IF(OR(Database!$H231="",N(Screener!$D$12)&lt;=0),0,MAX(0,1-(N(Screener!$D$12)-Database!$H231)/W_RECD))</f>
        <v/>
      </c>
      <c r="H231">
        <f>IF($U$1="",0,N(ISNUMBER(SEARCH($U$1,Database!$Z231&amp;""))))+IF($V$1="",0,N(ISNUMBER(SEARCH($V$1,Database!$Z231&amp;""))))+IF($W$1="",0,N(ISNUMBER(SEARCH($W$1,Database!$Z231&amp;""))))+IF($X$1="",0,N(ISNUMBER(SEARCH($X$1,Database!$Z231&amp;""))))+IF($Y$1="",0,N(ISNUMBER(SEARCH($Y$1,Database!$Z231&amp;""))))+IF(Screener!$B$17="",0,N(ISNUMBER(SEARCH(LOWER(Screener!$B$17),Database!$Z231&amp;""))))</f>
        <v/>
      </c>
      <c r="I231">
        <f>IF(OR(N(Database!$BF231)&lt;=0,N(Screener!$D$13)&lt;=0),0,MAX(0,1-ABS(LOG10(N(Database!$BF231)/Screener!$D$13))/W_PEHW))</f>
        <v/>
      </c>
      <c r="J231">
        <f>IF(OR(N(Database!$S231)&lt;=0,N(Screener!$D$14)&lt;=0),0,MAX(0,1-ABS(LOG10(Database!$S231/Screener!$D$14))/0.6))</f>
        <v/>
      </c>
      <c r="K231">
        <f>IF(Database!$B231=Screener!$B$5,-999999,IF(ISNUMBER(SEARCH(","&amp;Database!$A231&amp;",",","&amp;SUBSTITUTE(Screener!$D$17," ","")&amp;",")),2000000,IF(IF(OR(Screener!$B$18="All",AND(Screener!$B$18="With A-share",(Database!$BK231="Y")),AND(Screener!$B$18="Without A-share",NOT((Database!$BK231="Y")))),1,0)=0,-999999,IF(Screener!$B$16="cornerstone overlap first",H231*100000,IF(Screener!$B$16="demand-similar first",J231*100000,0))+W_SUB*B231+W_SEC*C231*(1-B231)+W_SIZE*D231+W_PROF*E231+W_AH*F231+W_REC*G231+W_CS*H231+W_PE*I231)))+ROW()/1000000</f>
        <v/>
      </c>
      <c r="AA231">
        <f>Database!B221</f>
        <v/>
      </c>
      <c r="AB231">
        <f>Database!D221</f>
        <v/>
      </c>
      <c r="AC231">
        <f>Database!E221</f>
        <v/>
      </c>
      <c r="AD231">
        <f>Database!I221</f>
        <v/>
      </c>
      <c r="AE231">
        <f>Database!BE221</f>
        <v/>
      </c>
      <c r="AF231">
        <f>Database!BK221</f>
        <v/>
      </c>
      <c r="AG231">
        <f>Database!H221</f>
        <v/>
      </c>
      <c r="AH231">
        <f>Database!BF221</f>
        <v/>
      </c>
    </row>
    <row r="232">
      <c r="A232">
        <f>Database!B232</f>
        <v/>
      </c>
      <c r="B232">
        <f>IF(AND(Screener!$D$8&lt;&gt;"",Database!$E232=Screener!$D$8),1,0)</f>
        <v/>
      </c>
      <c r="C232">
        <f>IF(AND(Screener!$D$7&lt;&gt;"",Database!$D232=Screener!$D$7),1,0)</f>
        <v/>
      </c>
      <c r="D232">
        <f>IF(OR(N(Database!$I232)&lt;=0,N(Screener!$D$9)&lt;=0),0,MAX(0,1-ABS(LOG10(N(Database!$I232)/Screener!$D$9))/W_SIZEHW))</f>
        <v/>
      </c>
      <c r="E232">
        <f>IF(OR(Database!$BE232="",Screener!$D$10=""),0,IF(Database!$BE232=Screener!$D$10,1,0))</f>
        <v/>
      </c>
      <c r="F232">
        <f>IF(OR(Database!$BK232="",Screener!$D$11=""),0,IF(Database!$BK232=Screener!$D$11,1,0))</f>
        <v/>
      </c>
      <c r="G232">
        <f>IF(OR(Database!$H232="",N(Screener!$D$12)&lt;=0),0,MAX(0,1-(N(Screener!$D$12)-Database!$H232)/W_RECD))</f>
        <v/>
      </c>
      <c r="H232">
        <f>IF($U$1="",0,N(ISNUMBER(SEARCH($U$1,Database!$Z232&amp;""))))+IF($V$1="",0,N(ISNUMBER(SEARCH($V$1,Database!$Z232&amp;""))))+IF($W$1="",0,N(ISNUMBER(SEARCH($W$1,Database!$Z232&amp;""))))+IF($X$1="",0,N(ISNUMBER(SEARCH($X$1,Database!$Z232&amp;""))))+IF($Y$1="",0,N(ISNUMBER(SEARCH($Y$1,Database!$Z232&amp;""))))+IF(Screener!$B$17="",0,N(ISNUMBER(SEARCH(LOWER(Screener!$B$17),Database!$Z232&amp;""))))</f>
        <v/>
      </c>
      <c r="I232">
        <f>IF(OR(N(Database!$BF232)&lt;=0,N(Screener!$D$13)&lt;=0),0,MAX(0,1-ABS(LOG10(N(Database!$BF232)/Screener!$D$13))/W_PEHW))</f>
        <v/>
      </c>
      <c r="J232">
        <f>IF(OR(N(Database!$S232)&lt;=0,N(Screener!$D$14)&lt;=0),0,MAX(0,1-ABS(LOG10(Database!$S232/Screener!$D$14))/0.6))</f>
        <v/>
      </c>
      <c r="K232">
        <f>IF(Database!$B232=Screener!$B$5,-999999,IF(ISNUMBER(SEARCH(","&amp;Database!$A232&amp;",",","&amp;SUBSTITUTE(Screener!$D$17," ","")&amp;",")),2000000,IF(IF(OR(Screener!$B$18="All",AND(Screener!$B$18="With A-share",(Database!$BK232="Y")),AND(Screener!$B$18="Without A-share",NOT((Database!$BK232="Y")))),1,0)=0,-999999,IF(Screener!$B$16="cornerstone overlap first",H232*100000,IF(Screener!$B$16="demand-similar first",J232*100000,0))+W_SUB*B232+W_SEC*C232*(1-B232)+W_SIZE*D232+W_PROF*E232+W_AH*F232+W_REC*G232+W_CS*H232+W_PE*I232)))+ROW()/1000000</f>
        <v/>
      </c>
      <c r="AA232">
        <f>Database!B222</f>
        <v/>
      </c>
      <c r="AB232">
        <f>Database!D222</f>
        <v/>
      </c>
      <c r="AC232">
        <f>Database!E222</f>
        <v/>
      </c>
      <c r="AD232">
        <f>Database!I222</f>
        <v/>
      </c>
      <c r="AE232">
        <f>Database!BE222</f>
        <v/>
      </c>
      <c r="AF232">
        <f>Database!BK222</f>
        <v/>
      </c>
      <c r="AG232">
        <f>Database!H222</f>
        <v/>
      </c>
      <c r="AH232">
        <f>Database!BF222</f>
        <v/>
      </c>
    </row>
    <row r="233">
      <c r="A233">
        <f>Database!B233</f>
        <v/>
      </c>
      <c r="B233">
        <f>IF(AND(Screener!$D$8&lt;&gt;"",Database!$E233=Screener!$D$8),1,0)</f>
        <v/>
      </c>
      <c r="C233">
        <f>IF(AND(Screener!$D$7&lt;&gt;"",Database!$D233=Screener!$D$7),1,0)</f>
        <v/>
      </c>
      <c r="D233">
        <f>IF(OR(N(Database!$I233)&lt;=0,N(Screener!$D$9)&lt;=0),0,MAX(0,1-ABS(LOG10(N(Database!$I233)/Screener!$D$9))/W_SIZEHW))</f>
        <v/>
      </c>
      <c r="E233">
        <f>IF(OR(Database!$BE233="",Screener!$D$10=""),0,IF(Database!$BE233=Screener!$D$10,1,0))</f>
        <v/>
      </c>
      <c r="F233">
        <f>IF(OR(Database!$BK233="",Screener!$D$11=""),0,IF(Database!$BK233=Screener!$D$11,1,0))</f>
        <v/>
      </c>
      <c r="G233">
        <f>IF(OR(Database!$H233="",N(Screener!$D$12)&lt;=0),0,MAX(0,1-(N(Screener!$D$12)-Database!$H233)/W_RECD))</f>
        <v/>
      </c>
      <c r="H233">
        <f>IF($U$1="",0,N(ISNUMBER(SEARCH($U$1,Database!$Z233&amp;""))))+IF($V$1="",0,N(ISNUMBER(SEARCH($V$1,Database!$Z233&amp;""))))+IF($W$1="",0,N(ISNUMBER(SEARCH($W$1,Database!$Z233&amp;""))))+IF($X$1="",0,N(ISNUMBER(SEARCH($X$1,Database!$Z233&amp;""))))+IF($Y$1="",0,N(ISNUMBER(SEARCH($Y$1,Database!$Z233&amp;""))))+IF(Screener!$B$17="",0,N(ISNUMBER(SEARCH(LOWER(Screener!$B$17),Database!$Z233&amp;""))))</f>
        <v/>
      </c>
      <c r="I233">
        <f>IF(OR(N(Database!$BF233)&lt;=0,N(Screener!$D$13)&lt;=0),0,MAX(0,1-ABS(LOG10(N(Database!$BF233)/Screener!$D$13))/W_PEHW))</f>
        <v/>
      </c>
      <c r="J233">
        <f>IF(OR(N(Database!$S233)&lt;=0,N(Screener!$D$14)&lt;=0),0,MAX(0,1-ABS(LOG10(Database!$S233/Screener!$D$14))/0.6))</f>
        <v/>
      </c>
      <c r="K233">
        <f>IF(Database!$B233=Screener!$B$5,-999999,IF(ISNUMBER(SEARCH(","&amp;Database!$A233&amp;",",","&amp;SUBSTITUTE(Screener!$D$17," ","")&amp;",")),2000000,IF(IF(OR(Screener!$B$18="All",AND(Screener!$B$18="With A-share",(Database!$BK233="Y")),AND(Screener!$B$18="Without A-share",NOT((Database!$BK233="Y")))),1,0)=0,-999999,IF(Screener!$B$16="cornerstone overlap first",H233*100000,IF(Screener!$B$16="demand-similar first",J233*100000,0))+W_SUB*B233+W_SEC*C233*(1-B233)+W_SIZE*D233+W_PROF*E233+W_AH*F233+W_REC*G233+W_CS*H233+W_PE*I233)))+ROW()/1000000</f>
        <v/>
      </c>
      <c r="AA233">
        <f>Database!B223</f>
        <v/>
      </c>
      <c r="AB233">
        <f>Database!D223</f>
        <v/>
      </c>
      <c r="AC233">
        <f>Database!E223</f>
        <v/>
      </c>
      <c r="AD233">
        <f>Database!I223</f>
        <v/>
      </c>
      <c r="AE233">
        <f>Database!BE223</f>
        <v/>
      </c>
      <c r="AF233">
        <f>Database!BK223</f>
        <v/>
      </c>
      <c r="AG233">
        <f>Database!H223</f>
        <v/>
      </c>
      <c r="AH233">
        <f>Database!BF223</f>
        <v/>
      </c>
    </row>
    <row r="234">
      <c r="A234">
        <f>Database!B234</f>
        <v/>
      </c>
      <c r="B234">
        <f>IF(AND(Screener!$D$8&lt;&gt;"",Database!$E234=Screener!$D$8),1,0)</f>
        <v/>
      </c>
      <c r="C234">
        <f>IF(AND(Screener!$D$7&lt;&gt;"",Database!$D234=Screener!$D$7),1,0)</f>
        <v/>
      </c>
      <c r="D234">
        <f>IF(OR(N(Database!$I234)&lt;=0,N(Screener!$D$9)&lt;=0),0,MAX(0,1-ABS(LOG10(N(Database!$I234)/Screener!$D$9))/W_SIZEHW))</f>
        <v/>
      </c>
      <c r="E234">
        <f>IF(OR(Database!$BE234="",Screener!$D$10=""),0,IF(Database!$BE234=Screener!$D$10,1,0))</f>
        <v/>
      </c>
      <c r="F234">
        <f>IF(OR(Database!$BK234="",Screener!$D$11=""),0,IF(Database!$BK234=Screener!$D$11,1,0))</f>
        <v/>
      </c>
      <c r="G234">
        <f>IF(OR(Database!$H234="",N(Screener!$D$12)&lt;=0),0,MAX(0,1-(N(Screener!$D$12)-Database!$H234)/W_RECD))</f>
        <v/>
      </c>
      <c r="H234">
        <f>IF($U$1="",0,N(ISNUMBER(SEARCH($U$1,Database!$Z234&amp;""))))+IF($V$1="",0,N(ISNUMBER(SEARCH($V$1,Database!$Z234&amp;""))))+IF($W$1="",0,N(ISNUMBER(SEARCH($W$1,Database!$Z234&amp;""))))+IF($X$1="",0,N(ISNUMBER(SEARCH($X$1,Database!$Z234&amp;""))))+IF($Y$1="",0,N(ISNUMBER(SEARCH($Y$1,Database!$Z234&amp;""))))+IF(Screener!$B$17="",0,N(ISNUMBER(SEARCH(LOWER(Screener!$B$17),Database!$Z234&amp;""))))</f>
        <v/>
      </c>
      <c r="I234">
        <f>IF(OR(N(Database!$BF234)&lt;=0,N(Screener!$D$13)&lt;=0),0,MAX(0,1-ABS(LOG10(N(Database!$BF234)/Screener!$D$13))/W_PEHW))</f>
        <v/>
      </c>
      <c r="J234">
        <f>IF(OR(N(Database!$S234)&lt;=0,N(Screener!$D$14)&lt;=0),0,MAX(0,1-ABS(LOG10(Database!$S234/Screener!$D$14))/0.6))</f>
        <v/>
      </c>
      <c r="K234">
        <f>IF(Database!$B234=Screener!$B$5,-999999,IF(ISNUMBER(SEARCH(","&amp;Database!$A234&amp;",",","&amp;SUBSTITUTE(Screener!$D$17," ","")&amp;",")),2000000,IF(IF(OR(Screener!$B$18="All",AND(Screener!$B$18="With A-share",(Database!$BK234="Y")),AND(Screener!$B$18="Without A-share",NOT((Database!$BK234="Y")))),1,0)=0,-999999,IF(Screener!$B$16="cornerstone overlap first",H234*100000,IF(Screener!$B$16="demand-similar first",J234*100000,0))+W_SUB*B234+W_SEC*C234*(1-B234)+W_SIZE*D234+W_PROF*E234+W_AH*F234+W_REC*G234+W_CS*H234+W_PE*I234)))+ROW()/1000000</f>
        <v/>
      </c>
      <c r="AA234">
        <f>Database!B224</f>
        <v/>
      </c>
      <c r="AB234">
        <f>Database!D224</f>
        <v/>
      </c>
      <c r="AC234">
        <f>Database!E224</f>
        <v/>
      </c>
      <c r="AD234">
        <f>Database!I224</f>
        <v/>
      </c>
      <c r="AE234">
        <f>Database!BE224</f>
        <v/>
      </c>
      <c r="AF234">
        <f>Database!BK224</f>
        <v/>
      </c>
      <c r="AG234">
        <f>Database!H224</f>
        <v/>
      </c>
      <c r="AH234">
        <f>Database!BF224</f>
        <v/>
      </c>
    </row>
    <row r="235">
      <c r="A235">
        <f>Database!B235</f>
        <v/>
      </c>
      <c r="B235">
        <f>IF(AND(Screener!$D$8&lt;&gt;"",Database!$E235=Screener!$D$8),1,0)</f>
        <v/>
      </c>
      <c r="C235">
        <f>IF(AND(Screener!$D$7&lt;&gt;"",Database!$D235=Screener!$D$7),1,0)</f>
        <v/>
      </c>
      <c r="D235">
        <f>IF(OR(N(Database!$I235)&lt;=0,N(Screener!$D$9)&lt;=0),0,MAX(0,1-ABS(LOG10(N(Database!$I235)/Screener!$D$9))/W_SIZEHW))</f>
        <v/>
      </c>
      <c r="E235">
        <f>IF(OR(Database!$BE235="",Screener!$D$10=""),0,IF(Database!$BE235=Screener!$D$10,1,0))</f>
        <v/>
      </c>
      <c r="F235">
        <f>IF(OR(Database!$BK235="",Screener!$D$11=""),0,IF(Database!$BK235=Screener!$D$11,1,0))</f>
        <v/>
      </c>
      <c r="G235">
        <f>IF(OR(Database!$H235="",N(Screener!$D$12)&lt;=0),0,MAX(0,1-(N(Screener!$D$12)-Database!$H235)/W_RECD))</f>
        <v/>
      </c>
      <c r="H235">
        <f>IF($U$1="",0,N(ISNUMBER(SEARCH($U$1,Database!$Z235&amp;""))))+IF($V$1="",0,N(ISNUMBER(SEARCH($V$1,Database!$Z235&amp;""))))+IF($W$1="",0,N(ISNUMBER(SEARCH($W$1,Database!$Z235&amp;""))))+IF($X$1="",0,N(ISNUMBER(SEARCH($X$1,Database!$Z235&amp;""))))+IF($Y$1="",0,N(ISNUMBER(SEARCH($Y$1,Database!$Z235&amp;""))))+IF(Screener!$B$17="",0,N(ISNUMBER(SEARCH(LOWER(Screener!$B$17),Database!$Z235&amp;""))))</f>
        <v/>
      </c>
      <c r="I235">
        <f>IF(OR(N(Database!$BF235)&lt;=0,N(Screener!$D$13)&lt;=0),0,MAX(0,1-ABS(LOG10(N(Database!$BF235)/Screener!$D$13))/W_PEHW))</f>
        <v/>
      </c>
      <c r="J235">
        <f>IF(OR(N(Database!$S235)&lt;=0,N(Screener!$D$14)&lt;=0),0,MAX(0,1-ABS(LOG10(Database!$S235/Screener!$D$14))/0.6))</f>
        <v/>
      </c>
      <c r="K235">
        <f>IF(Database!$B235=Screener!$B$5,-999999,IF(ISNUMBER(SEARCH(","&amp;Database!$A235&amp;",",","&amp;SUBSTITUTE(Screener!$D$17," ","")&amp;",")),2000000,IF(IF(OR(Screener!$B$18="All",AND(Screener!$B$18="With A-share",(Database!$BK235="Y")),AND(Screener!$B$18="Without A-share",NOT((Database!$BK235="Y")))),1,0)=0,-999999,IF(Screener!$B$16="cornerstone overlap first",H235*100000,IF(Screener!$B$16="demand-similar first",J235*100000,0))+W_SUB*B235+W_SEC*C235*(1-B235)+W_SIZE*D235+W_PROF*E235+W_AH*F235+W_REC*G235+W_CS*H235+W_PE*I235)))+ROW()/1000000</f>
        <v/>
      </c>
      <c r="AA235">
        <f>Database!B225</f>
        <v/>
      </c>
      <c r="AB235">
        <f>Database!D225</f>
        <v/>
      </c>
      <c r="AC235">
        <f>Database!E225</f>
        <v/>
      </c>
      <c r="AD235">
        <f>Database!I225</f>
        <v/>
      </c>
      <c r="AE235">
        <f>Database!BE225</f>
        <v/>
      </c>
      <c r="AF235">
        <f>Database!BK225</f>
        <v/>
      </c>
      <c r="AG235">
        <f>Database!H225</f>
        <v/>
      </c>
      <c r="AH235">
        <f>Database!BF225</f>
        <v/>
      </c>
    </row>
    <row r="236">
      <c r="A236">
        <f>Database!B236</f>
        <v/>
      </c>
      <c r="B236">
        <f>IF(AND(Screener!$D$8&lt;&gt;"",Database!$E236=Screener!$D$8),1,0)</f>
        <v/>
      </c>
      <c r="C236">
        <f>IF(AND(Screener!$D$7&lt;&gt;"",Database!$D236=Screener!$D$7),1,0)</f>
        <v/>
      </c>
      <c r="D236">
        <f>IF(OR(N(Database!$I236)&lt;=0,N(Screener!$D$9)&lt;=0),0,MAX(0,1-ABS(LOG10(N(Database!$I236)/Screener!$D$9))/W_SIZEHW))</f>
        <v/>
      </c>
      <c r="E236">
        <f>IF(OR(Database!$BE236="",Screener!$D$10=""),0,IF(Database!$BE236=Screener!$D$10,1,0))</f>
        <v/>
      </c>
      <c r="F236">
        <f>IF(OR(Database!$BK236="",Screener!$D$11=""),0,IF(Database!$BK236=Screener!$D$11,1,0))</f>
        <v/>
      </c>
      <c r="G236">
        <f>IF(OR(Database!$H236="",N(Screener!$D$12)&lt;=0),0,MAX(0,1-(N(Screener!$D$12)-Database!$H236)/W_RECD))</f>
        <v/>
      </c>
      <c r="H236">
        <f>IF($U$1="",0,N(ISNUMBER(SEARCH($U$1,Database!$Z236&amp;""))))+IF($V$1="",0,N(ISNUMBER(SEARCH($V$1,Database!$Z236&amp;""))))+IF($W$1="",0,N(ISNUMBER(SEARCH($W$1,Database!$Z236&amp;""))))+IF($X$1="",0,N(ISNUMBER(SEARCH($X$1,Database!$Z236&amp;""))))+IF($Y$1="",0,N(ISNUMBER(SEARCH($Y$1,Database!$Z236&amp;""))))+IF(Screener!$B$17="",0,N(ISNUMBER(SEARCH(LOWER(Screener!$B$17),Database!$Z236&amp;""))))</f>
        <v/>
      </c>
      <c r="I236">
        <f>IF(OR(N(Database!$BF236)&lt;=0,N(Screener!$D$13)&lt;=0),0,MAX(0,1-ABS(LOG10(N(Database!$BF236)/Screener!$D$13))/W_PEHW))</f>
        <v/>
      </c>
      <c r="J236">
        <f>IF(OR(N(Database!$S236)&lt;=0,N(Screener!$D$14)&lt;=0),0,MAX(0,1-ABS(LOG10(Database!$S236/Screener!$D$14))/0.6))</f>
        <v/>
      </c>
      <c r="K236">
        <f>IF(Database!$B236=Screener!$B$5,-999999,IF(ISNUMBER(SEARCH(","&amp;Database!$A236&amp;",",","&amp;SUBSTITUTE(Screener!$D$17," ","")&amp;",")),2000000,IF(IF(OR(Screener!$B$18="All",AND(Screener!$B$18="With A-share",(Database!$BK236="Y")),AND(Screener!$B$18="Without A-share",NOT((Database!$BK236="Y")))),1,0)=0,-999999,IF(Screener!$B$16="cornerstone overlap first",H236*100000,IF(Screener!$B$16="demand-similar first",J236*100000,0))+W_SUB*B236+W_SEC*C236*(1-B236)+W_SIZE*D236+W_PROF*E236+W_AH*F236+W_REC*G236+W_CS*H236+W_PE*I236)))+ROW()/1000000</f>
        <v/>
      </c>
      <c r="AA236">
        <f>Database!B226</f>
        <v/>
      </c>
      <c r="AB236">
        <f>Database!D226</f>
        <v/>
      </c>
      <c r="AC236">
        <f>Database!E226</f>
        <v/>
      </c>
      <c r="AD236">
        <f>Database!I226</f>
        <v/>
      </c>
      <c r="AE236">
        <f>Database!BE226</f>
        <v/>
      </c>
      <c r="AF236">
        <f>Database!BK226</f>
        <v/>
      </c>
      <c r="AG236">
        <f>Database!H226</f>
        <v/>
      </c>
      <c r="AH236">
        <f>Database!BF226</f>
        <v/>
      </c>
    </row>
    <row r="237">
      <c r="A237">
        <f>Database!B237</f>
        <v/>
      </c>
      <c r="B237">
        <f>IF(AND(Screener!$D$8&lt;&gt;"",Database!$E237=Screener!$D$8),1,0)</f>
        <v/>
      </c>
      <c r="C237">
        <f>IF(AND(Screener!$D$7&lt;&gt;"",Database!$D237=Screener!$D$7),1,0)</f>
        <v/>
      </c>
      <c r="D237">
        <f>IF(OR(N(Database!$I237)&lt;=0,N(Screener!$D$9)&lt;=0),0,MAX(0,1-ABS(LOG10(N(Database!$I237)/Screener!$D$9))/W_SIZEHW))</f>
        <v/>
      </c>
      <c r="E237">
        <f>IF(OR(Database!$BE237="",Screener!$D$10=""),0,IF(Database!$BE237=Screener!$D$10,1,0))</f>
        <v/>
      </c>
      <c r="F237">
        <f>IF(OR(Database!$BK237="",Screener!$D$11=""),0,IF(Database!$BK237=Screener!$D$11,1,0))</f>
        <v/>
      </c>
      <c r="G237">
        <f>IF(OR(Database!$H237="",N(Screener!$D$12)&lt;=0),0,MAX(0,1-(N(Screener!$D$12)-Database!$H237)/W_RECD))</f>
        <v/>
      </c>
      <c r="H237">
        <f>IF($U$1="",0,N(ISNUMBER(SEARCH($U$1,Database!$Z237&amp;""))))+IF($V$1="",0,N(ISNUMBER(SEARCH($V$1,Database!$Z237&amp;""))))+IF($W$1="",0,N(ISNUMBER(SEARCH($W$1,Database!$Z237&amp;""))))+IF($X$1="",0,N(ISNUMBER(SEARCH($X$1,Database!$Z237&amp;""))))+IF($Y$1="",0,N(ISNUMBER(SEARCH($Y$1,Database!$Z237&amp;""))))+IF(Screener!$B$17="",0,N(ISNUMBER(SEARCH(LOWER(Screener!$B$17),Database!$Z237&amp;""))))</f>
        <v/>
      </c>
      <c r="I237">
        <f>IF(OR(N(Database!$BF237)&lt;=0,N(Screener!$D$13)&lt;=0),0,MAX(0,1-ABS(LOG10(N(Database!$BF237)/Screener!$D$13))/W_PEHW))</f>
        <v/>
      </c>
      <c r="J237">
        <f>IF(OR(N(Database!$S237)&lt;=0,N(Screener!$D$14)&lt;=0),0,MAX(0,1-ABS(LOG10(Database!$S237/Screener!$D$14))/0.6))</f>
        <v/>
      </c>
      <c r="K237">
        <f>IF(Database!$B237=Screener!$B$5,-999999,IF(ISNUMBER(SEARCH(","&amp;Database!$A237&amp;",",","&amp;SUBSTITUTE(Screener!$D$17," ","")&amp;",")),2000000,IF(IF(OR(Screener!$B$18="All",AND(Screener!$B$18="With A-share",(Database!$BK237="Y")),AND(Screener!$B$18="Without A-share",NOT((Database!$BK237="Y")))),1,0)=0,-999999,IF(Screener!$B$16="cornerstone overlap first",H237*100000,IF(Screener!$B$16="demand-similar first",J237*100000,0))+W_SUB*B237+W_SEC*C237*(1-B237)+W_SIZE*D237+W_PROF*E237+W_AH*F237+W_REC*G237+W_CS*H237+W_PE*I237)))+ROW()/1000000</f>
        <v/>
      </c>
      <c r="AA237">
        <f>Database!B227</f>
        <v/>
      </c>
      <c r="AB237">
        <f>Database!D227</f>
        <v/>
      </c>
      <c r="AC237">
        <f>Database!E227</f>
        <v/>
      </c>
      <c r="AD237">
        <f>Database!I227</f>
        <v/>
      </c>
      <c r="AE237">
        <f>Database!BE227</f>
        <v/>
      </c>
      <c r="AF237">
        <f>Database!BK227</f>
        <v/>
      </c>
      <c r="AG237">
        <f>Database!H227</f>
        <v/>
      </c>
      <c r="AH237">
        <f>Database!BF227</f>
        <v/>
      </c>
    </row>
    <row r="238">
      <c r="A238">
        <f>Database!B238</f>
        <v/>
      </c>
      <c r="B238">
        <f>IF(AND(Screener!$D$8&lt;&gt;"",Database!$E238=Screener!$D$8),1,0)</f>
        <v/>
      </c>
      <c r="C238">
        <f>IF(AND(Screener!$D$7&lt;&gt;"",Database!$D238=Screener!$D$7),1,0)</f>
        <v/>
      </c>
      <c r="D238">
        <f>IF(OR(N(Database!$I238)&lt;=0,N(Screener!$D$9)&lt;=0),0,MAX(0,1-ABS(LOG10(N(Database!$I238)/Screener!$D$9))/W_SIZEHW))</f>
        <v/>
      </c>
      <c r="E238">
        <f>IF(OR(Database!$BE238="",Screener!$D$10=""),0,IF(Database!$BE238=Screener!$D$10,1,0))</f>
        <v/>
      </c>
      <c r="F238">
        <f>IF(OR(Database!$BK238="",Screener!$D$11=""),0,IF(Database!$BK238=Screener!$D$11,1,0))</f>
        <v/>
      </c>
      <c r="G238">
        <f>IF(OR(Database!$H238="",N(Screener!$D$12)&lt;=0),0,MAX(0,1-(N(Screener!$D$12)-Database!$H238)/W_RECD))</f>
        <v/>
      </c>
      <c r="H238">
        <f>IF($U$1="",0,N(ISNUMBER(SEARCH($U$1,Database!$Z238&amp;""))))+IF($V$1="",0,N(ISNUMBER(SEARCH($V$1,Database!$Z238&amp;""))))+IF($W$1="",0,N(ISNUMBER(SEARCH($W$1,Database!$Z238&amp;""))))+IF($X$1="",0,N(ISNUMBER(SEARCH($X$1,Database!$Z238&amp;""))))+IF($Y$1="",0,N(ISNUMBER(SEARCH($Y$1,Database!$Z238&amp;""))))+IF(Screener!$B$17="",0,N(ISNUMBER(SEARCH(LOWER(Screener!$B$17),Database!$Z238&amp;""))))</f>
        <v/>
      </c>
      <c r="I238">
        <f>IF(OR(N(Database!$BF238)&lt;=0,N(Screener!$D$13)&lt;=0),0,MAX(0,1-ABS(LOG10(N(Database!$BF238)/Screener!$D$13))/W_PEHW))</f>
        <v/>
      </c>
      <c r="J238">
        <f>IF(OR(N(Database!$S238)&lt;=0,N(Screener!$D$14)&lt;=0),0,MAX(0,1-ABS(LOG10(Database!$S238/Screener!$D$14))/0.6))</f>
        <v/>
      </c>
      <c r="K238">
        <f>IF(Database!$B238=Screener!$B$5,-999999,IF(ISNUMBER(SEARCH(","&amp;Database!$A238&amp;",",","&amp;SUBSTITUTE(Screener!$D$17," ","")&amp;",")),2000000,IF(IF(OR(Screener!$B$18="All",AND(Screener!$B$18="With A-share",(Database!$BK238="Y")),AND(Screener!$B$18="Without A-share",NOT((Database!$BK238="Y")))),1,0)=0,-999999,IF(Screener!$B$16="cornerstone overlap first",H238*100000,IF(Screener!$B$16="demand-similar first",J238*100000,0))+W_SUB*B238+W_SEC*C238*(1-B238)+W_SIZE*D238+W_PROF*E238+W_AH*F238+W_REC*G238+W_CS*H238+W_PE*I238)))+ROW()/1000000</f>
        <v/>
      </c>
      <c r="AA238">
        <f>Database!B228</f>
        <v/>
      </c>
      <c r="AB238">
        <f>Database!D228</f>
        <v/>
      </c>
      <c r="AC238">
        <f>Database!E228</f>
        <v/>
      </c>
      <c r="AD238">
        <f>Database!I228</f>
        <v/>
      </c>
      <c r="AE238">
        <f>Database!BE228</f>
        <v/>
      </c>
      <c r="AF238">
        <f>Database!BK228</f>
        <v/>
      </c>
      <c r="AG238">
        <f>Database!H228</f>
        <v/>
      </c>
      <c r="AH238">
        <f>Database!BF228</f>
        <v/>
      </c>
    </row>
    <row r="239">
      <c r="A239">
        <f>Database!B239</f>
        <v/>
      </c>
      <c r="B239">
        <f>IF(AND(Screener!$D$8&lt;&gt;"",Database!$E239=Screener!$D$8),1,0)</f>
        <v/>
      </c>
      <c r="C239">
        <f>IF(AND(Screener!$D$7&lt;&gt;"",Database!$D239=Screener!$D$7),1,0)</f>
        <v/>
      </c>
      <c r="D239">
        <f>IF(OR(N(Database!$I239)&lt;=0,N(Screener!$D$9)&lt;=0),0,MAX(0,1-ABS(LOG10(N(Database!$I239)/Screener!$D$9))/W_SIZEHW))</f>
        <v/>
      </c>
      <c r="E239">
        <f>IF(OR(Database!$BE239="",Screener!$D$10=""),0,IF(Database!$BE239=Screener!$D$10,1,0))</f>
        <v/>
      </c>
      <c r="F239">
        <f>IF(OR(Database!$BK239="",Screener!$D$11=""),0,IF(Database!$BK239=Screener!$D$11,1,0))</f>
        <v/>
      </c>
      <c r="G239">
        <f>IF(OR(Database!$H239="",N(Screener!$D$12)&lt;=0),0,MAX(0,1-(N(Screener!$D$12)-Database!$H239)/W_RECD))</f>
        <v/>
      </c>
      <c r="H239">
        <f>IF($U$1="",0,N(ISNUMBER(SEARCH($U$1,Database!$Z239&amp;""))))+IF($V$1="",0,N(ISNUMBER(SEARCH($V$1,Database!$Z239&amp;""))))+IF($W$1="",0,N(ISNUMBER(SEARCH($W$1,Database!$Z239&amp;""))))+IF($X$1="",0,N(ISNUMBER(SEARCH($X$1,Database!$Z239&amp;""))))+IF($Y$1="",0,N(ISNUMBER(SEARCH($Y$1,Database!$Z239&amp;""))))+IF(Screener!$B$17="",0,N(ISNUMBER(SEARCH(LOWER(Screener!$B$17),Database!$Z239&amp;""))))</f>
        <v/>
      </c>
      <c r="I239">
        <f>IF(OR(N(Database!$BF239)&lt;=0,N(Screener!$D$13)&lt;=0),0,MAX(0,1-ABS(LOG10(N(Database!$BF239)/Screener!$D$13))/W_PEHW))</f>
        <v/>
      </c>
      <c r="J239">
        <f>IF(OR(N(Database!$S239)&lt;=0,N(Screener!$D$14)&lt;=0),0,MAX(0,1-ABS(LOG10(Database!$S239/Screener!$D$14))/0.6))</f>
        <v/>
      </c>
      <c r="K239">
        <f>IF(Database!$B239=Screener!$B$5,-999999,IF(ISNUMBER(SEARCH(","&amp;Database!$A239&amp;",",","&amp;SUBSTITUTE(Screener!$D$17," ","")&amp;",")),2000000,IF(IF(OR(Screener!$B$18="All",AND(Screener!$B$18="With A-share",(Database!$BK239="Y")),AND(Screener!$B$18="Without A-share",NOT((Database!$BK239="Y")))),1,0)=0,-999999,IF(Screener!$B$16="cornerstone overlap first",H239*100000,IF(Screener!$B$16="demand-similar first",J239*100000,0))+W_SUB*B239+W_SEC*C239*(1-B239)+W_SIZE*D239+W_PROF*E239+W_AH*F239+W_REC*G239+W_CS*H239+W_PE*I239)))+ROW()/1000000</f>
        <v/>
      </c>
      <c r="AA239">
        <f>Database!B229</f>
        <v/>
      </c>
      <c r="AB239">
        <f>Database!D229</f>
        <v/>
      </c>
      <c r="AC239">
        <f>Database!E229</f>
        <v/>
      </c>
      <c r="AD239">
        <f>Database!I229</f>
        <v/>
      </c>
      <c r="AE239">
        <f>Database!BE229</f>
        <v/>
      </c>
      <c r="AF239">
        <f>Database!BK229</f>
        <v/>
      </c>
      <c r="AG239">
        <f>Database!H229</f>
        <v/>
      </c>
      <c r="AH239">
        <f>Database!BF229</f>
        <v/>
      </c>
    </row>
    <row r="240">
      <c r="A240">
        <f>Database!B240</f>
        <v/>
      </c>
      <c r="B240">
        <f>IF(AND(Screener!$D$8&lt;&gt;"",Database!$E240=Screener!$D$8),1,0)</f>
        <v/>
      </c>
      <c r="C240">
        <f>IF(AND(Screener!$D$7&lt;&gt;"",Database!$D240=Screener!$D$7),1,0)</f>
        <v/>
      </c>
      <c r="D240">
        <f>IF(OR(N(Database!$I240)&lt;=0,N(Screener!$D$9)&lt;=0),0,MAX(0,1-ABS(LOG10(N(Database!$I240)/Screener!$D$9))/W_SIZEHW))</f>
        <v/>
      </c>
      <c r="E240">
        <f>IF(OR(Database!$BE240="",Screener!$D$10=""),0,IF(Database!$BE240=Screener!$D$10,1,0))</f>
        <v/>
      </c>
      <c r="F240">
        <f>IF(OR(Database!$BK240="",Screener!$D$11=""),0,IF(Database!$BK240=Screener!$D$11,1,0))</f>
        <v/>
      </c>
      <c r="G240">
        <f>IF(OR(Database!$H240="",N(Screener!$D$12)&lt;=0),0,MAX(0,1-(N(Screener!$D$12)-Database!$H240)/W_RECD))</f>
        <v/>
      </c>
      <c r="H240">
        <f>IF($U$1="",0,N(ISNUMBER(SEARCH($U$1,Database!$Z240&amp;""))))+IF($V$1="",0,N(ISNUMBER(SEARCH($V$1,Database!$Z240&amp;""))))+IF($W$1="",0,N(ISNUMBER(SEARCH($W$1,Database!$Z240&amp;""))))+IF($X$1="",0,N(ISNUMBER(SEARCH($X$1,Database!$Z240&amp;""))))+IF($Y$1="",0,N(ISNUMBER(SEARCH($Y$1,Database!$Z240&amp;""))))+IF(Screener!$B$17="",0,N(ISNUMBER(SEARCH(LOWER(Screener!$B$17),Database!$Z240&amp;""))))</f>
        <v/>
      </c>
      <c r="I240">
        <f>IF(OR(N(Database!$BF240)&lt;=0,N(Screener!$D$13)&lt;=0),0,MAX(0,1-ABS(LOG10(N(Database!$BF240)/Screener!$D$13))/W_PEHW))</f>
        <v/>
      </c>
      <c r="J240">
        <f>IF(OR(N(Database!$S240)&lt;=0,N(Screener!$D$14)&lt;=0),0,MAX(0,1-ABS(LOG10(Database!$S240/Screener!$D$14))/0.6))</f>
        <v/>
      </c>
      <c r="K240">
        <f>IF(Database!$B240=Screener!$B$5,-999999,IF(ISNUMBER(SEARCH(","&amp;Database!$A240&amp;",",","&amp;SUBSTITUTE(Screener!$D$17," ","")&amp;",")),2000000,IF(IF(OR(Screener!$B$18="All",AND(Screener!$B$18="With A-share",(Database!$BK240="Y")),AND(Screener!$B$18="Without A-share",NOT((Database!$BK240="Y")))),1,0)=0,-999999,IF(Screener!$B$16="cornerstone overlap first",H240*100000,IF(Screener!$B$16="demand-similar first",J240*100000,0))+W_SUB*B240+W_SEC*C240*(1-B240)+W_SIZE*D240+W_PROF*E240+W_AH*F240+W_REC*G240+W_CS*H240+W_PE*I240)))+ROW()/1000000</f>
        <v/>
      </c>
      <c r="AA240">
        <f>Database!B230</f>
        <v/>
      </c>
      <c r="AB240">
        <f>Database!D230</f>
        <v/>
      </c>
      <c r="AC240">
        <f>Database!E230</f>
        <v/>
      </c>
      <c r="AD240">
        <f>Database!I230</f>
        <v/>
      </c>
      <c r="AE240">
        <f>Database!BE230</f>
        <v/>
      </c>
      <c r="AF240">
        <f>Database!BK230</f>
        <v/>
      </c>
      <c r="AG240">
        <f>Database!H230</f>
        <v/>
      </c>
      <c r="AH240">
        <f>Database!BF230</f>
        <v/>
      </c>
    </row>
    <row r="241">
      <c r="A241">
        <f>Database!B241</f>
        <v/>
      </c>
      <c r="B241">
        <f>IF(AND(Screener!$D$8&lt;&gt;"",Database!$E241=Screener!$D$8),1,0)</f>
        <v/>
      </c>
      <c r="C241">
        <f>IF(AND(Screener!$D$7&lt;&gt;"",Database!$D241=Screener!$D$7),1,0)</f>
        <v/>
      </c>
      <c r="D241">
        <f>IF(OR(N(Database!$I241)&lt;=0,N(Screener!$D$9)&lt;=0),0,MAX(0,1-ABS(LOG10(N(Database!$I241)/Screener!$D$9))/W_SIZEHW))</f>
        <v/>
      </c>
      <c r="E241">
        <f>IF(OR(Database!$BE241="",Screener!$D$10=""),0,IF(Database!$BE241=Screener!$D$10,1,0))</f>
        <v/>
      </c>
      <c r="F241">
        <f>IF(OR(Database!$BK241="",Screener!$D$11=""),0,IF(Database!$BK241=Screener!$D$11,1,0))</f>
        <v/>
      </c>
      <c r="G241">
        <f>IF(OR(Database!$H241="",N(Screener!$D$12)&lt;=0),0,MAX(0,1-(N(Screener!$D$12)-Database!$H241)/W_RECD))</f>
        <v/>
      </c>
      <c r="H241">
        <f>IF($U$1="",0,N(ISNUMBER(SEARCH($U$1,Database!$Z241&amp;""))))+IF($V$1="",0,N(ISNUMBER(SEARCH($V$1,Database!$Z241&amp;""))))+IF($W$1="",0,N(ISNUMBER(SEARCH($W$1,Database!$Z241&amp;""))))+IF($X$1="",0,N(ISNUMBER(SEARCH($X$1,Database!$Z241&amp;""))))+IF($Y$1="",0,N(ISNUMBER(SEARCH($Y$1,Database!$Z241&amp;""))))+IF(Screener!$B$17="",0,N(ISNUMBER(SEARCH(LOWER(Screener!$B$17),Database!$Z241&amp;""))))</f>
        <v/>
      </c>
      <c r="I241">
        <f>IF(OR(N(Database!$BF241)&lt;=0,N(Screener!$D$13)&lt;=0),0,MAX(0,1-ABS(LOG10(N(Database!$BF241)/Screener!$D$13))/W_PEHW))</f>
        <v/>
      </c>
      <c r="J241">
        <f>IF(OR(N(Database!$S241)&lt;=0,N(Screener!$D$14)&lt;=0),0,MAX(0,1-ABS(LOG10(Database!$S241/Screener!$D$14))/0.6))</f>
        <v/>
      </c>
      <c r="K241">
        <f>IF(Database!$B241=Screener!$B$5,-999999,IF(ISNUMBER(SEARCH(","&amp;Database!$A241&amp;",",","&amp;SUBSTITUTE(Screener!$D$17," ","")&amp;",")),2000000,IF(IF(OR(Screener!$B$18="All",AND(Screener!$B$18="With A-share",(Database!$BK241="Y")),AND(Screener!$B$18="Without A-share",NOT((Database!$BK241="Y")))),1,0)=0,-999999,IF(Screener!$B$16="cornerstone overlap first",H241*100000,IF(Screener!$B$16="demand-similar first",J241*100000,0))+W_SUB*B241+W_SEC*C241*(1-B241)+W_SIZE*D241+W_PROF*E241+W_AH*F241+W_REC*G241+W_CS*H241+W_PE*I241)))+ROW()/1000000</f>
        <v/>
      </c>
      <c r="AA241">
        <f>Database!B231</f>
        <v/>
      </c>
      <c r="AB241">
        <f>Database!D231</f>
        <v/>
      </c>
      <c r="AC241">
        <f>Database!E231</f>
        <v/>
      </c>
      <c r="AD241">
        <f>Database!I231</f>
        <v/>
      </c>
      <c r="AE241">
        <f>Database!BE231</f>
        <v/>
      </c>
      <c r="AF241">
        <f>Database!BK231</f>
        <v/>
      </c>
      <c r="AG241">
        <f>Database!H231</f>
        <v/>
      </c>
      <c r="AH241">
        <f>Database!BF231</f>
        <v/>
      </c>
    </row>
    <row r="242">
      <c r="A242">
        <f>Database!B242</f>
        <v/>
      </c>
      <c r="B242">
        <f>IF(AND(Screener!$D$8&lt;&gt;"",Database!$E242=Screener!$D$8),1,0)</f>
        <v/>
      </c>
      <c r="C242">
        <f>IF(AND(Screener!$D$7&lt;&gt;"",Database!$D242=Screener!$D$7),1,0)</f>
        <v/>
      </c>
      <c r="D242">
        <f>IF(OR(N(Database!$I242)&lt;=0,N(Screener!$D$9)&lt;=0),0,MAX(0,1-ABS(LOG10(N(Database!$I242)/Screener!$D$9))/W_SIZEHW))</f>
        <v/>
      </c>
      <c r="E242">
        <f>IF(OR(Database!$BE242="",Screener!$D$10=""),0,IF(Database!$BE242=Screener!$D$10,1,0))</f>
        <v/>
      </c>
      <c r="F242">
        <f>IF(OR(Database!$BK242="",Screener!$D$11=""),0,IF(Database!$BK242=Screener!$D$11,1,0))</f>
        <v/>
      </c>
      <c r="G242">
        <f>IF(OR(Database!$H242="",N(Screener!$D$12)&lt;=0),0,MAX(0,1-(N(Screener!$D$12)-Database!$H242)/W_RECD))</f>
        <v/>
      </c>
      <c r="H242">
        <f>IF($U$1="",0,N(ISNUMBER(SEARCH($U$1,Database!$Z242&amp;""))))+IF($V$1="",0,N(ISNUMBER(SEARCH($V$1,Database!$Z242&amp;""))))+IF($W$1="",0,N(ISNUMBER(SEARCH($W$1,Database!$Z242&amp;""))))+IF($X$1="",0,N(ISNUMBER(SEARCH($X$1,Database!$Z242&amp;""))))+IF($Y$1="",0,N(ISNUMBER(SEARCH($Y$1,Database!$Z242&amp;""))))+IF(Screener!$B$17="",0,N(ISNUMBER(SEARCH(LOWER(Screener!$B$17),Database!$Z242&amp;""))))</f>
        <v/>
      </c>
      <c r="I242">
        <f>IF(OR(N(Database!$BF242)&lt;=0,N(Screener!$D$13)&lt;=0),0,MAX(0,1-ABS(LOG10(N(Database!$BF242)/Screener!$D$13))/W_PEHW))</f>
        <v/>
      </c>
      <c r="J242">
        <f>IF(OR(N(Database!$S242)&lt;=0,N(Screener!$D$14)&lt;=0),0,MAX(0,1-ABS(LOG10(Database!$S242/Screener!$D$14))/0.6))</f>
        <v/>
      </c>
      <c r="K242">
        <f>IF(Database!$B242=Screener!$B$5,-999999,IF(ISNUMBER(SEARCH(","&amp;Database!$A242&amp;",",","&amp;SUBSTITUTE(Screener!$D$17," ","")&amp;",")),2000000,IF(IF(OR(Screener!$B$18="All",AND(Screener!$B$18="With A-share",(Database!$BK242="Y")),AND(Screener!$B$18="Without A-share",NOT((Database!$BK242="Y")))),1,0)=0,-999999,IF(Screener!$B$16="cornerstone overlap first",H242*100000,IF(Screener!$B$16="demand-similar first",J242*100000,0))+W_SUB*B242+W_SEC*C242*(1-B242)+W_SIZE*D242+W_PROF*E242+W_AH*F242+W_REC*G242+W_CS*H242+W_PE*I242)))+ROW()/1000000</f>
        <v/>
      </c>
      <c r="AA242">
        <f>Database!B232</f>
        <v/>
      </c>
      <c r="AB242">
        <f>Database!D232</f>
        <v/>
      </c>
      <c r="AC242">
        <f>Database!E232</f>
        <v/>
      </c>
      <c r="AD242">
        <f>Database!I232</f>
        <v/>
      </c>
      <c r="AE242">
        <f>Database!BE232</f>
        <v/>
      </c>
      <c r="AF242">
        <f>Database!BK232</f>
        <v/>
      </c>
      <c r="AG242">
        <f>Database!H232</f>
        <v/>
      </c>
      <c r="AH242">
        <f>Database!BF232</f>
        <v/>
      </c>
    </row>
    <row r="243">
      <c r="A243">
        <f>Database!B243</f>
        <v/>
      </c>
      <c r="B243">
        <f>IF(AND(Screener!$D$8&lt;&gt;"",Database!$E243=Screener!$D$8),1,0)</f>
        <v/>
      </c>
      <c r="C243">
        <f>IF(AND(Screener!$D$7&lt;&gt;"",Database!$D243=Screener!$D$7),1,0)</f>
        <v/>
      </c>
      <c r="D243">
        <f>IF(OR(N(Database!$I243)&lt;=0,N(Screener!$D$9)&lt;=0),0,MAX(0,1-ABS(LOG10(N(Database!$I243)/Screener!$D$9))/W_SIZEHW))</f>
        <v/>
      </c>
      <c r="E243">
        <f>IF(OR(Database!$BE243="",Screener!$D$10=""),0,IF(Database!$BE243=Screener!$D$10,1,0))</f>
        <v/>
      </c>
      <c r="F243">
        <f>IF(OR(Database!$BK243="",Screener!$D$11=""),0,IF(Database!$BK243=Screener!$D$11,1,0))</f>
        <v/>
      </c>
      <c r="G243">
        <f>IF(OR(Database!$H243="",N(Screener!$D$12)&lt;=0),0,MAX(0,1-(N(Screener!$D$12)-Database!$H243)/W_RECD))</f>
        <v/>
      </c>
      <c r="H243">
        <f>IF($U$1="",0,N(ISNUMBER(SEARCH($U$1,Database!$Z243&amp;""))))+IF($V$1="",0,N(ISNUMBER(SEARCH($V$1,Database!$Z243&amp;""))))+IF($W$1="",0,N(ISNUMBER(SEARCH($W$1,Database!$Z243&amp;""))))+IF($X$1="",0,N(ISNUMBER(SEARCH($X$1,Database!$Z243&amp;""))))+IF($Y$1="",0,N(ISNUMBER(SEARCH($Y$1,Database!$Z243&amp;""))))+IF(Screener!$B$17="",0,N(ISNUMBER(SEARCH(LOWER(Screener!$B$17),Database!$Z243&amp;""))))</f>
        <v/>
      </c>
      <c r="I243">
        <f>IF(OR(N(Database!$BF243)&lt;=0,N(Screener!$D$13)&lt;=0),0,MAX(0,1-ABS(LOG10(N(Database!$BF243)/Screener!$D$13))/W_PEHW))</f>
        <v/>
      </c>
      <c r="J243">
        <f>IF(OR(N(Database!$S243)&lt;=0,N(Screener!$D$14)&lt;=0),0,MAX(0,1-ABS(LOG10(Database!$S243/Screener!$D$14))/0.6))</f>
        <v/>
      </c>
      <c r="K243">
        <f>IF(Database!$B243=Screener!$B$5,-999999,IF(ISNUMBER(SEARCH(","&amp;Database!$A243&amp;",",","&amp;SUBSTITUTE(Screener!$D$17," ","")&amp;",")),2000000,IF(IF(OR(Screener!$B$18="All",AND(Screener!$B$18="With A-share",(Database!$BK243="Y")),AND(Screener!$B$18="Without A-share",NOT((Database!$BK243="Y")))),1,0)=0,-999999,IF(Screener!$B$16="cornerstone overlap first",H243*100000,IF(Screener!$B$16="demand-similar first",J243*100000,0))+W_SUB*B243+W_SEC*C243*(1-B243)+W_SIZE*D243+W_PROF*E243+W_AH*F243+W_REC*G243+W_CS*H243+W_PE*I243)))+ROW()/1000000</f>
        <v/>
      </c>
      <c r="AA243">
        <f>Database!B233</f>
        <v/>
      </c>
      <c r="AB243">
        <f>Database!D233</f>
        <v/>
      </c>
      <c r="AC243">
        <f>Database!E233</f>
        <v/>
      </c>
      <c r="AD243">
        <f>Database!I233</f>
        <v/>
      </c>
      <c r="AE243">
        <f>Database!BE233</f>
        <v/>
      </c>
      <c r="AF243">
        <f>Database!BK233</f>
        <v/>
      </c>
      <c r="AG243">
        <f>Database!H233</f>
        <v/>
      </c>
      <c r="AH243">
        <f>Database!BF233</f>
        <v/>
      </c>
    </row>
    <row r="244">
      <c r="A244">
        <f>Database!B244</f>
        <v/>
      </c>
      <c r="B244">
        <f>IF(AND(Screener!$D$8&lt;&gt;"",Database!$E244=Screener!$D$8),1,0)</f>
        <v/>
      </c>
      <c r="C244">
        <f>IF(AND(Screener!$D$7&lt;&gt;"",Database!$D244=Screener!$D$7),1,0)</f>
        <v/>
      </c>
      <c r="D244">
        <f>IF(OR(N(Database!$I244)&lt;=0,N(Screener!$D$9)&lt;=0),0,MAX(0,1-ABS(LOG10(N(Database!$I244)/Screener!$D$9))/W_SIZEHW))</f>
        <v/>
      </c>
      <c r="E244">
        <f>IF(OR(Database!$BE244="",Screener!$D$10=""),0,IF(Database!$BE244=Screener!$D$10,1,0))</f>
        <v/>
      </c>
      <c r="F244">
        <f>IF(OR(Database!$BK244="",Screener!$D$11=""),0,IF(Database!$BK244=Screener!$D$11,1,0))</f>
        <v/>
      </c>
      <c r="G244">
        <f>IF(OR(Database!$H244="",N(Screener!$D$12)&lt;=0),0,MAX(0,1-(N(Screener!$D$12)-Database!$H244)/W_RECD))</f>
        <v/>
      </c>
      <c r="H244">
        <f>IF($U$1="",0,N(ISNUMBER(SEARCH($U$1,Database!$Z244&amp;""))))+IF($V$1="",0,N(ISNUMBER(SEARCH($V$1,Database!$Z244&amp;""))))+IF($W$1="",0,N(ISNUMBER(SEARCH($W$1,Database!$Z244&amp;""))))+IF($X$1="",0,N(ISNUMBER(SEARCH($X$1,Database!$Z244&amp;""))))+IF($Y$1="",0,N(ISNUMBER(SEARCH($Y$1,Database!$Z244&amp;""))))+IF(Screener!$B$17="",0,N(ISNUMBER(SEARCH(LOWER(Screener!$B$17),Database!$Z244&amp;""))))</f>
        <v/>
      </c>
      <c r="I244">
        <f>IF(OR(N(Database!$BF244)&lt;=0,N(Screener!$D$13)&lt;=0),0,MAX(0,1-ABS(LOG10(N(Database!$BF244)/Screener!$D$13))/W_PEHW))</f>
        <v/>
      </c>
      <c r="J244">
        <f>IF(OR(N(Database!$S244)&lt;=0,N(Screener!$D$14)&lt;=0),0,MAX(0,1-ABS(LOG10(Database!$S244/Screener!$D$14))/0.6))</f>
        <v/>
      </c>
      <c r="K244">
        <f>IF(Database!$B244=Screener!$B$5,-999999,IF(ISNUMBER(SEARCH(","&amp;Database!$A244&amp;",",","&amp;SUBSTITUTE(Screener!$D$17," ","")&amp;",")),2000000,IF(IF(OR(Screener!$B$18="All",AND(Screener!$B$18="With A-share",(Database!$BK244="Y")),AND(Screener!$B$18="Without A-share",NOT((Database!$BK244="Y")))),1,0)=0,-999999,IF(Screener!$B$16="cornerstone overlap first",H244*100000,IF(Screener!$B$16="demand-similar first",J244*100000,0))+W_SUB*B244+W_SEC*C244*(1-B244)+W_SIZE*D244+W_PROF*E244+W_AH*F244+W_REC*G244+W_CS*H244+W_PE*I244)))+ROW()/1000000</f>
        <v/>
      </c>
      <c r="AA244">
        <f>Database!B234</f>
        <v/>
      </c>
      <c r="AB244">
        <f>Database!D234</f>
        <v/>
      </c>
      <c r="AC244">
        <f>Database!E234</f>
        <v/>
      </c>
      <c r="AD244">
        <f>Database!I234</f>
        <v/>
      </c>
      <c r="AE244">
        <f>Database!BE234</f>
        <v/>
      </c>
      <c r="AF244">
        <f>Database!BK234</f>
        <v/>
      </c>
      <c r="AG244">
        <f>Database!H234</f>
        <v/>
      </c>
      <c r="AH244">
        <f>Database!BF234</f>
        <v/>
      </c>
    </row>
    <row r="245">
      <c r="A245">
        <f>Database!B245</f>
        <v/>
      </c>
      <c r="B245">
        <f>IF(AND(Screener!$D$8&lt;&gt;"",Database!$E245=Screener!$D$8),1,0)</f>
        <v/>
      </c>
      <c r="C245">
        <f>IF(AND(Screener!$D$7&lt;&gt;"",Database!$D245=Screener!$D$7),1,0)</f>
        <v/>
      </c>
      <c r="D245">
        <f>IF(OR(N(Database!$I245)&lt;=0,N(Screener!$D$9)&lt;=0),0,MAX(0,1-ABS(LOG10(N(Database!$I245)/Screener!$D$9))/W_SIZEHW))</f>
        <v/>
      </c>
      <c r="E245">
        <f>IF(OR(Database!$BE245="",Screener!$D$10=""),0,IF(Database!$BE245=Screener!$D$10,1,0))</f>
        <v/>
      </c>
      <c r="F245">
        <f>IF(OR(Database!$BK245="",Screener!$D$11=""),0,IF(Database!$BK245=Screener!$D$11,1,0))</f>
        <v/>
      </c>
      <c r="G245">
        <f>IF(OR(Database!$H245="",N(Screener!$D$12)&lt;=0),0,MAX(0,1-(N(Screener!$D$12)-Database!$H245)/W_RECD))</f>
        <v/>
      </c>
      <c r="H245">
        <f>IF($U$1="",0,N(ISNUMBER(SEARCH($U$1,Database!$Z245&amp;""))))+IF($V$1="",0,N(ISNUMBER(SEARCH($V$1,Database!$Z245&amp;""))))+IF($W$1="",0,N(ISNUMBER(SEARCH($W$1,Database!$Z245&amp;""))))+IF($X$1="",0,N(ISNUMBER(SEARCH($X$1,Database!$Z245&amp;""))))+IF($Y$1="",0,N(ISNUMBER(SEARCH($Y$1,Database!$Z245&amp;""))))+IF(Screener!$B$17="",0,N(ISNUMBER(SEARCH(LOWER(Screener!$B$17),Database!$Z245&amp;""))))</f>
        <v/>
      </c>
      <c r="I245">
        <f>IF(OR(N(Database!$BF245)&lt;=0,N(Screener!$D$13)&lt;=0),0,MAX(0,1-ABS(LOG10(N(Database!$BF245)/Screener!$D$13))/W_PEHW))</f>
        <v/>
      </c>
      <c r="J245">
        <f>IF(OR(N(Database!$S245)&lt;=0,N(Screener!$D$14)&lt;=0),0,MAX(0,1-ABS(LOG10(Database!$S245/Screener!$D$14))/0.6))</f>
        <v/>
      </c>
      <c r="K245">
        <f>IF(Database!$B245=Screener!$B$5,-999999,IF(ISNUMBER(SEARCH(","&amp;Database!$A245&amp;",",","&amp;SUBSTITUTE(Screener!$D$17," ","")&amp;",")),2000000,IF(IF(OR(Screener!$B$18="All",AND(Screener!$B$18="With A-share",(Database!$BK245="Y")),AND(Screener!$B$18="Without A-share",NOT((Database!$BK245="Y")))),1,0)=0,-999999,IF(Screener!$B$16="cornerstone overlap first",H245*100000,IF(Screener!$B$16="demand-similar first",J245*100000,0))+W_SUB*B245+W_SEC*C245*(1-B245)+W_SIZE*D245+W_PROF*E245+W_AH*F245+W_REC*G245+W_CS*H245+W_PE*I245)))+ROW()/1000000</f>
        <v/>
      </c>
      <c r="AA245">
        <f>Database!B235</f>
        <v/>
      </c>
      <c r="AB245">
        <f>Database!D235</f>
        <v/>
      </c>
      <c r="AC245">
        <f>Database!E235</f>
        <v/>
      </c>
      <c r="AD245">
        <f>Database!I235</f>
        <v/>
      </c>
      <c r="AE245">
        <f>Database!BE235</f>
        <v/>
      </c>
      <c r="AF245">
        <f>Database!BK235</f>
        <v/>
      </c>
      <c r="AG245">
        <f>Database!H235</f>
        <v/>
      </c>
      <c r="AH245">
        <f>Database!BF235</f>
        <v/>
      </c>
    </row>
    <row r="246">
      <c r="A246">
        <f>Database!B246</f>
        <v/>
      </c>
      <c r="B246">
        <f>IF(AND(Screener!$D$8&lt;&gt;"",Database!$E246=Screener!$D$8),1,0)</f>
        <v/>
      </c>
      <c r="C246">
        <f>IF(AND(Screener!$D$7&lt;&gt;"",Database!$D246=Screener!$D$7),1,0)</f>
        <v/>
      </c>
      <c r="D246">
        <f>IF(OR(N(Database!$I246)&lt;=0,N(Screener!$D$9)&lt;=0),0,MAX(0,1-ABS(LOG10(N(Database!$I246)/Screener!$D$9))/W_SIZEHW))</f>
        <v/>
      </c>
      <c r="E246">
        <f>IF(OR(Database!$BE246="",Screener!$D$10=""),0,IF(Database!$BE246=Screener!$D$10,1,0))</f>
        <v/>
      </c>
      <c r="F246">
        <f>IF(OR(Database!$BK246="",Screener!$D$11=""),0,IF(Database!$BK246=Screener!$D$11,1,0))</f>
        <v/>
      </c>
      <c r="G246">
        <f>IF(OR(Database!$H246="",N(Screener!$D$12)&lt;=0),0,MAX(0,1-(N(Screener!$D$12)-Database!$H246)/W_RECD))</f>
        <v/>
      </c>
      <c r="H246">
        <f>IF($U$1="",0,N(ISNUMBER(SEARCH($U$1,Database!$Z246&amp;""))))+IF($V$1="",0,N(ISNUMBER(SEARCH($V$1,Database!$Z246&amp;""))))+IF($W$1="",0,N(ISNUMBER(SEARCH($W$1,Database!$Z246&amp;""))))+IF($X$1="",0,N(ISNUMBER(SEARCH($X$1,Database!$Z246&amp;""))))+IF($Y$1="",0,N(ISNUMBER(SEARCH($Y$1,Database!$Z246&amp;""))))+IF(Screener!$B$17="",0,N(ISNUMBER(SEARCH(LOWER(Screener!$B$17),Database!$Z246&amp;""))))</f>
        <v/>
      </c>
      <c r="I246">
        <f>IF(OR(N(Database!$BF246)&lt;=0,N(Screener!$D$13)&lt;=0),0,MAX(0,1-ABS(LOG10(N(Database!$BF246)/Screener!$D$13))/W_PEHW))</f>
        <v/>
      </c>
      <c r="J246">
        <f>IF(OR(N(Database!$S246)&lt;=0,N(Screener!$D$14)&lt;=0),0,MAX(0,1-ABS(LOG10(Database!$S246/Screener!$D$14))/0.6))</f>
        <v/>
      </c>
      <c r="K246">
        <f>IF(Database!$B246=Screener!$B$5,-999999,IF(ISNUMBER(SEARCH(","&amp;Database!$A246&amp;",",","&amp;SUBSTITUTE(Screener!$D$17," ","")&amp;",")),2000000,IF(IF(OR(Screener!$B$18="All",AND(Screener!$B$18="With A-share",(Database!$BK246="Y")),AND(Screener!$B$18="Without A-share",NOT((Database!$BK246="Y")))),1,0)=0,-999999,IF(Screener!$B$16="cornerstone overlap first",H246*100000,IF(Screener!$B$16="demand-similar first",J246*100000,0))+W_SUB*B246+W_SEC*C246*(1-B246)+W_SIZE*D246+W_PROF*E246+W_AH*F246+W_REC*G246+W_CS*H246+W_PE*I246)))+ROW()/1000000</f>
        <v/>
      </c>
      <c r="AA246">
        <f>Database!B236</f>
        <v/>
      </c>
      <c r="AB246">
        <f>Database!D236</f>
        <v/>
      </c>
      <c r="AC246">
        <f>Database!E236</f>
        <v/>
      </c>
      <c r="AD246">
        <f>Database!I236</f>
        <v/>
      </c>
      <c r="AE246">
        <f>Database!BE236</f>
        <v/>
      </c>
      <c r="AF246">
        <f>Database!BK236</f>
        <v/>
      </c>
      <c r="AG246">
        <f>Database!H236</f>
        <v/>
      </c>
      <c r="AH246">
        <f>Database!BF236</f>
        <v/>
      </c>
    </row>
    <row r="247">
      <c r="A247">
        <f>Database!B247</f>
        <v/>
      </c>
      <c r="B247">
        <f>IF(AND(Screener!$D$8&lt;&gt;"",Database!$E247=Screener!$D$8),1,0)</f>
        <v/>
      </c>
      <c r="C247">
        <f>IF(AND(Screener!$D$7&lt;&gt;"",Database!$D247=Screener!$D$7),1,0)</f>
        <v/>
      </c>
      <c r="D247">
        <f>IF(OR(N(Database!$I247)&lt;=0,N(Screener!$D$9)&lt;=0),0,MAX(0,1-ABS(LOG10(N(Database!$I247)/Screener!$D$9))/W_SIZEHW))</f>
        <v/>
      </c>
      <c r="E247">
        <f>IF(OR(Database!$BE247="",Screener!$D$10=""),0,IF(Database!$BE247=Screener!$D$10,1,0))</f>
        <v/>
      </c>
      <c r="F247">
        <f>IF(OR(Database!$BK247="",Screener!$D$11=""),0,IF(Database!$BK247=Screener!$D$11,1,0))</f>
        <v/>
      </c>
      <c r="G247">
        <f>IF(OR(Database!$H247="",N(Screener!$D$12)&lt;=0),0,MAX(0,1-(N(Screener!$D$12)-Database!$H247)/W_RECD))</f>
        <v/>
      </c>
      <c r="H247">
        <f>IF($U$1="",0,N(ISNUMBER(SEARCH($U$1,Database!$Z247&amp;""))))+IF($V$1="",0,N(ISNUMBER(SEARCH($V$1,Database!$Z247&amp;""))))+IF($W$1="",0,N(ISNUMBER(SEARCH($W$1,Database!$Z247&amp;""))))+IF($X$1="",0,N(ISNUMBER(SEARCH($X$1,Database!$Z247&amp;""))))+IF($Y$1="",0,N(ISNUMBER(SEARCH($Y$1,Database!$Z247&amp;""))))+IF(Screener!$B$17="",0,N(ISNUMBER(SEARCH(LOWER(Screener!$B$17),Database!$Z247&amp;""))))</f>
        <v/>
      </c>
      <c r="I247">
        <f>IF(OR(N(Database!$BF247)&lt;=0,N(Screener!$D$13)&lt;=0),0,MAX(0,1-ABS(LOG10(N(Database!$BF247)/Screener!$D$13))/W_PEHW))</f>
        <v/>
      </c>
      <c r="J247">
        <f>IF(OR(N(Database!$S247)&lt;=0,N(Screener!$D$14)&lt;=0),0,MAX(0,1-ABS(LOG10(Database!$S247/Screener!$D$14))/0.6))</f>
        <v/>
      </c>
      <c r="K247">
        <f>IF(Database!$B247=Screener!$B$5,-999999,IF(ISNUMBER(SEARCH(","&amp;Database!$A247&amp;",",","&amp;SUBSTITUTE(Screener!$D$17," ","")&amp;",")),2000000,IF(IF(OR(Screener!$B$18="All",AND(Screener!$B$18="With A-share",(Database!$BK247="Y")),AND(Screener!$B$18="Without A-share",NOT((Database!$BK247="Y")))),1,0)=0,-999999,IF(Screener!$B$16="cornerstone overlap first",H247*100000,IF(Screener!$B$16="demand-similar first",J247*100000,0))+W_SUB*B247+W_SEC*C247*(1-B247)+W_SIZE*D247+W_PROF*E247+W_AH*F247+W_REC*G247+W_CS*H247+W_PE*I247)))+ROW()/1000000</f>
        <v/>
      </c>
      <c r="AA247">
        <f>Database!B237</f>
        <v/>
      </c>
      <c r="AB247">
        <f>Database!D237</f>
        <v/>
      </c>
      <c r="AC247">
        <f>Database!E237</f>
        <v/>
      </c>
      <c r="AD247">
        <f>Database!I237</f>
        <v/>
      </c>
      <c r="AE247">
        <f>Database!BE237</f>
        <v/>
      </c>
      <c r="AF247">
        <f>Database!BK237</f>
        <v/>
      </c>
      <c r="AG247">
        <f>Database!H237</f>
        <v/>
      </c>
      <c r="AH247">
        <f>Database!BF237</f>
        <v/>
      </c>
    </row>
    <row r="248">
      <c r="A248">
        <f>Database!B248</f>
        <v/>
      </c>
      <c r="B248">
        <f>IF(AND(Screener!$D$8&lt;&gt;"",Database!$E248=Screener!$D$8),1,0)</f>
        <v/>
      </c>
      <c r="C248">
        <f>IF(AND(Screener!$D$7&lt;&gt;"",Database!$D248=Screener!$D$7),1,0)</f>
        <v/>
      </c>
      <c r="D248">
        <f>IF(OR(N(Database!$I248)&lt;=0,N(Screener!$D$9)&lt;=0),0,MAX(0,1-ABS(LOG10(N(Database!$I248)/Screener!$D$9))/W_SIZEHW))</f>
        <v/>
      </c>
      <c r="E248">
        <f>IF(OR(Database!$BE248="",Screener!$D$10=""),0,IF(Database!$BE248=Screener!$D$10,1,0))</f>
        <v/>
      </c>
      <c r="F248">
        <f>IF(OR(Database!$BK248="",Screener!$D$11=""),0,IF(Database!$BK248=Screener!$D$11,1,0))</f>
        <v/>
      </c>
      <c r="G248">
        <f>IF(OR(Database!$H248="",N(Screener!$D$12)&lt;=0),0,MAX(0,1-(N(Screener!$D$12)-Database!$H248)/W_RECD))</f>
        <v/>
      </c>
      <c r="H248">
        <f>IF($U$1="",0,N(ISNUMBER(SEARCH($U$1,Database!$Z248&amp;""))))+IF($V$1="",0,N(ISNUMBER(SEARCH($V$1,Database!$Z248&amp;""))))+IF($W$1="",0,N(ISNUMBER(SEARCH($W$1,Database!$Z248&amp;""))))+IF($X$1="",0,N(ISNUMBER(SEARCH($X$1,Database!$Z248&amp;""))))+IF($Y$1="",0,N(ISNUMBER(SEARCH($Y$1,Database!$Z248&amp;""))))+IF(Screener!$B$17="",0,N(ISNUMBER(SEARCH(LOWER(Screener!$B$17),Database!$Z248&amp;""))))</f>
        <v/>
      </c>
      <c r="I248">
        <f>IF(OR(N(Database!$BF248)&lt;=0,N(Screener!$D$13)&lt;=0),0,MAX(0,1-ABS(LOG10(N(Database!$BF248)/Screener!$D$13))/W_PEHW))</f>
        <v/>
      </c>
      <c r="J248">
        <f>IF(OR(N(Database!$S248)&lt;=0,N(Screener!$D$14)&lt;=0),0,MAX(0,1-ABS(LOG10(Database!$S248/Screener!$D$14))/0.6))</f>
        <v/>
      </c>
      <c r="K248">
        <f>IF(Database!$B248=Screener!$B$5,-999999,IF(ISNUMBER(SEARCH(","&amp;Database!$A248&amp;",",","&amp;SUBSTITUTE(Screener!$D$17," ","")&amp;",")),2000000,IF(IF(OR(Screener!$B$18="All",AND(Screener!$B$18="With A-share",(Database!$BK248="Y")),AND(Screener!$B$18="Without A-share",NOT((Database!$BK248="Y")))),1,0)=0,-999999,IF(Screener!$B$16="cornerstone overlap first",H248*100000,IF(Screener!$B$16="demand-similar first",J248*100000,0))+W_SUB*B248+W_SEC*C248*(1-B248)+W_SIZE*D248+W_PROF*E248+W_AH*F248+W_REC*G248+W_CS*H248+W_PE*I248)))+ROW()/1000000</f>
        <v/>
      </c>
      <c r="AA248">
        <f>Database!B238</f>
        <v/>
      </c>
      <c r="AB248">
        <f>Database!D238</f>
        <v/>
      </c>
      <c r="AC248">
        <f>Database!E238</f>
        <v/>
      </c>
      <c r="AD248">
        <f>Database!I238</f>
        <v/>
      </c>
      <c r="AE248">
        <f>Database!BE238</f>
        <v/>
      </c>
      <c r="AF248">
        <f>Database!BK238</f>
        <v/>
      </c>
      <c r="AG248">
        <f>Database!H238</f>
        <v/>
      </c>
      <c r="AH248">
        <f>Database!BF238</f>
        <v/>
      </c>
    </row>
    <row r="249">
      <c r="A249">
        <f>Database!B249</f>
        <v/>
      </c>
      <c r="B249">
        <f>IF(AND(Screener!$D$8&lt;&gt;"",Database!$E249=Screener!$D$8),1,0)</f>
        <v/>
      </c>
      <c r="C249">
        <f>IF(AND(Screener!$D$7&lt;&gt;"",Database!$D249=Screener!$D$7),1,0)</f>
        <v/>
      </c>
      <c r="D249">
        <f>IF(OR(N(Database!$I249)&lt;=0,N(Screener!$D$9)&lt;=0),0,MAX(0,1-ABS(LOG10(N(Database!$I249)/Screener!$D$9))/W_SIZEHW))</f>
        <v/>
      </c>
      <c r="E249">
        <f>IF(OR(Database!$BE249="",Screener!$D$10=""),0,IF(Database!$BE249=Screener!$D$10,1,0))</f>
        <v/>
      </c>
      <c r="F249">
        <f>IF(OR(Database!$BK249="",Screener!$D$11=""),0,IF(Database!$BK249=Screener!$D$11,1,0))</f>
        <v/>
      </c>
      <c r="G249">
        <f>IF(OR(Database!$H249="",N(Screener!$D$12)&lt;=0),0,MAX(0,1-(N(Screener!$D$12)-Database!$H249)/W_RECD))</f>
        <v/>
      </c>
      <c r="H249">
        <f>IF($U$1="",0,N(ISNUMBER(SEARCH($U$1,Database!$Z249&amp;""))))+IF($V$1="",0,N(ISNUMBER(SEARCH($V$1,Database!$Z249&amp;""))))+IF($W$1="",0,N(ISNUMBER(SEARCH($W$1,Database!$Z249&amp;""))))+IF($X$1="",0,N(ISNUMBER(SEARCH($X$1,Database!$Z249&amp;""))))+IF($Y$1="",0,N(ISNUMBER(SEARCH($Y$1,Database!$Z249&amp;""))))+IF(Screener!$B$17="",0,N(ISNUMBER(SEARCH(LOWER(Screener!$B$17),Database!$Z249&amp;""))))</f>
        <v/>
      </c>
      <c r="I249">
        <f>IF(OR(N(Database!$BF249)&lt;=0,N(Screener!$D$13)&lt;=0),0,MAX(0,1-ABS(LOG10(N(Database!$BF249)/Screener!$D$13))/W_PEHW))</f>
        <v/>
      </c>
      <c r="J249">
        <f>IF(OR(N(Database!$S249)&lt;=0,N(Screener!$D$14)&lt;=0),0,MAX(0,1-ABS(LOG10(Database!$S249/Screener!$D$14))/0.6))</f>
        <v/>
      </c>
      <c r="K249">
        <f>IF(Database!$B249=Screener!$B$5,-999999,IF(ISNUMBER(SEARCH(","&amp;Database!$A249&amp;",",","&amp;SUBSTITUTE(Screener!$D$17," ","")&amp;",")),2000000,IF(IF(OR(Screener!$B$18="All",AND(Screener!$B$18="With A-share",(Database!$BK249="Y")),AND(Screener!$B$18="Without A-share",NOT((Database!$BK249="Y")))),1,0)=0,-999999,IF(Screener!$B$16="cornerstone overlap first",H249*100000,IF(Screener!$B$16="demand-similar first",J249*100000,0))+W_SUB*B249+W_SEC*C249*(1-B249)+W_SIZE*D249+W_PROF*E249+W_AH*F249+W_REC*G249+W_CS*H249+W_PE*I249)))+ROW()/1000000</f>
        <v/>
      </c>
      <c r="AA249">
        <f>Database!B239</f>
        <v/>
      </c>
      <c r="AB249">
        <f>Database!D239</f>
        <v/>
      </c>
      <c r="AC249">
        <f>Database!E239</f>
        <v/>
      </c>
      <c r="AD249">
        <f>Database!I239</f>
        <v/>
      </c>
      <c r="AE249">
        <f>Database!BE239</f>
        <v/>
      </c>
      <c r="AF249">
        <f>Database!BK239</f>
        <v/>
      </c>
      <c r="AG249">
        <f>Database!H239</f>
        <v/>
      </c>
      <c r="AH249">
        <f>Database!BF239</f>
        <v/>
      </c>
    </row>
    <row r="250">
      <c r="A250">
        <f>Database!B250</f>
        <v/>
      </c>
      <c r="B250">
        <f>IF(AND(Screener!$D$8&lt;&gt;"",Database!$E250=Screener!$D$8),1,0)</f>
        <v/>
      </c>
      <c r="C250">
        <f>IF(AND(Screener!$D$7&lt;&gt;"",Database!$D250=Screener!$D$7),1,0)</f>
        <v/>
      </c>
      <c r="D250">
        <f>IF(OR(N(Database!$I250)&lt;=0,N(Screener!$D$9)&lt;=0),0,MAX(0,1-ABS(LOG10(N(Database!$I250)/Screener!$D$9))/W_SIZEHW))</f>
        <v/>
      </c>
      <c r="E250">
        <f>IF(OR(Database!$BE250="",Screener!$D$10=""),0,IF(Database!$BE250=Screener!$D$10,1,0))</f>
        <v/>
      </c>
      <c r="F250">
        <f>IF(OR(Database!$BK250="",Screener!$D$11=""),0,IF(Database!$BK250=Screener!$D$11,1,0))</f>
        <v/>
      </c>
      <c r="G250">
        <f>IF(OR(Database!$H250="",N(Screener!$D$12)&lt;=0),0,MAX(0,1-(N(Screener!$D$12)-Database!$H250)/W_RECD))</f>
        <v/>
      </c>
      <c r="H250">
        <f>IF($U$1="",0,N(ISNUMBER(SEARCH($U$1,Database!$Z250&amp;""))))+IF($V$1="",0,N(ISNUMBER(SEARCH($V$1,Database!$Z250&amp;""))))+IF($W$1="",0,N(ISNUMBER(SEARCH($W$1,Database!$Z250&amp;""))))+IF($X$1="",0,N(ISNUMBER(SEARCH($X$1,Database!$Z250&amp;""))))+IF($Y$1="",0,N(ISNUMBER(SEARCH($Y$1,Database!$Z250&amp;""))))+IF(Screener!$B$17="",0,N(ISNUMBER(SEARCH(LOWER(Screener!$B$17),Database!$Z250&amp;""))))</f>
        <v/>
      </c>
      <c r="I250">
        <f>IF(OR(N(Database!$BF250)&lt;=0,N(Screener!$D$13)&lt;=0),0,MAX(0,1-ABS(LOG10(N(Database!$BF250)/Screener!$D$13))/W_PEHW))</f>
        <v/>
      </c>
      <c r="J250">
        <f>IF(OR(N(Database!$S250)&lt;=0,N(Screener!$D$14)&lt;=0),0,MAX(0,1-ABS(LOG10(Database!$S250/Screener!$D$14))/0.6))</f>
        <v/>
      </c>
      <c r="K250">
        <f>IF(Database!$B250=Screener!$B$5,-999999,IF(ISNUMBER(SEARCH(","&amp;Database!$A250&amp;",",","&amp;SUBSTITUTE(Screener!$D$17," ","")&amp;",")),2000000,IF(IF(OR(Screener!$B$18="All",AND(Screener!$B$18="With A-share",(Database!$BK250="Y")),AND(Screener!$B$18="Without A-share",NOT((Database!$BK250="Y")))),1,0)=0,-999999,IF(Screener!$B$16="cornerstone overlap first",H250*100000,IF(Screener!$B$16="demand-similar first",J250*100000,0))+W_SUB*B250+W_SEC*C250*(1-B250)+W_SIZE*D250+W_PROF*E250+W_AH*F250+W_REC*G250+W_CS*H250+W_PE*I250)))+ROW()/1000000</f>
        <v/>
      </c>
      <c r="AA250">
        <f>Database!B240</f>
        <v/>
      </c>
      <c r="AB250">
        <f>Database!D240</f>
        <v/>
      </c>
      <c r="AC250">
        <f>Database!E240</f>
        <v/>
      </c>
      <c r="AD250">
        <f>Database!I240</f>
        <v/>
      </c>
      <c r="AE250">
        <f>Database!BE240</f>
        <v/>
      </c>
      <c r="AF250">
        <f>Database!BK240</f>
        <v/>
      </c>
      <c r="AG250">
        <f>Database!H240</f>
        <v/>
      </c>
      <c r="AH250">
        <f>Database!BF240</f>
        <v/>
      </c>
    </row>
    <row r="251">
      <c r="A251">
        <f>Database!B251</f>
        <v/>
      </c>
      <c r="B251">
        <f>IF(AND(Screener!$D$8&lt;&gt;"",Database!$E251=Screener!$D$8),1,0)</f>
        <v/>
      </c>
      <c r="C251">
        <f>IF(AND(Screener!$D$7&lt;&gt;"",Database!$D251=Screener!$D$7),1,0)</f>
        <v/>
      </c>
      <c r="D251">
        <f>IF(OR(N(Database!$I251)&lt;=0,N(Screener!$D$9)&lt;=0),0,MAX(0,1-ABS(LOG10(N(Database!$I251)/Screener!$D$9))/W_SIZEHW))</f>
        <v/>
      </c>
      <c r="E251">
        <f>IF(OR(Database!$BE251="",Screener!$D$10=""),0,IF(Database!$BE251=Screener!$D$10,1,0))</f>
        <v/>
      </c>
      <c r="F251">
        <f>IF(OR(Database!$BK251="",Screener!$D$11=""),0,IF(Database!$BK251=Screener!$D$11,1,0))</f>
        <v/>
      </c>
      <c r="G251">
        <f>IF(OR(Database!$H251="",N(Screener!$D$12)&lt;=0),0,MAX(0,1-(N(Screener!$D$12)-Database!$H251)/W_RECD))</f>
        <v/>
      </c>
      <c r="H251">
        <f>IF($U$1="",0,N(ISNUMBER(SEARCH($U$1,Database!$Z251&amp;""))))+IF($V$1="",0,N(ISNUMBER(SEARCH($V$1,Database!$Z251&amp;""))))+IF($W$1="",0,N(ISNUMBER(SEARCH($W$1,Database!$Z251&amp;""))))+IF($X$1="",0,N(ISNUMBER(SEARCH($X$1,Database!$Z251&amp;""))))+IF($Y$1="",0,N(ISNUMBER(SEARCH($Y$1,Database!$Z251&amp;""))))+IF(Screener!$B$17="",0,N(ISNUMBER(SEARCH(LOWER(Screener!$B$17),Database!$Z251&amp;""))))</f>
        <v/>
      </c>
      <c r="I251">
        <f>IF(OR(N(Database!$BF251)&lt;=0,N(Screener!$D$13)&lt;=0),0,MAX(0,1-ABS(LOG10(N(Database!$BF251)/Screener!$D$13))/W_PEHW))</f>
        <v/>
      </c>
      <c r="J251">
        <f>IF(OR(N(Database!$S251)&lt;=0,N(Screener!$D$14)&lt;=0),0,MAX(0,1-ABS(LOG10(Database!$S251/Screener!$D$14))/0.6))</f>
        <v/>
      </c>
      <c r="K251">
        <f>IF(Database!$B251=Screener!$B$5,-999999,IF(ISNUMBER(SEARCH(","&amp;Database!$A251&amp;",",","&amp;SUBSTITUTE(Screener!$D$17," ","")&amp;",")),2000000,IF(IF(OR(Screener!$B$18="All",AND(Screener!$B$18="With A-share",(Database!$BK251="Y")),AND(Screener!$B$18="Without A-share",NOT((Database!$BK251="Y")))),1,0)=0,-999999,IF(Screener!$B$16="cornerstone overlap first",H251*100000,IF(Screener!$B$16="demand-similar first",J251*100000,0))+W_SUB*B251+W_SEC*C251*(1-B251)+W_SIZE*D251+W_PROF*E251+W_AH*F251+W_REC*G251+W_CS*H251+W_PE*I251)))+ROW()/1000000</f>
        <v/>
      </c>
      <c r="AA251">
        <f>Database!B241</f>
        <v/>
      </c>
      <c r="AB251">
        <f>Database!D241</f>
        <v/>
      </c>
      <c r="AC251">
        <f>Database!E241</f>
        <v/>
      </c>
      <c r="AD251">
        <f>Database!I241</f>
        <v/>
      </c>
      <c r="AE251">
        <f>Database!BE241</f>
        <v/>
      </c>
      <c r="AF251">
        <f>Database!BK241</f>
        <v/>
      </c>
      <c r="AG251">
        <f>Database!H241</f>
        <v/>
      </c>
      <c r="AH251">
        <f>Database!BF241</f>
        <v/>
      </c>
    </row>
    <row r="252">
      <c r="A252">
        <f>Database!B252</f>
        <v/>
      </c>
      <c r="B252">
        <f>IF(AND(Screener!$D$8&lt;&gt;"",Database!$E252=Screener!$D$8),1,0)</f>
        <v/>
      </c>
      <c r="C252">
        <f>IF(AND(Screener!$D$7&lt;&gt;"",Database!$D252=Screener!$D$7),1,0)</f>
        <v/>
      </c>
      <c r="D252">
        <f>IF(OR(N(Database!$I252)&lt;=0,N(Screener!$D$9)&lt;=0),0,MAX(0,1-ABS(LOG10(N(Database!$I252)/Screener!$D$9))/W_SIZEHW))</f>
        <v/>
      </c>
      <c r="E252">
        <f>IF(OR(Database!$BE252="",Screener!$D$10=""),0,IF(Database!$BE252=Screener!$D$10,1,0))</f>
        <v/>
      </c>
      <c r="F252">
        <f>IF(OR(Database!$BK252="",Screener!$D$11=""),0,IF(Database!$BK252=Screener!$D$11,1,0))</f>
        <v/>
      </c>
      <c r="G252">
        <f>IF(OR(Database!$H252="",N(Screener!$D$12)&lt;=0),0,MAX(0,1-(N(Screener!$D$12)-Database!$H252)/W_RECD))</f>
        <v/>
      </c>
      <c r="H252">
        <f>IF($U$1="",0,N(ISNUMBER(SEARCH($U$1,Database!$Z252&amp;""))))+IF($V$1="",0,N(ISNUMBER(SEARCH($V$1,Database!$Z252&amp;""))))+IF($W$1="",0,N(ISNUMBER(SEARCH($W$1,Database!$Z252&amp;""))))+IF($X$1="",0,N(ISNUMBER(SEARCH($X$1,Database!$Z252&amp;""))))+IF($Y$1="",0,N(ISNUMBER(SEARCH($Y$1,Database!$Z252&amp;""))))+IF(Screener!$B$17="",0,N(ISNUMBER(SEARCH(LOWER(Screener!$B$17),Database!$Z252&amp;""))))</f>
        <v/>
      </c>
      <c r="I252">
        <f>IF(OR(N(Database!$BF252)&lt;=0,N(Screener!$D$13)&lt;=0),0,MAX(0,1-ABS(LOG10(N(Database!$BF252)/Screener!$D$13))/W_PEHW))</f>
        <v/>
      </c>
      <c r="J252">
        <f>IF(OR(N(Database!$S252)&lt;=0,N(Screener!$D$14)&lt;=0),0,MAX(0,1-ABS(LOG10(Database!$S252/Screener!$D$14))/0.6))</f>
        <v/>
      </c>
      <c r="K252">
        <f>IF(Database!$B252=Screener!$B$5,-999999,IF(ISNUMBER(SEARCH(","&amp;Database!$A252&amp;",",","&amp;SUBSTITUTE(Screener!$D$17," ","")&amp;",")),2000000,IF(IF(OR(Screener!$B$18="All",AND(Screener!$B$18="With A-share",(Database!$BK252="Y")),AND(Screener!$B$18="Without A-share",NOT((Database!$BK252="Y")))),1,0)=0,-999999,IF(Screener!$B$16="cornerstone overlap first",H252*100000,IF(Screener!$B$16="demand-similar first",J252*100000,0))+W_SUB*B252+W_SEC*C252*(1-B252)+W_SIZE*D252+W_PROF*E252+W_AH*F252+W_REC*G252+W_CS*H252+W_PE*I252)))+ROW()/1000000</f>
        <v/>
      </c>
      <c r="AA252">
        <f>Database!B242</f>
        <v/>
      </c>
      <c r="AB252">
        <f>Database!D242</f>
        <v/>
      </c>
      <c r="AC252">
        <f>Database!E242</f>
        <v/>
      </c>
      <c r="AD252">
        <f>Database!I242</f>
        <v/>
      </c>
      <c r="AE252">
        <f>Database!BE242</f>
        <v/>
      </c>
      <c r="AF252">
        <f>Database!BK242</f>
        <v/>
      </c>
      <c r="AG252">
        <f>Database!H242</f>
        <v/>
      </c>
      <c r="AH252">
        <f>Database!BF242</f>
        <v/>
      </c>
    </row>
    <row r="253">
      <c r="A253">
        <f>Database!B253</f>
        <v/>
      </c>
      <c r="B253">
        <f>IF(AND(Screener!$D$8&lt;&gt;"",Database!$E253=Screener!$D$8),1,0)</f>
        <v/>
      </c>
      <c r="C253">
        <f>IF(AND(Screener!$D$7&lt;&gt;"",Database!$D253=Screener!$D$7),1,0)</f>
        <v/>
      </c>
      <c r="D253">
        <f>IF(OR(N(Database!$I253)&lt;=0,N(Screener!$D$9)&lt;=0),0,MAX(0,1-ABS(LOG10(N(Database!$I253)/Screener!$D$9))/W_SIZEHW))</f>
        <v/>
      </c>
      <c r="E253">
        <f>IF(OR(Database!$BE253="",Screener!$D$10=""),0,IF(Database!$BE253=Screener!$D$10,1,0))</f>
        <v/>
      </c>
      <c r="F253">
        <f>IF(OR(Database!$BK253="",Screener!$D$11=""),0,IF(Database!$BK253=Screener!$D$11,1,0))</f>
        <v/>
      </c>
      <c r="G253">
        <f>IF(OR(Database!$H253="",N(Screener!$D$12)&lt;=0),0,MAX(0,1-(N(Screener!$D$12)-Database!$H253)/W_RECD))</f>
        <v/>
      </c>
      <c r="H253">
        <f>IF($U$1="",0,N(ISNUMBER(SEARCH($U$1,Database!$Z253&amp;""))))+IF($V$1="",0,N(ISNUMBER(SEARCH($V$1,Database!$Z253&amp;""))))+IF($W$1="",0,N(ISNUMBER(SEARCH($W$1,Database!$Z253&amp;""))))+IF($X$1="",0,N(ISNUMBER(SEARCH($X$1,Database!$Z253&amp;""))))+IF($Y$1="",0,N(ISNUMBER(SEARCH($Y$1,Database!$Z253&amp;""))))+IF(Screener!$B$17="",0,N(ISNUMBER(SEARCH(LOWER(Screener!$B$17),Database!$Z253&amp;""))))</f>
        <v/>
      </c>
      <c r="I253">
        <f>IF(OR(N(Database!$BF253)&lt;=0,N(Screener!$D$13)&lt;=0),0,MAX(0,1-ABS(LOG10(N(Database!$BF253)/Screener!$D$13))/W_PEHW))</f>
        <v/>
      </c>
      <c r="J253">
        <f>IF(OR(N(Database!$S253)&lt;=0,N(Screener!$D$14)&lt;=0),0,MAX(0,1-ABS(LOG10(Database!$S253/Screener!$D$14))/0.6))</f>
        <v/>
      </c>
      <c r="K253">
        <f>IF(Database!$B253=Screener!$B$5,-999999,IF(ISNUMBER(SEARCH(","&amp;Database!$A253&amp;",",","&amp;SUBSTITUTE(Screener!$D$17," ","")&amp;",")),2000000,IF(IF(OR(Screener!$B$18="All",AND(Screener!$B$18="With A-share",(Database!$BK253="Y")),AND(Screener!$B$18="Without A-share",NOT((Database!$BK253="Y")))),1,0)=0,-999999,IF(Screener!$B$16="cornerstone overlap first",H253*100000,IF(Screener!$B$16="demand-similar first",J253*100000,0))+W_SUB*B253+W_SEC*C253*(1-B253)+W_SIZE*D253+W_PROF*E253+W_AH*F253+W_REC*G253+W_CS*H253+W_PE*I253)))+ROW()/1000000</f>
        <v/>
      </c>
      <c r="AA253">
        <f>Database!B243</f>
        <v/>
      </c>
      <c r="AB253">
        <f>Database!D243</f>
        <v/>
      </c>
      <c r="AC253">
        <f>Database!E243</f>
        <v/>
      </c>
      <c r="AD253">
        <f>Database!I243</f>
        <v/>
      </c>
      <c r="AE253">
        <f>Database!BE243</f>
        <v/>
      </c>
      <c r="AF253">
        <f>Database!BK243</f>
        <v/>
      </c>
      <c r="AG253">
        <f>Database!H243</f>
        <v/>
      </c>
      <c r="AH253">
        <f>Database!BF243</f>
        <v/>
      </c>
    </row>
    <row r="254">
      <c r="A254">
        <f>Database!B254</f>
        <v/>
      </c>
      <c r="B254">
        <f>IF(AND(Screener!$D$8&lt;&gt;"",Database!$E254=Screener!$D$8),1,0)</f>
        <v/>
      </c>
      <c r="C254">
        <f>IF(AND(Screener!$D$7&lt;&gt;"",Database!$D254=Screener!$D$7),1,0)</f>
        <v/>
      </c>
      <c r="D254">
        <f>IF(OR(N(Database!$I254)&lt;=0,N(Screener!$D$9)&lt;=0),0,MAX(0,1-ABS(LOG10(N(Database!$I254)/Screener!$D$9))/W_SIZEHW))</f>
        <v/>
      </c>
      <c r="E254">
        <f>IF(OR(Database!$BE254="",Screener!$D$10=""),0,IF(Database!$BE254=Screener!$D$10,1,0))</f>
        <v/>
      </c>
      <c r="F254">
        <f>IF(OR(Database!$BK254="",Screener!$D$11=""),0,IF(Database!$BK254=Screener!$D$11,1,0))</f>
        <v/>
      </c>
      <c r="G254">
        <f>IF(OR(Database!$H254="",N(Screener!$D$12)&lt;=0),0,MAX(0,1-(N(Screener!$D$12)-Database!$H254)/W_RECD))</f>
        <v/>
      </c>
      <c r="H254">
        <f>IF($U$1="",0,N(ISNUMBER(SEARCH($U$1,Database!$Z254&amp;""))))+IF($V$1="",0,N(ISNUMBER(SEARCH($V$1,Database!$Z254&amp;""))))+IF($W$1="",0,N(ISNUMBER(SEARCH($W$1,Database!$Z254&amp;""))))+IF($X$1="",0,N(ISNUMBER(SEARCH($X$1,Database!$Z254&amp;""))))+IF($Y$1="",0,N(ISNUMBER(SEARCH($Y$1,Database!$Z254&amp;""))))+IF(Screener!$B$17="",0,N(ISNUMBER(SEARCH(LOWER(Screener!$B$17),Database!$Z254&amp;""))))</f>
        <v/>
      </c>
      <c r="I254">
        <f>IF(OR(N(Database!$BF254)&lt;=0,N(Screener!$D$13)&lt;=0),0,MAX(0,1-ABS(LOG10(N(Database!$BF254)/Screener!$D$13))/W_PEHW))</f>
        <v/>
      </c>
      <c r="J254">
        <f>IF(OR(N(Database!$S254)&lt;=0,N(Screener!$D$14)&lt;=0),0,MAX(0,1-ABS(LOG10(Database!$S254/Screener!$D$14))/0.6))</f>
        <v/>
      </c>
      <c r="K254">
        <f>IF(Database!$B254=Screener!$B$5,-999999,IF(ISNUMBER(SEARCH(","&amp;Database!$A254&amp;",",","&amp;SUBSTITUTE(Screener!$D$17," ","")&amp;",")),2000000,IF(IF(OR(Screener!$B$18="All",AND(Screener!$B$18="With A-share",(Database!$BK254="Y")),AND(Screener!$B$18="Without A-share",NOT((Database!$BK254="Y")))),1,0)=0,-999999,IF(Screener!$B$16="cornerstone overlap first",H254*100000,IF(Screener!$B$16="demand-similar first",J254*100000,0))+W_SUB*B254+W_SEC*C254*(1-B254)+W_SIZE*D254+W_PROF*E254+W_AH*F254+W_REC*G254+W_CS*H254+W_PE*I254)))+ROW()/1000000</f>
        <v/>
      </c>
      <c r="AA254">
        <f>Database!B244</f>
        <v/>
      </c>
      <c r="AB254">
        <f>Database!D244</f>
        <v/>
      </c>
      <c r="AC254">
        <f>Database!E244</f>
        <v/>
      </c>
      <c r="AD254">
        <f>Database!I244</f>
        <v/>
      </c>
      <c r="AE254">
        <f>Database!BE244</f>
        <v/>
      </c>
      <c r="AF254">
        <f>Database!BK244</f>
        <v/>
      </c>
      <c r="AG254">
        <f>Database!H244</f>
        <v/>
      </c>
      <c r="AH254">
        <f>Database!BF244</f>
        <v/>
      </c>
    </row>
    <row r="255">
      <c r="A255">
        <f>Database!B255</f>
        <v/>
      </c>
      <c r="B255">
        <f>IF(AND(Screener!$D$8&lt;&gt;"",Database!$E255=Screener!$D$8),1,0)</f>
        <v/>
      </c>
      <c r="C255">
        <f>IF(AND(Screener!$D$7&lt;&gt;"",Database!$D255=Screener!$D$7),1,0)</f>
        <v/>
      </c>
      <c r="D255">
        <f>IF(OR(N(Database!$I255)&lt;=0,N(Screener!$D$9)&lt;=0),0,MAX(0,1-ABS(LOG10(N(Database!$I255)/Screener!$D$9))/W_SIZEHW))</f>
        <v/>
      </c>
      <c r="E255">
        <f>IF(OR(Database!$BE255="",Screener!$D$10=""),0,IF(Database!$BE255=Screener!$D$10,1,0))</f>
        <v/>
      </c>
      <c r="F255">
        <f>IF(OR(Database!$BK255="",Screener!$D$11=""),0,IF(Database!$BK255=Screener!$D$11,1,0))</f>
        <v/>
      </c>
      <c r="G255">
        <f>IF(OR(Database!$H255="",N(Screener!$D$12)&lt;=0),0,MAX(0,1-(N(Screener!$D$12)-Database!$H255)/W_RECD))</f>
        <v/>
      </c>
      <c r="H255">
        <f>IF($U$1="",0,N(ISNUMBER(SEARCH($U$1,Database!$Z255&amp;""))))+IF($V$1="",0,N(ISNUMBER(SEARCH($V$1,Database!$Z255&amp;""))))+IF($W$1="",0,N(ISNUMBER(SEARCH($W$1,Database!$Z255&amp;""))))+IF($X$1="",0,N(ISNUMBER(SEARCH($X$1,Database!$Z255&amp;""))))+IF($Y$1="",0,N(ISNUMBER(SEARCH($Y$1,Database!$Z255&amp;""))))+IF(Screener!$B$17="",0,N(ISNUMBER(SEARCH(LOWER(Screener!$B$17),Database!$Z255&amp;""))))</f>
        <v/>
      </c>
      <c r="I255">
        <f>IF(OR(N(Database!$BF255)&lt;=0,N(Screener!$D$13)&lt;=0),0,MAX(0,1-ABS(LOG10(N(Database!$BF255)/Screener!$D$13))/W_PEHW))</f>
        <v/>
      </c>
      <c r="J255">
        <f>IF(OR(N(Database!$S255)&lt;=0,N(Screener!$D$14)&lt;=0),0,MAX(0,1-ABS(LOG10(Database!$S255/Screener!$D$14))/0.6))</f>
        <v/>
      </c>
      <c r="K255">
        <f>IF(Database!$B255=Screener!$B$5,-999999,IF(ISNUMBER(SEARCH(","&amp;Database!$A255&amp;",",","&amp;SUBSTITUTE(Screener!$D$17," ","")&amp;",")),2000000,IF(IF(OR(Screener!$B$18="All",AND(Screener!$B$18="With A-share",(Database!$BK255="Y")),AND(Screener!$B$18="Without A-share",NOT((Database!$BK255="Y")))),1,0)=0,-999999,IF(Screener!$B$16="cornerstone overlap first",H255*100000,IF(Screener!$B$16="demand-similar first",J255*100000,0))+W_SUB*B255+W_SEC*C255*(1-B255)+W_SIZE*D255+W_PROF*E255+W_AH*F255+W_REC*G255+W_CS*H255+W_PE*I255)))+ROW()/1000000</f>
        <v/>
      </c>
      <c r="AA255">
        <f>Database!B245</f>
        <v/>
      </c>
      <c r="AB255">
        <f>Database!D245</f>
        <v/>
      </c>
      <c r="AC255">
        <f>Database!E245</f>
        <v/>
      </c>
      <c r="AD255">
        <f>Database!I245</f>
        <v/>
      </c>
      <c r="AE255">
        <f>Database!BE245</f>
        <v/>
      </c>
      <c r="AF255">
        <f>Database!BK245</f>
        <v/>
      </c>
      <c r="AG255">
        <f>Database!H245</f>
        <v/>
      </c>
      <c r="AH255">
        <f>Database!BF245</f>
        <v/>
      </c>
    </row>
    <row r="256">
      <c r="A256">
        <f>Database!B256</f>
        <v/>
      </c>
      <c r="B256">
        <f>IF(AND(Screener!$D$8&lt;&gt;"",Database!$E256=Screener!$D$8),1,0)</f>
        <v/>
      </c>
      <c r="C256">
        <f>IF(AND(Screener!$D$7&lt;&gt;"",Database!$D256=Screener!$D$7),1,0)</f>
        <v/>
      </c>
      <c r="D256">
        <f>IF(OR(N(Database!$I256)&lt;=0,N(Screener!$D$9)&lt;=0),0,MAX(0,1-ABS(LOG10(N(Database!$I256)/Screener!$D$9))/W_SIZEHW))</f>
        <v/>
      </c>
      <c r="E256">
        <f>IF(OR(Database!$BE256="",Screener!$D$10=""),0,IF(Database!$BE256=Screener!$D$10,1,0))</f>
        <v/>
      </c>
      <c r="F256">
        <f>IF(OR(Database!$BK256="",Screener!$D$11=""),0,IF(Database!$BK256=Screener!$D$11,1,0))</f>
        <v/>
      </c>
      <c r="G256">
        <f>IF(OR(Database!$H256="",N(Screener!$D$12)&lt;=0),0,MAX(0,1-(N(Screener!$D$12)-Database!$H256)/W_RECD))</f>
        <v/>
      </c>
      <c r="H256">
        <f>IF($U$1="",0,N(ISNUMBER(SEARCH($U$1,Database!$Z256&amp;""))))+IF($V$1="",0,N(ISNUMBER(SEARCH($V$1,Database!$Z256&amp;""))))+IF($W$1="",0,N(ISNUMBER(SEARCH($W$1,Database!$Z256&amp;""))))+IF($X$1="",0,N(ISNUMBER(SEARCH($X$1,Database!$Z256&amp;""))))+IF($Y$1="",0,N(ISNUMBER(SEARCH($Y$1,Database!$Z256&amp;""))))+IF(Screener!$B$17="",0,N(ISNUMBER(SEARCH(LOWER(Screener!$B$17),Database!$Z256&amp;""))))</f>
        <v/>
      </c>
      <c r="I256">
        <f>IF(OR(N(Database!$BF256)&lt;=0,N(Screener!$D$13)&lt;=0),0,MAX(0,1-ABS(LOG10(N(Database!$BF256)/Screener!$D$13))/W_PEHW))</f>
        <v/>
      </c>
      <c r="J256">
        <f>IF(OR(N(Database!$S256)&lt;=0,N(Screener!$D$14)&lt;=0),0,MAX(0,1-ABS(LOG10(Database!$S256/Screener!$D$14))/0.6))</f>
        <v/>
      </c>
      <c r="K256">
        <f>IF(Database!$B256=Screener!$B$5,-999999,IF(ISNUMBER(SEARCH(","&amp;Database!$A256&amp;",",","&amp;SUBSTITUTE(Screener!$D$17," ","")&amp;",")),2000000,IF(IF(OR(Screener!$B$18="All",AND(Screener!$B$18="With A-share",(Database!$BK256="Y")),AND(Screener!$B$18="Without A-share",NOT((Database!$BK256="Y")))),1,0)=0,-999999,IF(Screener!$B$16="cornerstone overlap first",H256*100000,IF(Screener!$B$16="demand-similar first",J256*100000,0))+W_SUB*B256+W_SEC*C256*(1-B256)+W_SIZE*D256+W_PROF*E256+W_AH*F256+W_REC*G256+W_CS*H256+W_PE*I256)))+ROW()/1000000</f>
        <v/>
      </c>
      <c r="AA256">
        <f>Database!B246</f>
        <v/>
      </c>
      <c r="AB256">
        <f>Database!D246</f>
        <v/>
      </c>
      <c r="AC256">
        <f>Database!E246</f>
        <v/>
      </c>
      <c r="AD256">
        <f>Database!I246</f>
        <v/>
      </c>
      <c r="AE256">
        <f>Database!BE246</f>
        <v/>
      </c>
      <c r="AF256">
        <f>Database!BK246</f>
        <v/>
      </c>
      <c r="AG256">
        <f>Database!H246</f>
        <v/>
      </c>
      <c r="AH256">
        <f>Database!BF246</f>
        <v/>
      </c>
    </row>
    <row r="257">
      <c r="A257">
        <f>Database!B257</f>
        <v/>
      </c>
      <c r="B257">
        <f>IF(AND(Screener!$D$8&lt;&gt;"",Database!$E257=Screener!$D$8),1,0)</f>
        <v/>
      </c>
      <c r="C257">
        <f>IF(AND(Screener!$D$7&lt;&gt;"",Database!$D257=Screener!$D$7),1,0)</f>
        <v/>
      </c>
      <c r="D257">
        <f>IF(OR(N(Database!$I257)&lt;=0,N(Screener!$D$9)&lt;=0),0,MAX(0,1-ABS(LOG10(N(Database!$I257)/Screener!$D$9))/W_SIZEHW))</f>
        <v/>
      </c>
      <c r="E257">
        <f>IF(OR(Database!$BE257="",Screener!$D$10=""),0,IF(Database!$BE257=Screener!$D$10,1,0))</f>
        <v/>
      </c>
      <c r="F257">
        <f>IF(OR(Database!$BK257="",Screener!$D$11=""),0,IF(Database!$BK257=Screener!$D$11,1,0))</f>
        <v/>
      </c>
      <c r="G257">
        <f>IF(OR(Database!$H257="",N(Screener!$D$12)&lt;=0),0,MAX(0,1-(N(Screener!$D$12)-Database!$H257)/W_RECD))</f>
        <v/>
      </c>
      <c r="H257">
        <f>IF($U$1="",0,N(ISNUMBER(SEARCH($U$1,Database!$Z257&amp;""))))+IF($V$1="",0,N(ISNUMBER(SEARCH($V$1,Database!$Z257&amp;""))))+IF($W$1="",0,N(ISNUMBER(SEARCH($W$1,Database!$Z257&amp;""))))+IF($X$1="",0,N(ISNUMBER(SEARCH($X$1,Database!$Z257&amp;""))))+IF($Y$1="",0,N(ISNUMBER(SEARCH($Y$1,Database!$Z257&amp;""))))+IF(Screener!$B$17="",0,N(ISNUMBER(SEARCH(LOWER(Screener!$B$17),Database!$Z257&amp;""))))</f>
        <v/>
      </c>
      <c r="I257">
        <f>IF(OR(N(Database!$BF257)&lt;=0,N(Screener!$D$13)&lt;=0),0,MAX(0,1-ABS(LOG10(N(Database!$BF257)/Screener!$D$13))/W_PEHW))</f>
        <v/>
      </c>
      <c r="J257">
        <f>IF(OR(N(Database!$S257)&lt;=0,N(Screener!$D$14)&lt;=0),0,MAX(0,1-ABS(LOG10(Database!$S257/Screener!$D$14))/0.6))</f>
        <v/>
      </c>
      <c r="K257">
        <f>IF(Database!$B257=Screener!$B$5,-999999,IF(ISNUMBER(SEARCH(","&amp;Database!$A257&amp;",",","&amp;SUBSTITUTE(Screener!$D$17," ","")&amp;",")),2000000,IF(IF(OR(Screener!$B$18="All",AND(Screener!$B$18="With A-share",(Database!$BK257="Y")),AND(Screener!$B$18="Without A-share",NOT((Database!$BK257="Y")))),1,0)=0,-999999,IF(Screener!$B$16="cornerstone overlap first",H257*100000,IF(Screener!$B$16="demand-similar first",J257*100000,0))+W_SUB*B257+W_SEC*C257*(1-B257)+W_SIZE*D257+W_PROF*E257+W_AH*F257+W_REC*G257+W_CS*H257+W_PE*I257)))+ROW()/1000000</f>
        <v/>
      </c>
      <c r="AA257">
        <f>Database!B247</f>
        <v/>
      </c>
      <c r="AB257">
        <f>Database!D247</f>
        <v/>
      </c>
      <c r="AC257">
        <f>Database!E247</f>
        <v/>
      </c>
      <c r="AD257">
        <f>Database!I247</f>
        <v/>
      </c>
      <c r="AE257">
        <f>Database!BE247</f>
        <v/>
      </c>
      <c r="AF257">
        <f>Database!BK247</f>
        <v/>
      </c>
      <c r="AG257">
        <f>Database!H247</f>
        <v/>
      </c>
      <c r="AH257">
        <f>Database!BF247</f>
        <v/>
      </c>
    </row>
    <row r="258">
      <c r="A258">
        <f>Database!B258</f>
        <v/>
      </c>
      <c r="B258">
        <f>IF(AND(Screener!$D$8&lt;&gt;"",Database!$E258=Screener!$D$8),1,0)</f>
        <v/>
      </c>
      <c r="C258">
        <f>IF(AND(Screener!$D$7&lt;&gt;"",Database!$D258=Screener!$D$7),1,0)</f>
        <v/>
      </c>
      <c r="D258">
        <f>IF(OR(N(Database!$I258)&lt;=0,N(Screener!$D$9)&lt;=0),0,MAX(0,1-ABS(LOG10(N(Database!$I258)/Screener!$D$9))/W_SIZEHW))</f>
        <v/>
      </c>
      <c r="E258">
        <f>IF(OR(Database!$BE258="",Screener!$D$10=""),0,IF(Database!$BE258=Screener!$D$10,1,0))</f>
        <v/>
      </c>
      <c r="F258">
        <f>IF(OR(Database!$BK258="",Screener!$D$11=""),0,IF(Database!$BK258=Screener!$D$11,1,0))</f>
        <v/>
      </c>
      <c r="G258">
        <f>IF(OR(Database!$H258="",N(Screener!$D$12)&lt;=0),0,MAX(0,1-(N(Screener!$D$12)-Database!$H258)/W_RECD))</f>
        <v/>
      </c>
      <c r="H258">
        <f>IF($U$1="",0,N(ISNUMBER(SEARCH($U$1,Database!$Z258&amp;""))))+IF($V$1="",0,N(ISNUMBER(SEARCH($V$1,Database!$Z258&amp;""))))+IF($W$1="",0,N(ISNUMBER(SEARCH($W$1,Database!$Z258&amp;""))))+IF($X$1="",0,N(ISNUMBER(SEARCH($X$1,Database!$Z258&amp;""))))+IF($Y$1="",0,N(ISNUMBER(SEARCH($Y$1,Database!$Z258&amp;""))))+IF(Screener!$B$17="",0,N(ISNUMBER(SEARCH(LOWER(Screener!$B$17),Database!$Z258&amp;""))))</f>
        <v/>
      </c>
      <c r="I258">
        <f>IF(OR(N(Database!$BF258)&lt;=0,N(Screener!$D$13)&lt;=0),0,MAX(0,1-ABS(LOG10(N(Database!$BF258)/Screener!$D$13))/W_PEHW))</f>
        <v/>
      </c>
      <c r="J258">
        <f>IF(OR(N(Database!$S258)&lt;=0,N(Screener!$D$14)&lt;=0),0,MAX(0,1-ABS(LOG10(Database!$S258/Screener!$D$14))/0.6))</f>
        <v/>
      </c>
      <c r="K258">
        <f>IF(Database!$B258=Screener!$B$5,-999999,IF(ISNUMBER(SEARCH(","&amp;Database!$A258&amp;",",","&amp;SUBSTITUTE(Screener!$D$17," ","")&amp;",")),2000000,IF(IF(OR(Screener!$B$18="All",AND(Screener!$B$18="With A-share",(Database!$BK258="Y")),AND(Screener!$B$18="Without A-share",NOT((Database!$BK258="Y")))),1,0)=0,-999999,IF(Screener!$B$16="cornerstone overlap first",H258*100000,IF(Screener!$B$16="demand-similar first",J258*100000,0))+W_SUB*B258+W_SEC*C258*(1-B258)+W_SIZE*D258+W_PROF*E258+W_AH*F258+W_REC*G258+W_CS*H258+W_PE*I258)))+ROW()/1000000</f>
        <v/>
      </c>
      <c r="AA258">
        <f>Database!B248</f>
        <v/>
      </c>
      <c r="AB258">
        <f>Database!D248</f>
        <v/>
      </c>
      <c r="AC258">
        <f>Database!E248</f>
        <v/>
      </c>
      <c r="AD258">
        <f>Database!I248</f>
        <v/>
      </c>
      <c r="AE258">
        <f>Database!BE248</f>
        <v/>
      </c>
      <c r="AF258">
        <f>Database!BK248</f>
        <v/>
      </c>
      <c r="AG258">
        <f>Database!H248</f>
        <v/>
      </c>
      <c r="AH258">
        <f>Database!BF248</f>
        <v/>
      </c>
    </row>
    <row r="259">
      <c r="A259">
        <f>Database!B259</f>
        <v/>
      </c>
      <c r="B259">
        <f>IF(AND(Screener!$D$8&lt;&gt;"",Database!$E259=Screener!$D$8),1,0)</f>
        <v/>
      </c>
      <c r="C259">
        <f>IF(AND(Screener!$D$7&lt;&gt;"",Database!$D259=Screener!$D$7),1,0)</f>
        <v/>
      </c>
      <c r="D259">
        <f>IF(OR(N(Database!$I259)&lt;=0,N(Screener!$D$9)&lt;=0),0,MAX(0,1-ABS(LOG10(N(Database!$I259)/Screener!$D$9))/W_SIZEHW))</f>
        <v/>
      </c>
      <c r="E259">
        <f>IF(OR(Database!$BE259="",Screener!$D$10=""),0,IF(Database!$BE259=Screener!$D$10,1,0))</f>
        <v/>
      </c>
      <c r="F259">
        <f>IF(OR(Database!$BK259="",Screener!$D$11=""),0,IF(Database!$BK259=Screener!$D$11,1,0))</f>
        <v/>
      </c>
      <c r="G259">
        <f>IF(OR(Database!$H259="",N(Screener!$D$12)&lt;=0),0,MAX(0,1-(N(Screener!$D$12)-Database!$H259)/W_RECD))</f>
        <v/>
      </c>
      <c r="H259">
        <f>IF($U$1="",0,N(ISNUMBER(SEARCH($U$1,Database!$Z259&amp;""))))+IF($V$1="",0,N(ISNUMBER(SEARCH($V$1,Database!$Z259&amp;""))))+IF($W$1="",0,N(ISNUMBER(SEARCH($W$1,Database!$Z259&amp;""))))+IF($X$1="",0,N(ISNUMBER(SEARCH($X$1,Database!$Z259&amp;""))))+IF($Y$1="",0,N(ISNUMBER(SEARCH($Y$1,Database!$Z259&amp;""))))+IF(Screener!$B$17="",0,N(ISNUMBER(SEARCH(LOWER(Screener!$B$17),Database!$Z259&amp;""))))</f>
        <v/>
      </c>
      <c r="I259">
        <f>IF(OR(N(Database!$BF259)&lt;=0,N(Screener!$D$13)&lt;=0),0,MAX(0,1-ABS(LOG10(N(Database!$BF259)/Screener!$D$13))/W_PEHW))</f>
        <v/>
      </c>
      <c r="J259">
        <f>IF(OR(N(Database!$S259)&lt;=0,N(Screener!$D$14)&lt;=0),0,MAX(0,1-ABS(LOG10(Database!$S259/Screener!$D$14))/0.6))</f>
        <v/>
      </c>
      <c r="K259">
        <f>IF(Database!$B259=Screener!$B$5,-999999,IF(ISNUMBER(SEARCH(","&amp;Database!$A259&amp;",",","&amp;SUBSTITUTE(Screener!$D$17," ","")&amp;",")),2000000,IF(IF(OR(Screener!$B$18="All",AND(Screener!$B$18="With A-share",(Database!$BK259="Y")),AND(Screener!$B$18="Without A-share",NOT((Database!$BK259="Y")))),1,0)=0,-999999,IF(Screener!$B$16="cornerstone overlap first",H259*100000,IF(Screener!$B$16="demand-similar first",J259*100000,0))+W_SUB*B259+W_SEC*C259*(1-B259)+W_SIZE*D259+W_PROF*E259+W_AH*F259+W_REC*G259+W_CS*H259+W_PE*I259)))+ROW()/1000000</f>
        <v/>
      </c>
      <c r="AA259">
        <f>Database!B249</f>
        <v/>
      </c>
      <c r="AB259">
        <f>Database!D249</f>
        <v/>
      </c>
      <c r="AC259">
        <f>Database!E249</f>
        <v/>
      </c>
      <c r="AD259">
        <f>Database!I249</f>
        <v/>
      </c>
      <c r="AE259">
        <f>Database!BE249</f>
        <v/>
      </c>
      <c r="AF259">
        <f>Database!BK249</f>
        <v/>
      </c>
      <c r="AG259">
        <f>Database!H249</f>
        <v/>
      </c>
      <c r="AH259">
        <f>Database!BF249</f>
        <v/>
      </c>
    </row>
    <row r="260">
      <c r="A260">
        <f>Database!B260</f>
        <v/>
      </c>
      <c r="B260">
        <f>IF(AND(Screener!$D$8&lt;&gt;"",Database!$E260=Screener!$D$8),1,0)</f>
        <v/>
      </c>
      <c r="C260">
        <f>IF(AND(Screener!$D$7&lt;&gt;"",Database!$D260=Screener!$D$7),1,0)</f>
        <v/>
      </c>
      <c r="D260">
        <f>IF(OR(N(Database!$I260)&lt;=0,N(Screener!$D$9)&lt;=0),0,MAX(0,1-ABS(LOG10(N(Database!$I260)/Screener!$D$9))/W_SIZEHW))</f>
        <v/>
      </c>
      <c r="E260">
        <f>IF(OR(Database!$BE260="",Screener!$D$10=""),0,IF(Database!$BE260=Screener!$D$10,1,0))</f>
        <v/>
      </c>
      <c r="F260">
        <f>IF(OR(Database!$BK260="",Screener!$D$11=""),0,IF(Database!$BK260=Screener!$D$11,1,0))</f>
        <v/>
      </c>
      <c r="G260">
        <f>IF(OR(Database!$H260="",N(Screener!$D$12)&lt;=0),0,MAX(0,1-(N(Screener!$D$12)-Database!$H260)/W_RECD))</f>
        <v/>
      </c>
      <c r="H260">
        <f>IF($U$1="",0,N(ISNUMBER(SEARCH($U$1,Database!$Z260&amp;""))))+IF($V$1="",0,N(ISNUMBER(SEARCH($V$1,Database!$Z260&amp;""))))+IF($W$1="",0,N(ISNUMBER(SEARCH($W$1,Database!$Z260&amp;""))))+IF($X$1="",0,N(ISNUMBER(SEARCH($X$1,Database!$Z260&amp;""))))+IF($Y$1="",0,N(ISNUMBER(SEARCH($Y$1,Database!$Z260&amp;""))))+IF(Screener!$B$17="",0,N(ISNUMBER(SEARCH(LOWER(Screener!$B$17),Database!$Z260&amp;""))))</f>
        <v/>
      </c>
      <c r="I260">
        <f>IF(OR(N(Database!$BF260)&lt;=0,N(Screener!$D$13)&lt;=0),0,MAX(0,1-ABS(LOG10(N(Database!$BF260)/Screener!$D$13))/W_PEHW))</f>
        <v/>
      </c>
      <c r="J260">
        <f>IF(OR(N(Database!$S260)&lt;=0,N(Screener!$D$14)&lt;=0),0,MAX(0,1-ABS(LOG10(Database!$S260/Screener!$D$14))/0.6))</f>
        <v/>
      </c>
      <c r="K260">
        <f>IF(Database!$B260=Screener!$B$5,-999999,IF(ISNUMBER(SEARCH(","&amp;Database!$A260&amp;",",","&amp;SUBSTITUTE(Screener!$D$17," ","")&amp;",")),2000000,IF(IF(OR(Screener!$B$18="All",AND(Screener!$B$18="With A-share",(Database!$BK260="Y")),AND(Screener!$B$18="Without A-share",NOT((Database!$BK260="Y")))),1,0)=0,-999999,IF(Screener!$B$16="cornerstone overlap first",H260*100000,IF(Screener!$B$16="demand-similar first",J260*100000,0))+W_SUB*B260+W_SEC*C260*(1-B260)+W_SIZE*D260+W_PROF*E260+W_AH*F260+W_REC*G260+W_CS*H260+W_PE*I260)))+ROW()/1000000</f>
        <v/>
      </c>
      <c r="AA260">
        <f>Database!B250</f>
        <v/>
      </c>
      <c r="AB260">
        <f>Database!D250</f>
        <v/>
      </c>
      <c r="AC260">
        <f>Database!E250</f>
        <v/>
      </c>
      <c r="AD260">
        <f>Database!I250</f>
        <v/>
      </c>
      <c r="AE260">
        <f>Database!BE250</f>
        <v/>
      </c>
      <c r="AF260">
        <f>Database!BK250</f>
        <v/>
      </c>
      <c r="AG260">
        <f>Database!H250</f>
        <v/>
      </c>
      <c r="AH260">
        <f>Database!BF250</f>
        <v/>
      </c>
    </row>
    <row r="261">
      <c r="A261">
        <f>Database!B261</f>
        <v/>
      </c>
      <c r="B261">
        <f>IF(AND(Screener!$D$8&lt;&gt;"",Database!$E261=Screener!$D$8),1,0)</f>
        <v/>
      </c>
      <c r="C261">
        <f>IF(AND(Screener!$D$7&lt;&gt;"",Database!$D261=Screener!$D$7),1,0)</f>
        <v/>
      </c>
      <c r="D261">
        <f>IF(OR(N(Database!$I261)&lt;=0,N(Screener!$D$9)&lt;=0),0,MAX(0,1-ABS(LOG10(N(Database!$I261)/Screener!$D$9))/W_SIZEHW))</f>
        <v/>
      </c>
      <c r="E261">
        <f>IF(OR(Database!$BE261="",Screener!$D$10=""),0,IF(Database!$BE261=Screener!$D$10,1,0))</f>
        <v/>
      </c>
      <c r="F261">
        <f>IF(OR(Database!$BK261="",Screener!$D$11=""),0,IF(Database!$BK261=Screener!$D$11,1,0))</f>
        <v/>
      </c>
      <c r="G261">
        <f>IF(OR(Database!$H261="",N(Screener!$D$12)&lt;=0),0,MAX(0,1-(N(Screener!$D$12)-Database!$H261)/W_RECD))</f>
        <v/>
      </c>
      <c r="H261">
        <f>IF($U$1="",0,N(ISNUMBER(SEARCH($U$1,Database!$Z261&amp;""))))+IF($V$1="",0,N(ISNUMBER(SEARCH($V$1,Database!$Z261&amp;""))))+IF($W$1="",0,N(ISNUMBER(SEARCH($W$1,Database!$Z261&amp;""))))+IF($X$1="",0,N(ISNUMBER(SEARCH($X$1,Database!$Z261&amp;""))))+IF($Y$1="",0,N(ISNUMBER(SEARCH($Y$1,Database!$Z261&amp;""))))+IF(Screener!$B$17="",0,N(ISNUMBER(SEARCH(LOWER(Screener!$B$17),Database!$Z261&amp;""))))</f>
        <v/>
      </c>
      <c r="I261">
        <f>IF(OR(N(Database!$BF261)&lt;=0,N(Screener!$D$13)&lt;=0),0,MAX(0,1-ABS(LOG10(N(Database!$BF261)/Screener!$D$13))/W_PEHW))</f>
        <v/>
      </c>
      <c r="J261">
        <f>IF(OR(N(Database!$S261)&lt;=0,N(Screener!$D$14)&lt;=0),0,MAX(0,1-ABS(LOG10(Database!$S261/Screener!$D$14))/0.6))</f>
        <v/>
      </c>
      <c r="K261">
        <f>IF(Database!$B261=Screener!$B$5,-999999,IF(ISNUMBER(SEARCH(","&amp;Database!$A261&amp;",",","&amp;SUBSTITUTE(Screener!$D$17," ","")&amp;",")),2000000,IF(IF(OR(Screener!$B$18="All",AND(Screener!$B$18="With A-share",(Database!$BK261="Y")),AND(Screener!$B$18="Without A-share",NOT((Database!$BK261="Y")))),1,0)=0,-999999,IF(Screener!$B$16="cornerstone overlap first",H261*100000,IF(Screener!$B$16="demand-similar first",J261*100000,0))+W_SUB*B261+W_SEC*C261*(1-B261)+W_SIZE*D261+W_PROF*E261+W_AH*F261+W_REC*G261+W_CS*H261+W_PE*I261)))+ROW()/1000000</f>
        <v/>
      </c>
      <c r="AA261">
        <f>Database!B251</f>
        <v/>
      </c>
      <c r="AB261">
        <f>Database!D251</f>
        <v/>
      </c>
      <c r="AC261">
        <f>Database!E251</f>
        <v/>
      </c>
      <c r="AD261">
        <f>Database!I251</f>
        <v/>
      </c>
      <c r="AE261">
        <f>Database!BE251</f>
        <v/>
      </c>
      <c r="AF261">
        <f>Database!BK251</f>
        <v/>
      </c>
      <c r="AG261">
        <f>Database!H251</f>
        <v/>
      </c>
      <c r="AH261">
        <f>Database!BF251</f>
        <v/>
      </c>
    </row>
    <row r="262">
      <c r="A262">
        <f>Database!B262</f>
        <v/>
      </c>
      <c r="B262">
        <f>IF(AND(Screener!$D$8&lt;&gt;"",Database!$E262=Screener!$D$8),1,0)</f>
        <v/>
      </c>
      <c r="C262">
        <f>IF(AND(Screener!$D$7&lt;&gt;"",Database!$D262=Screener!$D$7),1,0)</f>
        <v/>
      </c>
      <c r="D262">
        <f>IF(OR(N(Database!$I262)&lt;=0,N(Screener!$D$9)&lt;=0),0,MAX(0,1-ABS(LOG10(N(Database!$I262)/Screener!$D$9))/W_SIZEHW))</f>
        <v/>
      </c>
      <c r="E262">
        <f>IF(OR(Database!$BE262="",Screener!$D$10=""),0,IF(Database!$BE262=Screener!$D$10,1,0))</f>
        <v/>
      </c>
      <c r="F262">
        <f>IF(OR(Database!$BK262="",Screener!$D$11=""),0,IF(Database!$BK262=Screener!$D$11,1,0))</f>
        <v/>
      </c>
      <c r="G262">
        <f>IF(OR(Database!$H262="",N(Screener!$D$12)&lt;=0),0,MAX(0,1-(N(Screener!$D$12)-Database!$H262)/W_RECD))</f>
        <v/>
      </c>
      <c r="H262">
        <f>IF($U$1="",0,N(ISNUMBER(SEARCH($U$1,Database!$Z262&amp;""))))+IF($V$1="",0,N(ISNUMBER(SEARCH($V$1,Database!$Z262&amp;""))))+IF($W$1="",0,N(ISNUMBER(SEARCH($W$1,Database!$Z262&amp;""))))+IF($X$1="",0,N(ISNUMBER(SEARCH($X$1,Database!$Z262&amp;""))))+IF($Y$1="",0,N(ISNUMBER(SEARCH($Y$1,Database!$Z262&amp;""))))+IF(Screener!$B$17="",0,N(ISNUMBER(SEARCH(LOWER(Screener!$B$17),Database!$Z262&amp;""))))</f>
        <v/>
      </c>
      <c r="I262">
        <f>IF(OR(N(Database!$BF262)&lt;=0,N(Screener!$D$13)&lt;=0),0,MAX(0,1-ABS(LOG10(N(Database!$BF262)/Screener!$D$13))/W_PEHW))</f>
        <v/>
      </c>
      <c r="J262">
        <f>IF(OR(N(Database!$S262)&lt;=0,N(Screener!$D$14)&lt;=0),0,MAX(0,1-ABS(LOG10(Database!$S262/Screener!$D$14))/0.6))</f>
        <v/>
      </c>
      <c r="K262">
        <f>IF(Database!$B262=Screener!$B$5,-999999,IF(ISNUMBER(SEARCH(","&amp;Database!$A262&amp;",",","&amp;SUBSTITUTE(Screener!$D$17," ","")&amp;",")),2000000,IF(IF(OR(Screener!$B$18="All",AND(Screener!$B$18="With A-share",(Database!$BK262="Y")),AND(Screener!$B$18="Without A-share",NOT((Database!$BK262="Y")))),1,0)=0,-999999,IF(Screener!$B$16="cornerstone overlap first",H262*100000,IF(Screener!$B$16="demand-similar first",J262*100000,0))+W_SUB*B262+W_SEC*C262*(1-B262)+W_SIZE*D262+W_PROF*E262+W_AH*F262+W_REC*G262+W_CS*H262+W_PE*I262)))+ROW()/1000000</f>
        <v/>
      </c>
      <c r="AA262">
        <f>Database!B252</f>
        <v/>
      </c>
      <c r="AB262">
        <f>Database!D252</f>
        <v/>
      </c>
      <c r="AC262">
        <f>Database!E252</f>
        <v/>
      </c>
      <c r="AD262">
        <f>Database!I252</f>
        <v/>
      </c>
      <c r="AE262">
        <f>Database!BE252</f>
        <v/>
      </c>
      <c r="AF262">
        <f>Database!BK252</f>
        <v/>
      </c>
      <c r="AG262">
        <f>Database!H252</f>
        <v/>
      </c>
      <c r="AH262">
        <f>Database!BF252</f>
        <v/>
      </c>
    </row>
    <row r="263">
      <c r="A263">
        <f>Database!B263</f>
        <v/>
      </c>
      <c r="B263">
        <f>IF(AND(Screener!$D$8&lt;&gt;"",Database!$E263=Screener!$D$8),1,0)</f>
        <v/>
      </c>
      <c r="C263">
        <f>IF(AND(Screener!$D$7&lt;&gt;"",Database!$D263=Screener!$D$7),1,0)</f>
        <v/>
      </c>
      <c r="D263">
        <f>IF(OR(N(Database!$I263)&lt;=0,N(Screener!$D$9)&lt;=0),0,MAX(0,1-ABS(LOG10(N(Database!$I263)/Screener!$D$9))/W_SIZEHW))</f>
        <v/>
      </c>
      <c r="E263">
        <f>IF(OR(Database!$BE263="",Screener!$D$10=""),0,IF(Database!$BE263=Screener!$D$10,1,0))</f>
        <v/>
      </c>
      <c r="F263">
        <f>IF(OR(Database!$BK263="",Screener!$D$11=""),0,IF(Database!$BK263=Screener!$D$11,1,0))</f>
        <v/>
      </c>
      <c r="G263">
        <f>IF(OR(Database!$H263="",N(Screener!$D$12)&lt;=0),0,MAX(0,1-(N(Screener!$D$12)-Database!$H263)/W_RECD))</f>
        <v/>
      </c>
      <c r="H263">
        <f>IF($U$1="",0,N(ISNUMBER(SEARCH($U$1,Database!$Z263&amp;""))))+IF($V$1="",0,N(ISNUMBER(SEARCH($V$1,Database!$Z263&amp;""))))+IF($W$1="",0,N(ISNUMBER(SEARCH($W$1,Database!$Z263&amp;""))))+IF($X$1="",0,N(ISNUMBER(SEARCH($X$1,Database!$Z263&amp;""))))+IF($Y$1="",0,N(ISNUMBER(SEARCH($Y$1,Database!$Z263&amp;""))))+IF(Screener!$B$17="",0,N(ISNUMBER(SEARCH(LOWER(Screener!$B$17),Database!$Z263&amp;""))))</f>
        <v/>
      </c>
      <c r="I263">
        <f>IF(OR(N(Database!$BF263)&lt;=0,N(Screener!$D$13)&lt;=0),0,MAX(0,1-ABS(LOG10(N(Database!$BF263)/Screener!$D$13))/W_PEHW))</f>
        <v/>
      </c>
      <c r="J263">
        <f>IF(OR(N(Database!$S263)&lt;=0,N(Screener!$D$14)&lt;=0),0,MAX(0,1-ABS(LOG10(Database!$S263/Screener!$D$14))/0.6))</f>
        <v/>
      </c>
      <c r="K263">
        <f>IF(Database!$B263=Screener!$B$5,-999999,IF(ISNUMBER(SEARCH(","&amp;Database!$A263&amp;",",","&amp;SUBSTITUTE(Screener!$D$17," ","")&amp;",")),2000000,IF(IF(OR(Screener!$B$18="All",AND(Screener!$B$18="With A-share",(Database!$BK263="Y")),AND(Screener!$B$18="Without A-share",NOT((Database!$BK263="Y")))),1,0)=0,-999999,IF(Screener!$B$16="cornerstone overlap first",H263*100000,IF(Screener!$B$16="demand-similar first",J263*100000,0))+W_SUB*B263+W_SEC*C263*(1-B263)+W_SIZE*D263+W_PROF*E263+W_AH*F263+W_REC*G263+W_CS*H263+W_PE*I263)))+ROW()/1000000</f>
        <v/>
      </c>
      <c r="AA263">
        <f>Database!B253</f>
        <v/>
      </c>
      <c r="AB263">
        <f>Database!D253</f>
        <v/>
      </c>
      <c r="AC263">
        <f>Database!E253</f>
        <v/>
      </c>
      <c r="AD263">
        <f>Database!I253</f>
        <v/>
      </c>
      <c r="AE263">
        <f>Database!BE253</f>
        <v/>
      </c>
      <c r="AF263">
        <f>Database!BK253</f>
        <v/>
      </c>
      <c r="AG263">
        <f>Database!H253</f>
        <v/>
      </c>
      <c r="AH263">
        <f>Database!BF253</f>
        <v/>
      </c>
    </row>
    <row r="264">
      <c r="A264">
        <f>Database!B264</f>
        <v/>
      </c>
      <c r="B264">
        <f>IF(AND(Screener!$D$8&lt;&gt;"",Database!$E264=Screener!$D$8),1,0)</f>
        <v/>
      </c>
      <c r="C264">
        <f>IF(AND(Screener!$D$7&lt;&gt;"",Database!$D264=Screener!$D$7),1,0)</f>
        <v/>
      </c>
      <c r="D264">
        <f>IF(OR(N(Database!$I264)&lt;=0,N(Screener!$D$9)&lt;=0),0,MAX(0,1-ABS(LOG10(N(Database!$I264)/Screener!$D$9))/W_SIZEHW))</f>
        <v/>
      </c>
      <c r="E264">
        <f>IF(OR(Database!$BE264="",Screener!$D$10=""),0,IF(Database!$BE264=Screener!$D$10,1,0))</f>
        <v/>
      </c>
      <c r="F264">
        <f>IF(OR(Database!$BK264="",Screener!$D$11=""),0,IF(Database!$BK264=Screener!$D$11,1,0))</f>
        <v/>
      </c>
      <c r="G264">
        <f>IF(OR(Database!$H264="",N(Screener!$D$12)&lt;=0),0,MAX(0,1-(N(Screener!$D$12)-Database!$H264)/W_RECD))</f>
        <v/>
      </c>
      <c r="H264">
        <f>IF($U$1="",0,N(ISNUMBER(SEARCH($U$1,Database!$Z264&amp;""))))+IF($V$1="",0,N(ISNUMBER(SEARCH($V$1,Database!$Z264&amp;""))))+IF($W$1="",0,N(ISNUMBER(SEARCH($W$1,Database!$Z264&amp;""))))+IF($X$1="",0,N(ISNUMBER(SEARCH($X$1,Database!$Z264&amp;""))))+IF($Y$1="",0,N(ISNUMBER(SEARCH($Y$1,Database!$Z264&amp;""))))+IF(Screener!$B$17="",0,N(ISNUMBER(SEARCH(LOWER(Screener!$B$17),Database!$Z264&amp;""))))</f>
        <v/>
      </c>
      <c r="I264">
        <f>IF(OR(N(Database!$BF264)&lt;=0,N(Screener!$D$13)&lt;=0),0,MAX(0,1-ABS(LOG10(N(Database!$BF264)/Screener!$D$13))/W_PEHW))</f>
        <v/>
      </c>
      <c r="J264">
        <f>IF(OR(N(Database!$S264)&lt;=0,N(Screener!$D$14)&lt;=0),0,MAX(0,1-ABS(LOG10(Database!$S264/Screener!$D$14))/0.6))</f>
        <v/>
      </c>
      <c r="K264">
        <f>IF(Database!$B264=Screener!$B$5,-999999,IF(ISNUMBER(SEARCH(","&amp;Database!$A264&amp;",",","&amp;SUBSTITUTE(Screener!$D$17," ","")&amp;",")),2000000,IF(IF(OR(Screener!$B$18="All",AND(Screener!$B$18="With A-share",(Database!$BK264="Y")),AND(Screener!$B$18="Without A-share",NOT((Database!$BK264="Y")))),1,0)=0,-999999,IF(Screener!$B$16="cornerstone overlap first",H264*100000,IF(Screener!$B$16="demand-similar first",J264*100000,0))+W_SUB*B264+W_SEC*C264*(1-B264)+W_SIZE*D264+W_PROF*E264+W_AH*F264+W_REC*G264+W_CS*H264+W_PE*I264)))+ROW()/1000000</f>
        <v/>
      </c>
      <c r="AA264">
        <f>Database!B254</f>
        <v/>
      </c>
      <c r="AB264">
        <f>Database!D254</f>
        <v/>
      </c>
      <c r="AC264">
        <f>Database!E254</f>
        <v/>
      </c>
      <c r="AD264">
        <f>Database!I254</f>
        <v/>
      </c>
      <c r="AE264">
        <f>Database!BE254</f>
        <v/>
      </c>
      <c r="AF264">
        <f>Database!BK254</f>
        <v/>
      </c>
      <c r="AG264">
        <f>Database!H254</f>
        <v/>
      </c>
      <c r="AH264">
        <f>Database!BF254</f>
        <v/>
      </c>
    </row>
    <row r="265">
      <c r="A265">
        <f>Database!B265</f>
        <v/>
      </c>
      <c r="B265">
        <f>IF(AND(Screener!$D$8&lt;&gt;"",Database!$E265=Screener!$D$8),1,0)</f>
        <v/>
      </c>
      <c r="C265">
        <f>IF(AND(Screener!$D$7&lt;&gt;"",Database!$D265=Screener!$D$7),1,0)</f>
        <v/>
      </c>
      <c r="D265">
        <f>IF(OR(N(Database!$I265)&lt;=0,N(Screener!$D$9)&lt;=0),0,MAX(0,1-ABS(LOG10(N(Database!$I265)/Screener!$D$9))/W_SIZEHW))</f>
        <v/>
      </c>
      <c r="E265">
        <f>IF(OR(Database!$BE265="",Screener!$D$10=""),0,IF(Database!$BE265=Screener!$D$10,1,0))</f>
        <v/>
      </c>
      <c r="F265">
        <f>IF(OR(Database!$BK265="",Screener!$D$11=""),0,IF(Database!$BK265=Screener!$D$11,1,0))</f>
        <v/>
      </c>
      <c r="G265">
        <f>IF(OR(Database!$H265="",N(Screener!$D$12)&lt;=0),0,MAX(0,1-(N(Screener!$D$12)-Database!$H265)/W_RECD))</f>
        <v/>
      </c>
      <c r="H265">
        <f>IF($U$1="",0,N(ISNUMBER(SEARCH($U$1,Database!$Z265&amp;""))))+IF($V$1="",0,N(ISNUMBER(SEARCH($V$1,Database!$Z265&amp;""))))+IF($W$1="",0,N(ISNUMBER(SEARCH($W$1,Database!$Z265&amp;""))))+IF($X$1="",0,N(ISNUMBER(SEARCH($X$1,Database!$Z265&amp;""))))+IF($Y$1="",0,N(ISNUMBER(SEARCH($Y$1,Database!$Z265&amp;""))))+IF(Screener!$B$17="",0,N(ISNUMBER(SEARCH(LOWER(Screener!$B$17),Database!$Z265&amp;""))))</f>
        <v/>
      </c>
      <c r="I265">
        <f>IF(OR(N(Database!$BF265)&lt;=0,N(Screener!$D$13)&lt;=0),0,MAX(0,1-ABS(LOG10(N(Database!$BF265)/Screener!$D$13))/W_PEHW))</f>
        <v/>
      </c>
      <c r="J265">
        <f>IF(OR(N(Database!$S265)&lt;=0,N(Screener!$D$14)&lt;=0),0,MAX(0,1-ABS(LOG10(Database!$S265/Screener!$D$14))/0.6))</f>
        <v/>
      </c>
      <c r="K265">
        <f>IF(Database!$B265=Screener!$B$5,-999999,IF(ISNUMBER(SEARCH(","&amp;Database!$A265&amp;",",","&amp;SUBSTITUTE(Screener!$D$17," ","")&amp;",")),2000000,IF(IF(OR(Screener!$B$18="All",AND(Screener!$B$18="With A-share",(Database!$BK265="Y")),AND(Screener!$B$18="Without A-share",NOT((Database!$BK265="Y")))),1,0)=0,-999999,IF(Screener!$B$16="cornerstone overlap first",H265*100000,IF(Screener!$B$16="demand-similar first",J265*100000,0))+W_SUB*B265+W_SEC*C265*(1-B265)+W_SIZE*D265+W_PROF*E265+W_AH*F265+W_REC*G265+W_CS*H265+W_PE*I265)))+ROW()/1000000</f>
        <v/>
      </c>
      <c r="AA265">
        <f>Database!B255</f>
        <v/>
      </c>
      <c r="AB265">
        <f>Database!D255</f>
        <v/>
      </c>
      <c r="AC265">
        <f>Database!E255</f>
        <v/>
      </c>
      <c r="AD265">
        <f>Database!I255</f>
        <v/>
      </c>
      <c r="AE265">
        <f>Database!BE255</f>
        <v/>
      </c>
      <c r="AF265">
        <f>Database!BK255</f>
        <v/>
      </c>
      <c r="AG265">
        <f>Database!H255</f>
        <v/>
      </c>
      <c r="AH265">
        <f>Database!BF255</f>
        <v/>
      </c>
    </row>
    <row r="266">
      <c r="A266">
        <f>Database!B266</f>
        <v/>
      </c>
      <c r="B266">
        <f>IF(AND(Screener!$D$8&lt;&gt;"",Database!$E266=Screener!$D$8),1,0)</f>
        <v/>
      </c>
      <c r="C266">
        <f>IF(AND(Screener!$D$7&lt;&gt;"",Database!$D266=Screener!$D$7),1,0)</f>
        <v/>
      </c>
      <c r="D266">
        <f>IF(OR(N(Database!$I266)&lt;=0,N(Screener!$D$9)&lt;=0),0,MAX(0,1-ABS(LOG10(N(Database!$I266)/Screener!$D$9))/W_SIZEHW))</f>
        <v/>
      </c>
      <c r="E266">
        <f>IF(OR(Database!$BE266="",Screener!$D$10=""),0,IF(Database!$BE266=Screener!$D$10,1,0))</f>
        <v/>
      </c>
      <c r="F266">
        <f>IF(OR(Database!$BK266="",Screener!$D$11=""),0,IF(Database!$BK266=Screener!$D$11,1,0))</f>
        <v/>
      </c>
      <c r="G266">
        <f>IF(OR(Database!$H266="",N(Screener!$D$12)&lt;=0),0,MAX(0,1-(N(Screener!$D$12)-Database!$H266)/W_RECD))</f>
        <v/>
      </c>
      <c r="H266">
        <f>IF($U$1="",0,N(ISNUMBER(SEARCH($U$1,Database!$Z266&amp;""))))+IF($V$1="",0,N(ISNUMBER(SEARCH($V$1,Database!$Z266&amp;""))))+IF($W$1="",0,N(ISNUMBER(SEARCH($W$1,Database!$Z266&amp;""))))+IF($X$1="",0,N(ISNUMBER(SEARCH($X$1,Database!$Z266&amp;""))))+IF($Y$1="",0,N(ISNUMBER(SEARCH($Y$1,Database!$Z266&amp;""))))+IF(Screener!$B$17="",0,N(ISNUMBER(SEARCH(LOWER(Screener!$B$17),Database!$Z266&amp;""))))</f>
        <v/>
      </c>
      <c r="I266">
        <f>IF(OR(N(Database!$BF266)&lt;=0,N(Screener!$D$13)&lt;=0),0,MAX(0,1-ABS(LOG10(N(Database!$BF266)/Screener!$D$13))/W_PEHW))</f>
        <v/>
      </c>
      <c r="J266">
        <f>IF(OR(N(Database!$S266)&lt;=0,N(Screener!$D$14)&lt;=0),0,MAX(0,1-ABS(LOG10(Database!$S266/Screener!$D$14))/0.6))</f>
        <v/>
      </c>
      <c r="K266">
        <f>IF(Database!$B266=Screener!$B$5,-999999,IF(ISNUMBER(SEARCH(","&amp;Database!$A266&amp;",",","&amp;SUBSTITUTE(Screener!$D$17," ","")&amp;",")),2000000,IF(IF(OR(Screener!$B$18="All",AND(Screener!$B$18="With A-share",(Database!$BK266="Y")),AND(Screener!$B$18="Without A-share",NOT((Database!$BK266="Y")))),1,0)=0,-999999,IF(Screener!$B$16="cornerstone overlap first",H266*100000,IF(Screener!$B$16="demand-similar first",J266*100000,0))+W_SUB*B266+W_SEC*C266*(1-B266)+W_SIZE*D266+W_PROF*E266+W_AH*F266+W_REC*G266+W_CS*H266+W_PE*I266)))+ROW()/1000000</f>
        <v/>
      </c>
      <c r="AA266">
        <f>Database!B256</f>
        <v/>
      </c>
      <c r="AB266">
        <f>Database!D256</f>
        <v/>
      </c>
      <c r="AC266">
        <f>Database!E256</f>
        <v/>
      </c>
      <c r="AD266">
        <f>Database!I256</f>
        <v/>
      </c>
      <c r="AE266">
        <f>Database!BE256</f>
        <v/>
      </c>
      <c r="AF266">
        <f>Database!BK256</f>
        <v/>
      </c>
      <c r="AG266">
        <f>Database!H256</f>
        <v/>
      </c>
      <c r="AH266">
        <f>Database!BF256</f>
        <v/>
      </c>
    </row>
    <row r="267">
      <c r="A267">
        <f>Database!B267</f>
        <v/>
      </c>
      <c r="B267">
        <f>IF(AND(Screener!$D$8&lt;&gt;"",Database!$E267=Screener!$D$8),1,0)</f>
        <v/>
      </c>
      <c r="C267">
        <f>IF(AND(Screener!$D$7&lt;&gt;"",Database!$D267=Screener!$D$7),1,0)</f>
        <v/>
      </c>
      <c r="D267">
        <f>IF(OR(N(Database!$I267)&lt;=0,N(Screener!$D$9)&lt;=0),0,MAX(0,1-ABS(LOG10(N(Database!$I267)/Screener!$D$9))/W_SIZEHW))</f>
        <v/>
      </c>
      <c r="E267">
        <f>IF(OR(Database!$BE267="",Screener!$D$10=""),0,IF(Database!$BE267=Screener!$D$10,1,0))</f>
        <v/>
      </c>
      <c r="F267">
        <f>IF(OR(Database!$BK267="",Screener!$D$11=""),0,IF(Database!$BK267=Screener!$D$11,1,0))</f>
        <v/>
      </c>
      <c r="G267">
        <f>IF(OR(Database!$H267="",N(Screener!$D$12)&lt;=0),0,MAX(0,1-(N(Screener!$D$12)-Database!$H267)/W_RECD))</f>
        <v/>
      </c>
      <c r="H267">
        <f>IF($U$1="",0,N(ISNUMBER(SEARCH($U$1,Database!$Z267&amp;""))))+IF($V$1="",0,N(ISNUMBER(SEARCH($V$1,Database!$Z267&amp;""))))+IF($W$1="",0,N(ISNUMBER(SEARCH($W$1,Database!$Z267&amp;""))))+IF($X$1="",0,N(ISNUMBER(SEARCH($X$1,Database!$Z267&amp;""))))+IF($Y$1="",0,N(ISNUMBER(SEARCH($Y$1,Database!$Z267&amp;""))))+IF(Screener!$B$17="",0,N(ISNUMBER(SEARCH(LOWER(Screener!$B$17),Database!$Z267&amp;""))))</f>
        <v/>
      </c>
      <c r="I267">
        <f>IF(OR(N(Database!$BF267)&lt;=0,N(Screener!$D$13)&lt;=0),0,MAX(0,1-ABS(LOG10(N(Database!$BF267)/Screener!$D$13))/W_PEHW))</f>
        <v/>
      </c>
      <c r="J267">
        <f>IF(OR(N(Database!$S267)&lt;=0,N(Screener!$D$14)&lt;=0),0,MAX(0,1-ABS(LOG10(Database!$S267/Screener!$D$14))/0.6))</f>
        <v/>
      </c>
      <c r="K267">
        <f>IF(Database!$B267=Screener!$B$5,-999999,IF(ISNUMBER(SEARCH(","&amp;Database!$A267&amp;",",","&amp;SUBSTITUTE(Screener!$D$17," ","")&amp;",")),2000000,IF(IF(OR(Screener!$B$18="All",AND(Screener!$B$18="With A-share",(Database!$BK267="Y")),AND(Screener!$B$18="Without A-share",NOT((Database!$BK267="Y")))),1,0)=0,-999999,IF(Screener!$B$16="cornerstone overlap first",H267*100000,IF(Screener!$B$16="demand-similar first",J267*100000,0))+W_SUB*B267+W_SEC*C267*(1-B267)+W_SIZE*D267+W_PROF*E267+W_AH*F267+W_REC*G267+W_CS*H267+W_PE*I267)))+ROW()/1000000</f>
        <v/>
      </c>
      <c r="AA267">
        <f>Database!B257</f>
        <v/>
      </c>
      <c r="AB267">
        <f>Database!D257</f>
        <v/>
      </c>
      <c r="AC267">
        <f>Database!E257</f>
        <v/>
      </c>
      <c r="AD267">
        <f>Database!I257</f>
        <v/>
      </c>
      <c r="AE267">
        <f>Database!BE257</f>
        <v/>
      </c>
      <c r="AF267">
        <f>Database!BK257</f>
        <v/>
      </c>
      <c r="AG267">
        <f>Database!H257</f>
        <v/>
      </c>
      <c r="AH267">
        <f>Database!BF257</f>
        <v/>
      </c>
    </row>
    <row r="268">
      <c r="A268">
        <f>Database!B268</f>
        <v/>
      </c>
      <c r="B268">
        <f>IF(AND(Screener!$D$8&lt;&gt;"",Database!$E268=Screener!$D$8),1,0)</f>
        <v/>
      </c>
      <c r="C268">
        <f>IF(AND(Screener!$D$7&lt;&gt;"",Database!$D268=Screener!$D$7),1,0)</f>
        <v/>
      </c>
      <c r="D268">
        <f>IF(OR(N(Database!$I268)&lt;=0,N(Screener!$D$9)&lt;=0),0,MAX(0,1-ABS(LOG10(N(Database!$I268)/Screener!$D$9))/W_SIZEHW))</f>
        <v/>
      </c>
      <c r="E268">
        <f>IF(OR(Database!$BE268="",Screener!$D$10=""),0,IF(Database!$BE268=Screener!$D$10,1,0))</f>
        <v/>
      </c>
      <c r="F268">
        <f>IF(OR(Database!$BK268="",Screener!$D$11=""),0,IF(Database!$BK268=Screener!$D$11,1,0))</f>
        <v/>
      </c>
      <c r="G268">
        <f>IF(OR(Database!$H268="",N(Screener!$D$12)&lt;=0),0,MAX(0,1-(N(Screener!$D$12)-Database!$H268)/W_RECD))</f>
        <v/>
      </c>
      <c r="H268">
        <f>IF($U$1="",0,N(ISNUMBER(SEARCH($U$1,Database!$Z268&amp;""))))+IF($V$1="",0,N(ISNUMBER(SEARCH($V$1,Database!$Z268&amp;""))))+IF($W$1="",0,N(ISNUMBER(SEARCH($W$1,Database!$Z268&amp;""))))+IF($X$1="",0,N(ISNUMBER(SEARCH($X$1,Database!$Z268&amp;""))))+IF($Y$1="",0,N(ISNUMBER(SEARCH($Y$1,Database!$Z268&amp;""))))+IF(Screener!$B$17="",0,N(ISNUMBER(SEARCH(LOWER(Screener!$B$17),Database!$Z268&amp;""))))</f>
        <v/>
      </c>
      <c r="I268">
        <f>IF(OR(N(Database!$BF268)&lt;=0,N(Screener!$D$13)&lt;=0),0,MAX(0,1-ABS(LOG10(N(Database!$BF268)/Screener!$D$13))/W_PEHW))</f>
        <v/>
      </c>
      <c r="J268">
        <f>IF(OR(N(Database!$S268)&lt;=0,N(Screener!$D$14)&lt;=0),0,MAX(0,1-ABS(LOG10(Database!$S268/Screener!$D$14))/0.6))</f>
        <v/>
      </c>
      <c r="K268">
        <f>IF(Database!$B268=Screener!$B$5,-999999,IF(ISNUMBER(SEARCH(","&amp;Database!$A268&amp;",",","&amp;SUBSTITUTE(Screener!$D$17," ","")&amp;",")),2000000,IF(IF(OR(Screener!$B$18="All",AND(Screener!$B$18="With A-share",(Database!$BK268="Y")),AND(Screener!$B$18="Without A-share",NOT((Database!$BK268="Y")))),1,0)=0,-999999,IF(Screener!$B$16="cornerstone overlap first",H268*100000,IF(Screener!$B$16="demand-similar first",J268*100000,0))+W_SUB*B268+W_SEC*C268*(1-B268)+W_SIZE*D268+W_PROF*E268+W_AH*F268+W_REC*G268+W_CS*H268+W_PE*I268)))+ROW()/1000000</f>
        <v/>
      </c>
      <c r="AA268">
        <f>Database!B258</f>
        <v/>
      </c>
      <c r="AB268">
        <f>Database!D258</f>
        <v/>
      </c>
      <c r="AC268">
        <f>Database!E258</f>
        <v/>
      </c>
      <c r="AD268">
        <f>Database!I258</f>
        <v/>
      </c>
      <c r="AE268">
        <f>Database!BE258</f>
        <v/>
      </c>
      <c r="AF268">
        <f>Database!BK258</f>
        <v/>
      </c>
      <c r="AG268">
        <f>Database!H258</f>
        <v/>
      </c>
      <c r="AH268">
        <f>Database!BF258</f>
        <v/>
      </c>
    </row>
    <row r="269">
      <c r="A269">
        <f>Database!B269</f>
        <v/>
      </c>
      <c r="B269">
        <f>IF(AND(Screener!$D$8&lt;&gt;"",Database!$E269=Screener!$D$8),1,0)</f>
        <v/>
      </c>
      <c r="C269">
        <f>IF(AND(Screener!$D$7&lt;&gt;"",Database!$D269=Screener!$D$7),1,0)</f>
        <v/>
      </c>
      <c r="D269">
        <f>IF(OR(N(Database!$I269)&lt;=0,N(Screener!$D$9)&lt;=0),0,MAX(0,1-ABS(LOG10(N(Database!$I269)/Screener!$D$9))/W_SIZEHW))</f>
        <v/>
      </c>
      <c r="E269">
        <f>IF(OR(Database!$BE269="",Screener!$D$10=""),0,IF(Database!$BE269=Screener!$D$10,1,0))</f>
        <v/>
      </c>
      <c r="F269">
        <f>IF(OR(Database!$BK269="",Screener!$D$11=""),0,IF(Database!$BK269=Screener!$D$11,1,0))</f>
        <v/>
      </c>
      <c r="G269">
        <f>IF(OR(Database!$H269="",N(Screener!$D$12)&lt;=0),0,MAX(0,1-(N(Screener!$D$12)-Database!$H269)/W_RECD))</f>
        <v/>
      </c>
      <c r="H269">
        <f>IF($U$1="",0,N(ISNUMBER(SEARCH($U$1,Database!$Z269&amp;""))))+IF($V$1="",0,N(ISNUMBER(SEARCH($V$1,Database!$Z269&amp;""))))+IF($W$1="",0,N(ISNUMBER(SEARCH($W$1,Database!$Z269&amp;""))))+IF($X$1="",0,N(ISNUMBER(SEARCH($X$1,Database!$Z269&amp;""))))+IF($Y$1="",0,N(ISNUMBER(SEARCH($Y$1,Database!$Z269&amp;""))))+IF(Screener!$B$17="",0,N(ISNUMBER(SEARCH(LOWER(Screener!$B$17),Database!$Z269&amp;""))))</f>
        <v/>
      </c>
      <c r="I269">
        <f>IF(OR(N(Database!$BF269)&lt;=0,N(Screener!$D$13)&lt;=0),0,MAX(0,1-ABS(LOG10(N(Database!$BF269)/Screener!$D$13))/W_PEHW))</f>
        <v/>
      </c>
      <c r="J269">
        <f>IF(OR(N(Database!$S269)&lt;=0,N(Screener!$D$14)&lt;=0),0,MAX(0,1-ABS(LOG10(Database!$S269/Screener!$D$14))/0.6))</f>
        <v/>
      </c>
      <c r="K269">
        <f>IF(Database!$B269=Screener!$B$5,-999999,IF(ISNUMBER(SEARCH(","&amp;Database!$A269&amp;",",","&amp;SUBSTITUTE(Screener!$D$17," ","")&amp;",")),2000000,IF(IF(OR(Screener!$B$18="All",AND(Screener!$B$18="With A-share",(Database!$BK269="Y")),AND(Screener!$B$18="Without A-share",NOT((Database!$BK269="Y")))),1,0)=0,-999999,IF(Screener!$B$16="cornerstone overlap first",H269*100000,IF(Screener!$B$16="demand-similar first",J269*100000,0))+W_SUB*B269+W_SEC*C269*(1-B269)+W_SIZE*D269+W_PROF*E269+W_AH*F269+W_REC*G269+W_CS*H269+W_PE*I269)))+ROW()/1000000</f>
        <v/>
      </c>
      <c r="AA269">
        <f>Database!B259</f>
        <v/>
      </c>
      <c r="AB269">
        <f>Database!D259</f>
        <v/>
      </c>
      <c r="AC269">
        <f>Database!E259</f>
        <v/>
      </c>
      <c r="AD269">
        <f>Database!I259</f>
        <v/>
      </c>
      <c r="AE269">
        <f>Database!BE259</f>
        <v/>
      </c>
      <c r="AF269">
        <f>Database!BK259</f>
        <v/>
      </c>
      <c r="AG269">
        <f>Database!H259</f>
        <v/>
      </c>
      <c r="AH269">
        <f>Database!BF259</f>
        <v/>
      </c>
    </row>
    <row r="270">
      <c r="A270">
        <f>Database!B270</f>
        <v/>
      </c>
      <c r="B270">
        <f>IF(AND(Screener!$D$8&lt;&gt;"",Database!$E270=Screener!$D$8),1,0)</f>
        <v/>
      </c>
      <c r="C270">
        <f>IF(AND(Screener!$D$7&lt;&gt;"",Database!$D270=Screener!$D$7),1,0)</f>
        <v/>
      </c>
      <c r="D270">
        <f>IF(OR(N(Database!$I270)&lt;=0,N(Screener!$D$9)&lt;=0),0,MAX(0,1-ABS(LOG10(N(Database!$I270)/Screener!$D$9))/W_SIZEHW))</f>
        <v/>
      </c>
      <c r="E270">
        <f>IF(OR(Database!$BE270="",Screener!$D$10=""),0,IF(Database!$BE270=Screener!$D$10,1,0))</f>
        <v/>
      </c>
      <c r="F270">
        <f>IF(OR(Database!$BK270="",Screener!$D$11=""),0,IF(Database!$BK270=Screener!$D$11,1,0))</f>
        <v/>
      </c>
      <c r="G270">
        <f>IF(OR(Database!$H270="",N(Screener!$D$12)&lt;=0),0,MAX(0,1-(N(Screener!$D$12)-Database!$H270)/W_RECD))</f>
        <v/>
      </c>
      <c r="H270">
        <f>IF($U$1="",0,N(ISNUMBER(SEARCH($U$1,Database!$Z270&amp;""))))+IF($V$1="",0,N(ISNUMBER(SEARCH($V$1,Database!$Z270&amp;""))))+IF($W$1="",0,N(ISNUMBER(SEARCH($W$1,Database!$Z270&amp;""))))+IF($X$1="",0,N(ISNUMBER(SEARCH($X$1,Database!$Z270&amp;""))))+IF($Y$1="",0,N(ISNUMBER(SEARCH($Y$1,Database!$Z270&amp;""))))+IF(Screener!$B$17="",0,N(ISNUMBER(SEARCH(LOWER(Screener!$B$17),Database!$Z270&amp;""))))</f>
        <v/>
      </c>
      <c r="I270">
        <f>IF(OR(N(Database!$BF270)&lt;=0,N(Screener!$D$13)&lt;=0),0,MAX(0,1-ABS(LOG10(N(Database!$BF270)/Screener!$D$13))/W_PEHW))</f>
        <v/>
      </c>
      <c r="J270">
        <f>IF(OR(N(Database!$S270)&lt;=0,N(Screener!$D$14)&lt;=0),0,MAX(0,1-ABS(LOG10(Database!$S270/Screener!$D$14))/0.6))</f>
        <v/>
      </c>
      <c r="K270">
        <f>IF(Database!$B270=Screener!$B$5,-999999,IF(ISNUMBER(SEARCH(","&amp;Database!$A270&amp;",",","&amp;SUBSTITUTE(Screener!$D$17," ","")&amp;",")),2000000,IF(IF(OR(Screener!$B$18="All",AND(Screener!$B$18="With A-share",(Database!$BK270="Y")),AND(Screener!$B$18="Without A-share",NOT((Database!$BK270="Y")))),1,0)=0,-999999,IF(Screener!$B$16="cornerstone overlap first",H270*100000,IF(Screener!$B$16="demand-similar first",J270*100000,0))+W_SUB*B270+W_SEC*C270*(1-B270)+W_SIZE*D270+W_PROF*E270+W_AH*F270+W_REC*G270+W_CS*H270+W_PE*I270)))+ROW()/1000000</f>
        <v/>
      </c>
      <c r="AA270">
        <f>Database!B260</f>
        <v/>
      </c>
      <c r="AB270">
        <f>Database!D260</f>
        <v/>
      </c>
      <c r="AC270">
        <f>Database!E260</f>
        <v/>
      </c>
      <c r="AD270">
        <f>Database!I260</f>
        <v/>
      </c>
      <c r="AE270">
        <f>Database!BE260</f>
        <v/>
      </c>
      <c r="AF270">
        <f>Database!BK260</f>
        <v/>
      </c>
      <c r="AG270">
        <f>Database!H260</f>
        <v/>
      </c>
      <c r="AH270">
        <f>Database!BF260</f>
        <v/>
      </c>
    </row>
    <row r="271">
      <c r="A271">
        <f>Database!B271</f>
        <v/>
      </c>
      <c r="B271">
        <f>IF(AND(Screener!$D$8&lt;&gt;"",Database!$E271=Screener!$D$8),1,0)</f>
        <v/>
      </c>
      <c r="C271">
        <f>IF(AND(Screener!$D$7&lt;&gt;"",Database!$D271=Screener!$D$7),1,0)</f>
        <v/>
      </c>
      <c r="D271">
        <f>IF(OR(N(Database!$I271)&lt;=0,N(Screener!$D$9)&lt;=0),0,MAX(0,1-ABS(LOG10(N(Database!$I271)/Screener!$D$9))/W_SIZEHW))</f>
        <v/>
      </c>
      <c r="E271">
        <f>IF(OR(Database!$BE271="",Screener!$D$10=""),0,IF(Database!$BE271=Screener!$D$10,1,0))</f>
        <v/>
      </c>
      <c r="F271">
        <f>IF(OR(Database!$BK271="",Screener!$D$11=""),0,IF(Database!$BK271=Screener!$D$11,1,0))</f>
        <v/>
      </c>
      <c r="G271">
        <f>IF(OR(Database!$H271="",N(Screener!$D$12)&lt;=0),0,MAX(0,1-(N(Screener!$D$12)-Database!$H271)/W_RECD))</f>
        <v/>
      </c>
      <c r="H271">
        <f>IF($U$1="",0,N(ISNUMBER(SEARCH($U$1,Database!$Z271&amp;""))))+IF($V$1="",0,N(ISNUMBER(SEARCH($V$1,Database!$Z271&amp;""))))+IF($W$1="",0,N(ISNUMBER(SEARCH($W$1,Database!$Z271&amp;""))))+IF($X$1="",0,N(ISNUMBER(SEARCH($X$1,Database!$Z271&amp;""))))+IF($Y$1="",0,N(ISNUMBER(SEARCH($Y$1,Database!$Z271&amp;""))))+IF(Screener!$B$17="",0,N(ISNUMBER(SEARCH(LOWER(Screener!$B$17),Database!$Z271&amp;""))))</f>
        <v/>
      </c>
      <c r="I271">
        <f>IF(OR(N(Database!$BF271)&lt;=0,N(Screener!$D$13)&lt;=0),0,MAX(0,1-ABS(LOG10(N(Database!$BF271)/Screener!$D$13))/W_PEHW))</f>
        <v/>
      </c>
      <c r="J271">
        <f>IF(OR(N(Database!$S271)&lt;=0,N(Screener!$D$14)&lt;=0),0,MAX(0,1-ABS(LOG10(Database!$S271/Screener!$D$14))/0.6))</f>
        <v/>
      </c>
      <c r="K271">
        <f>IF(Database!$B271=Screener!$B$5,-999999,IF(ISNUMBER(SEARCH(","&amp;Database!$A271&amp;",",","&amp;SUBSTITUTE(Screener!$D$17," ","")&amp;",")),2000000,IF(IF(OR(Screener!$B$18="All",AND(Screener!$B$18="With A-share",(Database!$BK271="Y")),AND(Screener!$B$18="Without A-share",NOT((Database!$BK271="Y")))),1,0)=0,-999999,IF(Screener!$B$16="cornerstone overlap first",H271*100000,IF(Screener!$B$16="demand-similar first",J271*100000,0))+W_SUB*B271+W_SEC*C271*(1-B271)+W_SIZE*D271+W_PROF*E271+W_AH*F271+W_REC*G271+W_CS*H271+W_PE*I271)))+ROW()/1000000</f>
        <v/>
      </c>
      <c r="AA271">
        <f>Database!B261</f>
        <v/>
      </c>
      <c r="AB271">
        <f>Database!D261</f>
        <v/>
      </c>
      <c r="AC271">
        <f>Database!E261</f>
        <v/>
      </c>
      <c r="AD271">
        <f>Database!I261</f>
        <v/>
      </c>
      <c r="AE271">
        <f>Database!BE261</f>
        <v/>
      </c>
      <c r="AF271">
        <f>Database!BK261</f>
        <v/>
      </c>
      <c r="AG271">
        <f>Database!H261</f>
        <v/>
      </c>
      <c r="AH271">
        <f>Database!BF261</f>
        <v/>
      </c>
    </row>
    <row r="272">
      <c r="A272">
        <f>Database!B272</f>
        <v/>
      </c>
      <c r="B272">
        <f>IF(AND(Screener!$D$8&lt;&gt;"",Database!$E272=Screener!$D$8),1,0)</f>
        <v/>
      </c>
      <c r="C272">
        <f>IF(AND(Screener!$D$7&lt;&gt;"",Database!$D272=Screener!$D$7),1,0)</f>
        <v/>
      </c>
      <c r="D272">
        <f>IF(OR(N(Database!$I272)&lt;=0,N(Screener!$D$9)&lt;=0),0,MAX(0,1-ABS(LOG10(N(Database!$I272)/Screener!$D$9))/W_SIZEHW))</f>
        <v/>
      </c>
      <c r="E272">
        <f>IF(OR(Database!$BE272="",Screener!$D$10=""),0,IF(Database!$BE272=Screener!$D$10,1,0))</f>
        <v/>
      </c>
      <c r="F272">
        <f>IF(OR(Database!$BK272="",Screener!$D$11=""),0,IF(Database!$BK272=Screener!$D$11,1,0))</f>
        <v/>
      </c>
      <c r="G272">
        <f>IF(OR(Database!$H272="",N(Screener!$D$12)&lt;=0),0,MAX(0,1-(N(Screener!$D$12)-Database!$H272)/W_RECD))</f>
        <v/>
      </c>
      <c r="H272">
        <f>IF($U$1="",0,N(ISNUMBER(SEARCH($U$1,Database!$Z272&amp;""))))+IF($V$1="",0,N(ISNUMBER(SEARCH($V$1,Database!$Z272&amp;""))))+IF($W$1="",0,N(ISNUMBER(SEARCH($W$1,Database!$Z272&amp;""))))+IF($X$1="",0,N(ISNUMBER(SEARCH($X$1,Database!$Z272&amp;""))))+IF($Y$1="",0,N(ISNUMBER(SEARCH($Y$1,Database!$Z272&amp;""))))+IF(Screener!$B$17="",0,N(ISNUMBER(SEARCH(LOWER(Screener!$B$17),Database!$Z272&amp;""))))</f>
        <v/>
      </c>
      <c r="I272">
        <f>IF(OR(N(Database!$BF272)&lt;=0,N(Screener!$D$13)&lt;=0),0,MAX(0,1-ABS(LOG10(N(Database!$BF272)/Screener!$D$13))/W_PEHW))</f>
        <v/>
      </c>
      <c r="J272">
        <f>IF(OR(N(Database!$S272)&lt;=0,N(Screener!$D$14)&lt;=0),0,MAX(0,1-ABS(LOG10(Database!$S272/Screener!$D$14))/0.6))</f>
        <v/>
      </c>
      <c r="K272">
        <f>IF(Database!$B272=Screener!$B$5,-999999,IF(ISNUMBER(SEARCH(","&amp;Database!$A272&amp;",",","&amp;SUBSTITUTE(Screener!$D$17," ","")&amp;",")),2000000,IF(IF(OR(Screener!$B$18="All",AND(Screener!$B$18="With A-share",(Database!$BK272="Y")),AND(Screener!$B$18="Without A-share",NOT((Database!$BK272="Y")))),1,0)=0,-999999,IF(Screener!$B$16="cornerstone overlap first",H272*100000,IF(Screener!$B$16="demand-similar first",J272*100000,0))+W_SUB*B272+W_SEC*C272*(1-B272)+W_SIZE*D272+W_PROF*E272+W_AH*F272+W_REC*G272+W_CS*H272+W_PE*I272)))+ROW()/1000000</f>
        <v/>
      </c>
      <c r="AA272">
        <f>Database!B262</f>
        <v/>
      </c>
      <c r="AB272">
        <f>Database!D262</f>
        <v/>
      </c>
      <c r="AC272">
        <f>Database!E262</f>
        <v/>
      </c>
      <c r="AD272">
        <f>Database!I262</f>
        <v/>
      </c>
      <c r="AE272">
        <f>Database!BE262</f>
        <v/>
      </c>
      <c r="AF272">
        <f>Database!BK262</f>
        <v/>
      </c>
      <c r="AG272">
        <f>Database!H262</f>
        <v/>
      </c>
      <c r="AH272">
        <f>Database!BF262</f>
        <v/>
      </c>
    </row>
    <row r="273">
      <c r="A273">
        <f>Database!B273</f>
        <v/>
      </c>
      <c r="B273">
        <f>IF(AND(Screener!$D$8&lt;&gt;"",Database!$E273=Screener!$D$8),1,0)</f>
        <v/>
      </c>
      <c r="C273">
        <f>IF(AND(Screener!$D$7&lt;&gt;"",Database!$D273=Screener!$D$7),1,0)</f>
        <v/>
      </c>
      <c r="D273">
        <f>IF(OR(N(Database!$I273)&lt;=0,N(Screener!$D$9)&lt;=0),0,MAX(0,1-ABS(LOG10(N(Database!$I273)/Screener!$D$9))/W_SIZEHW))</f>
        <v/>
      </c>
      <c r="E273">
        <f>IF(OR(Database!$BE273="",Screener!$D$10=""),0,IF(Database!$BE273=Screener!$D$10,1,0))</f>
        <v/>
      </c>
      <c r="F273">
        <f>IF(OR(Database!$BK273="",Screener!$D$11=""),0,IF(Database!$BK273=Screener!$D$11,1,0))</f>
        <v/>
      </c>
      <c r="G273">
        <f>IF(OR(Database!$H273="",N(Screener!$D$12)&lt;=0),0,MAX(0,1-(N(Screener!$D$12)-Database!$H273)/W_RECD))</f>
        <v/>
      </c>
      <c r="H273">
        <f>IF($U$1="",0,N(ISNUMBER(SEARCH($U$1,Database!$Z273&amp;""))))+IF($V$1="",0,N(ISNUMBER(SEARCH($V$1,Database!$Z273&amp;""))))+IF($W$1="",0,N(ISNUMBER(SEARCH($W$1,Database!$Z273&amp;""))))+IF($X$1="",0,N(ISNUMBER(SEARCH($X$1,Database!$Z273&amp;""))))+IF($Y$1="",0,N(ISNUMBER(SEARCH($Y$1,Database!$Z273&amp;""))))+IF(Screener!$B$17="",0,N(ISNUMBER(SEARCH(LOWER(Screener!$B$17),Database!$Z273&amp;""))))</f>
        <v/>
      </c>
      <c r="I273">
        <f>IF(OR(N(Database!$BF273)&lt;=0,N(Screener!$D$13)&lt;=0),0,MAX(0,1-ABS(LOG10(N(Database!$BF273)/Screener!$D$13))/W_PEHW))</f>
        <v/>
      </c>
      <c r="J273">
        <f>IF(OR(N(Database!$S273)&lt;=0,N(Screener!$D$14)&lt;=0),0,MAX(0,1-ABS(LOG10(Database!$S273/Screener!$D$14))/0.6))</f>
        <v/>
      </c>
      <c r="K273">
        <f>IF(Database!$B273=Screener!$B$5,-999999,IF(ISNUMBER(SEARCH(","&amp;Database!$A273&amp;",",","&amp;SUBSTITUTE(Screener!$D$17," ","")&amp;",")),2000000,IF(IF(OR(Screener!$B$18="All",AND(Screener!$B$18="With A-share",(Database!$BK273="Y")),AND(Screener!$B$18="Without A-share",NOT((Database!$BK273="Y")))),1,0)=0,-999999,IF(Screener!$B$16="cornerstone overlap first",H273*100000,IF(Screener!$B$16="demand-similar first",J273*100000,0))+W_SUB*B273+W_SEC*C273*(1-B273)+W_SIZE*D273+W_PROF*E273+W_AH*F273+W_REC*G273+W_CS*H273+W_PE*I273)))+ROW()/1000000</f>
        <v/>
      </c>
      <c r="AA273">
        <f>Database!B263</f>
        <v/>
      </c>
      <c r="AB273">
        <f>Database!D263</f>
        <v/>
      </c>
      <c r="AC273">
        <f>Database!E263</f>
        <v/>
      </c>
      <c r="AD273">
        <f>Database!I263</f>
        <v/>
      </c>
      <c r="AE273">
        <f>Database!BE263</f>
        <v/>
      </c>
      <c r="AF273">
        <f>Database!BK263</f>
        <v/>
      </c>
      <c r="AG273">
        <f>Database!H263</f>
        <v/>
      </c>
      <c r="AH273">
        <f>Database!BF263</f>
        <v/>
      </c>
    </row>
    <row r="274">
      <c r="A274">
        <f>Database!B274</f>
        <v/>
      </c>
      <c r="B274">
        <f>IF(AND(Screener!$D$8&lt;&gt;"",Database!$E274=Screener!$D$8),1,0)</f>
        <v/>
      </c>
      <c r="C274">
        <f>IF(AND(Screener!$D$7&lt;&gt;"",Database!$D274=Screener!$D$7),1,0)</f>
        <v/>
      </c>
      <c r="D274">
        <f>IF(OR(N(Database!$I274)&lt;=0,N(Screener!$D$9)&lt;=0),0,MAX(0,1-ABS(LOG10(N(Database!$I274)/Screener!$D$9))/W_SIZEHW))</f>
        <v/>
      </c>
      <c r="E274">
        <f>IF(OR(Database!$BE274="",Screener!$D$10=""),0,IF(Database!$BE274=Screener!$D$10,1,0))</f>
        <v/>
      </c>
      <c r="F274">
        <f>IF(OR(Database!$BK274="",Screener!$D$11=""),0,IF(Database!$BK274=Screener!$D$11,1,0))</f>
        <v/>
      </c>
      <c r="G274">
        <f>IF(OR(Database!$H274="",N(Screener!$D$12)&lt;=0),0,MAX(0,1-(N(Screener!$D$12)-Database!$H274)/W_RECD))</f>
        <v/>
      </c>
      <c r="H274">
        <f>IF($U$1="",0,N(ISNUMBER(SEARCH($U$1,Database!$Z274&amp;""))))+IF($V$1="",0,N(ISNUMBER(SEARCH($V$1,Database!$Z274&amp;""))))+IF($W$1="",0,N(ISNUMBER(SEARCH($W$1,Database!$Z274&amp;""))))+IF($X$1="",0,N(ISNUMBER(SEARCH($X$1,Database!$Z274&amp;""))))+IF($Y$1="",0,N(ISNUMBER(SEARCH($Y$1,Database!$Z274&amp;""))))+IF(Screener!$B$17="",0,N(ISNUMBER(SEARCH(LOWER(Screener!$B$17),Database!$Z274&amp;""))))</f>
        <v/>
      </c>
      <c r="I274">
        <f>IF(OR(N(Database!$BF274)&lt;=0,N(Screener!$D$13)&lt;=0),0,MAX(0,1-ABS(LOG10(N(Database!$BF274)/Screener!$D$13))/W_PEHW))</f>
        <v/>
      </c>
      <c r="J274">
        <f>IF(OR(N(Database!$S274)&lt;=0,N(Screener!$D$14)&lt;=0),0,MAX(0,1-ABS(LOG10(Database!$S274/Screener!$D$14))/0.6))</f>
        <v/>
      </c>
      <c r="K274">
        <f>IF(Database!$B274=Screener!$B$5,-999999,IF(ISNUMBER(SEARCH(","&amp;Database!$A274&amp;",",","&amp;SUBSTITUTE(Screener!$D$17," ","")&amp;",")),2000000,IF(IF(OR(Screener!$B$18="All",AND(Screener!$B$18="With A-share",(Database!$BK274="Y")),AND(Screener!$B$18="Without A-share",NOT((Database!$BK274="Y")))),1,0)=0,-999999,IF(Screener!$B$16="cornerstone overlap first",H274*100000,IF(Screener!$B$16="demand-similar first",J274*100000,0))+W_SUB*B274+W_SEC*C274*(1-B274)+W_SIZE*D274+W_PROF*E274+W_AH*F274+W_REC*G274+W_CS*H274+W_PE*I274)))+ROW()/1000000</f>
        <v/>
      </c>
      <c r="AA274">
        <f>Database!B264</f>
        <v/>
      </c>
      <c r="AB274">
        <f>Database!D264</f>
        <v/>
      </c>
      <c r="AC274">
        <f>Database!E264</f>
        <v/>
      </c>
      <c r="AD274">
        <f>Database!I264</f>
        <v/>
      </c>
      <c r="AE274">
        <f>Database!BE264</f>
        <v/>
      </c>
      <c r="AF274">
        <f>Database!BK264</f>
        <v/>
      </c>
      <c r="AG274">
        <f>Database!H264</f>
        <v/>
      </c>
      <c r="AH274">
        <f>Database!BF264</f>
        <v/>
      </c>
    </row>
    <row r="275">
      <c r="A275">
        <f>Database!B275</f>
        <v/>
      </c>
      <c r="B275">
        <f>IF(AND(Screener!$D$8&lt;&gt;"",Database!$E275=Screener!$D$8),1,0)</f>
        <v/>
      </c>
      <c r="C275">
        <f>IF(AND(Screener!$D$7&lt;&gt;"",Database!$D275=Screener!$D$7),1,0)</f>
        <v/>
      </c>
      <c r="D275">
        <f>IF(OR(N(Database!$I275)&lt;=0,N(Screener!$D$9)&lt;=0),0,MAX(0,1-ABS(LOG10(N(Database!$I275)/Screener!$D$9))/W_SIZEHW))</f>
        <v/>
      </c>
      <c r="E275">
        <f>IF(OR(Database!$BE275="",Screener!$D$10=""),0,IF(Database!$BE275=Screener!$D$10,1,0))</f>
        <v/>
      </c>
      <c r="F275">
        <f>IF(OR(Database!$BK275="",Screener!$D$11=""),0,IF(Database!$BK275=Screener!$D$11,1,0))</f>
        <v/>
      </c>
      <c r="G275">
        <f>IF(OR(Database!$H275="",N(Screener!$D$12)&lt;=0),0,MAX(0,1-(N(Screener!$D$12)-Database!$H275)/W_RECD))</f>
        <v/>
      </c>
      <c r="H275">
        <f>IF($U$1="",0,N(ISNUMBER(SEARCH($U$1,Database!$Z275&amp;""))))+IF($V$1="",0,N(ISNUMBER(SEARCH($V$1,Database!$Z275&amp;""))))+IF($W$1="",0,N(ISNUMBER(SEARCH($W$1,Database!$Z275&amp;""))))+IF($X$1="",0,N(ISNUMBER(SEARCH($X$1,Database!$Z275&amp;""))))+IF($Y$1="",0,N(ISNUMBER(SEARCH($Y$1,Database!$Z275&amp;""))))+IF(Screener!$B$17="",0,N(ISNUMBER(SEARCH(LOWER(Screener!$B$17),Database!$Z275&amp;""))))</f>
        <v/>
      </c>
      <c r="I275">
        <f>IF(OR(N(Database!$BF275)&lt;=0,N(Screener!$D$13)&lt;=0),0,MAX(0,1-ABS(LOG10(N(Database!$BF275)/Screener!$D$13))/W_PEHW))</f>
        <v/>
      </c>
      <c r="J275">
        <f>IF(OR(N(Database!$S275)&lt;=0,N(Screener!$D$14)&lt;=0),0,MAX(0,1-ABS(LOG10(Database!$S275/Screener!$D$14))/0.6))</f>
        <v/>
      </c>
      <c r="K275">
        <f>IF(Database!$B275=Screener!$B$5,-999999,IF(ISNUMBER(SEARCH(","&amp;Database!$A275&amp;",",","&amp;SUBSTITUTE(Screener!$D$17," ","")&amp;",")),2000000,IF(IF(OR(Screener!$B$18="All",AND(Screener!$B$18="With A-share",(Database!$BK275="Y")),AND(Screener!$B$18="Without A-share",NOT((Database!$BK275="Y")))),1,0)=0,-999999,IF(Screener!$B$16="cornerstone overlap first",H275*100000,IF(Screener!$B$16="demand-similar first",J275*100000,0))+W_SUB*B275+W_SEC*C275*(1-B275)+W_SIZE*D275+W_PROF*E275+W_AH*F275+W_REC*G275+W_CS*H275+W_PE*I275)))+ROW()/1000000</f>
        <v/>
      </c>
      <c r="AA275">
        <f>Database!B265</f>
        <v/>
      </c>
      <c r="AB275">
        <f>Database!D265</f>
        <v/>
      </c>
      <c r="AC275">
        <f>Database!E265</f>
        <v/>
      </c>
      <c r="AD275">
        <f>Database!I265</f>
        <v/>
      </c>
      <c r="AE275">
        <f>Database!BE265</f>
        <v/>
      </c>
      <c r="AF275">
        <f>Database!BK265</f>
        <v/>
      </c>
      <c r="AG275">
        <f>Database!H265</f>
        <v/>
      </c>
      <c r="AH275">
        <f>Database!BF265</f>
        <v/>
      </c>
    </row>
    <row r="276">
      <c r="A276">
        <f>Database!B276</f>
        <v/>
      </c>
      <c r="B276">
        <f>IF(AND(Screener!$D$8&lt;&gt;"",Database!$E276=Screener!$D$8),1,0)</f>
        <v/>
      </c>
      <c r="C276">
        <f>IF(AND(Screener!$D$7&lt;&gt;"",Database!$D276=Screener!$D$7),1,0)</f>
        <v/>
      </c>
      <c r="D276">
        <f>IF(OR(N(Database!$I276)&lt;=0,N(Screener!$D$9)&lt;=0),0,MAX(0,1-ABS(LOG10(N(Database!$I276)/Screener!$D$9))/W_SIZEHW))</f>
        <v/>
      </c>
      <c r="E276">
        <f>IF(OR(Database!$BE276="",Screener!$D$10=""),0,IF(Database!$BE276=Screener!$D$10,1,0))</f>
        <v/>
      </c>
      <c r="F276">
        <f>IF(OR(Database!$BK276="",Screener!$D$11=""),0,IF(Database!$BK276=Screener!$D$11,1,0))</f>
        <v/>
      </c>
      <c r="G276">
        <f>IF(OR(Database!$H276="",N(Screener!$D$12)&lt;=0),0,MAX(0,1-(N(Screener!$D$12)-Database!$H276)/W_RECD))</f>
        <v/>
      </c>
      <c r="H276">
        <f>IF($U$1="",0,N(ISNUMBER(SEARCH($U$1,Database!$Z276&amp;""))))+IF($V$1="",0,N(ISNUMBER(SEARCH($V$1,Database!$Z276&amp;""))))+IF($W$1="",0,N(ISNUMBER(SEARCH($W$1,Database!$Z276&amp;""))))+IF($X$1="",0,N(ISNUMBER(SEARCH($X$1,Database!$Z276&amp;""))))+IF($Y$1="",0,N(ISNUMBER(SEARCH($Y$1,Database!$Z276&amp;""))))+IF(Screener!$B$17="",0,N(ISNUMBER(SEARCH(LOWER(Screener!$B$17),Database!$Z276&amp;""))))</f>
        <v/>
      </c>
      <c r="I276">
        <f>IF(OR(N(Database!$BF276)&lt;=0,N(Screener!$D$13)&lt;=0),0,MAX(0,1-ABS(LOG10(N(Database!$BF276)/Screener!$D$13))/W_PEHW))</f>
        <v/>
      </c>
      <c r="J276">
        <f>IF(OR(N(Database!$S276)&lt;=0,N(Screener!$D$14)&lt;=0),0,MAX(0,1-ABS(LOG10(Database!$S276/Screener!$D$14))/0.6))</f>
        <v/>
      </c>
      <c r="K276">
        <f>IF(Database!$B276=Screener!$B$5,-999999,IF(ISNUMBER(SEARCH(","&amp;Database!$A276&amp;",",","&amp;SUBSTITUTE(Screener!$D$17," ","")&amp;",")),2000000,IF(IF(OR(Screener!$B$18="All",AND(Screener!$B$18="With A-share",(Database!$BK276="Y")),AND(Screener!$B$18="Without A-share",NOT((Database!$BK276="Y")))),1,0)=0,-999999,IF(Screener!$B$16="cornerstone overlap first",H276*100000,IF(Screener!$B$16="demand-similar first",J276*100000,0))+W_SUB*B276+W_SEC*C276*(1-B276)+W_SIZE*D276+W_PROF*E276+W_AH*F276+W_REC*G276+W_CS*H276+W_PE*I276)))+ROW()/1000000</f>
        <v/>
      </c>
      <c r="AA276">
        <f>Database!B266</f>
        <v/>
      </c>
      <c r="AB276">
        <f>Database!D266</f>
        <v/>
      </c>
      <c r="AC276">
        <f>Database!E266</f>
        <v/>
      </c>
      <c r="AD276">
        <f>Database!I266</f>
        <v/>
      </c>
      <c r="AE276">
        <f>Database!BE266</f>
        <v/>
      </c>
      <c r="AF276">
        <f>Database!BK266</f>
        <v/>
      </c>
      <c r="AG276">
        <f>Database!H266</f>
        <v/>
      </c>
      <c r="AH276">
        <f>Database!BF266</f>
        <v/>
      </c>
    </row>
    <row r="277">
      <c r="A277">
        <f>Database!B277</f>
        <v/>
      </c>
      <c r="B277">
        <f>IF(AND(Screener!$D$8&lt;&gt;"",Database!$E277=Screener!$D$8),1,0)</f>
        <v/>
      </c>
      <c r="C277">
        <f>IF(AND(Screener!$D$7&lt;&gt;"",Database!$D277=Screener!$D$7),1,0)</f>
        <v/>
      </c>
      <c r="D277">
        <f>IF(OR(N(Database!$I277)&lt;=0,N(Screener!$D$9)&lt;=0),0,MAX(0,1-ABS(LOG10(N(Database!$I277)/Screener!$D$9))/W_SIZEHW))</f>
        <v/>
      </c>
      <c r="E277">
        <f>IF(OR(Database!$BE277="",Screener!$D$10=""),0,IF(Database!$BE277=Screener!$D$10,1,0))</f>
        <v/>
      </c>
      <c r="F277">
        <f>IF(OR(Database!$BK277="",Screener!$D$11=""),0,IF(Database!$BK277=Screener!$D$11,1,0))</f>
        <v/>
      </c>
      <c r="G277">
        <f>IF(OR(Database!$H277="",N(Screener!$D$12)&lt;=0),0,MAX(0,1-(N(Screener!$D$12)-Database!$H277)/W_RECD))</f>
        <v/>
      </c>
      <c r="H277">
        <f>IF($U$1="",0,N(ISNUMBER(SEARCH($U$1,Database!$Z277&amp;""))))+IF($V$1="",0,N(ISNUMBER(SEARCH($V$1,Database!$Z277&amp;""))))+IF($W$1="",0,N(ISNUMBER(SEARCH($W$1,Database!$Z277&amp;""))))+IF($X$1="",0,N(ISNUMBER(SEARCH($X$1,Database!$Z277&amp;""))))+IF($Y$1="",0,N(ISNUMBER(SEARCH($Y$1,Database!$Z277&amp;""))))+IF(Screener!$B$17="",0,N(ISNUMBER(SEARCH(LOWER(Screener!$B$17),Database!$Z277&amp;""))))</f>
        <v/>
      </c>
      <c r="I277">
        <f>IF(OR(N(Database!$BF277)&lt;=0,N(Screener!$D$13)&lt;=0),0,MAX(0,1-ABS(LOG10(N(Database!$BF277)/Screener!$D$13))/W_PEHW))</f>
        <v/>
      </c>
      <c r="J277">
        <f>IF(OR(N(Database!$S277)&lt;=0,N(Screener!$D$14)&lt;=0),0,MAX(0,1-ABS(LOG10(Database!$S277/Screener!$D$14))/0.6))</f>
        <v/>
      </c>
      <c r="K277">
        <f>IF(Database!$B277=Screener!$B$5,-999999,IF(ISNUMBER(SEARCH(","&amp;Database!$A277&amp;",",","&amp;SUBSTITUTE(Screener!$D$17," ","")&amp;",")),2000000,IF(IF(OR(Screener!$B$18="All",AND(Screener!$B$18="With A-share",(Database!$BK277="Y")),AND(Screener!$B$18="Without A-share",NOT((Database!$BK277="Y")))),1,0)=0,-999999,IF(Screener!$B$16="cornerstone overlap first",H277*100000,IF(Screener!$B$16="demand-similar first",J277*100000,0))+W_SUB*B277+W_SEC*C277*(1-B277)+W_SIZE*D277+W_PROF*E277+W_AH*F277+W_REC*G277+W_CS*H277+W_PE*I277)))+ROW()/1000000</f>
        <v/>
      </c>
      <c r="AA277">
        <f>Database!B267</f>
        <v/>
      </c>
      <c r="AB277">
        <f>Database!D267</f>
        <v/>
      </c>
      <c r="AC277">
        <f>Database!E267</f>
        <v/>
      </c>
      <c r="AD277">
        <f>Database!I267</f>
        <v/>
      </c>
      <c r="AE277">
        <f>Database!BE267</f>
        <v/>
      </c>
      <c r="AF277">
        <f>Database!BK267</f>
        <v/>
      </c>
      <c r="AG277">
        <f>Database!H267</f>
        <v/>
      </c>
      <c r="AH277">
        <f>Database!BF267</f>
        <v/>
      </c>
    </row>
    <row r="278">
      <c r="A278">
        <f>Database!B278</f>
        <v/>
      </c>
      <c r="B278">
        <f>IF(AND(Screener!$D$8&lt;&gt;"",Database!$E278=Screener!$D$8),1,0)</f>
        <v/>
      </c>
      <c r="C278">
        <f>IF(AND(Screener!$D$7&lt;&gt;"",Database!$D278=Screener!$D$7),1,0)</f>
        <v/>
      </c>
      <c r="D278">
        <f>IF(OR(N(Database!$I278)&lt;=0,N(Screener!$D$9)&lt;=0),0,MAX(0,1-ABS(LOG10(N(Database!$I278)/Screener!$D$9))/W_SIZEHW))</f>
        <v/>
      </c>
      <c r="E278">
        <f>IF(OR(Database!$BE278="",Screener!$D$10=""),0,IF(Database!$BE278=Screener!$D$10,1,0))</f>
        <v/>
      </c>
      <c r="F278">
        <f>IF(OR(Database!$BK278="",Screener!$D$11=""),0,IF(Database!$BK278=Screener!$D$11,1,0))</f>
        <v/>
      </c>
      <c r="G278">
        <f>IF(OR(Database!$H278="",N(Screener!$D$12)&lt;=0),0,MAX(0,1-(N(Screener!$D$12)-Database!$H278)/W_RECD))</f>
        <v/>
      </c>
      <c r="H278">
        <f>IF($U$1="",0,N(ISNUMBER(SEARCH($U$1,Database!$Z278&amp;""))))+IF($V$1="",0,N(ISNUMBER(SEARCH($V$1,Database!$Z278&amp;""))))+IF($W$1="",0,N(ISNUMBER(SEARCH($W$1,Database!$Z278&amp;""))))+IF($X$1="",0,N(ISNUMBER(SEARCH($X$1,Database!$Z278&amp;""))))+IF($Y$1="",0,N(ISNUMBER(SEARCH($Y$1,Database!$Z278&amp;""))))+IF(Screener!$B$17="",0,N(ISNUMBER(SEARCH(LOWER(Screener!$B$17),Database!$Z278&amp;""))))</f>
        <v/>
      </c>
      <c r="I278">
        <f>IF(OR(N(Database!$BF278)&lt;=0,N(Screener!$D$13)&lt;=0),0,MAX(0,1-ABS(LOG10(N(Database!$BF278)/Screener!$D$13))/W_PEHW))</f>
        <v/>
      </c>
      <c r="J278">
        <f>IF(OR(N(Database!$S278)&lt;=0,N(Screener!$D$14)&lt;=0),0,MAX(0,1-ABS(LOG10(Database!$S278/Screener!$D$14))/0.6))</f>
        <v/>
      </c>
      <c r="K278">
        <f>IF(Database!$B278=Screener!$B$5,-999999,IF(ISNUMBER(SEARCH(","&amp;Database!$A278&amp;",",","&amp;SUBSTITUTE(Screener!$D$17," ","")&amp;",")),2000000,IF(IF(OR(Screener!$B$18="All",AND(Screener!$B$18="With A-share",(Database!$BK278="Y")),AND(Screener!$B$18="Without A-share",NOT((Database!$BK278="Y")))),1,0)=0,-999999,IF(Screener!$B$16="cornerstone overlap first",H278*100000,IF(Screener!$B$16="demand-similar first",J278*100000,0))+W_SUB*B278+W_SEC*C278*(1-B278)+W_SIZE*D278+W_PROF*E278+W_AH*F278+W_REC*G278+W_CS*H278+W_PE*I278)))+ROW()/1000000</f>
        <v/>
      </c>
      <c r="AA278">
        <f>Database!B268</f>
        <v/>
      </c>
      <c r="AB278">
        <f>Database!D268</f>
        <v/>
      </c>
      <c r="AC278">
        <f>Database!E268</f>
        <v/>
      </c>
      <c r="AD278">
        <f>Database!I268</f>
        <v/>
      </c>
      <c r="AE278">
        <f>Database!BE268</f>
        <v/>
      </c>
      <c r="AF278">
        <f>Database!BK268</f>
        <v/>
      </c>
      <c r="AG278">
        <f>Database!H268</f>
        <v/>
      </c>
      <c r="AH278">
        <f>Database!BF268</f>
        <v/>
      </c>
    </row>
    <row r="279">
      <c r="A279">
        <f>Database!B279</f>
        <v/>
      </c>
      <c r="B279">
        <f>IF(AND(Screener!$D$8&lt;&gt;"",Database!$E279=Screener!$D$8),1,0)</f>
        <v/>
      </c>
      <c r="C279">
        <f>IF(AND(Screener!$D$7&lt;&gt;"",Database!$D279=Screener!$D$7),1,0)</f>
        <v/>
      </c>
      <c r="D279">
        <f>IF(OR(N(Database!$I279)&lt;=0,N(Screener!$D$9)&lt;=0),0,MAX(0,1-ABS(LOG10(N(Database!$I279)/Screener!$D$9))/W_SIZEHW))</f>
        <v/>
      </c>
      <c r="E279">
        <f>IF(OR(Database!$BE279="",Screener!$D$10=""),0,IF(Database!$BE279=Screener!$D$10,1,0))</f>
        <v/>
      </c>
      <c r="F279">
        <f>IF(OR(Database!$BK279="",Screener!$D$11=""),0,IF(Database!$BK279=Screener!$D$11,1,0))</f>
        <v/>
      </c>
      <c r="G279">
        <f>IF(OR(Database!$H279="",N(Screener!$D$12)&lt;=0),0,MAX(0,1-(N(Screener!$D$12)-Database!$H279)/W_RECD))</f>
        <v/>
      </c>
      <c r="H279">
        <f>IF($U$1="",0,N(ISNUMBER(SEARCH($U$1,Database!$Z279&amp;""))))+IF($V$1="",0,N(ISNUMBER(SEARCH($V$1,Database!$Z279&amp;""))))+IF($W$1="",0,N(ISNUMBER(SEARCH($W$1,Database!$Z279&amp;""))))+IF($X$1="",0,N(ISNUMBER(SEARCH($X$1,Database!$Z279&amp;""))))+IF($Y$1="",0,N(ISNUMBER(SEARCH($Y$1,Database!$Z279&amp;""))))+IF(Screener!$B$17="",0,N(ISNUMBER(SEARCH(LOWER(Screener!$B$17),Database!$Z279&amp;""))))</f>
        <v/>
      </c>
      <c r="I279">
        <f>IF(OR(N(Database!$BF279)&lt;=0,N(Screener!$D$13)&lt;=0),0,MAX(0,1-ABS(LOG10(N(Database!$BF279)/Screener!$D$13))/W_PEHW))</f>
        <v/>
      </c>
      <c r="J279">
        <f>IF(OR(N(Database!$S279)&lt;=0,N(Screener!$D$14)&lt;=0),0,MAX(0,1-ABS(LOG10(Database!$S279/Screener!$D$14))/0.6))</f>
        <v/>
      </c>
      <c r="K279">
        <f>IF(Database!$B279=Screener!$B$5,-999999,IF(ISNUMBER(SEARCH(","&amp;Database!$A279&amp;",",","&amp;SUBSTITUTE(Screener!$D$17," ","")&amp;",")),2000000,IF(IF(OR(Screener!$B$18="All",AND(Screener!$B$18="With A-share",(Database!$BK279="Y")),AND(Screener!$B$18="Without A-share",NOT((Database!$BK279="Y")))),1,0)=0,-999999,IF(Screener!$B$16="cornerstone overlap first",H279*100000,IF(Screener!$B$16="demand-similar first",J279*100000,0))+W_SUB*B279+W_SEC*C279*(1-B279)+W_SIZE*D279+W_PROF*E279+W_AH*F279+W_REC*G279+W_CS*H279+W_PE*I279)))+ROW()/1000000</f>
        <v/>
      </c>
      <c r="AA279">
        <f>Database!B269</f>
        <v/>
      </c>
      <c r="AB279">
        <f>Database!D269</f>
        <v/>
      </c>
      <c r="AC279">
        <f>Database!E269</f>
        <v/>
      </c>
      <c r="AD279">
        <f>Database!I269</f>
        <v/>
      </c>
      <c r="AE279">
        <f>Database!BE269</f>
        <v/>
      </c>
      <c r="AF279">
        <f>Database!BK269</f>
        <v/>
      </c>
      <c r="AG279">
        <f>Database!H269</f>
        <v/>
      </c>
      <c r="AH279">
        <f>Database!BF269</f>
        <v/>
      </c>
    </row>
    <row r="280">
      <c r="A280">
        <f>Database!B280</f>
        <v/>
      </c>
      <c r="B280">
        <f>IF(AND(Screener!$D$8&lt;&gt;"",Database!$E280=Screener!$D$8),1,0)</f>
        <v/>
      </c>
      <c r="C280">
        <f>IF(AND(Screener!$D$7&lt;&gt;"",Database!$D280=Screener!$D$7),1,0)</f>
        <v/>
      </c>
      <c r="D280">
        <f>IF(OR(N(Database!$I280)&lt;=0,N(Screener!$D$9)&lt;=0),0,MAX(0,1-ABS(LOG10(N(Database!$I280)/Screener!$D$9))/W_SIZEHW))</f>
        <v/>
      </c>
      <c r="E280">
        <f>IF(OR(Database!$BE280="",Screener!$D$10=""),0,IF(Database!$BE280=Screener!$D$10,1,0))</f>
        <v/>
      </c>
      <c r="F280">
        <f>IF(OR(Database!$BK280="",Screener!$D$11=""),0,IF(Database!$BK280=Screener!$D$11,1,0))</f>
        <v/>
      </c>
      <c r="G280">
        <f>IF(OR(Database!$H280="",N(Screener!$D$12)&lt;=0),0,MAX(0,1-(N(Screener!$D$12)-Database!$H280)/W_RECD))</f>
        <v/>
      </c>
      <c r="H280">
        <f>IF($U$1="",0,N(ISNUMBER(SEARCH($U$1,Database!$Z280&amp;""))))+IF($V$1="",0,N(ISNUMBER(SEARCH($V$1,Database!$Z280&amp;""))))+IF($W$1="",0,N(ISNUMBER(SEARCH($W$1,Database!$Z280&amp;""))))+IF($X$1="",0,N(ISNUMBER(SEARCH($X$1,Database!$Z280&amp;""))))+IF($Y$1="",0,N(ISNUMBER(SEARCH($Y$1,Database!$Z280&amp;""))))+IF(Screener!$B$17="",0,N(ISNUMBER(SEARCH(LOWER(Screener!$B$17),Database!$Z280&amp;""))))</f>
        <v/>
      </c>
      <c r="I280">
        <f>IF(OR(N(Database!$BF280)&lt;=0,N(Screener!$D$13)&lt;=0),0,MAX(0,1-ABS(LOG10(N(Database!$BF280)/Screener!$D$13))/W_PEHW))</f>
        <v/>
      </c>
      <c r="J280">
        <f>IF(OR(N(Database!$S280)&lt;=0,N(Screener!$D$14)&lt;=0),0,MAX(0,1-ABS(LOG10(Database!$S280/Screener!$D$14))/0.6))</f>
        <v/>
      </c>
      <c r="K280">
        <f>IF(Database!$B280=Screener!$B$5,-999999,IF(ISNUMBER(SEARCH(","&amp;Database!$A280&amp;",",","&amp;SUBSTITUTE(Screener!$D$17," ","")&amp;",")),2000000,IF(IF(OR(Screener!$B$18="All",AND(Screener!$B$18="With A-share",(Database!$BK280="Y")),AND(Screener!$B$18="Without A-share",NOT((Database!$BK280="Y")))),1,0)=0,-999999,IF(Screener!$B$16="cornerstone overlap first",H280*100000,IF(Screener!$B$16="demand-similar first",J280*100000,0))+W_SUB*B280+W_SEC*C280*(1-B280)+W_SIZE*D280+W_PROF*E280+W_AH*F280+W_REC*G280+W_CS*H280+W_PE*I280)))+ROW()/1000000</f>
        <v/>
      </c>
      <c r="AA280">
        <f>Database!B270</f>
        <v/>
      </c>
      <c r="AB280">
        <f>Database!D270</f>
        <v/>
      </c>
      <c r="AC280">
        <f>Database!E270</f>
        <v/>
      </c>
      <c r="AD280">
        <f>Database!I270</f>
        <v/>
      </c>
      <c r="AE280">
        <f>Database!BE270</f>
        <v/>
      </c>
      <c r="AF280">
        <f>Database!BK270</f>
        <v/>
      </c>
      <c r="AG280">
        <f>Database!H270</f>
        <v/>
      </c>
      <c r="AH280">
        <f>Database!BF270</f>
        <v/>
      </c>
    </row>
    <row r="281">
      <c r="A281">
        <f>Database!B281</f>
        <v/>
      </c>
      <c r="B281">
        <f>IF(AND(Screener!$D$8&lt;&gt;"",Database!$E281=Screener!$D$8),1,0)</f>
        <v/>
      </c>
      <c r="C281">
        <f>IF(AND(Screener!$D$7&lt;&gt;"",Database!$D281=Screener!$D$7),1,0)</f>
        <v/>
      </c>
      <c r="D281">
        <f>IF(OR(N(Database!$I281)&lt;=0,N(Screener!$D$9)&lt;=0),0,MAX(0,1-ABS(LOG10(N(Database!$I281)/Screener!$D$9))/W_SIZEHW))</f>
        <v/>
      </c>
      <c r="E281">
        <f>IF(OR(Database!$BE281="",Screener!$D$10=""),0,IF(Database!$BE281=Screener!$D$10,1,0))</f>
        <v/>
      </c>
      <c r="F281">
        <f>IF(OR(Database!$BK281="",Screener!$D$11=""),0,IF(Database!$BK281=Screener!$D$11,1,0))</f>
        <v/>
      </c>
      <c r="G281">
        <f>IF(OR(Database!$H281="",N(Screener!$D$12)&lt;=0),0,MAX(0,1-(N(Screener!$D$12)-Database!$H281)/W_RECD))</f>
        <v/>
      </c>
      <c r="H281">
        <f>IF($U$1="",0,N(ISNUMBER(SEARCH($U$1,Database!$Z281&amp;""))))+IF($V$1="",0,N(ISNUMBER(SEARCH($V$1,Database!$Z281&amp;""))))+IF($W$1="",0,N(ISNUMBER(SEARCH($W$1,Database!$Z281&amp;""))))+IF($X$1="",0,N(ISNUMBER(SEARCH($X$1,Database!$Z281&amp;""))))+IF($Y$1="",0,N(ISNUMBER(SEARCH($Y$1,Database!$Z281&amp;""))))+IF(Screener!$B$17="",0,N(ISNUMBER(SEARCH(LOWER(Screener!$B$17),Database!$Z281&amp;""))))</f>
        <v/>
      </c>
      <c r="I281">
        <f>IF(OR(N(Database!$BF281)&lt;=0,N(Screener!$D$13)&lt;=0),0,MAX(0,1-ABS(LOG10(N(Database!$BF281)/Screener!$D$13))/W_PEHW))</f>
        <v/>
      </c>
      <c r="J281">
        <f>IF(OR(N(Database!$S281)&lt;=0,N(Screener!$D$14)&lt;=0),0,MAX(0,1-ABS(LOG10(Database!$S281/Screener!$D$14))/0.6))</f>
        <v/>
      </c>
      <c r="K281">
        <f>IF(Database!$B281=Screener!$B$5,-999999,IF(ISNUMBER(SEARCH(","&amp;Database!$A281&amp;",",","&amp;SUBSTITUTE(Screener!$D$17," ","")&amp;",")),2000000,IF(IF(OR(Screener!$B$18="All",AND(Screener!$B$18="With A-share",(Database!$BK281="Y")),AND(Screener!$B$18="Without A-share",NOT((Database!$BK281="Y")))),1,0)=0,-999999,IF(Screener!$B$16="cornerstone overlap first",H281*100000,IF(Screener!$B$16="demand-similar first",J281*100000,0))+W_SUB*B281+W_SEC*C281*(1-B281)+W_SIZE*D281+W_PROF*E281+W_AH*F281+W_REC*G281+W_CS*H281+W_PE*I281)))+ROW()/1000000</f>
        <v/>
      </c>
      <c r="AA281">
        <f>Database!B271</f>
        <v/>
      </c>
      <c r="AB281">
        <f>Database!D271</f>
        <v/>
      </c>
      <c r="AC281">
        <f>Database!E271</f>
        <v/>
      </c>
      <c r="AD281">
        <f>Database!I271</f>
        <v/>
      </c>
      <c r="AE281">
        <f>Database!BE271</f>
        <v/>
      </c>
      <c r="AF281">
        <f>Database!BK271</f>
        <v/>
      </c>
      <c r="AG281">
        <f>Database!H271</f>
        <v/>
      </c>
      <c r="AH281">
        <f>Database!BF271</f>
        <v/>
      </c>
    </row>
    <row r="282">
      <c r="A282">
        <f>Database!B282</f>
        <v/>
      </c>
      <c r="B282">
        <f>IF(AND(Screener!$D$8&lt;&gt;"",Database!$E282=Screener!$D$8),1,0)</f>
        <v/>
      </c>
      <c r="C282">
        <f>IF(AND(Screener!$D$7&lt;&gt;"",Database!$D282=Screener!$D$7),1,0)</f>
        <v/>
      </c>
      <c r="D282">
        <f>IF(OR(N(Database!$I282)&lt;=0,N(Screener!$D$9)&lt;=0),0,MAX(0,1-ABS(LOG10(N(Database!$I282)/Screener!$D$9))/W_SIZEHW))</f>
        <v/>
      </c>
      <c r="E282">
        <f>IF(OR(Database!$BE282="",Screener!$D$10=""),0,IF(Database!$BE282=Screener!$D$10,1,0))</f>
        <v/>
      </c>
      <c r="F282">
        <f>IF(OR(Database!$BK282="",Screener!$D$11=""),0,IF(Database!$BK282=Screener!$D$11,1,0))</f>
        <v/>
      </c>
      <c r="G282">
        <f>IF(OR(Database!$H282="",N(Screener!$D$12)&lt;=0),0,MAX(0,1-(N(Screener!$D$12)-Database!$H282)/W_RECD))</f>
        <v/>
      </c>
      <c r="H282">
        <f>IF($U$1="",0,N(ISNUMBER(SEARCH($U$1,Database!$Z282&amp;""))))+IF($V$1="",0,N(ISNUMBER(SEARCH($V$1,Database!$Z282&amp;""))))+IF($W$1="",0,N(ISNUMBER(SEARCH($W$1,Database!$Z282&amp;""))))+IF($X$1="",0,N(ISNUMBER(SEARCH($X$1,Database!$Z282&amp;""))))+IF($Y$1="",0,N(ISNUMBER(SEARCH($Y$1,Database!$Z282&amp;""))))+IF(Screener!$B$17="",0,N(ISNUMBER(SEARCH(LOWER(Screener!$B$17),Database!$Z282&amp;""))))</f>
        <v/>
      </c>
      <c r="I282">
        <f>IF(OR(N(Database!$BF282)&lt;=0,N(Screener!$D$13)&lt;=0),0,MAX(0,1-ABS(LOG10(N(Database!$BF282)/Screener!$D$13))/W_PEHW))</f>
        <v/>
      </c>
      <c r="J282">
        <f>IF(OR(N(Database!$S282)&lt;=0,N(Screener!$D$14)&lt;=0),0,MAX(0,1-ABS(LOG10(Database!$S282/Screener!$D$14))/0.6))</f>
        <v/>
      </c>
      <c r="K282">
        <f>IF(Database!$B282=Screener!$B$5,-999999,IF(ISNUMBER(SEARCH(","&amp;Database!$A282&amp;",",","&amp;SUBSTITUTE(Screener!$D$17," ","")&amp;",")),2000000,IF(IF(OR(Screener!$B$18="All",AND(Screener!$B$18="With A-share",(Database!$BK282="Y")),AND(Screener!$B$18="Without A-share",NOT((Database!$BK282="Y")))),1,0)=0,-999999,IF(Screener!$B$16="cornerstone overlap first",H282*100000,IF(Screener!$B$16="demand-similar first",J282*100000,0))+W_SUB*B282+W_SEC*C282*(1-B282)+W_SIZE*D282+W_PROF*E282+W_AH*F282+W_REC*G282+W_CS*H282+W_PE*I282)))+ROW()/1000000</f>
        <v/>
      </c>
      <c r="AA282">
        <f>Database!B272</f>
        <v/>
      </c>
      <c r="AB282">
        <f>Database!D272</f>
        <v/>
      </c>
      <c r="AC282">
        <f>Database!E272</f>
        <v/>
      </c>
      <c r="AD282">
        <f>Database!I272</f>
        <v/>
      </c>
      <c r="AE282">
        <f>Database!BE272</f>
        <v/>
      </c>
      <c r="AF282">
        <f>Database!BK272</f>
        <v/>
      </c>
      <c r="AG282">
        <f>Database!H272</f>
        <v/>
      </c>
      <c r="AH282">
        <f>Database!BF272</f>
        <v/>
      </c>
    </row>
    <row r="283">
      <c r="A283">
        <f>Database!B283</f>
        <v/>
      </c>
      <c r="B283">
        <f>IF(AND(Screener!$D$8&lt;&gt;"",Database!$E283=Screener!$D$8),1,0)</f>
        <v/>
      </c>
      <c r="C283">
        <f>IF(AND(Screener!$D$7&lt;&gt;"",Database!$D283=Screener!$D$7),1,0)</f>
        <v/>
      </c>
      <c r="D283">
        <f>IF(OR(N(Database!$I283)&lt;=0,N(Screener!$D$9)&lt;=0),0,MAX(0,1-ABS(LOG10(N(Database!$I283)/Screener!$D$9))/W_SIZEHW))</f>
        <v/>
      </c>
      <c r="E283">
        <f>IF(OR(Database!$BE283="",Screener!$D$10=""),0,IF(Database!$BE283=Screener!$D$10,1,0))</f>
        <v/>
      </c>
      <c r="F283">
        <f>IF(OR(Database!$BK283="",Screener!$D$11=""),0,IF(Database!$BK283=Screener!$D$11,1,0))</f>
        <v/>
      </c>
      <c r="G283">
        <f>IF(OR(Database!$H283="",N(Screener!$D$12)&lt;=0),0,MAX(0,1-(N(Screener!$D$12)-Database!$H283)/W_RECD))</f>
        <v/>
      </c>
      <c r="H283">
        <f>IF($U$1="",0,N(ISNUMBER(SEARCH($U$1,Database!$Z283&amp;""))))+IF($V$1="",0,N(ISNUMBER(SEARCH($V$1,Database!$Z283&amp;""))))+IF($W$1="",0,N(ISNUMBER(SEARCH($W$1,Database!$Z283&amp;""))))+IF($X$1="",0,N(ISNUMBER(SEARCH($X$1,Database!$Z283&amp;""))))+IF($Y$1="",0,N(ISNUMBER(SEARCH($Y$1,Database!$Z283&amp;""))))+IF(Screener!$B$17="",0,N(ISNUMBER(SEARCH(LOWER(Screener!$B$17),Database!$Z283&amp;""))))</f>
        <v/>
      </c>
      <c r="I283">
        <f>IF(OR(N(Database!$BF283)&lt;=0,N(Screener!$D$13)&lt;=0),0,MAX(0,1-ABS(LOG10(N(Database!$BF283)/Screener!$D$13))/W_PEHW))</f>
        <v/>
      </c>
      <c r="J283">
        <f>IF(OR(N(Database!$S283)&lt;=0,N(Screener!$D$14)&lt;=0),0,MAX(0,1-ABS(LOG10(Database!$S283/Screener!$D$14))/0.6))</f>
        <v/>
      </c>
      <c r="K283">
        <f>IF(Database!$B283=Screener!$B$5,-999999,IF(ISNUMBER(SEARCH(","&amp;Database!$A283&amp;",",","&amp;SUBSTITUTE(Screener!$D$17," ","")&amp;",")),2000000,IF(IF(OR(Screener!$B$18="All",AND(Screener!$B$18="With A-share",(Database!$BK283="Y")),AND(Screener!$B$18="Without A-share",NOT((Database!$BK283="Y")))),1,0)=0,-999999,IF(Screener!$B$16="cornerstone overlap first",H283*100000,IF(Screener!$B$16="demand-similar first",J283*100000,0))+W_SUB*B283+W_SEC*C283*(1-B283)+W_SIZE*D283+W_PROF*E283+W_AH*F283+W_REC*G283+W_CS*H283+W_PE*I283)))+ROW()/1000000</f>
        <v/>
      </c>
      <c r="AA283">
        <f>Database!B273</f>
        <v/>
      </c>
      <c r="AB283">
        <f>Database!D273</f>
        <v/>
      </c>
      <c r="AC283">
        <f>Database!E273</f>
        <v/>
      </c>
      <c r="AD283">
        <f>Database!I273</f>
        <v/>
      </c>
      <c r="AE283">
        <f>Database!BE273</f>
        <v/>
      </c>
      <c r="AF283">
        <f>Database!BK273</f>
        <v/>
      </c>
      <c r="AG283">
        <f>Database!H273</f>
        <v/>
      </c>
      <c r="AH283">
        <f>Database!BF273</f>
        <v/>
      </c>
    </row>
    <row r="284">
      <c r="A284">
        <f>Database!B284</f>
        <v/>
      </c>
      <c r="B284">
        <f>IF(AND(Screener!$D$8&lt;&gt;"",Database!$E284=Screener!$D$8),1,0)</f>
        <v/>
      </c>
      <c r="C284">
        <f>IF(AND(Screener!$D$7&lt;&gt;"",Database!$D284=Screener!$D$7),1,0)</f>
        <v/>
      </c>
      <c r="D284">
        <f>IF(OR(N(Database!$I284)&lt;=0,N(Screener!$D$9)&lt;=0),0,MAX(0,1-ABS(LOG10(N(Database!$I284)/Screener!$D$9))/W_SIZEHW))</f>
        <v/>
      </c>
      <c r="E284">
        <f>IF(OR(Database!$BE284="",Screener!$D$10=""),0,IF(Database!$BE284=Screener!$D$10,1,0))</f>
        <v/>
      </c>
      <c r="F284">
        <f>IF(OR(Database!$BK284="",Screener!$D$11=""),0,IF(Database!$BK284=Screener!$D$11,1,0))</f>
        <v/>
      </c>
      <c r="G284">
        <f>IF(OR(Database!$H284="",N(Screener!$D$12)&lt;=0),0,MAX(0,1-(N(Screener!$D$12)-Database!$H284)/W_RECD))</f>
        <v/>
      </c>
      <c r="H284">
        <f>IF($U$1="",0,N(ISNUMBER(SEARCH($U$1,Database!$Z284&amp;""))))+IF($V$1="",0,N(ISNUMBER(SEARCH($V$1,Database!$Z284&amp;""))))+IF($W$1="",0,N(ISNUMBER(SEARCH($W$1,Database!$Z284&amp;""))))+IF($X$1="",0,N(ISNUMBER(SEARCH($X$1,Database!$Z284&amp;""))))+IF($Y$1="",0,N(ISNUMBER(SEARCH($Y$1,Database!$Z284&amp;""))))+IF(Screener!$B$17="",0,N(ISNUMBER(SEARCH(LOWER(Screener!$B$17),Database!$Z284&amp;""))))</f>
        <v/>
      </c>
      <c r="I284">
        <f>IF(OR(N(Database!$BF284)&lt;=0,N(Screener!$D$13)&lt;=0),0,MAX(0,1-ABS(LOG10(N(Database!$BF284)/Screener!$D$13))/W_PEHW))</f>
        <v/>
      </c>
      <c r="J284">
        <f>IF(OR(N(Database!$S284)&lt;=0,N(Screener!$D$14)&lt;=0),0,MAX(0,1-ABS(LOG10(Database!$S284/Screener!$D$14))/0.6))</f>
        <v/>
      </c>
      <c r="K284">
        <f>IF(Database!$B284=Screener!$B$5,-999999,IF(ISNUMBER(SEARCH(","&amp;Database!$A284&amp;",",","&amp;SUBSTITUTE(Screener!$D$17," ","")&amp;",")),2000000,IF(IF(OR(Screener!$B$18="All",AND(Screener!$B$18="With A-share",(Database!$BK284="Y")),AND(Screener!$B$18="Without A-share",NOT((Database!$BK284="Y")))),1,0)=0,-999999,IF(Screener!$B$16="cornerstone overlap first",H284*100000,IF(Screener!$B$16="demand-similar first",J284*100000,0))+W_SUB*B284+W_SEC*C284*(1-B284)+W_SIZE*D284+W_PROF*E284+W_AH*F284+W_REC*G284+W_CS*H284+W_PE*I284)))+ROW()/1000000</f>
        <v/>
      </c>
      <c r="AA284">
        <f>Database!B274</f>
        <v/>
      </c>
      <c r="AB284">
        <f>Database!D274</f>
        <v/>
      </c>
      <c r="AC284">
        <f>Database!E274</f>
        <v/>
      </c>
      <c r="AD284">
        <f>Database!I274</f>
        <v/>
      </c>
      <c r="AE284">
        <f>Database!BE274</f>
        <v/>
      </c>
      <c r="AF284">
        <f>Database!BK274</f>
        <v/>
      </c>
      <c r="AG284">
        <f>Database!H274</f>
        <v/>
      </c>
      <c r="AH284">
        <f>Database!BF274</f>
        <v/>
      </c>
    </row>
    <row r="285">
      <c r="A285">
        <f>Database!B285</f>
        <v/>
      </c>
      <c r="B285">
        <f>IF(AND(Screener!$D$8&lt;&gt;"",Database!$E285=Screener!$D$8),1,0)</f>
        <v/>
      </c>
      <c r="C285">
        <f>IF(AND(Screener!$D$7&lt;&gt;"",Database!$D285=Screener!$D$7),1,0)</f>
        <v/>
      </c>
      <c r="D285">
        <f>IF(OR(N(Database!$I285)&lt;=0,N(Screener!$D$9)&lt;=0),0,MAX(0,1-ABS(LOG10(N(Database!$I285)/Screener!$D$9))/W_SIZEHW))</f>
        <v/>
      </c>
      <c r="E285">
        <f>IF(OR(Database!$BE285="",Screener!$D$10=""),0,IF(Database!$BE285=Screener!$D$10,1,0))</f>
        <v/>
      </c>
      <c r="F285">
        <f>IF(OR(Database!$BK285="",Screener!$D$11=""),0,IF(Database!$BK285=Screener!$D$11,1,0))</f>
        <v/>
      </c>
      <c r="G285">
        <f>IF(OR(Database!$H285="",N(Screener!$D$12)&lt;=0),0,MAX(0,1-(N(Screener!$D$12)-Database!$H285)/W_RECD))</f>
        <v/>
      </c>
      <c r="H285">
        <f>IF($U$1="",0,N(ISNUMBER(SEARCH($U$1,Database!$Z285&amp;""))))+IF($V$1="",0,N(ISNUMBER(SEARCH($V$1,Database!$Z285&amp;""))))+IF($W$1="",0,N(ISNUMBER(SEARCH($W$1,Database!$Z285&amp;""))))+IF($X$1="",0,N(ISNUMBER(SEARCH($X$1,Database!$Z285&amp;""))))+IF($Y$1="",0,N(ISNUMBER(SEARCH($Y$1,Database!$Z285&amp;""))))+IF(Screener!$B$17="",0,N(ISNUMBER(SEARCH(LOWER(Screener!$B$17),Database!$Z285&amp;""))))</f>
        <v/>
      </c>
      <c r="I285">
        <f>IF(OR(N(Database!$BF285)&lt;=0,N(Screener!$D$13)&lt;=0),0,MAX(0,1-ABS(LOG10(N(Database!$BF285)/Screener!$D$13))/W_PEHW))</f>
        <v/>
      </c>
      <c r="J285">
        <f>IF(OR(N(Database!$S285)&lt;=0,N(Screener!$D$14)&lt;=0),0,MAX(0,1-ABS(LOG10(Database!$S285/Screener!$D$14))/0.6))</f>
        <v/>
      </c>
      <c r="K285">
        <f>IF(Database!$B285=Screener!$B$5,-999999,IF(ISNUMBER(SEARCH(","&amp;Database!$A285&amp;",",","&amp;SUBSTITUTE(Screener!$D$17," ","")&amp;",")),2000000,IF(IF(OR(Screener!$B$18="All",AND(Screener!$B$18="With A-share",(Database!$BK285="Y")),AND(Screener!$B$18="Without A-share",NOT((Database!$BK285="Y")))),1,0)=0,-999999,IF(Screener!$B$16="cornerstone overlap first",H285*100000,IF(Screener!$B$16="demand-similar first",J285*100000,0))+W_SUB*B285+W_SEC*C285*(1-B285)+W_SIZE*D285+W_PROF*E285+W_AH*F285+W_REC*G285+W_CS*H285+W_PE*I285)))+ROW()/1000000</f>
        <v/>
      </c>
      <c r="AA285">
        <f>Database!B275</f>
        <v/>
      </c>
      <c r="AB285">
        <f>Database!D275</f>
        <v/>
      </c>
      <c r="AC285">
        <f>Database!E275</f>
        <v/>
      </c>
      <c r="AD285">
        <f>Database!I275</f>
        <v/>
      </c>
      <c r="AE285">
        <f>Database!BE275</f>
        <v/>
      </c>
      <c r="AF285">
        <f>Database!BK275</f>
        <v/>
      </c>
      <c r="AG285">
        <f>Database!H275</f>
        <v/>
      </c>
      <c r="AH285">
        <f>Database!BF275</f>
        <v/>
      </c>
    </row>
    <row r="286">
      <c r="A286">
        <f>Database!B286</f>
        <v/>
      </c>
      <c r="B286">
        <f>IF(AND(Screener!$D$8&lt;&gt;"",Database!$E286=Screener!$D$8),1,0)</f>
        <v/>
      </c>
      <c r="C286">
        <f>IF(AND(Screener!$D$7&lt;&gt;"",Database!$D286=Screener!$D$7),1,0)</f>
        <v/>
      </c>
      <c r="D286">
        <f>IF(OR(N(Database!$I286)&lt;=0,N(Screener!$D$9)&lt;=0),0,MAX(0,1-ABS(LOG10(N(Database!$I286)/Screener!$D$9))/W_SIZEHW))</f>
        <v/>
      </c>
      <c r="E286">
        <f>IF(OR(Database!$BE286="",Screener!$D$10=""),0,IF(Database!$BE286=Screener!$D$10,1,0))</f>
        <v/>
      </c>
      <c r="F286">
        <f>IF(OR(Database!$BK286="",Screener!$D$11=""),0,IF(Database!$BK286=Screener!$D$11,1,0))</f>
        <v/>
      </c>
      <c r="G286">
        <f>IF(OR(Database!$H286="",N(Screener!$D$12)&lt;=0),0,MAX(0,1-(N(Screener!$D$12)-Database!$H286)/W_RECD))</f>
        <v/>
      </c>
      <c r="H286">
        <f>IF($U$1="",0,N(ISNUMBER(SEARCH($U$1,Database!$Z286&amp;""))))+IF($V$1="",0,N(ISNUMBER(SEARCH($V$1,Database!$Z286&amp;""))))+IF($W$1="",0,N(ISNUMBER(SEARCH($W$1,Database!$Z286&amp;""))))+IF($X$1="",0,N(ISNUMBER(SEARCH($X$1,Database!$Z286&amp;""))))+IF($Y$1="",0,N(ISNUMBER(SEARCH($Y$1,Database!$Z286&amp;""))))+IF(Screener!$B$17="",0,N(ISNUMBER(SEARCH(LOWER(Screener!$B$17),Database!$Z286&amp;""))))</f>
        <v/>
      </c>
      <c r="I286">
        <f>IF(OR(N(Database!$BF286)&lt;=0,N(Screener!$D$13)&lt;=0),0,MAX(0,1-ABS(LOG10(N(Database!$BF286)/Screener!$D$13))/W_PEHW))</f>
        <v/>
      </c>
      <c r="J286">
        <f>IF(OR(N(Database!$S286)&lt;=0,N(Screener!$D$14)&lt;=0),0,MAX(0,1-ABS(LOG10(Database!$S286/Screener!$D$14))/0.6))</f>
        <v/>
      </c>
      <c r="K286">
        <f>IF(Database!$B286=Screener!$B$5,-999999,IF(ISNUMBER(SEARCH(","&amp;Database!$A286&amp;",",","&amp;SUBSTITUTE(Screener!$D$17," ","")&amp;",")),2000000,IF(IF(OR(Screener!$B$18="All",AND(Screener!$B$18="With A-share",(Database!$BK286="Y")),AND(Screener!$B$18="Without A-share",NOT((Database!$BK286="Y")))),1,0)=0,-999999,IF(Screener!$B$16="cornerstone overlap first",H286*100000,IF(Screener!$B$16="demand-similar first",J286*100000,0))+W_SUB*B286+W_SEC*C286*(1-B286)+W_SIZE*D286+W_PROF*E286+W_AH*F286+W_REC*G286+W_CS*H286+W_PE*I286)))+ROW()/1000000</f>
        <v/>
      </c>
      <c r="AA286">
        <f>Database!B276</f>
        <v/>
      </c>
      <c r="AB286">
        <f>Database!D276</f>
        <v/>
      </c>
      <c r="AC286">
        <f>Database!E276</f>
        <v/>
      </c>
      <c r="AD286">
        <f>Database!I276</f>
        <v/>
      </c>
      <c r="AE286">
        <f>Database!BE276</f>
        <v/>
      </c>
      <c r="AF286">
        <f>Database!BK276</f>
        <v/>
      </c>
      <c r="AG286">
        <f>Database!H276</f>
        <v/>
      </c>
      <c r="AH286">
        <f>Database!BF276</f>
        <v/>
      </c>
    </row>
    <row r="287">
      <c r="A287">
        <f>Database!B287</f>
        <v/>
      </c>
      <c r="B287">
        <f>IF(AND(Screener!$D$8&lt;&gt;"",Database!$E287=Screener!$D$8),1,0)</f>
        <v/>
      </c>
      <c r="C287">
        <f>IF(AND(Screener!$D$7&lt;&gt;"",Database!$D287=Screener!$D$7),1,0)</f>
        <v/>
      </c>
      <c r="D287">
        <f>IF(OR(N(Database!$I287)&lt;=0,N(Screener!$D$9)&lt;=0),0,MAX(0,1-ABS(LOG10(N(Database!$I287)/Screener!$D$9))/W_SIZEHW))</f>
        <v/>
      </c>
      <c r="E287">
        <f>IF(OR(Database!$BE287="",Screener!$D$10=""),0,IF(Database!$BE287=Screener!$D$10,1,0))</f>
        <v/>
      </c>
      <c r="F287">
        <f>IF(OR(Database!$BK287="",Screener!$D$11=""),0,IF(Database!$BK287=Screener!$D$11,1,0))</f>
        <v/>
      </c>
      <c r="G287">
        <f>IF(OR(Database!$H287="",N(Screener!$D$12)&lt;=0),0,MAX(0,1-(N(Screener!$D$12)-Database!$H287)/W_RECD))</f>
        <v/>
      </c>
      <c r="H287">
        <f>IF($U$1="",0,N(ISNUMBER(SEARCH($U$1,Database!$Z287&amp;""))))+IF($V$1="",0,N(ISNUMBER(SEARCH($V$1,Database!$Z287&amp;""))))+IF($W$1="",0,N(ISNUMBER(SEARCH($W$1,Database!$Z287&amp;""))))+IF($X$1="",0,N(ISNUMBER(SEARCH($X$1,Database!$Z287&amp;""))))+IF($Y$1="",0,N(ISNUMBER(SEARCH($Y$1,Database!$Z287&amp;""))))+IF(Screener!$B$17="",0,N(ISNUMBER(SEARCH(LOWER(Screener!$B$17),Database!$Z287&amp;""))))</f>
        <v/>
      </c>
      <c r="I287">
        <f>IF(OR(N(Database!$BF287)&lt;=0,N(Screener!$D$13)&lt;=0),0,MAX(0,1-ABS(LOG10(N(Database!$BF287)/Screener!$D$13))/W_PEHW))</f>
        <v/>
      </c>
      <c r="J287">
        <f>IF(OR(N(Database!$S287)&lt;=0,N(Screener!$D$14)&lt;=0),0,MAX(0,1-ABS(LOG10(Database!$S287/Screener!$D$14))/0.6))</f>
        <v/>
      </c>
      <c r="K287">
        <f>IF(Database!$B287=Screener!$B$5,-999999,IF(ISNUMBER(SEARCH(","&amp;Database!$A287&amp;",",","&amp;SUBSTITUTE(Screener!$D$17," ","")&amp;",")),2000000,IF(IF(OR(Screener!$B$18="All",AND(Screener!$B$18="With A-share",(Database!$BK287="Y")),AND(Screener!$B$18="Without A-share",NOT((Database!$BK287="Y")))),1,0)=0,-999999,IF(Screener!$B$16="cornerstone overlap first",H287*100000,IF(Screener!$B$16="demand-similar first",J287*100000,0))+W_SUB*B287+W_SEC*C287*(1-B287)+W_SIZE*D287+W_PROF*E287+W_AH*F287+W_REC*G287+W_CS*H287+W_PE*I287)))+ROW()/1000000</f>
        <v/>
      </c>
      <c r="AA287">
        <f>Database!B277</f>
        <v/>
      </c>
      <c r="AB287">
        <f>Database!D277</f>
        <v/>
      </c>
      <c r="AC287">
        <f>Database!E277</f>
        <v/>
      </c>
      <c r="AD287">
        <f>Database!I277</f>
        <v/>
      </c>
      <c r="AE287">
        <f>Database!BE277</f>
        <v/>
      </c>
      <c r="AF287">
        <f>Database!BK277</f>
        <v/>
      </c>
      <c r="AG287">
        <f>Database!H277</f>
        <v/>
      </c>
      <c r="AH287">
        <f>Database!BF277</f>
        <v/>
      </c>
    </row>
    <row r="288">
      <c r="A288">
        <f>Database!B288</f>
        <v/>
      </c>
      <c r="B288">
        <f>IF(AND(Screener!$D$8&lt;&gt;"",Database!$E288=Screener!$D$8),1,0)</f>
        <v/>
      </c>
      <c r="C288">
        <f>IF(AND(Screener!$D$7&lt;&gt;"",Database!$D288=Screener!$D$7),1,0)</f>
        <v/>
      </c>
      <c r="D288">
        <f>IF(OR(N(Database!$I288)&lt;=0,N(Screener!$D$9)&lt;=0),0,MAX(0,1-ABS(LOG10(N(Database!$I288)/Screener!$D$9))/W_SIZEHW))</f>
        <v/>
      </c>
      <c r="E288">
        <f>IF(OR(Database!$BE288="",Screener!$D$10=""),0,IF(Database!$BE288=Screener!$D$10,1,0))</f>
        <v/>
      </c>
      <c r="F288">
        <f>IF(OR(Database!$BK288="",Screener!$D$11=""),0,IF(Database!$BK288=Screener!$D$11,1,0))</f>
        <v/>
      </c>
      <c r="G288">
        <f>IF(OR(Database!$H288="",N(Screener!$D$12)&lt;=0),0,MAX(0,1-(N(Screener!$D$12)-Database!$H288)/W_RECD))</f>
        <v/>
      </c>
      <c r="H288">
        <f>IF($U$1="",0,N(ISNUMBER(SEARCH($U$1,Database!$Z288&amp;""))))+IF($V$1="",0,N(ISNUMBER(SEARCH($V$1,Database!$Z288&amp;""))))+IF($W$1="",0,N(ISNUMBER(SEARCH($W$1,Database!$Z288&amp;""))))+IF($X$1="",0,N(ISNUMBER(SEARCH($X$1,Database!$Z288&amp;""))))+IF($Y$1="",0,N(ISNUMBER(SEARCH($Y$1,Database!$Z288&amp;""))))+IF(Screener!$B$17="",0,N(ISNUMBER(SEARCH(LOWER(Screener!$B$17),Database!$Z288&amp;""))))</f>
        <v/>
      </c>
      <c r="I288">
        <f>IF(OR(N(Database!$BF288)&lt;=0,N(Screener!$D$13)&lt;=0),0,MAX(0,1-ABS(LOG10(N(Database!$BF288)/Screener!$D$13))/W_PEHW))</f>
        <v/>
      </c>
      <c r="J288">
        <f>IF(OR(N(Database!$S288)&lt;=0,N(Screener!$D$14)&lt;=0),0,MAX(0,1-ABS(LOG10(Database!$S288/Screener!$D$14))/0.6))</f>
        <v/>
      </c>
      <c r="K288">
        <f>IF(Database!$B288=Screener!$B$5,-999999,IF(ISNUMBER(SEARCH(","&amp;Database!$A288&amp;",",","&amp;SUBSTITUTE(Screener!$D$17," ","")&amp;",")),2000000,IF(IF(OR(Screener!$B$18="All",AND(Screener!$B$18="With A-share",(Database!$BK288="Y")),AND(Screener!$B$18="Without A-share",NOT((Database!$BK288="Y")))),1,0)=0,-999999,IF(Screener!$B$16="cornerstone overlap first",H288*100000,IF(Screener!$B$16="demand-similar first",J288*100000,0))+W_SUB*B288+W_SEC*C288*(1-B288)+W_SIZE*D288+W_PROF*E288+W_AH*F288+W_REC*G288+W_CS*H288+W_PE*I288)))+ROW()/1000000</f>
        <v/>
      </c>
      <c r="AA288">
        <f>Database!B278</f>
        <v/>
      </c>
      <c r="AB288">
        <f>Database!D278</f>
        <v/>
      </c>
      <c r="AC288">
        <f>Database!E278</f>
        <v/>
      </c>
      <c r="AD288">
        <f>Database!I278</f>
        <v/>
      </c>
      <c r="AE288">
        <f>Database!BE278</f>
        <v/>
      </c>
      <c r="AF288">
        <f>Database!BK278</f>
        <v/>
      </c>
      <c r="AG288">
        <f>Database!H278</f>
        <v/>
      </c>
      <c r="AH288">
        <f>Database!BF278</f>
        <v/>
      </c>
    </row>
    <row r="289">
      <c r="A289">
        <f>Database!B289</f>
        <v/>
      </c>
      <c r="B289">
        <f>IF(AND(Screener!$D$8&lt;&gt;"",Database!$E289=Screener!$D$8),1,0)</f>
        <v/>
      </c>
      <c r="C289">
        <f>IF(AND(Screener!$D$7&lt;&gt;"",Database!$D289=Screener!$D$7),1,0)</f>
        <v/>
      </c>
      <c r="D289">
        <f>IF(OR(N(Database!$I289)&lt;=0,N(Screener!$D$9)&lt;=0),0,MAX(0,1-ABS(LOG10(N(Database!$I289)/Screener!$D$9))/W_SIZEHW))</f>
        <v/>
      </c>
      <c r="E289">
        <f>IF(OR(Database!$BE289="",Screener!$D$10=""),0,IF(Database!$BE289=Screener!$D$10,1,0))</f>
        <v/>
      </c>
      <c r="F289">
        <f>IF(OR(Database!$BK289="",Screener!$D$11=""),0,IF(Database!$BK289=Screener!$D$11,1,0))</f>
        <v/>
      </c>
      <c r="G289">
        <f>IF(OR(Database!$H289="",N(Screener!$D$12)&lt;=0),0,MAX(0,1-(N(Screener!$D$12)-Database!$H289)/W_RECD))</f>
        <v/>
      </c>
      <c r="H289">
        <f>IF($U$1="",0,N(ISNUMBER(SEARCH($U$1,Database!$Z289&amp;""))))+IF($V$1="",0,N(ISNUMBER(SEARCH($V$1,Database!$Z289&amp;""))))+IF($W$1="",0,N(ISNUMBER(SEARCH($W$1,Database!$Z289&amp;""))))+IF($X$1="",0,N(ISNUMBER(SEARCH($X$1,Database!$Z289&amp;""))))+IF($Y$1="",0,N(ISNUMBER(SEARCH($Y$1,Database!$Z289&amp;""))))+IF(Screener!$B$17="",0,N(ISNUMBER(SEARCH(LOWER(Screener!$B$17),Database!$Z289&amp;""))))</f>
        <v/>
      </c>
      <c r="I289">
        <f>IF(OR(N(Database!$BF289)&lt;=0,N(Screener!$D$13)&lt;=0),0,MAX(0,1-ABS(LOG10(N(Database!$BF289)/Screener!$D$13))/W_PEHW))</f>
        <v/>
      </c>
      <c r="J289">
        <f>IF(OR(N(Database!$S289)&lt;=0,N(Screener!$D$14)&lt;=0),0,MAX(0,1-ABS(LOG10(Database!$S289/Screener!$D$14))/0.6))</f>
        <v/>
      </c>
      <c r="K289">
        <f>IF(Database!$B289=Screener!$B$5,-999999,IF(ISNUMBER(SEARCH(","&amp;Database!$A289&amp;",",","&amp;SUBSTITUTE(Screener!$D$17," ","")&amp;",")),2000000,IF(IF(OR(Screener!$B$18="All",AND(Screener!$B$18="With A-share",(Database!$BK289="Y")),AND(Screener!$B$18="Without A-share",NOT((Database!$BK289="Y")))),1,0)=0,-999999,IF(Screener!$B$16="cornerstone overlap first",H289*100000,IF(Screener!$B$16="demand-similar first",J289*100000,0))+W_SUB*B289+W_SEC*C289*(1-B289)+W_SIZE*D289+W_PROF*E289+W_AH*F289+W_REC*G289+W_CS*H289+W_PE*I289)))+ROW()/1000000</f>
        <v/>
      </c>
      <c r="AA289">
        <f>Database!B279</f>
        <v/>
      </c>
      <c r="AB289">
        <f>Database!D279</f>
        <v/>
      </c>
      <c r="AC289">
        <f>Database!E279</f>
        <v/>
      </c>
      <c r="AD289">
        <f>Database!I279</f>
        <v/>
      </c>
      <c r="AE289">
        <f>Database!BE279</f>
        <v/>
      </c>
      <c r="AF289">
        <f>Database!BK279</f>
        <v/>
      </c>
      <c r="AG289">
        <f>Database!H279</f>
        <v/>
      </c>
      <c r="AH289">
        <f>Database!BF279</f>
        <v/>
      </c>
    </row>
    <row r="290">
      <c r="A290">
        <f>Database!B290</f>
        <v/>
      </c>
      <c r="B290">
        <f>IF(AND(Screener!$D$8&lt;&gt;"",Database!$E290=Screener!$D$8),1,0)</f>
        <v/>
      </c>
      <c r="C290">
        <f>IF(AND(Screener!$D$7&lt;&gt;"",Database!$D290=Screener!$D$7),1,0)</f>
        <v/>
      </c>
      <c r="D290">
        <f>IF(OR(N(Database!$I290)&lt;=0,N(Screener!$D$9)&lt;=0),0,MAX(0,1-ABS(LOG10(N(Database!$I290)/Screener!$D$9))/W_SIZEHW))</f>
        <v/>
      </c>
      <c r="E290">
        <f>IF(OR(Database!$BE290="",Screener!$D$10=""),0,IF(Database!$BE290=Screener!$D$10,1,0))</f>
        <v/>
      </c>
      <c r="F290">
        <f>IF(OR(Database!$BK290="",Screener!$D$11=""),0,IF(Database!$BK290=Screener!$D$11,1,0))</f>
        <v/>
      </c>
      <c r="G290">
        <f>IF(OR(Database!$H290="",N(Screener!$D$12)&lt;=0),0,MAX(0,1-(N(Screener!$D$12)-Database!$H290)/W_RECD))</f>
        <v/>
      </c>
      <c r="H290">
        <f>IF($U$1="",0,N(ISNUMBER(SEARCH($U$1,Database!$Z290&amp;""))))+IF($V$1="",0,N(ISNUMBER(SEARCH($V$1,Database!$Z290&amp;""))))+IF($W$1="",0,N(ISNUMBER(SEARCH($W$1,Database!$Z290&amp;""))))+IF($X$1="",0,N(ISNUMBER(SEARCH($X$1,Database!$Z290&amp;""))))+IF($Y$1="",0,N(ISNUMBER(SEARCH($Y$1,Database!$Z290&amp;""))))+IF(Screener!$B$17="",0,N(ISNUMBER(SEARCH(LOWER(Screener!$B$17),Database!$Z290&amp;""))))</f>
        <v/>
      </c>
      <c r="I290">
        <f>IF(OR(N(Database!$BF290)&lt;=0,N(Screener!$D$13)&lt;=0),0,MAX(0,1-ABS(LOG10(N(Database!$BF290)/Screener!$D$13))/W_PEHW))</f>
        <v/>
      </c>
      <c r="J290">
        <f>IF(OR(N(Database!$S290)&lt;=0,N(Screener!$D$14)&lt;=0),0,MAX(0,1-ABS(LOG10(Database!$S290/Screener!$D$14))/0.6))</f>
        <v/>
      </c>
      <c r="K290">
        <f>IF(Database!$B290=Screener!$B$5,-999999,IF(ISNUMBER(SEARCH(","&amp;Database!$A290&amp;",",","&amp;SUBSTITUTE(Screener!$D$17," ","")&amp;",")),2000000,IF(IF(OR(Screener!$B$18="All",AND(Screener!$B$18="With A-share",(Database!$BK290="Y")),AND(Screener!$B$18="Without A-share",NOT((Database!$BK290="Y")))),1,0)=0,-999999,IF(Screener!$B$16="cornerstone overlap first",H290*100000,IF(Screener!$B$16="demand-similar first",J290*100000,0))+W_SUB*B290+W_SEC*C290*(1-B290)+W_SIZE*D290+W_PROF*E290+W_AH*F290+W_REC*G290+W_CS*H290+W_PE*I290)))+ROW()/1000000</f>
        <v/>
      </c>
      <c r="AA290">
        <f>Database!B280</f>
        <v/>
      </c>
      <c r="AB290">
        <f>Database!D280</f>
        <v/>
      </c>
      <c r="AC290">
        <f>Database!E280</f>
        <v/>
      </c>
      <c r="AD290">
        <f>Database!I280</f>
        <v/>
      </c>
      <c r="AE290">
        <f>Database!BE280</f>
        <v/>
      </c>
      <c r="AF290">
        <f>Database!BK280</f>
        <v/>
      </c>
      <c r="AG290">
        <f>Database!H280</f>
        <v/>
      </c>
      <c r="AH290">
        <f>Database!BF280</f>
        <v/>
      </c>
    </row>
    <row r="291">
      <c r="A291">
        <f>Database!B291</f>
        <v/>
      </c>
      <c r="B291">
        <f>IF(AND(Screener!$D$8&lt;&gt;"",Database!$E291=Screener!$D$8),1,0)</f>
        <v/>
      </c>
      <c r="C291">
        <f>IF(AND(Screener!$D$7&lt;&gt;"",Database!$D291=Screener!$D$7),1,0)</f>
        <v/>
      </c>
      <c r="D291">
        <f>IF(OR(N(Database!$I291)&lt;=0,N(Screener!$D$9)&lt;=0),0,MAX(0,1-ABS(LOG10(N(Database!$I291)/Screener!$D$9))/W_SIZEHW))</f>
        <v/>
      </c>
      <c r="E291">
        <f>IF(OR(Database!$BE291="",Screener!$D$10=""),0,IF(Database!$BE291=Screener!$D$10,1,0))</f>
        <v/>
      </c>
      <c r="F291">
        <f>IF(OR(Database!$BK291="",Screener!$D$11=""),0,IF(Database!$BK291=Screener!$D$11,1,0))</f>
        <v/>
      </c>
      <c r="G291">
        <f>IF(OR(Database!$H291="",N(Screener!$D$12)&lt;=0),0,MAX(0,1-(N(Screener!$D$12)-Database!$H291)/W_RECD))</f>
        <v/>
      </c>
      <c r="H291">
        <f>IF($U$1="",0,N(ISNUMBER(SEARCH($U$1,Database!$Z291&amp;""))))+IF($V$1="",0,N(ISNUMBER(SEARCH($V$1,Database!$Z291&amp;""))))+IF($W$1="",0,N(ISNUMBER(SEARCH($W$1,Database!$Z291&amp;""))))+IF($X$1="",0,N(ISNUMBER(SEARCH($X$1,Database!$Z291&amp;""))))+IF($Y$1="",0,N(ISNUMBER(SEARCH($Y$1,Database!$Z291&amp;""))))+IF(Screener!$B$17="",0,N(ISNUMBER(SEARCH(LOWER(Screener!$B$17),Database!$Z291&amp;""))))</f>
        <v/>
      </c>
      <c r="I291">
        <f>IF(OR(N(Database!$BF291)&lt;=0,N(Screener!$D$13)&lt;=0),0,MAX(0,1-ABS(LOG10(N(Database!$BF291)/Screener!$D$13))/W_PEHW))</f>
        <v/>
      </c>
      <c r="J291">
        <f>IF(OR(N(Database!$S291)&lt;=0,N(Screener!$D$14)&lt;=0),0,MAX(0,1-ABS(LOG10(Database!$S291/Screener!$D$14))/0.6))</f>
        <v/>
      </c>
      <c r="K291">
        <f>IF(Database!$B291=Screener!$B$5,-999999,IF(ISNUMBER(SEARCH(","&amp;Database!$A291&amp;",",","&amp;SUBSTITUTE(Screener!$D$17," ","")&amp;",")),2000000,IF(IF(OR(Screener!$B$18="All",AND(Screener!$B$18="With A-share",(Database!$BK291="Y")),AND(Screener!$B$18="Without A-share",NOT((Database!$BK291="Y")))),1,0)=0,-999999,IF(Screener!$B$16="cornerstone overlap first",H291*100000,IF(Screener!$B$16="demand-similar first",J291*100000,0))+W_SUB*B291+W_SEC*C291*(1-B291)+W_SIZE*D291+W_PROF*E291+W_AH*F291+W_REC*G291+W_CS*H291+W_PE*I291)))+ROW()/1000000</f>
        <v/>
      </c>
      <c r="AA291">
        <f>Database!B281</f>
        <v/>
      </c>
      <c r="AB291">
        <f>Database!D281</f>
        <v/>
      </c>
      <c r="AC291">
        <f>Database!E281</f>
        <v/>
      </c>
      <c r="AD291">
        <f>Database!I281</f>
        <v/>
      </c>
      <c r="AE291">
        <f>Database!BE281</f>
        <v/>
      </c>
      <c r="AF291">
        <f>Database!BK281</f>
        <v/>
      </c>
      <c r="AG291">
        <f>Database!H281</f>
        <v/>
      </c>
      <c r="AH291">
        <f>Database!BF281</f>
        <v/>
      </c>
    </row>
    <row r="292">
      <c r="A292">
        <f>Database!B292</f>
        <v/>
      </c>
      <c r="B292">
        <f>IF(AND(Screener!$D$8&lt;&gt;"",Database!$E292=Screener!$D$8),1,0)</f>
        <v/>
      </c>
      <c r="C292">
        <f>IF(AND(Screener!$D$7&lt;&gt;"",Database!$D292=Screener!$D$7),1,0)</f>
        <v/>
      </c>
      <c r="D292">
        <f>IF(OR(N(Database!$I292)&lt;=0,N(Screener!$D$9)&lt;=0),0,MAX(0,1-ABS(LOG10(N(Database!$I292)/Screener!$D$9))/W_SIZEHW))</f>
        <v/>
      </c>
      <c r="E292">
        <f>IF(OR(Database!$BE292="",Screener!$D$10=""),0,IF(Database!$BE292=Screener!$D$10,1,0))</f>
        <v/>
      </c>
      <c r="F292">
        <f>IF(OR(Database!$BK292="",Screener!$D$11=""),0,IF(Database!$BK292=Screener!$D$11,1,0))</f>
        <v/>
      </c>
      <c r="G292">
        <f>IF(OR(Database!$H292="",N(Screener!$D$12)&lt;=0),0,MAX(0,1-(N(Screener!$D$12)-Database!$H292)/W_RECD))</f>
        <v/>
      </c>
      <c r="H292">
        <f>IF($U$1="",0,N(ISNUMBER(SEARCH($U$1,Database!$Z292&amp;""))))+IF($V$1="",0,N(ISNUMBER(SEARCH($V$1,Database!$Z292&amp;""))))+IF($W$1="",0,N(ISNUMBER(SEARCH($W$1,Database!$Z292&amp;""))))+IF($X$1="",0,N(ISNUMBER(SEARCH($X$1,Database!$Z292&amp;""))))+IF($Y$1="",0,N(ISNUMBER(SEARCH($Y$1,Database!$Z292&amp;""))))+IF(Screener!$B$17="",0,N(ISNUMBER(SEARCH(LOWER(Screener!$B$17),Database!$Z292&amp;""))))</f>
        <v/>
      </c>
      <c r="I292">
        <f>IF(OR(N(Database!$BF292)&lt;=0,N(Screener!$D$13)&lt;=0),0,MAX(0,1-ABS(LOG10(N(Database!$BF292)/Screener!$D$13))/W_PEHW))</f>
        <v/>
      </c>
      <c r="J292">
        <f>IF(OR(N(Database!$S292)&lt;=0,N(Screener!$D$14)&lt;=0),0,MAX(0,1-ABS(LOG10(Database!$S292/Screener!$D$14))/0.6))</f>
        <v/>
      </c>
      <c r="K292">
        <f>IF(Database!$B292=Screener!$B$5,-999999,IF(ISNUMBER(SEARCH(","&amp;Database!$A292&amp;",",","&amp;SUBSTITUTE(Screener!$D$17," ","")&amp;",")),2000000,IF(IF(OR(Screener!$B$18="All",AND(Screener!$B$18="With A-share",(Database!$BK292="Y")),AND(Screener!$B$18="Without A-share",NOT((Database!$BK292="Y")))),1,0)=0,-999999,IF(Screener!$B$16="cornerstone overlap first",H292*100000,IF(Screener!$B$16="demand-similar first",J292*100000,0))+W_SUB*B292+W_SEC*C292*(1-B292)+W_SIZE*D292+W_PROF*E292+W_AH*F292+W_REC*G292+W_CS*H292+W_PE*I292)))+ROW()/1000000</f>
        <v/>
      </c>
      <c r="AA292">
        <f>Database!B282</f>
        <v/>
      </c>
      <c r="AB292">
        <f>Database!D282</f>
        <v/>
      </c>
      <c r="AC292">
        <f>Database!E282</f>
        <v/>
      </c>
      <c r="AD292">
        <f>Database!I282</f>
        <v/>
      </c>
      <c r="AE292">
        <f>Database!BE282</f>
        <v/>
      </c>
      <c r="AF292">
        <f>Database!BK282</f>
        <v/>
      </c>
      <c r="AG292">
        <f>Database!H282</f>
        <v/>
      </c>
      <c r="AH292">
        <f>Database!BF282</f>
        <v/>
      </c>
    </row>
    <row r="293">
      <c r="A293">
        <f>Database!B293</f>
        <v/>
      </c>
      <c r="B293">
        <f>IF(AND(Screener!$D$8&lt;&gt;"",Database!$E293=Screener!$D$8),1,0)</f>
        <v/>
      </c>
      <c r="C293">
        <f>IF(AND(Screener!$D$7&lt;&gt;"",Database!$D293=Screener!$D$7),1,0)</f>
        <v/>
      </c>
      <c r="D293">
        <f>IF(OR(N(Database!$I293)&lt;=0,N(Screener!$D$9)&lt;=0),0,MAX(0,1-ABS(LOG10(N(Database!$I293)/Screener!$D$9))/W_SIZEHW))</f>
        <v/>
      </c>
      <c r="E293">
        <f>IF(OR(Database!$BE293="",Screener!$D$10=""),0,IF(Database!$BE293=Screener!$D$10,1,0))</f>
        <v/>
      </c>
      <c r="F293">
        <f>IF(OR(Database!$BK293="",Screener!$D$11=""),0,IF(Database!$BK293=Screener!$D$11,1,0))</f>
        <v/>
      </c>
      <c r="G293">
        <f>IF(OR(Database!$H293="",N(Screener!$D$12)&lt;=0),0,MAX(0,1-(N(Screener!$D$12)-Database!$H293)/W_RECD))</f>
        <v/>
      </c>
      <c r="H293">
        <f>IF($U$1="",0,N(ISNUMBER(SEARCH($U$1,Database!$Z293&amp;""))))+IF($V$1="",0,N(ISNUMBER(SEARCH($V$1,Database!$Z293&amp;""))))+IF($W$1="",0,N(ISNUMBER(SEARCH($W$1,Database!$Z293&amp;""))))+IF($X$1="",0,N(ISNUMBER(SEARCH($X$1,Database!$Z293&amp;""))))+IF($Y$1="",0,N(ISNUMBER(SEARCH($Y$1,Database!$Z293&amp;""))))+IF(Screener!$B$17="",0,N(ISNUMBER(SEARCH(LOWER(Screener!$B$17),Database!$Z293&amp;""))))</f>
        <v/>
      </c>
      <c r="I293">
        <f>IF(OR(N(Database!$BF293)&lt;=0,N(Screener!$D$13)&lt;=0),0,MAX(0,1-ABS(LOG10(N(Database!$BF293)/Screener!$D$13))/W_PEHW))</f>
        <v/>
      </c>
      <c r="J293">
        <f>IF(OR(N(Database!$S293)&lt;=0,N(Screener!$D$14)&lt;=0),0,MAX(0,1-ABS(LOG10(Database!$S293/Screener!$D$14))/0.6))</f>
        <v/>
      </c>
      <c r="K293">
        <f>IF(Database!$B293=Screener!$B$5,-999999,IF(ISNUMBER(SEARCH(","&amp;Database!$A293&amp;",",","&amp;SUBSTITUTE(Screener!$D$17," ","")&amp;",")),2000000,IF(IF(OR(Screener!$B$18="All",AND(Screener!$B$18="With A-share",(Database!$BK293="Y")),AND(Screener!$B$18="Without A-share",NOT((Database!$BK293="Y")))),1,0)=0,-999999,IF(Screener!$B$16="cornerstone overlap first",H293*100000,IF(Screener!$B$16="demand-similar first",J293*100000,0))+W_SUB*B293+W_SEC*C293*(1-B293)+W_SIZE*D293+W_PROF*E293+W_AH*F293+W_REC*G293+W_CS*H293+W_PE*I293)))+ROW()/1000000</f>
        <v/>
      </c>
      <c r="AA293">
        <f>Database!B283</f>
        <v/>
      </c>
      <c r="AB293">
        <f>Database!D283</f>
        <v/>
      </c>
      <c r="AC293">
        <f>Database!E283</f>
        <v/>
      </c>
      <c r="AD293">
        <f>Database!I283</f>
        <v/>
      </c>
      <c r="AE293">
        <f>Database!BE283</f>
        <v/>
      </c>
      <c r="AF293">
        <f>Database!BK283</f>
        <v/>
      </c>
      <c r="AG293">
        <f>Database!H283</f>
        <v/>
      </c>
      <c r="AH293">
        <f>Database!BF283</f>
        <v/>
      </c>
    </row>
    <row r="294">
      <c r="A294">
        <f>Database!B294</f>
        <v/>
      </c>
      <c r="B294">
        <f>IF(AND(Screener!$D$8&lt;&gt;"",Database!$E294=Screener!$D$8),1,0)</f>
        <v/>
      </c>
      <c r="C294">
        <f>IF(AND(Screener!$D$7&lt;&gt;"",Database!$D294=Screener!$D$7),1,0)</f>
        <v/>
      </c>
      <c r="D294">
        <f>IF(OR(N(Database!$I294)&lt;=0,N(Screener!$D$9)&lt;=0),0,MAX(0,1-ABS(LOG10(N(Database!$I294)/Screener!$D$9))/W_SIZEHW))</f>
        <v/>
      </c>
      <c r="E294">
        <f>IF(OR(Database!$BE294="",Screener!$D$10=""),0,IF(Database!$BE294=Screener!$D$10,1,0))</f>
        <v/>
      </c>
      <c r="F294">
        <f>IF(OR(Database!$BK294="",Screener!$D$11=""),0,IF(Database!$BK294=Screener!$D$11,1,0))</f>
        <v/>
      </c>
      <c r="G294">
        <f>IF(OR(Database!$H294="",N(Screener!$D$12)&lt;=0),0,MAX(0,1-(N(Screener!$D$12)-Database!$H294)/W_RECD))</f>
        <v/>
      </c>
      <c r="H294">
        <f>IF($U$1="",0,N(ISNUMBER(SEARCH($U$1,Database!$Z294&amp;""))))+IF($V$1="",0,N(ISNUMBER(SEARCH($V$1,Database!$Z294&amp;""))))+IF($W$1="",0,N(ISNUMBER(SEARCH($W$1,Database!$Z294&amp;""))))+IF($X$1="",0,N(ISNUMBER(SEARCH($X$1,Database!$Z294&amp;""))))+IF($Y$1="",0,N(ISNUMBER(SEARCH($Y$1,Database!$Z294&amp;""))))+IF(Screener!$B$17="",0,N(ISNUMBER(SEARCH(LOWER(Screener!$B$17),Database!$Z294&amp;""))))</f>
        <v/>
      </c>
      <c r="I294">
        <f>IF(OR(N(Database!$BF294)&lt;=0,N(Screener!$D$13)&lt;=0),0,MAX(0,1-ABS(LOG10(N(Database!$BF294)/Screener!$D$13))/W_PEHW))</f>
        <v/>
      </c>
      <c r="J294">
        <f>IF(OR(N(Database!$S294)&lt;=0,N(Screener!$D$14)&lt;=0),0,MAX(0,1-ABS(LOG10(Database!$S294/Screener!$D$14))/0.6))</f>
        <v/>
      </c>
      <c r="K294">
        <f>IF(Database!$B294=Screener!$B$5,-999999,IF(ISNUMBER(SEARCH(","&amp;Database!$A294&amp;",",","&amp;SUBSTITUTE(Screener!$D$17," ","")&amp;",")),2000000,IF(IF(OR(Screener!$B$18="All",AND(Screener!$B$18="With A-share",(Database!$BK294="Y")),AND(Screener!$B$18="Without A-share",NOT((Database!$BK294="Y")))),1,0)=0,-999999,IF(Screener!$B$16="cornerstone overlap first",H294*100000,IF(Screener!$B$16="demand-similar first",J294*100000,0))+W_SUB*B294+W_SEC*C294*(1-B294)+W_SIZE*D294+W_PROF*E294+W_AH*F294+W_REC*G294+W_CS*H294+W_PE*I294)))+ROW()/1000000</f>
        <v/>
      </c>
      <c r="AA294">
        <f>Database!B284</f>
        <v/>
      </c>
      <c r="AB294">
        <f>Database!D284</f>
        <v/>
      </c>
      <c r="AC294">
        <f>Database!E284</f>
        <v/>
      </c>
      <c r="AD294">
        <f>Database!I284</f>
        <v/>
      </c>
      <c r="AE294">
        <f>Database!BE284</f>
        <v/>
      </c>
      <c r="AF294">
        <f>Database!BK284</f>
        <v/>
      </c>
      <c r="AG294">
        <f>Database!H284</f>
        <v/>
      </c>
      <c r="AH294">
        <f>Database!BF284</f>
        <v/>
      </c>
    </row>
    <row r="295">
      <c r="A295">
        <f>Database!B295</f>
        <v/>
      </c>
      <c r="B295">
        <f>IF(AND(Screener!$D$8&lt;&gt;"",Database!$E295=Screener!$D$8),1,0)</f>
        <v/>
      </c>
      <c r="C295">
        <f>IF(AND(Screener!$D$7&lt;&gt;"",Database!$D295=Screener!$D$7),1,0)</f>
        <v/>
      </c>
      <c r="D295">
        <f>IF(OR(N(Database!$I295)&lt;=0,N(Screener!$D$9)&lt;=0),0,MAX(0,1-ABS(LOG10(N(Database!$I295)/Screener!$D$9))/W_SIZEHW))</f>
        <v/>
      </c>
      <c r="E295">
        <f>IF(OR(Database!$BE295="",Screener!$D$10=""),0,IF(Database!$BE295=Screener!$D$10,1,0))</f>
        <v/>
      </c>
      <c r="F295">
        <f>IF(OR(Database!$BK295="",Screener!$D$11=""),0,IF(Database!$BK295=Screener!$D$11,1,0))</f>
        <v/>
      </c>
      <c r="G295">
        <f>IF(OR(Database!$H295="",N(Screener!$D$12)&lt;=0),0,MAX(0,1-(N(Screener!$D$12)-Database!$H295)/W_RECD))</f>
        <v/>
      </c>
      <c r="H295">
        <f>IF($U$1="",0,N(ISNUMBER(SEARCH($U$1,Database!$Z295&amp;""))))+IF($V$1="",0,N(ISNUMBER(SEARCH($V$1,Database!$Z295&amp;""))))+IF($W$1="",0,N(ISNUMBER(SEARCH($W$1,Database!$Z295&amp;""))))+IF($X$1="",0,N(ISNUMBER(SEARCH($X$1,Database!$Z295&amp;""))))+IF($Y$1="",0,N(ISNUMBER(SEARCH($Y$1,Database!$Z295&amp;""))))+IF(Screener!$B$17="",0,N(ISNUMBER(SEARCH(LOWER(Screener!$B$17),Database!$Z295&amp;""))))</f>
        <v/>
      </c>
      <c r="I295">
        <f>IF(OR(N(Database!$BF295)&lt;=0,N(Screener!$D$13)&lt;=0),0,MAX(0,1-ABS(LOG10(N(Database!$BF295)/Screener!$D$13))/W_PEHW))</f>
        <v/>
      </c>
      <c r="J295">
        <f>IF(OR(N(Database!$S295)&lt;=0,N(Screener!$D$14)&lt;=0),0,MAX(0,1-ABS(LOG10(Database!$S295/Screener!$D$14))/0.6))</f>
        <v/>
      </c>
      <c r="K295">
        <f>IF(Database!$B295=Screener!$B$5,-999999,IF(ISNUMBER(SEARCH(","&amp;Database!$A295&amp;",",","&amp;SUBSTITUTE(Screener!$D$17," ","")&amp;",")),2000000,IF(IF(OR(Screener!$B$18="All",AND(Screener!$B$18="With A-share",(Database!$BK295="Y")),AND(Screener!$B$18="Without A-share",NOT((Database!$BK295="Y")))),1,0)=0,-999999,IF(Screener!$B$16="cornerstone overlap first",H295*100000,IF(Screener!$B$16="demand-similar first",J295*100000,0))+W_SUB*B295+W_SEC*C295*(1-B295)+W_SIZE*D295+W_PROF*E295+W_AH*F295+W_REC*G295+W_CS*H295+W_PE*I295)))+ROW()/1000000</f>
        <v/>
      </c>
      <c r="AA295">
        <f>Database!B285</f>
        <v/>
      </c>
      <c r="AB295">
        <f>Database!D285</f>
        <v/>
      </c>
      <c r="AC295">
        <f>Database!E285</f>
        <v/>
      </c>
      <c r="AD295">
        <f>Database!I285</f>
        <v/>
      </c>
      <c r="AE295">
        <f>Database!BE285</f>
        <v/>
      </c>
      <c r="AF295">
        <f>Database!BK285</f>
        <v/>
      </c>
      <c r="AG295">
        <f>Database!H285</f>
        <v/>
      </c>
      <c r="AH295">
        <f>Database!BF285</f>
        <v/>
      </c>
    </row>
    <row r="296">
      <c r="A296">
        <f>Database!B296</f>
        <v/>
      </c>
      <c r="B296">
        <f>IF(AND(Screener!$D$8&lt;&gt;"",Database!$E296=Screener!$D$8),1,0)</f>
        <v/>
      </c>
      <c r="C296">
        <f>IF(AND(Screener!$D$7&lt;&gt;"",Database!$D296=Screener!$D$7),1,0)</f>
        <v/>
      </c>
      <c r="D296">
        <f>IF(OR(N(Database!$I296)&lt;=0,N(Screener!$D$9)&lt;=0),0,MAX(0,1-ABS(LOG10(N(Database!$I296)/Screener!$D$9))/W_SIZEHW))</f>
        <v/>
      </c>
      <c r="E296">
        <f>IF(OR(Database!$BE296="",Screener!$D$10=""),0,IF(Database!$BE296=Screener!$D$10,1,0))</f>
        <v/>
      </c>
      <c r="F296">
        <f>IF(OR(Database!$BK296="",Screener!$D$11=""),0,IF(Database!$BK296=Screener!$D$11,1,0))</f>
        <v/>
      </c>
      <c r="G296">
        <f>IF(OR(Database!$H296="",N(Screener!$D$12)&lt;=0),0,MAX(0,1-(N(Screener!$D$12)-Database!$H296)/W_RECD))</f>
        <v/>
      </c>
      <c r="H296">
        <f>IF($U$1="",0,N(ISNUMBER(SEARCH($U$1,Database!$Z296&amp;""))))+IF($V$1="",0,N(ISNUMBER(SEARCH($V$1,Database!$Z296&amp;""))))+IF($W$1="",0,N(ISNUMBER(SEARCH($W$1,Database!$Z296&amp;""))))+IF($X$1="",0,N(ISNUMBER(SEARCH($X$1,Database!$Z296&amp;""))))+IF($Y$1="",0,N(ISNUMBER(SEARCH($Y$1,Database!$Z296&amp;""))))+IF(Screener!$B$17="",0,N(ISNUMBER(SEARCH(LOWER(Screener!$B$17),Database!$Z296&amp;""))))</f>
        <v/>
      </c>
      <c r="I296">
        <f>IF(OR(N(Database!$BF296)&lt;=0,N(Screener!$D$13)&lt;=0),0,MAX(0,1-ABS(LOG10(N(Database!$BF296)/Screener!$D$13))/W_PEHW))</f>
        <v/>
      </c>
      <c r="J296">
        <f>IF(OR(N(Database!$S296)&lt;=0,N(Screener!$D$14)&lt;=0),0,MAX(0,1-ABS(LOG10(Database!$S296/Screener!$D$14))/0.6))</f>
        <v/>
      </c>
      <c r="K296">
        <f>IF(Database!$B296=Screener!$B$5,-999999,IF(ISNUMBER(SEARCH(","&amp;Database!$A296&amp;",",","&amp;SUBSTITUTE(Screener!$D$17," ","")&amp;",")),2000000,IF(IF(OR(Screener!$B$18="All",AND(Screener!$B$18="With A-share",(Database!$BK296="Y")),AND(Screener!$B$18="Without A-share",NOT((Database!$BK296="Y")))),1,0)=0,-999999,IF(Screener!$B$16="cornerstone overlap first",H296*100000,IF(Screener!$B$16="demand-similar first",J296*100000,0))+W_SUB*B296+W_SEC*C296*(1-B296)+W_SIZE*D296+W_PROF*E296+W_AH*F296+W_REC*G296+W_CS*H296+W_PE*I296)))+ROW()/1000000</f>
        <v/>
      </c>
      <c r="AA296">
        <f>Database!B286</f>
        <v/>
      </c>
      <c r="AB296">
        <f>Database!D286</f>
        <v/>
      </c>
      <c r="AC296">
        <f>Database!E286</f>
        <v/>
      </c>
      <c r="AD296">
        <f>Database!I286</f>
        <v/>
      </c>
      <c r="AE296">
        <f>Database!BE286</f>
        <v/>
      </c>
      <c r="AF296">
        <f>Database!BK286</f>
        <v/>
      </c>
      <c r="AG296">
        <f>Database!H286</f>
        <v/>
      </c>
      <c r="AH296">
        <f>Database!BF286</f>
        <v/>
      </c>
    </row>
    <row r="297">
      <c r="A297">
        <f>Database!B297</f>
        <v/>
      </c>
      <c r="B297">
        <f>IF(AND(Screener!$D$8&lt;&gt;"",Database!$E297=Screener!$D$8),1,0)</f>
        <v/>
      </c>
      <c r="C297">
        <f>IF(AND(Screener!$D$7&lt;&gt;"",Database!$D297=Screener!$D$7),1,0)</f>
        <v/>
      </c>
      <c r="D297">
        <f>IF(OR(N(Database!$I297)&lt;=0,N(Screener!$D$9)&lt;=0),0,MAX(0,1-ABS(LOG10(N(Database!$I297)/Screener!$D$9))/W_SIZEHW))</f>
        <v/>
      </c>
      <c r="E297">
        <f>IF(OR(Database!$BE297="",Screener!$D$10=""),0,IF(Database!$BE297=Screener!$D$10,1,0))</f>
        <v/>
      </c>
      <c r="F297">
        <f>IF(OR(Database!$BK297="",Screener!$D$11=""),0,IF(Database!$BK297=Screener!$D$11,1,0))</f>
        <v/>
      </c>
      <c r="G297">
        <f>IF(OR(Database!$H297="",N(Screener!$D$12)&lt;=0),0,MAX(0,1-(N(Screener!$D$12)-Database!$H297)/W_RECD))</f>
        <v/>
      </c>
      <c r="H297">
        <f>IF($U$1="",0,N(ISNUMBER(SEARCH($U$1,Database!$Z297&amp;""))))+IF($V$1="",0,N(ISNUMBER(SEARCH($V$1,Database!$Z297&amp;""))))+IF($W$1="",0,N(ISNUMBER(SEARCH($W$1,Database!$Z297&amp;""))))+IF($X$1="",0,N(ISNUMBER(SEARCH($X$1,Database!$Z297&amp;""))))+IF($Y$1="",0,N(ISNUMBER(SEARCH($Y$1,Database!$Z297&amp;""))))+IF(Screener!$B$17="",0,N(ISNUMBER(SEARCH(LOWER(Screener!$B$17),Database!$Z297&amp;""))))</f>
        <v/>
      </c>
      <c r="I297">
        <f>IF(OR(N(Database!$BF297)&lt;=0,N(Screener!$D$13)&lt;=0),0,MAX(0,1-ABS(LOG10(N(Database!$BF297)/Screener!$D$13))/W_PEHW))</f>
        <v/>
      </c>
      <c r="J297">
        <f>IF(OR(N(Database!$S297)&lt;=0,N(Screener!$D$14)&lt;=0),0,MAX(0,1-ABS(LOG10(Database!$S297/Screener!$D$14))/0.6))</f>
        <v/>
      </c>
      <c r="K297">
        <f>IF(Database!$B297=Screener!$B$5,-999999,IF(ISNUMBER(SEARCH(","&amp;Database!$A297&amp;",",","&amp;SUBSTITUTE(Screener!$D$17," ","")&amp;",")),2000000,IF(IF(OR(Screener!$B$18="All",AND(Screener!$B$18="With A-share",(Database!$BK297="Y")),AND(Screener!$B$18="Without A-share",NOT((Database!$BK297="Y")))),1,0)=0,-999999,IF(Screener!$B$16="cornerstone overlap first",H297*100000,IF(Screener!$B$16="demand-similar first",J297*100000,0))+W_SUB*B297+W_SEC*C297*(1-B297)+W_SIZE*D297+W_PROF*E297+W_AH*F297+W_REC*G297+W_CS*H297+W_PE*I297)))+ROW()/1000000</f>
        <v/>
      </c>
      <c r="AA297">
        <f>Database!B287</f>
        <v/>
      </c>
      <c r="AB297">
        <f>Database!D287</f>
        <v/>
      </c>
      <c r="AC297">
        <f>Database!E287</f>
        <v/>
      </c>
      <c r="AD297">
        <f>Database!I287</f>
        <v/>
      </c>
      <c r="AE297">
        <f>Database!BE287</f>
        <v/>
      </c>
      <c r="AF297">
        <f>Database!BK287</f>
        <v/>
      </c>
      <c r="AG297">
        <f>Database!H287</f>
        <v/>
      </c>
      <c r="AH297">
        <f>Database!BF287</f>
        <v/>
      </c>
    </row>
    <row r="298">
      <c r="A298">
        <f>Database!B298</f>
        <v/>
      </c>
      <c r="B298">
        <f>IF(AND(Screener!$D$8&lt;&gt;"",Database!$E298=Screener!$D$8),1,0)</f>
        <v/>
      </c>
      <c r="C298">
        <f>IF(AND(Screener!$D$7&lt;&gt;"",Database!$D298=Screener!$D$7),1,0)</f>
        <v/>
      </c>
      <c r="D298">
        <f>IF(OR(N(Database!$I298)&lt;=0,N(Screener!$D$9)&lt;=0),0,MAX(0,1-ABS(LOG10(N(Database!$I298)/Screener!$D$9))/W_SIZEHW))</f>
        <v/>
      </c>
      <c r="E298">
        <f>IF(OR(Database!$BE298="",Screener!$D$10=""),0,IF(Database!$BE298=Screener!$D$10,1,0))</f>
        <v/>
      </c>
      <c r="F298">
        <f>IF(OR(Database!$BK298="",Screener!$D$11=""),0,IF(Database!$BK298=Screener!$D$11,1,0))</f>
        <v/>
      </c>
      <c r="G298">
        <f>IF(OR(Database!$H298="",N(Screener!$D$12)&lt;=0),0,MAX(0,1-(N(Screener!$D$12)-Database!$H298)/W_RECD))</f>
        <v/>
      </c>
      <c r="H298">
        <f>IF($U$1="",0,N(ISNUMBER(SEARCH($U$1,Database!$Z298&amp;""))))+IF($V$1="",0,N(ISNUMBER(SEARCH($V$1,Database!$Z298&amp;""))))+IF($W$1="",0,N(ISNUMBER(SEARCH($W$1,Database!$Z298&amp;""))))+IF($X$1="",0,N(ISNUMBER(SEARCH($X$1,Database!$Z298&amp;""))))+IF($Y$1="",0,N(ISNUMBER(SEARCH($Y$1,Database!$Z298&amp;""))))+IF(Screener!$B$17="",0,N(ISNUMBER(SEARCH(LOWER(Screener!$B$17),Database!$Z298&amp;""))))</f>
        <v/>
      </c>
      <c r="I298">
        <f>IF(OR(N(Database!$BF298)&lt;=0,N(Screener!$D$13)&lt;=0),0,MAX(0,1-ABS(LOG10(N(Database!$BF298)/Screener!$D$13))/W_PEHW))</f>
        <v/>
      </c>
      <c r="J298">
        <f>IF(OR(N(Database!$S298)&lt;=0,N(Screener!$D$14)&lt;=0),0,MAX(0,1-ABS(LOG10(Database!$S298/Screener!$D$14))/0.6))</f>
        <v/>
      </c>
      <c r="K298">
        <f>IF(Database!$B298=Screener!$B$5,-999999,IF(ISNUMBER(SEARCH(","&amp;Database!$A298&amp;",",","&amp;SUBSTITUTE(Screener!$D$17," ","")&amp;",")),2000000,IF(IF(OR(Screener!$B$18="All",AND(Screener!$B$18="With A-share",(Database!$BK298="Y")),AND(Screener!$B$18="Without A-share",NOT((Database!$BK298="Y")))),1,0)=0,-999999,IF(Screener!$B$16="cornerstone overlap first",H298*100000,IF(Screener!$B$16="demand-similar first",J298*100000,0))+W_SUB*B298+W_SEC*C298*(1-B298)+W_SIZE*D298+W_PROF*E298+W_AH*F298+W_REC*G298+W_CS*H298+W_PE*I298)))+ROW()/1000000</f>
        <v/>
      </c>
      <c r="AA298">
        <f>Database!B288</f>
        <v/>
      </c>
      <c r="AB298">
        <f>Database!D288</f>
        <v/>
      </c>
      <c r="AC298">
        <f>Database!E288</f>
        <v/>
      </c>
      <c r="AD298">
        <f>Database!I288</f>
        <v/>
      </c>
      <c r="AE298">
        <f>Database!BE288</f>
        <v/>
      </c>
      <c r="AF298">
        <f>Database!BK288</f>
        <v/>
      </c>
      <c r="AG298">
        <f>Database!H288</f>
        <v/>
      </c>
      <c r="AH298">
        <f>Database!BF288</f>
        <v/>
      </c>
    </row>
    <row r="299">
      <c r="A299">
        <f>Database!B299</f>
        <v/>
      </c>
      <c r="B299">
        <f>IF(AND(Screener!$D$8&lt;&gt;"",Database!$E299=Screener!$D$8),1,0)</f>
        <v/>
      </c>
      <c r="C299">
        <f>IF(AND(Screener!$D$7&lt;&gt;"",Database!$D299=Screener!$D$7),1,0)</f>
        <v/>
      </c>
      <c r="D299">
        <f>IF(OR(N(Database!$I299)&lt;=0,N(Screener!$D$9)&lt;=0),0,MAX(0,1-ABS(LOG10(N(Database!$I299)/Screener!$D$9))/W_SIZEHW))</f>
        <v/>
      </c>
      <c r="E299">
        <f>IF(OR(Database!$BE299="",Screener!$D$10=""),0,IF(Database!$BE299=Screener!$D$10,1,0))</f>
        <v/>
      </c>
      <c r="F299">
        <f>IF(OR(Database!$BK299="",Screener!$D$11=""),0,IF(Database!$BK299=Screener!$D$11,1,0))</f>
        <v/>
      </c>
      <c r="G299">
        <f>IF(OR(Database!$H299="",N(Screener!$D$12)&lt;=0),0,MAX(0,1-(N(Screener!$D$12)-Database!$H299)/W_RECD))</f>
        <v/>
      </c>
      <c r="H299">
        <f>IF($U$1="",0,N(ISNUMBER(SEARCH($U$1,Database!$Z299&amp;""))))+IF($V$1="",0,N(ISNUMBER(SEARCH($V$1,Database!$Z299&amp;""))))+IF($W$1="",0,N(ISNUMBER(SEARCH($W$1,Database!$Z299&amp;""))))+IF($X$1="",0,N(ISNUMBER(SEARCH($X$1,Database!$Z299&amp;""))))+IF($Y$1="",0,N(ISNUMBER(SEARCH($Y$1,Database!$Z299&amp;""))))+IF(Screener!$B$17="",0,N(ISNUMBER(SEARCH(LOWER(Screener!$B$17),Database!$Z299&amp;""))))</f>
        <v/>
      </c>
      <c r="I299">
        <f>IF(OR(N(Database!$BF299)&lt;=0,N(Screener!$D$13)&lt;=0),0,MAX(0,1-ABS(LOG10(N(Database!$BF299)/Screener!$D$13))/W_PEHW))</f>
        <v/>
      </c>
      <c r="J299">
        <f>IF(OR(N(Database!$S299)&lt;=0,N(Screener!$D$14)&lt;=0),0,MAX(0,1-ABS(LOG10(Database!$S299/Screener!$D$14))/0.6))</f>
        <v/>
      </c>
      <c r="K299">
        <f>IF(Database!$B299=Screener!$B$5,-999999,IF(ISNUMBER(SEARCH(","&amp;Database!$A299&amp;",",","&amp;SUBSTITUTE(Screener!$D$17," ","")&amp;",")),2000000,IF(IF(OR(Screener!$B$18="All",AND(Screener!$B$18="With A-share",(Database!$BK299="Y")),AND(Screener!$B$18="Without A-share",NOT((Database!$BK299="Y")))),1,0)=0,-999999,IF(Screener!$B$16="cornerstone overlap first",H299*100000,IF(Screener!$B$16="demand-similar first",J299*100000,0))+W_SUB*B299+W_SEC*C299*(1-B299)+W_SIZE*D299+W_PROF*E299+W_AH*F299+W_REC*G299+W_CS*H299+W_PE*I299)))+ROW()/1000000</f>
        <v/>
      </c>
      <c r="AA299">
        <f>Database!B289</f>
        <v/>
      </c>
      <c r="AB299">
        <f>Database!D289</f>
        <v/>
      </c>
      <c r="AC299">
        <f>Database!E289</f>
        <v/>
      </c>
      <c r="AD299">
        <f>Database!I289</f>
        <v/>
      </c>
      <c r="AE299">
        <f>Database!BE289</f>
        <v/>
      </c>
      <c r="AF299">
        <f>Database!BK289</f>
        <v/>
      </c>
      <c r="AG299">
        <f>Database!H289</f>
        <v/>
      </c>
      <c r="AH299">
        <f>Database!BF289</f>
        <v/>
      </c>
    </row>
    <row r="300">
      <c r="A300">
        <f>Database!B300</f>
        <v/>
      </c>
      <c r="B300">
        <f>IF(AND(Screener!$D$8&lt;&gt;"",Database!$E300=Screener!$D$8),1,0)</f>
        <v/>
      </c>
      <c r="C300">
        <f>IF(AND(Screener!$D$7&lt;&gt;"",Database!$D300=Screener!$D$7),1,0)</f>
        <v/>
      </c>
      <c r="D300">
        <f>IF(OR(N(Database!$I300)&lt;=0,N(Screener!$D$9)&lt;=0),0,MAX(0,1-ABS(LOG10(N(Database!$I300)/Screener!$D$9))/W_SIZEHW))</f>
        <v/>
      </c>
      <c r="E300">
        <f>IF(OR(Database!$BE300="",Screener!$D$10=""),0,IF(Database!$BE300=Screener!$D$10,1,0))</f>
        <v/>
      </c>
      <c r="F300">
        <f>IF(OR(Database!$BK300="",Screener!$D$11=""),0,IF(Database!$BK300=Screener!$D$11,1,0))</f>
        <v/>
      </c>
      <c r="G300">
        <f>IF(OR(Database!$H300="",N(Screener!$D$12)&lt;=0),0,MAX(0,1-(N(Screener!$D$12)-Database!$H300)/W_RECD))</f>
        <v/>
      </c>
      <c r="H300">
        <f>IF($U$1="",0,N(ISNUMBER(SEARCH($U$1,Database!$Z300&amp;""))))+IF($V$1="",0,N(ISNUMBER(SEARCH($V$1,Database!$Z300&amp;""))))+IF($W$1="",0,N(ISNUMBER(SEARCH($W$1,Database!$Z300&amp;""))))+IF($X$1="",0,N(ISNUMBER(SEARCH($X$1,Database!$Z300&amp;""))))+IF($Y$1="",0,N(ISNUMBER(SEARCH($Y$1,Database!$Z300&amp;""))))+IF(Screener!$B$17="",0,N(ISNUMBER(SEARCH(LOWER(Screener!$B$17),Database!$Z300&amp;""))))</f>
        <v/>
      </c>
      <c r="I300">
        <f>IF(OR(N(Database!$BF300)&lt;=0,N(Screener!$D$13)&lt;=0),0,MAX(0,1-ABS(LOG10(N(Database!$BF300)/Screener!$D$13))/W_PEHW))</f>
        <v/>
      </c>
      <c r="J300">
        <f>IF(OR(N(Database!$S300)&lt;=0,N(Screener!$D$14)&lt;=0),0,MAX(0,1-ABS(LOG10(Database!$S300/Screener!$D$14))/0.6))</f>
        <v/>
      </c>
      <c r="K300">
        <f>IF(Database!$B300=Screener!$B$5,-999999,IF(ISNUMBER(SEARCH(","&amp;Database!$A300&amp;",",","&amp;SUBSTITUTE(Screener!$D$17," ","")&amp;",")),2000000,IF(IF(OR(Screener!$B$18="All",AND(Screener!$B$18="With A-share",(Database!$BK300="Y")),AND(Screener!$B$18="Without A-share",NOT((Database!$BK300="Y")))),1,0)=0,-999999,IF(Screener!$B$16="cornerstone overlap first",H300*100000,IF(Screener!$B$16="demand-similar first",J300*100000,0))+W_SUB*B300+W_SEC*C300*(1-B300)+W_SIZE*D300+W_PROF*E300+W_AH*F300+W_REC*G300+W_CS*H300+W_PE*I300)))+ROW()/1000000</f>
        <v/>
      </c>
      <c r="AA300">
        <f>Database!B290</f>
        <v/>
      </c>
      <c r="AB300">
        <f>Database!D290</f>
        <v/>
      </c>
      <c r="AC300">
        <f>Database!E290</f>
        <v/>
      </c>
      <c r="AD300">
        <f>Database!I290</f>
        <v/>
      </c>
      <c r="AE300">
        <f>Database!BE290</f>
        <v/>
      </c>
      <c r="AF300">
        <f>Database!BK290</f>
        <v/>
      </c>
      <c r="AG300">
        <f>Database!H290</f>
        <v/>
      </c>
      <c r="AH300">
        <f>Database!BF290</f>
        <v/>
      </c>
    </row>
    <row r="301">
      <c r="A301">
        <f>Database!B301</f>
        <v/>
      </c>
      <c r="B301">
        <f>IF(AND(Screener!$D$8&lt;&gt;"",Database!$E301=Screener!$D$8),1,0)</f>
        <v/>
      </c>
      <c r="C301">
        <f>IF(AND(Screener!$D$7&lt;&gt;"",Database!$D301=Screener!$D$7),1,0)</f>
        <v/>
      </c>
      <c r="D301">
        <f>IF(OR(N(Database!$I301)&lt;=0,N(Screener!$D$9)&lt;=0),0,MAX(0,1-ABS(LOG10(N(Database!$I301)/Screener!$D$9))/W_SIZEHW))</f>
        <v/>
      </c>
      <c r="E301">
        <f>IF(OR(Database!$BE301="",Screener!$D$10=""),0,IF(Database!$BE301=Screener!$D$10,1,0))</f>
        <v/>
      </c>
      <c r="F301">
        <f>IF(OR(Database!$BK301="",Screener!$D$11=""),0,IF(Database!$BK301=Screener!$D$11,1,0))</f>
        <v/>
      </c>
      <c r="G301">
        <f>IF(OR(Database!$H301="",N(Screener!$D$12)&lt;=0),0,MAX(0,1-(N(Screener!$D$12)-Database!$H301)/W_RECD))</f>
        <v/>
      </c>
      <c r="H301">
        <f>IF($U$1="",0,N(ISNUMBER(SEARCH($U$1,Database!$Z301&amp;""))))+IF($V$1="",0,N(ISNUMBER(SEARCH($V$1,Database!$Z301&amp;""))))+IF($W$1="",0,N(ISNUMBER(SEARCH($W$1,Database!$Z301&amp;""))))+IF($X$1="",0,N(ISNUMBER(SEARCH($X$1,Database!$Z301&amp;""))))+IF($Y$1="",0,N(ISNUMBER(SEARCH($Y$1,Database!$Z301&amp;""))))+IF(Screener!$B$17="",0,N(ISNUMBER(SEARCH(LOWER(Screener!$B$17),Database!$Z301&amp;""))))</f>
        <v/>
      </c>
      <c r="I301">
        <f>IF(OR(N(Database!$BF301)&lt;=0,N(Screener!$D$13)&lt;=0),0,MAX(0,1-ABS(LOG10(N(Database!$BF301)/Screener!$D$13))/W_PEHW))</f>
        <v/>
      </c>
      <c r="J301">
        <f>IF(OR(N(Database!$S301)&lt;=0,N(Screener!$D$14)&lt;=0),0,MAX(0,1-ABS(LOG10(Database!$S301/Screener!$D$14))/0.6))</f>
        <v/>
      </c>
      <c r="K301">
        <f>IF(Database!$B301=Screener!$B$5,-999999,IF(ISNUMBER(SEARCH(","&amp;Database!$A301&amp;",",","&amp;SUBSTITUTE(Screener!$D$17," ","")&amp;",")),2000000,IF(IF(OR(Screener!$B$18="All",AND(Screener!$B$18="With A-share",(Database!$BK301="Y")),AND(Screener!$B$18="Without A-share",NOT((Database!$BK301="Y")))),1,0)=0,-999999,IF(Screener!$B$16="cornerstone overlap first",H301*100000,IF(Screener!$B$16="demand-similar first",J301*100000,0))+W_SUB*B301+W_SEC*C301*(1-B301)+W_SIZE*D301+W_PROF*E301+W_AH*F301+W_REC*G301+W_CS*H301+W_PE*I301)))+ROW()/1000000</f>
        <v/>
      </c>
      <c r="AA301">
        <f>Database!B291</f>
        <v/>
      </c>
      <c r="AB301">
        <f>Database!D291</f>
        <v/>
      </c>
      <c r="AC301">
        <f>Database!E291</f>
        <v/>
      </c>
      <c r="AD301">
        <f>Database!I291</f>
        <v/>
      </c>
      <c r="AE301">
        <f>Database!BE291</f>
        <v/>
      </c>
      <c r="AF301">
        <f>Database!BK291</f>
        <v/>
      </c>
      <c r="AG301">
        <f>Database!H291</f>
        <v/>
      </c>
      <c r="AH301">
        <f>Database!BF291</f>
        <v/>
      </c>
    </row>
    <row r="302">
      <c r="A302">
        <f>Database!B302</f>
        <v/>
      </c>
      <c r="B302">
        <f>IF(AND(Screener!$D$8&lt;&gt;"",Database!$E302=Screener!$D$8),1,0)</f>
        <v/>
      </c>
      <c r="C302">
        <f>IF(AND(Screener!$D$7&lt;&gt;"",Database!$D302=Screener!$D$7),1,0)</f>
        <v/>
      </c>
      <c r="D302">
        <f>IF(OR(N(Database!$I302)&lt;=0,N(Screener!$D$9)&lt;=0),0,MAX(0,1-ABS(LOG10(N(Database!$I302)/Screener!$D$9))/W_SIZEHW))</f>
        <v/>
      </c>
      <c r="E302">
        <f>IF(OR(Database!$BE302="",Screener!$D$10=""),0,IF(Database!$BE302=Screener!$D$10,1,0))</f>
        <v/>
      </c>
      <c r="F302">
        <f>IF(OR(Database!$BK302="",Screener!$D$11=""),0,IF(Database!$BK302=Screener!$D$11,1,0))</f>
        <v/>
      </c>
      <c r="G302">
        <f>IF(OR(Database!$H302="",N(Screener!$D$12)&lt;=0),0,MAX(0,1-(N(Screener!$D$12)-Database!$H302)/W_RECD))</f>
        <v/>
      </c>
      <c r="H302">
        <f>IF($U$1="",0,N(ISNUMBER(SEARCH($U$1,Database!$Z302&amp;""))))+IF($V$1="",0,N(ISNUMBER(SEARCH($V$1,Database!$Z302&amp;""))))+IF($W$1="",0,N(ISNUMBER(SEARCH($W$1,Database!$Z302&amp;""))))+IF($X$1="",0,N(ISNUMBER(SEARCH($X$1,Database!$Z302&amp;""))))+IF($Y$1="",0,N(ISNUMBER(SEARCH($Y$1,Database!$Z302&amp;""))))+IF(Screener!$B$17="",0,N(ISNUMBER(SEARCH(LOWER(Screener!$B$17),Database!$Z302&amp;""))))</f>
        <v/>
      </c>
      <c r="I302">
        <f>IF(OR(N(Database!$BF302)&lt;=0,N(Screener!$D$13)&lt;=0),0,MAX(0,1-ABS(LOG10(N(Database!$BF302)/Screener!$D$13))/W_PEHW))</f>
        <v/>
      </c>
      <c r="J302">
        <f>IF(OR(N(Database!$S302)&lt;=0,N(Screener!$D$14)&lt;=0),0,MAX(0,1-ABS(LOG10(Database!$S302/Screener!$D$14))/0.6))</f>
        <v/>
      </c>
      <c r="K302">
        <f>IF(Database!$B302=Screener!$B$5,-999999,IF(ISNUMBER(SEARCH(","&amp;Database!$A302&amp;",",","&amp;SUBSTITUTE(Screener!$D$17," ","")&amp;",")),2000000,IF(IF(OR(Screener!$B$18="All",AND(Screener!$B$18="With A-share",(Database!$BK302="Y")),AND(Screener!$B$18="Without A-share",NOT((Database!$BK302="Y")))),1,0)=0,-999999,IF(Screener!$B$16="cornerstone overlap first",H302*100000,IF(Screener!$B$16="demand-similar first",J302*100000,0))+W_SUB*B302+W_SEC*C302*(1-B302)+W_SIZE*D302+W_PROF*E302+W_AH*F302+W_REC*G302+W_CS*H302+W_PE*I302)))+ROW()/1000000</f>
        <v/>
      </c>
      <c r="AA302">
        <f>Database!B292</f>
        <v/>
      </c>
      <c r="AB302">
        <f>Database!D292</f>
        <v/>
      </c>
      <c r="AC302">
        <f>Database!E292</f>
        <v/>
      </c>
      <c r="AD302">
        <f>Database!I292</f>
        <v/>
      </c>
      <c r="AE302">
        <f>Database!BE292</f>
        <v/>
      </c>
      <c r="AF302">
        <f>Database!BK292</f>
        <v/>
      </c>
      <c r="AG302">
        <f>Database!H292</f>
        <v/>
      </c>
      <c r="AH302">
        <f>Database!BF292</f>
        <v/>
      </c>
    </row>
    <row r="303">
      <c r="A303">
        <f>Database!B303</f>
        <v/>
      </c>
      <c r="B303">
        <f>IF(AND(Screener!$D$8&lt;&gt;"",Database!$E303=Screener!$D$8),1,0)</f>
        <v/>
      </c>
      <c r="C303">
        <f>IF(AND(Screener!$D$7&lt;&gt;"",Database!$D303=Screener!$D$7),1,0)</f>
        <v/>
      </c>
      <c r="D303">
        <f>IF(OR(N(Database!$I303)&lt;=0,N(Screener!$D$9)&lt;=0),0,MAX(0,1-ABS(LOG10(N(Database!$I303)/Screener!$D$9))/W_SIZEHW))</f>
        <v/>
      </c>
      <c r="E303">
        <f>IF(OR(Database!$BE303="",Screener!$D$10=""),0,IF(Database!$BE303=Screener!$D$10,1,0))</f>
        <v/>
      </c>
      <c r="F303">
        <f>IF(OR(Database!$BK303="",Screener!$D$11=""),0,IF(Database!$BK303=Screener!$D$11,1,0))</f>
        <v/>
      </c>
      <c r="G303">
        <f>IF(OR(Database!$H303="",N(Screener!$D$12)&lt;=0),0,MAX(0,1-(N(Screener!$D$12)-Database!$H303)/W_RECD))</f>
        <v/>
      </c>
      <c r="H303">
        <f>IF($U$1="",0,N(ISNUMBER(SEARCH($U$1,Database!$Z303&amp;""))))+IF($V$1="",0,N(ISNUMBER(SEARCH($V$1,Database!$Z303&amp;""))))+IF($W$1="",0,N(ISNUMBER(SEARCH($W$1,Database!$Z303&amp;""))))+IF($X$1="",0,N(ISNUMBER(SEARCH($X$1,Database!$Z303&amp;""))))+IF($Y$1="",0,N(ISNUMBER(SEARCH($Y$1,Database!$Z303&amp;""))))+IF(Screener!$B$17="",0,N(ISNUMBER(SEARCH(LOWER(Screener!$B$17),Database!$Z303&amp;""))))</f>
        <v/>
      </c>
      <c r="I303">
        <f>IF(OR(N(Database!$BF303)&lt;=0,N(Screener!$D$13)&lt;=0),0,MAX(0,1-ABS(LOG10(N(Database!$BF303)/Screener!$D$13))/W_PEHW))</f>
        <v/>
      </c>
      <c r="J303">
        <f>IF(OR(N(Database!$S303)&lt;=0,N(Screener!$D$14)&lt;=0),0,MAX(0,1-ABS(LOG10(Database!$S303/Screener!$D$14))/0.6))</f>
        <v/>
      </c>
      <c r="K303">
        <f>IF(Database!$B303=Screener!$B$5,-999999,IF(ISNUMBER(SEARCH(","&amp;Database!$A303&amp;",",","&amp;SUBSTITUTE(Screener!$D$17," ","")&amp;",")),2000000,IF(IF(OR(Screener!$B$18="All",AND(Screener!$B$18="With A-share",(Database!$BK303="Y")),AND(Screener!$B$18="Without A-share",NOT((Database!$BK303="Y")))),1,0)=0,-999999,IF(Screener!$B$16="cornerstone overlap first",H303*100000,IF(Screener!$B$16="demand-similar first",J303*100000,0))+W_SUB*B303+W_SEC*C303*(1-B303)+W_SIZE*D303+W_PROF*E303+W_AH*F303+W_REC*G303+W_CS*H303+W_PE*I303)))+ROW()/1000000</f>
        <v/>
      </c>
      <c r="AA303">
        <f>Database!B293</f>
        <v/>
      </c>
      <c r="AB303">
        <f>Database!D293</f>
        <v/>
      </c>
      <c r="AC303">
        <f>Database!E293</f>
        <v/>
      </c>
      <c r="AD303">
        <f>Database!I293</f>
        <v/>
      </c>
      <c r="AE303">
        <f>Database!BE293</f>
        <v/>
      </c>
      <c r="AF303">
        <f>Database!BK293</f>
        <v/>
      </c>
      <c r="AG303">
        <f>Database!H293</f>
        <v/>
      </c>
      <c r="AH303">
        <f>Database!BF293</f>
        <v/>
      </c>
    </row>
    <row r="304">
      <c r="A304">
        <f>Database!B304</f>
        <v/>
      </c>
      <c r="B304">
        <f>IF(AND(Screener!$D$8&lt;&gt;"",Database!$E304=Screener!$D$8),1,0)</f>
        <v/>
      </c>
      <c r="C304">
        <f>IF(AND(Screener!$D$7&lt;&gt;"",Database!$D304=Screener!$D$7),1,0)</f>
        <v/>
      </c>
      <c r="D304">
        <f>IF(OR(N(Database!$I304)&lt;=0,N(Screener!$D$9)&lt;=0),0,MAX(0,1-ABS(LOG10(N(Database!$I304)/Screener!$D$9))/W_SIZEHW))</f>
        <v/>
      </c>
      <c r="E304">
        <f>IF(OR(Database!$BE304="",Screener!$D$10=""),0,IF(Database!$BE304=Screener!$D$10,1,0))</f>
        <v/>
      </c>
      <c r="F304">
        <f>IF(OR(Database!$BK304="",Screener!$D$11=""),0,IF(Database!$BK304=Screener!$D$11,1,0))</f>
        <v/>
      </c>
      <c r="G304">
        <f>IF(OR(Database!$H304="",N(Screener!$D$12)&lt;=0),0,MAX(0,1-(N(Screener!$D$12)-Database!$H304)/W_RECD))</f>
        <v/>
      </c>
      <c r="H304">
        <f>IF($U$1="",0,N(ISNUMBER(SEARCH($U$1,Database!$Z304&amp;""))))+IF($V$1="",0,N(ISNUMBER(SEARCH($V$1,Database!$Z304&amp;""))))+IF($W$1="",0,N(ISNUMBER(SEARCH($W$1,Database!$Z304&amp;""))))+IF($X$1="",0,N(ISNUMBER(SEARCH($X$1,Database!$Z304&amp;""))))+IF($Y$1="",0,N(ISNUMBER(SEARCH($Y$1,Database!$Z304&amp;""))))+IF(Screener!$B$17="",0,N(ISNUMBER(SEARCH(LOWER(Screener!$B$17),Database!$Z304&amp;""))))</f>
        <v/>
      </c>
      <c r="I304">
        <f>IF(OR(N(Database!$BF304)&lt;=0,N(Screener!$D$13)&lt;=0),0,MAX(0,1-ABS(LOG10(N(Database!$BF304)/Screener!$D$13))/W_PEHW))</f>
        <v/>
      </c>
      <c r="J304">
        <f>IF(OR(N(Database!$S304)&lt;=0,N(Screener!$D$14)&lt;=0),0,MAX(0,1-ABS(LOG10(Database!$S304/Screener!$D$14))/0.6))</f>
        <v/>
      </c>
      <c r="K304">
        <f>IF(Database!$B304=Screener!$B$5,-999999,IF(ISNUMBER(SEARCH(","&amp;Database!$A304&amp;",",","&amp;SUBSTITUTE(Screener!$D$17," ","")&amp;",")),2000000,IF(IF(OR(Screener!$B$18="All",AND(Screener!$B$18="With A-share",(Database!$BK304="Y")),AND(Screener!$B$18="Without A-share",NOT((Database!$BK304="Y")))),1,0)=0,-999999,IF(Screener!$B$16="cornerstone overlap first",H304*100000,IF(Screener!$B$16="demand-similar first",J304*100000,0))+W_SUB*B304+W_SEC*C304*(1-B304)+W_SIZE*D304+W_PROF*E304+W_AH*F304+W_REC*G304+W_CS*H304+W_PE*I304)))+ROW()/1000000</f>
        <v/>
      </c>
      <c r="AA304">
        <f>Database!B294</f>
        <v/>
      </c>
      <c r="AB304">
        <f>Database!D294</f>
        <v/>
      </c>
      <c r="AC304">
        <f>Database!E294</f>
        <v/>
      </c>
      <c r="AD304">
        <f>Database!I294</f>
        <v/>
      </c>
      <c r="AE304">
        <f>Database!BE294</f>
        <v/>
      </c>
      <c r="AF304">
        <f>Database!BK294</f>
        <v/>
      </c>
      <c r="AG304">
        <f>Database!H294</f>
        <v/>
      </c>
      <c r="AH304">
        <f>Database!BF294</f>
        <v/>
      </c>
    </row>
    <row r="305">
      <c r="A305">
        <f>Database!B305</f>
        <v/>
      </c>
      <c r="B305">
        <f>IF(AND(Screener!$D$8&lt;&gt;"",Database!$E305=Screener!$D$8),1,0)</f>
        <v/>
      </c>
      <c r="C305">
        <f>IF(AND(Screener!$D$7&lt;&gt;"",Database!$D305=Screener!$D$7),1,0)</f>
        <v/>
      </c>
      <c r="D305">
        <f>IF(OR(N(Database!$I305)&lt;=0,N(Screener!$D$9)&lt;=0),0,MAX(0,1-ABS(LOG10(N(Database!$I305)/Screener!$D$9))/W_SIZEHW))</f>
        <v/>
      </c>
      <c r="E305">
        <f>IF(OR(Database!$BE305="",Screener!$D$10=""),0,IF(Database!$BE305=Screener!$D$10,1,0))</f>
        <v/>
      </c>
      <c r="F305">
        <f>IF(OR(Database!$BK305="",Screener!$D$11=""),0,IF(Database!$BK305=Screener!$D$11,1,0))</f>
        <v/>
      </c>
      <c r="G305">
        <f>IF(OR(Database!$H305="",N(Screener!$D$12)&lt;=0),0,MAX(0,1-(N(Screener!$D$12)-Database!$H305)/W_RECD))</f>
        <v/>
      </c>
      <c r="H305">
        <f>IF($U$1="",0,N(ISNUMBER(SEARCH($U$1,Database!$Z305&amp;""))))+IF($V$1="",0,N(ISNUMBER(SEARCH($V$1,Database!$Z305&amp;""))))+IF($W$1="",0,N(ISNUMBER(SEARCH($W$1,Database!$Z305&amp;""))))+IF($X$1="",0,N(ISNUMBER(SEARCH($X$1,Database!$Z305&amp;""))))+IF($Y$1="",0,N(ISNUMBER(SEARCH($Y$1,Database!$Z305&amp;""))))+IF(Screener!$B$17="",0,N(ISNUMBER(SEARCH(LOWER(Screener!$B$17),Database!$Z305&amp;""))))</f>
        <v/>
      </c>
      <c r="I305">
        <f>IF(OR(N(Database!$BF305)&lt;=0,N(Screener!$D$13)&lt;=0),0,MAX(0,1-ABS(LOG10(N(Database!$BF305)/Screener!$D$13))/W_PEHW))</f>
        <v/>
      </c>
      <c r="J305">
        <f>IF(OR(N(Database!$S305)&lt;=0,N(Screener!$D$14)&lt;=0),0,MAX(0,1-ABS(LOG10(Database!$S305/Screener!$D$14))/0.6))</f>
        <v/>
      </c>
      <c r="K305">
        <f>IF(Database!$B305=Screener!$B$5,-999999,IF(ISNUMBER(SEARCH(","&amp;Database!$A305&amp;",",","&amp;SUBSTITUTE(Screener!$D$17," ","")&amp;",")),2000000,IF(IF(OR(Screener!$B$18="All",AND(Screener!$B$18="With A-share",(Database!$BK305="Y")),AND(Screener!$B$18="Without A-share",NOT((Database!$BK305="Y")))),1,0)=0,-999999,IF(Screener!$B$16="cornerstone overlap first",H305*100000,IF(Screener!$B$16="demand-similar first",J305*100000,0))+W_SUB*B305+W_SEC*C305*(1-B305)+W_SIZE*D305+W_PROF*E305+W_AH*F305+W_REC*G305+W_CS*H305+W_PE*I305)))+ROW()/1000000</f>
        <v/>
      </c>
      <c r="AA305">
        <f>Database!B295</f>
        <v/>
      </c>
      <c r="AB305">
        <f>Database!D295</f>
        <v/>
      </c>
      <c r="AC305">
        <f>Database!E295</f>
        <v/>
      </c>
      <c r="AD305">
        <f>Database!I295</f>
        <v/>
      </c>
      <c r="AE305">
        <f>Database!BE295</f>
        <v/>
      </c>
      <c r="AF305">
        <f>Database!BK295</f>
        <v/>
      </c>
      <c r="AG305">
        <f>Database!H295</f>
        <v/>
      </c>
      <c r="AH305">
        <f>Database!BF295</f>
        <v/>
      </c>
    </row>
    <row r="306">
      <c r="A306">
        <f>Database!B306</f>
        <v/>
      </c>
      <c r="B306">
        <f>IF(AND(Screener!$D$8&lt;&gt;"",Database!$E306=Screener!$D$8),1,0)</f>
        <v/>
      </c>
      <c r="C306">
        <f>IF(AND(Screener!$D$7&lt;&gt;"",Database!$D306=Screener!$D$7),1,0)</f>
        <v/>
      </c>
      <c r="D306">
        <f>IF(OR(N(Database!$I306)&lt;=0,N(Screener!$D$9)&lt;=0),0,MAX(0,1-ABS(LOG10(N(Database!$I306)/Screener!$D$9))/W_SIZEHW))</f>
        <v/>
      </c>
      <c r="E306">
        <f>IF(OR(Database!$BE306="",Screener!$D$10=""),0,IF(Database!$BE306=Screener!$D$10,1,0))</f>
        <v/>
      </c>
      <c r="F306">
        <f>IF(OR(Database!$BK306="",Screener!$D$11=""),0,IF(Database!$BK306=Screener!$D$11,1,0))</f>
        <v/>
      </c>
      <c r="G306">
        <f>IF(OR(Database!$H306="",N(Screener!$D$12)&lt;=0),0,MAX(0,1-(N(Screener!$D$12)-Database!$H306)/W_RECD))</f>
        <v/>
      </c>
      <c r="H306">
        <f>IF($U$1="",0,N(ISNUMBER(SEARCH($U$1,Database!$Z306&amp;""))))+IF($V$1="",0,N(ISNUMBER(SEARCH($V$1,Database!$Z306&amp;""))))+IF($W$1="",0,N(ISNUMBER(SEARCH($W$1,Database!$Z306&amp;""))))+IF($X$1="",0,N(ISNUMBER(SEARCH($X$1,Database!$Z306&amp;""))))+IF($Y$1="",0,N(ISNUMBER(SEARCH($Y$1,Database!$Z306&amp;""))))+IF(Screener!$B$17="",0,N(ISNUMBER(SEARCH(LOWER(Screener!$B$17),Database!$Z306&amp;""))))</f>
        <v/>
      </c>
      <c r="I306">
        <f>IF(OR(N(Database!$BF306)&lt;=0,N(Screener!$D$13)&lt;=0),0,MAX(0,1-ABS(LOG10(N(Database!$BF306)/Screener!$D$13))/W_PEHW))</f>
        <v/>
      </c>
      <c r="J306">
        <f>IF(OR(N(Database!$S306)&lt;=0,N(Screener!$D$14)&lt;=0),0,MAX(0,1-ABS(LOG10(Database!$S306/Screener!$D$14))/0.6))</f>
        <v/>
      </c>
      <c r="K306">
        <f>IF(Database!$B306=Screener!$B$5,-999999,IF(ISNUMBER(SEARCH(","&amp;Database!$A306&amp;",",","&amp;SUBSTITUTE(Screener!$D$17," ","")&amp;",")),2000000,IF(IF(OR(Screener!$B$18="All",AND(Screener!$B$18="With A-share",(Database!$BK306="Y")),AND(Screener!$B$18="Without A-share",NOT((Database!$BK306="Y")))),1,0)=0,-999999,IF(Screener!$B$16="cornerstone overlap first",H306*100000,IF(Screener!$B$16="demand-similar first",J306*100000,0))+W_SUB*B306+W_SEC*C306*(1-B306)+W_SIZE*D306+W_PROF*E306+W_AH*F306+W_REC*G306+W_CS*H306+W_PE*I306)))+ROW()/1000000</f>
        <v/>
      </c>
      <c r="AA306">
        <f>Database!B296</f>
        <v/>
      </c>
      <c r="AB306">
        <f>Database!D296</f>
        <v/>
      </c>
      <c r="AC306">
        <f>Database!E296</f>
        <v/>
      </c>
      <c r="AD306">
        <f>Database!I296</f>
        <v/>
      </c>
      <c r="AE306">
        <f>Database!BE296</f>
        <v/>
      </c>
      <c r="AF306">
        <f>Database!BK296</f>
        <v/>
      </c>
      <c r="AG306">
        <f>Database!H296</f>
        <v/>
      </c>
      <c r="AH306">
        <f>Database!BF296</f>
        <v/>
      </c>
    </row>
    <row r="307">
      <c r="A307">
        <f>Database!B307</f>
        <v/>
      </c>
      <c r="B307">
        <f>IF(AND(Screener!$D$8&lt;&gt;"",Database!$E307=Screener!$D$8),1,0)</f>
        <v/>
      </c>
      <c r="C307">
        <f>IF(AND(Screener!$D$7&lt;&gt;"",Database!$D307=Screener!$D$7),1,0)</f>
        <v/>
      </c>
      <c r="D307">
        <f>IF(OR(N(Database!$I307)&lt;=0,N(Screener!$D$9)&lt;=0),0,MAX(0,1-ABS(LOG10(N(Database!$I307)/Screener!$D$9))/W_SIZEHW))</f>
        <v/>
      </c>
      <c r="E307">
        <f>IF(OR(Database!$BE307="",Screener!$D$10=""),0,IF(Database!$BE307=Screener!$D$10,1,0))</f>
        <v/>
      </c>
      <c r="F307">
        <f>IF(OR(Database!$BK307="",Screener!$D$11=""),0,IF(Database!$BK307=Screener!$D$11,1,0))</f>
        <v/>
      </c>
      <c r="G307">
        <f>IF(OR(Database!$H307="",N(Screener!$D$12)&lt;=0),0,MAX(0,1-(N(Screener!$D$12)-Database!$H307)/W_RECD))</f>
        <v/>
      </c>
      <c r="H307">
        <f>IF($U$1="",0,N(ISNUMBER(SEARCH($U$1,Database!$Z307&amp;""))))+IF($V$1="",0,N(ISNUMBER(SEARCH($V$1,Database!$Z307&amp;""))))+IF($W$1="",0,N(ISNUMBER(SEARCH($W$1,Database!$Z307&amp;""))))+IF($X$1="",0,N(ISNUMBER(SEARCH($X$1,Database!$Z307&amp;""))))+IF($Y$1="",0,N(ISNUMBER(SEARCH($Y$1,Database!$Z307&amp;""))))+IF(Screener!$B$17="",0,N(ISNUMBER(SEARCH(LOWER(Screener!$B$17),Database!$Z307&amp;""))))</f>
        <v/>
      </c>
      <c r="I307">
        <f>IF(OR(N(Database!$BF307)&lt;=0,N(Screener!$D$13)&lt;=0),0,MAX(0,1-ABS(LOG10(N(Database!$BF307)/Screener!$D$13))/W_PEHW))</f>
        <v/>
      </c>
      <c r="J307">
        <f>IF(OR(N(Database!$S307)&lt;=0,N(Screener!$D$14)&lt;=0),0,MAX(0,1-ABS(LOG10(Database!$S307/Screener!$D$14))/0.6))</f>
        <v/>
      </c>
      <c r="K307">
        <f>IF(Database!$B307=Screener!$B$5,-999999,IF(ISNUMBER(SEARCH(","&amp;Database!$A307&amp;",",","&amp;SUBSTITUTE(Screener!$D$17," ","")&amp;",")),2000000,IF(IF(OR(Screener!$B$18="All",AND(Screener!$B$18="With A-share",(Database!$BK307="Y")),AND(Screener!$B$18="Without A-share",NOT((Database!$BK307="Y")))),1,0)=0,-999999,IF(Screener!$B$16="cornerstone overlap first",H307*100000,IF(Screener!$B$16="demand-similar first",J307*100000,0))+W_SUB*B307+W_SEC*C307*(1-B307)+W_SIZE*D307+W_PROF*E307+W_AH*F307+W_REC*G307+W_CS*H307+W_PE*I307)))+ROW()/1000000</f>
        <v/>
      </c>
      <c r="AA307">
        <f>Database!B297</f>
        <v/>
      </c>
      <c r="AB307">
        <f>Database!D297</f>
        <v/>
      </c>
      <c r="AC307">
        <f>Database!E297</f>
        <v/>
      </c>
      <c r="AD307">
        <f>Database!I297</f>
        <v/>
      </c>
      <c r="AE307">
        <f>Database!BE297</f>
        <v/>
      </c>
      <c r="AF307">
        <f>Database!BK297</f>
        <v/>
      </c>
      <c r="AG307">
        <f>Database!H297</f>
        <v/>
      </c>
      <c r="AH307">
        <f>Database!BF297</f>
        <v/>
      </c>
    </row>
    <row r="308">
      <c r="A308">
        <f>Database!B308</f>
        <v/>
      </c>
      <c r="B308">
        <f>IF(AND(Screener!$D$8&lt;&gt;"",Database!$E308=Screener!$D$8),1,0)</f>
        <v/>
      </c>
      <c r="C308">
        <f>IF(AND(Screener!$D$7&lt;&gt;"",Database!$D308=Screener!$D$7),1,0)</f>
        <v/>
      </c>
      <c r="D308">
        <f>IF(OR(N(Database!$I308)&lt;=0,N(Screener!$D$9)&lt;=0),0,MAX(0,1-ABS(LOG10(N(Database!$I308)/Screener!$D$9))/W_SIZEHW))</f>
        <v/>
      </c>
      <c r="E308">
        <f>IF(OR(Database!$BE308="",Screener!$D$10=""),0,IF(Database!$BE308=Screener!$D$10,1,0))</f>
        <v/>
      </c>
      <c r="F308">
        <f>IF(OR(Database!$BK308="",Screener!$D$11=""),0,IF(Database!$BK308=Screener!$D$11,1,0))</f>
        <v/>
      </c>
      <c r="G308">
        <f>IF(OR(Database!$H308="",N(Screener!$D$12)&lt;=0),0,MAX(0,1-(N(Screener!$D$12)-Database!$H308)/W_RECD))</f>
        <v/>
      </c>
      <c r="H308">
        <f>IF($U$1="",0,N(ISNUMBER(SEARCH($U$1,Database!$Z308&amp;""))))+IF($V$1="",0,N(ISNUMBER(SEARCH($V$1,Database!$Z308&amp;""))))+IF($W$1="",0,N(ISNUMBER(SEARCH($W$1,Database!$Z308&amp;""))))+IF($X$1="",0,N(ISNUMBER(SEARCH($X$1,Database!$Z308&amp;""))))+IF($Y$1="",0,N(ISNUMBER(SEARCH($Y$1,Database!$Z308&amp;""))))+IF(Screener!$B$17="",0,N(ISNUMBER(SEARCH(LOWER(Screener!$B$17),Database!$Z308&amp;""))))</f>
        <v/>
      </c>
      <c r="I308">
        <f>IF(OR(N(Database!$BF308)&lt;=0,N(Screener!$D$13)&lt;=0),0,MAX(0,1-ABS(LOG10(N(Database!$BF308)/Screener!$D$13))/W_PEHW))</f>
        <v/>
      </c>
      <c r="J308">
        <f>IF(OR(N(Database!$S308)&lt;=0,N(Screener!$D$14)&lt;=0),0,MAX(0,1-ABS(LOG10(Database!$S308/Screener!$D$14))/0.6))</f>
        <v/>
      </c>
      <c r="K308">
        <f>IF(Database!$B308=Screener!$B$5,-999999,IF(ISNUMBER(SEARCH(","&amp;Database!$A308&amp;",",","&amp;SUBSTITUTE(Screener!$D$17," ","")&amp;",")),2000000,IF(IF(OR(Screener!$B$18="All",AND(Screener!$B$18="With A-share",(Database!$BK308="Y")),AND(Screener!$B$18="Without A-share",NOT((Database!$BK308="Y")))),1,0)=0,-999999,IF(Screener!$B$16="cornerstone overlap first",H308*100000,IF(Screener!$B$16="demand-similar first",J308*100000,0))+W_SUB*B308+W_SEC*C308*(1-B308)+W_SIZE*D308+W_PROF*E308+W_AH*F308+W_REC*G308+W_CS*H308+W_PE*I308)))+ROW()/1000000</f>
        <v/>
      </c>
      <c r="AA308">
        <f>Database!B298</f>
        <v/>
      </c>
      <c r="AB308">
        <f>Database!D298</f>
        <v/>
      </c>
      <c r="AC308">
        <f>Database!E298</f>
        <v/>
      </c>
      <c r="AD308">
        <f>Database!I298</f>
        <v/>
      </c>
      <c r="AE308">
        <f>Database!BE298</f>
        <v/>
      </c>
      <c r="AF308">
        <f>Database!BK298</f>
        <v/>
      </c>
      <c r="AG308">
        <f>Database!H298</f>
        <v/>
      </c>
      <c r="AH308">
        <f>Database!BF298</f>
        <v/>
      </c>
    </row>
    <row r="309">
      <c r="A309">
        <f>Database!B309</f>
        <v/>
      </c>
      <c r="B309">
        <f>IF(AND(Screener!$D$8&lt;&gt;"",Database!$E309=Screener!$D$8),1,0)</f>
        <v/>
      </c>
      <c r="C309">
        <f>IF(AND(Screener!$D$7&lt;&gt;"",Database!$D309=Screener!$D$7),1,0)</f>
        <v/>
      </c>
      <c r="D309">
        <f>IF(OR(N(Database!$I309)&lt;=0,N(Screener!$D$9)&lt;=0),0,MAX(0,1-ABS(LOG10(N(Database!$I309)/Screener!$D$9))/W_SIZEHW))</f>
        <v/>
      </c>
      <c r="E309">
        <f>IF(OR(Database!$BE309="",Screener!$D$10=""),0,IF(Database!$BE309=Screener!$D$10,1,0))</f>
        <v/>
      </c>
      <c r="F309">
        <f>IF(OR(Database!$BK309="",Screener!$D$11=""),0,IF(Database!$BK309=Screener!$D$11,1,0))</f>
        <v/>
      </c>
      <c r="G309">
        <f>IF(OR(Database!$H309="",N(Screener!$D$12)&lt;=0),0,MAX(0,1-(N(Screener!$D$12)-Database!$H309)/W_RECD))</f>
        <v/>
      </c>
      <c r="H309">
        <f>IF($U$1="",0,N(ISNUMBER(SEARCH($U$1,Database!$Z309&amp;""))))+IF($V$1="",0,N(ISNUMBER(SEARCH($V$1,Database!$Z309&amp;""))))+IF($W$1="",0,N(ISNUMBER(SEARCH($W$1,Database!$Z309&amp;""))))+IF($X$1="",0,N(ISNUMBER(SEARCH($X$1,Database!$Z309&amp;""))))+IF($Y$1="",0,N(ISNUMBER(SEARCH($Y$1,Database!$Z309&amp;""))))+IF(Screener!$B$17="",0,N(ISNUMBER(SEARCH(LOWER(Screener!$B$17),Database!$Z309&amp;""))))</f>
        <v/>
      </c>
      <c r="I309">
        <f>IF(OR(N(Database!$BF309)&lt;=0,N(Screener!$D$13)&lt;=0),0,MAX(0,1-ABS(LOG10(N(Database!$BF309)/Screener!$D$13))/W_PEHW))</f>
        <v/>
      </c>
      <c r="J309">
        <f>IF(OR(N(Database!$S309)&lt;=0,N(Screener!$D$14)&lt;=0),0,MAX(0,1-ABS(LOG10(Database!$S309/Screener!$D$14))/0.6))</f>
        <v/>
      </c>
      <c r="K309">
        <f>IF(Database!$B309=Screener!$B$5,-999999,IF(ISNUMBER(SEARCH(","&amp;Database!$A309&amp;",",","&amp;SUBSTITUTE(Screener!$D$17," ","")&amp;",")),2000000,IF(IF(OR(Screener!$B$18="All",AND(Screener!$B$18="With A-share",(Database!$BK309="Y")),AND(Screener!$B$18="Without A-share",NOT((Database!$BK309="Y")))),1,0)=0,-999999,IF(Screener!$B$16="cornerstone overlap first",H309*100000,IF(Screener!$B$16="demand-similar first",J309*100000,0))+W_SUB*B309+W_SEC*C309*(1-B309)+W_SIZE*D309+W_PROF*E309+W_AH*F309+W_REC*G309+W_CS*H309+W_PE*I309)))+ROW()/1000000</f>
        <v/>
      </c>
      <c r="AA309">
        <f>Database!B299</f>
        <v/>
      </c>
      <c r="AB309">
        <f>Database!D299</f>
        <v/>
      </c>
      <c r="AC309">
        <f>Database!E299</f>
        <v/>
      </c>
      <c r="AD309">
        <f>Database!I299</f>
        <v/>
      </c>
      <c r="AE309">
        <f>Database!BE299</f>
        <v/>
      </c>
      <c r="AF309">
        <f>Database!BK299</f>
        <v/>
      </c>
      <c r="AG309">
        <f>Database!H299</f>
        <v/>
      </c>
      <c r="AH309">
        <f>Database!BF299</f>
        <v/>
      </c>
    </row>
    <row r="310">
      <c r="A310">
        <f>Database!B310</f>
        <v/>
      </c>
      <c r="B310">
        <f>IF(AND(Screener!$D$8&lt;&gt;"",Database!$E310=Screener!$D$8),1,0)</f>
        <v/>
      </c>
      <c r="C310">
        <f>IF(AND(Screener!$D$7&lt;&gt;"",Database!$D310=Screener!$D$7),1,0)</f>
        <v/>
      </c>
      <c r="D310">
        <f>IF(OR(N(Database!$I310)&lt;=0,N(Screener!$D$9)&lt;=0),0,MAX(0,1-ABS(LOG10(N(Database!$I310)/Screener!$D$9))/W_SIZEHW))</f>
        <v/>
      </c>
      <c r="E310">
        <f>IF(OR(Database!$BE310="",Screener!$D$10=""),0,IF(Database!$BE310=Screener!$D$10,1,0))</f>
        <v/>
      </c>
      <c r="F310">
        <f>IF(OR(Database!$BK310="",Screener!$D$11=""),0,IF(Database!$BK310=Screener!$D$11,1,0))</f>
        <v/>
      </c>
      <c r="G310">
        <f>IF(OR(Database!$H310="",N(Screener!$D$12)&lt;=0),0,MAX(0,1-(N(Screener!$D$12)-Database!$H310)/W_RECD))</f>
        <v/>
      </c>
      <c r="H310">
        <f>IF($U$1="",0,N(ISNUMBER(SEARCH($U$1,Database!$Z310&amp;""))))+IF($V$1="",0,N(ISNUMBER(SEARCH($V$1,Database!$Z310&amp;""))))+IF($W$1="",0,N(ISNUMBER(SEARCH($W$1,Database!$Z310&amp;""))))+IF($X$1="",0,N(ISNUMBER(SEARCH($X$1,Database!$Z310&amp;""))))+IF($Y$1="",0,N(ISNUMBER(SEARCH($Y$1,Database!$Z310&amp;""))))+IF(Screener!$B$17="",0,N(ISNUMBER(SEARCH(LOWER(Screener!$B$17),Database!$Z310&amp;""))))</f>
        <v/>
      </c>
      <c r="I310">
        <f>IF(OR(N(Database!$BF310)&lt;=0,N(Screener!$D$13)&lt;=0),0,MAX(0,1-ABS(LOG10(N(Database!$BF310)/Screener!$D$13))/W_PEHW))</f>
        <v/>
      </c>
      <c r="J310">
        <f>IF(OR(N(Database!$S310)&lt;=0,N(Screener!$D$14)&lt;=0),0,MAX(0,1-ABS(LOG10(Database!$S310/Screener!$D$14))/0.6))</f>
        <v/>
      </c>
      <c r="K310">
        <f>IF(Database!$B310=Screener!$B$5,-999999,IF(ISNUMBER(SEARCH(","&amp;Database!$A310&amp;",",","&amp;SUBSTITUTE(Screener!$D$17," ","")&amp;",")),2000000,IF(IF(OR(Screener!$B$18="All",AND(Screener!$B$18="With A-share",(Database!$BK310="Y")),AND(Screener!$B$18="Without A-share",NOT((Database!$BK310="Y")))),1,0)=0,-999999,IF(Screener!$B$16="cornerstone overlap first",H310*100000,IF(Screener!$B$16="demand-similar first",J310*100000,0))+W_SUB*B310+W_SEC*C310*(1-B310)+W_SIZE*D310+W_PROF*E310+W_AH*F310+W_REC*G310+W_CS*H310+W_PE*I310)))+ROW()/1000000</f>
        <v/>
      </c>
      <c r="AA310">
        <f>Database!B300</f>
        <v/>
      </c>
      <c r="AB310">
        <f>Database!D300</f>
        <v/>
      </c>
      <c r="AC310">
        <f>Database!E300</f>
        <v/>
      </c>
      <c r="AD310">
        <f>Database!I300</f>
        <v/>
      </c>
      <c r="AE310">
        <f>Database!BE300</f>
        <v/>
      </c>
      <c r="AF310">
        <f>Database!BK300</f>
        <v/>
      </c>
      <c r="AG310">
        <f>Database!H300</f>
        <v/>
      </c>
      <c r="AH310">
        <f>Database!BF300</f>
        <v/>
      </c>
    </row>
    <row r="311">
      <c r="A311">
        <f>Database!B311</f>
        <v/>
      </c>
      <c r="B311">
        <f>IF(AND(Screener!$D$8&lt;&gt;"",Database!$E311=Screener!$D$8),1,0)</f>
        <v/>
      </c>
      <c r="C311">
        <f>IF(AND(Screener!$D$7&lt;&gt;"",Database!$D311=Screener!$D$7),1,0)</f>
        <v/>
      </c>
      <c r="D311">
        <f>IF(OR(N(Database!$I311)&lt;=0,N(Screener!$D$9)&lt;=0),0,MAX(0,1-ABS(LOG10(N(Database!$I311)/Screener!$D$9))/W_SIZEHW))</f>
        <v/>
      </c>
      <c r="E311">
        <f>IF(OR(Database!$BE311="",Screener!$D$10=""),0,IF(Database!$BE311=Screener!$D$10,1,0))</f>
        <v/>
      </c>
      <c r="F311">
        <f>IF(OR(Database!$BK311="",Screener!$D$11=""),0,IF(Database!$BK311=Screener!$D$11,1,0))</f>
        <v/>
      </c>
      <c r="G311">
        <f>IF(OR(Database!$H311="",N(Screener!$D$12)&lt;=0),0,MAX(0,1-(N(Screener!$D$12)-Database!$H311)/W_RECD))</f>
        <v/>
      </c>
      <c r="H311">
        <f>IF($U$1="",0,N(ISNUMBER(SEARCH($U$1,Database!$Z311&amp;""))))+IF($V$1="",0,N(ISNUMBER(SEARCH($V$1,Database!$Z311&amp;""))))+IF($W$1="",0,N(ISNUMBER(SEARCH($W$1,Database!$Z311&amp;""))))+IF($X$1="",0,N(ISNUMBER(SEARCH($X$1,Database!$Z311&amp;""))))+IF($Y$1="",0,N(ISNUMBER(SEARCH($Y$1,Database!$Z311&amp;""))))+IF(Screener!$B$17="",0,N(ISNUMBER(SEARCH(LOWER(Screener!$B$17),Database!$Z311&amp;""))))</f>
        <v/>
      </c>
      <c r="I311">
        <f>IF(OR(N(Database!$BF311)&lt;=0,N(Screener!$D$13)&lt;=0),0,MAX(0,1-ABS(LOG10(N(Database!$BF311)/Screener!$D$13))/W_PEHW))</f>
        <v/>
      </c>
      <c r="J311">
        <f>IF(OR(N(Database!$S311)&lt;=0,N(Screener!$D$14)&lt;=0),0,MAX(0,1-ABS(LOG10(Database!$S311/Screener!$D$14))/0.6))</f>
        <v/>
      </c>
      <c r="K311">
        <f>IF(Database!$B311=Screener!$B$5,-999999,IF(ISNUMBER(SEARCH(","&amp;Database!$A311&amp;",",","&amp;SUBSTITUTE(Screener!$D$17," ","")&amp;",")),2000000,IF(IF(OR(Screener!$B$18="All",AND(Screener!$B$18="With A-share",(Database!$BK311="Y")),AND(Screener!$B$18="Without A-share",NOT((Database!$BK311="Y")))),1,0)=0,-999999,IF(Screener!$B$16="cornerstone overlap first",H311*100000,IF(Screener!$B$16="demand-similar first",J311*100000,0))+W_SUB*B311+W_SEC*C311*(1-B311)+W_SIZE*D311+W_PROF*E311+W_AH*F311+W_REC*G311+W_CS*H311+W_PE*I311)))+ROW()/1000000</f>
        <v/>
      </c>
      <c r="AA311">
        <f>Database!B301</f>
        <v/>
      </c>
      <c r="AB311">
        <f>Database!D301</f>
        <v/>
      </c>
      <c r="AC311">
        <f>Database!E301</f>
        <v/>
      </c>
      <c r="AD311">
        <f>Database!I301</f>
        <v/>
      </c>
      <c r="AE311">
        <f>Database!BE301</f>
        <v/>
      </c>
      <c r="AF311">
        <f>Database!BK301</f>
        <v/>
      </c>
      <c r="AG311">
        <f>Database!H301</f>
        <v/>
      </c>
      <c r="AH311">
        <f>Database!BF301</f>
        <v/>
      </c>
    </row>
    <row r="312">
      <c r="A312">
        <f>Database!B312</f>
        <v/>
      </c>
      <c r="B312">
        <f>IF(AND(Screener!$D$8&lt;&gt;"",Database!$E312=Screener!$D$8),1,0)</f>
        <v/>
      </c>
      <c r="C312">
        <f>IF(AND(Screener!$D$7&lt;&gt;"",Database!$D312=Screener!$D$7),1,0)</f>
        <v/>
      </c>
      <c r="D312">
        <f>IF(OR(N(Database!$I312)&lt;=0,N(Screener!$D$9)&lt;=0),0,MAX(0,1-ABS(LOG10(N(Database!$I312)/Screener!$D$9))/W_SIZEHW))</f>
        <v/>
      </c>
      <c r="E312">
        <f>IF(OR(Database!$BE312="",Screener!$D$10=""),0,IF(Database!$BE312=Screener!$D$10,1,0))</f>
        <v/>
      </c>
      <c r="F312">
        <f>IF(OR(Database!$BK312="",Screener!$D$11=""),0,IF(Database!$BK312=Screener!$D$11,1,0))</f>
        <v/>
      </c>
      <c r="G312">
        <f>IF(OR(Database!$H312="",N(Screener!$D$12)&lt;=0),0,MAX(0,1-(N(Screener!$D$12)-Database!$H312)/W_RECD))</f>
        <v/>
      </c>
      <c r="H312">
        <f>IF($U$1="",0,N(ISNUMBER(SEARCH($U$1,Database!$Z312&amp;""))))+IF($V$1="",0,N(ISNUMBER(SEARCH($V$1,Database!$Z312&amp;""))))+IF($W$1="",0,N(ISNUMBER(SEARCH($W$1,Database!$Z312&amp;""))))+IF($X$1="",0,N(ISNUMBER(SEARCH($X$1,Database!$Z312&amp;""))))+IF($Y$1="",0,N(ISNUMBER(SEARCH($Y$1,Database!$Z312&amp;""))))+IF(Screener!$B$17="",0,N(ISNUMBER(SEARCH(LOWER(Screener!$B$17),Database!$Z312&amp;""))))</f>
        <v/>
      </c>
      <c r="I312">
        <f>IF(OR(N(Database!$BF312)&lt;=0,N(Screener!$D$13)&lt;=0),0,MAX(0,1-ABS(LOG10(N(Database!$BF312)/Screener!$D$13))/W_PEHW))</f>
        <v/>
      </c>
      <c r="J312">
        <f>IF(OR(N(Database!$S312)&lt;=0,N(Screener!$D$14)&lt;=0),0,MAX(0,1-ABS(LOG10(Database!$S312/Screener!$D$14))/0.6))</f>
        <v/>
      </c>
      <c r="K312">
        <f>IF(Database!$B312=Screener!$B$5,-999999,IF(ISNUMBER(SEARCH(","&amp;Database!$A312&amp;",",","&amp;SUBSTITUTE(Screener!$D$17," ","")&amp;",")),2000000,IF(IF(OR(Screener!$B$18="All",AND(Screener!$B$18="With A-share",(Database!$BK312="Y")),AND(Screener!$B$18="Without A-share",NOT((Database!$BK312="Y")))),1,0)=0,-999999,IF(Screener!$B$16="cornerstone overlap first",H312*100000,IF(Screener!$B$16="demand-similar first",J312*100000,0))+W_SUB*B312+W_SEC*C312*(1-B312)+W_SIZE*D312+W_PROF*E312+W_AH*F312+W_REC*G312+W_CS*H312+W_PE*I312)))+ROW()/1000000</f>
        <v/>
      </c>
      <c r="AA312">
        <f>Database!B302</f>
        <v/>
      </c>
      <c r="AB312">
        <f>Database!D302</f>
        <v/>
      </c>
      <c r="AC312">
        <f>Database!E302</f>
        <v/>
      </c>
      <c r="AD312">
        <f>Database!I302</f>
        <v/>
      </c>
      <c r="AE312">
        <f>Database!BE302</f>
        <v/>
      </c>
      <c r="AF312">
        <f>Database!BK302</f>
        <v/>
      </c>
      <c r="AG312">
        <f>Database!H302</f>
        <v/>
      </c>
      <c r="AH312">
        <f>Database!BF302</f>
        <v/>
      </c>
    </row>
    <row r="313">
      <c r="A313">
        <f>Database!B313</f>
        <v/>
      </c>
      <c r="B313">
        <f>IF(AND(Screener!$D$8&lt;&gt;"",Database!$E313=Screener!$D$8),1,0)</f>
        <v/>
      </c>
      <c r="C313">
        <f>IF(AND(Screener!$D$7&lt;&gt;"",Database!$D313=Screener!$D$7),1,0)</f>
        <v/>
      </c>
      <c r="D313">
        <f>IF(OR(N(Database!$I313)&lt;=0,N(Screener!$D$9)&lt;=0),0,MAX(0,1-ABS(LOG10(N(Database!$I313)/Screener!$D$9))/W_SIZEHW))</f>
        <v/>
      </c>
      <c r="E313">
        <f>IF(OR(Database!$BE313="",Screener!$D$10=""),0,IF(Database!$BE313=Screener!$D$10,1,0))</f>
        <v/>
      </c>
      <c r="F313">
        <f>IF(OR(Database!$BK313="",Screener!$D$11=""),0,IF(Database!$BK313=Screener!$D$11,1,0))</f>
        <v/>
      </c>
      <c r="G313">
        <f>IF(OR(Database!$H313="",N(Screener!$D$12)&lt;=0),0,MAX(0,1-(N(Screener!$D$12)-Database!$H313)/W_RECD))</f>
        <v/>
      </c>
      <c r="H313">
        <f>IF($U$1="",0,N(ISNUMBER(SEARCH($U$1,Database!$Z313&amp;""))))+IF($V$1="",0,N(ISNUMBER(SEARCH($V$1,Database!$Z313&amp;""))))+IF($W$1="",0,N(ISNUMBER(SEARCH($W$1,Database!$Z313&amp;""))))+IF($X$1="",0,N(ISNUMBER(SEARCH($X$1,Database!$Z313&amp;""))))+IF($Y$1="",0,N(ISNUMBER(SEARCH($Y$1,Database!$Z313&amp;""))))+IF(Screener!$B$17="",0,N(ISNUMBER(SEARCH(LOWER(Screener!$B$17),Database!$Z313&amp;""))))</f>
        <v/>
      </c>
      <c r="I313">
        <f>IF(OR(N(Database!$BF313)&lt;=0,N(Screener!$D$13)&lt;=0),0,MAX(0,1-ABS(LOG10(N(Database!$BF313)/Screener!$D$13))/W_PEHW))</f>
        <v/>
      </c>
      <c r="J313">
        <f>IF(OR(N(Database!$S313)&lt;=0,N(Screener!$D$14)&lt;=0),0,MAX(0,1-ABS(LOG10(Database!$S313/Screener!$D$14))/0.6))</f>
        <v/>
      </c>
      <c r="K313">
        <f>IF(Database!$B313=Screener!$B$5,-999999,IF(ISNUMBER(SEARCH(","&amp;Database!$A313&amp;",",","&amp;SUBSTITUTE(Screener!$D$17," ","")&amp;",")),2000000,IF(IF(OR(Screener!$B$18="All",AND(Screener!$B$18="With A-share",(Database!$BK313="Y")),AND(Screener!$B$18="Without A-share",NOT((Database!$BK313="Y")))),1,0)=0,-999999,IF(Screener!$B$16="cornerstone overlap first",H313*100000,IF(Screener!$B$16="demand-similar first",J313*100000,0))+W_SUB*B313+W_SEC*C313*(1-B313)+W_SIZE*D313+W_PROF*E313+W_AH*F313+W_REC*G313+W_CS*H313+W_PE*I313)))+ROW()/1000000</f>
        <v/>
      </c>
      <c r="AA313">
        <f>Database!B303</f>
        <v/>
      </c>
      <c r="AB313">
        <f>Database!D303</f>
        <v/>
      </c>
      <c r="AC313">
        <f>Database!E303</f>
        <v/>
      </c>
      <c r="AD313">
        <f>Database!I303</f>
        <v/>
      </c>
      <c r="AE313">
        <f>Database!BE303</f>
        <v/>
      </c>
      <c r="AF313">
        <f>Database!BK303</f>
        <v/>
      </c>
      <c r="AG313">
        <f>Database!H303</f>
        <v/>
      </c>
      <c r="AH313">
        <f>Database!BF303</f>
        <v/>
      </c>
    </row>
    <row r="314">
      <c r="A314">
        <f>Database!B314</f>
        <v/>
      </c>
      <c r="B314">
        <f>IF(AND(Screener!$D$8&lt;&gt;"",Database!$E314=Screener!$D$8),1,0)</f>
        <v/>
      </c>
      <c r="C314">
        <f>IF(AND(Screener!$D$7&lt;&gt;"",Database!$D314=Screener!$D$7),1,0)</f>
        <v/>
      </c>
      <c r="D314">
        <f>IF(OR(N(Database!$I314)&lt;=0,N(Screener!$D$9)&lt;=0),0,MAX(0,1-ABS(LOG10(N(Database!$I314)/Screener!$D$9))/W_SIZEHW))</f>
        <v/>
      </c>
      <c r="E314">
        <f>IF(OR(Database!$BE314="",Screener!$D$10=""),0,IF(Database!$BE314=Screener!$D$10,1,0))</f>
        <v/>
      </c>
      <c r="F314">
        <f>IF(OR(Database!$BK314="",Screener!$D$11=""),0,IF(Database!$BK314=Screener!$D$11,1,0))</f>
        <v/>
      </c>
      <c r="G314">
        <f>IF(OR(Database!$H314="",N(Screener!$D$12)&lt;=0),0,MAX(0,1-(N(Screener!$D$12)-Database!$H314)/W_RECD))</f>
        <v/>
      </c>
      <c r="H314">
        <f>IF($U$1="",0,N(ISNUMBER(SEARCH($U$1,Database!$Z314&amp;""))))+IF($V$1="",0,N(ISNUMBER(SEARCH($V$1,Database!$Z314&amp;""))))+IF($W$1="",0,N(ISNUMBER(SEARCH($W$1,Database!$Z314&amp;""))))+IF($X$1="",0,N(ISNUMBER(SEARCH($X$1,Database!$Z314&amp;""))))+IF($Y$1="",0,N(ISNUMBER(SEARCH($Y$1,Database!$Z314&amp;""))))+IF(Screener!$B$17="",0,N(ISNUMBER(SEARCH(LOWER(Screener!$B$17),Database!$Z314&amp;""))))</f>
        <v/>
      </c>
      <c r="I314">
        <f>IF(OR(N(Database!$BF314)&lt;=0,N(Screener!$D$13)&lt;=0),0,MAX(0,1-ABS(LOG10(N(Database!$BF314)/Screener!$D$13))/W_PEHW))</f>
        <v/>
      </c>
      <c r="J314">
        <f>IF(OR(N(Database!$S314)&lt;=0,N(Screener!$D$14)&lt;=0),0,MAX(0,1-ABS(LOG10(Database!$S314/Screener!$D$14))/0.6))</f>
        <v/>
      </c>
      <c r="K314">
        <f>IF(Database!$B314=Screener!$B$5,-999999,IF(ISNUMBER(SEARCH(","&amp;Database!$A314&amp;",",","&amp;SUBSTITUTE(Screener!$D$17," ","")&amp;",")),2000000,IF(IF(OR(Screener!$B$18="All",AND(Screener!$B$18="With A-share",(Database!$BK314="Y")),AND(Screener!$B$18="Without A-share",NOT((Database!$BK314="Y")))),1,0)=0,-999999,IF(Screener!$B$16="cornerstone overlap first",H314*100000,IF(Screener!$B$16="demand-similar first",J314*100000,0))+W_SUB*B314+W_SEC*C314*(1-B314)+W_SIZE*D314+W_PROF*E314+W_AH*F314+W_REC*G314+W_CS*H314+W_PE*I314)))+ROW()/1000000</f>
        <v/>
      </c>
      <c r="AA314">
        <f>Database!B304</f>
        <v/>
      </c>
      <c r="AB314">
        <f>Database!D304</f>
        <v/>
      </c>
      <c r="AC314">
        <f>Database!E304</f>
        <v/>
      </c>
      <c r="AD314">
        <f>Database!I304</f>
        <v/>
      </c>
      <c r="AE314">
        <f>Database!BE304</f>
        <v/>
      </c>
      <c r="AF314">
        <f>Database!BK304</f>
        <v/>
      </c>
      <c r="AG314">
        <f>Database!H304</f>
        <v/>
      </c>
      <c r="AH314">
        <f>Database!BF304</f>
        <v/>
      </c>
    </row>
    <row r="315">
      <c r="A315">
        <f>Database!B315</f>
        <v/>
      </c>
      <c r="B315">
        <f>IF(AND(Screener!$D$8&lt;&gt;"",Database!$E315=Screener!$D$8),1,0)</f>
        <v/>
      </c>
      <c r="C315">
        <f>IF(AND(Screener!$D$7&lt;&gt;"",Database!$D315=Screener!$D$7),1,0)</f>
        <v/>
      </c>
      <c r="D315">
        <f>IF(OR(N(Database!$I315)&lt;=0,N(Screener!$D$9)&lt;=0),0,MAX(0,1-ABS(LOG10(N(Database!$I315)/Screener!$D$9))/W_SIZEHW))</f>
        <v/>
      </c>
      <c r="E315">
        <f>IF(OR(Database!$BE315="",Screener!$D$10=""),0,IF(Database!$BE315=Screener!$D$10,1,0))</f>
        <v/>
      </c>
      <c r="F315">
        <f>IF(OR(Database!$BK315="",Screener!$D$11=""),0,IF(Database!$BK315=Screener!$D$11,1,0))</f>
        <v/>
      </c>
      <c r="G315">
        <f>IF(OR(Database!$H315="",N(Screener!$D$12)&lt;=0),0,MAX(0,1-(N(Screener!$D$12)-Database!$H315)/W_RECD))</f>
        <v/>
      </c>
      <c r="H315">
        <f>IF($U$1="",0,N(ISNUMBER(SEARCH($U$1,Database!$Z315&amp;""))))+IF($V$1="",0,N(ISNUMBER(SEARCH($V$1,Database!$Z315&amp;""))))+IF($W$1="",0,N(ISNUMBER(SEARCH($W$1,Database!$Z315&amp;""))))+IF($X$1="",0,N(ISNUMBER(SEARCH($X$1,Database!$Z315&amp;""))))+IF($Y$1="",0,N(ISNUMBER(SEARCH($Y$1,Database!$Z315&amp;""))))+IF(Screener!$B$17="",0,N(ISNUMBER(SEARCH(LOWER(Screener!$B$17),Database!$Z315&amp;""))))</f>
        <v/>
      </c>
      <c r="I315">
        <f>IF(OR(N(Database!$BF315)&lt;=0,N(Screener!$D$13)&lt;=0),0,MAX(0,1-ABS(LOG10(N(Database!$BF315)/Screener!$D$13))/W_PEHW))</f>
        <v/>
      </c>
      <c r="J315">
        <f>IF(OR(N(Database!$S315)&lt;=0,N(Screener!$D$14)&lt;=0),0,MAX(0,1-ABS(LOG10(Database!$S315/Screener!$D$14))/0.6))</f>
        <v/>
      </c>
      <c r="K315">
        <f>IF(Database!$B315=Screener!$B$5,-999999,IF(ISNUMBER(SEARCH(","&amp;Database!$A315&amp;",",","&amp;SUBSTITUTE(Screener!$D$17," ","")&amp;",")),2000000,IF(IF(OR(Screener!$B$18="All",AND(Screener!$B$18="With A-share",(Database!$BK315="Y")),AND(Screener!$B$18="Without A-share",NOT((Database!$BK315="Y")))),1,0)=0,-999999,IF(Screener!$B$16="cornerstone overlap first",H315*100000,IF(Screener!$B$16="demand-similar first",J315*100000,0))+W_SUB*B315+W_SEC*C315*(1-B315)+W_SIZE*D315+W_PROF*E315+W_AH*F315+W_REC*G315+W_CS*H315+W_PE*I315)))+ROW()/1000000</f>
        <v/>
      </c>
      <c r="AA315">
        <f>Database!B305</f>
        <v/>
      </c>
      <c r="AB315">
        <f>Database!D305</f>
        <v/>
      </c>
      <c r="AC315">
        <f>Database!E305</f>
        <v/>
      </c>
      <c r="AD315">
        <f>Database!I305</f>
        <v/>
      </c>
      <c r="AE315">
        <f>Database!BE305</f>
        <v/>
      </c>
      <c r="AF315">
        <f>Database!BK305</f>
        <v/>
      </c>
      <c r="AG315">
        <f>Database!H305</f>
        <v/>
      </c>
      <c r="AH315">
        <f>Database!BF305</f>
        <v/>
      </c>
    </row>
    <row r="316">
      <c r="A316">
        <f>Database!B316</f>
        <v/>
      </c>
      <c r="B316">
        <f>IF(AND(Screener!$D$8&lt;&gt;"",Database!$E316=Screener!$D$8),1,0)</f>
        <v/>
      </c>
      <c r="C316">
        <f>IF(AND(Screener!$D$7&lt;&gt;"",Database!$D316=Screener!$D$7),1,0)</f>
        <v/>
      </c>
      <c r="D316">
        <f>IF(OR(N(Database!$I316)&lt;=0,N(Screener!$D$9)&lt;=0),0,MAX(0,1-ABS(LOG10(N(Database!$I316)/Screener!$D$9))/W_SIZEHW))</f>
        <v/>
      </c>
      <c r="E316">
        <f>IF(OR(Database!$BE316="",Screener!$D$10=""),0,IF(Database!$BE316=Screener!$D$10,1,0))</f>
        <v/>
      </c>
      <c r="F316">
        <f>IF(OR(Database!$BK316="",Screener!$D$11=""),0,IF(Database!$BK316=Screener!$D$11,1,0))</f>
        <v/>
      </c>
      <c r="G316">
        <f>IF(OR(Database!$H316="",N(Screener!$D$12)&lt;=0),0,MAX(0,1-(N(Screener!$D$12)-Database!$H316)/W_RECD))</f>
        <v/>
      </c>
      <c r="H316">
        <f>IF($U$1="",0,N(ISNUMBER(SEARCH($U$1,Database!$Z316&amp;""))))+IF($V$1="",0,N(ISNUMBER(SEARCH($V$1,Database!$Z316&amp;""))))+IF($W$1="",0,N(ISNUMBER(SEARCH($W$1,Database!$Z316&amp;""))))+IF($X$1="",0,N(ISNUMBER(SEARCH($X$1,Database!$Z316&amp;""))))+IF($Y$1="",0,N(ISNUMBER(SEARCH($Y$1,Database!$Z316&amp;""))))+IF(Screener!$B$17="",0,N(ISNUMBER(SEARCH(LOWER(Screener!$B$17),Database!$Z316&amp;""))))</f>
        <v/>
      </c>
      <c r="I316">
        <f>IF(OR(N(Database!$BF316)&lt;=0,N(Screener!$D$13)&lt;=0),0,MAX(0,1-ABS(LOG10(N(Database!$BF316)/Screener!$D$13))/W_PEHW))</f>
        <v/>
      </c>
      <c r="J316">
        <f>IF(OR(N(Database!$S316)&lt;=0,N(Screener!$D$14)&lt;=0),0,MAX(0,1-ABS(LOG10(Database!$S316/Screener!$D$14))/0.6))</f>
        <v/>
      </c>
      <c r="K316">
        <f>IF(Database!$B316=Screener!$B$5,-999999,IF(ISNUMBER(SEARCH(","&amp;Database!$A316&amp;",",","&amp;SUBSTITUTE(Screener!$D$17," ","")&amp;",")),2000000,IF(IF(OR(Screener!$B$18="All",AND(Screener!$B$18="With A-share",(Database!$BK316="Y")),AND(Screener!$B$18="Without A-share",NOT((Database!$BK316="Y")))),1,0)=0,-999999,IF(Screener!$B$16="cornerstone overlap first",H316*100000,IF(Screener!$B$16="demand-similar first",J316*100000,0))+W_SUB*B316+W_SEC*C316*(1-B316)+W_SIZE*D316+W_PROF*E316+W_AH*F316+W_REC*G316+W_CS*H316+W_PE*I316)))+ROW()/1000000</f>
        <v/>
      </c>
      <c r="AA316">
        <f>Database!B306</f>
        <v/>
      </c>
      <c r="AB316">
        <f>Database!D306</f>
        <v/>
      </c>
      <c r="AC316">
        <f>Database!E306</f>
        <v/>
      </c>
      <c r="AD316">
        <f>Database!I306</f>
        <v/>
      </c>
      <c r="AE316">
        <f>Database!BE306</f>
        <v/>
      </c>
      <c r="AF316">
        <f>Database!BK306</f>
        <v/>
      </c>
      <c r="AG316">
        <f>Database!H306</f>
        <v/>
      </c>
      <c r="AH316">
        <f>Database!BF306</f>
        <v/>
      </c>
    </row>
    <row r="317">
      <c r="A317">
        <f>Database!B317</f>
        <v/>
      </c>
      <c r="B317">
        <f>IF(AND(Screener!$D$8&lt;&gt;"",Database!$E317=Screener!$D$8),1,0)</f>
        <v/>
      </c>
      <c r="C317">
        <f>IF(AND(Screener!$D$7&lt;&gt;"",Database!$D317=Screener!$D$7),1,0)</f>
        <v/>
      </c>
      <c r="D317">
        <f>IF(OR(N(Database!$I317)&lt;=0,N(Screener!$D$9)&lt;=0),0,MAX(0,1-ABS(LOG10(N(Database!$I317)/Screener!$D$9))/W_SIZEHW))</f>
        <v/>
      </c>
      <c r="E317">
        <f>IF(OR(Database!$BE317="",Screener!$D$10=""),0,IF(Database!$BE317=Screener!$D$10,1,0))</f>
        <v/>
      </c>
      <c r="F317">
        <f>IF(OR(Database!$BK317="",Screener!$D$11=""),0,IF(Database!$BK317=Screener!$D$11,1,0))</f>
        <v/>
      </c>
      <c r="G317">
        <f>IF(OR(Database!$H317="",N(Screener!$D$12)&lt;=0),0,MAX(0,1-(N(Screener!$D$12)-Database!$H317)/W_RECD))</f>
        <v/>
      </c>
      <c r="H317">
        <f>IF($U$1="",0,N(ISNUMBER(SEARCH($U$1,Database!$Z317&amp;""))))+IF($V$1="",0,N(ISNUMBER(SEARCH($V$1,Database!$Z317&amp;""))))+IF($W$1="",0,N(ISNUMBER(SEARCH($W$1,Database!$Z317&amp;""))))+IF($X$1="",0,N(ISNUMBER(SEARCH($X$1,Database!$Z317&amp;""))))+IF($Y$1="",0,N(ISNUMBER(SEARCH($Y$1,Database!$Z317&amp;""))))+IF(Screener!$B$17="",0,N(ISNUMBER(SEARCH(LOWER(Screener!$B$17),Database!$Z317&amp;""))))</f>
        <v/>
      </c>
      <c r="I317">
        <f>IF(OR(N(Database!$BF317)&lt;=0,N(Screener!$D$13)&lt;=0),0,MAX(0,1-ABS(LOG10(N(Database!$BF317)/Screener!$D$13))/W_PEHW))</f>
        <v/>
      </c>
      <c r="J317">
        <f>IF(OR(N(Database!$S317)&lt;=0,N(Screener!$D$14)&lt;=0),0,MAX(0,1-ABS(LOG10(Database!$S317/Screener!$D$14))/0.6))</f>
        <v/>
      </c>
      <c r="K317">
        <f>IF(Database!$B317=Screener!$B$5,-999999,IF(ISNUMBER(SEARCH(","&amp;Database!$A317&amp;",",","&amp;SUBSTITUTE(Screener!$D$17," ","")&amp;",")),2000000,IF(IF(OR(Screener!$B$18="All",AND(Screener!$B$18="With A-share",(Database!$BK317="Y")),AND(Screener!$B$18="Without A-share",NOT((Database!$BK317="Y")))),1,0)=0,-999999,IF(Screener!$B$16="cornerstone overlap first",H317*100000,IF(Screener!$B$16="demand-similar first",J317*100000,0))+W_SUB*B317+W_SEC*C317*(1-B317)+W_SIZE*D317+W_PROF*E317+W_AH*F317+W_REC*G317+W_CS*H317+W_PE*I317)))+ROW()/1000000</f>
        <v/>
      </c>
      <c r="AA317">
        <f>Database!B307</f>
        <v/>
      </c>
      <c r="AB317">
        <f>Database!D307</f>
        <v/>
      </c>
      <c r="AC317">
        <f>Database!E307</f>
        <v/>
      </c>
      <c r="AD317">
        <f>Database!I307</f>
        <v/>
      </c>
      <c r="AE317">
        <f>Database!BE307</f>
        <v/>
      </c>
      <c r="AF317">
        <f>Database!BK307</f>
        <v/>
      </c>
      <c r="AG317">
        <f>Database!H307</f>
        <v/>
      </c>
      <c r="AH317">
        <f>Database!BF307</f>
        <v/>
      </c>
    </row>
    <row r="318">
      <c r="A318">
        <f>Database!B318</f>
        <v/>
      </c>
      <c r="B318">
        <f>IF(AND(Screener!$D$8&lt;&gt;"",Database!$E318=Screener!$D$8),1,0)</f>
        <v/>
      </c>
      <c r="C318">
        <f>IF(AND(Screener!$D$7&lt;&gt;"",Database!$D318=Screener!$D$7),1,0)</f>
        <v/>
      </c>
      <c r="D318">
        <f>IF(OR(N(Database!$I318)&lt;=0,N(Screener!$D$9)&lt;=0),0,MAX(0,1-ABS(LOG10(N(Database!$I318)/Screener!$D$9))/W_SIZEHW))</f>
        <v/>
      </c>
      <c r="E318">
        <f>IF(OR(Database!$BE318="",Screener!$D$10=""),0,IF(Database!$BE318=Screener!$D$10,1,0))</f>
        <v/>
      </c>
      <c r="F318">
        <f>IF(OR(Database!$BK318="",Screener!$D$11=""),0,IF(Database!$BK318=Screener!$D$11,1,0))</f>
        <v/>
      </c>
      <c r="G318">
        <f>IF(OR(Database!$H318="",N(Screener!$D$12)&lt;=0),0,MAX(0,1-(N(Screener!$D$12)-Database!$H318)/W_RECD))</f>
        <v/>
      </c>
      <c r="H318">
        <f>IF($U$1="",0,N(ISNUMBER(SEARCH($U$1,Database!$Z318&amp;""))))+IF($V$1="",0,N(ISNUMBER(SEARCH($V$1,Database!$Z318&amp;""))))+IF($W$1="",0,N(ISNUMBER(SEARCH($W$1,Database!$Z318&amp;""))))+IF($X$1="",0,N(ISNUMBER(SEARCH($X$1,Database!$Z318&amp;""))))+IF($Y$1="",0,N(ISNUMBER(SEARCH($Y$1,Database!$Z318&amp;""))))+IF(Screener!$B$17="",0,N(ISNUMBER(SEARCH(LOWER(Screener!$B$17),Database!$Z318&amp;""))))</f>
        <v/>
      </c>
      <c r="I318">
        <f>IF(OR(N(Database!$BF318)&lt;=0,N(Screener!$D$13)&lt;=0),0,MAX(0,1-ABS(LOG10(N(Database!$BF318)/Screener!$D$13))/W_PEHW))</f>
        <v/>
      </c>
      <c r="J318">
        <f>IF(OR(N(Database!$S318)&lt;=0,N(Screener!$D$14)&lt;=0),0,MAX(0,1-ABS(LOG10(Database!$S318/Screener!$D$14))/0.6))</f>
        <v/>
      </c>
      <c r="K318">
        <f>IF(Database!$B318=Screener!$B$5,-999999,IF(ISNUMBER(SEARCH(","&amp;Database!$A318&amp;",",","&amp;SUBSTITUTE(Screener!$D$17," ","")&amp;",")),2000000,IF(IF(OR(Screener!$B$18="All",AND(Screener!$B$18="With A-share",(Database!$BK318="Y")),AND(Screener!$B$18="Without A-share",NOT((Database!$BK318="Y")))),1,0)=0,-999999,IF(Screener!$B$16="cornerstone overlap first",H318*100000,IF(Screener!$B$16="demand-similar first",J318*100000,0))+W_SUB*B318+W_SEC*C318*(1-B318)+W_SIZE*D318+W_PROF*E318+W_AH*F318+W_REC*G318+W_CS*H318+W_PE*I318)))+ROW()/1000000</f>
        <v/>
      </c>
      <c r="AA318">
        <f>Database!B308</f>
        <v/>
      </c>
      <c r="AB318">
        <f>Database!D308</f>
        <v/>
      </c>
      <c r="AC318">
        <f>Database!E308</f>
        <v/>
      </c>
      <c r="AD318">
        <f>Database!I308</f>
        <v/>
      </c>
      <c r="AE318">
        <f>Database!BE308</f>
        <v/>
      </c>
      <c r="AF318">
        <f>Database!BK308</f>
        <v/>
      </c>
      <c r="AG318">
        <f>Database!H308</f>
        <v/>
      </c>
      <c r="AH318">
        <f>Database!BF308</f>
        <v/>
      </c>
    </row>
    <row r="319">
      <c r="A319">
        <f>Database!B319</f>
        <v/>
      </c>
      <c r="B319">
        <f>IF(AND(Screener!$D$8&lt;&gt;"",Database!$E319=Screener!$D$8),1,0)</f>
        <v/>
      </c>
      <c r="C319">
        <f>IF(AND(Screener!$D$7&lt;&gt;"",Database!$D319=Screener!$D$7),1,0)</f>
        <v/>
      </c>
      <c r="D319">
        <f>IF(OR(N(Database!$I319)&lt;=0,N(Screener!$D$9)&lt;=0),0,MAX(0,1-ABS(LOG10(N(Database!$I319)/Screener!$D$9))/W_SIZEHW))</f>
        <v/>
      </c>
      <c r="E319">
        <f>IF(OR(Database!$BE319="",Screener!$D$10=""),0,IF(Database!$BE319=Screener!$D$10,1,0))</f>
        <v/>
      </c>
      <c r="F319">
        <f>IF(OR(Database!$BK319="",Screener!$D$11=""),0,IF(Database!$BK319=Screener!$D$11,1,0))</f>
        <v/>
      </c>
      <c r="G319">
        <f>IF(OR(Database!$H319="",N(Screener!$D$12)&lt;=0),0,MAX(0,1-(N(Screener!$D$12)-Database!$H319)/W_RECD))</f>
        <v/>
      </c>
      <c r="H319">
        <f>IF($U$1="",0,N(ISNUMBER(SEARCH($U$1,Database!$Z319&amp;""))))+IF($V$1="",0,N(ISNUMBER(SEARCH($V$1,Database!$Z319&amp;""))))+IF($W$1="",0,N(ISNUMBER(SEARCH($W$1,Database!$Z319&amp;""))))+IF($X$1="",0,N(ISNUMBER(SEARCH($X$1,Database!$Z319&amp;""))))+IF($Y$1="",0,N(ISNUMBER(SEARCH($Y$1,Database!$Z319&amp;""))))+IF(Screener!$B$17="",0,N(ISNUMBER(SEARCH(LOWER(Screener!$B$17),Database!$Z319&amp;""))))</f>
        <v/>
      </c>
      <c r="I319">
        <f>IF(OR(N(Database!$BF319)&lt;=0,N(Screener!$D$13)&lt;=0),0,MAX(0,1-ABS(LOG10(N(Database!$BF319)/Screener!$D$13))/W_PEHW))</f>
        <v/>
      </c>
      <c r="J319">
        <f>IF(OR(N(Database!$S319)&lt;=0,N(Screener!$D$14)&lt;=0),0,MAX(0,1-ABS(LOG10(Database!$S319/Screener!$D$14))/0.6))</f>
        <v/>
      </c>
      <c r="K319">
        <f>IF(Database!$B319=Screener!$B$5,-999999,IF(ISNUMBER(SEARCH(","&amp;Database!$A319&amp;",",","&amp;SUBSTITUTE(Screener!$D$17," ","")&amp;",")),2000000,IF(IF(OR(Screener!$B$18="All",AND(Screener!$B$18="With A-share",(Database!$BK319="Y")),AND(Screener!$B$18="Without A-share",NOT((Database!$BK319="Y")))),1,0)=0,-999999,IF(Screener!$B$16="cornerstone overlap first",H319*100000,IF(Screener!$B$16="demand-similar first",J319*100000,0))+W_SUB*B319+W_SEC*C319*(1-B319)+W_SIZE*D319+W_PROF*E319+W_AH*F319+W_REC*G319+W_CS*H319+W_PE*I319)))+ROW()/1000000</f>
        <v/>
      </c>
      <c r="AA319">
        <f>Database!B309</f>
        <v/>
      </c>
      <c r="AB319">
        <f>Database!D309</f>
        <v/>
      </c>
      <c r="AC319">
        <f>Database!E309</f>
        <v/>
      </c>
      <c r="AD319">
        <f>Database!I309</f>
        <v/>
      </c>
      <c r="AE319">
        <f>Database!BE309</f>
        <v/>
      </c>
      <c r="AF319">
        <f>Database!BK309</f>
        <v/>
      </c>
      <c r="AG319">
        <f>Database!H309</f>
        <v/>
      </c>
      <c r="AH319">
        <f>Database!BF309</f>
        <v/>
      </c>
    </row>
    <row r="320">
      <c r="A320">
        <f>Database!B320</f>
        <v/>
      </c>
      <c r="B320">
        <f>IF(AND(Screener!$D$8&lt;&gt;"",Database!$E320=Screener!$D$8),1,0)</f>
        <v/>
      </c>
      <c r="C320">
        <f>IF(AND(Screener!$D$7&lt;&gt;"",Database!$D320=Screener!$D$7),1,0)</f>
        <v/>
      </c>
      <c r="D320">
        <f>IF(OR(N(Database!$I320)&lt;=0,N(Screener!$D$9)&lt;=0),0,MAX(0,1-ABS(LOG10(N(Database!$I320)/Screener!$D$9))/W_SIZEHW))</f>
        <v/>
      </c>
      <c r="E320">
        <f>IF(OR(Database!$BE320="",Screener!$D$10=""),0,IF(Database!$BE320=Screener!$D$10,1,0))</f>
        <v/>
      </c>
      <c r="F320">
        <f>IF(OR(Database!$BK320="",Screener!$D$11=""),0,IF(Database!$BK320=Screener!$D$11,1,0))</f>
        <v/>
      </c>
      <c r="G320">
        <f>IF(OR(Database!$H320="",N(Screener!$D$12)&lt;=0),0,MAX(0,1-(N(Screener!$D$12)-Database!$H320)/W_RECD))</f>
        <v/>
      </c>
      <c r="H320">
        <f>IF($U$1="",0,N(ISNUMBER(SEARCH($U$1,Database!$Z320&amp;""))))+IF($V$1="",0,N(ISNUMBER(SEARCH($V$1,Database!$Z320&amp;""))))+IF($W$1="",0,N(ISNUMBER(SEARCH($W$1,Database!$Z320&amp;""))))+IF($X$1="",0,N(ISNUMBER(SEARCH($X$1,Database!$Z320&amp;""))))+IF($Y$1="",0,N(ISNUMBER(SEARCH($Y$1,Database!$Z320&amp;""))))+IF(Screener!$B$17="",0,N(ISNUMBER(SEARCH(LOWER(Screener!$B$17),Database!$Z320&amp;""))))</f>
        <v/>
      </c>
      <c r="I320">
        <f>IF(OR(N(Database!$BF320)&lt;=0,N(Screener!$D$13)&lt;=0),0,MAX(0,1-ABS(LOG10(N(Database!$BF320)/Screener!$D$13))/W_PEHW))</f>
        <v/>
      </c>
      <c r="J320">
        <f>IF(OR(N(Database!$S320)&lt;=0,N(Screener!$D$14)&lt;=0),0,MAX(0,1-ABS(LOG10(Database!$S320/Screener!$D$14))/0.6))</f>
        <v/>
      </c>
      <c r="K320">
        <f>IF(Database!$B320=Screener!$B$5,-999999,IF(ISNUMBER(SEARCH(","&amp;Database!$A320&amp;",",","&amp;SUBSTITUTE(Screener!$D$17," ","")&amp;",")),2000000,IF(IF(OR(Screener!$B$18="All",AND(Screener!$B$18="With A-share",(Database!$BK320="Y")),AND(Screener!$B$18="Without A-share",NOT((Database!$BK320="Y")))),1,0)=0,-999999,IF(Screener!$B$16="cornerstone overlap first",H320*100000,IF(Screener!$B$16="demand-similar first",J320*100000,0))+W_SUB*B320+W_SEC*C320*(1-B320)+W_SIZE*D320+W_PROF*E320+W_AH*F320+W_REC*G320+W_CS*H320+W_PE*I320)))+ROW()/1000000</f>
        <v/>
      </c>
      <c r="AA320">
        <f>Database!B310</f>
        <v/>
      </c>
      <c r="AB320">
        <f>Database!D310</f>
        <v/>
      </c>
      <c r="AC320">
        <f>Database!E310</f>
        <v/>
      </c>
      <c r="AD320">
        <f>Database!I310</f>
        <v/>
      </c>
      <c r="AE320">
        <f>Database!BE310</f>
        <v/>
      </c>
      <c r="AF320">
        <f>Database!BK310</f>
        <v/>
      </c>
      <c r="AG320">
        <f>Database!H310</f>
        <v/>
      </c>
      <c r="AH320">
        <f>Database!BF310</f>
        <v/>
      </c>
    </row>
    <row r="321">
      <c r="A321">
        <f>Database!B321</f>
        <v/>
      </c>
      <c r="B321">
        <f>IF(AND(Screener!$D$8&lt;&gt;"",Database!$E321=Screener!$D$8),1,0)</f>
        <v/>
      </c>
      <c r="C321">
        <f>IF(AND(Screener!$D$7&lt;&gt;"",Database!$D321=Screener!$D$7),1,0)</f>
        <v/>
      </c>
      <c r="D321">
        <f>IF(OR(N(Database!$I321)&lt;=0,N(Screener!$D$9)&lt;=0),0,MAX(0,1-ABS(LOG10(N(Database!$I321)/Screener!$D$9))/W_SIZEHW))</f>
        <v/>
      </c>
      <c r="E321">
        <f>IF(OR(Database!$BE321="",Screener!$D$10=""),0,IF(Database!$BE321=Screener!$D$10,1,0))</f>
        <v/>
      </c>
      <c r="F321">
        <f>IF(OR(Database!$BK321="",Screener!$D$11=""),0,IF(Database!$BK321=Screener!$D$11,1,0))</f>
        <v/>
      </c>
      <c r="G321">
        <f>IF(OR(Database!$H321="",N(Screener!$D$12)&lt;=0),0,MAX(0,1-(N(Screener!$D$12)-Database!$H321)/W_RECD))</f>
        <v/>
      </c>
      <c r="H321">
        <f>IF($U$1="",0,N(ISNUMBER(SEARCH($U$1,Database!$Z321&amp;""))))+IF($V$1="",0,N(ISNUMBER(SEARCH($V$1,Database!$Z321&amp;""))))+IF($W$1="",0,N(ISNUMBER(SEARCH($W$1,Database!$Z321&amp;""))))+IF($X$1="",0,N(ISNUMBER(SEARCH($X$1,Database!$Z321&amp;""))))+IF($Y$1="",0,N(ISNUMBER(SEARCH($Y$1,Database!$Z321&amp;""))))+IF(Screener!$B$17="",0,N(ISNUMBER(SEARCH(LOWER(Screener!$B$17),Database!$Z321&amp;""))))</f>
        <v/>
      </c>
      <c r="I321">
        <f>IF(OR(N(Database!$BF321)&lt;=0,N(Screener!$D$13)&lt;=0),0,MAX(0,1-ABS(LOG10(N(Database!$BF321)/Screener!$D$13))/W_PEHW))</f>
        <v/>
      </c>
      <c r="J321">
        <f>IF(OR(N(Database!$S321)&lt;=0,N(Screener!$D$14)&lt;=0),0,MAX(0,1-ABS(LOG10(Database!$S321/Screener!$D$14))/0.6))</f>
        <v/>
      </c>
      <c r="K321">
        <f>IF(Database!$B321=Screener!$B$5,-999999,IF(ISNUMBER(SEARCH(","&amp;Database!$A321&amp;",",","&amp;SUBSTITUTE(Screener!$D$17," ","")&amp;",")),2000000,IF(IF(OR(Screener!$B$18="All",AND(Screener!$B$18="With A-share",(Database!$BK321="Y")),AND(Screener!$B$18="Without A-share",NOT((Database!$BK321="Y")))),1,0)=0,-999999,IF(Screener!$B$16="cornerstone overlap first",H321*100000,IF(Screener!$B$16="demand-similar first",J321*100000,0))+W_SUB*B321+W_SEC*C321*(1-B321)+W_SIZE*D321+W_PROF*E321+W_AH*F321+W_REC*G321+W_CS*H321+W_PE*I321)))+ROW()/1000000</f>
        <v/>
      </c>
      <c r="AA321">
        <f>Database!B311</f>
        <v/>
      </c>
      <c r="AB321">
        <f>Database!D311</f>
        <v/>
      </c>
      <c r="AC321">
        <f>Database!E311</f>
        <v/>
      </c>
      <c r="AD321">
        <f>Database!I311</f>
        <v/>
      </c>
      <c r="AE321">
        <f>Database!BE311</f>
        <v/>
      </c>
      <c r="AF321">
        <f>Database!BK311</f>
        <v/>
      </c>
      <c r="AG321">
        <f>Database!H311</f>
        <v/>
      </c>
      <c r="AH321">
        <f>Database!BF311</f>
        <v/>
      </c>
    </row>
    <row r="322">
      <c r="A322">
        <f>Database!B322</f>
        <v/>
      </c>
      <c r="B322">
        <f>IF(AND(Screener!$D$8&lt;&gt;"",Database!$E322=Screener!$D$8),1,0)</f>
        <v/>
      </c>
      <c r="C322">
        <f>IF(AND(Screener!$D$7&lt;&gt;"",Database!$D322=Screener!$D$7),1,0)</f>
        <v/>
      </c>
      <c r="D322">
        <f>IF(OR(N(Database!$I322)&lt;=0,N(Screener!$D$9)&lt;=0),0,MAX(0,1-ABS(LOG10(N(Database!$I322)/Screener!$D$9))/W_SIZEHW))</f>
        <v/>
      </c>
      <c r="E322">
        <f>IF(OR(Database!$BE322="",Screener!$D$10=""),0,IF(Database!$BE322=Screener!$D$10,1,0))</f>
        <v/>
      </c>
      <c r="F322">
        <f>IF(OR(Database!$BK322="",Screener!$D$11=""),0,IF(Database!$BK322=Screener!$D$11,1,0))</f>
        <v/>
      </c>
      <c r="G322">
        <f>IF(OR(Database!$H322="",N(Screener!$D$12)&lt;=0),0,MAX(0,1-(N(Screener!$D$12)-Database!$H322)/W_RECD))</f>
        <v/>
      </c>
      <c r="H322">
        <f>IF($U$1="",0,N(ISNUMBER(SEARCH($U$1,Database!$Z322&amp;""))))+IF($V$1="",0,N(ISNUMBER(SEARCH($V$1,Database!$Z322&amp;""))))+IF($W$1="",0,N(ISNUMBER(SEARCH($W$1,Database!$Z322&amp;""))))+IF($X$1="",0,N(ISNUMBER(SEARCH($X$1,Database!$Z322&amp;""))))+IF($Y$1="",0,N(ISNUMBER(SEARCH($Y$1,Database!$Z322&amp;""))))+IF(Screener!$B$17="",0,N(ISNUMBER(SEARCH(LOWER(Screener!$B$17),Database!$Z322&amp;""))))</f>
        <v/>
      </c>
      <c r="I322">
        <f>IF(OR(N(Database!$BF322)&lt;=0,N(Screener!$D$13)&lt;=0),0,MAX(0,1-ABS(LOG10(N(Database!$BF322)/Screener!$D$13))/W_PEHW))</f>
        <v/>
      </c>
      <c r="J322">
        <f>IF(OR(N(Database!$S322)&lt;=0,N(Screener!$D$14)&lt;=0),0,MAX(0,1-ABS(LOG10(Database!$S322/Screener!$D$14))/0.6))</f>
        <v/>
      </c>
      <c r="K322">
        <f>IF(Database!$B322=Screener!$B$5,-999999,IF(ISNUMBER(SEARCH(","&amp;Database!$A322&amp;",",","&amp;SUBSTITUTE(Screener!$D$17," ","")&amp;",")),2000000,IF(IF(OR(Screener!$B$18="All",AND(Screener!$B$18="With A-share",(Database!$BK322="Y")),AND(Screener!$B$18="Without A-share",NOT((Database!$BK322="Y")))),1,0)=0,-999999,IF(Screener!$B$16="cornerstone overlap first",H322*100000,IF(Screener!$B$16="demand-similar first",J322*100000,0))+W_SUB*B322+W_SEC*C322*(1-B322)+W_SIZE*D322+W_PROF*E322+W_AH*F322+W_REC*G322+W_CS*H322+W_PE*I322)))+ROW()/1000000</f>
        <v/>
      </c>
      <c r="AA322">
        <f>Database!B312</f>
        <v/>
      </c>
      <c r="AB322">
        <f>Database!D312</f>
        <v/>
      </c>
      <c r="AC322">
        <f>Database!E312</f>
        <v/>
      </c>
      <c r="AD322">
        <f>Database!I312</f>
        <v/>
      </c>
      <c r="AE322">
        <f>Database!BE312</f>
        <v/>
      </c>
      <c r="AF322">
        <f>Database!BK312</f>
        <v/>
      </c>
      <c r="AG322">
        <f>Database!H312</f>
        <v/>
      </c>
      <c r="AH322">
        <f>Database!BF312</f>
        <v/>
      </c>
    </row>
    <row r="323">
      <c r="A323">
        <f>Database!B323</f>
        <v/>
      </c>
      <c r="B323">
        <f>IF(AND(Screener!$D$8&lt;&gt;"",Database!$E323=Screener!$D$8),1,0)</f>
        <v/>
      </c>
      <c r="C323">
        <f>IF(AND(Screener!$D$7&lt;&gt;"",Database!$D323=Screener!$D$7),1,0)</f>
        <v/>
      </c>
      <c r="D323">
        <f>IF(OR(N(Database!$I323)&lt;=0,N(Screener!$D$9)&lt;=0),0,MAX(0,1-ABS(LOG10(N(Database!$I323)/Screener!$D$9))/W_SIZEHW))</f>
        <v/>
      </c>
      <c r="E323">
        <f>IF(OR(Database!$BE323="",Screener!$D$10=""),0,IF(Database!$BE323=Screener!$D$10,1,0))</f>
        <v/>
      </c>
      <c r="F323">
        <f>IF(OR(Database!$BK323="",Screener!$D$11=""),0,IF(Database!$BK323=Screener!$D$11,1,0))</f>
        <v/>
      </c>
      <c r="G323">
        <f>IF(OR(Database!$H323="",N(Screener!$D$12)&lt;=0),0,MAX(0,1-(N(Screener!$D$12)-Database!$H323)/W_RECD))</f>
        <v/>
      </c>
      <c r="H323">
        <f>IF($U$1="",0,N(ISNUMBER(SEARCH($U$1,Database!$Z323&amp;""))))+IF($V$1="",0,N(ISNUMBER(SEARCH($V$1,Database!$Z323&amp;""))))+IF($W$1="",0,N(ISNUMBER(SEARCH($W$1,Database!$Z323&amp;""))))+IF($X$1="",0,N(ISNUMBER(SEARCH($X$1,Database!$Z323&amp;""))))+IF($Y$1="",0,N(ISNUMBER(SEARCH($Y$1,Database!$Z323&amp;""))))+IF(Screener!$B$17="",0,N(ISNUMBER(SEARCH(LOWER(Screener!$B$17),Database!$Z323&amp;""))))</f>
        <v/>
      </c>
      <c r="I323">
        <f>IF(OR(N(Database!$BF323)&lt;=0,N(Screener!$D$13)&lt;=0),0,MAX(0,1-ABS(LOG10(N(Database!$BF323)/Screener!$D$13))/W_PEHW))</f>
        <v/>
      </c>
      <c r="J323">
        <f>IF(OR(N(Database!$S323)&lt;=0,N(Screener!$D$14)&lt;=0),0,MAX(0,1-ABS(LOG10(Database!$S323/Screener!$D$14))/0.6))</f>
        <v/>
      </c>
      <c r="K323">
        <f>IF(Database!$B323=Screener!$B$5,-999999,IF(ISNUMBER(SEARCH(","&amp;Database!$A323&amp;",",","&amp;SUBSTITUTE(Screener!$D$17," ","")&amp;",")),2000000,IF(IF(OR(Screener!$B$18="All",AND(Screener!$B$18="With A-share",(Database!$BK323="Y")),AND(Screener!$B$18="Without A-share",NOT((Database!$BK323="Y")))),1,0)=0,-999999,IF(Screener!$B$16="cornerstone overlap first",H323*100000,IF(Screener!$B$16="demand-similar first",J323*100000,0))+W_SUB*B323+W_SEC*C323*(1-B323)+W_SIZE*D323+W_PROF*E323+W_AH*F323+W_REC*G323+W_CS*H323+W_PE*I323)))+ROW()/1000000</f>
        <v/>
      </c>
      <c r="AA323">
        <f>Database!B313</f>
        <v/>
      </c>
      <c r="AB323">
        <f>Database!D313</f>
        <v/>
      </c>
      <c r="AC323">
        <f>Database!E313</f>
        <v/>
      </c>
      <c r="AD323">
        <f>Database!I313</f>
        <v/>
      </c>
      <c r="AE323">
        <f>Database!BE313</f>
        <v/>
      </c>
      <c r="AF323">
        <f>Database!BK313</f>
        <v/>
      </c>
      <c r="AG323">
        <f>Database!H313</f>
        <v/>
      </c>
      <c r="AH323">
        <f>Database!BF313</f>
        <v/>
      </c>
    </row>
    <row r="324">
      <c r="A324">
        <f>Database!B324</f>
        <v/>
      </c>
      <c r="B324">
        <f>IF(AND(Screener!$D$8&lt;&gt;"",Database!$E324=Screener!$D$8),1,0)</f>
        <v/>
      </c>
      <c r="C324">
        <f>IF(AND(Screener!$D$7&lt;&gt;"",Database!$D324=Screener!$D$7),1,0)</f>
        <v/>
      </c>
      <c r="D324">
        <f>IF(OR(N(Database!$I324)&lt;=0,N(Screener!$D$9)&lt;=0),0,MAX(0,1-ABS(LOG10(N(Database!$I324)/Screener!$D$9))/W_SIZEHW))</f>
        <v/>
      </c>
      <c r="E324">
        <f>IF(OR(Database!$BE324="",Screener!$D$10=""),0,IF(Database!$BE324=Screener!$D$10,1,0))</f>
        <v/>
      </c>
      <c r="F324">
        <f>IF(OR(Database!$BK324="",Screener!$D$11=""),0,IF(Database!$BK324=Screener!$D$11,1,0))</f>
        <v/>
      </c>
      <c r="G324">
        <f>IF(OR(Database!$H324="",N(Screener!$D$12)&lt;=0),0,MAX(0,1-(N(Screener!$D$12)-Database!$H324)/W_RECD))</f>
        <v/>
      </c>
      <c r="H324">
        <f>IF($U$1="",0,N(ISNUMBER(SEARCH($U$1,Database!$Z324&amp;""))))+IF($V$1="",0,N(ISNUMBER(SEARCH($V$1,Database!$Z324&amp;""))))+IF($W$1="",0,N(ISNUMBER(SEARCH($W$1,Database!$Z324&amp;""))))+IF($X$1="",0,N(ISNUMBER(SEARCH($X$1,Database!$Z324&amp;""))))+IF($Y$1="",0,N(ISNUMBER(SEARCH($Y$1,Database!$Z324&amp;""))))+IF(Screener!$B$17="",0,N(ISNUMBER(SEARCH(LOWER(Screener!$B$17),Database!$Z324&amp;""))))</f>
        <v/>
      </c>
      <c r="I324">
        <f>IF(OR(N(Database!$BF324)&lt;=0,N(Screener!$D$13)&lt;=0),0,MAX(0,1-ABS(LOG10(N(Database!$BF324)/Screener!$D$13))/W_PEHW))</f>
        <v/>
      </c>
      <c r="J324">
        <f>IF(OR(N(Database!$S324)&lt;=0,N(Screener!$D$14)&lt;=0),0,MAX(0,1-ABS(LOG10(Database!$S324/Screener!$D$14))/0.6))</f>
        <v/>
      </c>
      <c r="K324">
        <f>IF(Database!$B324=Screener!$B$5,-999999,IF(ISNUMBER(SEARCH(","&amp;Database!$A324&amp;",",","&amp;SUBSTITUTE(Screener!$D$17," ","")&amp;",")),2000000,IF(IF(OR(Screener!$B$18="All",AND(Screener!$B$18="With A-share",(Database!$BK324="Y")),AND(Screener!$B$18="Without A-share",NOT((Database!$BK324="Y")))),1,0)=0,-999999,IF(Screener!$B$16="cornerstone overlap first",H324*100000,IF(Screener!$B$16="demand-similar first",J324*100000,0))+W_SUB*B324+W_SEC*C324*(1-B324)+W_SIZE*D324+W_PROF*E324+W_AH*F324+W_REC*G324+W_CS*H324+W_PE*I324)))+ROW()/1000000</f>
        <v/>
      </c>
      <c r="AA324">
        <f>Database!B314</f>
        <v/>
      </c>
      <c r="AB324">
        <f>Database!D314</f>
        <v/>
      </c>
      <c r="AC324">
        <f>Database!E314</f>
        <v/>
      </c>
      <c r="AD324">
        <f>Database!I314</f>
        <v/>
      </c>
      <c r="AE324">
        <f>Database!BE314</f>
        <v/>
      </c>
      <c r="AF324">
        <f>Database!BK314</f>
        <v/>
      </c>
      <c r="AG324">
        <f>Database!H314</f>
        <v/>
      </c>
      <c r="AH324">
        <f>Database!BF314</f>
        <v/>
      </c>
    </row>
    <row r="325">
      <c r="A325">
        <f>Database!B325</f>
        <v/>
      </c>
      <c r="B325">
        <f>IF(AND(Screener!$D$8&lt;&gt;"",Database!$E325=Screener!$D$8),1,0)</f>
        <v/>
      </c>
      <c r="C325">
        <f>IF(AND(Screener!$D$7&lt;&gt;"",Database!$D325=Screener!$D$7),1,0)</f>
        <v/>
      </c>
      <c r="D325">
        <f>IF(OR(N(Database!$I325)&lt;=0,N(Screener!$D$9)&lt;=0),0,MAX(0,1-ABS(LOG10(N(Database!$I325)/Screener!$D$9))/W_SIZEHW))</f>
        <v/>
      </c>
      <c r="E325">
        <f>IF(OR(Database!$BE325="",Screener!$D$10=""),0,IF(Database!$BE325=Screener!$D$10,1,0))</f>
        <v/>
      </c>
      <c r="F325">
        <f>IF(OR(Database!$BK325="",Screener!$D$11=""),0,IF(Database!$BK325=Screener!$D$11,1,0))</f>
        <v/>
      </c>
      <c r="G325">
        <f>IF(OR(Database!$H325="",N(Screener!$D$12)&lt;=0),0,MAX(0,1-(N(Screener!$D$12)-Database!$H325)/W_RECD))</f>
        <v/>
      </c>
      <c r="H325">
        <f>IF($U$1="",0,N(ISNUMBER(SEARCH($U$1,Database!$Z325&amp;""))))+IF($V$1="",0,N(ISNUMBER(SEARCH($V$1,Database!$Z325&amp;""))))+IF($W$1="",0,N(ISNUMBER(SEARCH($W$1,Database!$Z325&amp;""))))+IF($X$1="",0,N(ISNUMBER(SEARCH($X$1,Database!$Z325&amp;""))))+IF($Y$1="",0,N(ISNUMBER(SEARCH($Y$1,Database!$Z325&amp;""))))+IF(Screener!$B$17="",0,N(ISNUMBER(SEARCH(LOWER(Screener!$B$17),Database!$Z325&amp;""))))</f>
        <v/>
      </c>
      <c r="I325">
        <f>IF(OR(N(Database!$BF325)&lt;=0,N(Screener!$D$13)&lt;=0),0,MAX(0,1-ABS(LOG10(N(Database!$BF325)/Screener!$D$13))/W_PEHW))</f>
        <v/>
      </c>
      <c r="J325">
        <f>IF(OR(N(Database!$S325)&lt;=0,N(Screener!$D$14)&lt;=0),0,MAX(0,1-ABS(LOG10(Database!$S325/Screener!$D$14))/0.6))</f>
        <v/>
      </c>
      <c r="K325">
        <f>IF(Database!$B325=Screener!$B$5,-999999,IF(ISNUMBER(SEARCH(","&amp;Database!$A325&amp;",",","&amp;SUBSTITUTE(Screener!$D$17," ","")&amp;",")),2000000,IF(IF(OR(Screener!$B$18="All",AND(Screener!$B$18="With A-share",(Database!$BK325="Y")),AND(Screener!$B$18="Without A-share",NOT((Database!$BK325="Y")))),1,0)=0,-999999,IF(Screener!$B$16="cornerstone overlap first",H325*100000,IF(Screener!$B$16="demand-similar first",J325*100000,0))+W_SUB*B325+W_SEC*C325*(1-B325)+W_SIZE*D325+W_PROF*E325+W_AH*F325+W_REC*G325+W_CS*H325+W_PE*I325)))+ROW()/1000000</f>
        <v/>
      </c>
      <c r="AA325">
        <f>Database!B315</f>
        <v/>
      </c>
      <c r="AB325">
        <f>Database!D315</f>
        <v/>
      </c>
      <c r="AC325">
        <f>Database!E315</f>
        <v/>
      </c>
      <c r="AD325">
        <f>Database!I315</f>
        <v/>
      </c>
      <c r="AE325">
        <f>Database!BE315</f>
        <v/>
      </c>
      <c r="AF325">
        <f>Database!BK315</f>
        <v/>
      </c>
      <c r="AG325">
        <f>Database!H315</f>
        <v/>
      </c>
      <c r="AH325">
        <f>Database!BF315</f>
        <v/>
      </c>
    </row>
    <row r="326">
      <c r="A326">
        <f>Database!B326</f>
        <v/>
      </c>
      <c r="B326">
        <f>IF(AND(Screener!$D$8&lt;&gt;"",Database!$E326=Screener!$D$8),1,0)</f>
        <v/>
      </c>
      <c r="C326">
        <f>IF(AND(Screener!$D$7&lt;&gt;"",Database!$D326=Screener!$D$7),1,0)</f>
        <v/>
      </c>
      <c r="D326">
        <f>IF(OR(N(Database!$I326)&lt;=0,N(Screener!$D$9)&lt;=0),0,MAX(0,1-ABS(LOG10(N(Database!$I326)/Screener!$D$9))/W_SIZEHW))</f>
        <v/>
      </c>
      <c r="E326">
        <f>IF(OR(Database!$BE326="",Screener!$D$10=""),0,IF(Database!$BE326=Screener!$D$10,1,0))</f>
        <v/>
      </c>
      <c r="F326">
        <f>IF(OR(Database!$BK326="",Screener!$D$11=""),0,IF(Database!$BK326=Screener!$D$11,1,0))</f>
        <v/>
      </c>
      <c r="G326">
        <f>IF(OR(Database!$H326="",N(Screener!$D$12)&lt;=0),0,MAX(0,1-(N(Screener!$D$12)-Database!$H326)/W_RECD))</f>
        <v/>
      </c>
      <c r="H326">
        <f>IF($U$1="",0,N(ISNUMBER(SEARCH($U$1,Database!$Z326&amp;""))))+IF($V$1="",0,N(ISNUMBER(SEARCH($V$1,Database!$Z326&amp;""))))+IF($W$1="",0,N(ISNUMBER(SEARCH($W$1,Database!$Z326&amp;""))))+IF($X$1="",0,N(ISNUMBER(SEARCH($X$1,Database!$Z326&amp;""))))+IF($Y$1="",0,N(ISNUMBER(SEARCH($Y$1,Database!$Z326&amp;""))))+IF(Screener!$B$17="",0,N(ISNUMBER(SEARCH(LOWER(Screener!$B$17),Database!$Z326&amp;""))))</f>
        <v/>
      </c>
      <c r="I326">
        <f>IF(OR(N(Database!$BF326)&lt;=0,N(Screener!$D$13)&lt;=0),0,MAX(0,1-ABS(LOG10(N(Database!$BF326)/Screener!$D$13))/W_PEHW))</f>
        <v/>
      </c>
      <c r="J326">
        <f>IF(OR(N(Database!$S326)&lt;=0,N(Screener!$D$14)&lt;=0),0,MAX(0,1-ABS(LOG10(Database!$S326/Screener!$D$14))/0.6))</f>
        <v/>
      </c>
      <c r="K326">
        <f>IF(Database!$B326=Screener!$B$5,-999999,IF(ISNUMBER(SEARCH(","&amp;Database!$A326&amp;",",","&amp;SUBSTITUTE(Screener!$D$17," ","")&amp;",")),2000000,IF(IF(OR(Screener!$B$18="All",AND(Screener!$B$18="With A-share",(Database!$BK326="Y")),AND(Screener!$B$18="Without A-share",NOT((Database!$BK326="Y")))),1,0)=0,-999999,IF(Screener!$B$16="cornerstone overlap first",H326*100000,IF(Screener!$B$16="demand-similar first",J326*100000,0))+W_SUB*B326+W_SEC*C326*(1-B326)+W_SIZE*D326+W_PROF*E326+W_AH*F326+W_REC*G326+W_CS*H326+W_PE*I326)))+ROW()/1000000</f>
        <v/>
      </c>
      <c r="AA326">
        <f>Database!B316</f>
        <v/>
      </c>
      <c r="AB326">
        <f>Database!D316</f>
        <v/>
      </c>
      <c r="AC326">
        <f>Database!E316</f>
        <v/>
      </c>
      <c r="AD326">
        <f>Database!I316</f>
        <v/>
      </c>
      <c r="AE326">
        <f>Database!BE316</f>
        <v/>
      </c>
      <c r="AF326">
        <f>Database!BK316</f>
        <v/>
      </c>
      <c r="AG326">
        <f>Database!H316</f>
        <v/>
      </c>
      <c r="AH326">
        <f>Database!BF316</f>
        <v/>
      </c>
    </row>
    <row r="327">
      <c r="A327">
        <f>Database!B327</f>
        <v/>
      </c>
      <c r="B327">
        <f>IF(AND(Screener!$D$8&lt;&gt;"",Database!$E327=Screener!$D$8),1,0)</f>
        <v/>
      </c>
      <c r="C327">
        <f>IF(AND(Screener!$D$7&lt;&gt;"",Database!$D327=Screener!$D$7),1,0)</f>
        <v/>
      </c>
      <c r="D327">
        <f>IF(OR(N(Database!$I327)&lt;=0,N(Screener!$D$9)&lt;=0),0,MAX(0,1-ABS(LOG10(N(Database!$I327)/Screener!$D$9))/W_SIZEHW))</f>
        <v/>
      </c>
      <c r="E327">
        <f>IF(OR(Database!$BE327="",Screener!$D$10=""),0,IF(Database!$BE327=Screener!$D$10,1,0))</f>
        <v/>
      </c>
      <c r="F327">
        <f>IF(OR(Database!$BK327="",Screener!$D$11=""),0,IF(Database!$BK327=Screener!$D$11,1,0))</f>
        <v/>
      </c>
      <c r="G327">
        <f>IF(OR(Database!$H327="",N(Screener!$D$12)&lt;=0),0,MAX(0,1-(N(Screener!$D$12)-Database!$H327)/W_RECD))</f>
        <v/>
      </c>
      <c r="H327">
        <f>IF($U$1="",0,N(ISNUMBER(SEARCH($U$1,Database!$Z327&amp;""))))+IF($V$1="",0,N(ISNUMBER(SEARCH($V$1,Database!$Z327&amp;""))))+IF($W$1="",0,N(ISNUMBER(SEARCH($W$1,Database!$Z327&amp;""))))+IF($X$1="",0,N(ISNUMBER(SEARCH($X$1,Database!$Z327&amp;""))))+IF($Y$1="",0,N(ISNUMBER(SEARCH($Y$1,Database!$Z327&amp;""))))+IF(Screener!$B$17="",0,N(ISNUMBER(SEARCH(LOWER(Screener!$B$17),Database!$Z327&amp;""))))</f>
        <v/>
      </c>
      <c r="I327">
        <f>IF(OR(N(Database!$BF327)&lt;=0,N(Screener!$D$13)&lt;=0),0,MAX(0,1-ABS(LOG10(N(Database!$BF327)/Screener!$D$13))/W_PEHW))</f>
        <v/>
      </c>
      <c r="J327">
        <f>IF(OR(N(Database!$S327)&lt;=0,N(Screener!$D$14)&lt;=0),0,MAX(0,1-ABS(LOG10(Database!$S327/Screener!$D$14))/0.6))</f>
        <v/>
      </c>
      <c r="K327">
        <f>IF(Database!$B327=Screener!$B$5,-999999,IF(ISNUMBER(SEARCH(","&amp;Database!$A327&amp;",",","&amp;SUBSTITUTE(Screener!$D$17," ","")&amp;",")),2000000,IF(IF(OR(Screener!$B$18="All",AND(Screener!$B$18="With A-share",(Database!$BK327="Y")),AND(Screener!$B$18="Without A-share",NOT((Database!$BK327="Y")))),1,0)=0,-999999,IF(Screener!$B$16="cornerstone overlap first",H327*100000,IF(Screener!$B$16="demand-similar first",J327*100000,0))+W_SUB*B327+W_SEC*C327*(1-B327)+W_SIZE*D327+W_PROF*E327+W_AH*F327+W_REC*G327+W_CS*H327+W_PE*I327)))+ROW()/1000000</f>
        <v/>
      </c>
      <c r="AA327">
        <f>Database!B317</f>
        <v/>
      </c>
      <c r="AB327">
        <f>Database!D317</f>
        <v/>
      </c>
      <c r="AC327">
        <f>Database!E317</f>
        <v/>
      </c>
      <c r="AD327">
        <f>Database!I317</f>
        <v/>
      </c>
      <c r="AE327">
        <f>Database!BE317</f>
        <v/>
      </c>
      <c r="AF327">
        <f>Database!BK317</f>
        <v/>
      </c>
      <c r="AG327">
        <f>Database!H317</f>
        <v/>
      </c>
      <c r="AH327">
        <f>Database!BF317</f>
        <v/>
      </c>
    </row>
    <row r="328">
      <c r="A328">
        <f>Database!B328</f>
        <v/>
      </c>
      <c r="B328">
        <f>IF(AND(Screener!$D$8&lt;&gt;"",Database!$E328=Screener!$D$8),1,0)</f>
        <v/>
      </c>
      <c r="C328">
        <f>IF(AND(Screener!$D$7&lt;&gt;"",Database!$D328=Screener!$D$7),1,0)</f>
        <v/>
      </c>
      <c r="D328">
        <f>IF(OR(N(Database!$I328)&lt;=0,N(Screener!$D$9)&lt;=0),0,MAX(0,1-ABS(LOG10(N(Database!$I328)/Screener!$D$9))/W_SIZEHW))</f>
        <v/>
      </c>
      <c r="E328">
        <f>IF(OR(Database!$BE328="",Screener!$D$10=""),0,IF(Database!$BE328=Screener!$D$10,1,0))</f>
        <v/>
      </c>
      <c r="F328">
        <f>IF(OR(Database!$BK328="",Screener!$D$11=""),0,IF(Database!$BK328=Screener!$D$11,1,0))</f>
        <v/>
      </c>
      <c r="G328">
        <f>IF(OR(Database!$H328="",N(Screener!$D$12)&lt;=0),0,MAX(0,1-(N(Screener!$D$12)-Database!$H328)/W_RECD))</f>
        <v/>
      </c>
      <c r="H328">
        <f>IF($U$1="",0,N(ISNUMBER(SEARCH($U$1,Database!$Z328&amp;""))))+IF($V$1="",0,N(ISNUMBER(SEARCH($V$1,Database!$Z328&amp;""))))+IF($W$1="",0,N(ISNUMBER(SEARCH($W$1,Database!$Z328&amp;""))))+IF($X$1="",0,N(ISNUMBER(SEARCH($X$1,Database!$Z328&amp;""))))+IF($Y$1="",0,N(ISNUMBER(SEARCH($Y$1,Database!$Z328&amp;""))))+IF(Screener!$B$17="",0,N(ISNUMBER(SEARCH(LOWER(Screener!$B$17),Database!$Z328&amp;""))))</f>
        <v/>
      </c>
      <c r="I328">
        <f>IF(OR(N(Database!$BF328)&lt;=0,N(Screener!$D$13)&lt;=0),0,MAX(0,1-ABS(LOG10(N(Database!$BF328)/Screener!$D$13))/W_PEHW))</f>
        <v/>
      </c>
      <c r="J328">
        <f>IF(OR(N(Database!$S328)&lt;=0,N(Screener!$D$14)&lt;=0),0,MAX(0,1-ABS(LOG10(Database!$S328/Screener!$D$14))/0.6))</f>
        <v/>
      </c>
      <c r="K328">
        <f>IF(Database!$B328=Screener!$B$5,-999999,IF(ISNUMBER(SEARCH(","&amp;Database!$A328&amp;",",","&amp;SUBSTITUTE(Screener!$D$17," ","")&amp;",")),2000000,IF(IF(OR(Screener!$B$18="All",AND(Screener!$B$18="With A-share",(Database!$BK328="Y")),AND(Screener!$B$18="Without A-share",NOT((Database!$BK328="Y")))),1,0)=0,-999999,IF(Screener!$B$16="cornerstone overlap first",H328*100000,IF(Screener!$B$16="demand-similar first",J328*100000,0))+W_SUB*B328+W_SEC*C328*(1-B328)+W_SIZE*D328+W_PROF*E328+W_AH*F328+W_REC*G328+W_CS*H328+W_PE*I328)))+ROW()/1000000</f>
        <v/>
      </c>
      <c r="AA328">
        <f>Database!B318</f>
        <v/>
      </c>
      <c r="AB328">
        <f>Database!D318</f>
        <v/>
      </c>
      <c r="AC328">
        <f>Database!E318</f>
        <v/>
      </c>
      <c r="AD328">
        <f>Database!I318</f>
        <v/>
      </c>
      <c r="AE328">
        <f>Database!BE318</f>
        <v/>
      </c>
      <c r="AF328">
        <f>Database!BK318</f>
        <v/>
      </c>
      <c r="AG328">
        <f>Database!H318</f>
        <v/>
      </c>
      <c r="AH328">
        <f>Database!BF318</f>
        <v/>
      </c>
    </row>
    <row r="329">
      <c r="A329">
        <f>Database!B329</f>
        <v/>
      </c>
      <c r="B329">
        <f>IF(AND(Screener!$D$8&lt;&gt;"",Database!$E329=Screener!$D$8),1,0)</f>
        <v/>
      </c>
      <c r="C329">
        <f>IF(AND(Screener!$D$7&lt;&gt;"",Database!$D329=Screener!$D$7),1,0)</f>
        <v/>
      </c>
      <c r="D329">
        <f>IF(OR(N(Database!$I329)&lt;=0,N(Screener!$D$9)&lt;=0),0,MAX(0,1-ABS(LOG10(N(Database!$I329)/Screener!$D$9))/W_SIZEHW))</f>
        <v/>
      </c>
      <c r="E329">
        <f>IF(OR(Database!$BE329="",Screener!$D$10=""),0,IF(Database!$BE329=Screener!$D$10,1,0))</f>
        <v/>
      </c>
      <c r="F329">
        <f>IF(OR(Database!$BK329="",Screener!$D$11=""),0,IF(Database!$BK329=Screener!$D$11,1,0))</f>
        <v/>
      </c>
      <c r="G329">
        <f>IF(OR(Database!$H329="",N(Screener!$D$12)&lt;=0),0,MAX(0,1-(N(Screener!$D$12)-Database!$H329)/W_RECD))</f>
        <v/>
      </c>
      <c r="H329">
        <f>IF($U$1="",0,N(ISNUMBER(SEARCH($U$1,Database!$Z329&amp;""))))+IF($V$1="",0,N(ISNUMBER(SEARCH($V$1,Database!$Z329&amp;""))))+IF($W$1="",0,N(ISNUMBER(SEARCH($W$1,Database!$Z329&amp;""))))+IF($X$1="",0,N(ISNUMBER(SEARCH($X$1,Database!$Z329&amp;""))))+IF($Y$1="",0,N(ISNUMBER(SEARCH($Y$1,Database!$Z329&amp;""))))+IF(Screener!$B$17="",0,N(ISNUMBER(SEARCH(LOWER(Screener!$B$17),Database!$Z329&amp;""))))</f>
        <v/>
      </c>
      <c r="I329">
        <f>IF(OR(N(Database!$BF329)&lt;=0,N(Screener!$D$13)&lt;=0),0,MAX(0,1-ABS(LOG10(N(Database!$BF329)/Screener!$D$13))/W_PEHW))</f>
        <v/>
      </c>
      <c r="J329">
        <f>IF(OR(N(Database!$S329)&lt;=0,N(Screener!$D$14)&lt;=0),0,MAX(0,1-ABS(LOG10(Database!$S329/Screener!$D$14))/0.6))</f>
        <v/>
      </c>
      <c r="K329">
        <f>IF(Database!$B329=Screener!$B$5,-999999,IF(ISNUMBER(SEARCH(","&amp;Database!$A329&amp;",",","&amp;SUBSTITUTE(Screener!$D$17," ","")&amp;",")),2000000,IF(IF(OR(Screener!$B$18="All",AND(Screener!$B$18="With A-share",(Database!$BK329="Y")),AND(Screener!$B$18="Without A-share",NOT((Database!$BK329="Y")))),1,0)=0,-999999,IF(Screener!$B$16="cornerstone overlap first",H329*100000,IF(Screener!$B$16="demand-similar first",J329*100000,0))+W_SUB*B329+W_SEC*C329*(1-B329)+W_SIZE*D329+W_PROF*E329+W_AH*F329+W_REC*G329+W_CS*H329+W_PE*I329)))+ROW()/1000000</f>
        <v/>
      </c>
      <c r="AA329">
        <f>Database!B319</f>
        <v/>
      </c>
      <c r="AB329">
        <f>Database!D319</f>
        <v/>
      </c>
      <c r="AC329">
        <f>Database!E319</f>
        <v/>
      </c>
      <c r="AD329">
        <f>Database!I319</f>
        <v/>
      </c>
      <c r="AE329">
        <f>Database!BE319</f>
        <v/>
      </c>
      <c r="AF329">
        <f>Database!BK319</f>
        <v/>
      </c>
      <c r="AG329">
        <f>Database!H319</f>
        <v/>
      </c>
      <c r="AH329">
        <f>Database!BF319</f>
        <v/>
      </c>
    </row>
    <row r="330">
      <c r="A330">
        <f>Database!B330</f>
        <v/>
      </c>
      <c r="B330">
        <f>IF(AND(Screener!$D$8&lt;&gt;"",Database!$E330=Screener!$D$8),1,0)</f>
        <v/>
      </c>
      <c r="C330">
        <f>IF(AND(Screener!$D$7&lt;&gt;"",Database!$D330=Screener!$D$7),1,0)</f>
        <v/>
      </c>
      <c r="D330">
        <f>IF(OR(N(Database!$I330)&lt;=0,N(Screener!$D$9)&lt;=0),0,MAX(0,1-ABS(LOG10(N(Database!$I330)/Screener!$D$9))/W_SIZEHW))</f>
        <v/>
      </c>
      <c r="E330">
        <f>IF(OR(Database!$BE330="",Screener!$D$10=""),0,IF(Database!$BE330=Screener!$D$10,1,0))</f>
        <v/>
      </c>
      <c r="F330">
        <f>IF(OR(Database!$BK330="",Screener!$D$11=""),0,IF(Database!$BK330=Screener!$D$11,1,0))</f>
        <v/>
      </c>
      <c r="G330">
        <f>IF(OR(Database!$H330="",N(Screener!$D$12)&lt;=0),0,MAX(0,1-(N(Screener!$D$12)-Database!$H330)/W_RECD))</f>
        <v/>
      </c>
      <c r="H330">
        <f>IF($U$1="",0,N(ISNUMBER(SEARCH($U$1,Database!$Z330&amp;""))))+IF($V$1="",0,N(ISNUMBER(SEARCH($V$1,Database!$Z330&amp;""))))+IF($W$1="",0,N(ISNUMBER(SEARCH($W$1,Database!$Z330&amp;""))))+IF($X$1="",0,N(ISNUMBER(SEARCH($X$1,Database!$Z330&amp;""))))+IF($Y$1="",0,N(ISNUMBER(SEARCH($Y$1,Database!$Z330&amp;""))))+IF(Screener!$B$17="",0,N(ISNUMBER(SEARCH(LOWER(Screener!$B$17),Database!$Z330&amp;""))))</f>
        <v/>
      </c>
      <c r="I330">
        <f>IF(OR(N(Database!$BF330)&lt;=0,N(Screener!$D$13)&lt;=0),0,MAX(0,1-ABS(LOG10(N(Database!$BF330)/Screener!$D$13))/W_PEHW))</f>
        <v/>
      </c>
      <c r="J330">
        <f>IF(OR(N(Database!$S330)&lt;=0,N(Screener!$D$14)&lt;=0),0,MAX(0,1-ABS(LOG10(Database!$S330/Screener!$D$14))/0.6))</f>
        <v/>
      </c>
      <c r="K330">
        <f>IF(Database!$B330=Screener!$B$5,-999999,IF(ISNUMBER(SEARCH(","&amp;Database!$A330&amp;",",","&amp;SUBSTITUTE(Screener!$D$17," ","")&amp;",")),2000000,IF(IF(OR(Screener!$B$18="All",AND(Screener!$B$18="With A-share",(Database!$BK330="Y")),AND(Screener!$B$18="Without A-share",NOT((Database!$BK330="Y")))),1,0)=0,-999999,IF(Screener!$B$16="cornerstone overlap first",H330*100000,IF(Screener!$B$16="demand-similar first",J330*100000,0))+W_SUB*B330+W_SEC*C330*(1-B330)+W_SIZE*D330+W_PROF*E330+W_AH*F330+W_REC*G330+W_CS*H330+W_PE*I330)))+ROW()/1000000</f>
        <v/>
      </c>
      <c r="AA330">
        <f>Database!B320</f>
        <v/>
      </c>
      <c r="AB330">
        <f>Database!D320</f>
        <v/>
      </c>
      <c r="AC330">
        <f>Database!E320</f>
        <v/>
      </c>
      <c r="AD330">
        <f>Database!I320</f>
        <v/>
      </c>
      <c r="AE330">
        <f>Database!BE320</f>
        <v/>
      </c>
      <c r="AF330">
        <f>Database!BK320</f>
        <v/>
      </c>
      <c r="AG330">
        <f>Database!H320</f>
        <v/>
      </c>
      <c r="AH330">
        <f>Database!BF320</f>
        <v/>
      </c>
    </row>
    <row r="331">
      <c r="A331">
        <f>Database!B331</f>
        <v/>
      </c>
      <c r="B331">
        <f>IF(AND(Screener!$D$8&lt;&gt;"",Database!$E331=Screener!$D$8),1,0)</f>
        <v/>
      </c>
      <c r="C331">
        <f>IF(AND(Screener!$D$7&lt;&gt;"",Database!$D331=Screener!$D$7),1,0)</f>
        <v/>
      </c>
      <c r="D331">
        <f>IF(OR(N(Database!$I331)&lt;=0,N(Screener!$D$9)&lt;=0),0,MAX(0,1-ABS(LOG10(N(Database!$I331)/Screener!$D$9))/W_SIZEHW))</f>
        <v/>
      </c>
      <c r="E331">
        <f>IF(OR(Database!$BE331="",Screener!$D$10=""),0,IF(Database!$BE331=Screener!$D$10,1,0))</f>
        <v/>
      </c>
      <c r="F331">
        <f>IF(OR(Database!$BK331="",Screener!$D$11=""),0,IF(Database!$BK331=Screener!$D$11,1,0))</f>
        <v/>
      </c>
      <c r="G331">
        <f>IF(OR(Database!$H331="",N(Screener!$D$12)&lt;=0),0,MAX(0,1-(N(Screener!$D$12)-Database!$H331)/W_RECD))</f>
        <v/>
      </c>
      <c r="H331">
        <f>IF($U$1="",0,N(ISNUMBER(SEARCH($U$1,Database!$Z331&amp;""))))+IF($V$1="",0,N(ISNUMBER(SEARCH($V$1,Database!$Z331&amp;""))))+IF($W$1="",0,N(ISNUMBER(SEARCH($W$1,Database!$Z331&amp;""))))+IF($X$1="",0,N(ISNUMBER(SEARCH($X$1,Database!$Z331&amp;""))))+IF($Y$1="",0,N(ISNUMBER(SEARCH($Y$1,Database!$Z331&amp;""))))+IF(Screener!$B$17="",0,N(ISNUMBER(SEARCH(LOWER(Screener!$B$17),Database!$Z331&amp;""))))</f>
        <v/>
      </c>
      <c r="I331">
        <f>IF(OR(N(Database!$BF331)&lt;=0,N(Screener!$D$13)&lt;=0),0,MAX(0,1-ABS(LOG10(N(Database!$BF331)/Screener!$D$13))/W_PEHW))</f>
        <v/>
      </c>
      <c r="J331">
        <f>IF(OR(N(Database!$S331)&lt;=0,N(Screener!$D$14)&lt;=0),0,MAX(0,1-ABS(LOG10(Database!$S331/Screener!$D$14))/0.6))</f>
        <v/>
      </c>
      <c r="K331">
        <f>IF(Database!$B331=Screener!$B$5,-999999,IF(ISNUMBER(SEARCH(","&amp;Database!$A331&amp;",",","&amp;SUBSTITUTE(Screener!$D$17," ","")&amp;",")),2000000,IF(IF(OR(Screener!$B$18="All",AND(Screener!$B$18="With A-share",(Database!$BK331="Y")),AND(Screener!$B$18="Without A-share",NOT((Database!$BK331="Y")))),1,0)=0,-999999,IF(Screener!$B$16="cornerstone overlap first",H331*100000,IF(Screener!$B$16="demand-similar first",J331*100000,0))+W_SUB*B331+W_SEC*C331*(1-B331)+W_SIZE*D331+W_PROF*E331+W_AH*F331+W_REC*G331+W_CS*H331+W_PE*I331)))+ROW()/1000000</f>
        <v/>
      </c>
      <c r="AA331">
        <f>Database!B321</f>
        <v/>
      </c>
      <c r="AB331">
        <f>Database!D321</f>
        <v/>
      </c>
      <c r="AC331">
        <f>Database!E321</f>
        <v/>
      </c>
      <c r="AD331">
        <f>Database!I321</f>
        <v/>
      </c>
      <c r="AE331">
        <f>Database!BE321</f>
        <v/>
      </c>
      <c r="AF331">
        <f>Database!BK321</f>
        <v/>
      </c>
      <c r="AG331">
        <f>Database!H321</f>
        <v/>
      </c>
      <c r="AH331">
        <f>Database!BF321</f>
        <v/>
      </c>
    </row>
    <row r="332">
      <c r="A332">
        <f>Database!B332</f>
        <v/>
      </c>
      <c r="B332">
        <f>IF(AND(Screener!$D$8&lt;&gt;"",Database!$E332=Screener!$D$8),1,0)</f>
        <v/>
      </c>
      <c r="C332">
        <f>IF(AND(Screener!$D$7&lt;&gt;"",Database!$D332=Screener!$D$7),1,0)</f>
        <v/>
      </c>
      <c r="D332">
        <f>IF(OR(N(Database!$I332)&lt;=0,N(Screener!$D$9)&lt;=0),0,MAX(0,1-ABS(LOG10(N(Database!$I332)/Screener!$D$9))/W_SIZEHW))</f>
        <v/>
      </c>
      <c r="E332">
        <f>IF(OR(Database!$BE332="",Screener!$D$10=""),0,IF(Database!$BE332=Screener!$D$10,1,0))</f>
        <v/>
      </c>
      <c r="F332">
        <f>IF(OR(Database!$BK332="",Screener!$D$11=""),0,IF(Database!$BK332=Screener!$D$11,1,0))</f>
        <v/>
      </c>
      <c r="G332">
        <f>IF(OR(Database!$H332="",N(Screener!$D$12)&lt;=0),0,MAX(0,1-(N(Screener!$D$12)-Database!$H332)/W_RECD))</f>
        <v/>
      </c>
      <c r="H332">
        <f>IF($U$1="",0,N(ISNUMBER(SEARCH($U$1,Database!$Z332&amp;""))))+IF($V$1="",0,N(ISNUMBER(SEARCH($V$1,Database!$Z332&amp;""))))+IF($W$1="",0,N(ISNUMBER(SEARCH($W$1,Database!$Z332&amp;""))))+IF($X$1="",0,N(ISNUMBER(SEARCH($X$1,Database!$Z332&amp;""))))+IF($Y$1="",0,N(ISNUMBER(SEARCH($Y$1,Database!$Z332&amp;""))))+IF(Screener!$B$17="",0,N(ISNUMBER(SEARCH(LOWER(Screener!$B$17),Database!$Z332&amp;""))))</f>
        <v/>
      </c>
      <c r="I332">
        <f>IF(OR(N(Database!$BF332)&lt;=0,N(Screener!$D$13)&lt;=0),0,MAX(0,1-ABS(LOG10(N(Database!$BF332)/Screener!$D$13))/W_PEHW))</f>
        <v/>
      </c>
      <c r="J332">
        <f>IF(OR(N(Database!$S332)&lt;=0,N(Screener!$D$14)&lt;=0),0,MAX(0,1-ABS(LOG10(Database!$S332/Screener!$D$14))/0.6))</f>
        <v/>
      </c>
      <c r="K332">
        <f>IF(Database!$B332=Screener!$B$5,-999999,IF(ISNUMBER(SEARCH(","&amp;Database!$A332&amp;",",","&amp;SUBSTITUTE(Screener!$D$17," ","")&amp;",")),2000000,IF(IF(OR(Screener!$B$18="All",AND(Screener!$B$18="With A-share",(Database!$BK332="Y")),AND(Screener!$B$18="Without A-share",NOT((Database!$BK332="Y")))),1,0)=0,-999999,IF(Screener!$B$16="cornerstone overlap first",H332*100000,IF(Screener!$B$16="demand-similar first",J332*100000,0))+W_SUB*B332+W_SEC*C332*(1-B332)+W_SIZE*D332+W_PROF*E332+W_AH*F332+W_REC*G332+W_CS*H332+W_PE*I332)))+ROW()/1000000</f>
        <v/>
      </c>
      <c r="AA332">
        <f>Database!B322</f>
        <v/>
      </c>
      <c r="AB332">
        <f>Database!D322</f>
        <v/>
      </c>
      <c r="AC332">
        <f>Database!E322</f>
        <v/>
      </c>
      <c r="AD332">
        <f>Database!I322</f>
        <v/>
      </c>
      <c r="AE332">
        <f>Database!BE322</f>
        <v/>
      </c>
      <c r="AF332">
        <f>Database!BK322</f>
        <v/>
      </c>
      <c r="AG332">
        <f>Database!H322</f>
        <v/>
      </c>
      <c r="AH332">
        <f>Database!BF322</f>
        <v/>
      </c>
    </row>
    <row r="333">
      <c r="A333">
        <f>Database!B333</f>
        <v/>
      </c>
      <c r="B333">
        <f>IF(AND(Screener!$D$8&lt;&gt;"",Database!$E333=Screener!$D$8),1,0)</f>
        <v/>
      </c>
      <c r="C333">
        <f>IF(AND(Screener!$D$7&lt;&gt;"",Database!$D333=Screener!$D$7),1,0)</f>
        <v/>
      </c>
      <c r="D333">
        <f>IF(OR(N(Database!$I333)&lt;=0,N(Screener!$D$9)&lt;=0),0,MAX(0,1-ABS(LOG10(N(Database!$I333)/Screener!$D$9))/W_SIZEHW))</f>
        <v/>
      </c>
      <c r="E333">
        <f>IF(OR(Database!$BE333="",Screener!$D$10=""),0,IF(Database!$BE333=Screener!$D$10,1,0))</f>
        <v/>
      </c>
      <c r="F333">
        <f>IF(OR(Database!$BK333="",Screener!$D$11=""),0,IF(Database!$BK333=Screener!$D$11,1,0))</f>
        <v/>
      </c>
      <c r="G333">
        <f>IF(OR(Database!$H333="",N(Screener!$D$12)&lt;=0),0,MAX(0,1-(N(Screener!$D$12)-Database!$H333)/W_RECD))</f>
        <v/>
      </c>
      <c r="H333">
        <f>IF($U$1="",0,N(ISNUMBER(SEARCH($U$1,Database!$Z333&amp;""))))+IF($V$1="",0,N(ISNUMBER(SEARCH($V$1,Database!$Z333&amp;""))))+IF($W$1="",0,N(ISNUMBER(SEARCH($W$1,Database!$Z333&amp;""))))+IF($X$1="",0,N(ISNUMBER(SEARCH($X$1,Database!$Z333&amp;""))))+IF($Y$1="",0,N(ISNUMBER(SEARCH($Y$1,Database!$Z333&amp;""))))+IF(Screener!$B$17="",0,N(ISNUMBER(SEARCH(LOWER(Screener!$B$17),Database!$Z333&amp;""))))</f>
        <v/>
      </c>
      <c r="I333">
        <f>IF(OR(N(Database!$BF333)&lt;=0,N(Screener!$D$13)&lt;=0),0,MAX(0,1-ABS(LOG10(N(Database!$BF333)/Screener!$D$13))/W_PEHW))</f>
        <v/>
      </c>
      <c r="J333">
        <f>IF(OR(N(Database!$S333)&lt;=0,N(Screener!$D$14)&lt;=0),0,MAX(0,1-ABS(LOG10(Database!$S333/Screener!$D$14))/0.6))</f>
        <v/>
      </c>
      <c r="K333">
        <f>IF(Database!$B333=Screener!$B$5,-999999,IF(ISNUMBER(SEARCH(","&amp;Database!$A333&amp;",",","&amp;SUBSTITUTE(Screener!$D$17," ","")&amp;",")),2000000,IF(IF(OR(Screener!$B$18="All",AND(Screener!$B$18="With A-share",(Database!$BK333="Y")),AND(Screener!$B$18="Without A-share",NOT((Database!$BK333="Y")))),1,0)=0,-999999,IF(Screener!$B$16="cornerstone overlap first",H333*100000,IF(Screener!$B$16="demand-similar first",J333*100000,0))+W_SUB*B333+W_SEC*C333*(1-B333)+W_SIZE*D333+W_PROF*E333+W_AH*F333+W_REC*G333+W_CS*H333+W_PE*I333)))+ROW()/1000000</f>
        <v/>
      </c>
      <c r="AA333">
        <f>Database!B323</f>
        <v/>
      </c>
      <c r="AB333">
        <f>Database!D323</f>
        <v/>
      </c>
      <c r="AC333">
        <f>Database!E323</f>
        <v/>
      </c>
      <c r="AD333">
        <f>Database!I323</f>
        <v/>
      </c>
      <c r="AE333">
        <f>Database!BE323</f>
        <v/>
      </c>
      <c r="AF333">
        <f>Database!BK323</f>
        <v/>
      </c>
      <c r="AG333">
        <f>Database!H323</f>
        <v/>
      </c>
      <c r="AH333">
        <f>Database!BF323</f>
        <v/>
      </c>
    </row>
    <row r="334">
      <c r="A334">
        <f>Database!B334</f>
        <v/>
      </c>
      <c r="B334">
        <f>IF(AND(Screener!$D$8&lt;&gt;"",Database!$E334=Screener!$D$8),1,0)</f>
        <v/>
      </c>
      <c r="C334">
        <f>IF(AND(Screener!$D$7&lt;&gt;"",Database!$D334=Screener!$D$7),1,0)</f>
        <v/>
      </c>
      <c r="D334">
        <f>IF(OR(N(Database!$I334)&lt;=0,N(Screener!$D$9)&lt;=0),0,MAX(0,1-ABS(LOG10(N(Database!$I334)/Screener!$D$9))/W_SIZEHW))</f>
        <v/>
      </c>
      <c r="E334">
        <f>IF(OR(Database!$BE334="",Screener!$D$10=""),0,IF(Database!$BE334=Screener!$D$10,1,0))</f>
        <v/>
      </c>
      <c r="F334">
        <f>IF(OR(Database!$BK334="",Screener!$D$11=""),0,IF(Database!$BK334=Screener!$D$11,1,0))</f>
        <v/>
      </c>
      <c r="G334">
        <f>IF(OR(Database!$H334="",N(Screener!$D$12)&lt;=0),0,MAX(0,1-(N(Screener!$D$12)-Database!$H334)/W_RECD))</f>
        <v/>
      </c>
      <c r="H334">
        <f>IF($U$1="",0,N(ISNUMBER(SEARCH($U$1,Database!$Z334&amp;""))))+IF($V$1="",0,N(ISNUMBER(SEARCH($V$1,Database!$Z334&amp;""))))+IF($W$1="",0,N(ISNUMBER(SEARCH($W$1,Database!$Z334&amp;""))))+IF($X$1="",0,N(ISNUMBER(SEARCH($X$1,Database!$Z334&amp;""))))+IF($Y$1="",0,N(ISNUMBER(SEARCH($Y$1,Database!$Z334&amp;""))))+IF(Screener!$B$17="",0,N(ISNUMBER(SEARCH(LOWER(Screener!$B$17),Database!$Z334&amp;""))))</f>
        <v/>
      </c>
      <c r="I334">
        <f>IF(OR(N(Database!$BF334)&lt;=0,N(Screener!$D$13)&lt;=0),0,MAX(0,1-ABS(LOG10(N(Database!$BF334)/Screener!$D$13))/W_PEHW))</f>
        <v/>
      </c>
      <c r="J334">
        <f>IF(OR(N(Database!$S334)&lt;=0,N(Screener!$D$14)&lt;=0),0,MAX(0,1-ABS(LOG10(Database!$S334/Screener!$D$14))/0.6))</f>
        <v/>
      </c>
      <c r="K334">
        <f>IF(Database!$B334=Screener!$B$5,-999999,IF(ISNUMBER(SEARCH(","&amp;Database!$A334&amp;",",","&amp;SUBSTITUTE(Screener!$D$17," ","")&amp;",")),2000000,IF(IF(OR(Screener!$B$18="All",AND(Screener!$B$18="With A-share",(Database!$BK334="Y")),AND(Screener!$B$18="Without A-share",NOT((Database!$BK334="Y")))),1,0)=0,-999999,IF(Screener!$B$16="cornerstone overlap first",H334*100000,IF(Screener!$B$16="demand-similar first",J334*100000,0))+W_SUB*B334+W_SEC*C334*(1-B334)+W_SIZE*D334+W_PROF*E334+W_AH*F334+W_REC*G334+W_CS*H334+W_PE*I334)))+ROW()/1000000</f>
        <v/>
      </c>
      <c r="AA334">
        <f>Database!B324</f>
        <v/>
      </c>
      <c r="AB334">
        <f>Database!D324</f>
        <v/>
      </c>
      <c r="AC334">
        <f>Database!E324</f>
        <v/>
      </c>
      <c r="AD334">
        <f>Database!I324</f>
        <v/>
      </c>
      <c r="AE334">
        <f>Database!BE324</f>
        <v/>
      </c>
      <c r="AF334">
        <f>Database!BK324</f>
        <v/>
      </c>
      <c r="AG334">
        <f>Database!H324</f>
        <v/>
      </c>
      <c r="AH334">
        <f>Database!BF324</f>
        <v/>
      </c>
    </row>
    <row r="335">
      <c r="A335">
        <f>Database!B335</f>
        <v/>
      </c>
      <c r="B335">
        <f>IF(AND(Screener!$D$8&lt;&gt;"",Database!$E335=Screener!$D$8),1,0)</f>
        <v/>
      </c>
      <c r="C335">
        <f>IF(AND(Screener!$D$7&lt;&gt;"",Database!$D335=Screener!$D$7),1,0)</f>
        <v/>
      </c>
      <c r="D335">
        <f>IF(OR(N(Database!$I335)&lt;=0,N(Screener!$D$9)&lt;=0),0,MAX(0,1-ABS(LOG10(N(Database!$I335)/Screener!$D$9))/W_SIZEHW))</f>
        <v/>
      </c>
      <c r="E335">
        <f>IF(OR(Database!$BE335="",Screener!$D$10=""),0,IF(Database!$BE335=Screener!$D$10,1,0))</f>
        <v/>
      </c>
      <c r="F335">
        <f>IF(OR(Database!$BK335="",Screener!$D$11=""),0,IF(Database!$BK335=Screener!$D$11,1,0))</f>
        <v/>
      </c>
      <c r="G335">
        <f>IF(OR(Database!$H335="",N(Screener!$D$12)&lt;=0),0,MAX(0,1-(N(Screener!$D$12)-Database!$H335)/W_RECD))</f>
        <v/>
      </c>
      <c r="H335">
        <f>IF($U$1="",0,N(ISNUMBER(SEARCH($U$1,Database!$Z335&amp;""))))+IF($V$1="",0,N(ISNUMBER(SEARCH($V$1,Database!$Z335&amp;""))))+IF($W$1="",0,N(ISNUMBER(SEARCH($W$1,Database!$Z335&amp;""))))+IF($X$1="",0,N(ISNUMBER(SEARCH($X$1,Database!$Z335&amp;""))))+IF($Y$1="",0,N(ISNUMBER(SEARCH($Y$1,Database!$Z335&amp;""))))+IF(Screener!$B$17="",0,N(ISNUMBER(SEARCH(LOWER(Screener!$B$17),Database!$Z335&amp;""))))</f>
        <v/>
      </c>
      <c r="I335">
        <f>IF(OR(N(Database!$BF335)&lt;=0,N(Screener!$D$13)&lt;=0),0,MAX(0,1-ABS(LOG10(N(Database!$BF335)/Screener!$D$13))/W_PEHW))</f>
        <v/>
      </c>
      <c r="J335">
        <f>IF(OR(N(Database!$S335)&lt;=0,N(Screener!$D$14)&lt;=0),0,MAX(0,1-ABS(LOG10(Database!$S335/Screener!$D$14))/0.6))</f>
        <v/>
      </c>
      <c r="K335">
        <f>IF(Database!$B335=Screener!$B$5,-999999,IF(ISNUMBER(SEARCH(","&amp;Database!$A335&amp;",",","&amp;SUBSTITUTE(Screener!$D$17," ","")&amp;",")),2000000,IF(IF(OR(Screener!$B$18="All",AND(Screener!$B$18="With A-share",(Database!$BK335="Y")),AND(Screener!$B$18="Without A-share",NOT((Database!$BK335="Y")))),1,0)=0,-999999,IF(Screener!$B$16="cornerstone overlap first",H335*100000,IF(Screener!$B$16="demand-similar first",J335*100000,0))+W_SUB*B335+W_SEC*C335*(1-B335)+W_SIZE*D335+W_PROF*E335+W_AH*F335+W_REC*G335+W_CS*H335+W_PE*I335)))+ROW()/1000000</f>
        <v/>
      </c>
      <c r="AA335">
        <f>Database!B325</f>
        <v/>
      </c>
      <c r="AB335">
        <f>Database!D325</f>
        <v/>
      </c>
      <c r="AC335">
        <f>Database!E325</f>
        <v/>
      </c>
      <c r="AD335">
        <f>Database!I325</f>
        <v/>
      </c>
      <c r="AE335">
        <f>Database!BE325</f>
        <v/>
      </c>
      <c r="AF335">
        <f>Database!BK325</f>
        <v/>
      </c>
      <c r="AG335">
        <f>Database!H325</f>
        <v/>
      </c>
      <c r="AH335">
        <f>Database!BF325</f>
        <v/>
      </c>
    </row>
    <row r="336">
      <c r="A336">
        <f>Database!B336</f>
        <v/>
      </c>
      <c r="B336">
        <f>IF(AND(Screener!$D$8&lt;&gt;"",Database!$E336=Screener!$D$8),1,0)</f>
        <v/>
      </c>
      <c r="C336">
        <f>IF(AND(Screener!$D$7&lt;&gt;"",Database!$D336=Screener!$D$7),1,0)</f>
        <v/>
      </c>
      <c r="D336">
        <f>IF(OR(N(Database!$I336)&lt;=0,N(Screener!$D$9)&lt;=0),0,MAX(0,1-ABS(LOG10(N(Database!$I336)/Screener!$D$9))/W_SIZEHW))</f>
        <v/>
      </c>
      <c r="E336">
        <f>IF(OR(Database!$BE336="",Screener!$D$10=""),0,IF(Database!$BE336=Screener!$D$10,1,0))</f>
        <v/>
      </c>
      <c r="F336">
        <f>IF(OR(Database!$BK336="",Screener!$D$11=""),0,IF(Database!$BK336=Screener!$D$11,1,0))</f>
        <v/>
      </c>
      <c r="G336">
        <f>IF(OR(Database!$H336="",N(Screener!$D$12)&lt;=0),0,MAX(0,1-(N(Screener!$D$12)-Database!$H336)/W_RECD))</f>
        <v/>
      </c>
      <c r="H336">
        <f>IF($U$1="",0,N(ISNUMBER(SEARCH($U$1,Database!$Z336&amp;""))))+IF($V$1="",0,N(ISNUMBER(SEARCH($V$1,Database!$Z336&amp;""))))+IF($W$1="",0,N(ISNUMBER(SEARCH($W$1,Database!$Z336&amp;""))))+IF($X$1="",0,N(ISNUMBER(SEARCH($X$1,Database!$Z336&amp;""))))+IF($Y$1="",0,N(ISNUMBER(SEARCH($Y$1,Database!$Z336&amp;""))))+IF(Screener!$B$17="",0,N(ISNUMBER(SEARCH(LOWER(Screener!$B$17),Database!$Z336&amp;""))))</f>
        <v/>
      </c>
      <c r="I336">
        <f>IF(OR(N(Database!$BF336)&lt;=0,N(Screener!$D$13)&lt;=0),0,MAX(0,1-ABS(LOG10(N(Database!$BF336)/Screener!$D$13))/W_PEHW))</f>
        <v/>
      </c>
      <c r="J336">
        <f>IF(OR(N(Database!$S336)&lt;=0,N(Screener!$D$14)&lt;=0),0,MAX(0,1-ABS(LOG10(Database!$S336/Screener!$D$14))/0.6))</f>
        <v/>
      </c>
      <c r="K336">
        <f>IF(Database!$B336=Screener!$B$5,-999999,IF(ISNUMBER(SEARCH(","&amp;Database!$A336&amp;",",","&amp;SUBSTITUTE(Screener!$D$17," ","")&amp;",")),2000000,IF(IF(OR(Screener!$B$18="All",AND(Screener!$B$18="With A-share",(Database!$BK336="Y")),AND(Screener!$B$18="Without A-share",NOT((Database!$BK336="Y")))),1,0)=0,-999999,IF(Screener!$B$16="cornerstone overlap first",H336*100000,IF(Screener!$B$16="demand-similar first",J336*100000,0))+W_SUB*B336+W_SEC*C336*(1-B336)+W_SIZE*D336+W_PROF*E336+W_AH*F336+W_REC*G336+W_CS*H336+W_PE*I336)))+ROW()/1000000</f>
        <v/>
      </c>
      <c r="AA336">
        <f>Database!B326</f>
        <v/>
      </c>
      <c r="AB336">
        <f>Database!D326</f>
        <v/>
      </c>
      <c r="AC336">
        <f>Database!E326</f>
        <v/>
      </c>
      <c r="AD336">
        <f>Database!I326</f>
        <v/>
      </c>
      <c r="AE336">
        <f>Database!BE326</f>
        <v/>
      </c>
      <c r="AF336">
        <f>Database!BK326</f>
        <v/>
      </c>
      <c r="AG336">
        <f>Database!H326</f>
        <v/>
      </c>
      <c r="AH336">
        <f>Database!BF326</f>
        <v/>
      </c>
    </row>
    <row r="337">
      <c r="A337">
        <f>Database!B337</f>
        <v/>
      </c>
      <c r="B337">
        <f>IF(AND(Screener!$D$8&lt;&gt;"",Database!$E337=Screener!$D$8),1,0)</f>
        <v/>
      </c>
      <c r="C337">
        <f>IF(AND(Screener!$D$7&lt;&gt;"",Database!$D337=Screener!$D$7),1,0)</f>
        <v/>
      </c>
      <c r="D337">
        <f>IF(OR(N(Database!$I337)&lt;=0,N(Screener!$D$9)&lt;=0),0,MAX(0,1-ABS(LOG10(N(Database!$I337)/Screener!$D$9))/W_SIZEHW))</f>
        <v/>
      </c>
      <c r="E337">
        <f>IF(OR(Database!$BE337="",Screener!$D$10=""),0,IF(Database!$BE337=Screener!$D$10,1,0))</f>
        <v/>
      </c>
      <c r="F337">
        <f>IF(OR(Database!$BK337="",Screener!$D$11=""),0,IF(Database!$BK337=Screener!$D$11,1,0))</f>
        <v/>
      </c>
      <c r="G337">
        <f>IF(OR(Database!$H337="",N(Screener!$D$12)&lt;=0),0,MAX(0,1-(N(Screener!$D$12)-Database!$H337)/W_RECD))</f>
        <v/>
      </c>
      <c r="H337">
        <f>IF($U$1="",0,N(ISNUMBER(SEARCH($U$1,Database!$Z337&amp;""))))+IF($V$1="",0,N(ISNUMBER(SEARCH($V$1,Database!$Z337&amp;""))))+IF($W$1="",0,N(ISNUMBER(SEARCH($W$1,Database!$Z337&amp;""))))+IF($X$1="",0,N(ISNUMBER(SEARCH($X$1,Database!$Z337&amp;""))))+IF($Y$1="",0,N(ISNUMBER(SEARCH($Y$1,Database!$Z337&amp;""))))+IF(Screener!$B$17="",0,N(ISNUMBER(SEARCH(LOWER(Screener!$B$17),Database!$Z337&amp;""))))</f>
        <v/>
      </c>
      <c r="I337">
        <f>IF(OR(N(Database!$BF337)&lt;=0,N(Screener!$D$13)&lt;=0),0,MAX(0,1-ABS(LOG10(N(Database!$BF337)/Screener!$D$13))/W_PEHW))</f>
        <v/>
      </c>
      <c r="J337">
        <f>IF(OR(N(Database!$S337)&lt;=0,N(Screener!$D$14)&lt;=0),0,MAX(0,1-ABS(LOG10(Database!$S337/Screener!$D$14))/0.6))</f>
        <v/>
      </c>
      <c r="K337">
        <f>IF(Database!$B337=Screener!$B$5,-999999,IF(ISNUMBER(SEARCH(","&amp;Database!$A337&amp;",",","&amp;SUBSTITUTE(Screener!$D$17," ","")&amp;",")),2000000,IF(IF(OR(Screener!$B$18="All",AND(Screener!$B$18="With A-share",(Database!$BK337="Y")),AND(Screener!$B$18="Without A-share",NOT((Database!$BK337="Y")))),1,0)=0,-999999,IF(Screener!$B$16="cornerstone overlap first",H337*100000,IF(Screener!$B$16="demand-similar first",J337*100000,0))+W_SUB*B337+W_SEC*C337*(1-B337)+W_SIZE*D337+W_PROF*E337+W_AH*F337+W_REC*G337+W_CS*H337+W_PE*I337)))+ROW()/1000000</f>
        <v/>
      </c>
      <c r="AA337">
        <f>Database!B327</f>
        <v/>
      </c>
      <c r="AB337">
        <f>Database!D327</f>
        <v/>
      </c>
      <c r="AC337">
        <f>Database!E327</f>
        <v/>
      </c>
      <c r="AD337">
        <f>Database!I327</f>
        <v/>
      </c>
      <c r="AE337">
        <f>Database!BE327</f>
        <v/>
      </c>
      <c r="AF337">
        <f>Database!BK327</f>
        <v/>
      </c>
      <c r="AG337">
        <f>Database!H327</f>
        <v/>
      </c>
      <c r="AH337">
        <f>Database!BF327</f>
        <v/>
      </c>
    </row>
    <row r="338">
      <c r="A338">
        <f>Database!B338</f>
        <v/>
      </c>
      <c r="B338">
        <f>IF(AND(Screener!$D$8&lt;&gt;"",Database!$E338=Screener!$D$8),1,0)</f>
        <v/>
      </c>
      <c r="C338">
        <f>IF(AND(Screener!$D$7&lt;&gt;"",Database!$D338=Screener!$D$7),1,0)</f>
        <v/>
      </c>
      <c r="D338">
        <f>IF(OR(N(Database!$I338)&lt;=0,N(Screener!$D$9)&lt;=0),0,MAX(0,1-ABS(LOG10(N(Database!$I338)/Screener!$D$9))/W_SIZEHW))</f>
        <v/>
      </c>
      <c r="E338">
        <f>IF(OR(Database!$BE338="",Screener!$D$10=""),0,IF(Database!$BE338=Screener!$D$10,1,0))</f>
        <v/>
      </c>
      <c r="F338">
        <f>IF(OR(Database!$BK338="",Screener!$D$11=""),0,IF(Database!$BK338=Screener!$D$11,1,0))</f>
        <v/>
      </c>
      <c r="G338">
        <f>IF(OR(Database!$H338="",N(Screener!$D$12)&lt;=0),0,MAX(0,1-(N(Screener!$D$12)-Database!$H338)/W_RECD))</f>
        <v/>
      </c>
      <c r="H338">
        <f>IF($U$1="",0,N(ISNUMBER(SEARCH($U$1,Database!$Z338&amp;""))))+IF($V$1="",0,N(ISNUMBER(SEARCH($V$1,Database!$Z338&amp;""))))+IF($W$1="",0,N(ISNUMBER(SEARCH($W$1,Database!$Z338&amp;""))))+IF($X$1="",0,N(ISNUMBER(SEARCH($X$1,Database!$Z338&amp;""))))+IF($Y$1="",0,N(ISNUMBER(SEARCH($Y$1,Database!$Z338&amp;""))))+IF(Screener!$B$17="",0,N(ISNUMBER(SEARCH(LOWER(Screener!$B$17),Database!$Z338&amp;""))))</f>
        <v/>
      </c>
      <c r="I338">
        <f>IF(OR(N(Database!$BF338)&lt;=0,N(Screener!$D$13)&lt;=0),0,MAX(0,1-ABS(LOG10(N(Database!$BF338)/Screener!$D$13))/W_PEHW))</f>
        <v/>
      </c>
      <c r="J338">
        <f>IF(OR(N(Database!$S338)&lt;=0,N(Screener!$D$14)&lt;=0),0,MAX(0,1-ABS(LOG10(Database!$S338/Screener!$D$14))/0.6))</f>
        <v/>
      </c>
      <c r="K338">
        <f>IF(Database!$B338=Screener!$B$5,-999999,IF(ISNUMBER(SEARCH(","&amp;Database!$A338&amp;",",","&amp;SUBSTITUTE(Screener!$D$17," ","")&amp;",")),2000000,IF(IF(OR(Screener!$B$18="All",AND(Screener!$B$18="With A-share",(Database!$BK338="Y")),AND(Screener!$B$18="Without A-share",NOT((Database!$BK338="Y")))),1,0)=0,-999999,IF(Screener!$B$16="cornerstone overlap first",H338*100000,IF(Screener!$B$16="demand-similar first",J338*100000,0))+W_SUB*B338+W_SEC*C338*(1-B338)+W_SIZE*D338+W_PROF*E338+W_AH*F338+W_REC*G338+W_CS*H338+W_PE*I338)))+ROW()/1000000</f>
        <v/>
      </c>
      <c r="AA338">
        <f>Database!B328</f>
        <v/>
      </c>
      <c r="AB338">
        <f>Database!D328</f>
        <v/>
      </c>
      <c r="AC338">
        <f>Database!E328</f>
        <v/>
      </c>
      <c r="AD338">
        <f>Database!I328</f>
        <v/>
      </c>
      <c r="AE338">
        <f>Database!BE328</f>
        <v/>
      </c>
      <c r="AF338">
        <f>Database!BK328</f>
        <v/>
      </c>
      <c r="AG338">
        <f>Database!H328</f>
        <v/>
      </c>
      <c r="AH338">
        <f>Database!BF328</f>
        <v/>
      </c>
    </row>
    <row r="339">
      <c r="A339">
        <f>Database!B339</f>
        <v/>
      </c>
      <c r="B339">
        <f>IF(AND(Screener!$D$8&lt;&gt;"",Database!$E339=Screener!$D$8),1,0)</f>
        <v/>
      </c>
      <c r="C339">
        <f>IF(AND(Screener!$D$7&lt;&gt;"",Database!$D339=Screener!$D$7),1,0)</f>
        <v/>
      </c>
      <c r="D339">
        <f>IF(OR(N(Database!$I339)&lt;=0,N(Screener!$D$9)&lt;=0),0,MAX(0,1-ABS(LOG10(N(Database!$I339)/Screener!$D$9))/W_SIZEHW))</f>
        <v/>
      </c>
      <c r="E339">
        <f>IF(OR(Database!$BE339="",Screener!$D$10=""),0,IF(Database!$BE339=Screener!$D$10,1,0))</f>
        <v/>
      </c>
      <c r="F339">
        <f>IF(OR(Database!$BK339="",Screener!$D$11=""),0,IF(Database!$BK339=Screener!$D$11,1,0))</f>
        <v/>
      </c>
      <c r="G339">
        <f>IF(OR(Database!$H339="",N(Screener!$D$12)&lt;=0),0,MAX(0,1-(N(Screener!$D$12)-Database!$H339)/W_RECD))</f>
        <v/>
      </c>
      <c r="H339">
        <f>IF($U$1="",0,N(ISNUMBER(SEARCH($U$1,Database!$Z339&amp;""))))+IF($V$1="",0,N(ISNUMBER(SEARCH($V$1,Database!$Z339&amp;""))))+IF($W$1="",0,N(ISNUMBER(SEARCH($W$1,Database!$Z339&amp;""))))+IF($X$1="",0,N(ISNUMBER(SEARCH($X$1,Database!$Z339&amp;""))))+IF($Y$1="",0,N(ISNUMBER(SEARCH($Y$1,Database!$Z339&amp;""))))+IF(Screener!$B$17="",0,N(ISNUMBER(SEARCH(LOWER(Screener!$B$17),Database!$Z339&amp;""))))</f>
        <v/>
      </c>
      <c r="I339">
        <f>IF(OR(N(Database!$BF339)&lt;=0,N(Screener!$D$13)&lt;=0),0,MAX(0,1-ABS(LOG10(N(Database!$BF339)/Screener!$D$13))/W_PEHW))</f>
        <v/>
      </c>
      <c r="J339">
        <f>IF(OR(N(Database!$S339)&lt;=0,N(Screener!$D$14)&lt;=0),0,MAX(0,1-ABS(LOG10(Database!$S339/Screener!$D$14))/0.6))</f>
        <v/>
      </c>
      <c r="K339">
        <f>IF(Database!$B339=Screener!$B$5,-999999,IF(ISNUMBER(SEARCH(","&amp;Database!$A339&amp;",",","&amp;SUBSTITUTE(Screener!$D$17," ","")&amp;",")),2000000,IF(IF(OR(Screener!$B$18="All",AND(Screener!$B$18="With A-share",(Database!$BK339="Y")),AND(Screener!$B$18="Without A-share",NOT((Database!$BK339="Y")))),1,0)=0,-999999,IF(Screener!$B$16="cornerstone overlap first",H339*100000,IF(Screener!$B$16="demand-similar first",J339*100000,0))+W_SUB*B339+W_SEC*C339*(1-B339)+W_SIZE*D339+W_PROF*E339+W_AH*F339+W_REC*G339+W_CS*H339+W_PE*I339)))+ROW()/1000000</f>
        <v/>
      </c>
      <c r="AA339">
        <f>Database!B329</f>
        <v/>
      </c>
      <c r="AB339">
        <f>Database!D329</f>
        <v/>
      </c>
      <c r="AC339">
        <f>Database!E329</f>
        <v/>
      </c>
      <c r="AD339">
        <f>Database!I329</f>
        <v/>
      </c>
      <c r="AE339">
        <f>Database!BE329</f>
        <v/>
      </c>
      <c r="AF339">
        <f>Database!BK329</f>
        <v/>
      </c>
      <c r="AG339">
        <f>Database!H329</f>
        <v/>
      </c>
      <c r="AH339">
        <f>Database!BF329</f>
        <v/>
      </c>
    </row>
    <row r="340">
      <c r="A340">
        <f>Database!B340</f>
        <v/>
      </c>
      <c r="B340">
        <f>IF(AND(Screener!$D$8&lt;&gt;"",Database!$E340=Screener!$D$8),1,0)</f>
        <v/>
      </c>
      <c r="C340">
        <f>IF(AND(Screener!$D$7&lt;&gt;"",Database!$D340=Screener!$D$7),1,0)</f>
        <v/>
      </c>
      <c r="D340">
        <f>IF(OR(N(Database!$I340)&lt;=0,N(Screener!$D$9)&lt;=0),0,MAX(0,1-ABS(LOG10(N(Database!$I340)/Screener!$D$9))/W_SIZEHW))</f>
        <v/>
      </c>
      <c r="E340">
        <f>IF(OR(Database!$BE340="",Screener!$D$10=""),0,IF(Database!$BE340=Screener!$D$10,1,0))</f>
        <v/>
      </c>
      <c r="F340">
        <f>IF(OR(Database!$BK340="",Screener!$D$11=""),0,IF(Database!$BK340=Screener!$D$11,1,0))</f>
        <v/>
      </c>
      <c r="G340">
        <f>IF(OR(Database!$H340="",N(Screener!$D$12)&lt;=0),0,MAX(0,1-(N(Screener!$D$12)-Database!$H340)/W_RECD))</f>
        <v/>
      </c>
      <c r="H340">
        <f>IF($U$1="",0,N(ISNUMBER(SEARCH($U$1,Database!$Z340&amp;""))))+IF($V$1="",0,N(ISNUMBER(SEARCH($V$1,Database!$Z340&amp;""))))+IF($W$1="",0,N(ISNUMBER(SEARCH($W$1,Database!$Z340&amp;""))))+IF($X$1="",0,N(ISNUMBER(SEARCH($X$1,Database!$Z340&amp;""))))+IF($Y$1="",0,N(ISNUMBER(SEARCH($Y$1,Database!$Z340&amp;""))))+IF(Screener!$B$17="",0,N(ISNUMBER(SEARCH(LOWER(Screener!$B$17),Database!$Z340&amp;""))))</f>
        <v/>
      </c>
      <c r="I340">
        <f>IF(OR(N(Database!$BF340)&lt;=0,N(Screener!$D$13)&lt;=0),0,MAX(0,1-ABS(LOG10(N(Database!$BF340)/Screener!$D$13))/W_PEHW))</f>
        <v/>
      </c>
      <c r="J340">
        <f>IF(OR(N(Database!$S340)&lt;=0,N(Screener!$D$14)&lt;=0),0,MAX(0,1-ABS(LOG10(Database!$S340/Screener!$D$14))/0.6))</f>
        <v/>
      </c>
      <c r="K340">
        <f>IF(Database!$B340=Screener!$B$5,-999999,IF(ISNUMBER(SEARCH(","&amp;Database!$A340&amp;",",","&amp;SUBSTITUTE(Screener!$D$17," ","")&amp;",")),2000000,IF(IF(OR(Screener!$B$18="All",AND(Screener!$B$18="With A-share",(Database!$BK340="Y")),AND(Screener!$B$18="Without A-share",NOT((Database!$BK340="Y")))),1,0)=0,-999999,IF(Screener!$B$16="cornerstone overlap first",H340*100000,IF(Screener!$B$16="demand-similar first",J340*100000,0))+W_SUB*B340+W_SEC*C340*(1-B340)+W_SIZE*D340+W_PROF*E340+W_AH*F340+W_REC*G340+W_CS*H340+W_PE*I340)))+ROW()/1000000</f>
        <v/>
      </c>
      <c r="AA340">
        <f>Database!B330</f>
        <v/>
      </c>
      <c r="AB340">
        <f>Database!D330</f>
        <v/>
      </c>
      <c r="AC340">
        <f>Database!E330</f>
        <v/>
      </c>
      <c r="AD340">
        <f>Database!I330</f>
        <v/>
      </c>
      <c r="AE340">
        <f>Database!BE330</f>
        <v/>
      </c>
      <c r="AF340">
        <f>Database!BK330</f>
        <v/>
      </c>
      <c r="AG340">
        <f>Database!H330</f>
        <v/>
      </c>
      <c r="AH340">
        <f>Database!BF330</f>
        <v/>
      </c>
    </row>
    <row r="341">
      <c r="A341">
        <f>Database!B341</f>
        <v/>
      </c>
      <c r="B341">
        <f>IF(AND(Screener!$D$8&lt;&gt;"",Database!$E341=Screener!$D$8),1,0)</f>
        <v/>
      </c>
      <c r="C341">
        <f>IF(AND(Screener!$D$7&lt;&gt;"",Database!$D341=Screener!$D$7),1,0)</f>
        <v/>
      </c>
      <c r="D341">
        <f>IF(OR(N(Database!$I341)&lt;=0,N(Screener!$D$9)&lt;=0),0,MAX(0,1-ABS(LOG10(N(Database!$I341)/Screener!$D$9))/W_SIZEHW))</f>
        <v/>
      </c>
      <c r="E341">
        <f>IF(OR(Database!$BE341="",Screener!$D$10=""),0,IF(Database!$BE341=Screener!$D$10,1,0))</f>
        <v/>
      </c>
      <c r="F341">
        <f>IF(OR(Database!$BK341="",Screener!$D$11=""),0,IF(Database!$BK341=Screener!$D$11,1,0))</f>
        <v/>
      </c>
      <c r="G341">
        <f>IF(OR(Database!$H341="",N(Screener!$D$12)&lt;=0),0,MAX(0,1-(N(Screener!$D$12)-Database!$H341)/W_RECD))</f>
        <v/>
      </c>
      <c r="H341">
        <f>IF($U$1="",0,N(ISNUMBER(SEARCH($U$1,Database!$Z341&amp;""))))+IF($V$1="",0,N(ISNUMBER(SEARCH($V$1,Database!$Z341&amp;""))))+IF($W$1="",0,N(ISNUMBER(SEARCH($W$1,Database!$Z341&amp;""))))+IF($X$1="",0,N(ISNUMBER(SEARCH($X$1,Database!$Z341&amp;""))))+IF($Y$1="",0,N(ISNUMBER(SEARCH($Y$1,Database!$Z341&amp;""))))+IF(Screener!$B$17="",0,N(ISNUMBER(SEARCH(LOWER(Screener!$B$17),Database!$Z341&amp;""))))</f>
        <v/>
      </c>
      <c r="I341">
        <f>IF(OR(N(Database!$BF341)&lt;=0,N(Screener!$D$13)&lt;=0),0,MAX(0,1-ABS(LOG10(N(Database!$BF341)/Screener!$D$13))/W_PEHW))</f>
        <v/>
      </c>
      <c r="J341">
        <f>IF(OR(N(Database!$S341)&lt;=0,N(Screener!$D$14)&lt;=0),0,MAX(0,1-ABS(LOG10(Database!$S341/Screener!$D$14))/0.6))</f>
        <v/>
      </c>
      <c r="K341">
        <f>IF(Database!$B341=Screener!$B$5,-999999,IF(ISNUMBER(SEARCH(","&amp;Database!$A341&amp;",",","&amp;SUBSTITUTE(Screener!$D$17," ","")&amp;",")),2000000,IF(IF(OR(Screener!$B$18="All",AND(Screener!$B$18="With A-share",(Database!$BK341="Y")),AND(Screener!$B$18="Without A-share",NOT((Database!$BK341="Y")))),1,0)=0,-999999,IF(Screener!$B$16="cornerstone overlap first",H341*100000,IF(Screener!$B$16="demand-similar first",J341*100000,0))+W_SUB*B341+W_SEC*C341*(1-B341)+W_SIZE*D341+W_PROF*E341+W_AH*F341+W_REC*G341+W_CS*H341+W_PE*I341)))+ROW()/1000000</f>
        <v/>
      </c>
      <c r="AA341">
        <f>Database!B331</f>
        <v/>
      </c>
      <c r="AB341">
        <f>Database!D331</f>
        <v/>
      </c>
      <c r="AC341">
        <f>Database!E331</f>
        <v/>
      </c>
      <c r="AD341">
        <f>Database!I331</f>
        <v/>
      </c>
      <c r="AE341">
        <f>Database!BE331</f>
        <v/>
      </c>
      <c r="AF341">
        <f>Database!BK331</f>
        <v/>
      </c>
      <c r="AG341">
        <f>Database!H331</f>
        <v/>
      </c>
      <c r="AH341">
        <f>Database!BF331</f>
        <v/>
      </c>
    </row>
    <row r="342">
      <c r="A342">
        <f>Database!B342</f>
        <v/>
      </c>
      <c r="B342">
        <f>IF(AND(Screener!$D$8&lt;&gt;"",Database!$E342=Screener!$D$8),1,0)</f>
        <v/>
      </c>
      <c r="C342">
        <f>IF(AND(Screener!$D$7&lt;&gt;"",Database!$D342=Screener!$D$7),1,0)</f>
        <v/>
      </c>
      <c r="D342">
        <f>IF(OR(N(Database!$I342)&lt;=0,N(Screener!$D$9)&lt;=0),0,MAX(0,1-ABS(LOG10(N(Database!$I342)/Screener!$D$9))/W_SIZEHW))</f>
        <v/>
      </c>
      <c r="E342">
        <f>IF(OR(Database!$BE342="",Screener!$D$10=""),0,IF(Database!$BE342=Screener!$D$10,1,0))</f>
        <v/>
      </c>
      <c r="F342">
        <f>IF(OR(Database!$BK342="",Screener!$D$11=""),0,IF(Database!$BK342=Screener!$D$11,1,0))</f>
        <v/>
      </c>
      <c r="G342">
        <f>IF(OR(Database!$H342="",N(Screener!$D$12)&lt;=0),0,MAX(0,1-(N(Screener!$D$12)-Database!$H342)/W_RECD))</f>
        <v/>
      </c>
      <c r="H342">
        <f>IF($U$1="",0,N(ISNUMBER(SEARCH($U$1,Database!$Z342&amp;""))))+IF($V$1="",0,N(ISNUMBER(SEARCH($V$1,Database!$Z342&amp;""))))+IF($W$1="",0,N(ISNUMBER(SEARCH($W$1,Database!$Z342&amp;""))))+IF($X$1="",0,N(ISNUMBER(SEARCH($X$1,Database!$Z342&amp;""))))+IF($Y$1="",0,N(ISNUMBER(SEARCH($Y$1,Database!$Z342&amp;""))))+IF(Screener!$B$17="",0,N(ISNUMBER(SEARCH(LOWER(Screener!$B$17),Database!$Z342&amp;""))))</f>
        <v/>
      </c>
      <c r="I342">
        <f>IF(OR(N(Database!$BF342)&lt;=0,N(Screener!$D$13)&lt;=0),0,MAX(0,1-ABS(LOG10(N(Database!$BF342)/Screener!$D$13))/W_PEHW))</f>
        <v/>
      </c>
      <c r="J342">
        <f>IF(OR(N(Database!$S342)&lt;=0,N(Screener!$D$14)&lt;=0),0,MAX(0,1-ABS(LOG10(Database!$S342/Screener!$D$14))/0.6))</f>
        <v/>
      </c>
      <c r="K342">
        <f>IF(Database!$B342=Screener!$B$5,-999999,IF(ISNUMBER(SEARCH(","&amp;Database!$A342&amp;",",","&amp;SUBSTITUTE(Screener!$D$17," ","")&amp;",")),2000000,IF(IF(OR(Screener!$B$18="All",AND(Screener!$B$18="With A-share",(Database!$BK342="Y")),AND(Screener!$B$18="Without A-share",NOT((Database!$BK342="Y")))),1,0)=0,-999999,IF(Screener!$B$16="cornerstone overlap first",H342*100000,IF(Screener!$B$16="demand-similar first",J342*100000,0))+W_SUB*B342+W_SEC*C342*(1-B342)+W_SIZE*D342+W_PROF*E342+W_AH*F342+W_REC*G342+W_CS*H342+W_PE*I342)))+ROW()/1000000</f>
        <v/>
      </c>
      <c r="AA342">
        <f>Database!B332</f>
        <v/>
      </c>
      <c r="AB342">
        <f>Database!D332</f>
        <v/>
      </c>
      <c r="AC342">
        <f>Database!E332</f>
        <v/>
      </c>
      <c r="AD342">
        <f>Database!I332</f>
        <v/>
      </c>
      <c r="AE342">
        <f>Database!BE332</f>
        <v/>
      </c>
      <c r="AF342">
        <f>Database!BK332</f>
        <v/>
      </c>
      <c r="AG342">
        <f>Database!H332</f>
        <v/>
      </c>
      <c r="AH342">
        <f>Database!BF332</f>
        <v/>
      </c>
    </row>
    <row r="343">
      <c r="A343">
        <f>Database!B343</f>
        <v/>
      </c>
      <c r="B343">
        <f>IF(AND(Screener!$D$8&lt;&gt;"",Database!$E343=Screener!$D$8),1,0)</f>
        <v/>
      </c>
      <c r="C343">
        <f>IF(AND(Screener!$D$7&lt;&gt;"",Database!$D343=Screener!$D$7),1,0)</f>
        <v/>
      </c>
      <c r="D343">
        <f>IF(OR(N(Database!$I343)&lt;=0,N(Screener!$D$9)&lt;=0),0,MAX(0,1-ABS(LOG10(N(Database!$I343)/Screener!$D$9))/W_SIZEHW))</f>
        <v/>
      </c>
      <c r="E343">
        <f>IF(OR(Database!$BE343="",Screener!$D$10=""),0,IF(Database!$BE343=Screener!$D$10,1,0))</f>
        <v/>
      </c>
      <c r="F343">
        <f>IF(OR(Database!$BK343="",Screener!$D$11=""),0,IF(Database!$BK343=Screener!$D$11,1,0))</f>
        <v/>
      </c>
      <c r="G343">
        <f>IF(OR(Database!$H343="",N(Screener!$D$12)&lt;=0),0,MAX(0,1-(N(Screener!$D$12)-Database!$H343)/W_RECD))</f>
        <v/>
      </c>
      <c r="H343">
        <f>IF($U$1="",0,N(ISNUMBER(SEARCH($U$1,Database!$Z343&amp;""))))+IF($V$1="",0,N(ISNUMBER(SEARCH($V$1,Database!$Z343&amp;""))))+IF($W$1="",0,N(ISNUMBER(SEARCH($W$1,Database!$Z343&amp;""))))+IF($X$1="",0,N(ISNUMBER(SEARCH($X$1,Database!$Z343&amp;""))))+IF($Y$1="",0,N(ISNUMBER(SEARCH($Y$1,Database!$Z343&amp;""))))+IF(Screener!$B$17="",0,N(ISNUMBER(SEARCH(LOWER(Screener!$B$17),Database!$Z343&amp;""))))</f>
        <v/>
      </c>
      <c r="I343">
        <f>IF(OR(N(Database!$BF343)&lt;=0,N(Screener!$D$13)&lt;=0),0,MAX(0,1-ABS(LOG10(N(Database!$BF343)/Screener!$D$13))/W_PEHW))</f>
        <v/>
      </c>
      <c r="J343">
        <f>IF(OR(N(Database!$S343)&lt;=0,N(Screener!$D$14)&lt;=0),0,MAX(0,1-ABS(LOG10(Database!$S343/Screener!$D$14))/0.6))</f>
        <v/>
      </c>
      <c r="K343">
        <f>IF(Database!$B343=Screener!$B$5,-999999,IF(ISNUMBER(SEARCH(","&amp;Database!$A343&amp;",",","&amp;SUBSTITUTE(Screener!$D$17," ","")&amp;",")),2000000,IF(IF(OR(Screener!$B$18="All",AND(Screener!$B$18="With A-share",(Database!$BK343="Y")),AND(Screener!$B$18="Without A-share",NOT((Database!$BK343="Y")))),1,0)=0,-999999,IF(Screener!$B$16="cornerstone overlap first",H343*100000,IF(Screener!$B$16="demand-similar first",J343*100000,0))+W_SUB*B343+W_SEC*C343*(1-B343)+W_SIZE*D343+W_PROF*E343+W_AH*F343+W_REC*G343+W_CS*H343+W_PE*I343)))+ROW()/1000000</f>
        <v/>
      </c>
      <c r="AA343">
        <f>Database!B333</f>
        <v/>
      </c>
      <c r="AB343">
        <f>Database!D333</f>
        <v/>
      </c>
      <c r="AC343">
        <f>Database!E333</f>
        <v/>
      </c>
      <c r="AD343">
        <f>Database!I333</f>
        <v/>
      </c>
      <c r="AE343">
        <f>Database!BE333</f>
        <v/>
      </c>
      <c r="AF343">
        <f>Database!BK333</f>
        <v/>
      </c>
      <c r="AG343">
        <f>Database!H333</f>
        <v/>
      </c>
      <c r="AH343">
        <f>Database!BF333</f>
        <v/>
      </c>
    </row>
    <row r="344">
      <c r="A344">
        <f>Database!B344</f>
        <v/>
      </c>
      <c r="B344">
        <f>IF(AND(Screener!$D$8&lt;&gt;"",Database!$E344=Screener!$D$8),1,0)</f>
        <v/>
      </c>
      <c r="C344">
        <f>IF(AND(Screener!$D$7&lt;&gt;"",Database!$D344=Screener!$D$7),1,0)</f>
        <v/>
      </c>
      <c r="D344">
        <f>IF(OR(N(Database!$I344)&lt;=0,N(Screener!$D$9)&lt;=0),0,MAX(0,1-ABS(LOG10(N(Database!$I344)/Screener!$D$9))/W_SIZEHW))</f>
        <v/>
      </c>
      <c r="E344">
        <f>IF(OR(Database!$BE344="",Screener!$D$10=""),0,IF(Database!$BE344=Screener!$D$10,1,0))</f>
        <v/>
      </c>
      <c r="F344">
        <f>IF(OR(Database!$BK344="",Screener!$D$11=""),0,IF(Database!$BK344=Screener!$D$11,1,0))</f>
        <v/>
      </c>
      <c r="G344">
        <f>IF(OR(Database!$H344="",N(Screener!$D$12)&lt;=0),0,MAX(0,1-(N(Screener!$D$12)-Database!$H344)/W_RECD))</f>
        <v/>
      </c>
      <c r="H344">
        <f>IF($U$1="",0,N(ISNUMBER(SEARCH($U$1,Database!$Z344&amp;""))))+IF($V$1="",0,N(ISNUMBER(SEARCH($V$1,Database!$Z344&amp;""))))+IF($W$1="",0,N(ISNUMBER(SEARCH($W$1,Database!$Z344&amp;""))))+IF($X$1="",0,N(ISNUMBER(SEARCH($X$1,Database!$Z344&amp;""))))+IF($Y$1="",0,N(ISNUMBER(SEARCH($Y$1,Database!$Z344&amp;""))))+IF(Screener!$B$17="",0,N(ISNUMBER(SEARCH(LOWER(Screener!$B$17),Database!$Z344&amp;""))))</f>
        <v/>
      </c>
      <c r="I344">
        <f>IF(OR(N(Database!$BF344)&lt;=0,N(Screener!$D$13)&lt;=0),0,MAX(0,1-ABS(LOG10(N(Database!$BF344)/Screener!$D$13))/W_PEHW))</f>
        <v/>
      </c>
      <c r="J344">
        <f>IF(OR(N(Database!$S344)&lt;=0,N(Screener!$D$14)&lt;=0),0,MAX(0,1-ABS(LOG10(Database!$S344/Screener!$D$14))/0.6))</f>
        <v/>
      </c>
      <c r="K344">
        <f>IF(Database!$B344=Screener!$B$5,-999999,IF(ISNUMBER(SEARCH(","&amp;Database!$A344&amp;",",","&amp;SUBSTITUTE(Screener!$D$17," ","")&amp;",")),2000000,IF(IF(OR(Screener!$B$18="All",AND(Screener!$B$18="With A-share",(Database!$BK344="Y")),AND(Screener!$B$18="Without A-share",NOT((Database!$BK344="Y")))),1,0)=0,-999999,IF(Screener!$B$16="cornerstone overlap first",H344*100000,IF(Screener!$B$16="demand-similar first",J344*100000,0))+W_SUB*B344+W_SEC*C344*(1-B344)+W_SIZE*D344+W_PROF*E344+W_AH*F344+W_REC*G344+W_CS*H344+W_PE*I344)))+ROW()/1000000</f>
        <v/>
      </c>
      <c r="AA344">
        <f>Database!B334</f>
        <v/>
      </c>
      <c r="AB344">
        <f>Database!D334</f>
        <v/>
      </c>
      <c r="AC344">
        <f>Database!E334</f>
        <v/>
      </c>
      <c r="AD344">
        <f>Database!I334</f>
        <v/>
      </c>
      <c r="AE344">
        <f>Database!BE334</f>
        <v/>
      </c>
      <c r="AF344">
        <f>Database!BK334</f>
        <v/>
      </c>
      <c r="AG344">
        <f>Database!H334</f>
        <v/>
      </c>
      <c r="AH344">
        <f>Database!BF334</f>
        <v/>
      </c>
    </row>
    <row r="345">
      <c r="A345">
        <f>Database!B345</f>
        <v/>
      </c>
      <c r="B345">
        <f>IF(AND(Screener!$D$8&lt;&gt;"",Database!$E345=Screener!$D$8),1,0)</f>
        <v/>
      </c>
      <c r="C345">
        <f>IF(AND(Screener!$D$7&lt;&gt;"",Database!$D345=Screener!$D$7),1,0)</f>
        <v/>
      </c>
      <c r="D345">
        <f>IF(OR(N(Database!$I345)&lt;=0,N(Screener!$D$9)&lt;=0),0,MAX(0,1-ABS(LOG10(N(Database!$I345)/Screener!$D$9))/W_SIZEHW))</f>
        <v/>
      </c>
      <c r="E345">
        <f>IF(OR(Database!$BE345="",Screener!$D$10=""),0,IF(Database!$BE345=Screener!$D$10,1,0))</f>
        <v/>
      </c>
      <c r="F345">
        <f>IF(OR(Database!$BK345="",Screener!$D$11=""),0,IF(Database!$BK345=Screener!$D$11,1,0))</f>
        <v/>
      </c>
      <c r="G345">
        <f>IF(OR(Database!$H345="",N(Screener!$D$12)&lt;=0),0,MAX(0,1-(N(Screener!$D$12)-Database!$H345)/W_RECD))</f>
        <v/>
      </c>
      <c r="H345">
        <f>IF($U$1="",0,N(ISNUMBER(SEARCH($U$1,Database!$Z345&amp;""))))+IF($V$1="",0,N(ISNUMBER(SEARCH($V$1,Database!$Z345&amp;""))))+IF($W$1="",0,N(ISNUMBER(SEARCH($W$1,Database!$Z345&amp;""))))+IF($X$1="",0,N(ISNUMBER(SEARCH($X$1,Database!$Z345&amp;""))))+IF($Y$1="",0,N(ISNUMBER(SEARCH($Y$1,Database!$Z345&amp;""))))+IF(Screener!$B$17="",0,N(ISNUMBER(SEARCH(LOWER(Screener!$B$17),Database!$Z345&amp;""))))</f>
        <v/>
      </c>
      <c r="I345">
        <f>IF(OR(N(Database!$BF345)&lt;=0,N(Screener!$D$13)&lt;=0),0,MAX(0,1-ABS(LOG10(N(Database!$BF345)/Screener!$D$13))/W_PEHW))</f>
        <v/>
      </c>
      <c r="J345">
        <f>IF(OR(N(Database!$S345)&lt;=0,N(Screener!$D$14)&lt;=0),0,MAX(0,1-ABS(LOG10(Database!$S345/Screener!$D$14))/0.6))</f>
        <v/>
      </c>
      <c r="K345">
        <f>IF(Database!$B345=Screener!$B$5,-999999,IF(ISNUMBER(SEARCH(","&amp;Database!$A345&amp;",",","&amp;SUBSTITUTE(Screener!$D$17," ","")&amp;",")),2000000,IF(IF(OR(Screener!$B$18="All",AND(Screener!$B$18="With A-share",(Database!$BK345="Y")),AND(Screener!$B$18="Without A-share",NOT((Database!$BK345="Y")))),1,0)=0,-999999,IF(Screener!$B$16="cornerstone overlap first",H345*100000,IF(Screener!$B$16="demand-similar first",J345*100000,0))+W_SUB*B345+W_SEC*C345*(1-B345)+W_SIZE*D345+W_PROF*E345+W_AH*F345+W_REC*G345+W_CS*H345+W_PE*I345)))+ROW()/1000000</f>
        <v/>
      </c>
      <c r="AA345">
        <f>Database!B335</f>
        <v/>
      </c>
      <c r="AB345">
        <f>Database!D335</f>
        <v/>
      </c>
      <c r="AC345">
        <f>Database!E335</f>
        <v/>
      </c>
      <c r="AD345">
        <f>Database!I335</f>
        <v/>
      </c>
      <c r="AE345">
        <f>Database!BE335</f>
        <v/>
      </c>
      <c r="AF345">
        <f>Database!BK335</f>
        <v/>
      </c>
      <c r="AG345">
        <f>Database!H335</f>
        <v/>
      </c>
      <c r="AH345">
        <f>Database!BF335</f>
        <v/>
      </c>
    </row>
    <row r="346">
      <c r="A346">
        <f>Database!B346</f>
        <v/>
      </c>
      <c r="B346">
        <f>IF(AND(Screener!$D$8&lt;&gt;"",Database!$E346=Screener!$D$8),1,0)</f>
        <v/>
      </c>
      <c r="C346">
        <f>IF(AND(Screener!$D$7&lt;&gt;"",Database!$D346=Screener!$D$7),1,0)</f>
        <v/>
      </c>
      <c r="D346">
        <f>IF(OR(N(Database!$I346)&lt;=0,N(Screener!$D$9)&lt;=0),0,MAX(0,1-ABS(LOG10(N(Database!$I346)/Screener!$D$9))/W_SIZEHW))</f>
        <v/>
      </c>
      <c r="E346">
        <f>IF(OR(Database!$BE346="",Screener!$D$10=""),0,IF(Database!$BE346=Screener!$D$10,1,0))</f>
        <v/>
      </c>
      <c r="F346">
        <f>IF(OR(Database!$BK346="",Screener!$D$11=""),0,IF(Database!$BK346=Screener!$D$11,1,0))</f>
        <v/>
      </c>
      <c r="G346">
        <f>IF(OR(Database!$H346="",N(Screener!$D$12)&lt;=0),0,MAX(0,1-(N(Screener!$D$12)-Database!$H346)/W_RECD))</f>
        <v/>
      </c>
      <c r="H346">
        <f>IF($U$1="",0,N(ISNUMBER(SEARCH($U$1,Database!$Z346&amp;""))))+IF($V$1="",0,N(ISNUMBER(SEARCH($V$1,Database!$Z346&amp;""))))+IF($W$1="",0,N(ISNUMBER(SEARCH($W$1,Database!$Z346&amp;""))))+IF($X$1="",0,N(ISNUMBER(SEARCH($X$1,Database!$Z346&amp;""))))+IF($Y$1="",0,N(ISNUMBER(SEARCH($Y$1,Database!$Z346&amp;""))))+IF(Screener!$B$17="",0,N(ISNUMBER(SEARCH(LOWER(Screener!$B$17),Database!$Z346&amp;""))))</f>
        <v/>
      </c>
      <c r="I346">
        <f>IF(OR(N(Database!$BF346)&lt;=0,N(Screener!$D$13)&lt;=0),0,MAX(0,1-ABS(LOG10(N(Database!$BF346)/Screener!$D$13))/W_PEHW))</f>
        <v/>
      </c>
      <c r="J346">
        <f>IF(OR(N(Database!$S346)&lt;=0,N(Screener!$D$14)&lt;=0),0,MAX(0,1-ABS(LOG10(Database!$S346/Screener!$D$14))/0.6))</f>
        <v/>
      </c>
      <c r="K346">
        <f>IF(Database!$B346=Screener!$B$5,-999999,IF(ISNUMBER(SEARCH(","&amp;Database!$A346&amp;",",","&amp;SUBSTITUTE(Screener!$D$17," ","")&amp;",")),2000000,IF(IF(OR(Screener!$B$18="All",AND(Screener!$B$18="With A-share",(Database!$BK346="Y")),AND(Screener!$B$18="Without A-share",NOT((Database!$BK346="Y")))),1,0)=0,-999999,IF(Screener!$B$16="cornerstone overlap first",H346*100000,IF(Screener!$B$16="demand-similar first",J346*100000,0))+W_SUB*B346+W_SEC*C346*(1-B346)+W_SIZE*D346+W_PROF*E346+W_AH*F346+W_REC*G346+W_CS*H346+W_PE*I346)))+ROW()/1000000</f>
        <v/>
      </c>
      <c r="AA346">
        <f>Database!B336</f>
        <v/>
      </c>
      <c r="AB346">
        <f>Database!D336</f>
        <v/>
      </c>
      <c r="AC346">
        <f>Database!E336</f>
        <v/>
      </c>
      <c r="AD346">
        <f>Database!I336</f>
        <v/>
      </c>
      <c r="AE346">
        <f>Database!BE336</f>
        <v/>
      </c>
      <c r="AF346">
        <f>Database!BK336</f>
        <v/>
      </c>
      <c r="AG346">
        <f>Database!H336</f>
        <v/>
      </c>
      <c r="AH346">
        <f>Database!BF336</f>
        <v/>
      </c>
    </row>
    <row r="347">
      <c r="A347">
        <f>Database!B347</f>
        <v/>
      </c>
      <c r="B347">
        <f>IF(AND(Screener!$D$8&lt;&gt;"",Database!$E347=Screener!$D$8),1,0)</f>
        <v/>
      </c>
      <c r="C347">
        <f>IF(AND(Screener!$D$7&lt;&gt;"",Database!$D347=Screener!$D$7),1,0)</f>
        <v/>
      </c>
      <c r="D347">
        <f>IF(OR(N(Database!$I347)&lt;=0,N(Screener!$D$9)&lt;=0),0,MAX(0,1-ABS(LOG10(N(Database!$I347)/Screener!$D$9))/W_SIZEHW))</f>
        <v/>
      </c>
      <c r="E347">
        <f>IF(OR(Database!$BE347="",Screener!$D$10=""),0,IF(Database!$BE347=Screener!$D$10,1,0))</f>
        <v/>
      </c>
      <c r="F347">
        <f>IF(OR(Database!$BK347="",Screener!$D$11=""),0,IF(Database!$BK347=Screener!$D$11,1,0))</f>
        <v/>
      </c>
      <c r="G347">
        <f>IF(OR(Database!$H347="",N(Screener!$D$12)&lt;=0),0,MAX(0,1-(N(Screener!$D$12)-Database!$H347)/W_RECD))</f>
        <v/>
      </c>
      <c r="H347">
        <f>IF($U$1="",0,N(ISNUMBER(SEARCH($U$1,Database!$Z347&amp;""))))+IF($V$1="",0,N(ISNUMBER(SEARCH($V$1,Database!$Z347&amp;""))))+IF($W$1="",0,N(ISNUMBER(SEARCH($W$1,Database!$Z347&amp;""))))+IF($X$1="",0,N(ISNUMBER(SEARCH($X$1,Database!$Z347&amp;""))))+IF($Y$1="",0,N(ISNUMBER(SEARCH($Y$1,Database!$Z347&amp;""))))+IF(Screener!$B$17="",0,N(ISNUMBER(SEARCH(LOWER(Screener!$B$17),Database!$Z347&amp;""))))</f>
        <v/>
      </c>
      <c r="I347">
        <f>IF(OR(N(Database!$BF347)&lt;=0,N(Screener!$D$13)&lt;=0),0,MAX(0,1-ABS(LOG10(N(Database!$BF347)/Screener!$D$13))/W_PEHW))</f>
        <v/>
      </c>
      <c r="J347">
        <f>IF(OR(N(Database!$S347)&lt;=0,N(Screener!$D$14)&lt;=0),0,MAX(0,1-ABS(LOG10(Database!$S347/Screener!$D$14))/0.6))</f>
        <v/>
      </c>
      <c r="K347">
        <f>IF(Database!$B347=Screener!$B$5,-999999,IF(ISNUMBER(SEARCH(","&amp;Database!$A347&amp;",",","&amp;SUBSTITUTE(Screener!$D$17," ","")&amp;",")),2000000,IF(IF(OR(Screener!$B$18="All",AND(Screener!$B$18="With A-share",(Database!$BK347="Y")),AND(Screener!$B$18="Without A-share",NOT((Database!$BK347="Y")))),1,0)=0,-999999,IF(Screener!$B$16="cornerstone overlap first",H347*100000,IF(Screener!$B$16="demand-similar first",J347*100000,0))+W_SUB*B347+W_SEC*C347*(1-B347)+W_SIZE*D347+W_PROF*E347+W_AH*F347+W_REC*G347+W_CS*H347+W_PE*I347)))+ROW()/1000000</f>
        <v/>
      </c>
      <c r="AA347">
        <f>Database!B337</f>
        <v/>
      </c>
      <c r="AB347">
        <f>Database!D337</f>
        <v/>
      </c>
      <c r="AC347">
        <f>Database!E337</f>
        <v/>
      </c>
      <c r="AD347">
        <f>Database!I337</f>
        <v/>
      </c>
      <c r="AE347">
        <f>Database!BE337</f>
        <v/>
      </c>
      <c r="AF347">
        <f>Database!BK337</f>
        <v/>
      </c>
      <c r="AG347">
        <f>Database!H337</f>
        <v/>
      </c>
      <c r="AH347">
        <f>Database!BF337</f>
        <v/>
      </c>
    </row>
    <row r="348">
      <c r="A348">
        <f>Database!B348</f>
        <v/>
      </c>
      <c r="B348">
        <f>IF(AND(Screener!$D$8&lt;&gt;"",Database!$E348=Screener!$D$8),1,0)</f>
        <v/>
      </c>
      <c r="C348">
        <f>IF(AND(Screener!$D$7&lt;&gt;"",Database!$D348=Screener!$D$7),1,0)</f>
        <v/>
      </c>
      <c r="D348">
        <f>IF(OR(N(Database!$I348)&lt;=0,N(Screener!$D$9)&lt;=0),0,MAX(0,1-ABS(LOG10(N(Database!$I348)/Screener!$D$9))/W_SIZEHW))</f>
        <v/>
      </c>
      <c r="E348">
        <f>IF(OR(Database!$BE348="",Screener!$D$10=""),0,IF(Database!$BE348=Screener!$D$10,1,0))</f>
        <v/>
      </c>
      <c r="F348">
        <f>IF(OR(Database!$BK348="",Screener!$D$11=""),0,IF(Database!$BK348=Screener!$D$11,1,0))</f>
        <v/>
      </c>
      <c r="G348">
        <f>IF(OR(Database!$H348="",N(Screener!$D$12)&lt;=0),0,MAX(0,1-(N(Screener!$D$12)-Database!$H348)/W_RECD))</f>
        <v/>
      </c>
      <c r="H348">
        <f>IF($U$1="",0,N(ISNUMBER(SEARCH($U$1,Database!$Z348&amp;""))))+IF($V$1="",0,N(ISNUMBER(SEARCH($V$1,Database!$Z348&amp;""))))+IF($W$1="",0,N(ISNUMBER(SEARCH($W$1,Database!$Z348&amp;""))))+IF($X$1="",0,N(ISNUMBER(SEARCH($X$1,Database!$Z348&amp;""))))+IF($Y$1="",0,N(ISNUMBER(SEARCH($Y$1,Database!$Z348&amp;""))))+IF(Screener!$B$17="",0,N(ISNUMBER(SEARCH(LOWER(Screener!$B$17),Database!$Z348&amp;""))))</f>
        <v/>
      </c>
      <c r="I348">
        <f>IF(OR(N(Database!$BF348)&lt;=0,N(Screener!$D$13)&lt;=0),0,MAX(0,1-ABS(LOG10(N(Database!$BF348)/Screener!$D$13))/W_PEHW))</f>
        <v/>
      </c>
      <c r="J348">
        <f>IF(OR(N(Database!$S348)&lt;=0,N(Screener!$D$14)&lt;=0),0,MAX(0,1-ABS(LOG10(Database!$S348/Screener!$D$14))/0.6))</f>
        <v/>
      </c>
      <c r="K348">
        <f>IF(Database!$B348=Screener!$B$5,-999999,IF(ISNUMBER(SEARCH(","&amp;Database!$A348&amp;",",","&amp;SUBSTITUTE(Screener!$D$17," ","")&amp;",")),2000000,IF(IF(OR(Screener!$B$18="All",AND(Screener!$B$18="With A-share",(Database!$BK348="Y")),AND(Screener!$B$18="Without A-share",NOT((Database!$BK348="Y")))),1,0)=0,-999999,IF(Screener!$B$16="cornerstone overlap first",H348*100000,IF(Screener!$B$16="demand-similar first",J348*100000,0))+W_SUB*B348+W_SEC*C348*(1-B348)+W_SIZE*D348+W_PROF*E348+W_AH*F348+W_REC*G348+W_CS*H348+W_PE*I348)))+ROW()/1000000</f>
        <v/>
      </c>
      <c r="AA348">
        <f>Database!B338</f>
        <v/>
      </c>
      <c r="AB348">
        <f>Database!D338</f>
        <v/>
      </c>
      <c r="AC348">
        <f>Database!E338</f>
        <v/>
      </c>
      <c r="AD348">
        <f>Database!I338</f>
        <v/>
      </c>
      <c r="AE348">
        <f>Database!BE338</f>
        <v/>
      </c>
      <c r="AF348">
        <f>Database!BK338</f>
        <v/>
      </c>
      <c r="AG348">
        <f>Database!H338</f>
        <v/>
      </c>
      <c r="AH348">
        <f>Database!BF338</f>
        <v/>
      </c>
    </row>
    <row r="349">
      <c r="A349">
        <f>Database!B349</f>
        <v/>
      </c>
      <c r="B349">
        <f>IF(AND(Screener!$D$8&lt;&gt;"",Database!$E349=Screener!$D$8),1,0)</f>
        <v/>
      </c>
      <c r="C349">
        <f>IF(AND(Screener!$D$7&lt;&gt;"",Database!$D349=Screener!$D$7),1,0)</f>
        <v/>
      </c>
      <c r="D349">
        <f>IF(OR(N(Database!$I349)&lt;=0,N(Screener!$D$9)&lt;=0),0,MAX(0,1-ABS(LOG10(N(Database!$I349)/Screener!$D$9))/W_SIZEHW))</f>
        <v/>
      </c>
      <c r="E349">
        <f>IF(OR(Database!$BE349="",Screener!$D$10=""),0,IF(Database!$BE349=Screener!$D$10,1,0))</f>
        <v/>
      </c>
      <c r="F349">
        <f>IF(OR(Database!$BK349="",Screener!$D$11=""),0,IF(Database!$BK349=Screener!$D$11,1,0))</f>
        <v/>
      </c>
      <c r="G349">
        <f>IF(OR(Database!$H349="",N(Screener!$D$12)&lt;=0),0,MAX(0,1-(N(Screener!$D$12)-Database!$H349)/W_RECD))</f>
        <v/>
      </c>
      <c r="H349">
        <f>IF($U$1="",0,N(ISNUMBER(SEARCH($U$1,Database!$Z349&amp;""))))+IF($V$1="",0,N(ISNUMBER(SEARCH($V$1,Database!$Z349&amp;""))))+IF($W$1="",0,N(ISNUMBER(SEARCH($W$1,Database!$Z349&amp;""))))+IF($X$1="",0,N(ISNUMBER(SEARCH($X$1,Database!$Z349&amp;""))))+IF($Y$1="",0,N(ISNUMBER(SEARCH($Y$1,Database!$Z349&amp;""))))+IF(Screener!$B$17="",0,N(ISNUMBER(SEARCH(LOWER(Screener!$B$17),Database!$Z349&amp;""))))</f>
        <v/>
      </c>
      <c r="I349">
        <f>IF(OR(N(Database!$BF349)&lt;=0,N(Screener!$D$13)&lt;=0),0,MAX(0,1-ABS(LOG10(N(Database!$BF349)/Screener!$D$13))/W_PEHW))</f>
        <v/>
      </c>
      <c r="J349">
        <f>IF(OR(N(Database!$S349)&lt;=0,N(Screener!$D$14)&lt;=0),0,MAX(0,1-ABS(LOG10(Database!$S349/Screener!$D$14))/0.6))</f>
        <v/>
      </c>
      <c r="K349">
        <f>IF(Database!$B349=Screener!$B$5,-999999,IF(ISNUMBER(SEARCH(","&amp;Database!$A349&amp;",",","&amp;SUBSTITUTE(Screener!$D$17," ","")&amp;",")),2000000,IF(IF(OR(Screener!$B$18="All",AND(Screener!$B$18="With A-share",(Database!$BK349="Y")),AND(Screener!$B$18="Without A-share",NOT((Database!$BK349="Y")))),1,0)=0,-999999,IF(Screener!$B$16="cornerstone overlap first",H349*100000,IF(Screener!$B$16="demand-similar first",J349*100000,0))+W_SUB*B349+W_SEC*C349*(1-B349)+W_SIZE*D349+W_PROF*E349+W_AH*F349+W_REC*G349+W_CS*H349+W_PE*I349)))+ROW()/1000000</f>
        <v/>
      </c>
      <c r="AA349">
        <f>Database!B339</f>
        <v/>
      </c>
      <c r="AB349">
        <f>Database!D339</f>
        <v/>
      </c>
      <c r="AC349">
        <f>Database!E339</f>
        <v/>
      </c>
      <c r="AD349">
        <f>Database!I339</f>
        <v/>
      </c>
      <c r="AE349">
        <f>Database!BE339</f>
        <v/>
      </c>
      <c r="AF349">
        <f>Database!BK339</f>
        <v/>
      </c>
      <c r="AG349">
        <f>Database!H339</f>
        <v/>
      </c>
      <c r="AH349">
        <f>Database!BF339</f>
        <v/>
      </c>
    </row>
    <row r="350">
      <c r="A350">
        <f>Database!B350</f>
        <v/>
      </c>
      <c r="B350">
        <f>IF(AND(Screener!$D$8&lt;&gt;"",Database!$E350=Screener!$D$8),1,0)</f>
        <v/>
      </c>
      <c r="C350">
        <f>IF(AND(Screener!$D$7&lt;&gt;"",Database!$D350=Screener!$D$7),1,0)</f>
        <v/>
      </c>
      <c r="D350">
        <f>IF(OR(N(Database!$I350)&lt;=0,N(Screener!$D$9)&lt;=0),0,MAX(0,1-ABS(LOG10(N(Database!$I350)/Screener!$D$9))/W_SIZEHW))</f>
        <v/>
      </c>
      <c r="E350">
        <f>IF(OR(Database!$BE350="",Screener!$D$10=""),0,IF(Database!$BE350=Screener!$D$10,1,0))</f>
        <v/>
      </c>
      <c r="F350">
        <f>IF(OR(Database!$BK350="",Screener!$D$11=""),0,IF(Database!$BK350=Screener!$D$11,1,0))</f>
        <v/>
      </c>
      <c r="G350">
        <f>IF(OR(Database!$H350="",N(Screener!$D$12)&lt;=0),0,MAX(0,1-(N(Screener!$D$12)-Database!$H350)/W_RECD))</f>
        <v/>
      </c>
      <c r="H350">
        <f>IF($U$1="",0,N(ISNUMBER(SEARCH($U$1,Database!$Z350&amp;""))))+IF($V$1="",0,N(ISNUMBER(SEARCH($V$1,Database!$Z350&amp;""))))+IF($W$1="",0,N(ISNUMBER(SEARCH($W$1,Database!$Z350&amp;""))))+IF($X$1="",0,N(ISNUMBER(SEARCH($X$1,Database!$Z350&amp;""))))+IF($Y$1="",0,N(ISNUMBER(SEARCH($Y$1,Database!$Z350&amp;""))))+IF(Screener!$B$17="",0,N(ISNUMBER(SEARCH(LOWER(Screener!$B$17),Database!$Z350&amp;""))))</f>
        <v/>
      </c>
      <c r="I350">
        <f>IF(OR(N(Database!$BF350)&lt;=0,N(Screener!$D$13)&lt;=0),0,MAX(0,1-ABS(LOG10(N(Database!$BF350)/Screener!$D$13))/W_PEHW))</f>
        <v/>
      </c>
      <c r="J350">
        <f>IF(OR(N(Database!$S350)&lt;=0,N(Screener!$D$14)&lt;=0),0,MAX(0,1-ABS(LOG10(Database!$S350/Screener!$D$14))/0.6))</f>
        <v/>
      </c>
      <c r="K350">
        <f>IF(Database!$B350=Screener!$B$5,-999999,IF(ISNUMBER(SEARCH(","&amp;Database!$A350&amp;",",","&amp;SUBSTITUTE(Screener!$D$17," ","")&amp;",")),2000000,IF(IF(OR(Screener!$B$18="All",AND(Screener!$B$18="With A-share",(Database!$BK350="Y")),AND(Screener!$B$18="Without A-share",NOT((Database!$BK350="Y")))),1,0)=0,-999999,IF(Screener!$B$16="cornerstone overlap first",H350*100000,IF(Screener!$B$16="demand-similar first",J350*100000,0))+W_SUB*B350+W_SEC*C350*(1-B350)+W_SIZE*D350+W_PROF*E350+W_AH*F350+W_REC*G350+W_CS*H350+W_PE*I350)))+ROW()/1000000</f>
        <v/>
      </c>
      <c r="AA350">
        <f>Database!B340</f>
        <v/>
      </c>
      <c r="AB350">
        <f>Database!D340</f>
        <v/>
      </c>
      <c r="AC350">
        <f>Database!E340</f>
        <v/>
      </c>
      <c r="AD350">
        <f>Database!I340</f>
        <v/>
      </c>
      <c r="AE350">
        <f>Database!BE340</f>
        <v/>
      </c>
      <c r="AF350">
        <f>Database!BK340</f>
        <v/>
      </c>
      <c r="AG350">
        <f>Database!H340</f>
        <v/>
      </c>
      <c r="AH350">
        <f>Database!BF340</f>
        <v/>
      </c>
    </row>
    <row r="351">
      <c r="A351">
        <f>Database!B351</f>
        <v/>
      </c>
      <c r="B351">
        <f>IF(AND(Screener!$D$8&lt;&gt;"",Database!$E351=Screener!$D$8),1,0)</f>
        <v/>
      </c>
      <c r="C351">
        <f>IF(AND(Screener!$D$7&lt;&gt;"",Database!$D351=Screener!$D$7),1,0)</f>
        <v/>
      </c>
      <c r="D351">
        <f>IF(OR(N(Database!$I351)&lt;=0,N(Screener!$D$9)&lt;=0),0,MAX(0,1-ABS(LOG10(N(Database!$I351)/Screener!$D$9))/W_SIZEHW))</f>
        <v/>
      </c>
      <c r="E351">
        <f>IF(OR(Database!$BE351="",Screener!$D$10=""),0,IF(Database!$BE351=Screener!$D$10,1,0))</f>
        <v/>
      </c>
      <c r="F351">
        <f>IF(OR(Database!$BK351="",Screener!$D$11=""),0,IF(Database!$BK351=Screener!$D$11,1,0))</f>
        <v/>
      </c>
      <c r="G351">
        <f>IF(OR(Database!$H351="",N(Screener!$D$12)&lt;=0),0,MAX(0,1-(N(Screener!$D$12)-Database!$H351)/W_RECD))</f>
        <v/>
      </c>
      <c r="H351">
        <f>IF($U$1="",0,N(ISNUMBER(SEARCH($U$1,Database!$Z351&amp;""))))+IF($V$1="",0,N(ISNUMBER(SEARCH($V$1,Database!$Z351&amp;""))))+IF($W$1="",0,N(ISNUMBER(SEARCH($W$1,Database!$Z351&amp;""))))+IF($X$1="",0,N(ISNUMBER(SEARCH($X$1,Database!$Z351&amp;""))))+IF($Y$1="",0,N(ISNUMBER(SEARCH($Y$1,Database!$Z351&amp;""))))+IF(Screener!$B$17="",0,N(ISNUMBER(SEARCH(LOWER(Screener!$B$17),Database!$Z351&amp;""))))</f>
        <v/>
      </c>
      <c r="I351">
        <f>IF(OR(N(Database!$BF351)&lt;=0,N(Screener!$D$13)&lt;=0),0,MAX(0,1-ABS(LOG10(N(Database!$BF351)/Screener!$D$13))/W_PEHW))</f>
        <v/>
      </c>
      <c r="J351">
        <f>IF(OR(N(Database!$S351)&lt;=0,N(Screener!$D$14)&lt;=0),0,MAX(0,1-ABS(LOG10(Database!$S351/Screener!$D$14))/0.6))</f>
        <v/>
      </c>
      <c r="K351">
        <f>IF(Database!$B351=Screener!$B$5,-999999,IF(ISNUMBER(SEARCH(","&amp;Database!$A351&amp;",",","&amp;SUBSTITUTE(Screener!$D$17," ","")&amp;",")),2000000,IF(IF(OR(Screener!$B$18="All",AND(Screener!$B$18="With A-share",(Database!$BK351="Y")),AND(Screener!$B$18="Without A-share",NOT((Database!$BK351="Y")))),1,0)=0,-999999,IF(Screener!$B$16="cornerstone overlap first",H351*100000,IF(Screener!$B$16="demand-similar first",J351*100000,0))+W_SUB*B351+W_SEC*C351*(1-B351)+W_SIZE*D351+W_PROF*E351+W_AH*F351+W_REC*G351+W_CS*H351+W_PE*I351)))+ROW()/1000000</f>
        <v/>
      </c>
      <c r="AA351">
        <f>Database!B341</f>
        <v/>
      </c>
      <c r="AB351">
        <f>Database!D341</f>
        <v/>
      </c>
      <c r="AC351">
        <f>Database!E341</f>
        <v/>
      </c>
      <c r="AD351">
        <f>Database!I341</f>
        <v/>
      </c>
      <c r="AE351">
        <f>Database!BE341</f>
        <v/>
      </c>
      <c r="AF351">
        <f>Database!BK341</f>
        <v/>
      </c>
      <c r="AG351">
        <f>Database!H341</f>
        <v/>
      </c>
      <c r="AH351">
        <f>Database!BF341</f>
        <v/>
      </c>
    </row>
    <row r="352">
      <c r="A352">
        <f>Database!B352</f>
        <v/>
      </c>
      <c r="B352">
        <f>IF(AND(Screener!$D$8&lt;&gt;"",Database!$E352=Screener!$D$8),1,0)</f>
        <v/>
      </c>
      <c r="C352">
        <f>IF(AND(Screener!$D$7&lt;&gt;"",Database!$D352=Screener!$D$7),1,0)</f>
        <v/>
      </c>
      <c r="D352">
        <f>IF(OR(N(Database!$I352)&lt;=0,N(Screener!$D$9)&lt;=0),0,MAX(0,1-ABS(LOG10(N(Database!$I352)/Screener!$D$9))/W_SIZEHW))</f>
        <v/>
      </c>
      <c r="E352">
        <f>IF(OR(Database!$BE352="",Screener!$D$10=""),0,IF(Database!$BE352=Screener!$D$10,1,0))</f>
        <v/>
      </c>
      <c r="F352">
        <f>IF(OR(Database!$BK352="",Screener!$D$11=""),0,IF(Database!$BK352=Screener!$D$11,1,0))</f>
        <v/>
      </c>
      <c r="G352">
        <f>IF(OR(Database!$H352="",N(Screener!$D$12)&lt;=0),0,MAX(0,1-(N(Screener!$D$12)-Database!$H352)/W_RECD))</f>
        <v/>
      </c>
      <c r="H352">
        <f>IF($U$1="",0,N(ISNUMBER(SEARCH($U$1,Database!$Z352&amp;""))))+IF($V$1="",0,N(ISNUMBER(SEARCH($V$1,Database!$Z352&amp;""))))+IF($W$1="",0,N(ISNUMBER(SEARCH($W$1,Database!$Z352&amp;""))))+IF($X$1="",0,N(ISNUMBER(SEARCH($X$1,Database!$Z352&amp;""))))+IF($Y$1="",0,N(ISNUMBER(SEARCH($Y$1,Database!$Z352&amp;""))))+IF(Screener!$B$17="",0,N(ISNUMBER(SEARCH(LOWER(Screener!$B$17),Database!$Z352&amp;""))))</f>
        <v/>
      </c>
      <c r="I352">
        <f>IF(OR(N(Database!$BF352)&lt;=0,N(Screener!$D$13)&lt;=0),0,MAX(0,1-ABS(LOG10(N(Database!$BF352)/Screener!$D$13))/W_PEHW))</f>
        <v/>
      </c>
      <c r="J352">
        <f>IF(OR(N(Database!$S352)&lt;=0,N(Screener!$D$14)&lt;=0),0,MAX(0,1-ABS(LOG10(Database!$S352/Screener!$D$14))/0.6))</f>
        <v/>
      </c>
      <c r="K352">
        <f>IF(Database!$B352=Screener!$B$5,-999999,IF(ISNUMBER(SEARCH(","&amp;Database!$A352&amp;",",","&amp;SUBSTITUTE(Screener!$D$17," ","")&amp;",")),2000000,IF(IF(OR(Screener!$B$18="All",AND(Screener!$B$18="With A-share",(Database!$BK352="Y")),AND(Screener!$B$18="Without A-share",NOT((Database!$BK352="Y")))),1,0)=0,-999999,IF(Screener!$B$16="cornerstone overlap first",H352*100000,IF(Screener!$B$16="demand-similar first",J352*100000,0))+W_SUB*B352+W_SEC*C352*(1-B352)+W_SIZE*D352+W_PROF*E352+W_AH*F352+W_REC*G352+W_CS*H352+W_PE*I352)))+ROW()/1000000</f>
        <v/>
      </c>
      <c r="AA352">
        <f>Database!B342</f>
        <v/>
      </c>
      <c r="AB352">
        <f>Database!D342</f>
        <v/>
      </c>
      <c r="AC352">
        <f>Database!E342</f>
        <v/>
      </c>
      <c r="AD352">
        <f>Database!I342</f>
        <v/>
      </c>
      <c r="AE352">
        <f>Database!BE342</f>
        <v/>
      </c>
      <c r="AF352">
        <f>Database!BK342</f>
        <v/>
      </c>
      <c r="AG352">
        <f>Database!H342</f>
        <v/>
      </c>
      <c r="AH352">
        <f>Database!BF342</f>
        <v/>
      </c>
    </row>
    <row r="353">
      <c r="A353">
        <f>Database!B353</f>
        <v/>
      </c>
      <c r="B353">
        <f>IF(AND(Screener!$D$8&lt;&gt;"",Database!$E353=Screener!$D$8),1,0)</f>
        <v/>
      </c>
      <c r="C353">
        <f>IF(AND(Screener!$D$7&lt;&gt;"",Database!$D353=Screener!$D$7),1,0)</f>
        <v/>
      </c>
      <c r="D353">
        <f>IF(OR(N(Database!$I353)&lt;=0,N(Screener!$D$9)&lt;=0),0,MAX(0,1-ABS(LOG10(N(Database!$I353)/Screener!$D$9))/W_SIZEHW))</f>
        <v/>
      </c>
      <c r="E353">
        <f>IF(OR(Database!$BE353="",Screener!$D$10=""),0,IF(Database!$BE353=Screener!$D$10,1,0))</f>
        <v/>
      </c>
      <c r="F353">
        <f>IF(OR(Database!$BK353="",Screener!$D$11=""),0,IF(Database!$BK353=Screener!$D$11,1,0))</f>
        <v/>
      </c>
      <c r="G353">
        <f>IF(OR(Database!$H353="",N(Screener!$D$12)&lt;=0),0,MAX(0,1-(N(Screener!$D$12)-Database!$H353)/W_RECD))</f>
        <v/>
      </c>
      <c r="H353">
        <f>IF($U$1="",0,N(ISNUMBER(SEARCH($U$1,Database!$Z353&amp;""))))+IF($V$1="",0,N(ISNUMBER(SEARCH($V$1,Database!$Z353&amp;""))))+IF($W$1="",0,N(ISNUMBER(SEARCH($W$1,Database!$Z353&amp;""))))+IF($X$1="",0,N(ISNUMBER(SEARCH($X$1,Database!$Z353&amp;""))))+IF($Y$1="",0,N(ISNUMBER(SEARCH($Y$1,Database!$Z353&amp;""))))+IF(Screener!$B$17="",0,N(ISNUMBER(SEARCH(LOWER(Screener!$B$17),Database!$Z353&amp;""))))</f>
        <v/>
      </c>
      <c r="I353">
        <f>IF(OR(N(Database!$BF353)&lt;=0,N(Screener!$D$13)&lt;=0),0,MAX(0,1-ABS(LOG10(N(Database!$BF353)/Screener!$D$13))/W_PEHW))</f>
        <v/>
      </c>
      <c r="J353">
        <f>IF(OR(N(Database!$S353)&lt;=0,N(Screener!$D$14)&lt;=0),0,MAX(0,1-ABS(LOG10(Database!$S353/Screener!$D$14))/0.6))</f>
        <v/>
      </c>
      <c r="K353">
        <f>IF(Database!$B353=Screener!$B$5,-999999,IF(ISNUMBER(SEARCH(","&amp;Database!$A353&amp;",",","&amp;SUBSTITUTE(Screener!$D$17," ","")&amp;",")),2000000,IF(IF(OR(Screener!$B$18="All",AND(Screener!$B$18="With A-share",(Database!$BK353="Y")),AND(Screener!$B$18="Without A-share",NOT((Database!$BK353="Y")))),1,0)=0,-999999,IF(Screener!$B$16="cornerstone overlap first",H353*100000,IF(Screener!$B$16="demand-similar first",J353*100000,0))+W_SUB*B353+W_SEC*C353*(1-B353)+W_SIZE*D353+W_PROF*E353+W_AH*F353+W_REC*G353+W_CS*H353+W_PE*I353)))+ROW()/1000000</f>
        <v/>
      </c>
      <c r="AA353">
        <f>Database!B343</f>
        <v/>
      </c>
      <c r="AB353">
        <f>Database!D343</f>
        <v/>
      </c>
      <c r="AC353">
        <f>Database!E343</f>
        <v/>
      </c>
      <c r="AD353">
        <f>Database!I343</f>
        <v/>
      </c>
      <c r="AE353">
        <f>Database!BE343</f>
        <v/>
      </c>
      <c r="AF353">
        <f>Database!BK343</f>
        <v/>
      </c>
      <c r="AG353">
        <f>Database!H343</f>
        <v/>
      </c>
      <c r="AH353">
        <f>Database!BF343</f>
        <v/>
      </c>
    </row>
    <row r="354">
      <c r="A354">
        <f>Database!B354</f>
        <v/>
      </c>
      <c r="B354">
        <f>IF(AND(Screener!$D$8&lt;&gt;"",Database!$E354=Screener!$D$8),1,0)</f>
        <v/>
      </c>
      <c r="C354">
        <f>IF(AND(Screener!$D$7&lt;&gt;"",Database!$D354=Screener!$D$7),1,0)</f>
        <v/>
      </c>
      <c r="D354">
        <f>IF(OR(N(Database!$I354)&lt;=0,N(Screener!$D$9)&lt;=0),0,MAX(0,1-ABS(LOG10(N(Database!$I354)/Screener!$D$9))/W_SIZEHW))</f>
        <v/>
      </c>
      <c r="E354">
        <f>IF(OR(Database!$BE354="",Screener!$D$10=""),0,IF(Database!$BE354=Screener!$D$10,1,0))</f>
        <v/>
      </c>
      <c r="F354">
        <f>IF(OR(Database!$BK354="",Screener!$D$11=""),0,IF(Database!$BK354=Screener!$D$11,1,0))</f>
        <v/>
      </c>
      <c r="G354">
        <f>IF(OR(Database!$H354="",N(Screener!$D$12)&lt;=0),0,MAX(0,1-(N(Screener!$D$12)-Database!$H354)/W_RECD))</f>
        <v/>
      </c>
      <c r="H354">
        <f>IF($U$1="",0,N(ISNUMBER(SEARCH($U$1,Database!$Z354&amp;""))))+IF($V$1="",0,N(ISNUMBER(SEARCH($V$1,Database!$Z354&amp;""))))+IF($W$1="",0,N(ISNUMBER(SEARCH($W$1,Database!$Z354&amp;""))))+IF($X$1="",0,N(ISNUMBER(SEARCH($X$1,Database!$Z354&amp;""))))+IF($Y$1="",0,N(ISNUMBER(SEARCH($Y$1,Database!$Z354&amp;""))))+IF(Screener!$B$17="",0,N(ISNUMBER(SEARCH(LOWER(Screener!$B$17),Database!$Z354&amp;""))))</f>
        <v/>
      </c>
      <c r="I354">
        <f>IF(OR(N(Database!$BF354)&lt;=0,N(Screener!$D$13)&lt;=0),0,MAX(0,1-ABS(LOG10(N(Database!$BF354)/Screener!$D$13))/W_PEHW))</f>
        <v/>
      </c>
      <c r="J354">
        <f>IF(OR(N(Database!$S354)&lt;=0,N(Screener!$D$14)&lt;=0),0,MAX(0,1-ABS(LOG10(Database!$S354/Screener!$D$14))/0.6))</f>
        <v/>
      </c>
      <c r="K354">
        <f>IF(Database!$B354=Screener!$B$5,-999999,IF(ISNUMBER(SEARCH(","&amp;Database!$A354&amp;",",","&amp;SUBSTITUTE(Screener!$D$17," ","")&amp;",")),2000000,IF(IF(OR(Screener!$B$18="All",AND(Screener!$B$18="With A-share",(Database!$BK354="Y")),AND(Screener!$B$18="Without A-share",NOT((Database!$BK354="Y")))),1,0)=0,-999999,IF(Screener!$B$16="cornerstone overlap first",H354*100000,IF(Screener!$B$16="demand-similar first",J354*100000,0))+W_SUB*B354+W_SEC*C354*(1-B354)+W_SIZE*D354+W_PROF*E354+W_AH*F354+W_REC*G354+W_CS*H354+W_PE*I354)))+ROW()/1000000</f>
        <v/>
      </c>
      <c r="AA354">
        <f>Database!B344</f>
        <v/>
      </c>
      <c r="AB354">
        <f>Database!D344</f>
        <v/>
      </c>
      <c r="AC354">
        <f>Database!E344</f>
        <v/>
      </c>
      <c r="AD354">
        <f>Database!I344</f>
        <v/>
      </c>
      <c r="AE354">
        <f>Database!BE344</f>
        <v/>
      </c>
      <c r="AF354">
        <f>Database!BK344</f>
        <v/>
      </c>
      <c r="AG354">
        <f>Database!H344</f>
        <v/>
      </c>
      <c r="AH354">
        <f>Database!BF344</f>
        <v/>
      </c>
    </row>
    <row r="355">
      <c r="A355">
        <f>Database!B355</f>
        <v/>
      </c>
      <c r="B355">
        <f>IF(AND(Screener!$D$8&lt;&gt;"",Database!$E355=Screener!$D$8),1,0)</f>
        <v/>
      </c>
      <c r="C355">
        <f>IF(AND(Screener!$D$7&lt;&gt;"",Database!$D355=Screener!$D$7),1,0)</f>
        <v/>
      </c>
      <c r="D355">
        <f>IF(OR(N(Database!$I355)&lt;=0,N(Screener!$D$9)&lt;=0),0,MAX(0,1-ABS(LOG10(N(Database!$I355)/Screener!$D$9))/W_SIZEHW))</f>
        <v/>
      </c>
      <c r="E355">
        <f>IF(OR(Database!$BE355="",Screener!$D$10=""),0,IF(Database!$BE355=Screener!$D$10,1,0))</f>
        <v/>
      </c>
      <c r="F355">
        <f>IF(OR(Database!$BK355="",Screener!$D$11=""),0,IF(Database!$BK355=Screener!$D$11,1,0))</f>
        <v/>
      </c>
      <c r="G355">
        <f>IF(OR(Database!$H355="",N(Screener!$D$12)&lt;=0),0,MAX(0,1-(N(Screener!$D$12)-Database!$H355)/W_RECD))</f>
        <v/>
      </c>
      <c r="H355">
        <f>IF($U$1="",0,N(ISNUMBER(SEARCH($U$1,Database!$Z355&amp;""))))+IF($V$1="",0,N(ISNUMBER(SEARCH($V$1,Database!$Z355&amp;""))))+IF($W$1="",0,N(ISNUMBER(SEARCH($W$1,Database!$Z355&amp;""))))+IF($X$1="",0,N(ISNUMBER(SEARCH($X$1,Database!$Z355&amp;""))))+IF($Y$1="",0,N(ISNUMBER(SEARCH($Y$1,Database!$Z355&amp;""))))+IF(Screener!$B$17="",0,N(ISNUMBER(SEARCH(LOWER(Screener!$B$17),Database!$Z355&amp;""))))</f>
        <v/>
      </c>
      <c r="I355">
        <f>IF(OR(N(Database!$BF355)&lt;=0,N(Screener!$D$13)&lt;=0),0,MAX(0,1-ABS(LOG10(N(Database!$BF355)/Screener!$D$13))/W_PEHW))</f>
        <v/>
      </c>
      <c r="J355">
        <f>IF(OR(N(Database!$S355)&lt;=0,N(Screener!$D$14)&lt;=0),0,MAX(0,1-ABS(LOG10(Database!$S355/Screener!$D$14))/0.6))</f>
        <v/>
      </c>
      <c r="K355">
        <f>IF(Database!$B355=Screener!$B$5,-999999,IF(ISNUMBER(SEARCH(","&amp;Database!$A355&amp;",",","&amp;SUBSTITUTE(Screener!$D$17," ","")&amp;",")),2000000,IF(IF(OR(Screener!$B$18="All",AND(Screener!$B$18="With A-share",(Database!$BK355="Y")),AND(Screener!$B$18="Without A-share",NOT((Database!$BK355="Y")))),1,0)=0,-999999,IF(Screener!$B$16="cornerstone overlap first",H355*100000,IF(Screener!$B$16="demand-similar first",J355*100000,0))+W_SUB*B355+W_SEC*C355*(1-B355)+W_SIZE*D355+W_PROF*E355+W_AH*F355+W_REC*G355+W_CS*H355+W_PE*I355)))+ROW()/1000000</f>
        <v/>
      </c>
      <c r="AA355">
        <f>Database!B345</f>
        <v/>
      </c>
      <c r="AB355">
        <f>Database!D345</f>
        <v/>
      </c>
      <c r="AC355">
        <f>Database!E345</f>
        <v/>
      </c>
      <c r="AD355">
        <f>Database!I345</f>
        <v/>
      </c>
      <c r="AE355">
        <f>Database!BE345</f>
        <v/>
      </c>
      <c r="AF355">
        <f>Database!BK345</f>
        <v/>
      </c>
      <c r="AG355">
        <f>Database!H345</f>
        <v/>
      </c>
      <c r="AH355">
        <f>Database!BF345</f>
        <v/>
      </c>
    </row>
    <row r="356">
      <c r="A356">
        <f>Database!B356</f>
        <v/>
      </c>
      <c r="B356">
        <f>IF(AND(Screener!$D$8&lt;&gt;"",Database!$E356=Screener!$D$8),1,0)</f>
        <v/>
      </c>
      <c r="C356">
        <f>IF(AND(Screener!$D$7&lt;&gt;"",Database!$D356=Screener!$D$7),1,0)</f>
        <v/>
      </c>
      <c r="D356">
        <f>IF(OR(N(Database!$I356)&lt;=0,N(Screener!$D$9)&lt;=0),0,MAX(0,1-ABS(LOG10(N(Database!$I356)/Screener!$D$9))/W_SIZEHW))</f>
        <v/>
      </c>
      <c r="E356">
        <f>IF(OR(Database!$BE356="",Screener!$D$10=""),0,IF(Database!$BE356=Screener!$D$10,1,0))</f>
        <v/>
      </c>
      <c r="F356">
        <f>IF(OR(Database!$BK356="",Screener!$D$11=""),0,IF(Database!$BK356=Screener!$D$11,1,0))</f>
        <v/>
      </c>
      <c r="G356">
        <f>IF(OR(Database!$H356="",N(Screener!$D$12)&lt;=0),0,MAX(0,1-(N(Screener!$D$12)-Database!$H356)/W_RECD))</f>
        <v/>
      </c>
      <c r="H356">
        <f>IF($U$1="",0,N(ISNUMBER(SEARCH($U$1,Database!$Z356&amp;""))))+IF($V$1="",0,N(ISNUMBER(SEARCH($V$1,Database!$Z356&amp;""))))+IF($W$1="",0,N(ISNUMBER(SEARCH($W$1,Database!$Z356&amp;""))))+IF($X$1="",0,N(ISNUMBER(SEARCH($X$1,Database!$Z356&amp;""))))+IF($Y$1="",0,N(ISNUMBER(SEARCH($Y$1,Database!$Z356&amp;""))))+IF(Screener!$B$17="",0,N(ISNUMBER(SEARCH(LOWER(Screener!$B$17),Database!$Z356&amp;""))))</f>
        <v/>
      </c>
      <c r="I356">
        <f>IF(OR(N(Database!$BF356)&lt;=0,N(Screener!$D$13)&lt;=0),0,MAX(0,1-ABS(LOG10(N(Database!$BF356)/Screener!$D$13))/W_PEHW))</f>
        <v/>
      </c>
      <c r="J356">
        <f>IF(OR(N(Database!$S356)&lt;=0,N(Screener!$D$14)&lt;=0),0,MAX(0,1-ABS(LOG10(Database!$S356/Screener!$D$14))/0.6))</f>
        <v/>
      </c>
      <c r="K356">
        <f>IF(Database!$B356=Screener!$B$5,-999999,IF(ISNUMBER(SEARCH(","&amp;Database!$A356&amp;",",","&amp;SUBSTITUTE(Screener!$D$17," ","")&amp;",")),2000000,IF(IF(OR(Screener!$B$18="All",AND(Screener!$B$18="With A-share",(Database!$BK356="Y")),AND(Screener!$B$18="Without A-share",NOT((Database!$BK356="Y")))),1,0)=0,-999999,IF(Screener!$B$16="cornerstone overlap first",H356*100000,IF(Screener!$B$16="demand-similar first",J356*100000,0))+W_SUB*B356+W_SEC*C356*(1-B356)+W_SIZE*D356+W_PROF*E356+W_AH*F356+W_REC*G356+W_CS*H356+W_PE*I356)))+ROW()/1000000</f>
        <v/>
      </c>
      <c r="AA356">
        <f>Database!B346</f>
        <v/>
      </c>
      <c r="AB356">
        <f>Database!D346</f>
        <v/>
      </c>
      <c r="AC356">
        <f>Database!E346</f>
        <v/>
      </c>
      <c r="AD356">
        <f>Database!I346</f>
        <v/>
      </c>
      <c r="AE356">
        <f>Database!BE346</f>
        <v/>
      </c>
      <c r="AF356">
        <f>Database!BK346</f>
        <v/>
      </c>
      <c r="AG356">
        <f>Database!H346</f>
        <v/>
      </c>
      <c r="AH356">
        <f>Database!BF346</f>
        <v/>
      </c>
    </row>
    <row r="357">
      <c r="A357">
        <f>Database!B357</f>
        <v/>
      </c>
      <c r="B357">
        <f>IF(AND(Screener!$D$8&lt;&gt;"",Database!$E357=Screener!$D$8),1,0)</f>
        <v/>
      </c>
      <c r="C357">
        <f>IF(AND(Screener!$D$7&lt;&gt;"",Database!$D357=Screener!$D$7),1,0)</f>
        <v/>
      </c>
      <c r="D357">
        <f>IF(OR(N(Database!$I357)&lt;=0,N(Screener!$D$9)&lt;=0),0,MAX(0,1-ABS(LOG10(N(Database!$I357)/Screener!$D$9))/W_SIZEHW))</f>
        <v/>
      </c>
      <c r="E357">
        <f>IF(OR(Database!$BE357="",Screener!$D$10=""),0,IF(Database!$BE357=Screener!$D$10,1,0))</f>
        <v/>
      </c>
      <c r="F357">
        <f>IF(OR(Database!$BK357="",Screener!$D$11=""),0,IF(Database!$BK357=Screener!$D$11,1,0))</f>
        <v/>
      </c>
      <c r="G357">
        <f>IF(OR(Database!$H357="",N(Screener!$D$12)&lt;=0),0,MAX(0,1-(N(Screener!$D$12)-Database!$H357)/W_RECD))</f>
        <v/>
      </c>
      <c r="H357">
        <f>IF($U$1="",0,N(ISNUMBER(SEARCH($U$1,Database!$Z357&amp;""))))+IF($V$1="",0,N(ISNUMBER(SEARCH($V$1,Database!$Z357&amp;""))))+IF($W$1="",0,N(ISNUMBER(SEARCH($W$1,Database!$Z357&amp;""))))+IF($X$1="",0,N(ISNUMBER(SEARCH($X$1,Database!$Z357&amp;""))))+IF($Y$1="",0,N(ISNUMBER(SEARCH($Y$1,Database!$Z357&amp;""))))+IF(Screener!$B$17="",0,N(ISNUMBER(SEARCH(LOWER(Screener!$B$17),Database!$Z357&amp;""))))</f>
        <v/>
      </c>
      <c r="I357">
        <f>IF(OR(N(Database!$BF357)&lt;=0,N(Screener!$D$13)&lt;=0),0,MAX(0,1-ABS(LOG10(N(Database!$BF357)/Screener!$D$13))/W_PEHW))</f>
        <v/>
      </c>
      <c r="J357">
        <f>IF(OR(N(Database!$S357)&lt;=0,N(Screener!$D$14)&lt;=0),0,MAX(0,1-ABS(LOG10(Database!$S357/Screener!$D$14))/0.6))</f>
        <v/>
      </c>
      <c r="K357">
        <f>IF(Database!$B357=Screener!$B$5,-999999,IF(ISNUMBER(SEARCH(","&amp;Database!$A357&amp;",",","&amp;SUBSTITUTE(Screener!$D$17," ","")&amp;",")),2000000,IF(IF(OR(Screener!$B$18="All",AND(Screener!$B$18="With A-share",(Database!$BK357="Y")),AND(Screener!$B$18="Without A-share",NOT((Database!$BK357="Y")))),1,0)=0,-999999,IF(Screener!$B$16="cornerstone overlap first",H357*100000,IF(Screener!$B$16="demand-similar first",J357*100000,0))+W_SUB*B357+W_SEC*C357*(1-B357)+W_SIZE*D357+W_PROF*E357+W_AH*F357+W_REC*G357+W_CS*H357+W_PE*I357)))+ROW()/1000000</f>
        <v/>
      </c>
      <c r="AA357">
        <f>Database!B347</f>
        <v/>
      </c>
      <c r="AB357">
        <f>Database!D347</f>
        <v/>
      </c>
      <c r="AC357">
        <f>Database!E347</f>
        <v/>
      </c>
      <c r="AD357">
        <f>Database!I347</f>
        <v/>
      </c>
      <c r="AE357">
        <f>Database!BE347</f>
        <v/>
      </c>
      <c r="AF357">
        <f>Database!BK347</f>
        <v/>
      </c>
      <c r="AG357">
        <f>Database!H347</f>
        <v/>
      </c>
      <c r="AH357">
        <f>Database!BF347</f>
        <v/>
      </c>
    </row>
    <row r="358">
      <c r="A358">
        <f>Database!B358</f>
        <v/>
      </c>
      <c r="B358">
        <f>IF(AND(Screener!$D$8&lt;&gt;"",Database!$E358=Screener!$D$8),1,0)</f>
        <v/>
      </c>
      <c r="C358">
        <f>IF(AND(Screener!$D$7&lt;&gt;"",Database!$D358=Screener!$D$7),1,0)</f>
        <v/>
      </c>
      <c r="D358">
        <f>IF(OR(N(Database!$I358)&lt;=0,N(Screener!$D$9)&lt;=0),0,MAX(0,1-ABS(LOG10(N(Database!$I358)/Screener!$D$9))/W_SIZEHW))</f>
        <v/>
      </c>
      <c r="E358">
        <f>IF(OR(Database!$BE358="",Screener!$D$10=""),0,IF(Database!$BE358=Screener!$D$10,1,0))</f>
        <v/>
      </c>
      <c r="F358">
        <f>IF(OR(Database!$BK358="",Screener!$D$11=""),0,IF(Database!$BK358=Screener!$D$11,1,0))</f>
        <v/>
      </c>
      <c r="G358">
        <f>IF(OR(Database!$H358="",N(Screener!$D$12)&lt;=0),0,MAX(0,1-(N(Screener!$D$12)-Database!$H358)/W_RECD))</f>
        <v/>
      </c>
      <c r="H358">
        <f>IF($U$1="",0,N(ISNUMBER(SEARCH($U$1,Database!$Z358&amp;""))))+IF($V$1="",0,N(ISNUMBER(SEARCH($V$1,Database!$Z358&amp;""))))+IF($W$1="",0,N(ISNUMBER(SEARCH($W$1,Database!$Z358&amp;""))))+IF($X$1="",0,N(ISNUMBER(SEARCH($X$1,Database!$Z358&amp;""))))+IF($Y$1="",0,N(ISNUMBER(SEARCH($Y$1,Database!$Z358&amp;""))))+IF(Screener!$B$17="",0,N(ISNUMBER(SEARCH(LOWER(Screener!$B$17),Database!$Z358&amp;""))))</f>
        <v/>
      </c>
      <c r="I358">
        <f>IF(OR(N(Database!$BF358)&lt;=0,N(Screener!$D$13)&lt;=0),0,MAX(0,1-ABS(LOG10(N(Database!$BF358)/Screener!$D$13))/W_PEHW))</f>
        <v/>
      </c>
      <c r="J358">
        <f>IF(OR(N(Database!$S358)&lt;=0,N(Screener!$D$14)&lt;=0),0,MAX(0,1-ABS(LOG10(Database!$S358/Screener!$D$14))/0.6))</f>
        <v/>
      </c>
      <c r="K358">
        <f>IF(Database!$B358=Screener!$B$5,-999999,IF(ISNUMBER(SEARCH(","&amp;Database!$A358&amp;",",","&amp;SUBSTITUTE(Screener!$D$17," ","")&amp;",")),2000000,IF(IF(OR(Screener!$B$18="All",AND(Screener!$B$18="With A-share",(Database!$BK358="Y")),AND(Screener!$B$18="Without A-share",NOT((Database!$BK358="Y")))),1,0)=0,-999999,IF(Screener!$B$16="cornerstone overlap first",H358*100000,IF(Screener!$B$16="demand-similar first",J358*100000,0))+W_SUB*B358+W_SEC*C358*(1-B358)+W_SIZE*D358+W_PROF*E358+W_AH*F358+W_REC*G358+W_CS*H358+W_PE*I358)))+ROW()/1000000</f>
        <v/>
      </c>
      <c r="AA358">
        <f>Database!B348</f>
        <v/>
      </c>
      <c r="AB358">
        <f>Database!D348</f>
        <v/>
      </c>
      <c r="AC358">
        <f>Database!E348</f>
        <v/>
      </c>
      <c r="AD358">
        <f>Database!I348</f>
        <v/>
      </c>
      <c r="AE358">
        <f>Database!BE348</f>
        <v/>
      </c>
      <c r="AF358">
        <f>Database!BK348</f>
        <v/>
      </c>
      <c r="AG358">
        <f>Database!H348</f>
        <v/>
      </c>
      <c r="AH358">
        <f>Database!BF348</f>
        <v/>
      </c>
    </row>
    <row r="359">
      <c r="A359">
        <f>Database!B359</f>
        <v/>
      </c>
      <c r="B359">
        <f>IF(AND(Screener!$D$8&lt;&gt;"",Database!$E359=Screener!$D$8),1,0)</f>
        <v/>
      </c>
      <c r="C359">
        <f>IF(AND(Screener!$D$7&lt;&gt;"",Database!$D359=Screener!$D$7),1,0)</f>
        <v/>
      </c>
      <c r="D359">
        <f>IF(OR(N(Database!$I359)&lt;=0,N(Screener!$D$9)&lt;=0),0,MAX(0,1-ABS(LOG10(N(Database!$I359)/Screener!$D$9))/W_SIZEHW))</f>
        <v/>
      </c>
      <c r="E359">
        <f>IF(OR(Database!$BE359="",Screener!$D$10=""),0,IF(Database!$BE359=Screener!$D$10,1,0))</f>
        <v/>
      </c>
      <c r="F359">
        <f>IF(OR(Database!$BK359="",Screener!$D$11=""),0,IF(Database!$BK359=Screener!$D$11,1,0))</f>
        <v/>
      </c>
      <c r="G359">
        <f>IF(OR(Database!$H359="",N(Screener!$D$12)&lt;=0),0,MAX(0,1-(N(Screener!$D$12)-Database!$H359)/W_RECD))</f>
        <v/>
      </c>
      <c r="H359">
        <f>IF($U$1="",0,N(ISNUMBER(SEARCH($U$1,Database!$Z359&amp;""))))+IF($V$1="",0,N(ISNUMBER(SEARCH($V$1,Database!$Z359&amp;""))))+IF($W$1="",0,N(ISNUMBER(SEARCH($W$1,Database!$Z359&amp;""))))+IF($X$1="",0,N(ISNUMBER(SEARCH($X$1,Database!$Z359&amp;""))))+IF($Y$1="",0,N(ISNUMBER(SEARCH($Y$1,Database!$Z359&amp;""))))+IF(Screener!$B$17="",0,N(ISNUMBER(SEARCH(LOWER(Screener!$B$17),Database!$Z359&amp;""))))</f>
        <v/>
      </c>
      <c r="I359">
        <f>IF(OR(N(Database!$BF359)&lt;=0,N(Screener!$D$13)&lt;=0),0,MAX(0,1-ABS(LOG10(N(Database!$BF359)/Screener!$D$13))/W_PEHW))</f>
        <v/>
      </c>
      <c r="J359">
        <f>IF(OR(N(Database!$S359)&lt;=0,N(Screener!$D$14)&lt;=0),0,MAX(0,1-ABS(LOG10(Database!$S359/Screener!$D$14))/0.6))</f>
        <v/>
      </c>
      <c r="K359">
        <f>IF(Database!$B359=Screener!$B$5,-999999,IF(ISNUMBER(SEARCH(","&amp;Database!$A359&amp;",",","&amp;SUBSTITUTE(Screener!$D$17," ","")&amp;",")),2000000,IF(IF(OR(Screener!$B$18="All",AND(Screener!$B$18="With A-share",(Database!$BK359="Y")),AND(Screener!$B$18="Without A-share",NOT((Database!$BK359="Y")))),1,0)=0,-999999,IF(Screener!$B$16="cornerstone overlap first",H359*100000,IF(Screener!$B$16="demand-similar first",J359*100000,0))+W_SUB*B359+W_SEC*C359*(1-B359)+W_SIZE*D359+W_PROF*E359+W_AH*F359+W_REC*G359+W_CS*H359+W_PE*I359)))+ROW()/1000000</f>
        <v/>
      </c>
      <c r="AA359">
        <f>Database!B349</f>
        <v/>
      </c>
      <c r="AB359">
        <f>Database!D349</f>
        <v/>
      </c>
      <c r="AC359">
        <f>Database!E349</f>
        <v/>
      </c>
      <c r="AD359">
        <f>Database!I349</f>
        <v/>
      </c>
      <c r="AE359">
        <f>Database!BE349</f>
        <v/>
      </c>
      <c r="AF359">
        <f>Database!BK349</f>
        <v/>
      </c>
      <c r="AG359">
        <f>Database!H349</f>
        <v/>
      </c>
      <c r="AH359">
        <f>Database!BF349</f>
        <v/>
      </c>
    </row>
    <row r="360">
      <c r="A360">
        <f>Database!B360</f>
        <v/>
      </c>
      <c r="B360">
        <f>IF(AND(Screener!$D$8&lt;&gt;"",Database!$E360=Screener!$D$8),1,0)</f>
        <v/>
      </c>
      <c r="C360">
        <f>IF(AND(Screener!$D$7&lt;&gt;"",Database!$D360=Screener!$D$7),1,0)</f>
        <v/>
      </c>
      <c r="D360">
        <f>IF(OR(N(Database!$I360)&lt;=0,N(Screener!$D$9)&lt;=0),0,MAX(0,1-ABS(LOG10(N(Database!$I360)/Screener!$D$9))/W_SIZEHW))</f>
        <v/>
      </c>
      <c r="E360">
        <f>IF(OR(Database!$BE360="",Screener!$D$10=""),0,IF(Database!$BE360=Screener!$D$10,1,0))</f>
        <v/>
      </c>
      <c r="F360">
        <f>IF(OR(Database!$BK360="",Screener!$D$11=""),0,IF(Database!$BK360=Screener!$D$11,1,0))</f>
        <v/>
      </c>
      <c r="G360">
        <f>IF(OR(Database!$H360="",N(Screener!$D$12)&lt;=0),0,MAX(0,1-(N(Screener!$D$12)-Database!$H360)/W_RECD))</f>
        <v/>
      </c>
      <c r="H360">
        <f>IF($U$1="",0,N(ISNUMBER(SEARCH($U$1,Database!$Z360&amp;""))))+IF($V$1="",0,N(ISNUMBER(SEARCH($V$1,Database!$Z360&amp;""))))+IF($W$1="",0,N(ISNUMBER(SEARCH($W$1,Database!$Z360&amp;""))))+IF($X$1="",0,N(ISNUMBER(SEARCH($X$1,Database!$Z360&amp;""))))+IF($Y$1="",0,N(ISNUMBER(SEARCH($Y$1,Database!$Z360&amp;""))))+IF(Screener!$B$17="",0,N(ISNUMBER(SEARCH(LOWER(Screener!$B$17),Database!$Z360&amp;""))))</f>
        <v/>
      </c>
      <c r="I360">
        <f>IF(OR(N(Database!$BF360)&lt;=0,N(Screener!$D$13)&lt;=0),0,MAX(0,1-ABS(LOG10(N(Database!$BF360)/Screener!$D$13))/W_PEHW))</f>
        <v/>
      </c>
      <c r="J360">
        <f>IF(OR(N(Database!$S360)&lt;=0,N(Screener!$D$14)&lt;=0),0,MAX(0,1-ABS(LOG10(Database!$S360/Screener!$D$14))/0.6))</f>
        <v/>
      </c>
      <c r="K360">
        <f>IF(Database!$B360=Screener!$B$5,-999999,IF(ISNUMBER(SEARCH(","&amp;Database!$A360&amp;",",","&amp;SUBSTITUTE(Screener!$D$17," ","")&amp;",")),2000000,IF(IF(OR(Screener!$B$18="All",AND(Screener!$B$18="With A-share",(Database!$BK360="Y")),AND(Screener!$B$18="Without A-share",NOT((Database!$BK360="Y")))),1,0)=0,-999999,IF(Screener!$B$16="cornerstone overlap first",H360*100000,IF(Screener!$B$16="demand-similar first",J360*100000,0))+W_SUB*B360+W_SEC*C360*(1-B360)+W_SIZE*D360+W_PROF*E360+W_AH*F360+W_REC*G360+W_CS*H360+W_PE*I360)))+ROW()/1000000</f>
        <v/>
      </c>
      <c r="AA360">
        <f>Database!B350</f>
        <v/>
      </c>
      <c r="AB360">
        <f>Database!D350</f>
        <v/>
      </c>
      <c r="AC360">
        <f>Database!E350</f>
        <v/>
      </c>
      <c r="AD360">
        <f>Database!I350</f>
        <v/>
      </c>
      <c r="AE360">
        <f>Database!BE350</f>
        <v/>
      </c>
      <c r="AF360">
        <f>Database!BK350</f>
        <v/>
      </c>
      <c r="AG360">
        <f>Database!H350</f>
        <v/>
      </c>
      <c r="AH360">
        <f>Database!BF350</f>
        <v/>
      </c>
    </row>
    <row r="361">
      <c r="A361">
        <f>Database!B361</f>
        <v/>
      </c>
      <c r="B361">
        <f>IF(AND(Screener!$D$8&lt;&gt;"",Database!$E361=Screener!$D$8),1,0)</f>
        <v/>
      </c>
      <c r="C361">
        <f>IF(AND(Screener!$D$7&lt;&gt;"",Database!$D361=Screener!$D$7),1,0)</f>
        <v/>
      </c>
      <c r="D361">
        <f>IF(OR(N(Database!$I361)&lt;=0,N(Screener!$D$9)&lt;=0),0,MAX(0,1-ABS(LOG10(N(Database!$I361)/Screener!$D$9))/W_SIZEHW))</f>
        <v/>
      </c>
      <c r="E361">
        <f>IF(OR(Database!$BE361="",Screener!$D$10=""),0,IF(Database!$BE361=Screener!$D$10,1,0))</f>
        <v/>
      </c>
      <c r="F361">
        <f>IF(OR(Database!$BK361="",Screener!$D$11=""),0,IF(Database!$BK361=Screener!$D$11,1,0))</f>
        <v/>
      </c>
      <c r="G361">
        <f>IF(OR(Database!$H361="",N(Screener!$D$12)&lt;=0),0,MAX(0,1-(N(Screener!$D$12)-Database!$H361)/W_RECD))</f>
        <v/>
      </c>
      <c r="H361">
        <f>IF($U$1="",0,N(ISNUMBER(SEARCH($U$1,Database!$Z361&amp;""))))+IF($V$1="",0,N(ISNUMBER(SEARCH($V$1,Database!$Z361&amp;""))))+IF($W$1="",0,N(ISNUMBER(SEARCH($W$1,Database!$Z361&amp;""))))+IF($X$1="",0,N(ISNUMBER(SEARCH($X$1,Database!$Z361&amp;""))))+IF($Y$1="",0,N(ISNUMBER(SEARCH($Y$1,Database!$Z361&amp;""))))+IF(Screener!$B$17="",0,N(ISNUMBER(SEARCH(LOWER(Screener!$B$17),Database!$Z361&amp;""))))</f>
        <v/>
      </c>
      <c r="I361">
        <f>IF(OR(N(Database!$BF361)&lt;=0,N(Screener!$D$13)&lt;=0),0,MAX(0,1-ABS(LOG10(N(Database!$BF361)/Screener!$D$13))/W_PEHW))</f>
        <v/>
      </c>
      <c r="J361">
        <f>IF(OR(N(Database!$S361)&lt;=0,N(Screener!$D$14)&lt;=0),0,MAX(0,1-ABS(LOG10(Database!$S361/Screener!$D$14))/0.6))</f>
        <v/>
      </c>
      <c r="K361">
        <f>IF(Database!$B361=Screener!$B$5,-999999,IF(ISNUMBER(SEARCH(","&amp;Database!$A361&amp;",",","&amp;SUBSTITUTE(Screener!$D$17," ","")&amp;",")),2000000,IF(IF(OR(Screener!$B$18="All",AND(Screener!$B$18="With A-share",(Database!$BK361="Y")),AND(Screener!$B$18="Without A-share",NOT((Database!$BK361="Y")))),1,0)=0,-999999,IF(Screener!$B$16="cornerstone overlap first",H361*100000,IF(Screener!$B$16="demand-similar first",J361*100000,0))+W_SUB*B361+W_SEC*C361*(1-B361)+W_SIZE*D361+W_PROF*E361+W_AH*F361+W_REC*G361+W_CS*H361+W_PE*I361)))+ROW()/1000000</f>
        <v/>
      </c>
      <c r="AA361">
        <f>Database!B351</f>
        <v/>
      </c>
      <c r="AB361">
        <f>Database!D351</f>
        <v/>
      </c>
      <c r="AC361">
        <f>Database!E351</f>
        <v/>
      </c>
      <c r="AD361">
        <f>Database!I351</f>
        <v/>
      </c>
      <c r="AE361">
        <f>Database!BE351</f>
        <v/>
      </c>
      <c r="AF361">
        <f>Database!BK351</f>
        <v/>
      </c>
      <c r="AG361">
        <f>Database!H351</f>
        <v/>
      </c>
      <c r="AH361">
        <f>Database!BF351</f>
        <v/>
      </c>
    </row>
    <row r="362">
      <c r="A362">
        <f>Database!B362</f>
        <v/>
      </c>
      <c r="B362">
        <f>IF(AND(Screener!$D$8&lt;&gt;"",Database!$E362=Screener!$D$8),1,0)</f>
        <v/>
      </c>
      <c r="C362">
        <f>IF(AND(Screener!$D$7&lt;&gt;"",Database!$D362=Screener!$D$7),1,0)</f>
        <v/>
      </c>
      <c r="D362">
        <f>IF(OR(N(Database!$I362)&lt;=0,N(Screener!$D$9)&lt;=0),0,MAX(0,1-ABS(LOG10(N(Database!$I362)/Screener!$D$9))/W_SIZEHW))</f>
        <v/>
      </c>
      <c r="E362">
        <f>IF(OR(Database!$BE362="",Screener!$D$10=""),0,IF(Database!$BE362=Screener!$D$10,1,0))</f>
        <v/>
      </c>
      <c r="F362">
        <f>IF(OR(Database!$BK362="",Screener!$D$11=""),0,IF(Database!$BK362=Screener!$D$11,1,0))</f>
        <v/>
      </c>
      <c r="G362">
        <f>IF(OR(Database!$H362="",N(Screener!$D$12)&lt;=0),0,MAX(0,1-(N(Screener!$D$12)-Database!$H362)/W_RECD))</f>
        <v/>
      </c>
      <c r="H362">
        <f>IF($U$1="",0,N(ISNUMBER(SEARCH($U$1,Database!$Z362&amp;""))))+IF($V$1="",0,N(ISNUMBER(SEARCH($V$1,Database!$Z362&amp;""))))+IF($W$1="",0,N(ISNUMBER(SEARCH($W$1,Database!$Z362&amp;""))))+IF($X$1="",0,N(ISNUMBER(SEARCH($X$1,Database!$Z362&amp;""))))+IF($Y$1="",0,N(ISNUMBER(SEARCH($Y$1,Database!$Z362&amp;""))))+IF(Screener!$B$17="",0,N(ISNUMBER(SEARCH(LOWER(Screener!$B$17),Database!$Z362&amp;""))))</f>
        <v/>
      </c>
      <c r="I362">
        <f>IF(OR(N(Database!$BF362)&lt;=0,N(Screener!$D$13)&lt;=0),0,MAX(0,1-ABS(LOG10(N(Database!$BF362)/Screener!$D$13))/W_PEHW))</f>
        <v/>
      </c>
      <c r="J362">
        <f>IF(OR(N(Database!$S362)&lt;=0,N(Screener!$D$14)&lt;=0),0,MAX(0,1-ABS(LOG10(Database!$S362/Screener!$D$14))/0.6))</f>
        <v/>
      </c>
      <c r="K362">
        <f>IF(Database!$B362=Screener!$B$5,-999999,IF(ISNUMBER(SEARCH(","&amp;Database!$A362&amp;",",","&amp;SUBSTITUTE(Screener!$D$17," ","")&amp;",")),2000000,IF(IF(OR(Screener!$B$18="All",AND(Screener!$B$18="With A-share",(Database!$BK362="Y")),AND(Screener!$B$18="Without A-share",NOT((Database!$BK362="Y")))),1,0)=0,-999999,IF(Screener!$B$16="cornerstone overlap first",H362*100000,IF(Screener!$B$16="demand-similar first",J362*100000,0))+W_SUB*B362+W_SEC*C362*(1-B362)+W_SIZE*D362+W_PROF*E362+W_AH*F362+W_REC*G362+W_CS*H362+W_PE*I362)))+ROW()/1000000</f>
        <v/>
      </c>
      <c r="AA362">
        <f>Database!B352</f>
        <v/>
      </c>
      <c r="AB362">
        <f>Database!D352</f>
        <v/>
      </c>
      <c r="AC362">
        <f>Database!E352</f>
        <v/>
      </c>
      <c r="AD362">
        <f>Database!I352</f>
        <v/>
      </c>
      <c r="AE362">
        <f>Database!BE352</f>
        <v/>
      </c>
      <c r="AF362">
        <f>Database!BK352</f>
        <v/>
      </c>
      <c r="AG362">
        <f>Database!H352</f>
        <v/>
      </c>
      <c r="AH362">
        <f>Database!BF352</f>
        <v/>
      </c>
    </row>
    <row r="363">
      <c r="A363">
        <f>Database!B363</f>
        <v/>
      </c>
      <c r="B363">
        <f>IF(AND(Screener!$D$8&lt;&gt;"",Database!$E363=Screener!$D$8),1,0)</f>
        <v/>
      </c>
      <c r="C363">
        <f>IF(AND(Screener!$D$7&lt;&gt;"",Database!$D363=Screener!$D$7),1,0)</f>
        <v/>
      </c>
      <c r="D363">
        <f>IF(OR(N(Database!$I363)&lt;=0,N(Screener!$D$9)&lt;=0),0,MAX(0,1-ABS(LOG10(N(Database!$I363)/Screener!$D$9))/W_SIZEHW))</f>
        <v/>
      </c>
      <c r="E363">
        <f>IF(OR(Database!$BE363="",Screener!$D$10=""),0,IF(Database!$BE363=Screener!$D$10,1,0))</f>
        <v/>
      </c>
      <c r="F363">
        <f>IF(OR(Database!$BK363="",Screener!$D$11=""),0,IF(Database!$BK363=Screener!$D$11,1,0))</f>
        <v/>
      </c>
      <c r="G363">
        <f>IF(OR(Database!$H363="",N(Screener!$D$12)&lt;=0),0,MAX(0,1-(N(Screener!$D$12)-Database!$H363)/W_RECD))</f>
        <v/>
      </c>
      <c r="H363">
        <f>IF($U$1="",0,N(ISNUMBER(SEARCH($U$1,Database!$Z363&amp;""))))+IF($V$1="",0,N(ISNUMBER(SEARCH($V$1,Database!$Z363&amp;""))))+IF($W$1="",0,N(ISNUMBER(SEARCH($W$1,Database!$Z363&amp;""))))+IF($X$1="",0,N(ISNUMBER(SEARCH($X$1,Database!$Z363&amp;""))))+IF($Y$1="",0,N(ISNUMBER(SEARCH($Y$1,Database!$Z363&amp;""))))+IF(Screener!$B$17="",0,N(ISNUMBER(SEARCH(LOWER(Screener!$B$17),Database!$Z363&amp;""))))</f>
        <v/>
      </c>
      <c r="I363">
        <f>IF(OR(N(Database!$BF363)&lt;=0,N(Screener!$D$13)&lt;=0),0,MAX(0,1-ABS(LOG10(N(Database!$BF363)/Screener!$D$13))/W_PEHW))</f>
        <v/>
      </c>
      <c r="J363">
        <f>IF(OR(N(Database!$S363)&lt;=0,N(Screener!$D$14)&lt;=0),0,MAX(0,1-ABS(LOG10(Database!$S363/Screener!$D$14))/0.6))</f>
        <v/>
      </c>
      <c r="K363">
        <f>IF(Database!$B363=Screener!$B$5,-999999,IF(ISNUMBER(SEARCH(","&amp;Database!$A363&amp;",",","&amp;SUBSTITUTE(Screener!$D$17," ","")&amp;",")),2000000,IF(IF(OR(Screener!$B$18="All",AND(Screener!$B$18="With A-share",(Database!$BK363="Y")),AND(Screener!$B$18="Without A-share",NOT((Database!$BK363="Y")))),1,0)=0,-999999,IF(Screener!$B$16="cornerstone overlap first",H363*100000,IF(Screener!$B$16="demand-similar first",J363*100000,0))+W_SUB*B363+W_SEC*C363*(1-B363)+W_SIZE*D363+W_PROF*E363+W_AH*F363+W_REC*G363+W_CS*H363+W_PE*I363)))+ROW()/1000000</f>
        <v/>
      </c>
      <c r="AA363">
        <f>Database!B353</f>
        <v/>
      </c>
      <c r="AB363">
        <f>Database!D353</f>
        <v/>
      </c>
      <c r="AC363">
        <f>Database!E353</f>
        <v/>
      </c>
      <c r="AD363">
        <f>Database!I353</f>
        <v/>
      </c>
      <c r="AE363">
        <f>Database!BE353</f>
        <v/>
      </c>
      <c r="AF363">
        <f>Database!BK353</f>
        <v/>
      </c>
      <c r="AG363">
        <f>Database!H353</f>
        <v/>
      </c>
      <c r="AH363">
        <f>Database!BF353</f>
        <v/>
      </c>
    </row>
    <row r="364">
      <c r="A364">
        <f>Database!B364</f>
        <v/>
      </c>
      <c r="B364">
        <f>IF(AND(Screener!$D$8&lt;&gt;"",Database!$E364=Screener!$D$8),1,0)</f>
        <v/>
      </c>
      <c r="C364">
        <f>IF(AND(Screener!$D$7&lt;&gt;"",Database!$D364=Screener!$D$7),1,0)</f>
        <v/>
      </c>
      <c r="D364">
        <f>IF(OR(N(Database!$I364)&lt;=0,N(Screener!$D$9)&lt;=0),0,MAX(0,1-ABS(LOG10(N(Database!$I364)/Screener!$D$9))/W_SIZEHW))</f>
        <v/>
      </c>
      <c r="E364">
        <f>IF(OR(Database!$BE364="",Screener!$D$10=""),0,IF(Database!$BE364=Screener!$D$10,1,0))</f>
        <v/>
      </c>
      <c r="F364">
        <f>IF(OR(Database!$BK364="",Screener!$D$11=""),0,IF(Database!$BK364=Screener!$D$11,1,0))</f>
        <v/>
      </c>
      <c r="G364">
        <f>IF(OR(Database!$H364="",N(Screener!$D$12)&lt;=0),0,MAX(0,1-(N(Screener!$D$12)-Database!$H364)/W_RECD))</f>
        <v/>
      </c>
      <c r="H364">
        <f>IF($U$1="",0,N(ISNUMBER(SEARCH($U$1,Database!$Z364&amp;""))))+IF($V$1="",0,N(ISNUMBER(SEARCH($V$1,Database!$Z364&amp;""))))+IF($W$1="",0,N(ISNUMBER(SEARCH($W$1,Database!$Z364&amp;""))))+IF($X$1="",0,N(ISNUMBER(SEARCH($X$1,Database!$Z364&amp;""))))+IF($Y$1="",0,N(ISNUMBER(SEARCH($Y$1,Database!$Z364&amp;""))))+IF(Screener!$B$17="",0,N(ISNUMBER(SEARCH(LOWER(Screener!$B$17),Database!$Z364&amp;""))))</f>
        <v/>
      </c>
      <c r="I364">
        <f>IF(OR(N(Database!$BF364)&lt;=0,N(Screener!$D$13)&lt;=0),0,MAX(0,1-ABS(LOG10(N(Database!$BF364)/Screener!$D$13))/W_PEHW))</f>
        <v/>
      </c>
      <c r="J364">
        <f>IF(OR(N(Database!$S364)&lt;=0,N(Screener!$D$14)&lt;=0),0,MAX(0,1-ABS(LOG10(Database!$S364/Screener!$D$14))/0.6))</f>
        <v/>
      </c>
      <c r="K364">
        <f>IF(Database!$B364=Screener!$B$5,-999999,IF(ISNUMBER(SEARCH(","&amp;Database!$A364&amp;",",","&amp;SUBSTITUTE(Screener!$D$17," ","")&amp;",")),2000000,IF(IF(OR(Screener!$B$18="All",AND(Screener!$B$18="With A-share",(Database!$BK364="Y")),AND(Screener!$B$18="Without A-share",NOT((Database!$BK364="Y")))),1,0)=0,-999999,IF(Screener!$B$16="cornerstone overlap first",H364*100000,IF(Screener!$B$16="demand-similar first",J364*100000,0))+W_SUB*B364+W_SEC*C364*(1-B364)+W_SIZE*D364+W_PROF*E364+W_AH*F364+W_REC*G364+W_CS*H364+W_PE*I364)))+ROW()/1000000</f>
        <v/>
      </c>
      <c r="AA364">
        <f>Database!B354</f>
        <v/>
      </c>
      <c r="AB364">
        <f>Database!D354</f>
        <v/>
      </c>
      <c r="AC364">
        <f>Database!E354</f>
        <v/>
      </c>
      <c r="AD364">
        <f>Database!I354</f>
        <v/>
      </c>
      <c r="AE364">
        <f>Database!BE354</f>
        <v/>
      </c>
      <c r="AF364">
        <f>Database!BK354</f>
        <v/>
      </c>
      <c r="AG364">
        <f>Database!H354</f>
        <v/>
      </c>
      <c r="AH364">
        <f>Database!BF354</f>
        <v/>
      </c>
    </row>
    <row r="365">
      <c r="A365">
        <f>Database!B365</f>
        <v/>
      </c>
      <c r="B365">
        <f>IF(AND(Screener!$D$8&lt;&gt;"",Database!$E365=Screener!$D$8),1,0)</f>
        <v/>
      </c>
      <c r="C365">
        <f>IF(AND(Screener!$D$7&lt;&gt;"",Database!$D365=Screener!$D$7),1,0)</f>
        <v/>
      </c>
      <c r="D365">
        <f>IF(OR(N(Database!$I365)&lt;=0,N(Screener!$D$9)&lt;=0),0,MAX(0,1-ABS(LOG10(N(Database!$I365)/Screener!$D$9))/W_SIZEHW))</f>
        <v/>
      </c>
      <c r="E365">
        <f>IF(OR(Database!$BE365="",Screener!$D$10=""),0,IF(Database!$BE365=Screener!$D$10,1,0))</f>
        <v/>
      </c>
      <c r="F365">
        <f>IF(OR(Database!$BK365="",Screener!$D$11=""),0,IF(Database!$BK365=Screener!$D$11,1,0))</f>
        <v/>
      </c>
      <c r="G365">
        <f>IF(OR(Database!$H365="",N(Screener!$D$12)&lt;=0),0,MAX(0,1-(N(Screener!$D$12)-Database!$H365)/W_RECD))</f>
        <v/>
      </c>
      <c r="H365">
        <f>IF($U$1="",0,N(ISNUMBER(SEARCH($U$1,Database!$Z365&amp;""))))+IF($V$1="",0,N(ISNUMBER(SEARCH($V$1,Database!$Z365&amp;""))))+IF($W$1="",0,N(ISNUMBER(SEARCH($W$1,Database!$Z365&amp;""))))+IF($X$1="",0,N(ISNUMBER(SEARCH($X$1,Database!$Z365&amp;""))))+IF($Y$1="",0,N(ISNUMBER(SEARCH($Y$1,Database!$Z365&amp;""))))+IF(Screener!$B$17="",0,N(ISNUMBER(SEARCH(LOWER(Screener!$B$17),Database!$Z365&amp;""))))</f>
        <v/>
      </c>
      <c r="I365">
        <f>IF(OR(N(Database!$BF365)&lt;=0,N(Screener!$D$13)&lt;=0),0,MAX(0,1-ABS(LOG10(N(Database!$BF365)/Screener!$D$13))/W_PEHW))</f>
        <v/>
      </c>
      <c r="J365">
        <f>IF(OR(N(Database!$S365)&lt;=0,N(Screener!$D$14)&lt;=0),0,MAX(0,1-ABS(LOG10(Database!$S365/Screener!$D$14))/0.6))</f>
        <v/>
      </c>
      <c r="K365">
        <f>IF(Database!$B365=Screener!$B$5,-999999,IF(ISNUMBER(SEARCH(","&amp;Database!$A365&amp;",",","&amp;SUBSTITUTE(Screener!$D$17," ","")&amp;",")),2000000,IF(IF(OR(Screener!$B$18="All",AND(Screener!$B$18="With A-share",(Database!$BK365="Y")),AND(Screener!$B$18="Without A-share",NOT((Database!$BK365="Y")))),1,0)=0,-999999,IF(Screener!$B$16="cornerstone overlap first",H365*100000,IF(Screener!$B$16="demand-similar first",J365*100000,0))+W_SUB*B365+W_SEC*C365*(1-B365)+W_SIZE*D365+W_PROF*E365+W_AH*F365+W_REC*G365+W_CS*H365+W_PE*I365)))+ROW()/1000000</f>
        <v/>
      </c>
      <c r="AA365">
        <f>Database!B355</f>
        <v/>
      </c>
      <c r="AB365">
        <f>Database!D355</f>
        <v/>
      </c>
      <c r="AC365">
        <f>Database!E355</f>
        <v/>
      </c>
      <c r="AD365">
        <f>Database!I355</f>
        <v/>
      </c>
      <c r="AE365">
        <f>Database!BE355</f>
        <v/>
      </c>
      <c r="AF365">
        <f>Database!BK355</f>
        <v/>
      </c>
      <c r="AG365">
        <f>Database!H355</f>
        <v/>
      </c>
      <c r="AH365">
        <f>Database!BF355</f>
        <v/>
      </c>
    </row>
    <row r="366">
      <c r="A366">
        <f>Database!B366</f>
        <v/>
      </c>
      <c r="B366">
        <f>IF(AND(Screener!$D$8&lt;&gt;"",Database!$E366=Screener!$D$8),1,0)</f>
        <v/>
      </c>
      <c r="C366">
        <f>IF(AND(Screener!$D$7&lt;&gt;"",Database!$D366=Screener!$D$7),1,0)</f>
        <v/>
      </c>
      <c r="D366">
        <f>IF(OR(N(Database!$I366)&lt;=0,N(Screener!$D$9)&lt;=0),0,MAX(0,1-ABS(LOG10(N(Database!$I366)/Screener!$D$9))/W_SIZEHW))</f>
        <v/>
      </c>
      <c r="E366">
        <f>IF(OR(Database!$BE366="",Screener!$D$10=""),0,IF(Database!$BE366=Screener!$D$10,1,0))</f>
        <v/>
      </c>
      <c r="F366">
        <f>IF(OR(Database!$BK366="",Screener!$D$11=""),0,IF(Database!$BK366=Screener!$D$11,1,0))</f>
        <v/>
      </c>
      <c r="G366">
        <f>IF(OR(Database!$H366="",N(Screener!$D$12)&lt;=0),0,MAX(0,1-(N(Screener!$D$12)-Database!$H366)/W_RECD))</f>
        <v/>
      </c>
      <c r="H366">
        <f>IF($U$1="",0,N(ISNUMBER(SEARCH($U$1,Database!$Z366&amp;""))))+IF($V$1="",0,N(ISNUMBER(SEARCH($V$1,Database!$Z366&amp;""))))+IF($W$1="",0,N(ISNUMBER(SEARCH($W$1,Database!$Z366&amp;""))))+IF($X$1="",0,N(ISNUMBER(SEARCH($X$1,Database!$Z366&amp;""))))+IF($Y$1="",0,N(ISNUMBER(SEARCH($Y$1,Database!$Z366&amp;""))))+IF(Screener!$B$17="",0,N(ISNUMBER(SEARCH(LOWER(Screener!$B$17),Database!$Z366&amp;""))))</f>
        <v/>
      </c>
      <c r="I366">
        <f>IF(OR(N(Database!$BF366)&lt;=0,N(Screener!$D$13)&lt;=0),0,MAX(0,1-ABS(LOG10(N(Database!$BF366)/Screener!$D$13))/W_PEHW))</f>
        <v/>
      </c>
      <c r="J366">
        <f>IF(OR(N(Database!$S366)&lt;=0,N(Screener!$D$14)&lt;=0),0,MAX(0,1-ABS(LOG10(Database!$S366/Screener!$D$14))/0.6))</f>
        <v/>
      </c>
      <c r="K366">
        <f>IF(Database!$B366=Screener!$B$5,-999999,IF(ISNUMBER(SEARCH(","&amp;Database!$A366&amp;",",","&amp;SUBSTITUTE(Screener!$D$17," ","")&amp;",")),2000000,IF(IF(OR(Screener!$B$18="All",AND(Screener!$B$18="With A-share",(Database!$BK366="Y")),AND(Screener!$B$18="Without A-share",NOT((Database!$BK366="Y")))),1,0)=0,-999999,IF(Screener!$B$16="cornerstone overlap first",H366*100000,IF(Screener!$B$16="demand-similar first",J366*100000,0))+W_SUB*B366+W_SEC*C366*(1-B366)+W_SIZE*D366+W_PROF*E366+W_AH*F366+W_REC*G366+W_CS*H366+W_PE*I366)))+ROW()/1000000</f>
        <v/>
      </c>
      <c r="AA366">
        <f>Database!B356</f>
        <v/>
      </c>
      <c r="AB366">
        <f>Database!D356</f>
        <v/>
      </c>
      <c r="AC366">
        <f>Database!E356</f>
        <v/>
      </c>
      <c r="AD366">
        <f>Database!I356</f>
        <v/>
      </c>
      <c r="AE366">
        <f>Database!BE356</f>
        <v/>
      </c>
      <c r="AF366">
        <f>Database!BK356</f>
        <v/>
      </c>
      <c r="AG366">
        <f>Database!H356</f>
        <v/>
      </c>
      <c r="AH366">
        <f>Database!BF356</f>
        <v/>
      </c>
    </row>
    <row r="367">
      <c r="A367">
        <f>Database!B367</f>
        <v/>
      </c>
      <c r="B367">
        <f>IF(AND(Screener!$D$8&lt;&gt;"",Database!$E367=Screener!$D$8),1,0)</f>
        <v/>
      </c>
      <c r="C367">
        <f>IF(AND(Screener!$D$7&lt;&gt;"",Database!$D367=Screener!$D$7),1,0)</f>
        <v/>
      </c>
      <c r="D367">
        <f>IF(OR(N(Database!$I367)&lt;=0,N(Screener!$D$9)&lt;=0),0,MAX(0,1-ABS(LOG10(N(Database!$I367)/Screener!$D$9))/W_SIZEHW))</f>
        <v/>
      </c>
      <c r="E367">
        <f>IF(OR(Database!$BE367="",Screener!$D$10=""),0,IF(Database!$BE367=Screener!$D$10,1,0))</f>
        <v/>
      </c>
      <c r="F367">
        <f>IF(OR(Database!$BK367="",Screener!$D$11=""),0,IF(Database!$BK367=Screener!$D$11,1,0))</f>
        <v/>
      </c>
      <c r="G367">
        <f>IF(OR(Database!$H367="",N(Screener!$D$12)&lt;=0),0,MAX(0,1-(N(Screener!$D$12)-Database!$H367)/W_RECD))</f>
        <v/>
      </c>
      <c r="H367">
        <f>IF($U$1="",0,N(ISNUMBER(SEARCH($U$1,Database!$Z367&amp;""))))+IF($V$1="",0,N(ISNUMBER(SEARCH($V$1,Database!$Z367&amp;""))))+IF($W$1="",0,N(ISNUMBER(SEARCH($W$1,Database!$Z367&amp;""))))+IF($X$1="",0,N(ISNUMBER(SEARCH($X$1,Database!$Z367&amp;""))))+IF($Y$1="",0,N(ISNUMBER(SEARCH($Y$1,Database!$Z367&amp;""))))+IF(Screener!$B$17="",0,N(ISNUMBER(SEARCH(LOWER(Screener!$B$17),Database!$Z367&amp;""))))</f>
        <v/>
      </c>
      <c r="I367">
        <f>IF(OR(N(Database!$BF367)&lt;=0,N(Screener!$D$13)&lt;=0),0,MAX(0,1-ABS(LOG10(N(Database!$BF367)/Screener!$D$13))/W_PEHW))</f>
        <v/>
      </c>
      <c r="J367">
        <f>IF(OR(N(Database!$S367)&lt;=0,N(Screener!$D$14)&lt;=0),0,MAX(0,1-ABS(LOG10(Database!$S367/Screener!$D$14))/0.6))</f>
        <v/>
      </c>
      <c r="K367">
        <f>IF(Database!$B367=Screener!$B$5,-999999,IF(ISNUMBER(SEARCH(","&amp;Database!$A367&amp;",",","&amp;SUBSTITUTE(Screener!$D$17," ","")&amp;",")),2000000,IF(IF(OR(Screener!$B$18="All",AND(Screener!$B$18="With A-share",(Database!$BK367="Y")),AND(Screener!$B$18="Without A-share",NOT((Database!$BK367="Y")))),1,0)=0,-999999,IF(Screener!$B$16="cornerstone overlap first",H367*100000,IF(Screener!$B$16="demand-similar first",J367*100000,0))+W_SUB*B367+W_SEC*C367*(1-B367)+W_SIZE*D367+W_PROF*E367+W_AH*F367+W_REC*G367+W_CS*H367+W_PE*I367)))+ROW()/1000000</f>
        <v/>
      </c>
      <c r="AA367">
        <f>Database!B357</f>
        <v/>
      </c>
      <c r="AB367">
        <f>Database!D357</f>
        <v/>
      </c>
      <c r="AC367">
        <f>Database!E357</f>
        <v/>
      </c>
      <c r="AD367">
        <f>Database!I357</f>
        <v/>
      </c>
      <c r="AE367">
        <f>Database!BE357</f>
        <v/>
      </c>
      <c r="AF367">
        <f>Database!BK357</f>
        <v/>
      </c>
      <c r="AG367">
        <f>Database!H357</f>
        <v/>
      </c>
      <c r="AH367">
        <f>Database!BF357</f>
        <v/>
      </c>
    </row>
    <row r="368">
      <c r="A368">
        <f>Database!B368</f>
        <v/>
      </c>
      <c r="B368">
        <f>IF(AND(Screener!$D$8&lt;&gt;"",Database!$E368=Screener!$D$8),1,0)</f>
        <v/>
      </c>
      <c r="C368">
        <f>IF(AND(Screener!$D$7&lt;&gt;"",Database!$D368=Screener!$D$7),1,0)</f>
        <v/>
      </c>
      <c r="D368">
        <f>IF(OR(N(Database!$I368)&lt;=0,N(Screener!$D$9)&lt;=0),0,MAX(0,1-ABS(LOG10(N(Database!$I368)/Screener!$D$9))/W_SIZEHW))</f>
        <v/>
      </c>
      <c r="E368">
        <f>IF(OR(Database!$BE368="",Screener!$D$10=""),0,IF(Database!$BE368=Screener!$D$10,1,0))</f>
        <v/>
      </c>
      <c r="F368">
        <f>IF(OR(Database!$BK368="",Screener!$D$11=""),0,IF(Database!$BK368=Screener!$D$11,1,0))</f>
        <v/>
      </c>
      <c r="G368">
        <f>IF(OR(Database!$H368="",N(Screener!$D$12)&lt;=0),0,MAX(0,1-(N(Screener!$D$12)-Database!$H368)/W_RECD))</f>
        <v/>
      </c>
      <c r="H368">
        <f>IF($U$1="",0,N(ISNUMBER(SEARCH($U$1,Database!$Z368&amp;""))))+IF($V$1="",0,N(ISNUMBER(SEARCH($V$1,Database!$Z368&amp;""))))+IF($W$1="",0,N(ISNUMBER(SEARCH($W$1,Database!$Z368&amp;""))))+IF($X$1="",0,N(ISNUMBER(SEARCH($X$1,Database!$Z368&amp;""))))+IF($Y$1="",0,N(ISNUMBER(SEARCH($Y$1,Database!$Z368&amp;""))))+IF(Screener!$B$17="",0,N(ISNUMBER(SEARCH(LOWER(Screener!$B$17),Database!$Z368&amp;""))))</f>
        <v/>
      </c>
      <c r="I368">
        <f>IF(OR(N(Database!$BF368)&lt;=0,N(Screener!$D$13)&lt;=0),0,MAX(0,1-ABS(LOG10(N(Database!$BF368)/Screener!$D$13))/W_PEHW))</f>
        <v/>
      </c>
      <c r="J368">
        <f>IF(OR(N(Database!$S368)&lt;=0,N(Screener!$D$14)&lt;=0),0,MAX(0,1-ABS(LOG10(Database!$S368/Screener!$D$14))/0.6))</f>
        <v/>
      </c>
      <c r="K368">
        <f>IF(Database!$B368=Screener!$B$5,-999999,IF(ISNUMBER(SEARCH(","&amp;Database!$A368&amp;",",","&amp;SUBSTITUTE(Screener!$D$17," ","")&amp;",")),2000000,IF(IF(OR(Screener!$B$18="All",AND(Screener!$B$18="With A-share",(Database!$BK368="Y")),AND(Screener!$B$18="Without A-share",NOT((Database!$BK368="Y")))),1,0)=0,-999999,IF(Screener!$B$16="cornerstone overlap first",H368*100000,IF(Screener!$B$16="demand-similar first",J368*100000,0))+W_SUB*B368+W_SEC*C368*(1-B368)+W_SIZE*D368+W_PROF*E368+W_AH*F368+W_REC*G368+W_CS*H368+W_PE*I368)))+ROW()/1000000</f>
        <v/>
      </c>
      <c r="AA368">
        <f>Database!B358</f>
        <v/>
      </c>
      <c r="AB368">
        <f>Database!D358</f>
        <v/>
      </c>
      <c r="AC368">
        <f>Database!E358</f>
        <v/>
      </c>
      <c r="AD368">
        <f>Database!I358</f>
        <v/>
      </c>
      <c r="AE368">
        <f>Database!BE358</f>
        <v/>
      </c>
      <c r="AF368">
        <f>Database!BK358</f>
        <v/>
      </c>
      <c r="AG368">
        <f>Database!H358</f>
        <v/>
      </c>
      <c r="AH368">
        <f>Database!BF358</f>
        <v/>
      </c>
    </row>
    <row r="369">
      <c r="A369">
        <f>Database!B369</f>
        <v/>
      </c>
      <c r="B369">
        <f>IF(AND(Screener!$D$8&lt;&gt;"",Database!$E369=Screener!$D$8),1,0)</f>
        <v/>
      </c>
      <c r="C369">
        <f>IF(AND(Screener!$D$7&lt;&gt;"",Database!$D369=Screener!$D$7),1,0)</f>
        <v/>
      </c>
      <c r="D369">
        <f>IF(OR(N(Database!$I369)&lt;=0,N(Screener!$D$9)&lt;=0),0,MAX(0,1-ABS(LOG10(N(Database!$I369)/Screener!$D$9))/W_SIZEHW))</f>
        <v/>
      </c>
      <c r="E369">
        <f>IF(OR(Database!$BE369="",Screener!$D$10=""),0,IF(Database!$BE369=Screener!$D$10,1,0))</f>
        <v/>
      </c>
      <c r="F369">
        <f>IF(OR(Database!$BK369="",Screener!$D$11=""),0,IF(Database!$BK369=Screener!$D$11,1,0))</f>
        <v/>
      </c>
      <c r="G369">
        <f>IF(OR(Database!$H369="",N(Screener!$D$12)&lt;=0),0,MAX(0,1-(N(Screener!$D$12)-Database!$H369)/W_RECD))</f>
        <v/>
      </c>
      <c r="H369">
        <f>IF($U$1="",0,N(ISNUMBER(SEARCH($U$1,Database!$Z369&amp;""))))+IF($V$1="",0,N(ISNUMBER(SEARCH($V$1,Database!$Z369&amp;""))))+IF($W$1="",0,N(ISNUMBER(SEARCH($W$1,Database!$Z369&amp;""))))+IF($X$1="",0,N(ISNUMBER(SEARCH($X$1,Database!$Z369&amp;""))))+IF($Y$1="",0,N(ISNUMBER(SEARCH($Y$1,Database!$Z369&amp;""))))+IF(Screener!$B$17="",0,N(ISNUMBER(SEARCH(LOWER(Screener!$B$17),Database!$Z369&amp;""))))</f>
        <v/>
      </c>
      <c r="I369">
        <f>IF(OR(N(Database!$BF369)&lt;=0,N(Screener!$D$13)&lt;=0),0,MAX(0,1-ABS(LOG10(N(Database!$BF369)/Screener!$D$13))/W_PEHW))</f>
        <v/>
      </c>
      <c r="J369">
        <f>IF(OR(N(Database!$S369)&lt;=0,N(Screener!$D$14)&lt;=0),0,MAX(0,1-ABS(LOG10(Database!$S369/Screener!$D$14))/0.6))</f>
        <v/>
      </c>
      <c r="K369">
        <f>IF(Database!$B369=Screener!$B$5,-999999,IF(ISNUMBER(SEARCH(","&amp;Database!$A369&amp;",",","&amp;SUBSTITUTE(Screener!$D$17," ","")&amp;",")),2000000,IF(IF(OR(Screener!$B$18="All",AND(Screener!$B$18="With A-share",(Database!$BK369="Y")),AND(Screener!$B$18="Without A-share",NOT((Database!$BK369="Y")))),1,0)=0,-999999,IF(Screener!$B$16="cornerstone overlap first",H369*100000,IF(Screener!$B$16="demand-similar first",J369*100000,0))+W_SUB*B369+W_SEC*C369*(1-B369)+W_SIZE*D369+W_PROF*E369+W_AH*F369+W_REC*G369+W_CS*H369+W_PE*I369)))+ROW()/1000000</f>
        <v/>
      </c>
      <c r="AA369">
        <f>Database!B359</f>
        <v/>
      </c>
      <c r="AB369">
        <f>Database!D359</f>
        <v/>
      </c>
      <c r="AC369">
        <f>Database!E359</f>
        <v/>
      </c>
      <c r="AD369">
        <f>Database!I359</f>
        <v/>
      </c>
      <c r="AE369">
        <f>Database!BE359</f>
        <v/>
      </c>
      <c r="AF369">
        <f>Database!BK359</f>
        <v/>
      </c>
      <c r="AG369">
        <f>Database!H359</f>
        <v/>
      </c>
      <c r="AH369">
        <f>Database!BF359</f>
        <v/>
      </c>
    </row>
    <row r="370">
      <c r="A370">
        <f>Database!B370</f>
        <v/>
      </c>
      <c r="B370">
        <f>IF(AND(Screener!$D$8&lt;&gt;"",Database!$E370=Screener!$D$8),1,0)</f>
        <v/>
      </c>
      <c r="C370">
        <f>IF(AND(Screener!$D$7&lt;&gt;"",Database!$D370=Screener!$D$7),1,0)</f>
        <v/>
      </c>
      <c r="D370">
        <f>IF(OR(N(Database!$I370)&lt;=0,N(Screener!$D$9)&lt;=0),0,MAX(0,1-ABS(LOG10(N(Database!$I370)/Screener!$D$9))/W_SIZEHW))</f>
        <v/>
      </c>
      <c r="E370">
        <f>IF(OR(Database!$BE370="",Screener!$D$10=""),0,IF(Database!$BE370=Screener!$D$10,1,0))</f>
        <v/>
      </c>
      <c r="F370">
        <f>IF(OR(Database!$BK370="",Screener!$D$11=""),0,IF(Database!$BK370=Screener!$D$11,1,0))</f>
        <v/>
      </c>
      <c r="G370">
        <f>IF(OR(Database!$H370="",N(Screener!$D$12)&lt;=0),0,MAX(0,1-(N(Screener!$D$12)-Database!$H370)/W_RECD))</f>
        <v/>
      </c>
      <c r="H370">
        <f>IF($U$1="",0,N(ISNUMBER(SEARCH($U$1,Database!$Z370&amp;""))))+IF($V$1="",0,N(ISNUMBER(SEARCH($V$1,Database!$Z370&amp;""))))+IF($W$1="",0,N(ISNUMBER(SEARCH($W$1,Database!$Z370&amp;""))))+IF($X$1="",0,N(ISNUMBER(SEARCH($X$1,Database!$Z370&amp;""))))+IF($Y$1="",0,N(ISNUMBER(SEARCH($Y$1,Database!$Z370&amp;""))))+IF(Screener!$B$17="",0,N(ISNUMBER(SEARCH(LOWER(Screener!$B$17),Database!$Z370&amp;""))))</f>
        <v/>
      </c>
      <c r="I370">
        <f>IF(OR(N(Database!$BF370)&lt;=0,N(Screener!$D$13)&lt;=0),0,MAX(0,1-ABS(LOG10(N(Database!$BF370)/Screener!$D$13))/W_PEHW))</f>
        <v/>
      </c>
      <c r="J370">
        <f>IF(OR(N(Database!$S370)&lt;=0,N(Screener!$D$14)&lt;=0),0,MAX(0,1-ABS(LOG10(Database!$S370/Screener!$D$14))/0.6))</f>
        <v/>
      </c>
      <c r="K370">
        <f>IF(Database!$B370=Screener!$B$5,-999999,IF(ISNUMBER(SEARCH(","&amp;Database!$A370&amp;",",","&amp;SUBSTITUTE(Screener!$D$17," ","")&amp;",")),2000000,IF(IF(OR(Screener!$B$18="All",AND(Screener!$B$18="With A-share",(Database!$BK370="Y")),AND(Screener!$B$18="Without A-share",NOT((Database!$BK370="Y")))),1,0)=0,-999999,IF(Screener!$B$16="cornerstone overlap first",H370*100000,IF(Screener!$B$16="demand-similar first",J370*100000,0))+W_SUB*B370+W_SEC*C370*(1-B370)+W_SIZE*D370+W_PROF*E370+W_AH*F370+W_REC*G370+W_CS*H370+W_PE*I370)))+ROW()/1000000</f>
        <v/>
      </c>
      <c r="AA370">
        <f>Database!B360</f>
        <v/>
      </c>
      <c r="AB370">
        <f>Database!D360</f>
        <v/>
      </c>
      <c r="AC370">
        <f>Database!E360</f>
        <v/>
      </c>
      <c r="AD370">
        <f>Database!I360</f>
        <v/>
      </c>
      <c r="AE370">
        <f>Database!BE360</f>
        <v/>
      </c>
      <c r="AF370">
        <f>Database!BK360</f>
        <v/>
      </c>
      <c r="AG370">
        <f>Database!H360</f>
        <v/>
      </c>
      <c r="AH370">
        <f>Database!BF360</f>
        <v/>
      </c>
    </row>
    <row r="371">
      <c r="A371">
        <f>Database!B371</f>
        <v/>
      </c>
      <c r="B371">
        <f>IF(AND(Screener!$D$8&lt;&gt;"",Database!$E371=Screener!$D$8),1,0)</f>
        <v/>
      </c>
      <c r="C371">
        <f>IF(AND(Screener!$D$7&lt;&gt;"",Database!$D371=Screener!$D$7),1,0)</f>
        <v/>
      </c>
      <c r="D371">
        <f>IF(OR(N(Database!$I371)&lt;=0,N(Screener!$D$9)&lt;=0),0,MAX(0,1-ABS(LOG10(N(Database!$I371)/Screener!$D$9))/W_SIZEHW))</f>
        <v/>
      </c>
      <c r="E371">
        <f>IF(OR(Database!$BE371="",Screener!$D$10=""),0,IF(Database!$BE371=Screener!$D$10,1,0))</f>
        <v/>
      </c>
      <c r="F371">
        <f>IF(OR(Database!$BK371="",Screener!$D$11=""),0,IF(Database!$BK371=Screener!$D$11,1,0))</f>
        <v/>
      </c>
      <c r="G371">
        <f>IF(OR(Database!$H371="",N(Screener!$D$12)&lt;=0),0,MAX(0,1-(N(Screener!$D$12)-Database!$H371)/W_RECD))</f>
        <v/>
      </c>
      <c r="H371">
        <f>IF($U$1="",0,N(ISNUMBER(SEARCH($U$1,Database!$Z371&amp;""))))+IF($V$1="",0,N(ISNUMBER(SEARCH($V$1,Database!$Z371&amp;""))))+IF($W$1="",0,N(ISNUMBER(SEARCH($W$1,Database!$Z371&amp;""))))+IF($X$1="",0,N(ISNUMBER(SEARCH($X$1,Database!$Z371&amp;""))))+IF($Y$1="",0,N(ISNUMBER(SEARCH($Y$1,Database!$Z371&amp;""))))+IF(Screener!$B$17="",0,N(ISNUMBER(SEARCH(LOWER(Screener!$B$17),Database!$Z371&amp;""))))</f>
        <v/>
      </c>
      <c r="I371">
        <f>IF(OR(N(Database!$BF371)&lt;=0,N(Screener!$D$13)&lt;=0),0,MAX(0,1-ABS(LOG10(N(Database!$BF371)/Screener!$D$13))/W_PEHW))</f>
        <v/>
      </c>
      <c r="J371">
        <f>IF(OR(N(Database!$S371)&lt;=0,N(Screener!$D$14)&lt;=0),0,MAX(0,1-ABS(LOG10(Database!$S371/Screener!$D$14))/0.6))</f>
        <v/>
      </c>
      <c r="K371">
        <f>IF(Database!$B371=Screener!$B$5,-999999,IF(ISNUMBER(SEARCH(","&amp;Database!$A371&amp;",",","&amp;SUBSTITUTE(Screener!$D$17," ","")&amp;",")),2000000,IF(IF(OR(Screener!$B$18="All",AND(Screener!$B$18="With A-share",(Database!$BK371="Y")),AND(Screener!$B$18="Without A-share",NOT((Database!$BK371="Y")))),1,0)=0,-999999,IF(Screener!$B$16="cornerstone overlap first",H371*100000,IF(Screener!$B$16="demand-similar first",J371*100000,0))+W_SUB*B371+W_SEC*C371*(1-B371)+W_SIZE*D371+W_PROF*E371+W_AH*F371+W_REC*G371+W_CS*H371+W_PE*I371)))+ROW()/1000000</f>
        <v/>
      </c>
      <c r="AA371">
        <f>Database!B361</f>
        <v/>
      </c>
      <c r="AB371">
        <f>Database!D361</f>
        <v/>
      </c>
      <c r="AC371">
        <f>Database!E361</f>
        <v/>
      </c>
      <c r="AD371">
        <f>Database!I361</f>
        <v/>
      </c>
      <c r="AE371">
        <f>Database!BE361</f>
        <v/>
      </c>
      <c r="AF371">
        <f>Database!BK361</f>
        <v/>
      </c>
      <c r="AG371">
        <f>Database!H361</f>
        <v/>
      </c>
      <c r="AH371">
        <f>Database!BF361</f>
        <v/>
      </c>
    </row>
    <row r="372">
      <c r="A372">
        <f>Database!B372</f>
        <v/>
      </c>
      <c r="B372">
        <f>IF(AND(Screener!$D$8&lt;&gt;"",Database!$E372=Screener!$D$8),1,0)</f>
        <v/>
      </c>
      <c r="C372">
        <f>IF(AND(Screener!$D$7&lt;&gt;"",Database!$D372=Screener!$D$7),1,0)</f>
        <v/>
      </c>
      <c r="D372">
        <f>IF(OR(N(Database!$I372)&lt;=0,N(Screener!$D$9)&lt;=0),0,MAX(0,1-ABS(LOG10(N(Database!$I372)/Screener!$D$9))/W_SIZEHW))</f>
        <v/>
      </c>
      <c r="E372">
        <f>IF(OR(Database!$BE372="",Screener!$D$10=""),0,IF(Database!$BE372=Screener!$D$10,1,0))</f>
        <v/>
      </c>
      <c r="F372">
        <f>IF(OR(Database!$BK372="",Screener!$D$11=""),0,IF(Database!$BK372=Screener!$D$11,1,0))</f>
        <v/>
      </c>
      <c r="G372">
        <f>IF(OR(Database!$H372="",N(Screener!$D$12)&lt;=0),0,MAX(0,1-(N(Screener!$D$12)-Database!$H372)/W_RECD))</f>
        <v/>
      </c>
      <c r="H372">
        <f>IF($U$1="",0,N(ISNUMBER(SEARCH($U$1,Database!$Z372&amp;""))))+IF($V$1="",0,N(ISNUMBER(SEARCH($V$1,Database!$Z372&amp;""))))+IF($W$1="",0,N(ISNUMBER(SEARCH($W$1,Database!$Z372&amp;""))))+IF($X$1="",0,N(ISNUMBER(SEARCH($X$1,Database!$Z372&amp;""))))+IF($Y$1="",0,N(ISNUMBER(SEARCH($Y$1,Database!$Z372&amp;""))))+IF(Screener!$B$17="",0,N(ISNUMBER(SEARCH(LOWER(Screener!$B$17),Database!$Z372&amp;""))))</f>
        <v/>
      </c>
      <c r="I372">
        <f>IF(OR(N(Database!$BF372)&lt;=0,N(Screener!$D$13)&lt;=0),0,MAX(0,1-ABS(LOG10(N(Database!$BF372)/Screener!$D$13))/W_PEHW))</f>
        <v/>
      </c>
      <c r="J372">
        <f>IF(OR(N(Database!$S372)&lt;=0,N(Screener!$D$14)&lt;=0),0,MAX(0,1-ABS(LOG10(Database!$S372/Screener!$D$14))/0.6))</f>
        <v/>
      </c>
      <c r="K372">
        <f>IF(Database!$B372=Screener!$B$5,-999999,IF(ISNUMBER(SEARCH(","&amp;Database!$A372&amp;",",","&amp;SUBSTITUTE(Screener!$D$17," ","")&amp;",")),2000000,IF(IF(OR(Screener!$B$18="All",AND(Screener!$B$18="With A-share",(Database!$BK372="Y")),AND(Screener!$B$18="Without A-share",NOT((Database!$BK372="Y")))),1,0)=0,-999999,IF(Screener!$B$16="cornerstone overlap first",H372*100000,IF(Screener!$B$16="demand-similar first",J372*100000,0))+W_SUB*B372+W_SEC*C372*(1-B372)+W_SIZE*D372+W_PROF*E372+W_AH*F372+W_REC*G372+W_CS*H372+W_PE*I372)))+ROW()/1000000</f>
        <v/>
      </c>
      <c r="AA372">
        <f>Database!B362</f>
        <v/>
      </c>
      <c r="AB372">
        <f>Database!D362</f>
        <v/>
      </c>
      <c r="AC372">
        <f>Database!E362</f>
        <v/>
      </c>
      <c r="AD372">
        <f>Database!I362</f>
        <v/>
      </c>
      <c r="AE372">
        <f>Database!BE362</f>
        <v/>
      </c>
      <c r="AF372">
        <f>Database!BK362</f>
        <v/>
      </c>
      <c r="AG372">
        <f>Database!H362</f>
        <v/>
      </c>
      <c r="AH372">
        <f>Database!BF362</f>
        <v/>
      </c>
    </row>
    <row r="373">
      <c r="A373">
        <f>Database!B373</f>
        <v/>
      </c>
      <c r="B373">
        <f>IF(AND(Screener!$D$8&lt;&gt;"",Database!$E373=Screener!$D$8),1,0)</f>
        <v/>
      </c>
      <c r="C373">
        <f>IF(AND(Screener!$D$7&lt;&gt;"",Database!$D373=Screener!$D$7),1,0)</f>
        <v/>
      </c>
      <c r="D373">
        <f>IF(OR(N(Database!$I373)&lt;=0,N(Screener!$D$9)&lt;=0),0,MAX(0,1-ABS(LOG10(N(Database!$I373)/Screener!$D$9))/W_SIZEHW))</f>
        <v/>
      </c>
      <c r="E373">
        <f>IF(OR(Database!$BE373="",Screener!$D$10=""),0,IF(Database!$BE373=Screener!$D$10,1,0))</f>
        <v/>
      </c>
      <c r="F373">
        <f>IF(OR(Database!$BK373="",Screener!$D$11=""),0,IF(Database!$BK373=Screener!$D$11,1,0))</f>
        <v/>
      </c>
      <c r="G373">
        <f>IF(OR(Database!$H373="",N(Screener!$D$12)&lt;=0),0,MAX(0,1-(N(Screener!$D$12)-Database!$H373)/W_RECD))</f>
        <v/>
      </c>
      <c r="H373">
        <f>IF($U$1="",0,N(ISNUMBER(SEARCH($U$1,Database!$Z373&amp;""))))+IF($V$1="",0,N(ISNUMBER(SEARCH($V$1,Database!$Z373&amp;""))))+IF($W$1="",0,N(ISNUMBER(SEARCH($W$1,Database!$Z373&amp;""))))+IF($X$1="",0,N(ISNUMBER(SEARCH($X$1,Database!$Z373&amp;""))))+IF($Y$1="",0,N(ISNUMBER(SEARCH($Y$1,Database!$Z373&amp;""))))+IF(Screener!$B$17="",0,N(ISNUMBER(SEARCH(LOWER(Screener!$B$17),Database!$Z373&amp;""))))</f>
        <v/>
      </c>
      <c r="I373">
        <f>IF(OR(N(Database!$BF373)&lt;=0,N(Screener!$D$13)&lt;=0),0,MAX(0,1-ABS(LOG10(N(Database!$BF373)/Screener!$D$13))/W_PEHW))</f>
        <v/>
      </c>
      <c r="J373">
        <f>IF(OR(N(Database!$S373)&lt;=0,N(Screener!$D$14)&lt;=0),0,MAX(0,1-ABS(LOG10(Database!$S373/Screener!$D$14))/0.6))</f>
        <v/>
      </c>
      <c r="K373">
        <f>IF(Database!$B373=Screener!$B$5,-999999,IF(ISNUMBER(SEARCH(","&amp;Database!$A373&amp;",",","&amp;SUBSTITUTE(Screener!$D$17," ","")&amp;",")),2000000,IF(IF(OR(Screener!$B$18="All",AND(Screener!$B$18="With A-share",(Database!$BK373="Y")),AND(Screener!$B$18="Without A-share",NOT((Database!$BK373="Y")))),1,0)=0,-999999,IF(Screener!$B$16="cornerstone overlap first",H373*100000,IF(Screener!$B$16="demand-similar first",J373*100000,0))+W_SUB*B373+W_SEC*C373*(1-B373)+W_SIZE*D373+W_PROF*E373+W_AH*F373+W_REC*G373+W_CS*H373+W_PE*I373)))+ROW()/1000000</f>
        <v/>
      </c>
      <c r="AA373">
        <f>Database!B363</f>
        <v/>
      </c>
      <c r="AB373">
        <f>Database!D363</f>
        <v/>
      </c>
      <c r="AC373">
        <f>Database!E363</f>
        <v/>
      </c>
      <c r="AD373">
        <f>Database!I363</f>
        <v/>
      </c>
      <c r="AE373">
        <f>Database!BE363</f>
        <v/>
      </c>
      <c r="AF373">
        <f>Database!BK363</f>
        <v/>
      </c>
      <c r="AG373">
        <f>Database!H363</f>
        <v/>
      </c>
      <c r="AH373">
        <f>Database!BF363</f>
        <v/>
      </c>
    </row>
    <row r="374">
      <c r="A374">
        <f>Database!B374</f>
        <v/>
      </c>
      <c r="B374">
        <f>IF(AND(Screener!$D$8&lt;&gt;"",Database!$E374=Screener!$D$8),1,0)</f>
        <v/>
      </c>
      <c r="C374">
        <f>IF(AND(Screener!$D$7&lt;&gt;"",Database!$D374=Screener!$D$7),1,0)</f>
        <v/>
      </c>
      <c r="D374">
        <f>IF(OR(N(Database!$I374)&lt;=0,N(Screener!$D$9)&lt;=0),0,MAX(0,1-ABS(LOG10(N(Database!$I374)/Screener!$D$9))/W_SIZEHW))</f>
        <v/>
      </c>
      <c r="E374">
        <f>IF(OR(Database!$BE374="",Screener!$D$10=""),0,IF(Database!$BE374=Screener!$D$10,1,0))</f>
        <v/>
      </c>
      <c r="F374">
        <f>IF(OR(Database!$BK374="",Screener!$D$11=""),0,IF(Database!$BK374=Screener!$D$11,1,0))</f>
        <v/>
      </c>
      <c r="G374">
        <f>IF(OR(Database!$H374="",N(Screener!$D$12)&lt;=0),0,MAX(0,1-(N(Screener!$D$12)-Database!$H374)/W_RECD))</f>
        <v/>
      </c>
      <c r="H374">
        <f>IF($U$1="",0,N(ISNUMBER(SEARCH($U$1,Database!$Z374&amp;""))))+IF($V$1="",0,N(ISNUMBER(SEARCH($V$1,Database!$Z374&amp;""))))+IF($W$1="",0,N(ISNUMBER(SEARCH($W$1,Database!$Z374&amp;""))))+IF($X$1="",0,N(ISNUMBER(SEARCH($X$1,Database!$Z374&amp;""))))+IF($Y$1="",0,N(ISNUMBER(SEARCH($Y$1,Database!$Z374&amp;""))))+IF(Screener!$B$17="",0,N(ISNUMBER(SEARCH(LOWER(Screener!$B$17),Database!$Z374&amp;""))))</f>
        <v/>
      </c>
      <c r="I374">
        <f>IF(OR(N(Database!$BF374)&lt;=0,N(Screener!$D$13)&lt;=0),0,MAX(0,1-ABS(LOG10(N(Database!$BF374)/Screener!$D$13))/W_PEHW))</f>
        <v/>
      </c>
      <c r="J374">
        <f>IF(OR(N(Database!$S374)&lt;=0,N(Screener!$D$14)&lt;=0),0,MAX(0,1-ABS(LOG10(Database!$S374/Screener!$D$14))/0.6))</f>
        <v/>
      </c>
      <c r="K374">
        <f>IF(Database!$B374=Screener!$B$5,-999999,IF(ISNUMBER(SEARCH(","&amp;Database!$A374&amp;",",","&amp;SUBSTITUTE(Screener!$D$17," ","")&amp;",")),2000000,IF(IF(OR(Screener!$B$18="All",AND(Screener!$B$18="With A-share",(Database!$BK374="Y")),AND(Screener!$B$18="Without A-share",NOT((Database!$BK374="Y")))),1,0)=0,-999999,IF(Screener!$B$16="cornerstone overlap first",H374*100000,IF(Screener!$B$16="demand-similar first",J374*100000,0))+W_SUB*B374+W_SEC*C374*(1-B374)+W_SIZE*D374+W_PROF*E374+W_AH*F374+W_REC*G374+W_CS*H374+W_PE*I374)))+ROW()/1000000</f>
        <v/>
      </c>
      <c r="AA374">
        <f>Database!B364</f>
        <v/>
      </c>
      <c r="AB374">
        <f>Database!D364</f>
        <v/>
      </c>
      <c r="AC374">
        <f>Database!E364</f>
        <v/>
      </c>
      <c r="AD374">
        <f>Database!I364</f>
        <v/>
      </c>
      <c r="AE374">
        <f>Database!BE364</f>
        <v/>
      </c>
      <c r="AF374">
        <f>Database!BK364</f>
        <v/>
      </c>
      <c r="AG374">
        <f>Database!H364</f>
        <v/>
      </c>
      <c r="AH374">
        <f>Database!BF364</f>
        <v/>
      </c>
    </row>
    <row r="375">
      <c r="A375">
        <f>Database!B375</f>
        <v/>
      </c>
      <c r="B375">
        <f>IF(AND(Screener!$D$8&lt;&gt;"",Database!$E375=Screener!$D$8),1,0)</f>
        <v/>
      </c>
      <c r="C375">
        <f>IF(AND(Screener!$D$7&lt;&gt;"",Database!$D375=Screener!$D$7),1,0)</f>
        <v/>
      </c>
      <c r="D375">
        <f>IF(OR(N(Database!$I375)&lt;=0,N(Screener!$D$9)&lt;=0),0,MAX(0,1-ABS(LOG10(N(Database!$I375)/Screener!$D$9))/W_SIZEHW))</f>
        <v/>
      </c>
      <c r="E375">
        <f>IF(OR(Database!$BE375="",Screener!$D$10=""),0,IF(Database!$BE375=Screener!$D$10,1,0))</f>
        <v/>
      </c>
      <c r="F375">
        <f>IF(OR(Database!$BK375="",Screener!$D$11=""),0,IF(Database!$BK375=Screener!$D$11,1,0))</f>
        <v/>
      </c>
      <c r="G375">
        <f>IF(OR(Database!$H375="",N(Screener!$D$12)&lt;=0),0,MAX(0,1-(N(Screener!$D$12)-Database!$H375)/W_RECD))</f>
        <v/>
      </c>
      <c r="H375">
        <f>IF($U$1="",0,N(ISNUMBER(SEARCH($U$1,Database!$Z375&amp;""))))+IF($V$1="",0,N(ISNUMBER(SEARCH($V$1,Database!$Z375&amp;""))))+IF($W$1="",0,N(ISNUMBER(SEARCH($W$1,Database!$Z375&amp;""))))+IF($X$1="",0,N(ISNUMBER(SEARCH($X$1,Database!$Z375&amp;""))))+IF($Y$1="",0,N(ISNUMBER(SEARCH($Y$1,Database!$Z375&amp;""))))+IF(Screener!$B$17="",0,N(ISNUMBER(SEARCH(LOWER(Screener!$B$17),Database!$Z375&amp;""))))</f>
        <v/>
      </c>
      <c r="I375">
        <f>IF(OR(N(Database!$BF375)&lt;=0,N(Screener!$D$13)&lt;=0),0,MAX(0,1-ABS(LOG10(N(Database!$BF375)/Screener!$D$13))/W_PEHW))</f>
        <v/>
      </c>
      <c r="J375">
        <f>IF(OR(N(Database!$S375)&lt;=0,N(Screener!$D$14)&lt;=0),0,MAX(0,1-ABS(LOG10(Database!$S375/Screener!$D$14))/0.6))</f>
        <v/>
      </c>
      <c r="K375">
        <f>IF(Database!$B375=Screener!$B$5,-999999,IF(ISNUMBER(SEARCH(","&amp;Database!$A375&amp;",",","&amp;SUBSTITUTE(Screener!$D$17," ","")&amp;",")),2000000,IF(IF(OR(Screener!$B$18="All",AND(Screener!$B$18="With A-share",(Database!$BK375="Y")),AND(Screener!$B$18="Without A-share",NOT((Database!$BK375="Y")))),1,0)=0,-999999,IF(Screener!$B$16="cornerstone overlap first",H375*100000,IF(Screener!$B$16="demand-similar first",J375*100000,0))+W_SUB*B375+W_SEC*C375*(1-B375)+W_SIZE*D375+W_PROF*E375+W_AH*F375+W_REC*G375+W_CS*H375+W_PE*I375)))+ROW()/1000000</f>
        <v/>
      </c>
      <c r="AA375">
        <f>Database!B365</f>
        <v/>
      </c>
      <c r="AB375">
        <f>Database!D365</f>
        <v/>
      </c>
      <c r="AC375">
        <f>Database!E365</f>
        <v/>
      </c>
      <c r="AD375">
        <f>Database!I365</f>
        <v/>
      </c>
      <c r="AE375">
        <f>Database!BE365</f>
        <v/>
      </c>
      <c r="AF375">
        <f>Database!BK365</f>
        <v/>
      </c>
      <c r="AG375">
        <f>Database!H365</f>
        <v/>
      </c>
      <c r="AH375">
        <f>Database!BF365</f>
        <v/>
      </c>
    </row>
    <row r="376">
      <c r="A376">
        <f>Database!B376</f>
        <v/>
      </c>
      <c r="B376">
        <f>IF(AND(Screener!$D$8&lt;&gt;"",Database!$E376=Screener!$D$8),1,0)</f>
        <v/>
      </c>
      <c r="C376">
        <f>IF(AND(Screener!$D$7&lt;&gt;"",Database!$D376=Screener!$D$7),1,0)</f>
        <v/>
      </c>
      <c r="D376">
        <f>IF(OR(N(Database!$I376)&lt;=0,N(Screener!$D$9)&lt;=0),0,MAX(0,1-ABS(LOG10(N(Database!$I376)/Screener!$D$9))/W_SIZEHW))</f>
        <v/>
      </c>
      <c r="E376">
        <f>IF(OR(Database!$BE376="",Screener!$D$10=""),0,IF(Database!$BE376=Screener!$D$10,1,0))</f>
        <v/>
      </c>
      <c r="F376">
        <f>IF(OR(Database!$BK376="",Screener!$D$11=""),0,IF(Database!$BK376=Screener!$D$11,1,0))</f>
        <v/>
      </c>
      <c r="G376">
        <f>IF(OR(Database!$H376="",N(Screener!$D$12)&lt;=0),0,MAX(0,1-(N(Screener!$D$12)-Database!$H376)/W_RECD))</f>
        <v/>
      </c>
      <c r="H376">
        <f>IF($U$1="",0,N(ISNUMBER(SEARCH($U$1,Database!$Z376&amp;""))))+IF($V$1="",0,N(ISNUMBER(SEARCH($V$1,Database!$Z376&amp;""))))+IF($W$1="",0,N(ISNUMBER(SEARCH($W$1,Database!$Z376&amp;""))))+IF($X$1="",0,N(ISNUMBER(SEARCH($X$1,Database!$Z376&amp;""))))+IF($Y$1="",0,N(ISNUMBER(SEARCH($Y$1,Database!$Z376&amp;""))))+IF(Screener!$B$17="",0,N(ISNUMBER(SEARCH(LOWER(Screener!$B$17),Database!$Z376&amp;""))))</f>
        <v/>
      </c>
      <c r="I376">
        <f>IF(OR(N(Database!$BF376)&lt;=0,N(Screener!$D$13)&lt;=0),0,MAX(0,1-ABS(LOG10(N(Database!$BF376)/Screener!$D$13))/W_PEHW))</f>
        <v/>
      </c>
      <c r="J376">
        <f>IF(OR(N(Database!$S376)&lt;=0,N(Screener!$D$14)&lt;=0),0,MAX(0,1-ABS(LOG10(Database!$S376/Screener!$D$14))/0.6))</f>
        <v/>
      </c>
      <c r="K376">
        <f>IF(Database!$B376=Screener!$B$5,-999999,IF(ISNUMBER(SEARCH(","&amp;Database!$A376&amp;",",","&amp;SUBSTITUTE(Screener!$D$17," ","")&amp;",")),2000000,IF(IF(OR(Screener!$B$18="All",AND(Screener!$B$18="With A-share",(Database!$BK376="Y")),AND(Screener!$B$18="Without A-share",NOT((Database!$BK376="Y")))),1,0)=0,-999999,IF(Screener!$B$16="cornerstone overlap first",H376*100000,IF(Screener!$B$16="demand-similar first",J376*100000,0))+W_SUB*B376+W_SEC*C376*(1-B376)+W_SIZE*D376+W_PROF*E376+W_AH*F376+W_REC*G376+W_CS*H376+W_PE*I376)))+ROW()/1000000</f>
        <v/>
      </c>
      <c r="AA376">
        <f>Database!B366</f>
        <v/>
      </c>
      <c r="AB376">
        <f>Database!D366</f>
        <v/>
      </c>
      <c r="AC376">
        <f>Database!E366</f>
        <v/>
      </c>
      <c r="AD376">
        <f>Database!I366</f>
        <v/>
      </c>
      <c r="AE376">
        <f>Database!BE366</f>
        <v/>
      </c>
      <c r="AF376">
        <f>Database!BK366</f>
        <v/>
      </c>
      <c r="AG376">
        <f>Database!H366</f>
        <v/>
      </c>
      <c r="AH376">
        <f>Database!BF366</f>
        <v/>
      </c>
    </row>
    <row r="377">
      <c r="A377">
        <f>Database!B377</f>
        <v/>
      </c>
      <c r="B377">
        <f>IF(AND(Screener!$D$8&lt;&gt;"",Database!$E377=Screener!$D$8),1,0)</f>
        <v/>
      </c>
      <c r="C377">
        <f>IF(AND(Screener!$D$7&lt;&gt;"",Database!$D377=Screener!$D$7),1,0)</f>
        <v/>
      </c>
      <c r="D377">
        <f>IF(OR(N(Database!$I377)&lt;=0,N(Screener!$D$9)&lt;=0),0,MAX(0,1-ABS(LOG10(N(Database!$I377)/Screener!$D$9))/W_SIZEHW))</f>
        <v/>
      </c>
      <c r="E377">
        <f>IF(OR(Database!$BE377="",Screener!$D$10=""),0,IF(Database!$BE377=Screener!$D$10,1,0))</f>
        <v/>
      </c>
      <c r="F377">
        <f>IF(OR(Database!$BK377="",Screener!$D$11=""),0,IF(Database!$BK377=Screener!$D$11,1,0))</f>
        <v/>
      </c>
      <c r="G377">
        <f>IF(OR(Database!$H377="",N(Screener!$D$12)&lt;=0),0,MAX(0,1-(N(Screener!$D$12)-Database!$H377)/W_RECD))</f>
        <v/>
      </c>
      <c r="H377">
        <f>IF($U$1="",0,N(ISNUMBER(SEARCH($U$1,Database!$Z377&amp;""))))+IF($V$1="",0,N(ISNUMBER(SEARCH($V$1,Database!$Z377&amp;""))))+IF($W$1="",0,N(ISNUMBER(SEARCH($W$1,Database!$Z377&amp;""))))+IF($X$1="",0,N(ISNUMBER(SEARCH($X$1,Database!$Z377&amp;""))))+IF($Y$1="",0,N(ISNUMBER(SEARCH($Y$1,Database!$Z377&amp;""))))+IF(Screener!$B$17="",0,N(ISNUMBER(SEARCH(LOWER(Screener!$B$17),Database!$Z377&amp;""))))</f>
        <v/>
      </c>
      <c r="I377">
        <f>IF(OR(N(Database!$BF377)&lt;=0,N(Screener!$D$13)&lt;=0),0,MAX(0,1-ABS(LOG10(N(Database!$BF377)/Screener!$D$13))/W_PEHW))</f>
        <v/>
      </c>
      <c r="J377">
        <f>IF(OR(N(Database!$S377)&lt;=0,N(Screener!$D$14)&lt;=0),0,MAX(0,1-ABS(LOG10(Database!$S377/Screener!$D$14))/0.6))</f>
        <v/>
      </c>
      <c r="K377">
        <f>IF(Database!$B377=Screener!$B$5,-999999,IF(ISNUMBER(SEARCH(","&amp;Database!$A377&amp;",",","&amp;SUBSTITUTE(Screener!$D$17," ","")&amp;",")),2000000,IF(IF(OR(Screener!$B$18="All",AND(Screener!$B$18="With A-share",(Database!$BK377="Y")),AND(Screener!$B$18="Without A-share",NOT((Database!$BK377="Y")))),1,0)=0,-999999,IF(Screener!$B$16="cornerstone overlap first",H377*100000,IF(Screener!$B$16="demand-similar first",J377*100000,0))+W_SUB*B377+W_SEC*C377*(1-B377)+W_SIZE*D377+W_PROF*E377+W_AH*F377+W_REC*G377+W_CS*H377+W_PE*I377)))+ROW()/1000000</f>
        <v/>
      </c>
      <c r="AA377">
        <f>Database!B367</f>
        <v/>
      </c>
      <c r="AB377">
        <f>Database!D367</f>
        <v/>
      </c>
      <c r="AC377">
        <f>Database!E367</f>
        <v/>
      </c>
      <c r="AD377">
        <f>Database!I367</f>
        <v/>
      </c>
      <c r="AE377">
        <f>Database!BE367</f>
        <v/>
      </c>
      <c r="AF377">
        <f>Database!BK367</f>
        <v/>
      </c>
      <c r="AG377">
        <f>Database!H367</f>
        <v/>
      </c>
      <c r="AH377">
        <f>Database!BF367</f>
        <v/>
      </c>
    </row>
    <row r="378">
      <c r="A378">
        <f>Database!B378</f>
        <v/>
      </c>
      <c r="B378">
        <f>IF(AND(Screener!$D$8&lt;&gt;"",Database!$E378=Screener!$D$8),1,0)</f>
        <v/>
      </c>
      <c r="C378">
        <f>IF(AND(Screener!$D$7&lt;&gt;"",Database!$D378=Screener!$D$7),1,0)</f>
        <v/>
      </c>
      <c r="D378">
        <f>IF(OR(N(Database!$I378)&lt;=0,N(Screener!$D$9)&lt;=0),0,MAX(0,1-ABS(LOG10(N(Database!$I378)/Screener!$D$9))/W_SIZEHW))</f>
        <v/>
      </c>
      <c r="E378">
        <f>IF(OR(Database!$BE378="",Screener!$D$10=""),0,IF(Database!$BE378=Screener!$D$10,1,0))</f>
        <v/>
      </c>
      <c r="F378">
        <f>IF(OR(Database!$BK378="",Screener!$D$11=""),0,IF(Database!$BK378=Screener!$D$11,1,0))</f>
        <v/>
      </c>
      <c r="G378">
        <f>IF(OR(Database!$H378="",N(Screener!$D$12)&lt;=0),0,MAX(0,1-(N(Screener!$D$12)-Database!$H378)/W_RECD))</f>
        <v/>
      </c>
      <c r="H378">
        <f>IF($U$1="",0,N(ISNUMBER(SEARCH($U$1,Database!$Z378&amp;""))))+IF($V$1="",0,N(ISNUMBER(SEARCH($V$1,Database!$Z378&amp;""))))+IF($W$1="",0,N(ISNUMBER(SEARCH($W$1,Database!$Z378&amp;""))))+IF($X$1="",0,N(ISNUMBER(SEARCH($X$1,Database!$Z378&amp;""))))+IF($Y$1="",0,N(ISNUMBER(SEARCH($Y$1,Database!$Z378&amp;""))))+IF(Screener!$B$17="",0,N(ISNUMBER(SEARCH(LOWER(Screener!$B$17),Database!$Z378&amp;""))))</f>
        <v/>
      </c>
      <c r="I378">
        <f>IF(OR(N(Database!$BF378)&lt;=0,N(Screener!$D$13)&lt;=0),0,MAX(0,1-ABS(LOG10(N(Database!$BF378)/Screener!$D$13))/W_PEHW))</f>
        <v/>
      </c>
      <c r="J378">
        <f>IF(OR(N(Database!$S378)&lt;=0,N(Screener!$D$14)&lt;=0),0,MAX(0,1-ABS(LOG10(Database!$S378/Screener!$D$14))/0.6))</f>
        <v/>
      </c>
      <c r="K378">
        <f>IF(Database!$B378=Screener!$B$5,-999999,IF(ISNUMBER(SEARCH(","&amp;Database!$A378&amp;",",","&amp;SUBSTITUTE(Screener!$D$17," ","")&amp;",")),2000000,IF(IF(OR(Screener!$B$18="All",AND(Screener!$B$18="With A-share",(Database!$BK378="Y")),AND(Screener!$B$18="Without A-share",NOT((Database!$BK378="Y")))),1,0)=0,-999999,IF(Screener!$B$16="cornerstone overlap first",H378*100000,IF(Screener!$B$16="demand-similar first",J378*100000,0))+W_SUB*B378+W_SEC*C378*(1-B378)+W_SIZE*D378+W_PROF*E378+W_AH*F378+W_REC*G378+W_CS*H378+W_PE*I378)))+ROW()/1000000</f>
        <v/>
      </c>
      <c r="AA378">
        <f>Database!B368</f>
        <v/>
      </c>
      <c r="AB378">
        <f>Database!D368</f>
        <v/>
      </c>
      <c r="AC378">
        <f>Database!E368</f>
        <v/>
      </c>
      <c r="AD378">
        <f>Database!I368</f>
        <v/>
      </c>
      <c r="AE378">
        <f>Database!BE368</f>
        <v/>
      </c>
      <c r="AF378">
        <f>Database!BK368</f>
        <v/>
      </c>
      <c r="AG378">
        <f>Database!H368</f>
        <v/>
      </c>
      <c r="AH378">
        <f>Database!BF368</f>
        <v/>
      </c>
    </row>
    <row r="379">
      <c r="A379">
        <f>Database!B379</f>
        <v/>
      </c>
      <c r="B379">
        <f>IF(AND(Screener!$D$8&lt;&gt;"",Database!$E379=Screener!$D$8),1,0)</f>
        <v/>
      </c>
      <c r="C379">
        <f>IF(AND(Screener!$D$7&lt;&gt;"",Database!$D379=Screener!$D$7),1,0)</f>
        <v/>
      </c>
      <c r="D379">
        <f>IF(OR(N(Database!$I379)&lt;=0,N(Screener!$D$9)&lt;=0),0,MAX(0,1-ABS(LOG10(N(Database!$I379)/Screener!$D$9))/W_SIZEHW))</f>
        <v/>
      </c>
      <c r="E379">
        <f>IF(OR(Database!$BE379="",Screener!$D$10=""),0,IF(Database!$BE379=Screener!$D$10,1,0))</f>
        <v/>
      </c>
      <c r="F379">
        <f>IF(OR(Database!$BK379="",Screener!$D$11=""),0,IF(Database!$BK379=Screener!$D$11,1,0))</f>
        <v/>
      </c>
      <c r="G379">
        <f>IF(OR(Database!$H379="",N(Screener!$D$12)&lt;=0),0,MAX(0,1-(N(Screener!$D$12)-Database!$H379)/W_RECD))</f>
        <v/>
      </c>
      <c r="H379">
        <f>IF($U$1="",0,N(ISNUMBER(SEARCH($U$1,Database!$Z379&amp;""))))+IF($V$1="",0,N(ISNUMBER(SEARCH($V$1,Database!$Z379&amp;""))))+IF($W$1="",0,N(ISNUMBER(SEARCH($W$1,Database!$Z379&amp;""))))+IF($X$1="",0,N(ISNUMBER(SEARCH($X$1,Database!$Z379&amp;""))))+IF($Y$1="",0,N(ISNUMBER(SEARCH($Y$1,Database!$Z379&amp;""))))+IF(Screener!$B$17="",0,N(ISNUMBER(SEARCH(LOWER(Screener!$B$17),Database!$Z379&amp;""))))</f>
        <v/>
      </c>
      <c r="I379">
        <f>IF(OR(N(Database!$BF379)&lt;=0,N(Screener!$D$13)&lt;=0),0,MAX(0,1-ABS(LOG10(N(Database!$BF379)/Screener!$D$13))/W_PEHW))</f>
        <v/>
      </c>
      <c r="J379">
        <f>IF(OR(N(Database!$S379)&lt;=0,N(Screener!$D$14)&lt;=0),0,MAX(0,1-ABS(LOG10(Database!$S379/Screener!$D$14))/0.6))</f>
        <v/>
      </c>
      <c r="K379">
        <f>IF(Database!$B379=Screener!$B$5,-999999,IF(ISNUMBER(SEARCH(","&amp;Database!$A379&amp;",",","&amp;SUBSTITUTE(Screener!$D$17," ","")&amp;",")),2000000,IF(IF(OR(Screener!$B$18="All",AND(Screener!$B$18="With A-share",(Database!$BK379="Y")),AND(Screener!$B$18="Without A-share",NOT((Database!$BK379="Y")))),1,0)=0,-999999,IF(Screener!$B$16="cornerstone overlap first",H379*100000,IF(Screener!$B$16="demand-similar first",J379*100000,0))+W_SUB*B379+W_SEC*C379*(1-B379)+W_SIZE*D379+W_PROF*E379+W_AH*F379+W_REC*G379+W_CS*H379+W_PE*I379)))+ROW()/1000000</f>
        <v/>
      </c>
      <c r="AA379">
        <f>Database!B369</f>
        <v/>
      </c>
      <c r="AB379">
        <f>Database!D369</f>
        <v/>
      </c>
      <c r="AC379">
        <f>Database!E369</f>
        <v/>
      </c>
      <c r="AD379">
        <f>Database!I369</f>
        <v/>
      </c>
      <c r="AE379">
        <f>Database!BE369</f>
        <v/>
      </c>
      <c r="AF379">
        <f>Database!BK369</f>
        <v/>
      </c>
      <c r="AG379">
        <f>Database!H369</f>
        <v/>
      </c>
      <c r="AH379">
        <f>Database!BF369</f>
        <v/>
      </c>
    </row>
    <row r="380">
      <c r="A380">
        <f>Database!B380</f>
        <v/>
      </c>
      <c r="B380">
        <f>IF(AND(Screener!$D$8&lt;&gt;"",Database!$E380=Screener!$D$8),1,0)</f>
        <v/>
      </c>
      <c r="C380">
        <f>IF(AND(Screener!$D$7&lt;&gt;"",Database!$D380=Screener!$D$7),1,0)</f>
        <v/>
      </c>
      <c r="D380">
        <f>IF(OR(N(Database!$I380)&lt;=0,N(Screener!$D$9)&lt;=0),0,MAX(0,1-ABS(LOG10(N(Database!$I380)/Screener!$D$9))/W_SIZEHW))</f>
        <v/>
      </c>
      <c r="E380">
        <f>IF(OR(Database!$BE380="",Screener!$D$10=""),0,IF(Database!$BE380=Screener!$D$10,1,0))</f>
        <v/>
      </c>
      <c r="F380">
        <f>IF(OR(Database!$BK380="",Screener!$D$11=""),0,IF(Database!$BK380=Screener!$D$11,1,0))</f>
        <v/>
      </c>
      <c r="G380">
        <f>IF(OR(Database!$H380="",N(Screener!$D$12)&lt;=0),0,MAX(0,1-(N(Screener!$D$12)-Database!$H380)/W_RECD))</f>
        <v/>
      </c>
      <c r="H380">
        <f>IF($U$1="",0,N(ISNUMBER(SEARCH($U$1,Database!$Z380&amp;""))))+IF($V$1="",0,N(ISNUMBER(SEARCH($V$1,Database!$Z380&amp;""))))+IF($W$1="",0,N(ISNUMBER(SEARCH($W$1,Database!$Z380&amp;""))))+IF($X$1="",0,N(ISNUMBER(SEARCH($X$1,Database!$Z380&amp;""))))+IF($Y$1="",0,N(ISNUMBER(SEARCH($Y$1,Database!$Z380&amp;""))))+IF(Screener!$B$17="",0,N(ISNUMBER(SEARCH(LOWER(Screener!$B$17),Database!$Z380&amp;""))))</f>
        <v/>
      </c>
      <c r="I380">
        <f>IF(OR(N(Database!$BF380)&lt;=0,N(Screener!$D$13)&lt;=0),0,MAX(0,1-ABS(LOG10(N(Database!$BF380)/Screener!$D$13))/W_PEHW))</f>
        <v/>
      </c>
      <c r="J380">
        <f>IF(OR(N(Database!$S380)&lt;=0,N(Screener!$D$14)&lt;=0),0,MAX(0,1-ABS(LOG10(Database!$S380/Screener!$D$14))/0.6))</f>
        <v/>
      </c>
      <c r="K380">
        <f>IF(Database!$B380=Screener!$B$5,-999999,IF(ISNUMBER(SEARCH(","&amp;Database!$A380&amp;",",","&amp;SUBSTITUTE(Screener!$D$17," ","")&amp;",")),2000000,IF(IF(OR(Screener!$B$18="All",AND(Screener!$B$18="With A-share",(Database!$BK380="Y")),AND(Screener!$B$18="Without A-share",NOT((Database!$BK380="Y")))),1,0)=0,-999999,IF(Screener!$B$16="cornerstone overlap first",H380*100000,IF(Screener!$B$16="demand-similar first",J380*100000,0))+W_SUB*B380+W_SEC*C380*(1-B380)+W_SIZE*D380+W_PROF*E380+W_AH*F380+W_REC*G380+W_CS*H380+W_PE*I380)))+ROW()/1000000</f>
        <v/>
      </c>
      <c r="AA380">
        <f>Database!B370</f>
        <v/>
      </c>
      <c r="AB380">
        <f>Database!D370</f>
        <v/>
      </c>
      <c r="AC380">
        <f>Database!E370</f>
        <v/>
      </c>
      <c r="AD380">
        <f>Database!I370</f>
        <v/>
      </c>
      <c r="AE380">
        <f>Database!BE370</f>
        <v/>
      </c>
      <c r="AF380">
        <f>Database!BK370</f>
        <v/>
      </c>
      <c r="AG380">
        <f>Database!H370</f>
        <v/>
      </c>
      <c r="AH380">
        <f>Database!BF370</f>
        <v/>
      </c>
    </row>
    <row r="381">
      <c r="A381">
        <f>Database!B381</f>
        <v/>
      </c>
      <c r="B381">
        <f>IF(AND(Screener!$D$8&lt;&gt;"",Database!$E381=Screener!$D$8),1,0)</f>
        <v/>
      </c>
      <c r="C381">
        <f>IF(AND(Screener!$D$7&lt;&gt;"",Database!$D381=Screener!$D$7),1,0)</f>
        <v/>
      </c>
      <c r="D381">
        <f>IF(OR(N(Database!$I381)&lt;=0,N(Screener!$D$9)&lt;=0),0,MAX(0,1-ABS(LOG10(N(Database!$I381)/Screener!$D$9))/W_SIZEHW))</f>
        <v/>
      </c>
      <c r="E381">
        <f>IF(OR(Database!$BE381="",Screener!$D$10=""),0,IF(Database!$BE381=Screener!$D$10,1,0))</f>
        <v/>
      </c>
      <c r="F381">
        <f>IF(OR(Database!$BK381="",Screener!$D$11=""),0,IF(Database!$BK381=Screener!$D$11,1,0))</f>
        <v/>
      </c>
      <c r="G381">
        <f>IF(OR(Database!$H381="",N(Screener!$D$12)&lt;=0),0,MAX(0,1-(N(Screener!$D$12)-Database!$H381)/W_RECD))</f>
        <v/>
      </c>
      <c r="H381">
        <f>IF($U$1="",0,N(ISNUMBER(SEARCH($U$1,Database!$Z381&amp;""))))+IF($V$1="",0,N(ISNUMBER(SEARCH($V$1,Database!$Z381&amp;""))))+IF($W$1="",0,N(ISNUMBER(SEARCH($W$1,Database!$Z381&amp;""))))+IF($X$1="",0,N(ISNUMBER(SEARCH($X$1,Database!$Z381&amp;""))))+IF($Y$1="",0,N(ISNUMBER(SEARCH($Y$1,Database!$Z381&amp;""))))+IF(Screener!$B$17="",0,N(ISNUMBER(SEARCH(LOWER(Screener!$B$17),Database!$Z381&amp;""))))</f>
        <v/>
      </c>
      <c r="I381">
        <f>IF(OR(N(Database!$BF381)&lt;=0,N(Screener!$D$13)&lt;=0),0,MAX(0,1-ABS(LOG10(N(Database!$BF381)/Screener!$D$13))/W_PEHW))</f>
        <v/>
      </c>
      <c r="J381">
        <f>IF(OR(N(Database!$S381)&lt;=0,N(Screener!$D$14)&lt;=0),0,MAX(0,1-ABS(LOG10(Database!$S381/Screener!$D$14))/0.6))</f>
        <v/>
      </c>
      <c r="K381">
        <f>IF(Database!$B381=Screener!$B$5,-999999,IF(ISNUMBER(SEARCH(","&amp;Database!$A381&amp;",",","&amp;SUBSTITUTE(Screener!$D$17," ","")&amp;",")),2000000,IF(IF(OR(Screener!$B$18="All",AND(Screener!$B$18="With A-share",(Database!$BK381="Y")),AND(Screener!$B$18="Without A-share",NOT((Database!$BK381="Y")))),1,0)=0,-999999,IF(Screener!$B$16="cornerstone overlap first",H381*100000,IF(Screener!$B$16="demand-similar first",J381*100000,0))+W_SUB*B381+W_SEC*C381*(1-B381)+W_SIZE*D381+W_PROF*E381+W_AH*F381+W_REC*G381+W_CS*H381+W_PE*I381)))+ROW()/1000000</f>
        <v/>
      </c>
      <c r="AA381">
        <f>Database!B371</f>
        <v/>
      </c>
      <c r="AB381">
        <f>Database!D371</f>
        <v/>
      </c>
      <c r="AC381">
        <f>Database!E371</f>
        <v/>
      </c>
      <c r="AD381">
        <f>Database!I371</f>
        <v/>
      </c>
      <c r="AE381">
        <f>Database!BE371</f>
        <v/>
      </c>
      <c r="AF381">
        <f>Database!BK371</f>
        <v/>
      </c>
      <c r="AG381">
        <f>Database!H371</f>
        <v/>
      </c>
      <c r="AH381">
        <f>Database!BF371</f>
        <v/>
      </c>
    </row>
    <row r="382">
      <c r="A382">
        <f>Database!B382</f>
        <v/>
      </c>
      <c r="B382">
        <f>IF(AND(Screener!$D$8&lt;&gt;"",Database!$E382=Screener!$D$8),1,0)</f>
        <v/>
      </c>
      <c r="C382">
        <f>IF(AND(Screener!$D$7&lt;&gt;"",Database!$D382=Screener!$D$7),1,0)</f>
        <v/>
      </c>
      <c r="D382">
        <f>IF(OR(N(Database!$I382)&lt;=0,N(Screener!$D$9)&lt;=0),0,MAX(0,1-ABS(LOG10(N(Database!$I382)/Screener!$D$9))/W_SIZEHW))</f>
        <v/>
      </c>
      <c r="E382">
        <f>IF(OR(Database!$BE382="",Screener!$D$10=""),0,IF(Database!$BE382=Screener!$D$10,1,0))</f>
        <v/>
      </c>
      <c r="F382">
        <f>IF(OR(Database!$BK382="",Screener!$D$11=""),0,IF(Database!$BK382=Screener!$D$11,1,0))</f>
        <v/>
      </c>
      <c r="G382">
        <f>IF(OR(Database!$H382="",N(Screener!$D$12)&lt;=0),0,MAX(0,1-(N(Screener!$D$12)-Database!$H382)/W_RECD))</f>
        <v/>
      </c>
      <c r="H382">
        <f>IF($U$1="",0,N(ISNUMBER(SEARCH($U$1,Database!$Z382&amp;""))))+IF($V$1="",0,N(ISNUMBER(SEARCH($V$1,Database!$Z382&amp;""))))+IF($W$1="",0,N(ISNUMBER(SEARCH($W$1,Database!$Z382&amp;""))))+IF($X$1="",0,N(ISNUMBER(SEARCH($X$1,Database!$Z382&amp;""))))+IF($Y$1="",0,N(ISNUMBER(SEARCH($Y$1,Database!$Z382&amp;""))))+IF(Screener!$B$17="",0,N(ISNUMBER(SEARCH(LOWER(Screener!$B$17),Database!$Z382&amp;""))))</f>
        <v/>
      </c>
      <c r="I382">
        <f>IF(OR(N(Database!$BF382)&lt;=0,N(Screener!$D$13)&lt;=0),0,MAX(0,1-ABS(LOG10(N(Database!$BF382)/Screener!$D$13))/W_PEHW))</f>
        <v/>
      </c>
      <c r="J382">
        <f>IF(OR(N(Database!$S382)&lt;=0,N(Screener!$D$14)&lt;=0),0,MAX(0,1-ABS(LOG10(Database!$S382/Screener!$D$14))/0.6))</f>
        <v/>
      </c>
      <c r="K382">
        <f>IF(Database!$B382=Screener!$B$5,-999999,IF(ISNUMBER(SEARCH(","&amp;Database!$A382&amp;",",","&amp;SUBSTITUTE(Screener!$D$17," ","")&amp;",")),2000000,IF(IF(OR(Screener!$B$18="All",AND(Screener!$B$18="With A-share",(Database!$BK382="Y")),AND(Screener!$B$18="Without A-share",NOT((Database!$BK382="Y")))),1,0)=0,-999999,IF(Screener!$B$16="cornerstone overlap first",H382*100000,IF(Screener!$B$16="demand-similar first",J382*100000,0))+W_SUB*B382+W_SEC*C382*(1-B382)+W_SIZE*D382+W_PROF*E382+W_AH*F382+W_REC*G382+W_CS*H382+W_PE*I382)))+ROW()/1000000</f>
        <v/>
      </c>
      <c r="AA382">
        <f>Database!B372</f>
        <v/>
      </c>
      <c r="AB382">
        <f>Database!D372</f>
        <v/>
      </c>
      <c r="AC382">
        <f>Database!E372</f>
        <v/>
      </c>
      <c r="AD382">
        <f>Database!I372</f>
        <v/>
      </c>
      <c r="AE382">
        <f>Database!BE372</f>
        <v/>
      </c>
      <c r="AF382">
        <f>Database!BK372</f>
        <v/>
      </c>
      <c r="AG382">
        <f>Database!H372</f>
        <v/>
      </c>
      <c r="AH382">
        <f>Database!BF372</f>
        <v/>
      </c>
    </row>
    <row r="383">
      <c r="A383">
        <f>Database!B383</f>
        <v/>
      </c>
      <c r="B383">
        <f>IF(AND(Screener!$D$8&lt;&gt;"",Database!$E383=Screener!$D$8),1,0)</f>
        <v/>
      </c>
      <c r="C383">
        <f>IF(AND(Screener!$D$7&lt;&gt;"",Database!$D383=Screener!$D$7),1,0)</f>
        <v/>
      </c>
      <c r="D383">
        <f>IF(OR(N(Database!$I383)&lt;=0,N(Screener!$D$9)&lt;=0),0,MAX(0,1-ABS(LOG10(N(Database!$I383)/Screener!$D$9))/W_SIZEHW))</f>
        <v/>
      </c>
      <c r="E383">
        <f>IF(OR(Database!$BE383="",Screener!$D$10=""),0,IF(Database!$BE383=Screener!$D$10,1,0))</f>
        <v/>
      </c>
      <c r="F383">
        <f>IF(OR(Database!$BK383="",Screener!$D$11=""),0,IF(Database!$BK383=Screener!$D$11,1,0))</f>
        <v/>
      </c>
      <c r="G383">
        <f>IF(OR(Database!$H383="",N(Screener!$D$12)&lt;=0),0,MAX(0,1-(N(Screener!$D$12)-Database!$H383)/W_RECD))</f>
        <v/>
      </c>
      <c r="H383">
        <f>IF($U$1="",0,N(ISNUMBER(SEARCH($U$1,Database!$Z383&amp;""))))+IF($V$1="",0,N(ISNUMBER(SEARCH($V$1,Database!$Z383&amp;""))))+IF($W$1="",0,N(ISNUMBER(SEARCH($W$1,Database!$Z383&amp;""))))+IF($X$1="",0,N(ISNUMBER(SEARCH($X$1,Database!$Z383&amp;""))))+IF($Y$1="",0,N(ISNUMBER(SEARCH($Y$1,Database!$Z383&amp;""))))+IF(Screener!$B$17="",0,N(ISNUMBER(SEARCH(LOWER(Screener!$B$17),Database!$Z383&amp;""))))</f>
        <v/>
      </c>
      <c r="I383">
        <f>IF(OR(N(Database!$BF383)&lt;=0,N(Screener!$D$13)&lt;=0),0,MAX(0,1-ABS(LOG10(N(Database!$BF383)/Screener!$D$13))/W_PEHW))</f>
        <v/>
      </c>
      <c r="J383">
        <f>IF(OR(N(Database!$S383)&lt;=0,N(Screener!$D$14)&lt;=0),0,MAX(0,1-ABS(LOG10(Database!$S383/Screener!$D$14))/0.6))</f>
        <v/>
      </c>
      <c r="K383">
        <f>IF(Database!$B383=Screener!$B$5,-999999,IF(ISNUMBER(SEARCH(","&amp;Database!$A383&amp;",",","&amp;SUBSTITUTE(Screener!$D$17," ","")&amp;",")),2000000,IF(IF(OR(Screener!$B$18="All",AND(Screener!$B$18="With A-share",(Database!$BK383="Y")),AND(Screener!$B$18="Without A-share",NOT((Database!$BK383="Y")))),1,0)=0,-999999,IF(Screener!$B$16="cornerstone overlap first",H383*100000,IF(Screener!$B$16="demand-similar first",J383*100000,0))+W_SUB*B383+W_SEC*C383*(1-B383)+W_SIZE*D383+W_PROF*E383+W_AH*F383+W_REC*G383+W_CS*H383+W_PE*I383)))+ROW()/1000000</f>
        <v/>
      </c>
      <c r="AA383">
        <f>Database!B373</f>
        <v/>
      </c>
      <c r="AB383">
        <f>Database!D373</f>
        <v/>
      </c>
      <c r="AC383">
        <f>Database!E373</f>
        <v/>
      </c>
      <c r="AD383">
        <f>Database!I373</f>
        <v/>
      </c>
      <c r="AE383">
        <f>Database!BE373</f>
        <v/>
      </c>
      <c r="AF383">
        <f>Database!BK373</f>
        <v/>
      </c>
      <c r="AG383">
        <f>Database!H373</f>
        <v/>
      </c>
      <c r="AH383">
        <f>Database!BF373</f>
        <v/>
      </c>
    </row>
    <row r="384">
      <c r="A384">
        <f>Database!B384</f>
        <v/>
      </c>
      <c r="B384">
        <f>IF(AND(Screener!$D$8&lt;&gt;"",Database!$E384=Screener!$D$8),1,0)</f>
        <v/>
      </c>
      <c r="C384">
        <f>IF(AND(Screener!$D$7&lt;&gt;"",Database!$D384=Screener!$D$7),1,0)</f>
        <v/>
      </c>
      <c r="D384">
        <f>IF(OR(N(Database!$I384)&lt;=0,N(Screener!$D$9)&lt;=0),0,MAX(0,1-ABS(LOG10(N(Database!$I384)/Screener!$D$9))/W_SIZEHW))</f>
        <v/>
      </c>
      <c r="E384">
        <f>IF(OR(Database!$BE384="",Screener!$D$10=""),0,IF(Database!$BE384=Screener!$D$10,1,0))</f>
        <v/>
      </c>
      <c r="F384">
        <f>IF(OR(Database!$BK384="",Screener!$D$11=""),0,IF(Database!$BK384=Screener!$D$11,1,0))</f>
        <v/>
      </c>
      <c r="G384">
        <f>IF(OR(Database!$H384="",N(Screener!$D$12)&lt;=0),0,MAX(0,1-(N(Screener!$D$12)-Database!$H384)/W_RECD))</f>
        <v/>
      </c>
      <c r="H384">
        <f>IF($U$1="",0,N(ISNUMBER(SEARCH($U$1,Database!$Z384&amp;""))))+IF($V$1="",0,N(ISNUMBER(SEARCH($V$1,Database!$Z384&amp;""))))+IF($W$1="",0,N(ISNUMBER(SEARCH($W$1,Database!$Z384&amp;""))))+IF($X$1="",0,N(ISNUMBER(SEARCH($X$1,Database!$Z384&amp;""))))+IF($Y$1="",0,N(ISNUMBER(SEARCH($Y$1,Database!$Z384&amp;""))))+IF(Screener!$B$17="",0,N(ISNUMBER(SEARCH(LOWER(Screener!$B$17),Database!$Z384&amp;""))))</f>
        <v/>
      </c>
      <c r="I384">
        <f>IF(OR(N(Database!$BF384)&lt;=0,N(Screener!$D$13)&lt;=0),0,MAX(0,1-ABS(LOG10(N(Database!$BF384)/Screener!$D$13))/W_PEHW))</f>
        <v/>
      </c>
      <c r="J384">
        <f>IF(OR(N(Database!$S384)&lt;=0,N(Screener!$D$14)&lt;=0),0,MAX(0,1-ABS(LOG10(Database!$S384/Screener!$D$14))/0.6))</f>
        <v/>
      </c>
      <c r="K384">
        <f>IF(Database!$B384=Screener!$B$5,-999999,IF(ISNUMBER(SEARCH(","&amp;Database!$A384&amp;",",","&amp;SUBSTITUTE(Screener!$D$17," ","")&amp;",")),2000000,IF(IF(OR(Screener!$B$18="All",AND(Screener!$B$18="With A-share",(Database!$BK384="Y")),AND(Screener!$B$18="Without A-share",NOT((Database!$BK384="Y")))),1,0)=0,-999999,IF(Screener!$B$16="cornerstone overlap first",H384*100000,IF(Screener!$B$16="demand-similar first",J384*100000,0))+W_SUB*B384+W_SEC*C384*(1-B384)+W_SIZE*D384+W_PROF*E384+W_AH*F384+W_REC*G384+W_CS*H384+W_PE*I384)))+ROW()/1000000</f>
        <v/>
      </c>
      <c r="AA384">
        <f>Database!B374</f>
        <v/>
      </c>
      <c r="AB384">
        <f>Database!D374</f>
        <v/>
      </c>
      <c r="AC384">
        <f>Database!E374</f>
        <v/>
      </c>
      <c r="AD384">
        <f>Database!I374</f>
        <v/>
      </c>
      <c r="AE384">
        <f>Database!BE374</f>
        <v/>
      </c>
      <c r="AF384">
        <f>Database!BK374</f>
        <v/>
      </c>
      <c r="AG384">
        <f>Database!H374</f>
        <v/>
      </c>
      <c r="AH384">
        <f>Database!BF374</f>
        <v/>
      </c>
    </row>
    <row r="385">
      <c r="A385">
        <f>Database!B385</f>
        <v/>
      </c>
      <c r="B385">
        <f>IF(AND(Screener!$D$8&lt;&gt;"",Database!$E385=Screener!$D$8),1,0)</f>
        <v/>
      </c>
      <c r="C385">
        <f>IF(AND(Screener!$D$7&lt;&gt;"",Database!$D385=Screener!$D$7),1,0)</f>
        <v/>
      </c>
      <c r="D385">
        <f>IF(OR(N(Database!$I385)&lt;=0,N(Screener!$D$9)&lt;=0),0,MAX(0,1-ABS(LOG10(N(Database!$I385)/Screener!$D$9))/W_SIZEHW))</f>
        <v/>
      </c>
      <c r="E385">
        <f>IF(OR(Database!$BE385="",Screener!$D$10=""),0,IF(Database!$BE385=Screener!$D$10,1,0))</f>
        <v/>
      </c>
      <c r="F385">
        <f>IF(OR(Database!$BK385="",Screener!$D$11=""),0,IF(Database!$BK385=Screener!$D$11,1,0))</f>
        <v/>
      </c>
      <c r="G385">
        <f>IF(OR(Database!$H385="",N(Screener!$D$12)&lt;=0),0,MAX(0,1-(N(Screener!$D$12)-Database!$H385)/W_RECD))</f>
        <v/>
      </c>
      <c r="H385">
        <f>IF($U$1="",0,N(ISNUMBER(SEARCH($U$1,Database!$Z385&amp;""))))+IF($V$1="",0,N(ISNUMBER(SEARCH($V$1,Database!$Z385&amp;""))))+IF($W$1="",0,N(ISNUMBER(SEARCH($W$1,Database!$Z385&amp;""))))+IF($X$1="",0,N(ISNUMBER(SEARCH($X$1,Database!$Z385&amp;""))))+IF($Y$1="",0,N(ISNUMBER(SEARCH($Y$1,Database!$Z385&amp;""))))+IF(Screener!$B$17="",0,N(ISNUMBER(SEARCH(LOWER(Screener!$B$17),Database!$Z385&amp;""))))</f>
        <v/>
      </c>
      <c r="I385">
        <f>IF(OR(N(Database!$BF385)&lt;=0,N(Screener!$D$13)&lt;=0),0,MAX(0,1-ABS(LOG10(N(Database!$BF385)/Screener!$D$13))/W_PEHW))</f>
        <v/>
      </c>
      <c r="J385">
        <f>IF(OR(N(Database!$S385)&lt;=0,N(Screener!$D$14)&lt;=0),0,MAX(0,1-ABS(LOG10(Database!$S385/Screener!$D$14))/0.6))</f>
        <v/>
      </c>
      <c r="K385">
        <f>IF(Database!$B385=Screener!$B$5,-999999,IF(ISNUMBER(SEARCH(","&amp;Database!$A385&amp;",",","&amp;SUBSTITUTE(Screener!$D$17," ","")&amp;",")),2000000,IF(IF(OR(Screener!$B$18="All",AND(Screener!$B$18="With A-share",(Database!$BK385="Y")),AND(Screener!$B$18="Without A-share",NOT((Database!$BK385="Y")))),1,0)=0,-999999,IF(Screener!$B$16="cornerstone overlap first",H385*100000,IF(Screener!$B$16="demand-similar first",J385*100000,0))+W_SUB*B385+W_SEC*C385*(1-B385)+W_SIZE*D385+W_PROF*E385+W_AH*F385+W_REC*G385+W_CS*H385+W_PE*I385)))+ROW()/1000000</f>
        <v/>
      </c>
      <c r="AA385">
        <f>Database!B375</f>
        <v/>
      </c>
      <c r="AB385">
        <f>Database!D375</f>
        <v/>
      </c>
      <c r="AC385">
        <f>Database!E375</f>
        <v/>
      </c>
      <c r="AD385">
        <f>Database!I375</f>
        <v/>
      </c>
      <c r="AE385">
        <f>Database!BE375</f>
        <v/>
      </c>
      <c r="AF385">
        <f>Database!BK375</f>
        <v/>
      </c>
      <c r="AG385">
        <f>Database!H375</f>
        <v/>
      </c>
      <c r="AH385">
        <f>Database!BF375</f>
        <v/>
      </c>
    </row>
    <row r="386">
      <c r="A386">
        <f>Database!B386</f>
        <v/>
      </c>
      <c r="B386">
        <f>IF(AND(Screener!$D$8&lt;&gt;"",Database!$E386=Screener!$D$8),1,0)</f>
        <v/>
      </c>
      <c r="C386">
        <f>IF(AND(Screener!$D$7&lt;&gt;"",Database!$D386=Screener!$D$7),1,0)</f>
        <v/>
      </c>
      <c r="D386">
        <f>IF(OR(N(Database!$I386)&lt;=0,N(Screener!$D$9)&lt;=0),0,MAX(0,1-ABS(LOG10(N(Database!$I386)/Screener!$D$9))/W_SIZEHW))</f>
        <v/>
      </c>
      <c r="E386">
        <f>IF(OR(Database!$BE386="",Screener!$D$10=""),0,IF(Database!$BE386=Screener!$D$10,1,0))</f>
        <v/>
      </c>
      <c r="F386">
        <f>IF(OR(Database!$BK386="",Screener!$D$11=""),0,IF(Database!$BK386=Screener!$D$11,1,0))</f>
        <v/>
      </c>
      <c r="G386">
        <f>IF(OR(Database!$H386="",N(Screener!$D$12)&lt;=0),0,MAX(0,1-(N(Screener!$D$12)-Database!$H386)/W_RECD))</f>
        <v/>
      </c>
      <c r="H386">
        <f>IF($U$1="",0,N(ISNUMBER(SEARCH($U$1,Database!$Z386&amp;""))))+IF($V$1="",0,N(ISNUMBER(SEARCH($V$1,Database!$Z386&amp;""))))+IF($W$1="",0,N(ISNUMBER(SEARCH($W$1,Database!$Z386&amp;""))))+IF($X$1="",0,N(ISNUMBER(SEARCH($X$1,Database!$Z386&amp;""))))+IF($Y$1="",0,N(ISNUMBER(SEARCH($Y$1,Database!$Z386&amp;""))))+IF(Screener!$B$17="",0,N(ISNUMBER(SEARCH(LOWER(Screener!$B$17),Database!$Z386&amp;""))))</f>
        <v/>
      </c>
      <c r="I386">
        <f>IF(OR(N(Database!$BF386)&lt;=0,N(Screener!$D$13)&lt;=0),0,MAX(0,1-ABS(LOG10(N(Database!$BF386)/Screener!$D$13))/W_PEHW))</f>
        <v/>
      </c>
      <c r="J386">
        <f>IF(OR(N(Database!$S386)&lt;=0,N(Screener!$D$14)&lt;=0),0,MAX(0,1-ABS(LOG10(Database!$S386/Screener!$D$14))/0.6))</f>
        <v/>
      </c>
      <c r="K386">
        <f>IF(Database!$B386=Screener!$B$5,-999999,IF(ISNUMBER(SEARCH(","&amp;Database!$A386&amp;",",","&amp;SUBSTITUTE(Screener!$D$17," ","")&amp;",")),2000000,IF(IF(OR(Screener!$B$18="All",AND(Screener!$B$18="With A-share",(Database!$BK386="Y")),AND(Screener!$B$18="Without A-share",NOT((Database!$BK386="Y")))),1,0)=0,-999999,IF(Screener!$B$16="cornerstone overlap first",H386*100000,IF(Screener!$B$16="demand-similar first",J386*100000,0))+W_SUB*B386+W_SEC*C386*(1-B386)+W_SIZE*D386+W_PROF*E386+W_AH*F386+W_REC*G386+W_CS*H386+W_PE*I386)))+ROW()/1000000</f>
        <v/>
      </c>
      <c r="AA386">
        <f>Database!B376</f>
        <v/>
      </c>
      <c r="AB386">
        <f>Database!D376</f>
        <v/>
      </c>
      <c r="AC386">
        <f>Database!E376</f>
        <v/>
      </c>
      <c r="AD386">
        <f>Database!I376</f>
        <v/>
      </c>
      <c r="AE386">
        <f>Database!BE376</f>
        <v/>
      </c>
      <c r="AF386">
        <f>Database!BK376</f>
        <v/>
      </c>
      <c r="AG386">
        <f>Database!H376</f>
        <v/>
      </c>
      <c r="AH386">
        <f>Database!BF376</f>
        <v/>
      </c>
    </row>
    <row r="387">
      <c r="A387">
        <f>Database!B387</f>
        <v/>
      </c>
      <c r="B387">
        <f>IF(AND(Screener!$D$8&lt;&gt;"",Database!$E387=Screener!$D$8),1,0)</f>
        <v/>
      </c>
      <c r="C387">
        <f>IF(AND(Screener!$D$7&lt;&gt;"",Database!$D387=Screener!$D$7),1,0)</f>
        <v/>
      </c>
      <c r="D387">
        <f>IF(OR(N(Database!$I387)&lt;=0,N(Screener!$D$9)&lt;=0),0,MAX(0,1-ABS(LOG10(N(Database!$I387)/Screener!$D$9))/W_SIZEHW))</f>
        <v/>
      </c>
      <c r="E387">
        <f>IF(OR(Database!$BE387="",Screener!$D$10=""),0,IF(Database!$BE387=Screener!$D$10,1,0))</f>
        <v/>
      </c>
      <c r="F387">
        <f>IF(OR(Database!$BK387="",Screener!$D$11=""),0,IF(Database!$BK387=Screener!$D$11,1,0))</f>
        <v/>
      </c>
      <c r="G387">
        <f>IF(OR(Database!$H387="",N(Screener!$D$12)&lt;=0),0,MAX(0,1-(N(Screener!$D$12)-Database!$H387)/W_RECD))</f>
        <v/>
      </c>
      <c r="H387">
        <f>IF($U$1="",0,N(ISNUMBER(SEARCH($U$1,Database!$Z387&amp;""))))+IF($V$1="",0,N(ISNUMBER(SEARCH($V$1,Database!$Z387&amp;""))))+IF($W$1="",0,N(ISNUMBER(SEARCH($W$1,Database!$Z387&amp;""))))+IF($X$1="",0,N(ISNUMBER(SEARCH($X$1,Database!$Z387&amp;""))))+IF($Y$1="",0,N(ISNUMBER(SEARCH($Y$1,Database!$Z387&amp;""))))+IF(Screener!$B$17="",0,N(ISNUMBER(SEARCH(LOWER(Screener!$B$17),Database!$Z387&amp;""))))</f>
        <v/>
      </c>
      <c r="I387">
        <f>IF(OR(N(Database!$BF387)&lt;=0,N(Screener!$D$13)&lt;=0),0,MAX(0,1-ABS(LOG10(N(Database!$BF387)/Screener!$D$13))/W_PEHW))</f>
        <v/>
      </c>
      <c r="J387">
        <f>IF(OR(N(Database!$S387)&lt;=0,N(Screener!$D$14)&lt;=0),0,MAX(0,1-ABS(LOG10(Database!$S387/Screener!$D$14))/0.6))</f>
        <v/>
      </c>
      <c r="K387">
        <f>IF(Database!$B387=Screener!$B$5,-999999,IF(ISNUMBER(SEARCH(","&amp;Database!$A387&amp;",",","&amp;SUBSTITUTE(Screener!$D$17," ","")&amp;",")),2000000,IF(IF(OR(Screener!$B$18="All",AND(Screener!$B$18="With A-share",(Database!$BK387="Y")),AND(Screener!$B$18="Without A-share",NOT((Database!$BK387="Y")))),1,0)=0,-999999,IF(Screener!$B$16="cornerstone overlap first",H387*100000,IF(Screener!$B$16="demand-similar first",J387*100000,0))+W_SUB*B387+W_SEC*C387*(1-B387)+W_SIZE*D387+W_PROF*E387+W_AH*F387+W_REC*G387+W_CS*H387+W_PE*I387)))+ROW()/1000000</f>
        <v/>
      </c>
      <c r="AA387">
        <f>Database!B377</f>
        <v/>
      </c>
      <c r="AB387">
        <f>Database!D377</f>
        <v/>
      </c>
      <c r="AC387">
        <f>Database!E377</f>
        <v/>
      </c>
      <c r="AD387">
        <f>Database!I377</f>
        <v/>
      </c>
      <c r="AE387">
        <f>Database!BE377</f>
        <v/>
      </c>
      <c r="AF387">
        <f>Database!BK377</f>
        <v/>
      </c>
      <c r="AG387">
        <f>Database!H377</f>
        <v/>
      </c>
      <c r="AH387">
        <f>Database!BF377</f>
        <v/>
      </c>
    </row>
    <row r="388">
      <c r="A388">
        <f>Database!B388</f>
        <v/>
      </c>
      <c r="B388">
        <f>IF(AND(Screener!$D$8&lt;&gt;"",Database!$E388=Screener!$D$8),1,0)</f>
        <v/>
      </c>
      <c r="C388">
        <f>IF(AND(Screener!$D$7&lt;&gt;"",Database!$D388=Screener!$D$7),1,0)</f>
        <v/>
      </c>
      <c r="D388">
        <f>IF(OR(N(Database!$I388)&lt;=0,N(Screener!$D$9)&lt;=0),0,MAX(0,1-ABS(LOG10(N(Database!$I388)/Screener!$D$9))/W_SIZEHW))</f>
        <v/>
      </c>
      <c r="E388">
        <f>IF(OR(Database!$BE388="",Screener!$D$10=""),0,IF(Database!$BE388=Screener!$D$10,1,0))</f>
        <v/>
      </c>
      <c r="F388">
        <f>IF(OR(Database!$BK388="",Screener!$D$11=""),0,IF(Database!$BK388=Screener!$D$11,1,0))</f>
        <v/>
      </c>
      <c r="G388">
        <f>IF(OR(Database!$H388="",N(Screener!$D$12)&lt;=0),0,MAX(0,1-(N(Screener!$D$12)-Database!$H388)/W_RECD))</f>
        <v/>
      </c>
      <c r="H388">
        <f>IF($U$1="",0,N(ISNUMBER(SEARCH($U$1,Database!$Z388&amp;""))))+IF($V$1="",0,N(ISNUMBER(SEARCH($V$1,Database!$Z388&amp;""))))+IF($W$1="",0,N(ISNUMBER(SEARCH($W$1,Database!$Z388&amp;""))))+IF($X$1="",0,N(ISNUMBER(SEARCH($X$1,Database!$Z388&amp;""))))+IF($Y$1="",0,N(ISNUMBER(SEARCH($Y$1,Database!$Z388&amp;""))))+IF(Screener!$B$17="",0,N(ISNUMBER(SEARCH(LOWER(Screener!$B$17),Database!$Z388&amp;""))))</f>
        <v/>
      </c>
      <c r="I388">
        <f>IF(OR(N(Database!$BF388)&lt;=0,N(Screener!$D$13)&lt;=0),0,MAX(0,1-ABS(LOG10(N(Database!$BF388)/Screener!$D$13))/W_PEHW))</f>
        <v/>
      </c>
      <c r="J388">
        <f>IF(OR(N(Database!$S388)&lt;=0,N(Screener!$D$14)&lt;=0),0,MAX(0,1-ABS(LOG10(Database!$S388/Screener!$D$14))/0.6))</f>
        <v/>
      </c>
      <c r="K388">
        <f>IF(Database!$B388=Screener!$B$5,-999999,IF(ISNUMBER(SEARCH(","&amp;Database!$A388&amp;",",","&amp;SUBSTITUTE(Screener!$D$17," ","")&amp;",")),2000000,IF(IF(OR(Screener!$B$18="All",AND(Screener!$B$18="With A-share",(Database!$BK388="Y")),AND(Screener!$B$18="Without A-share",NOT((Database!$BK388="Y")))),1,0)=0,-999999,IF(Screener!$B$16="cornerstone overlap first",H388*100000,IF(Screener!$B$16="demand-similar first",J388*100000,0))+W_SUB*B388+W_SEC*C388*(1-B388)+W_SIZE*D388+W_PROF*E388+W_AH*F388+W_REC*G388+W_CS*H388+W_PE*I388)))+ROW()/1000000</f>
        <v/>
      </c>
      <c r="AA388">
        <f>Database!B378</f>
        <v/>
      </c>
      <c r="AB388">
        <f>Database!D378</f>
        <v/>
      </c>
      <c r="AC388">
        <f>Database!E378</f>
        <v/>
      </c>
      <c r="AD388">
        <f>Database!I378</f>
        <v/>
      </c>
      <c r="AE388">
        <f>Database!BE378</f>
        <v/>
      </c>
      <c r="AF388">
        <f>Database!BK378</f>
        <v/>
      </c>
      <c r="AG388">
        <f>Database!H378</f>
        <v/>
      </c>
      <c r="AH388">
        <f>Database!BF378</f>
        <v/>
      </c>
    </row>
    <row r="389">
      <c r="A389">
        <f>Database!B389</f>
        <v/>
      </c>
      <c r="B389">
        <f>IF(AND(Screener!$D$8&lt;&gt;"",Database!$E389=Screener!$D$8),1,0)</f>
        <v/>
      </c>
      <c r="C389">
        <f>IF(AND(Screener!$D$7&lt;&gt;"",Database!$D389=Screener!$D$7),1,0)</f>
        <v/>
      </c>
      <c r="D389">
        <f>IF(OR(N(Database!$I389)&lt;=0,N(Screener!$D$9)&lt;=0),0,MAX(0,1-ABS(LOG10(N(Database!$I389)/Screener!$D$9))/W_SIZEHW))</f>
        <v/>
      </c>
      <c r="E389">
        <f>IF(OR(Database!$BE389="",Screener!$D$10=""),0,IF(Database!$BE389=Screener!$D$10,1,0))</f>
        <v/>
      </c>
      <c r="F389">
        <f>IF(OR(Database!$BK389="",Screener!$D$11=""),0,IF(Database!$BK389=Screener!$D$11,1,0))</f>
        <v/>
      </c>
      <c r="G389">
        <f>IF(OR(Database!$H389="",N(Screener!$D$12)&lt;=0),0,MAX(0,1-(N(Screener!$D$12)-Database!$H389)/W_RECD))</f>
        <v/>
      </c>
      <c r="H389">
        <f>IF($U$1="",0,N(ISNUMBER(SEARCH($U$1,Database!$Z389&amp;""))))+IF($V$1="",0,N(ISNUMBER(SEARCH($V$1,Database!$Z389&amp;""))))+IF($W$1="",0,N(ISNUMBER(SEARCH($W$1,Database!$Z389&amp;""))))+IF($X$1="",0,N(ISNUMBER(SEARCH($X$1,Database!$Z389&amp;""))))+IF($Y$1="",0,N(ISNUMBER(SEARCH($Y$1,Database!$Z389&amp;""))))+IF(Screener!$B$17="",0,N(ISNUMBER(SEARCH(LOWER(Screener!$B$17),Database!$Z389&amp;""))))</f>
        <v/>
      </c>
      <c r="I389">
        <f>IF(OR(N(Database!$BF389)&lt;=0,N(Screener!$D$13)&lt;=0),0,MAX(0,1-ABS(LOG10(N(Database!$BF389)/Screener!$D$13))/W_PEHW))</f>
        <v/>
      </c>
      <c r="J389">
        <f>IF(OR(N(Database!$S389)&lt;=0,N(Screener!$D$14)&lt;=0),0,MAX(0,1-ABS(LOG10(Database!$S389/Screener!$D$14))/0.6))</f>
        <v/>
      </c>
      <c r="K389">
        <f>IF(Database!$B389=Screener!$B$5,-999999,IF(ISNUMBER(SEARCH(","&amp;Database!$A389&amp;",",","&amp;SUBSTITUTE(Screener!$D$17," ","")&amp;",")),2000000,IF(IF(OR(Screener!$B$18="All",AND(Screener!$B$18="With A-share",(Database!$BK389="Y")),AND(Screener!$B$18="Without A-share",NOT((Database!$BK389="Y")))),1,0)=0,-999999,IF(Screener!$B$16="cornerstone overlap first",H389*100000,IF(Screener!$B$16="demand-similar first",J389*100000,0))+W_SUB*B389+W_SEC*C389*(1-B389)+W_SIZE*D389+W_PROF*E389+W_AH*F389+W_REC*G389+W_CS*H389+W_PE*I389)))+ROW()/1000000</f>
        <v/>
      </c>
      <c r="AA389">
        <f>Database!B379</f>
        <v/>
      </c>
      <c r="AB389">
        <f>Database!D379</f>
        <v/>
      </c>
      <c r="AC389">
        <f>Database!E379</f>
        <v/>
      </c>
      <c r="AD389">
        <f>Database!I379</f>
        <v/>
      </c>
      <c r="AE389">
        <f>Database!BE379</f>
        <v/>
      </c>
      <c r="AF389">
        <f>Database!BK379</f>
        <v/>
      </c>
      <c r="AG389">
        <f>Database!H379</f>
        <v/>
      </c>
      <c r="AH389">
        <f>Database!BF379</f>
        <v/>
      </c>
    </row>
    <row r="390">
      <c r="A390">
        <f>Database!B390</f>
        <v/>
      </c>
      <c r="B390">
        <f>IF(AND(Screener!$D$8&lt;&gt;"",Database!$E390=Screener!$D$8),1,0)</f>
        <v/>
      </c>
      <c r="C390">
        <f>IF(AND(Screener!$D$7&lt;&gt;"",Database!$D390=Screener!$D$7),1,0)</f>
        <v/>
      </c>
      <c r="D390">
        <f>IF(OR(N(Database!$I390)&lt;=0,N(Screener!$D$9)&lt;=0),0,MAX(0,1-ABS(LOG10(N(Database!$I390)/Screener!$D$9))/W_SIZEHW))</f>
        <v/>
      </c>
      <c r="E390">
        <f>IF(OR(Database!$BE390="",Screener!$D$10=""),0,IF(Database!$BE390=Screener!$D$10,1,0))</f>
        <v/>
      </c>
      <c r="F390">
        <f>IF(OR(Database!$BK390="",Screener!$D$11=""),0,IF(Database!$BK390=Screener!$D$11,1,0))</f>
        <v/>
      </c>
      <c r="G390">
        <f>IF(OR(Database!$H390="",N(Screener!$D$12)&lt;=0),0,MAX(0,1-(N(Screener!$D$12)-Database!$H390)/W_RECD))</f>
        <v/>
      </c>
      <c r="H390">
        <f>IF($U$1="",0,N(ISNUMBER(SEARCH($U$1,Database!$Z390&amp;""))))+IF($V$1="",0,N(ISNUMBER(SEARCH($V$1,Database!$Z390&amp;""))))+IF($W$1="",0,N(ISNUMBER(SEARCH($W$1,Database!$Z390&amp;""))))+IF($X$1="",0,N(ISNUMBER(SEARCH($X$1,Database!$Z390&amp;""))))+IF($Y$1="",0,N(ISNUMBER(SEARCH($Y$1,Database!$Z390&amp;""))))+IF(Screener!$B$17="",0,N(ISNUMBER(SEARCH(LOWER(Screener!$B$17),Database!$Z390&amp;""))))</f>
        <v/>
      </c>
      <c r="I390">
        <f>IF(OR(N(Database!$BF390)&lt;=0,N(Screener!$D$13)&lt;=0),0,MAX(0,1-ABS(LOG10(N(Database!$BF390)/Screener!$D$13))/W_PEHW))</f>
        <v/>
      </c>
      <c r="J390">
        <f>IF(OR(N(Database!$S390)&lt;=0,N(Screener!$D$14)&lt;=0),0,MAX(0,1-ABS(LOG10(Database!$S390/Screener!$D$14))/0.6))</f>
        <v/>
      </c>
      <c r="K390">
        <f>IF(Database!$B390=Screener!$B$5,-999999,IF(ISNUMBER(SEARCH(","&amp;Database!$A390&amp;",",","&amp;SUBSTITUTE(Screener!$D$17," ","")&amp;",")),2000000,IF(IF(OR(Screener!$B$18="All",AND(Screener!$B$18="With A-share",(Database!$BK390="Y")),AND(Screener!$B$18="Without A-share",NOT((Database!$BK390="Y")))),1,0)=0,-999999,IF(Screener!$B$16="cornerstone overlap first",H390*100000,IF(Screener!$B$16="demand-similar first",J390*100000,0))+W_SUB*B390+W_SEC*C390*(1-B390)+W_SIZE*D390+W_PROF*E390+W_AH*F390+W_REC*G390+W_CS*H390+W_PE*I390)))+ROW()/1000000</f>
        <v/>
      </c>
      <c r="AA390">
        <f>Database!B380</f>
        <v/>
      </c>
      <c r="AB390">
        <f>Database!D380</f>
        <v/>
      </c>
      <c r="AC390">
        <f>Database!E380</f>
        <v/>
      </c>
      <c r="AD390">
        <f>Database!I380</f>
        <v/>
      </c>
      <c r="AE390">
        <f>Database!BE380</f>
        <v/>
      </c>
      <c r="AF390">
        <f>Database!BK380</f>
        <v/>
      </c>
      <c r="AG390">
        <f>Database!H380</f>
        <v/>
      </c>
      <c r="AH390">
        <f>Database!BF380</f>
        <v/>
      </c>
    </row>
    <row r="391">
      <c r="A391">
        <f>Database!B391</f>
        <v/>
      </c>
      <c r="B391">
        <f>IF(AND(Screener!$D$8&lt;&gt;"",Database!$E391=Screener!$D$8),1,0)</f>
        <v/>
      </c>
      <c r="C391">
        <f>IF(AND(Screener!$D$7&lt;&gt;"",Database!$D391=Screener!$D$7),1,0)</f>
        <v/>
      </c>
      <c r="D391">
        <f>IF(OR(N(Database!$I391)&lt;=0,N(Screener!$D$9)&lt;=0),0,MAX(0,1-ABS(LOG10(N(Database!$I391)/Screener!$D$9))/W_SIZEHW))</f>
        <v/>
      </c>
      <c r="E391">
        <f>IF(OR(Database!$BE391="",Screener!$D$10=""),0,IF(Database!$BE391=Screener!$D$10,1,0))</f>
        <v/>
      </c>
      <c r="F391">
        <f>IF(OR(Database!$BK391="",Screener!$D$11=""),0,IF(Database!$BK391=Screener!$D$11,1,0))</f>
        <v/>
      </c>
      <c r="G391">
        <f>IF(OR(Database!$H391="",N(Screener!$D$12)&lt;=0),0,MAX(0,1-(N(Screener!$D$12)-Database!$H391)/W_RECD))</f>
        <v/>
      </c>
      <c r="H391">
        <f>IF($U$1="",0,N(ISNUMBER(SEARCH($U$1,Database!$Z391&amp;""))))+IF($V$1="",0,N(ISNUMBER(SEARCH($V$1,Database!$Z391&amp;""))))+IF($W$1="",0,N(ISNUMBER(SEARCH($W$1,Database!$Z391&amp;""))))+IF($X$1="",0,N(ISNUMBER(SEARCH($X$1,Database!$Z391&amp;""))))+IF($Y$1="",0,N(ISNUMBER(SEARCH($Y$1,Database!$Z391&amp;""))))+IF(Screener!$B$17="",0,N(ISNUMBER(SEARCH(LOWER(Screener!$B$17),Database!$Z391&amp;""))))</f>
        <v/>
      </c>
      <c r="I391">
        <f>IF(OR(N(Database!$BF391)&lt;=0,N(Screener!$D$13)&lt;=0),0,MAX(0,1-ABS(LOG10(N(Database!$BF391)/Screener!$D$13))/W_PEHW))</f>
        <v/>
      </c>
      <c r="J391">
        <f>IF(OR(N(Database!$S391)&lt;=0,N(Screener!$D$14)&lt;=0),0,MAX(0,1-ABS(LOG10(Database!$S391/Screener!$D$14))/0.6))</f>
        <v/>
      </c>
      <c r="K391">
        <f>IF(Database!$B391=Screener!$B$5,-999999,IF(ISNUMBER(SEARCH(","&amp;Database!$A391&amp;",",","&amp;SUBSTITUTE(Screener!$D$17," ","")&amp;",")),2000000,IF(IF(OR(Screener!$B$18="All",AND(Screener!$B$18="With A-share",(Database!$BK391="Y")),AND(Screener!$B$18="Without A-share",NOT((Database!$BK391="Y")))),1,0)=0,-999999,IF(Screener!$B$16="cornerstone overlap first",H391*100000,IF(Screener!$B$16="demand-similar first",J391*100000,0))+W_SUB*B391+W_SEC*C391*(1-B391)+W_SIZE*D391+W_PROF*E391+W_AH*F391+W_REC*G391+W_CS*H391+W_PE*I391)))+ROW()/1000000</f>
        <v/>
      </c>
      <c r="AA391">
        <f>Database!B381</f>
        <v/>
      </c>
      <c r="AB391">
        <f>Database!D381</f>
        <v/>
      </c>
      <c r="AC391">
        <f>Database!E381</f>
        <v/>
      </c>
      <c r="AD391">
        <f>Database!I381</f>
        <v/>
      </c>
      <c r="AE391">
        <f>Database!BE381</f>
        <v/>
      </c>
      <c r="AF391">
        <f>Database!BK381</f>
        <v/>
      </c>
      <c r="AG391">
        <f>Database!H381</f>
        <v/>
      </c>
      <c r="AH391">
        <f>Database!BF381</f>
        <v/>
      </c>
    </row>
    <row r="392">
      <c r="A392">
        <f>Database!B392</f>
        <v/>
      </c>
      <c r="B392">
        <f>IF(AND(Screener!$D$8&lt;&gt;"",Database!$E392=Screener!$D$8),1,0)</f>
        <v/>
      </c>
      <c r="C392">
        <f>IF(AND(Screener!$D$7&lt;&gt;"",Database!$D392=Screener!$D$7),1,0)</f>
        <v/>
      </c>
      <c r="D392">
        <f>IF(OR(N(Database!$I392)&lt;=0,N(Screener!$D$9)&lt;=0),0,MAX(0,1-ABS(LOG10(N(Database!$I392)/Screener!$D$9))/W_SIZEHW))</f>
        <v/>
      </c>
      <c r="E392">
        <f>IF(OR(Database!$BE392="",Screener!$D$10=""),0,IF(Database!$BE392=Screener!$D$10,1,0))</f>
        <v/>
      </c>
      <c r="F392">
        <f>IF(OR(Database!$BK392="",Screener!$D$11=""),0,IF(Database!$BK392=Screener!$D$11,1,0))</f>
        <v/>
      </c>
      <c r="G392">
        <f>IF(OR(Database!$H392="",N(Screener!$D$12)&lt;=0),0,MAX(0,1-(N(Screener!$D$12)-Database!$H392)/W_RECD))</f>
        <v/>
      </c>
      <c r="H392">
        <f>IF($U$1="",0,N(ISNUMBER(SEARCH($U$1,Database!$Z392&amp;""))))+IF($V$1="",0,N(ISNUMBER(SEARCH($V$1,Database!$Z392&amp;""))))+IF($W$1="",0,N(ISNUMBER(SEARCH($W$1,Database!$Z392&amp;""))))+IF($X$1="",0,N(ISNUMBER(SEARCH($X$1,Database!$Z392&amp;""))))+IF($Y$1="",0,N(ISNUMBER(SEARCH($Y$1,Database!$Z392&amp;""))))+IF(Screener!$B$17="",0,N(ISNUMBER(SEARCH(LOWER(Screener!$B$17),Database!$Z392&amp;""))))</f>
        <v/>
      </c>
      <c r="I392">
        <f>IF(OR(N(Database!$BF392)&lt;=0,N(Screener!$D$13)&lt;=0),0,MAX(0,1-ABS(LOG10(N(Database!$BF392)/Screener!$D$13))/W_PEHW))</f>
        <v/>
      </c>
      <c r="J392">
        <f>IF(OR(N(Database!$S392)&lt;=0,N(Screener!$D$14)&lt;=0),0,MAX(0,1-ABS(LOG10(Database!$S392/Screener!$D$14))/0.6))</f>
        <v/>
      </c>
      <c r="K392">
        <f>IF(Database!$B392=Screener!$B$5,-999999,IF(ISNUMBER(SEARCH(","&amp;Database!$A392&amp;",",","&amp;SUBSTITUTE(Screener!$D$17," ","")&amp;",")),2000000,IF(IF(OR(Screener!$B$18="All",AND(Screener!$B$18="With A-share",(Database!$BK392="Y")),AND(Screener!$B$18="Without A-share",NOT((Database!$BK392="Y")))),1,0)=0,-999999,IF(Screener!$B$16="cornerstone overlap first",H392*100000,IF(Screener!$B$16="demand-similar first",J392*100000,0))+W_SUB*B392+W_SEC*C392*(1-B392)+W_SIZE*D392+W_PROF*E392+W_AH*F392+W_REC*G392+W_CS*H392+W_PE*I392)))+ROW()/1000000</f>
        <v/>
      </c>
      <c r="AA392">
        <f>Database!B382</f>
        <v/>
      </c>
      <c r="AB392">
        <f>Database!D382</f>
        <v/>
      </c>
      <c r="AC392">
        <f>Database!E382</f>
        <v/>
      </c>
      <c r="AD392">
        <f>Database!I382</f>
        <v/>
      </c>
      <c r="AE392">
        <f>Database!BE382</f>
        <v/>
      </c>
      <c r="AF392">
        <f>Database!BK382</f>
        <v/>
      </c>
      <c r="AG392">
        <f>Database!H382</f>
        <v/>
      </c>
      <c r="AH392">
        <f>Database!BF382</f>
        <v/>
      </c>
    </row>
    <row r="393">
      <c r="A393">
        <f>Database!B393</f>
        <v/>
      </c>
      <c r="B393">
        <f>IF(AND(Screener!$D$8&lt;&gt;"",Database!$E393=Screener!$D$8),1,0)</f>
        <v/>
      </c>
      <c r="C393">
        <f>IF(AND(Screener!$D$7&lt;&gt;"",Database!$D393=Screener!$D$7),1,0)</f>
        <v/>
      </c>
      <c r="D393">
        <f>IF(OR(N(Database!$I393)&lt;=0,N(Screener!$D$9)&lt;=0),0,MAX(0,1-ABS(LOG10(N(Database!$I393)/Screener!$D$9))/W_SIZEHW))</f>
        <v/>
      </c>
      <c r="E393">
        <f>IF(OR(Database!$BE393="",Screener!$D$10=""),0,IF(Database!$BE393=Screener!$D$10,1,0))</f>
        <v/>
      </c>
      <c r="F393">
        <f>IF(OR(Database!$BK393="",Screener!$D$11=""),0,IF(Database!$BK393=Screener!$D$11,1,0))</f>
        <v/>
      </c>
      <c r="G393">
        <f>IF(OR(Database!$H393="",N(Screener!$D$12)&lt;=0),0,MAX(0,1-(N(Screener!$D$12)-Database!$H393)/W_RECD))</f>
        <v/>
      </c>
      <c r="H393">
        <f>IF($U$1="",0,N(ISNUMBER(SEARCH($U$1,Database!$Z393&amp;""))))+IF($V$1="",0,N(ISNUMBER(SEARCH($V$1,Database!$Z393&amp;""))))+IF($W$1="",0,N(ISNUMBER(SEARCH($W$1,Database!$Z393&amp;""))))+IF($X$1="",0,N(ISNUMBER(SEARCH($X$1,Database!$Z393&amp;""))))+IF($Y$1="",0,N(ISNUMBER(SEARCH($Y$1,Database!$Z393&amp;""))))+IF(Screener!$B$17="",0,N(ISNUMBER(SEARCH(LOWER(Screener!$B$17),Database!$Z393&amp;""))))</f>
        <v/>
      </c>
      <c r="I393">
        <f>IF(OR(N(Database!$BF393)&lt;=0,N(Screener!$D$13)&lt;=0),0,MAX(0,1-ABS(LOG10(N(Database!$BF393)/Screener!$D$13))/W_PEHW))</f>
        <v/>
      </c>
      <c r="J393">
        <f>IF(OR(N(Database!$S393)&lt;=0,N(Screener!$D$14)&lt;=0),0,MAX(0,1-ABS(LOG10(Database!$S393/Screener!$D$14))/0.6))</f>
        <v/>
      </c>
      <c r="K393">
        <f>IF(Database!$B393=Screener!$B$5,-999999,IF(ISNUMBER(SEARCH(","&amp;Database!$A393&amp;",",","&amp;SUBSTITUTE(Screener!$D$17," ","")&amp;",")),2000000,IF(IF(OR(Screener!$B$18="All",AND(Screener!$B$18="With A-share",(Database!$BK393="Y")),AND(Screener!$B$18="Without A-share",NOT((Database!$BK393="Y")))),1,0)=0,-999999,IF(Screener!$B$16="cornerstone overlap first",H393*100000,IF(Screener!$B$16="demand-similar first",J393*100000,0))+W_SUB*B393+W_SEC*C393*(1-B393)+W_SIZE*D393+W_PROF*E393+W_AH*F393+W_REC*G393+W_CS*H393+W_PE*I393)))+ROW()/1000000</f>
        <v/>
      </c>
      <c r="AA393">
        <f>Database!B383</f>
        <v/>
      </c>
      <c r="AB393">
        <f>Database!D383</f>
        <v/>
      </c>
      <c r="AC393">
        <f>Database!E383</f>
        <v/>
      </c>
      <c r="AD393">
        <f>Database!I383</f>
        <v/>
      </c>
      <c r="AE393">
        <f>Database!BE383</f>
        <v/>
      </c>
      <c r="AF393">
        <f>Database!BK383</f>
        <v/>
      </c>
      <c r="AG393">
        <f>Database!H383</f>
        <v/>
      </c>
      <c r="AH393">
        <f>Database!BF383</f>
        <v/>
      </c>
    </row>
    <row r="394">
      <c r="A394">
        <f>Database!B394</f>
        <v/>
      </c>
      <c r="B394">
        <f>IF(AND(Screener!$D$8&lt;&gt;"",Database!$E394=Screener!$D$8),1,0)</f>
        <v/>
      </c>
      <c r="C394">
        <f>IF(AND(Screener!$D$7&lt;&gt;"",Database!$D394=Screener!$D$7),1,0)</f>
        <v/>
      </c>
      <c r="D394">
        <f>IF(OR(N(Database!$I394)&lt;=0,N(Screener!$D$9)&lt;=0),0,MAX(0,1-ABS(LOG10(N(Database!$I394)/Screener!$D$9))/W_SIZEHW))</f>
        <v/>
      </c>
      <c r="E394">
        <f>IF(OR(Database!$BE394="",Screener!$D$10=""),0,IF(Database!$BE394=Screener!$D$10,1,0))</f>
        <v/>
      </c>
      <c r="F394">
        <f>IF(OR(Database!$BK394="",Screener!$D$11=""),0,IF(Database!$BK394=Screener!$D$11,1,0))</f>
        <v/>
      </c>
      <c r="G394">
        <f>IF(OR(Database!$H394="",N(Screener!$D$12)&lt;=0),0,MAX(0,1-(N(Screener!$D$12)-Database!$H394)/W_RECD))</f>
        <v/>
      </c>
      <c r="H394">
        <f>IF($U$1="",0,N(ISNUMBER(SEARCH($U$1,Database!$Z394&amp;""))))+IF($V$1="",0,N(ISNUMBER(SEARCH($V$1,Database!$Z394&amp;""))))+IF($W$1="",0,N(ISNUMBER(SEARCH($W$1,Database!$Z394&amp;""))))+IF($X$1="",0,N(ISNUMBER(SEARCH($X$1,Database!$Z394&amp;""))))+IF($Y$1="",0,N(ISNUMBER(SEARCH($Y$1,Database!$Z394&amp;""))))+IF(Screener!$B$17="",0,N(ISNUMBER(SEARCH(LOWER(Screener!$B$17),Database!$Z394&amp;""))))</f>
        <v/>
      </c>
      <c r="I394">
        <f>IF(OR(N(Database!$BF394)&lt;=0,N(Screener!$D$13)&lt;=0),0,MAX(0,1-ABS(LOG10(N(Database!$BF394)/Screener!$D$13))/W_PEHW))</f>
        <v/>
      </c>
      <c r="J394">
        <f>IF(OR(N(Database!$S394)&lt;=0,N(Screener!$D$14)&lt;=0),0,MAX(0,1-ABS(LOG10(Database!$S394/Screener!$D$14))/0.6))</f>
        <v/>
      </c>
      <c r="K394">
        <f>IF(Database!$B394=Screener!$B$5,-999999,IF(ISNUMBER(SEARCH(","&amp;Database!$A394&amp;",",","&amp;SUBSTITUTE(Screener!$D$17," ","")&amp;",")),2000000,IF(IF(OR(Screener!$B$18="All",AND(Screener!$B$18="With A-share",(Database!$BK394="Y")),AND(Screener!$B$18="Without A-share",NOT((Database!$BK394="Y")))),1,0)=0,-999999,IF(Screener!$B$16="cornerstone overlap first",H394*100000,IF(Screener!$B$16="demand-similar first",J394*100000,0))+W_SUB*B394+W_SEC*C394*(1-B394)+W_SIZE*D394+W_PROF*E394+W_AH*F394+W_REC*G394+W_CS*H394+W_PE*I394)))+ROW()/1000000</f>
        <v/>
      </c>
      <c r="AA394">
        <f>Database!B384</f>
        <v/>
      </c>
      <c r="AB394">
        <f>Database!D384</f>
        <v/>
      </c>
      <c r="AC394">
        <f>Database!E384</f>
        <v/>
      </c>
      <c r="AD394">
        <f>Database!I384</f>
        <v/>
      </c>
      <c r="AE394">
        <f>Database!BE384</f>
        <v/>
      </c>
      <c r="AF394">
        <f>Database!BK384</f>
        <v/>
      </c>
      <c r="AG394">
        <f>Database!H384</f>
        <v/>
      </c>
      <c r="AH394">
        <f>Database!BF384</f>
        <v/>
      </c>
    </row>
    <row r="395">
      <c r="A395">
        <f>Database!B395</f>
        <v/>
      </c>
      <c r="B395">
        <f>IF(AND(Screener!$D$8&lt;&gt;"",Database!$E395=Screener!$D$8),1,0)</f>
        <v/>
      </c>
      <c r="C395">
        <f>IF(AND(Screener!$D$7&lt;&gt;"",Database!$D395=Screener!$D$7),1,0)</f>
        <v/>
      </c>
      <c r="D395">
        <f>IF(OR(N(Database!$I395)&lt;=0,N(Screener!$D$9)&lt;=0),0,MAX(0,1-ABS(LOG10(N(Database!$I395)/Screener!$D$9))/W_SIZEHW))</f>
        <v/>
      </c>
      <c r="E395">
        <f>IF(OR(Database!$BE395="",Screener!$D$10=""),0,IF(Database!$BE395=Screener!$D$10,1,0))</f>
        <v/>
      </c>
      <c r="F395">
        <f>IF(OR(Database!$BK395="",Screener!$D$11=""),0,IF(Database!$BK395=Screener!$D$11,1,0))</f>
        <v/>
      </c>
      <c r="G395">
        <f>IF(OR(Database!$H395="",N(Screener!$D$12)&lt;=0),0,MAX(0,1-(N(Screener!$D$12)-Database!$H395)/W_RECD))</f>
        <v/>
      </c>
      <c r="H395">
        <f>IF($U$1="",0,N(ISNUMBER(SEARCH($U$1,Database!$Z395&amp;""))))+IF($V$1="",0,N(ISNUMBER(SEARCH($V$1,Database!$Z395&amp;""))))+IF($W$1="",0,N(ISNUMBER(SEARCH($W$1,Database!$Z395&amp;""))))+IF($X$1="",0,N(ISNUMBER(SEARCH($X$1,Database!$Z395&amp;""))))+IF($Y$1="",0,N(ISNUMBER(SEARCH($Y$1,Database!$Z395&amp;""))))+IF(Screener!$B$17="",0,N(ISNUMBER(SEARCH(LOWER(Screener!$B$17),Database!$Z395&amp;""))))</f>
        <v/>
      </c>
      <c r="I395">
        <f>IF(OR(N(Database!$BF395)&lt;=0,N(Screener!$D$13)&lt;=0),0,MAX(0,1-ABS(LOG10(N(Database!$BF395)/Screener!$D$13))/W_PEHW))</f>
        <v/>
      </c>
      <c r="J395">
        <f>IF(OR(N(Database!$S395)&lt;=0,N(Screener!$D$14)&lt;=0),0,MAX(0,1-ABS(LOG10(Database!$S395/Screener!$D$14))/0.6))</f>
        <v/>
      </c>
      <c r="K395">
        <f>IF(Database!$B395=Screener!$B$5,-999999,IF(ISNUMBER(SEARCH(","&amp;Database!$A395&amp;",",","&amp;SUBSTITUTE(Screener!$D$17," ","")&amp;",")),2000000,IF(IF(OR(Screener!$B$18="All",AND(Screener!$B$18="With A-share",(Database!$BK395="Y")),AND(Screener!$B$18="Without A-share",NOT((Database!$BK395="Y")))),1,0)=0,-999999,IF(Screener!$B$16="cornerstone overlap first",H395*100000,IF(Screener!$B$16="demand-similar first",J395*100000,0))+W_SUB*B395+W_SEC*C395*(1-B395)+W_SIZE*D395+W_PROF*E395+W_AH*F395+W_REC*G395+W_CS*H395+W_PE*I395)))+ROW()/1000000</f>
        <v/>
      </c>
      <c r="AA395">
        <f>Database!B385</f>
        <v/>
      </c>
      <c r="AB395">
        <f>Database!D385</f>
        <v/>
      </c>
      <c r="AC395">
        <f>Database!E385</f>
        <v/>
      </c>
      <c r="AD395">
        <f>Database!I385</f>
        <v/>
      </c>
      <c r="AE395">
        <f>Database!BE385</f>
        <v/>
      </c>
      <c r="AF395">
        <f>Database!BK385</f>
        <v/>
      </c>
      <c r="AG395">
        <f>Database!H385</f>
        <v/>
      </c>
      <c r="AH395">
        <f>Database!BF385</f>
        <v/>
      </c>
    </row>
    <row r="396">
      <c r="A396">
        <f>Database!B396</f>
        <v/>
      </c>
      <c r="B396">
        <f>IF(AND(Screener!$D$8&lt;&gt;"",Database!$E396=Screener!$D$8),1,0)</f>
        <v/>
      </c>
      <c r="C396">
        <f>IF(AND(Screener!$D$7&lt;&gt;"",Database!$D396=Screener!$D$7),1,0)</f>
        <v/>
      </c>
      <c r="D396">
        <f>IF(OR(N(Database!$I396)&lt;=0,N(Screener!$D$9)&lt;=0),0,MAX(0,1-ABS(LOG10(N(Database!$I396)/Screener!$D$9))/W_SIZEHW))</f>
        <v/>
      </c>
      <c r="E396">
        <f>IF(OR(Database!$BE396="",Screener!$D$10=""),0,IF(Database!$BE396=Screener!$D$10,1,0))</f>
        <v/>
      </c>
      <c r="F396">
        <f>IF(OR(Database!$BK396="",Screener!$D$11=""),0,IF(Database!$BK396=Screener!$D$11,1,0))</f>
        <v/>
      </c>
      <c r="G396">
        <f>IF(OR(Database!$H396="",N(Screener!$D$12)&lt;=0),0,MAX(0,1-(N(Screener!$D$12)-Database!$H396)/W_RECD))</f>
        <v/>
      </c>
      <c r="H396">
        <f>IF($U$1="",0,N(ISNUMBER(SEARCH($U$1,Database!$Z396&amp;""))))+IF($V$1="",0,N(ISNUMBER(SEARCH($V$1,Database!$Z396&amp;""))))+IF($W$1="",0,N(ISNUMBER(SEARCH($W$1,Database!$Z396&amp;""))))+IF($X$1="",0,N(ISNUMBER(SEARCH($X$1,Database!$Z396&amp;""))))+IF($Y$1="",0,N(ISNUMBER(SEARCH($Y$1,Database!$Z396&amp;""))))+IF(Screener!$B$17="",0,N(ISNUMBER(SEARCH(LOWER(Screener!$B$17),Database!$Z396&amp;""))))</f>
        <v/>
      </c>
      <c r="I396">
        <f>IF(OR(N(Database!$BF396)&lt;=0,N(Screener!$D$13)&lt;=0),0,MAX(0,1-ABS(LOG10(N(Database!$BF396)/Screener!$D$13))/W_PEHW))</f>
        <v/>
      </c>
      <c r="J396">
        <f>IF(OR(N(Database!$S396)&lt;=0,N(Screener!$D$14)&lt;=0),0,MAX(0,1-ABS(LOG10(Database!$S396/Screener!$D$14))/0.6))</f>
        <v/>
      </c>
      <c r="K396">
        <f>IF(Database!$B396=Screener!$B$5,-999999,IF(ISNUMBER(SEARCH(","&amp;Database!$A396&amp;",",","&amp;SUBSTITUTE(Screener!$D$17," ","")&amp;",")),2000000,IF(IF(OR(Screener!$B$18="All",AND(Screener!$B$18="With A-share",(Database!$BK396="Y")),AND(Screener!$B$18="Without A-share",NOT((Database!$BK396="Y")))),1,0)=0,-999999,IF(Screener!$B$16="cornerstone overlap first",H396*100000,IF(Screener!$B$16="demand-similar first",J396*100000,0))+W_SUB*B396+W_SEC*C396*(1-B396)+W_SIZE*D396+W_PROF*E396+W_AH*F396+W_REC*G396+W_CS*H396+W_PE*I396)))+ROW()/1000000</f>
        <v/>
      </c>
      <c r="AA396">
        <f>Database!B386</f>
        <v/>
      </c>
      <c r="AB396">
        <f>Database!D386</f>
        <v/>
      </c>
      <c r="AC396">
        <f>Database!E386</f>
        <v/>
      </c>
      <c r="AD396">
        <f>Database!I386</f>
        <v/>
      </c>
      <c r="AE396">
        <f>Database!BE386</f>
        <v/>
      </c>
      <c r="AF396">
        <f>Database!BK386</f>
        <v/>
      </c>
      <c r="AG396">
        <f>Database!H386</f>
        <v/>
      </c>
      <c r="AH396">
        <f>Database!BF386</f>
        <v/>
      </c>
    </row>
    <row r="397">
      <c r="A397">
        <f>Database!B397</f>
        <v/>
      </c>
      <c r="B397">
        <f>IF(AND(Screener!$D$8&lt;&gt;"",Database!$E397=Screener!$D$8),1,0)</f>
        <v/>
      </c>
      <c r="C397">
        <f>IF(AND(Screener!$D$7&lt;&gt;"",Database!$D397=Screener!$D$7),1,0)</f>
        <v/>
      </c>
      <c r="D397">
        <f>IF(OR(N(Database!$I397)&lt;=0,N(Screener!$D$9)&lt;=0),0,MAX(0,1-ABS(LOG10(N(Database!$I397)/Screener!$D$9))/W_SIZEHW))</f>
        <v/>
      </c>
      <c r="E397">
        <f>IF(OR(Database!$BE397="",Screener!$D$10=""),0,IF(Database!$BE397=Screener!$D$10,1,0))</f>
        <v/>
      </c>
      <c r="F397">
        <f>IF(OR(Database!$BK397="",Screener!$D$11=""),0,IF(Database!$BK397=Screener!$D$11,1,0))</f>
        <v/>
      </c>
      <c r="G397">
        <f>IF(OR(Database!$H397="",N(Screener!$D$12)&lt;=0),0,MAX(0,1-(N(Screener!$D$12)-Database!$H397)/W_RECD))</f>
        <v/>
      </c>
      <c r="H397">
        <f>IF($U$1="",0,N(ISNUMBER(SEARCH($U$1,Database!$Z397&amp;""))))+IF($V$1="",0,N(ISNUMBER(SEARCH($V$1,Database!$Z397&amp;""))))+IF($W$1="",0,N(ISNUMBER(SEARCH($W$1,Database!$Z397&amp;""))))+IF($X$1="",0,N(ISNUMBER(SEARCH($X$1,Database!$Z397&amp;""))))+IF($Y$1="",0,N(ISNUMBER(SEARCH($Y$1,Database!$Z397&amp;""))))+IF(Screener!$B$17="",0,N(ISNUMBER(SEARCH(LOWER(Screener!$B$17),Database!$Z397&amp;""))))</f>
        <v/>
      </c>
      <c r="I397">
        <f>IF(OR(N(Database!$BF397)&lt;=0,N(Screener!$D$13)&lt;=0),0,MAX(0,1-ABS(LOG10(N(Database!$BF397)/Screener!$D$13))/W_PEHW))</f>
        <v/>
      </c>
      <c r="J397">
        <f>IF(OR(N(Database!$S397)&lt;=0,N(Screener!$D$14)&lt;=0),0,MAX(0,1-ABS(LOG10(Database!$S397/Screener!$D$14))/0.6))</f>
        <v/>
      </c>
      <c r="K397">
        <f>IF(Database!$B397=Screener!$B$5,-999999,IF(ISNUMBER(SEARCH(","&amp;Database!$A397&amp;",",","&amp;SUBSTITUTE(Screener!$D$17," ","")&amp;",")),2000000,IF(IF(OR(Screener!$B$18="All",AND(Screener!$B$18="With A-share",(Database!$BK397="Y")),AND(Screener!$B$18="Without A-share",NOT((Database!$BK397="Y")))),1,0)=0,-999999,IF(Screener!$B$16="cornerstone overlap first",H397*100000,IF(Screener!$B$16="demand-similar first",J397*100000,0))+W_SUB*B397+W_SEC*C397*(1-B397)+W_SIZE*D397+W_PROF*E397+W_AH*F397+W_REC*G397+W_CS*H397+W_PE*I397)))+ROW()/1000000</f>
        <v/>
      </c>
      <c r="AA397">
        <f>Database!B387</f>
        <v/>
      </c>
      <c r="AB397">
        <f>Database!D387</f>
        <v/>
      </c>
      <c r="AC397">
        <f>Database!E387</f>
        <v/>
      </c>
      <c r="AD397">
        <f>Database!I387</f>
        <v/>
      </c>
      <c r="AE397">
        <f>Database!BE387</f>
        <v/>
      </c>
      <c r="AF397">
        <f>Database!BK387</f>
        <v/>
      </c>
      <c r="AG397">
        <f>Database!H387</f>
        <v/>
      </c>
      <c r="AH397">
        <f>Database!BF387</f>
        <v/>
      </c>
    </row>
    <row r="398">
      <c r="A398">
        <f>Database!B398</f>
        <v/>
      </c>
      <c r="B398">
        <f>IF(AND(Screener!$D$8&lt;&gt;"",Database!$E398=Screener!$D$8),1,0)</f>
        <v/>
      </c>
      <c r="C398">
        <f>IF(AND(Screener!$D$7&lt;&gt;"",Database!$D398=Screener!$D$7),1,0)</f>
        <v/>
      </c>
      <c r="D398">
        <f>IF(OR(N(Database!$I398)&lt;=0,N(Screener!$D$9)&lt;=0),0,MAX(0,1-ABS(LOG10(N(Database!$I398)/Screener!$D$9))/W_SIZEHW))</f>
        <v/>
      </c>
      <c r="E398">
        <f>IF(OR(Database!$BE398="",Screener!$D$10=""),0,IF(Database!$BE398=Screener!$D$10,1,0))</f>
        <v/>
      </c>
      <c r="F398">
        <f>IF(OR(Database!$BK398="",Screener!$D$11=""),0,IF(Database!$BK398=Screener!$D$11,1,0))</f>
        <v/>
      </c>
      <c r="G398">
        <f>IF(OR(Database!$H398="",N(Screener!$D$12)&lt;=0),0,MAX(0,1-(N(Screener!$D$12)-Database!$H398)/W_RECD))</f>
        <v/>
      </c>
      <c r="H398">
        <f>IF($U$1="",0,N(ISNUMBER(SEARCH($U$1,Database!$Z398&amp;""))))+IF($V$1="",0,N(ISNUMBER(SEARCH($V$1,Database!$Z398&amp;""))))+IF($W$1="",0,N(ISNUMBER(SEARCH($W$1,Database!$Z398&amp;""))))+IF($X$1="",0,N(ISNUMBER(SEARCH($X$1,Database!$Z398&amp;""))))+IF($Y$1="",0,N(ISNUMBER(SEARCH($Y$1,Database!$Z398&amp;""))))+IF(Screener!$B$17="",0,N(ISNUMBER(SEARCH(LOWER(Screener!$B$17),Database!$Z398&amp;""))))</f>
        <v/>
      </c>
      <c r="I398">
        <f>IF(OR(N(Database!$BF398)&lt;=0,N(Screener!$D$13)&lt;=0),0,MAX(0,1-ABS(LOG10(N(Database!$BF398)/Screener!$D$13))/W_PEHW))</f>
        <v/>
      </c>
      <c r="J398">
        <f>IF(OR(N(Database!$S398)&lt;=0,N(Screener!$D$14)&lt;=0),0,MAX(0,1-ABS(LOG10(Database!$S398/Screener!$D$14))/0.6))</f>
        <v/>
      </c>
      <c r="K398">
        <f>IF(Database!$B398=Screener!$B$5,-999999,IF(ISNUMBER(SEARCH(","&amp;Database!$A398&amp;",",","&amp;SUBSTITUTE(Screener!$D$17," ","")&amp;",")),2000000,IF(IF(OR(Screener!$B$18="All",AND(Screener!$B$18="With A-share",(Database!$BK398="Y")),AND(Screener!$B$18="Without A-share",NOT((Database!$BK398="Y")))),1,0)=0,-999999,IF(Screener!$B$16="cornerstone overlap first",H398*100000,IF(Screener!$B$16="demand-similar first",J398*100000,0))+W_SUB*B398+W_SEC*C398*(1-B398)+W_SIZE*D398+W_PROF*E398+W_AH*F398+W_REC*G398+W_CS*H398+W_PE*I398)))+ROW()/1000000</f>
        <v/>
      </c>
      <c r="AA398">
        <f>Database!B388</f>
        <v/>
      </c>
      <c r="AB398">
        <f>Database!D388</f>
        <v/>
      </c>
      <c r="AC398">
        <f>Database!E388</f>
        <v/>
      </c>
      <c r="AD398">
        <f>Database!I388</f>
        <v/>
      </c>
      <c r="AE398">
        <f>Database!BE388</f>
        <v/>
      </c>
      <c r="AF398">
        <f>Database!BK388</f>
        <v/>
      </c>
      <c r="AG398">
        <f>Database!H388</f>
        <v/>
      </c>
      <c r="AH398">
        <f>Database!BF388</f>
        <v/>
      </c>
    </row>
    <row r="399">
      <c r="A399">
        <f>Database!B399</f>
        <v/>
      </c>
      <c r="B399">
        <f>IF(AND(Screener!$D$8&lt;&gt;"",Database!$E399=Screener!$D$8),1,0)</f>
        <v/>
      </c>
      <c r="C399">
        <f>IF(AND(Screener!$D$7&lt;&gt;"",Database!$D399=Screener!$D$7),1,0)</f>
        <v/>
      </c>
      <c r="D399">
        <f>IF(OR(N(Database!$I399)&lt;=0,N(Screener!$D$9)&lt;=0),0,MAX(0,1-ABS(LOG10(N(Database!$I399)/Screener!$D$9))/W_SIZEHW))</f>
        <v/>
      </c>
      <c r="E399">
        <f>IF(OR(Database!$BE399="",Screener!$D$10=""),0,IF(Database!$BE399=Screener!$D$10,1,0))</f>
        <v/>
      </c>
      <c r="F399">
        <f>IF(OR(Database!$BK399="",Screener!$D$11=""),0,IF(Database!$BK399=Screener!$D$11,1,0))</f>
        <v/>
      </c>
      <c r="G399">
        <f>IF(OR(Database!$H399="",N(Screener!$D$12)&lt;=0),0,MAX(0,1-(N(Screener!$D$12)-Database!$H399)/W_RECD))</f>
        <v/>
      </c>
      <c r="H399">
        <f>IF($U$1="",0,N(ISNUMBER(SEARCH($U$1,Database!$Z399&amp;""))))+IF($V$1="",0,N(ISNUMBER(SEARCH($V$1,Database!$Z399&amp;""))))+IF($W$1="",0,N(ISNUMBER(SEARCH($W$1,Database!$Z399&amp;""))))+IF($X$1="",0,N(ISNUMBER(SEARCH($X$1,Database!$Z399&amp;""))))+IF($Y$1="",0,N(ISNUMBER(SEARCH($Y$1,Database!$Z399&amp;""))))+IF(Screener!$B$17="",0,N(ISNUMBER(SEARCH(LOWER(Screener!$B$17),Database!$Z399&amp;""))))</f>
        <v/>
      </c>
      <c r="I399">
        <f>IF(OR(N(Database!$BF399)&lt;=0,N(Screener!$D$13)&lt;=0),0,MAX(0,1-ABS(LOG10(N(Database!$BF399)/Screener!$D$13))/W_PEHW))</f>
        <v/>
      </c>
      <c r="J399">
        <f>IF(OR(N(Database!$S399)&lt;=0,N(Screener!$D$14)&lt;=0),0,MAX(0,1-ABS(LOG10(Database!$S399/Screener!$D$14))/0.6))</f>
        <v/>
      </c>
      <c r="K399">
        <f>IF(Database!$B399=Screener!$B$5,-999999,IF(ISNUMBER(SEARCH(","&amp;Database!$A399&amp;",",","&amp;SUBSTITUTE(Screener!$D$17," ","")&amp;",")),2000000,IF(IF(OR(Screener!$B$18="All",AND(Screener!$B$18="With A-share",(Database!$BK399="Y")),AND(Screener!$B$18="Without A-share",NOT((Database!$BK399="Y")))),1,0)=0,-999999,IF(Screener!$B$16="cornerstone overlap first",H399*100000,IF(Screener!$B$16="demand-similar first",J399*100000,0))+W_SUB*B399+W_SEC*C399*(1-B399)+W_SIZE*D399+W_PROF*E399+W_AH*F399+W_REC*G399+W_CS*H399+W_PE*I399)))+ROW()/1000000</f>
        <v/>
      </c>
      <c r="AA399">
        <f>Database!B389</f>
        <v/>
      </c>
      <c r="AB399">
        <f>Database!D389</f>
        <v/>
      </c>
      <c r="AC399">
        <f>Database!E389</f>
        <v/>
      </c>
      <c r="AD399">
        <f>Database!I389</f>
        <v/>
      </c>
      <c r="AE399">
        <f>Database!BE389</f>
        <v/>
      </c>
      <c r="AF399">
        <f>Database!BK389</f>
        <v/>
      </c>
      <c r="AG399">
        <f>Database!H389</f>
        <v/>
      </c>
      <c r="AH399">
        <f>Database!BF389</f>
        <v/>
      </c>
    </row>
    <row r="400">
      <c r="A400">
        <f>Database!B400</f>
        <v/>
      </c>
      <c r="B400">
        <f>IF(AND(Screener!$D$8&lt;&gt;"",Database!$E400=Screener!$D$8),1,0)</f>
        <v/>
      </c>
      <c r="C400">
        <f>IF(AND(Screener!$D$7&lt;&gt;"",Database!$D400=Screener!$D$7),1,0)</f>
        <v/>
      </c>
      <c r="D400">
        <f>IF(OR(N(Database!$I400)&lt;=0,N(Screener!$D$9)&lt;=0),0,MAX(0,1-ABS(LOG10(N(Database!$I400)/Screener!$D$9))/W_SIZEHW))</f>
        <v/>
      </c>
      <c r="E400">
        <f>IF(OR(Database!$BE400="",Screener!$D$10=""),0,IF(Database!$BE400=Screener!$D$10,1,0))</f>
        <v/>
      </c>
      <c r="F400">
        <f>IF(OR(Database!$BK400="",Screener!$D$11=""),0,IF(Database!$BK400=Screener!$D$11,1,0))</f>
        <v/>
      </c>
      <c r="G400">
        <f>IF(OR(Database!$H400="",N(Screener!$D$12)&lt;=0),0,MAX(0,1-(N(Screener!$D$12)-Database!$H400)/W_RECD))</f>
        <v/>
      </c>
      <c r="H400">
        <f>IF($U$1="",0,N(ISNUMBER(SEARCH($U$1,Database!$Z400&amp;""))))+IF($V$1="",0,N(ISNUMBER(SEARCH($V$1,Database!$Z400&amp;""))))+IF($W$1="",0,N(ISNUMBER(SEARCH($W$1,Database!$Z400&amp;""))))+IF($X$1="",0,N(ISNUMBER(SEARCH($X$1,Database!$Z400&amp;""))))+IF($Y$1="",0,N(ISNUMBER(SEARCH($Y$1,Database!$Z400&amp;""))))+IF(Screener!$B$17="",0,N(ISNUMBER(SEARCH(LOWER(Screener!$B$17),Database!$Z400&amp;""))))</f>
        <v/>
      </c>
      <c r="I400">
        <f>IF(OR(N(Database!$BF400)&lt;=0,N(Screener!$D$13)&lt;=0),0,MAX(0,1-ABS(LOG10(N(Database!$BF400)/Screener!$D$13))/W_PEHW))</f>
        <v/>
      </c>
      <c r="J400">
        <f>IF(OR(N(Database!$S400)&lt;=0,N(Screener!$D$14)&lt;=0),0,MAX(0,1-ABS(LOG10(Database!$S400/Screener!$D$14))/0.6))</f>
        <v/>
      </c>
      <c r="K400">
        <f>IF(Database!$B400=Screener!$B$5,-999999,IF(ISNUMBER(SEARCH(","&amp;Database!$A400&amp;",",","&amp;SUBSTITUTE(Screener!$D$17," ","")&amp;",")),2000000,IF(IF(OR(Screener!$B$18="All",AND(Screener!$B$18="With A-share",(Database!$BK400="Y")),AND(Screener!$B$18="Without A-share",NOT((Database!$BK400="Y")))),1,0)=0,-999999,IF(Screener!$B$16="cornerstone overlap first",H400*100000,IF(Screener!$B$16="demand-similar first",J400*100000,0))+W_SUB*B400+W_SEC*C400*(1-B400)+W_SIZE*D400+W_PROF*E400+W_AH*F400+W_REC*G400+W_CS*H400+W_PE*I400)))+ROW()/1000000</f>
        <v/>
      </c>
      <c r="AA400">
        <f>Database!B390</f>
        <v/>
      </c>
      <c r="AB400">
        <f>Database!D390</f>
        <v/>
      </c>
      <c r="AC400">
        <f>Database!E390</f>
        <v/>
      </c>
      <c r="AD400">
        <f>Database!I390</f>
        <v/>
      </c>
      <c r="AE400">
        <f>Database!BE390</f>
        <v/>
      </c>
      <c r="AF400">
        <f>Database!BK390</f>
        <v/>
      </c>
      <c r="AG400">
        <f>Database!H390</f>
        <v/>
      </c>
      <c r="AH400">
        <f>Database!BF390</f>
        <v/>
      </c>
    </row>
    <row r="401">
      <c r="A401">
        <f>Database!B401</f>
        <v/>
      </c>
      <c r="B401">
        <f>IF(AND(Screener!$D$8&lt;&gt;"",Database!$E401=Screener!$D$8),1,0)</f>
        <v/>
      </c>
      <c r="C401">
        <f>IF(AND(Screener!$D$7&lt;&gt;"",Database!$D401=Screener!$D$7),1,0)</f>
        <v/>
      </c>
      <c r="D401">
        <f>IF(OR(N(Database!$I401)&lt;=0,N(Screener!$D$9)&lt;=0),0,MAX(0,1-ABS(LOG10(N(Database!$I401)/Screener!$D$9))/W_SIZEHW))</f>
        <v/>
      </c>
      <c r="E401">
        <f>IF(OR(Database!$BE401="",Screener!$D$10=""),0,IF(Database!$BE401=Screener!$D$10,1,0))</f>
        <v/>
      </c>
      <c r="F401">
        <f>IF(OR(Database!$BK401="",Screener!$D$11=""),0,IF(Database!$BK401=Screener!$D$11,1,0))</f>
        <v/>
      </c>
      <c r="G401">
        <f>IF(OR(Database!$H401="",N(Screener!$D$12)&lt;=0),0,MAX(0,1-(N(Screener!$D$12)-Database!$H401)/W_RECD))</f>
        <v/>
      </c>
      <c r="H401">
        <f>IF($U$1="",0,N(ISNUMBER(SEARCH($U$1,Database!$Z401&amp;""))))+IF($V$1="",0,N(ISNUMBER(SEARCH($V$1,Database!$Z401&amp;""))))+IF($W$1="",0,N(ISNUMBER(SEARCH($W$1,Database!$Z401&amp;""))))+IF($X$1="",0,N(ISNUMBER(SEARCH($X$1,Database!$Z401&amp;""))))+IF($Y$1="",0,N(ISNUMBER(SEARCH($Y$1,Database!$Z401&amp;""))))+IF(Screener!$B$17="",0,N(ISNUMBER(SEARCH(LOWER(Screener!$B$17),Database!$Z401&amp;""))))</f>
        <v/>
      </c>
      <c r="I401">
        <f>IF(OR(N(Database!$BF401)&lt;=0,N(Screener!$D$13)&lt;=0),0,MAX(0,1-ABS(LOG10(N(Database!$BF401)/Screener!$D$13))/W_PEHW))</f>
        <v/>
      </c>
      <c r="J401">
        <f>IF(OR(N(Database!$S401)&lt;=0,N(Screener!$D$14)&lt;=0),0,MAX(0,1-ABS(LOG10(Database!$S401/Screener!$D$14))/0.6))</f>
        <v/>
      </c>
      <c r="K401">
        <f>IF(Database!$B401=Screener!$B$5,-999999,IF(ISNUMBER(SEARCH(","&amp;Database!$A401&amp;",",","&amp;SUBSTITUTE(Screener!$D$17," ","")&amp;",")),2000000,IF(IF(OR(Screener!$B$18="All",AND(Screener!$B$18="With A-share",(Database!$BK401="Y")),AND(Screener!$B$18="Without A-share",NOT((Database!$BK401="Y")))),1,0)=0,-999999,IF(Screener!$B$16="cornerstone overlap first",H401*100000,IF(Screener!$B$16="demand-similar first",J401*100000,0))+W_SUB*B401+W_SEC*C401*(1-B401)+W_SIZE*D401+W_PROF*E401+W_AH*F401+W_REC*G401+W_CS*H401+W_PE*I401)))+ROW()/1000000</f>
        <v/>
      </c>
      <c r="AA401">
        <f>Database!B391</f>
        <v/>
      </c>
      <c r="AB401">
        <f>Database!D391</f>
        <v/>
      </c>
      <c r="AC401">
        <f>Database!E391</f>
        <v/>
      </c>
      <c r="AD401">
        <f>Database!I391</f>
        <v/>
      </c>
      <c r="AE401">
        <f>Database!BE391</f>
        <v/>
      </c>
      <c r="AF401">
        <f>Database!BK391</f>
        <v/>
      </c>
      <c r="AG401">
        <f>Database!H391</f>
        <v/>
      </c>
      <c r="AH401">
        <f>Database!BF391</f>
        <v/>
      </c>
    </row>
    <row r="402">
      <c r="A402">
        <f>Database!B402</f>
        <v/>
      </c>
      <c r="B402">
        <f>IF(AND(Screener!$D$8&lt;&gt;"",Database!$E402=Screener!$D$8),1,0)</f>
        <v/>
      </c>
      <c r="C402">
        <f>IF(AND(Screener!$D$7&lt;&gt;"",Database!$D402=Screener!$D$7),1,0)</f>
        <v/>
      </c>
      <c r="D402">
        <f>IF(OR(N(Database!$I402)&lt;=0,N(Screener!$D$9)&lt;=0),0,MAX(0,1-ABS(LOG10(N(Database!$I402)/Screener!$D$9))/W_SIZEHW))</f>
        <v/>
      </c>
      <c r="E402">
        <f>IF(OR(Database!$BE402="",Screener!$D$10=""),0,IF(Database!$BE402=Screener!$D$10,1,0))</f>
        <v/>
      </c>
      <c r="F402">
        <f>IF(OR(Database!$BK402="",Screener!$D$11=""),0,IF(Database!$BK402=Screener!$D$11,1,0))</f>
        <v/>
      </c>
      <c r="G402">
        <f>IF(OR(Database!$H402="",N(Screener!$D$12)&lt;=0),0,MAX(0,1-(N(Screener!$D$12)-Database!$H402)/W_RECD))</f>
        <v/>
      </c>
      <c r="H402">
        <f>IF($U$1="",0,N(ISNUMBER(SEARCH($U$1,Database!$Z402&amp;""))))+IF($V$1="",0,N(ISNUMBER(SEARCH($V$1,Database!$Z402&amp;""))))+IF($W$1="",0,N(ISNUMBER(SEARCH($W$1,Database!$Z402&amp;""))))+IF($X$1="",0,N(ISNUMBER(SEARCH($X$1,Database!$Z402&amp;""))))+IF($Y$1="",0,N(ISNUMBER(SEARCH($Y$1,Database!$Z402&amp;""))))+IF(Screener!$B$17="",0,N(ISNUMBER(SEARCH(LOWER(Screener!$B$17),Database!$Z402&amp;""))))</f>
        <v/>
      </c>
      <c r="I402">
        <f>IF(OR(N(Database!$BF402)&lt;=0,N(Screener!$D$13)&lt;=0),0,MAX(0,1-ABS(LOG10(N(Database!$BF402)/Screener!$D$13))/W_PEHW))</f>
        <v/>
      </c>
      <c r="J402">
        <f>IF(OR(N(Database!$S402)&lt;=0,N(Screener!$D$14)&lt;=0),0,MAX(0,1-ABS(LOG10(Database!$S402/Screener!$D$14))/0.6))</f>
        <v/>
      </c>
      <c r="K402">
        <f>IF(Database!$B402=Screener!$B$5,-999999,IF(ISNUMBER(SEARCH(","&amp;Database!$A402&amp;",",","&amp;SUBSTITUTE(Screener!$D$17," ","")&amp;",")),2000000,IF(IF(OR(Screener!$B$18="All",AND(Screener!$B$18="With A-share",(Database!$BK402="Y")),AND(Screener!$B$18="Without A-share",NOT((Database!$BK402="Y")))),1,0)=0,-999999,IF(Screener!$B$16="cornerstone overlap first",H402*100000,IF(Screener!$B$16="demand-similar first",J402*100000,0))+W_SUB*B402+W_SEC*C402*(1-B402)+W_SIZE*D402+W_PROF*E402+W_AH*F402+W_REC*G402+W_CS*H402+W_PE*I402)))+ROW()/1000000</f>
        <v/>
      </c>
      <c r="AA402">
        <f>Database!B392</f>
        <v/>
      </c>
      <c r="AB402">
        <f>Database!D392</f>
        <v/>
      </c>
      <c r="AC402">
        <f>Database!E392</f>
        <v/>
      </c>
      <c r="AD402">
        <f>Database!I392</f>
        <v/>
      </c>
      <c r="AE402">
        <f>Database!BE392</f>
        <v/>
      </c>
      <c r="AF402">
        <f>Database!BK392</f>
        <v/>
      </c>
      <c r="AG402">
        <f>Database!H392</f>
        <v/>
      </c>
      <c r="AH402">
        <f>Database!BF392</f>
        <v/>
      </c>
    </row>
    <row r="403">
      <c r="A403">
        <f>Database!B403</f>
        <v/>
      </c>
      <c r="B403">
        <f>IF(AND(Screener!$D$8&lt;&gt;"",Database!$E403=Screener!$D$8),1,0)</f>
        <v/>
      </c>
      <c r="C403">
        <f>IF(AND(Screener!$D$7&lt;&gt;"",Database!$D403=Screener!$D$7),1,0)</f>
        <v/>
      </c>
      <c r="D403">
        <f>IF(OR(N(Database!$I403)&lt;=0,N(Screener!$D$9)&lt;=0),0,MAX(0,1-ABS(LOG10(N(Database!$I403)/Screener!$D$9))/W_SIZEHW))</f>
        <v/>
      </c>
      <c r="E403">
        <f>IF(OR(Database!$BE403="",Screener!$D$10=""),0,IF(Database!$BE403=Screener!$D$10,1,0))</f>
        <v/>
      </c>
      <c r="F403">
        <f>IF(OR(Database!$BK403="",Screener!$D$11=""),0,IF(Database!$BK403=Screener!$D$11,1,0))</f>
        <v/>
      </c>
      <c r="G403">
        <f>IF(OR(Database!$H403="",N(Screener!$D$12)&lt;=0),0,MAX(0,1-(N(Screener!$D$12)-Database!$H403)/W_RECD))</f>
        <v/>
      </c>
      <c r="H403">
        <f>IF($U$1="",0,N(ISNUMBER(SEARCH($U$1,Database!$Z403&amp;""))))+IF($V$1="",0,N(ISNUMBER(SEARCH($V$1,Database!$Z403&amp;""))))+IF($W$1="",0,N(ISNUMBER(SEARCH($W$1,Database!$Z403&amp;""))))+IF($X$1="",0,N(ISNUMBER(SEARCH($X$1,Database!$Z403&amp;""))))+IF($Y$1="",0,N(ISNUMBER(SEARCH($Y$1,Database!$Z403&amp;""))))+IF(Screener!$B$17="",0,N(ISNUMBER(SEARCH(LOWER(Screener!$B$17),Database!$Z403&amp;""))))</f>
        <v/>
      </c>
      <c r="I403">
        <f>IF(OR(N(Database!$BF403)&lt;=0,N(Screener!$D$13)&lt;=0),0,MAX(0,1-ABS(LOG10(N(Database!$BF403)/Screener!$D$13))/W_PEHW))</f>
        <v/>
      </c>
      <c r="J403">
        <f>IF(OR(N(Database!$S403)&lt;=0,N(Screener!$D$14)&lt;=0),0,MAX(0,1-ABS(LOG10(Database!$S403/Screener!$D$14))/0.6))</f>
        <v/>
      </c>
      <c r="K403">
        <f>IF(Database!$B403=Screener!$B$5,-999999,IF(ISNUMBER(SEARCH(","&amp;Database!$A403&amp;",",","&amp;SUBSTITUTE(Screener!$D$17," ","")&amp;",")),2000000,IF(IF(OR(Screener!$B$18="All",AND(Screener!$B$18="With A-share",(Database!$BK403="Y")),AND(Screener!$B$18="Without A-share",NOT((Database!$BK403="Y")))),1,0)=0,-999999,IF(Screener!$B$16="cornerstone overlap first",H403*100000,IF(Screener!$B$16="demand-similar first",J403*100000,0))+W_SUB*B403+W_SEC*C403*(1-B403)+W_SIZE*D403+W_PROF*E403+W_AH*F403+W_REC*G403+W_CS*H403+W_PE*I403)))+ROW()/1000000</f>
        <v/>
      </c>
      <c r="AA403">
        <f>Database!B393</f>
        <v/>
      </c>
      <c r="AB403">
        <f>Database!D393</f>
        <v/>
      </c>
      <c r="AC403">
        <f>Database!E393</f>
        <v/>
      </c>
      <c r="AD403">
        <f>Database!I393</f>
        <v/>
      </c>
      <c r="AE403">
        <f>Database!BE393</f>
        <v/>
      </c>
      <c r="AF403">
        <f>Database!BK393</f>
        <v/>
      </c>
      <c r="AG403">
        <f>Database!H393</f>
        <v/>
      </c>
      <c r="AH403">
        <f>Database!BF393</f>
        <v/>
      </c>
    </row>
    <row r="404">
      <c r="A404">
        <f>Database!B404</f>
        <v/>
      </c>
      <c r="B404">
        <f>IF(AND(Screener!$D$8&lt;&gt;"",Database!$E404=Screener!$D$8),1,0)</f>
        <v/>
      </c>
      <c r="C404">
        <f>IF(AND(Screener!$D$7&lt;&gt;"",Database!$D404=Screener!$D$7),1,0)</f>
        <v/>
      </c>
      <c r="D404">
        <f>IF(OR(N(Database!$I404)&lt;=0,N(Screener!$D$9)&lt;=0),0,MAX(0,1-ABS(LOG10(N(Database!$I404)/Screener!$D$9))/W_SIZEHW))</f>
        <v/>
      </c>
      <c r="E404">
        <f>IF(OR(Database!$BE404="",Screener!$D$10=""),0,IF(Database!$BE404=Screener!$D$10,1,0))</f>
        <v/>
      </c>
      <c r="F404">
        <f>IF(OR(Database!$BK404="",Screener!$D$11=""),0,IF(Database!$BK404=Screener!$D$11,1,0))</f>
        <v/>
      </c>
      <c r="G404">
        <f>IF(OR(Database!$H404="",N(Screener!$D$12)&lt;=0),0,MAX(0,1-(N(Screener!$D$12)-Database!$H404)/W_RECD))</f>
        <v/>
      </c>
      <c r="H404">
        <f>IF($U$1="",0,N(ISNUMBER(SEARCH($U$1,Database!$Z404&amp;""))))+IF($V$1="",0,N(ISNUMBER(SEARCH($V$1,Database!$Z404&amp;""))))+IF($W$1="",0,N(ISNUMBER(SEARCH($W$1,Database!$Z404&amp;""))))+IF($X$1="",0,N(ISNUMBER(SEARCH($X$1,Database!$Z404&amp;""))))+IF($Y$1="",0,N(ISNUMBER(SEARCH($Y$1,Database!$Z404&amp;""))))+IF(Screener!$B$17="",0,N(ISNUMBER(SEARCH(LOWER(Screener!$B$17),Database!$Z404&amp;""))))</f>
        <v/>
      </c>
      <c r="I404">
        <f>IF(OR(N(Database!$BF404)&lt;=0,N(Screener!$D$13)&lt;=0),0,MAX(0,1-ABS(LOG10(N(Database!$BF404)/Screener!$D$13))/W_PEHW))</f>
        <v/>
      </c>
      <c r="J404">
        <f>IF(OR(N(Database!$S404)&lt;=0,N(Screener!$D$14)&lt;=0),0,MAX(0,1-ABS(LOG10(Database!$S404/Screener!$D$14))/0.6))</f>
        <v/>
      </c>
      <c r="K404">
        <f>IF(Database!$B404=Screener!$B$5,-999999,IF(ISNUMBER(SEARCH(","&amp;Database!$A404&amp;",",","&amp;SUBSTITUTE(Screener!$D$17," ","")&amp;",")),2000000,IF(IF(OR(Screener!$B$18="All",AND(Screener!$B$18="With A-share",(Database!$BK404="Y")),AND(Screener!$B$18="Without A-share",NOT((Database!$BK404="Y")))),1,0)=0,-999999,IF(Screener!$B$16="cornerstone overlap first",H404*100000,IF(Screener!$B$16="demand-similar first",J404*100000,0))+W_SUB*B404+W_SEC*C404*(1-B404)+W_SIZE*D404+W_PROF*E404+W_AH*F404+W_REC*G404+W_CS*H404+W_PE*I404)))+ROW()/1000000</f>
        <v/>
      </c>
      <c r="AA404">
        <f>Database!B394</f>
        <v/>
      </c>
      <c r="AB404">
        <f>Database!D394</f>
        <v/>
      </c>
      <c r="AC404">
        <f>Database!E394</f>
        <v/>
      </c>
      <c r="AD404">
        <f>Database!I394</f>
        <v/>
      </c>
      <c r="AE404">
        <f>Database!BE394</f>
        <v/>
      </c>
      <c r="AF404">
        <f>Database!BK394</f>
        <v/>
      </c>
      <c r="AG404">
        <f>Database!H394</f>
        <v/>
      </c>
      <c r="AH404">
        <f>Database!BF394</f>
        <v/>
      </c>
    </row>
    <row r="405">
      <c r="A405">
        <f>Database!B405</f>
        <v/>
      </c>
      <c r="B405">
        <f>IF(AND(Screener!$D$8&lt;&gt;"",Database!$E405=Screener!$D$8),1,0)</f>
        <v/>
      </c>
      <c r="C405">
        <f>IF(AND(Screener!$D$7&lt;&gt;"",Database!$D405=Screener!$D$7),1,0)</f>
        <v/>
      </c>
      <c r="D405">
        <f>IF(OR(N(Database!$I405)&lt;=0,N(Screener!$D$9)&lt;=0),0,MAX(0,1-ABS(LOG10(N(Database!$I405)/Screener!$D$9))/W_SIZEHW))</f>
        <v/>
      </c>
      <c r="E405">
        <f>IF(OR(Database!$BE405="",Screener!$D$10=""),0,IF(Database!$BE405=Screener!$D$10,1,0))</f>
        <v/>
      </c>
      <c r="F405">
        <f>IF(OR(Database!$BK405="",Screener!$D$11=""),0,IF(Database!$BK405=Screener!$D$11,1,0))</f>
        <v/>
      </c>
      <c r="G405">
        <f>IF(OR(Database!$H405="",N(Screener!$D$12)&lt;=0),0,MAX(0,1-(N(Screener!$D$12)-Database!$H405)/W_RECD))</f>
        <v/>
      </c>
      <c r="H405">
        <f>IF($U$1="",0,N(ISNUMBER(SEARCH($U$1,Database!$Z405&amp;""))))+IF($V$1="",0,N(ISNUMBER(SEARCH($V$1,Database!$Z405&amp;""))))+IF($W$1="",0,N(ISNUMBER(SEARCH($W$1,Database!$Z405&amp;""))))+IF($X$1="",0,N(ISNUMBER(SEARCH($X$1,Database!$Z405&amp;""))))+IF($Y$1="",0,N(ISNUMBER(SEARCH($Y$1,Database!$Z405&amp;""))))+IF(Screener!$B$17="",0,N(ISNUMBER(SEARCH(LOWER(Screener!$B$17),Database!$Z405&amp;""))))</f>
        <v/>
      </c>
      <c r="I405">
        <f>IF(OR(N(Database!$BF405)&lt;=0,N(Screener!$D$13)&lt;=0),0,MAX(0,1-ABS(LOG10(N(Database!$BF405)/Screener!$D$13))/W_PEHW))</f>
        <v/>
      </c>
      <c r="J405">
        <f>IF(OR(N(Database!$S405)&lt;=0,N(Screener!$D$14)&lt;=0),0,MAX(0,1-ABS(LOG10(Database!$S405/Screener!$D$14))/0.6))</f>
        <v/>
      </c>
      <c r="K405">
        <f>IF(Database!$B405=Screener!$B$5,-999999,IF(ISNUMBER(SEARCH(","&amp;Database!$A405&amp;",",","&amp;SUBSTITUTE(Screener!$D$17," ","")&amp;",")),2000000,IF(IF(OR(Screener!$B$18="All",AND(Screener!$B$18="With A-share",(Database!$BK405="Y")),AND(Screener!$B$18="Without A-share",NOT((Database!$BK405="Y")))),1,0)=0,-999999,IF(Screener!$B$16="cornerstone overlap first",H405*100000,IF(Screener!$B$16="demand-similar first",J405*100000,0))+W_SUB*B405+W_SEC*C405*(1-B405)+W_SIZE*D405+W_PROF*E405+W_AH*F405+W_REC*G405+W_CS*H405+W_PE*I405)))+ROW()/1000000</f>
        <v/>
      </c>
      <c r="AA405">
        <f>Database!B395</f>
        <v/>
      </c>
      <c r="AB405">
        <f>Database!D395</f>
        <v/>
      </c>
      <c r="AC405">
        <f>Database!E395</f>
        <v/>
      </c>
      <c r="AD405">
        <f>Database!I395</f>
        <v/>
      </c>
      <c r="AE405">
        <f>Database!BE395</f>
        <v/>
      </c>
      <c r="AF405">
        <f>Database!BK395</f>
        <v/>
      </c>
      <c r="AG405">
        <f>Database!H395</f>
        <v/>
      </c>
      <c r="AH405">
        <f>Database!BF395</f>
        <v/>
      </c>
    </row>
    <row r="406">
      <c r="A406">
        <f>Database!B406</f>
        <v/>
      </c>
      <c r="B406">
        <f>IF(AND(Screener!$D$8&lt;&gt;"",Database!$E406=Screener!$D$8),1,0)</f>
        <v/>
      </c>
      <c r="C406">
        <f>IF(AND(Screener!$D$7&lt;&gt;"",Database!$D406=Screener!$D$7),1,0)</f>
        <v/>
      </c>
      <c r="D406">
        <f>IF(OR(N(Database!$I406)&lt;=0,N(Screener!$D$9)&lt;=0),0,MAX(0,1-ABS(LOG10(N(Database!$I406)/Screener!$D$9))/W_SIZEHW))</f>
        <v/>
      </c>
      <c r="E406">
        <f>IF(OR(Database!$BE406="",Screener!$D$10=""),0,IF(Database!$BE406=Screener!$D$10,1,0))</f>
        <v/>
      </c>
      <c r="F406">
        <f>IF(OR(Database!$BK406="",Screener!$D$11=""),0,IF(Database!$BK406=Screener!$D$11,1,0))</f>
        <v/>
      </c>
      <c r="G406">
        <f>IF(OR(Database!$H406="",N(Screener!$D$12)&lt;=0),0,MAX(0,1-(N(Screener!$D$12)-Database!$H406)/W_RECD))</f>
        <v/>
      </c>
      <c r="H406">
        <f>IF($U$1="",0,N(ISNUMBER(SEARCH($U$1,Database!$Z406&amp;""))))+IF($V$1="",0,N(ISNUMBER(SEARCH($V$1,Database!$Z406&amp;""))))+IF($W$1="",0,N(ISNUMBER(SEARCH($W$1,Database!$Z406&amp;""))))+IF($X$1="",0,N(ISNUMBER(SEARCH($X$1,Database!$Z406&amp;""))))+IF($Y$1="",0,N(ISNUMBER(SEARCH($Y$1,Database!$Z406&amp;""))))+IF(Screener!$B$17="",0,N(ISNUMBER(SEARCH(LOWER(Screener!$B$17),Database!$Z406&amp;""))))</f>
        <v/>
      </c>
      <c r="I406">
        <f>IF(OR(N(Database!$BF406)&lt;=0,N(Screener!$D$13)&lt;=0),0,MAX(0,1-ABS(LOG10(N(Database!$BF406)/Screener!$D$13))/W_PEHW))</f>
        <v/>
      </c>
      <c r="J406">
        <f>IF(OR(N(Database!$S406)&lt;=0,N(Screener!$D$14)&lt;=0),0,MAX(0,1-ABS(LOG10(Database!$S406/Screener!$D$14))/0.6))</f>
        <v/>
      </c>
      <c r="K406">
        <f>IF(Database!$B406=Screener!$B$5,-999999,IF(ISNUMBER(SEARCH(","&amp;Database!$A406&amp;",",","&amp;SUBSTITUTE(Screener!$D$17," ","")&amp;",")),2000000,IF(IF(OR(Screener!$B$18="All",AND(Screener!$B$18="With A-share",(Database!$BK406="Y")),AND(Screener!$B$18="Without A-share",NOT((Database!$BK406="Y")))),1,0)=0,-999999,IF(Screener!$B$16="cornerstone overlap first",H406*100000,IF(Screener!$B$16="demand-similar first",J406*100000,0))+W_SUB*B406+W_SEC*C406*(1-B406)+W_SIZE*D406+W_PROF*E406+W_AH*F406+W_REC*G406+W_CS*H406+W_PE*I406)))+ROW()/1000000</f>
        <v/>
      </c>
      <c r="AA406">
        <f>Database!B396</f>
        <v/>
      </c>
      <c r="AB406">
        <f>Database!D396</f>
        <v/>
      </c>
      <c r="AC406">
        <f>Database!E396</f>
        <v/>
      </c>
      <c r="AD406">
        <f>Database!I396</f>
        <v/>
      </c>
      <c r="AE406">
        <f>Database!BE396</f>
        <v/>
      </c>
      <c r="AF406">
        <f>Database!BK396</f>
        <v/>
      </c>
      <c r="AG406">
        <f>Database!H396</f>
        <v/>
      </c>
      <c r="AH406">
        <f>Database!BF396</f>
        <v/>
      </c>
    </row>
    <row r="407">
      <c r="A407">
        <f>Database!B407</f>
        <v/>
      </c>
      <c r="B407">
        <f>IF(AND(Screener!$D$8&lt;&gt;"",Database!$E407=Screener!$D$8),1,0)</f>
        <v/>
      </c>
      <c r="C407">
        <f>IF(AND(Screener!$D$7&lt;&gt;"",Database!$D407=Screener!$D$7),1,0)</f>
        <v/>
      </c>
      <c r="D407">
        <f>IF(OR(N(Database!$I407)&lt;=0,N(Screener!$D$9)&lt;=0),0,MAX(0,1-ABS(LOG10(N(Database!$I407)/Screener!$D$9))/W_SIZEHW))</f>
        <v/>
      </c>
      <c r="E407">
        <f>IF(OR(Database!$BE407="",Screener!$D$10=""),0,IF(Database!$BE407=Screener!$D$10,1,0))</f>
        <v/>
      </c>
      <c r="F407">
        <f>IF(OR(Database!$BK407="",Screener!$D$11=""),0,IF(Database!$BK407=Screener!$D$11,1,0))</f>
        <v/>
      </c>
      <c r="G407">
        <f>IF(OR(Database!$H407="",N(Screener!$D$12)&lt;=0),0,MAX(0,1-(N(Screener!$D$12)-Database!$H407)/W_RECD))</f>
        <v/>
      </c>
      <c r="H407">
        <f>IF($U$1="",0,N(ISNUMBER(SEARCH($U$1,Database!$Z407&amp;""))))+IF($V$1="",0,N(ISNUMBER(SEARCH($V$1,Database!$Z407&amp;""))))+IF($W$1="",0,N(ISNUMBER(SEARCH($W$1,Database!$Z407&amp;""))))+IF($X$1="",0,N(ISNUMBER(SEARCH($X$1,Database!$Z407&amp;""))))+IF($Y$1="",0,N(ISNUMBER(SEARCH($Y$1,Database!$Z407&amp;""))))+IF(Screener!$B$17="",0,N(ISNUMBER(SEARCH(LOWER(Screener!$B$17),Database!$Z407&amp;""))))</f>
        <v/>
      </c>
      <c r="I407">
        <f>IF(OR(N(Database!$BF407)&lt;=0,N(Screener!$D$13)&lt;=0),0,MAX(0,1-ABS(LOG10(N(Database!$BF407)/Screener!$D$13))/W_PEHW))</f>
        <v/>
      </c>
      <c r="J407">
        <f>IF(OR(N(Database!$S407)&lt;=0,N(Screener!$D$14)&lt;=0),0,MAX(0,1-ABS(LOG10(Database!$S407/Screener!$D$14))/0.6))</f>
        <v/>
      </c>
      <c r="K407">
        <f>IF(Database!$B407=Screener!$B$5,-999999,IF(ISNUMBER(SEARCH(","&amp;Database!$A407&amp;",",","&amp;SUBSTITUTE(Screener!$D$17," ","")&amp;",")),2000000,IF(IF(OR(Screener!$B$18="All",AND(Screener!$B$18="With A-share",(Database!$BK407="Y")),AND(Screener!$B$18="Without A-share",NOT((Database!$BK407="Y")))),1,0)=0,-999999,IF(Screener!$B$16="cornerstone overlap first",H407*100000,IF(Screener!$B$16="demand-similar first",J407*100000,0))+W_SUB*B407+W_SEC*C407*(1-B407)+W_SIZE*D407+W_PROF*E407+W_AH*F407+W_REC*G407+W_CS*H407+W_PE*I407)))+ROW()/1000000</f>
        <v/>
      </c>
      <c r="AA407">
        <f>Database!B397</f>
        <v/>
      </c>
      <c r="AB407">
        <f>Database!D397</f>
        <v/>
      </c>
      <c r="AC407">
        <f>Database!E397</f>
        <v/>
      </c>
      <c r="AD407">
        <f>Database!I397</f>
        <v/>
      </c>
      <c r="AE407">
        <f>Database!BE397</f>
        <v/>
      </c>
      <c r="AF407">
        <f>Database!BK397</f>
        <v/>
      </c>
      <c r="AG407">
        <f>Database!H397</f>
        <v/>
      </c>
      <c r="AH407">
        <f>Database!BF397</f>
        <v/>
      </c>
    </row>
    <row r="408">
      <c r="A408">
        <f>Database!B408</f>
        <v/>
      </c>
      <c r="B408">
        <f>IF(AND(Screener!$D$8&lt;&gt;"",Database!$E408=Screener!$D$8),1,0)</f>
        <v/>
      </c>
      <c r="C408">
        <f>IF(AND(Screener!$D$7&lt;&gt;"",Database!$D408=Screener!$D$7),1,0)</f>
        <v/>
      </c>
      <c r="D408">
        <f>IF(OR(N(Database!$I408)&lt;=0,N(Screener!$D$9)&lt;=0),0,MAX(0,1-ABS(LOG10(N(Database!$I408)/Screener!$D$9))/W_SIZEHW))</f>
        <v/>
      </c>
      <c r="E408">
        <f>IF(OR(Database!$BE408="",Screener!$D$10=""),0,IF(Database!$BE408=Screener!$D$10,1,0))</f>
        <v/>
      </c>
      <c r="F408">
        <f>IF(OR(Database!$BK408="",Screener!$D$11=""),0,IF(Database!$BK408=Screener!$D$11,1,0))</f>
        <v/>
      </c>
      <c r="G408">
        <f>IF(OR(Database!$H408="",N(Screener!$D$12)&lt;=0),0,MAX(0,1-(N(Screener!$D$12)-Database!$H408)/W_RECD))</f>
        <v/>
      </c>
      <c r="H408">
        <f>IF($U$1="",0,N(ISNUMBER(SEARCH($U$1,Database!$Z408&amp;""))))+IF($V$1="",0,N(ISNUMBER(SEARCH($V$1,Database!$Z408&amp;""))))+IF($W$1="",0,N(ISNUMBER(SEARCH($W$1,Database!$Z408&amp;""))))+IF($X$1="",0,N(ISNUMBER(SEARCH($X$1,Database!$Z408&amp;""))))+IF($Y$1="",0,N(ISNUMBER(SEARCH($Y$1,Database!$Z408&amp;""))))+IF(Screener!$B$17="",0,N(ISNUMBER(SEARCH(LOWER(Screener!$B$17),Database!$Z408&amp;""))))</f>
        <v/>
      </c>
      <c r="I408">
        <f>IF(OR(N(Database!$BF408)&lt;=0,N(Screener!$D$13)&lt;=0),0,MAX(0,1-ABS(LOG10(N(Database!$BF408)/Screener!$D$13))/W_PEHW))</f>
        <v/>
      </c>
      <c r="J408">
        <f>IF(OR(N(Database!$S408)&lt;=0,N(Screener!$D$14)&lt;=0),0,MAX(0,1-ABS(LOG10(Database!$S408/Screener!$D$14))/0.6))</f>
        <v/>
      </c>
      <c r="K408">
        <f>IF(Database!$B408=Screener!$B$5,-999999,IF(ISNUMBER(SEARCH(","&amp;Database!$A408&amp;",",","&amp;SUBSTITUTE(Screener!$D$17," ","")&amp;",")),2000000,IF(IF(OR(Screener!$B$18="All",AND(Screener!$B$18="With A-share",(Database!$BK408="Y")),AND(Screener!$B$18="Without A-share",NOT((Database!$BK408="Y")))),1,0)=0,-999999,IF(Screener!$B$16="cornerstone overlap first",H408*100000,IF(Screener!$B$16="demand-similar first",J408*100000,0))+W_SUB*B408+W_SEC*C408*(1-B408)+W_SIZE*D408+W_PROF*E408+W_AH*F408+W_REC*G408+W_CS*H408+W_PE*I408)))+ROW()/1000000</f>
        <v/>
      </c>
      <c r="AA408">
        <f>Database!B398</f>
        <v/>
      </c>
      <c r="AB408">
        <f>Database!D398</f>
        <v/>
      </c>
      <c r="AC408">
        <f>Database!E398</f>
        <v/>
      </c>
      <c r="AD408">
        <f>Database!I398</f>
        <v/>
      </c>
      <c r="AE408">
        <f>Database!BE398</f>
        <v/>
      </c>
      <c r="AF408">
        <f>Database!BK398</f>
        <v/>
      </c>
      <c r="AG408">
        <f>Database!H398</f>
        <v/>
      </c>
      <c r="AH408">
        <f>Database!BF398</f>
        <v/>
      </c>
    </row>
    <row r="409">
      <c r="A409">
        <f>Database!B409</f>
        <v/>
      </c>
      <c r="B409">
        <f>IF(AND(Screener!$D$8&lt;&gt;"",Database!$E409=Screener!$D$8),1,0)</f>
        <v/>
      </c>
      <c r="C409">
        <f>IF(AND(Screener!$D$7&lt;&gt;"",Database!$D409=Screener!$D$7),1,0)</f>
        <v/>
      </c>
      <c r="D409">
        <f>IF(OR(N(Database!$I409)&lt;=0,N(Screener!$D$9)&lt;=0),0,MAX(0,1-ABS(LOG10(N(Database!$I409)/Screener!$D$9))/W_SIZEHW))</f>
        <v/>
      </c>
      <c r="E409">
        <f>IF(OR(Database!$BE409="",Screener!$D$10=""),0,IF(Database!$BE409=Screener!$D$10,1,0))</f>
        <v/>
      </c>
      <c r="F409">
        <f>IF(OR(Database!$BK409="",Screener!$D$11=""),0,IF(Database!$BK409=Screener!$D$11,1,0))</f>
        <v/>
      </c>
      <c r="G409">
        <f>IF(OR(Database!$H409="",N(Screener!$D$12)&lt;=0),0,MAX(0,1-(N(Screener!$D$12)-Database!$H409)/W_RECD))</f>
        <v/>
      </c>
      <c r="H409">
        <f>IF($U$1="",0,N(ISNUMBER(SEARCH($U$1,Database!$Z409&amp;""))))+IF($V$1="",0,N(ISNUMBER(SEARCH($V$1,Database!$Z409&amp;""))))+IF($W$1="",0,N(ISNUMBER(SEARCH($W$1,Database!$Z409&amp;""))))+IF($X$1="",0,N(ISNUMBER(SEARCH($X$1,Database!$Z409&amp;""))))+IF($Y$1="",0,N(ISNUMBER(SEARCH($Y$1,Database!$Z409&amp;""))))+IF(Screener!$B$17="",0,N(ISNUMBER(SEARCH(LOWER(Screener!$B$17),Database!$Z409&amp;""))))</f>
        <v/>
      </c>
      <c r="I409">
        <f>IF(OR(N(Database!$BF409)&lt;=0,N(Screener!$D$13)&lt;=0),0,MAX(0,1-ABS(LOG10(N(Database!$BF409)/Screener!$D$13))/W_PEHW))</f>
        <v/>
      </c>
      <c r="J409">
        <f>IF(OR(N(Database!$S409)&lt;=0,N(Screener!$D$14)&lt;=0),0,MAX(0,1-ABS(LOG10(Database!$S409/Screener!$D$14))/0.6))</f>
        <v/>
      </c>
      <c r="K409">
        <f>IF(Database!$B409=Screener!$B$5,-999999,IF(ISNUMBER(SEARCH(","&amp;Database!$A409&amp;",",","&amp;SUBSTITUTE(Screener!$D$17," ","")&amp;",")),2000000,IF(IF(OR(Screener!$B$18="All",AND(Screener!$B$18="With A-share",(Database!$BK409="Y")),AND(Screener!$B$18="Without A-share",NOT((Database!$BK409="Y")))),1,0)=0,-999999,IF(Screener!$B$16="cornerstone overlap first",H409*100000,IF(Screener!$B$16="demand-similar first",J409*100000,0))+W_SUB*B409+W_SEC*C409*(1-B409)+W_SIZE*D409+W_PROF*E409+W_AH*F409+W_REC*G409+W_CS*H409+W_PE*I409)))+ROW()/1000000</f>
        <v/>
      </c>
      <c r="AA409">
        <f>Database!B399</f>
        <v/>
      </c>
      <c r="AB409">
        <f>Database!D399</f>
        <v/>
      </c>
      <c r="AC409">
        <f>Database!E399</f>
        <v/>
      </c>
      <c r="AD409">
        <f>Database!I399</f>
        <v/>
      </c>
      <c r="AE409">
        <f>Database!BE399</f>
        <v/>
      </c>
      <c r="AF409">
        <f>Database!BK399</f>
        <v/>
      </c>
      <c r="AG409">
        <f>Database!H399</f>
        <v/>
      </c>
      <c r="AH409">
        <f>Database!BF399</f>
        <v/>
      </c>
    </row>
    <row r="410">
      <c r="A410">
        <f>Database!B410</f>
        <v/>
      </c>
      <c r="B410">
        <f>IF(AND(Screener!$D$8&lt;&gt;"",Database!$E410=Screener!$D$8),1,0)</f>
        <v/>
      </c>
      <c r="C410">
        <f>IF(AND(Screener!$D$7&lt;&gt;"",Database!$D410=Screener!$D$7),1,0)</f>
        <v/>
      </c>
      <c r="D410">
        <f>IF(OR(N(Database!$I410)&lt;=0,N(Screener!$D$9)&lt;=0),0,MAX(0,1-ABS(LOG10(N(Database!$I410)/Screener!$D$9))/W_SIZEHW))</f>
        <v/>
      </c>
      <c r="E410">
        <f>IF(OR(Database!$BE410="",Screener!$D$10=""),0,IF(Database!$BE410=Screener!$D$10,1,0))</f>
        <v/>
      </c>
      <c r="F410">
        <f>IF(OR(Database!$BK410="",Screener!$D$11=""),0,IF(Database!$BK410=Screener!$D$11,1,0))</f>
        <v/>
      </c>
      <c r="G410">
        <f>IF(OR(Database!$H410="",N(Screener!$D$12)&lt;=0),0,MAX(0,1-(N(Screener!$D$12)-Database!$H410)/W_RECD))</f>
        <v/>
      </c>
      <c r="H410">
        <f>IF($U$1="",0,N(ISNUMBER(SEARCH($U$1,Database!$Z410&amp;""))))+IF($V$1="",0,N(ISNUMBER(SEARCH($V$1,Database!$Z410&amp;""))))+IF($W$1="",0,N(ISNUMBER(SEARCH($W$1,Database!$Z410&amp;""))))+IF($X$1="",0,N(ISNUMBER(SEARCH($X$1,Database!$Z410&amp;""))))+IF($Y$1="",0,N(ISNUMBER(SEARCH($Y$1,Database!$Z410&amp;""))))+IF(Screener!$B$17="",0,N(ISNUMBER(SEARCH(LOWER(Screener!$B$17),Database!$Z410&amp;""))))</f>
        <v/>
      </c>
      <c r="I410">
        <f>IF(OR(N(Database!$BF410)&lt;=0,N(Screener!$D$13)&lt;=0),0,MAX(0,1-ABS(LOG10(N(Database!$BF410)/Screener!$D$13))/W_PEHW))</f>
        <v/>
      </c>
      <c r="J410">
        <f>IF(OR(N(Database!$S410)&lt;=0,N(Screener!$D$14)&lt;=0),0,MAX(0,1-ABS(LOG10(Database!$S410/Screener!$D$14))/0.6))</f>
        <v/>
      </c>
      <c r="K410">
        <f>IF(Database!$B410=Screener!$B$5,-999999,IF(ISNUMBER(SEARCH(","&amp;Database!$A410&amp;",",","&amp;SUBSTITUTE(Screener!$D$17," ","")&amp;",")),2000000,IF(IF(OR(Screener!$B$18="All",AND(Screener!$B$18="With A-share",(Database!$BK410="Y")),AND(Screener!$B$18="Without A-share",NOT((Database!$BK410="Y")))),1,0)=0,-999999,IF(Screener!$B$16="cornerstone overlap first",H410*100000,IF(Screener!$B$16="demand-similar first",J410*100000,0))+W_SUB*B410+W_SEC*C410*(1-B410)+W_SIZE*D410+W_PROF*E410+W_AH*F410+W_REC*G410+W_CS*H410+W_PE*I410)))+ROW()/1000000</f>
        <v/>
      </c>
      <c r="AA410">
        <f>Database!B400</f>
        <v/>
      </c>
      <c r="AB410">
        <f>Database!D400</f>
        <v/>
      </c>
      <c r="AC410">
        <f>Database!E400</f>
        <v/>
      </c>
      <c r="AD410">
        <f>Database!I400</f>
        <v/>
      </c>
      <c r="AE410">
        <f>Database!BE400</f>
        <v/>
      </c>
      <c r="AF410">
        <f>Database!BK400</f>
        <v/>
      </c>
      <c r="AG410">
        <f>Database!H400</f>
        <v/>
      </c>
      <c r="AH410">
        <f>Database!BF400</f>
        <v/>
      </c>
    </row>
    <row r="411">
      <c r="A411">
        <f>Database!B411</f>
        <v/>
      </c>
      <c r="B411">
        <f>IF(AND(Screener!$D$8&lt;&gt;"",Database!$E411=Screener!$D$8),1,0)</f>
        <v/>
      </c>
      <c r="C411">
        <f>IF(AND(Screener!$D$7&lt;&gt;"",Database!$D411=Screener!$D$7),1,0)</f>
        <v/>
      </c>
      <c r="D411">
        <f>IF(OR(N(Database!$I411)&lt;=0,N(Screener!$D$9)&lt;=0),0,MAX(0,1-ABS(LOG10(N(Database!$I411)/Screener!$D$9))/W_SIZEHW))</f>
        <v/>
      </c>
      <c r="E411">
        <f>IF(OR(Database!$BE411="",Screener!$D$10=""),0,IF(Database!$BE411=Screener!$D$10,1,0))</f>
        <v/>
      </c>
      <c r="F411">
        <f>IF(OR(Database!$BK411="",Screener!$D$11=""),0,IF(Database!$BK411=Screener!$D$11,1,0))</f>
        <v/>
      </c>
      <c r="G411">
        <f>IF(OR(Database!$H411="",N(Screener!$D$12)&lt;=0),0,MAX(0,1-(N(Screener!$D$12)-Database!$H411)/W_RECD))</f>
        <v/>
      </c>
      <c r="H411">
        <f>IF($U$1="",0,N(ISNUMBER(SEARCH($U$1,Database!$Z411&amp;""))))+IF($V$1="",0,N(ISNUMBER(SEARCH($V$1,Database!$Z411&amp;""))))+IF($W$1="",0,N(ISNUMBER(SEARCH($W$1,Database!$Z411&amp;""))))+IF($X$1="",0,N(ISNUMBER(SEARCH($X$1,Database!$Z411&amp;""))))+IF($Y$1="",0,N(ISNUMBER(SEARCH($Y$1,Database!$Z411&amp;""))))+IF(Screener!$B$17="",0,N(ISNUMBER(SEARCH(LOWER(Screener!$B$17),Database!$Z411&amp;""))))</f>
        <v/>
      </c>
      <c r="I411">
        <f>IF(OR(N(Database!$BF411)&lt;=0,N(Screener!$D$13)&lt;=0),0,MAX(0,1-ABS(LOG10(N(Database!$BF411)/Screener!$D$13))/W_PEHW))</f>
        <v/>
      </c>
      <c r="J411">
        <f>IF(OR(N(Database!$S411)&lt;=0,N(Screener!$D$14)&lt;=0),0,MAX(0,1-ABS(LOG10(Database!$S411/Screener!$D$14))/0.6))</f>
        <v/>
      </c>
      <c r="K411">
        <f>IF(Database!$B411=Screener!$B$5,-999999,IF(ISNUMBER(SEARCH(","&amp;Database!$A411&amp;",",","&amp;SUBSTITUTE(Screener!$D$17," ","")&amp;",")),2000000,IF(IF(OR(Screener!$B$18="All",AND(Screener!$B$18="With A-share",(Database!$BK411="Y")),AND(Screener!$B$18="Without A-share",NOT((Database!$BK411="Y")))),1,0)=0,-999999,IF(Screener!$B$16="cornerstone overlap first",H411*100000,IF(Screener!$B$16="demand-similar first",J411*100000,0))+W_SUB*B411+W_SEC*C411*(1-B411)+W_SIZE*D411+W_PROF*E411+W_AH*F411+W_REC*G411+W_CS*H411+W_PE*I411)))+ROW()/1000000</f>
        <v/>
      </c>
      <c r="AA411">
        <f>Database!B401</f>
        <v/>
      </c>
      <c r="AB411">
        <f>Database!D401</f>
        <v/>
      </c>
      <c r="AC411">
        <f>Database!E401</f>
        <v/>
      </c>
      <c r="AD411">
        <f>Database!I401</f>
        <v/>
      </c>
      <c r="AE411">
        <f>Database!BE401</f>
        <v/>
      </c>
      <c r="AF411">
        <f>Database!BK401</f>
        <v/>
      </c>
      <c r="AG411">
        <f>Database!H401</f>
        <v/>
      </c>
      <c r="AH411">
        <f>Database!BF401</f>
        <v/>
      </c>
    </row>
    <row r="412">
      <c r="A412">
        <f>Database!B412</f>
        <v/>
      </c>
      <c r="B412">
        <f>IF(AND(Screener!$D$8&lt;&gt;"",Database!$E412=Screener!$D$8),1,0)</f>
        <v/>
      </c>
      <c r="C412">
        <f>IF(AND(Screener!$D$7&lt;&gt;"",Database!$D412=Screener!$D$7),1,0)</f>
        <v/>
      </c>
      <c r="D412">
        <f>IF(OR(N(Database!$I412)&lt;=0,N(Screener!$D$9)&lt;=0),0,MAX(0,1-ABS(LOG10(N(Database!$I412)/Screener!$D$9))/W_SIZEHW))</f>
        <v/>
      </c>
      <c r="E412">
        <f>IF(OR(Database!$BE412="",Screener!$D$10=""),0,IF(Database!$BE412=Screener!$D$10,1,0))</f>
        <v/>
      </c>
      <c r="F412">
        <f>IF(OR(Database!$BK412="",Screener!$D$11=""),0,IF(Database!$BK412=Screener!$D$11,1,0))</f>
        <v/>
      </c>
      <c r="G412">
        <f>IF(OR(Database!$H412="",N(Screener!$D$12)&lt;=0),0,MAX(0,1-(N(Screener!$D$12)-Database!$H412)/W_RECD))</f>
        <v/>
      </c>
      <c r="H412">
        <f>IF($U$1="",0,N(ISNUMBER(SEARCH($U$1,Database!$Z412&amp;""))))+IF($V$1="",0,N(ISNUMBER(SEARCH($V$1,Database!$Z412&amp;""))))+IF($W$1="",0,N(ISNUMBER(SEARCH($W$1,Database!$Z412&amp;""))))+IF($X$1="",0,N(ISNUMBER(SEARCH($X$1,Database!$Z412&amp;""))))+IF($Y$1="",0,N(ISNUMBER(SEARCH($Y$1,Database!$Z412&amp;""))))+IF(Screener!$B$17="",0,N(ISNUMBER(SEARCH(LOWER(Screener!$B$17),Database!$Z412&amp;""))))</f>
        <v/>
      </c>
      <c r="I412">
        <f>IF(OR(N(Database!$BF412)&lt;=0,N(Screener!$D$13)&lt;=0),0,MAX(0,1-ABS(LOG10(N(Database!$BF412)/Screener!$D$13))/W_PEHW))</f>
        <v/>
      </c>
      <c r="J412">
        <f>IF(OR(N(Database!$S412)&lt;=0,N(Screener!$D$14)&lt;=0),0,MAX(0,1-ABS(LOG10(Database!$S412/Screener!$D$14))/0.6))</f>
        <v/>
      </c>
      <c r="K412">
        <f>IF(Database!$B412=Screener!$B$5,-999999,IF(ISNUMBER(SEARCH(","&amp;Database!$A412&amp;",",","&amp;SUBSTITUTE(Screener!$D$17," ","")&amp;",")),2000000,IF(IF(OR(Screener!$B$18="All",AND(Screener!$B$18="With A-share",(Database!$BK412="Y")),AND(Screener!$B$18="Without A-share",NOT((Database!$BK412="Y")))),1,0)=0,-999999,IF(Screener!$B$16="cornerstone overlap first",H412*100000,IF(Screener!$B$16="demand-similar first",J412*100000,0))+W_SUB*B412+W_SEC*C412*(1-B412)+W_SIZE*D412+W_PROF*E412+W_AH*F412+W_REC*G412+W_CS*H412+W_PE*I412)))+ROW()/1000000</f>
        <v/>
      </c>
      <c r="AA412">
        <f>Database!B402</f>
        <v/>
      </c>
      <c r="AB412">
        <f>Database!D402</f>
        <v/>
      </c>
      <c r="AC412">
        <f>Database!E402</f>
        <v/>
      </c>
      <c r="AD412">
        <f>Database!I402</f>
        <v/>
      </c>
      <c r="AE412">
        <f>Database!BE402</f>
        <v/>
      </c>
      <c r="AF412">
        <f>Database!BK402</f>
        <v/>
      </c>
      <c r="AG412">
        <f>Database!H402</f>
        <v/>
      </c>
      <c r="AH412">
        <f>Database!BF402</f>
        <v/>
      </c>
    </row>
    <row r="413">
      <c r="A413">
        <f>Database!B413</f>
        <v/>
      </c>
      <c r="B413">
        <f>IF(AND(Screener!$D$8&lt;&gt;"",Database!$E413=Screener!$D$8),1,0)</f>
        <v/>
      </c>
      <c r="C413">
        <f>IF(AND(Screener!$D$7&lt;&gt;"",Database!$D413=Screener!$D$7),1,0)</f>
        <v/>
      </c>
      <c r="D413">
        <f>IF(OR(N(Database!$I413)&lt;=0,N(Screener!$D$9)&lt;=0),0,MAX(0,1-ABS(LOG10(N(Database!$I413)/Screener!$D$9))/W_SIZEHW))</f>
        <v/>
      </c>
      <c r="E413">
        <f>IF(OR(Database!$BE413="",Screener!$D$10=""),0,IF(Database!$BE413=Screener!$D$10,1,0))</f>
        <v/>
      </c>
      <c r="F413">
        <f>IF(OR(Database!$BK413="",Screener!$D$11=""),0,IF(Database!$BK413=Screener!$D$11,1,0))</f>
        <v/>
      </c>
      <c r="G413">
        <f>IF(OR(Database!$H413="",N(Screener!$D$12)&lt;=0),0,MAX(0,1-(N(Screener!$D$12)-Database!$H413)/W_RECD))</f>
        <v/>
      </c>
      <c r="H413">
        <f>IF($U$1="",0,N(ISNUMBER(SEARCH($U$1,Database!$Z413&amp;""))))+IF($V$1="",0,N(ISNUMBER(SEARCH($V$1,Database!$Z413&amp;""))))+IF($W$1="",0,N(ISNUMBER(SEARCH($W$1,Database!$Z413&amp;""))))+IF($X$1="",0,N(ISNUMBER(SEARCH($X$1,Database!$Z413&amp;""))))+IF($Y$1="",0,N(ISNUMBER(SEARCH($Y$1,Database!$Z413&amp;""))))+IF(Screener!$B$17="",0,N(ISNUMBER(SEARCH(LOWER(Screener!$B$17),Database!$Z413&amp;""))))</f>
        <v/>
      </c>
      <c r="I413">
        <f>IF(OR(N(Database!$BF413)&lt;=0,N(Screener!$D$13)&lt;=0),0,MAX(0,1-ABS(LOG10(N(Database!$BF413)/Screener!$D$13))/W_PEHW))</f>
        <v/>
      </c>
      <c r="J413">
        <f>IF(OR(N(Database!$S413)&lt;=0,N(Screener!$D$14)&lt;=0),0,MAX(0,1-ABS(LOG10(Database!$S413/Screener!$D$14))/0.6))</f>
        <v/>
      </c>
      <c r="K413">
        <f>IF(Database!$B413=Screener!$B$5,-999999,IF(ISNUMBER(SEARCH(","&amp;Database!$A413&amp;",",","&amp;SUBSTITUTE(Screener!$D$17," ","")&amp;",")),2000000,IF(IF(OR(Screener!$B$18="All",AND(Screener!$B$18="With A-share",(Database!$BK413="Y")),AND(Screener!$B$18="Without A-share",NOT((Database!$BK413="Y")))),1,0)=0,-999999,IF(Screener!$B$16="cornerstone overlap first",H413*100000,IF(Screener!$B$16="demand-similar first",J413*100000,0))+W_SUB*B413+W_SEC*C413*(1-B413)+W_SIZE*D413+W_PROF*E413+W_AH*F413+W_REC*G413+W_CS*H413+W_PE*I413)))+ROW()/1000000</f>
        <v/>
      </c>
      <c r="AA413">
        <f>Database!B403</f>
        <v/>
      </c>
      <c r="AB413">
        <f>Database!D403</f>
        <v/>
      </c>
      <c r="AC413">
        <f>Database!E403</f>
        <v/>
      </c>
      <c r="AD413">
        <f>Database!I403</f>
        <v/>
      </c>
      <c r="AE413">
        <f>Database!BE403</f>
        <v/>
      </c>
      <c r="AF413">
        <f>Database!BK403</f>
        <v/>
      </c>
      <c r="AG413">
        <f>Database!H403</f>
        <v/>
      </c>
      <c r="AH413">
        <f>Database!BF403</f>
        <v/>
      </c>
    </row>
    <row r="414">
      <c r="A414">
        <f>Database!B414</f>
        <v/>
      </c>
      <c r="B414">
        <f>IF(AND(Screener!$D$8&lt;&gt;"",Database!$E414=Screener!$D$8),1,0)</f>
        <v/>
      </c>
      <c r="C414">
        <f>IF(AND(Screener!$D$7&lt;&gt;"",Database!$D414=Screener!$D$7),1,0)</f>
        <v/>
      </c>
      <c r="D414">
        <f>IF(OR(N(Database!$I414)&lt;=0,N(Screener!$D$9)&lt;=0),0,MAX(0,1-ABS(LOG10(N(Database!$I414)/Screener!$D$9))/W_SIZEHW))</f>
        <v/>
      </c>
      <c r="E414">
        <f>IF(OR(Database!$BE414="",Screener!$D$10=""),0,IF(Database!$BE414=Screener!$D$10,1,0))</f>
        <v/>
      </c>
      <c r="F414">
        <f>IF(OR(Database!$BK414="",Screener!$D$11=""),0,IF(Database!$BK414=Screener!$D$11,1,0))</f>
        <v/>
      </c>
      <c r="G414">
        <f>IF(OR(Database!$H414="",N(Screener!$D$12)&lt;=0),0,MAX(0,1-(N(Screener!$D$12)-Database!$H414)/W_RECD))</f>
        <v/>
      </c>
      <c r="H414">
        <f>IF($U$1="",0,N(ISNUMBER(SEARCH($U$1,Database!$Z414&amp;""))))+IF($V$1="",0,N(ISNUMBER(SEARCH($V$1,Database!$Z414&amp;""))))+IF($W$1="",0,N(ISNUMBER(SEARCH($W$1,Database!$Z414&amp;""))))+IF($X$1="",0,N(ISNUMBER(SEARCH($X$1,Database!$Z414&amp;""))))+IF($Y$1="",0,N(ISNUMBER(SEARCH($Y$1,Database!$Z414&amp;""))))+IF(Screener!$B$17="",0,N(ISNUMBER(SEARCH(LOWER(Screener!$B$17),Database!$Z414&amp;""))))</f>
        <v/>
      </c>
      <c r="I414">
        <f>IF(OR(N(Database!$BF414)&lt;=0,N(Screener!$D$13)&lt;=0),0,MAX(0,1-ABS(LOG10(N(Database!$BF414)/Screener!$D$13))/W_PEHW))</f>
        <v/>
      </c>
      <c r="J414">
        <f>IF(OR(N(Database!$S414)&lt;=0,N(Screener!$D$14)&lt;=0),0,MAX(0,1-ABS(LOG10(Database!$S414/Screener!$D$14))/0.6))</f>
        <v/>
      </c>
      <c r="K414">
        <f>IF(Database!$B414=Screener!$B$5,-999999,IF(ISNUMBER(SEARCH(","&amp;Database!$A414&amp;",",","&amp;SUBSTITUTE(Screener!$D$17," ","")&amp;",")),2000000,IF(IF(OR(Screener!$B$18="All",AND(Screener!$B$18="With A-share",(Database!$BK414="Y")),AND(Screener!$B$18="Without A-share",NOT((Database!$BK414="Y")))),1,0)=0,-999999,IF(Screener!$B$16="cornerstone overlap first",H414*100000,IF(Screener!$B$16="demand-similar first",J414*100000,0))+W_SUB*B414+W_SEC*C414*(1-B414)+W_SIZE*D414+W_PROF*E414+W_AH*F414+W_REC*G414+W_CS*H414+W_PE*I414)))+ROW()/1000000</f>
        <v/>
      </c>
      <c r="AA414">
        <f>Database!B404</f>
        <v/>
      </c>
      <c r="AB414">
        <f>Database!D404</f>
        <v/>
      </c>
      <c r="AC414">
        <f>Database!E404</f>
        <v/>
      </c>
      <c r="AD414">
        <f>Database!I404</f>
        <v/>
      </c>
      <c r="AE414">
        <f>Database!BE404</f>
        <v/>
      </c>
      <c r="AF414">
        <f>Database!BK404</f>
        <v/>
      </c>
      <c r="AG414">
        <f>Database!H404</f>
        <v/>
      </c>
      <c r="AH414">
        <f>Database!BF404</f>
        <v/>
      </c>
    </row>
    <row r="415">
      <c r="A415">
        <f>Database!B415</f>
        <v/>
      </c>
      <c r="B415">
        <f>IF(AND(Screener!$D$8&lt;&gt;"",Database!$E415=Screener!$D$8),1,0)</f>
        <v/>
      </c>
      <c r="C415">
        <f>IF(AND(Screener!$D$7&lt;&gt;"",Database!$D415=Screener!$D$7),1,0)</f>
        <v/>
      </c>
      <c r="D415">
        <f>IF(OR(N(Database!$I415)&lt;=0,N(Screener!$D$9)&lt;=0),0,MAX(0,1-ABS(LOG10(N(Database!$I415)/Screener!$D$9))/W_SIZEHW))</f>
        <v/>
      </c>
      <c r="E415">
        <f>IF(OR(Database!$BE415="",Screener!$D$10=""),0,IF(Database!$BE415=Screener!$D$10,1,0))</f>
        <v/>
      </c>
      <c r="F415">
        <f>IF(OR(Database!$BK415="",Screener!$D$11=""),0,IF(Database!$BK415=Screener!$D$11,1,0))</f>
        <v/>
      </c>
      <c r="G415">
        <f>IF(OR(Database!$H415="",N(Screener!$D$12)&lt;=0),0,MAX(0,1-(N(Screener!$D$12)-Database!$H415)/W_RECD))</f>
        <v/>
      </c>
      <c r="H415">
        <f>IF($U$1="",0,N(ISNUMBER(SEARCH($U$1,Database!$Z415&amp;""))))+IF($V$1="",0,N(ISNUMBER(SEARCH($V$1,Database!$Z415&amp;""))))+IF($W$1="",0,N(ISNUMBER(SEARCH($W$1,Database!$Z415&amp;""))))+IF($X$1="",0,N(ISNUMBER(SEARCH($X$1,Database!$Z415&amp;""))))+IF($Y$1="",0,N(ISNUMBER(SEARCH($Y$1,Database!$Z415&amp;""))))+IF(Screener!$B$17="",0,N(ISNUMBER(SEARCH(LOWER(Screener!$B$17),Database!$Z415&amp;""))))</f>
        <v/>
      </c>
      <c r="I415">
        <f>IF(OR(N(Database!$BF415)&lt;=0,N(Screener!$D$13)&lt;=0),0,MAX(0,1-ABS(LOG10(N(Database!$BF415)/Screener!$D$13))/W_PEHW))</f>
        <v/>
      </c>
      <c r="J415">
        <f>IF(OR(N(Database!$S415)&lt;=0,N(Screener!$D$14)&lt;=0),0,MAX(0,1-ABS(LOG10(Database!$S415/Screener!$D$14))/0.6))</f>
        <v/>
      </c>
      <c r="K415">
        <f>IF(Database!$B415=Screener!$B$5,-999999,IF(ISNUMBER(SEARCH(","&amp;Database!$A415&amp;",",","&amp;SUBSTITUTE(Screener!$D$17," ","")&amp;",")),2000000,IF(IF(OR(Screener!$B$18="All",AND(Screener!$B$18="With A-share",(Database!$BK415="Y")),AND(Screener!$B$18="Without A-share",NOT((Database!$BK415="Y")))),1,0)=0,-999999,IF(Screener!$B$16="cornerstone overlap first",H415*100000,IF(Screener!$B$16="demand-similar first",J415*100000,0))+W_SUB*B415+W_SEC*C415*(1-B415)+W_SIZE*D415+W_PROF*E415+W_AH*F415+W_REC*G415+W_CS*H415+W_PE*I415)))+ROW()/1000000</f>
        <v/>
      </c>
      <c r="AA415">
        <f>Database!B405</f>
        <v/>
      </c>
      <c r="AB415">
        <f>Database!D405</f>
        <v/>
      </c>
      <c r="AC415">
        <f>Database!E405</f>
        <v/>
      </c>
      <c r="AD415">
        <f>Database!I405</f>
        <v/>
      </c>
      <c r="AE415">
        <f>Database!BE405</f>
        <v/>
      </c>
      <c r="AF415">
        <f>Database!BK405</f>
        <v/>
      </c>
      <c r="AG415">
        <f>Database!H405</f>
        <v/>
      </c>
      <c r="AH415">
        <f>Database!BF405</f>
        <v/>
      </c>
    </row>
    <row r="416">
      <c r="A416">
        <f>Database!B416</f>
        <v/>
      </c>
      <c r="B416">
        <f>IF(AND(Screener!$D$8&lt;&gt;"",Database!$E416=Screener!$D$8),1,0)</f>
        <v/>
      </c>
      <c r="C416">
        <f>IF(AND(Screener!$D$7&lt;&gt;"",Database!$D416=Screener!$D$7),1,0)</f>
        <v/>
      </c>
      <c r="D416">
        <f>IF(OR(N(Database!$I416)&lt;=0,N(Screener!$D$9)&lt;=0),0,MAX(0,1-ABS(LOG10(N(Database!$I416)/Screener!$D$9))/W_SIZEHW))</f>
        <v/>
      </c>
      <c r="E416">
        <f>IF(OR(Database!$BE416="",Screener!$D$10=""),0,IF(Database!$BE416=Screener!$D$10,1,0))</f>
        <v/>
      </c>
      <c r="F416">
        <f>IF(OR(Database!$BK416="",Screener!$D$11=""),0,IF(Database!$BK416=Screener!$D$11,1,0))</f>
        <v/>
      </c>
      <c r="G416">
        <f>IF(OR(Database!$H416="",N(Screener!$D$12)&lt;=0),0,MAX(0,1-(N(Screener!$D$12)-Database!$H416)/W_RECD))</f>
        <v/>
      </c>
      <c r="H416">
        <f>IF($U$1="",0,N(ISNUMBER(SEARCH($U$1,Database!$Z416&amp;""))))+IF($V$1="",0,N(ISNUMBER(SEARCH($V$1,Database!$Z416&amp;""))))+IF($W$1="",0,N(ISNUMBER(SEARCH($W$1,Database!$Z416&amp;""))))+IF($X$1="",0,N(ISNUMBER(SEARCH($X$1,Database!$Z416&amp;""))))+IF($Y$1="",0,N(ISNUMBER(SEARCH($Y$1,Database!$Z416&amp;""))))+IF(Screener!$B$17="",0,N(ISNUMBER(SEARCH(LOWER(Screener!$B$17),Database!$Z416&amp;""))))</f>
        <v/>
      </c>
      <c r="I416">
        <f>IF(OR(N(Database!$BF416)&lt;=0,N(Screener!$D$13)&lt;=0),0,MAX(0,1-ABS(LOG10(N(Database!$BF416)/Screener!$D$13))/W_PEHW))</f>
        <v/>
      </c>
      <c r="J416">
        <f>IF(OR(N(Database!$S416)&lt;=0,N(Screener!$D$14)&lt;=0),0,MAX(0,1-ABS(LOG10(Database!$S416/Screener!$D$14))/0.6))</f>
        <v/>
      </c>
      <c r="K416">
        <f>IF(Database!$B416=Screener!$B$5,-999999,IF(ISNUMBER(SEARCH(","&amp;Database!$A416&amp;",",","&amp;SUBSTITUTE(Screener!$D$17," ","")&amp;",")),2000000,IF(IF(OR(Screener!$B$18="All",AND(Screener!$B$18="With A-share",(Database!$BK416="Y")),AND(Screener!$B$18="Without A-share",NOT((Database!$BK416="Y")))),1,0)=0,-999999,IF(Screener!$B$16="cornerstone overlap first",H416*100000,IF(Screener!$B$16="demand-similar first",J416*100000,0))+W_SUB*B416+W_SEC*C416*(1-B416)+W_SIZE*D416+W_PROF*E416+W_AH*F416+W_REC*G416+W_CS*H416+W_PE*I416)))+ROW()/1000000</f>
        <v/>
      </c>
      <c r="AA416">
        <f>Database!B406</f>
        <v/>
      </c>
      <c r="AB416">
        <f>Database!D406</f>
        <v/>
      </c>
      <c r="AC416">
        <f>Database!E406</f>
        <v/>
      </c>
      <c r="AD416">
        <f>Database!I406</f>
        <v/>
      </c>
      <c r="AE416">
        <f>Database!BE406</f>
        <v/>
      </c>
      <c r="AF416">
        <f>Database!BK406</f>
        <v/>
      </c>
      <c r="AG416">
        <f>Database!H406</f>
        <v/>
      </c>
      <c r="AH416">
        <f>Database!BF406</f>
        <v/>
      </c>
    </row>
    <row r="417">
      <c r="A417">
        <f>Database!B417</f>
        <v/>
      </c>
      <c r="B417">
        <f>IF(AND(Screener!$D$8&lt;&gt;"",Database!$E417=Screener!$D$8),1,0)</f>
        <v/>
      </c>
      <c r="C417">
        <f>IF(AND(Screener!$D$7&lt;&gt;"",Database!$D417=Screener!$D$7),1,0)</f>
        <v/>
      </c>
      <c r="D417">
        <f>IF(OR(N(Database!$I417)&lt;=0,N(Screener!$D$9)&lt;=0),0,MAX(0,1-ABS(LOG10(N(Database!$I417)/Screener!$D$9))/W_SIZEHW))</f>
        <v/>
      </c>
      <c r="E417">
        <f>IF(OR(Database!$BE417="",Screener!$D$10=""),0,IF(Database!$BE417=Screener!$D$10,1,0))</f>
        <v/>
      </c>
      <c r="F417">
        <f>IF(OR(Database!$BK417="",Screener!$D$11=""),0,IF(Database!$BK417=Screener!$D$11,1,0))</f>
        <v/>
      </c>
      <c r="G417">
        <f>IF(OR(Database!$H417="",N(Screener!$D$12)&lt;=0),0,MAX(0,1-(N(Screener!$D$12)-Database!$H417)/W_RECD))</f>
        <v/>
      </c>
      <c r="H417">
        <f>IF($U$1="",0,N(ISNUMBER(SEARCH($U$1,Database!$Z417&amp;""))))+IF($V$1="",0,N(ISNUMBER(SEARCH($V$1,Database!$Z417&amp;""))))+IF($W$1="",0,N(ISNUMBER(SEARCH($W$1,Database!$Z417&amp;""))))+IF($X$1="",0,N(ISNUMBER(SEARCH($X$1,Database!$Z417&amp;""))))+IF($Y$1="",0,N(ISNUMBER(SEARCH($Y$1,Database!$Z417&amp;""))))+IF(Screener!$B$17="",0,N(ISNUMBER(SEARCH(LOWER(Screener!$B$17),Database!$Z417&amp;""))))</f>
        <v/>
      </c>
      <c r="I417">
        <f>IF(OR(N(Database!$BF417)&lt;=0,N(Screener!$D$13)&lt;=0),0,MAX(0,1-ABS(LOG10(N(Database!$BF417)/Screener!$D$13))/W_PEHW))</f>
        <v/>
      </c>
      <c r="J417">
        <f>IF(OR(N(Database!$S417)&lt;=0,N(Screener!$D$14)&lt;=0),0,MAX(0,1-ABS(LOG10(Database!$S417/Screener!$D$14))/0.6))</f>
        <v/>
      </c>
      <c r="K417">
        <f>IF(Database!$B417=Screener!$B$5,-999999,IF(ISNUMBER(SEARCH(","&amp;Database!$A417&amp;",",","&amp;SUBSTITUTE(Screener!$D$17," ","")&amp;",")),2000000,IF(IF(OR(Screener!$B$18="All",AND(Screener!$B$18="With A-share",(Database!$BK417="Y")),AND(Screener!$B$18="Without A-share",NOT((Database!$BK417="Y")))),1,0)=0,-999999,IF(Screener!$B$16="cornerstone overlap first",H417*100000,IF(Screener!$B$16="demand-similar first",J417*100000,0))+W_SUB*B417+W_SEC*C417*(1-B417)+W_SIZE*D417+W_PROF*E417+W_AH*F417+W_REC*G417+W_CS*H417+W_PE*I417)))+ROW()/1000000</f>
        <v/>
      </c>
      <c r="AA417">
        <f>Database!B407</f>
        <v/>
      </c>
      <c r="AB417">
        <f>Database!D407</f>
        <v/>
      </c>
      <c r="AC417">
        <f>Database!E407</f>
        <v/>
      </c>
      <c r="AD417">
        <f>Database!I407</f>
        <v/>
      </c>
      <c r="AE417">
        <f>Database!BE407</f>
        <v/>
      </c>
      <c r="AF417">
        <f>Database!BK407</f>
        <v/>
      </c>
      <c r="AG417">
        <f>Database!H407</f>
        <v/>
      </c>
      <c r="AH417">
        <f>Database!BF407</f>
        <v/>
      </c>
    </row>
    <row r="418">
      <c r="A418">
        <f>Database!B418</f>
        <v/>
      </c>
      <c r="B418">
        <f>IF(AND(Screener!$D$8&lt;&gt;"",Database!$E418=Screener!$D$8),1,0)</f>
        <v/>
      </c>
      <c r="C418">
        <f>IF(AND(Screener!$D$7&lt;&gt;"",Database!$D418=Screener!$D$7),1,0)</f>
        <v/>
      </c>
      <c r="D418">
        <f>IF(OR(N(Database!$I418)&lt;=0,N(Screener!$D$9)&lt;=0),0,MAX(0,1-ABS(LOG10(N(Database!$I418)/Screener!$D$9))/W_SIZEHW))</f>
        <v/>
      </c>
      <c r="E418">
        <f>IF(OR(Database!$BE418="",Screener!$D$10=""),0,IF(Database!$BE418=Screener!$D$10,1,0))</f>
        <v/>
      </c>
      <c r="F418">
        <f>IF(OR(Database!$BK418="",Screener!$D$11=""),0,IF(Database!$BK418=Screener!$D$11,1,0))</f>
        <v/>
      </c>
      <c r="G418">
        <f>IF(OR(Database!$H418="",N(Screener!$D$12)&lt;=0),0,MAX(0,1-(N(Screener!$D$12)-Database!$H418)/W_RECD))</f>
        <v/>
      </c>
      <c r="H418">
        <f>IF($U$1="",0,N(ISNUMBER(SEARCH($U$1,Database!$Z418&amp;""))))+IF($V$1="",0,N(ISNUMBER(SEARCH($V$1,Database!$Z418&amp;""))))+IF($W$1="",0,N(ISNUMBER(SEARCH($W$1,Database!$Z418&amp;""))))+IF($X$1="",0,N(ISNUMBER(SEARCH($X$1,Database!$Z418&amp;""))))+IF($Y$1="",0,N(ISNUMBER(SEARCH($Y$1,Database!$Z418&amp;""))))+IF(Screener!$B$17="",0,N(ISNUMBER(SEARCH(LOWER(Screener!$B$17),Database!$Z418&amp;""))))</f>
        <v/>
      </c>
      <c r="I418">
        <f>IF(OR(N(Database!$BF418)&lt;=0,N(Screener!$D$13)&lt;=0),0,MAX(0,1-ABS(LOG10(N(Database!$BF418)/Screener!$D$13))/W_PEHW))</f>
        <v/>
      </c>
      <c r="J418">
        <f>IF(OR(N(Database!$S418)&lt;=0,N(Screener!$D$14)&lt;=0),0,MAX(0,1-ABS(LOG10(Database!$S418/Screener!$D$14))/0.6))</f>
        <v/>
      </c>
      <c r="K418">
        <f>IF(Database!$B418=Screener!$B$5,-999999,IF(ISNUMBER(SEARCH(","&amp;Database!$A418&amp;",",","&amp;SUBSTITUTE(Screener!$D$17," ","")&amp;",")),2000000,IF(IF(OR(Screener!$B$18="All",AND(Screener!$B$18="With A-share",(Database!$BK418="Y")),AND(Screener!$B$18="Without A-share",NOT((Database!$BK418="Y")))),1,0)=0,-999999,IF(Screener!$B$16="cornerstone overlap first",H418*100000,IF(Screener!$B$16="demand-similar first",J418*100000,0))+W_SUB*B418+W_SEC*C418*(1-B418)+W_SIZE*D418+W_PROF*E418+W_AH*F418+W_REC*G418+W_CS*H418+W_PE*I418)))+ROW()/1000000</f>
        <v/>
      </c>
      <c r="AA418">
        <f>Database!B408</f>
        <v/>
      </c>
      <c r="AB418">
        <f>Database!D408</f>
        <v/>
      </c>
      <c r="AC418">
        <f>Database!E408</f>
        <v/>
      </c>
      <c r="AD418">
        <f>Database!I408</f>
        <v/>
      </c>
      <c r="AE418">
        <f>Database!BE408</f>
        <v/>
      </c>
      <c r="AF418">
        <f>Database!BK408</f>
        <v/>
      </c>
      <c r="AG418">
        <f>Database!H408</f>
        <v/>
      </c>
      <c r="AH418">
        <f>Database!BF408</f>
        <v/>
      </c>
    </row>
    <row r="419">
      <c r="A419">
        <f>Database!B419</f>
        <v/>
      </c>
      <c r="B419">
        <f>IF(AND(Screener!$D$8&lt;&gt;"",Database!$E419=Screener!$D$8),1,0)</f>
        <v/>
      </c>
      <c r="C419">
        <f>IF(AND(Screener!$D$7&lt;&gt;"",Database!$D419=Screener!$D$7),1,0)</f>
        <v/>
      </c>
      <c r="D419">
        <f>IF(OR(N(Database!$I419)&lt;=0,N(Screener!$D$9)&lt;=0),0,MAX(0,1-ABS(LOG10(N(Database!$I419)/Screener!$D$9))/W_SIZEHW))</f>
        <v/>
      </c>
      <c r="E419">
        <f>IF(OR(Database!$BE419="",Screener!$D$10=""),0,IF(Database!$BE419=Screener!$D$10,1,0))</f>
        <v/>
      </c>
      <c r="F419">
        <f>IF(OR(Database!$BK419="",Screener!$D$11=""),0,IF(Database!$BK419=Screener!$D$11,1,0))</f>
        <v/>
      </c>
      <c r="G419">
        <f>IF(OR(Database!$H419="",N(Screener!$D$12)&lt;=0),0,MAX(0,1-(N(Screener!$D$12)-Database!$H419)/W_RECD))</f>
        <v/>
      </c>
      <c r="H419">
        <f>IF($U$1="",0,N(ISNUMBER(SEARCH($U$1,Database!$Z419&amp;""))))+IF($V$1="",0,N(ISNUMBER(SEARCH($V$1,Database!$Z419&amp;""))))+IF($W$1="",0,N(ISNUMBER(SEARCH($W$1,Database!$Z419&amp;""))))+IF($X$1="",0,N(ISNUMBER(SEARCH($X$1,Database!$Z419&amp;""))))+IF($Y$1="",0,N(ISNUMBER(SEARCH($Y$1,Database!$Z419&amp;""))))+IF(Screener!$B$17="",0,N(ISNUMBER(SEARCH(LOWER(Screener!$B$17),Database!$Z419&amp;""))))</f>
        <v/>
      </c>
      <c r="I419">
        <f>IF(OR(N(Database!$BF419)&lt;=0,N(Screener!$D$13)&lt;=0),0,MAX(0,1-ABS(LOG10(N(Database!$BF419)/Screener!$D$13))/W_PEHW))</f>
        <v/>
      </c>
      <c r="J419">
        <f>IF(OR(N(Database!$S419)&lt;=0,N(Screener!$D$14)&lt;=0),0,MAX(0,1-ABS(LOG10(Database!$S419/Screener!$D$14))/0.6))</f>
        <v/>
      </c>
      <c r="K419">
        <f>IF(Database!$B419=Screener!$B$5,-999999,IF(ISNUMBER(SEARCH(","&amp;Database!$A419&amp;",",","&amp;SUBSTITUTE(Screener!$D$17," ","")&amp;",")),2000000,IF(IF(OR(Screener!$B$18="All",AND(Screener!$B$18="With A-share",(Database!$BK419="Y")),AND(Screener!$B$18="Without A-share",NOT((Database!$BK419="Y")))),1,0)=0,-999999,IF(Screener!$B$16="cornerstone overlap first",H419*100000,IF(Screener!$B$16="demand-similar first",J419*100000,0))+W_SUB*B419+W_SEC*C419*(1-B419)+W_SIZE*D419+W_PROF*E419+W_AH*F419+W_REC*G419+W_CS*H419+W_PE*I419)))+ROW()/1000000</f>
        <v/>
      </c>
      <c r="AA419">
        <f>Database!B409</f>
        <v/>
      </c>
      <c r="AB419">
        <f>Database!D409</f>
        <v/>
      </c>
      <c r="AC419">
        <f>Database!E409</f>
        <v/>
      </c>
      <c r="AD419">
        <f>Database!I409</f>
        <v/>
      </c>
      <c r="AE419">
        <f>Database!BE409</f>
        <v/>
      </c>
      <c r="AF419">
        <f>Database!BK409</f>
        <v/>
      </c>
      <c r="AG419">
        <f>Database!H409</f>
        <v/>
      </c>
      <c r="AH419">
        <f>Database!BF409</f>
        <v/>
      </c>
    </row>
    <row r="420">
      <c r="A420">
        <f>Database!B420</f>
        <v/>
      </c>
      <c r="B420">
        <f>IF(AND(Screener!$D$8&lt;&gt;"",Database!$E420=Screener!$D$8),1,0)</f>
        <v/>
      </c>
      <c r="C420">
        <f>IF(AND(Screener!$D$7&lt;&gt;"",Database!$D420=Screener!$D$7),1,0)</f>
        <v/>
      </c>
      <c r="D420">
        <f>IF(OR(N(Database!$I420)&lt;=0,N(Screener!$D$9)&lt;=0),0,MAX(0,1-ABS(LOG10(N(Database!$I420)/Screener!$D$9))/W_SIZEHW))</f>
        <v/>
      </c>
      <c r="E420">
        <f>IF(OR(Database!$BE420="",Screener!$D$10=""),0,IF(Database!$BE420=Screener!$D$10,1,0))</f>
        <v/>
      </c>
      <c r="F420">
        <f>IF(OR(Database!$BK420="",Screener!$D$11=""),0,IF(Database!$BK420=Screener!$D$11,1,0))</f>
        <v/>
      </c>
      <c r="G420">
        <f>IF(OR(Database!$H420="",N(Screener!$D$12)&lt;=0),0,MAX(0,1-(N(Screener!$D$12)-Database!$H420)/W_RECD))</f>
        <v/>
      </c>
      <c r="H420">
        <f>IF($U$1="",0,N(ISNUMBER(SEARCH($U$1,Database!$Z420&amp;""))))+IF($V$1="",0,N(ISNUMBER(SEARCH($V$1,Database!$Z420&amp;""))))+IF($W$1="",0,N(ISNUMBER(SEARCH($W$1,Database!$Z420&amp;""))))+IF($X$1="",0,N(ISNUMBER(SEARCH($X$1,Database!$Z420&amp;""))))+IF($Y$1="",0,N(ISNUMBER(SEARCH($Y$1,Database!$Z420&amp;""))))+IF(Screener!$B$17="",0,N(ISNUMBER(SEARCH(LOWER(Screener!$B$17),Database!$Z420&amp;""))))</f>
        <v/>
      </c>
      <c r="I420">
        <f>IF(OR(N(Database!$BF420)&lt;=0,N(Screener!$D$13)&lt;=0),0,MAX(0,1-ABS(LOG10(N(Database!$BF420)/Screener!$D$13))/W_PEHW))</f>
        <v/>
      </c>
      <c r="J420">
        <f>IF(OR(N(Database!$S420)&lt;=0,N(Screener!$D$14)&lt;=0),0,MAX(0,1-ABS(LOG10(Database!$S420/Screener!$D$14))/0.6))</f>
        <v/>
      </c>
      <c r="K420">
        <f>IF(Database!$B420=Screener!$B$5,-999999,IF(ISNUMBER(SEARCH(","&amp;Database!$A420&amp;",",","&amp;SUBSTITUTE(Screener!$D$17," ","")&amp;",")),2000000,IF(IF(OR(Screener!$B$18="All",AND(Screener!$B$18="With A-share",(Database!$BK420="Y")),AND(Screener!$B$18="Without A-share",NOT((Database!$BK420="Y")))),1,0)=0,-999999,IF(Screener!$B$16="cornerstone overlap first",H420*100000,IF(Screener!$B$16="demand-similar first",J420*100000,0))+W_SUB*B420+W_SEC*C420*(1-B420)+W_SIZE*D420+W_PROF*E420+W_AH*F420+W_REC*G420+W_CS*H420+W_PE*I420)))+ROW()/1000000</f>
        <v/>
      </c>
      <c r="AA420">
        <f>Database!B410</f>
        <v/>
      </c>
      <c r="AB420">
        <f>Database!D410</f>
        <v/>
      </c>
      <c r="AC420">
        <f>Database!E410</f>
        <v/>
      </c>
      <c r="AD420">
        <f>Database!I410</f>
        <v/>
      </c>
      <c r="AE420">
        <f>Database!BE410</f>
        <v/>
      </c>
      <c r="AF420">
        <f>Database!BK410</f>
        <v/>
      </c>
      <c r="AG420">
        <f>Database!H410</f>
        <v/>
      </c>
      <c r="AH420">
        <f>Database!BF410</f>
        <v/>
      </c>
    </row>
    <row r="421">
      <c r="A421">
        <f>Database!B421</f>
        <v/>
      </c>
      <c r="B421">
        <f>IF(AND(Screener!$D$8&lt;&gt;"",Database!$E421=Screener!$D$8),1,0)</f>
        <v/>
      </c>
      <c r="C421">
        <f>IF(AND(Screener!$D$7&lt;&gt;"",Database!$D421=Screener!$D$7),1,0)</f>
        <v/>
      </c>
      <c r="D421">
        <f>IF(OR(N(Database!$I421)&lt;=0,N(Screener!$D$9)&lt;=0),0,MAX(0,1-ABS(LOG10(N(Database!$I421)/Screener!$D$9))/W_SIZEHW))</f>
        <v/>
      </c>
      <c r="E421">
        <f>IF(OR(Database!$BE421="",Screener!$D$10=""),0,IF(Database!$BE421=Screener!$D$10,1,0))</f>
        <v/>
      </c>
      <c r="F421">
        <f>IF(OR(Database!$BK421="",Screener!$D$11=""),0,IF(Database!$BK421=Screener!$D$11,1,0))</f>
        <v/>
      </c>
      <c r="G421">
        <f>IF(OR(Database!$H421="",N(Screener!$D$12)&lt;=0),0,MAX(0,1-(N(Screener!$D$12)-Database!$H421)/W_RECD))</f>
        <v/>
      </c>
      <c r="H421">
        <f>IF($U$1="",0,N(ISNUMBER(SEARCH($U$1,Database!$Z421&amp;""))))+IF($V$1="",0,N(ISNUMBER(SEARCH($V$1,Database!$Z421&amp;""))))+IF($W$1="",0,N(ISNUMBER(SEARCH($W$1,Database!$Z421&amp;""))))+IF($X$1="",0,N(ISNUMBER(SEARCH($X$1,Database!$Z421&amp;""))))+IF($Y$1="",0,N(ISNUMBER(SEARCH($Y$1,Database!$Z421&amp;""))))+IF(Screener!$B$17="",0,N(ISNUMBER(SEARCH(LOWER(Screener!$B$17),Database!$Z421&amp;""))))</f>
        <v/>
      </c>
      <c r="I421">
        <f>IF(OR(N(Database!$BF421)&lt;=0,N(Screener!$D$13)&lt;=0),0,MAX(0,1-ABS(LOG10(N(Database!$BF421)/Screener!$D$13))/W_PEHW))</f>
        <v/>
      </c>
      <c r="J421">
        <f>IF(OR(N(Database!$S421)&lt;=0,N(Screener!$D$14)&lt;=0),0,MAX(0,1-ABS(LOG10(Database!$S421/Screener!$D$14))/0.6))</f>
        <v/>
      </c>
      <c r="K421">
        <f>IF(Database!$B421=Screener!$B$5,-999999,IF(ISNUMBER(SEARCH(","&amp;Database!$A421&amp;",",","&amp;SUBSTITUTE(Screener!$D$17," ","")&amp;",")),2000000,IF(IF(OR(Screener!$B$18="All",AND(Screener!$B$18="With A-share",(Database!$BK421="Y")),AND(Screener!$B$18="Without A-share",NOT((Database!$BK421="Y")))),1,0)=0,-999999,IF(Screener!$B$16="cornerstone overlap first",H421*100000,IF(Screener!$B$16="demand-similar first",J421*100000,0))+W_SUB*B421+W_SEC*C421*(1-B421)+W_SIZE*D421+W_PROF*E421+W_AH*F421+W_REC*G421+W_CS*H421+W_PE*I421)))+ROW()/1000000</f>
        <v/>
      </c>
      <c r="AA421">
        <f>Database!B411</f>
        <v/>
      </c>
      <c r="AB421">
        <f>Database!D411</f>
        <v/>
      </c>
      <c r="AC421">
        <f>Database!E411</f>
        <v/>
      </c>
      <c r="AD421">
        <f>Database!I411</f>
        <v/>
      </c>
      <c r="AE421">
        <f>Database!BE411</f>
        <v/>
      </c>
      <c r="AF421">
        <f>Database!BK411</f>
        <v/>
      </c>
      <c r="AG421">
        <f>Database!H411</f>
        <v/>
      </c>
      <c r="AH421">
        <f>Database!BF411</f>
        <v/>
      </c>
    </row>
    <row r="422">
      <c r="A422">
        <f>Database!B422</f>
        <v/>
      </c>
      <c r="B422">
        <f>IF(AND(Screener!$D$8&lt;&gt;"",Database!$E422=Screener!$D$8),1,0)</f>
        <v/>
      </c>
      <c r="C422">
        <f>IF(AND(Screener!$D$7&lt;&gt;"",Database!$D422=Screener!$D$7),1,0)</f>
        <v/>
      </c>
      <c r="D422">
        <f>IF(OR(N(Database!$I422)&lt;=0,N(Screener!$D$9)&lt;=0),0,MAX(0,1-ABS(LOG10(N(Database!$I422)/Screener!$D$9))/W_SIZEHW))</f>
        <v/>
      </c>
      <c r="E422">
        <f>IF(OR(Database!$BE422="",Screener!$D$10=""),0,IF(Database!$BE422=Screener!$D$10,1,0))</f>
        <v/>
      </c>
      <c r="F422">
        <f>IF(OR(Database!$BK422="",Screener!$D$11=""),0,IF(Database!$BK422=Screener!$D$11,1,0))</f>
        <v/>
      </c>
      <c r="G422">
        <f>IF(OR(Database!$H422="",N(Screener!$D$12)&lt;=0),0,MAX(0,1-(N(Screener!$D$12)-Database!$H422)/W_RECD))</f>
        <v/>
      </c>
      <c r="H422">
        <f>IF($U$1="",0,N(ISNUMBER(SEARCH($U$1,Database!$Z422&amp;""))))+IF($V$1="",0,N(ISNUMBER(SEARCH($V$1,Database!$Z422&amp;""))))+IF($W$1="",0,N(ISNUMBER(SEARCH($W$1,Database!$Z422&amp;""))))+IF($X$1="",0,N(ISNUMBER(SEARCH($X$1,Database!$Z422&amp;""))))+IF($Y$1="",0,N(ISNUMBER(SEARCH($Y$1,Database!$Z422&amp;""))))+IF(Screener!$B$17="",0,N(ISNUMBER(SEARCH(LOWER(Screener!$B$17),Database!$Z422&amp;""))))</f>
        <v/>
      </c>
      <c r="I422">
        <f>IF(OR(N(Database!$BF422)&lt;=0,N(Screener!$D$13)&lt;=0),0,MAX(0,1-ABS(LOG10(N(Database!$BF422)/Screener!$D$13))/W_PEHW))</f>
        <v/>
      </c>
      <c r="J422">
        <f>IF(OR(N(Database!$S422)&lt;=0,N(Screener!$D$14)&lt;=0),0,MAX(0,1-ABS(LOG10(Database!$S422/Screener!$D$14))/0.6))</f>
        <v/>
      </c>
      <c r="K422">
        <f>IF(Database!$B422=Screener!$B$5,-999999,IF(ISNUMBER(SEARCH(","&amp;Database!$A422&amp;",",","&amp;SUBSTITUTE(Screener!$D$17," ","")&amp;",")),2000000,IF(IF(OR(Screener!$B$18="All",AND(Screener!$B$18="With A-share",(Database!$BK422="Y")),AND(Screener!$B$18="Without A-share",NOT((Database!$BK422="Y")))),1,0)=0,-999999,IF(Screener!$B$16="cornerstone overlap first",H422*100000,IF(Screener!$B$16="demand-similar first",J422*100000,0))+W_SUB*B422+W_SEC*C422*(1-B422)+W_SIZE*D422+W_PROF*E422+W_AH*F422+W_REC*G422+W_CS*H422+W_PE*I422)))+ROW()/1000000</f>
        <v/>
      </c>
      <c r="AA422">
        <f>Database!B412</f>
        <v/>
      </c>
      <c r="AB422">
        <f>Database!D412</f>
        <v/>
      </c>
      <c r="AC422">
        <f>Database!E412</f>
        <v/>
      </c>
      <c r="AD422">
        <f>Database!I412</f>
        <v/>
      </c>
      <c r="AE422">
        <f>Database!BE412</f>
        <v/>
      </c>
      <c r="AF422">
        <f>Database!BK412</f>
        <v/>
      </c>
      <c r="AG422">
        <f>Database!H412</f>
        <v/>
      </c>
      <c r="AH422">
        <f>Database!BF412</f>
        <v/>
      </c>
    </row>
    <row r="423">
      <c r="A423">
        <f>Database!B423</f>
        <v/>
      </c>
      <c r="B423">
        <f>IF(AND(Screener!$D$8&lt;&gt;"",Database!$E423=Screener!$D$8),1,0)</f>
        <v/>
      </c>
      <c r="C423">
        <f>IF(AND(Screener!$D$7&lt;&gt;"",Database!$D423=Screener!$D$7),1,0)</f>
        <v/>
      </c>
      <c r="D423">
        <f>IF(OR(N(Database!$I423)&lt;=0,N(Screener!$D$9)&lt;=0),0,MAX(0,1-ABS(LOG10(N(Database!$I423)/Screener!$D$9))/W_SIZEHW))</f>
        <v/>
      </c>
      <c r="E423">
        <f>IF(OR(Database!$BE423="",Screener!$D$10=""),0,IF(Database!$BE423=Screener!$D$10,1,0))</f>
        <v/>
      </c>
      <c r="F423">
        <f>IF(OR(Database!$BK423="",Screener!$D$11=""),0,IF(Database!$BK423=Screener!$D$11,1,0))</f>
        <v/>
      </c>
      <c r="G423">
        <f>IF(OR(Database!$H423="",N(Screener!$D$12)&lt;=0),0,MAX(0,1-(N(Screener!$D$12)-Database!$H423)/W_RECD))</f>
        <v/>
      </c>
      <c r="H423">
        <f>IF($U$1="",0,N(ISNUMBER(SEARCH($U$1,Database!$Z423&amp;""))))+IF($V$1="",0,N(ISNUMBER(SEARCH($V$1,Database!$Z423&amp;""))))+IF($W$1="",0,N(ISNUMBER(SEARCH($W$1,Database!$Z423&amp;""))))+IF($X$1="",0,N(ISNUMBER(SEARCH($X$1,Database!$Z423&amp;""))))+IF($Y$1="",0,N(ISNUMBER(SEARCH($Y$1,Database!$Z423&amp;""))))+IF(Screener!$B$17="",0,N(ISNUMBER(SEARCH(LOWER(Screener!$B$17),Database!$Z423&amp;""))))</f>
        <v/>
      </c>
      <c r="I423">
        <f>IF(OR(N(Database!$BF423)&lt;=0,N(Screener!$D$13)&lt;=0),0,MAX(0,1-ABS(LOG10(N(Database!$BF423)/Screener!$D$13))/W_PEHW))</f>
        <v/>
      </c>
      <c r="J423">
        <f>IF(OR(N(Database!$S423)&lt;=0,N(Screener!$D$14)&lt;=0),0,MAX(0,1-ABS(LOG10(Database!$S423/Screener!$D$14))/0.6))</f>
        <v/>
      </c>
      <c r="K423">
        <f>IF(Database!$B423=Screener!$B$5,-999999,IF(ISNUMBER(SEARCH(","&amp;Database!$A423&amp;",",","&amp;SUBSTITUTE(Screener!$D$17," ","")&amp;",")),2000000,IF(IF(OR(Screener!$B$18="All",AND(Screener!$B$18="With A-share",(Database!$BK423="Y")),AND(Screener!$B$18="Without A-share",NOT((Database!$BK423="Y")))),1,0)=0,-999999,IF(Screener!$B$16="cornerstone overlap first",H423*100000,IF(Screener!$B$16="demand-similar first",J423*100000,0))+W_SUB*B423+W_SEC*C423*(1-B423)+W_SIZE*D423+W_PROF*E423+W_AH*F423+W_REC*G423+W_CS*H423+W_PE*I423)))+ROW()/1000000</f>
        <v/>
      </c>
      <c r="AA423">
        <f>Database!B413</f>
        <v/>
      </c>
      <c r="AB423">
        <f>Database!D413</f>
        <v/>
      </c>
      <c r="AC423">
        <f>Database!E413</f>
        <v/>
      </c>
      <c r="AD423">
        <f>Database!I413</f>
        <v/>
      </c>
      <c r="AE423">
        <f>Database!BE413</f>
        <v/>
      </c>
      <c r="AF423">
        <f>Database!BK413</f>
        <v/>
      </c>
      <c r="AG423">
        <f>Database!H413</f>
        <v/>
      </c>
      <c r="AH423">
        <f>Database!BF413</f>
        <v/>
      </c>
    </row>
    <row r="424">
      <c r="A424">
        <f>Database!B424</f>
        <v/>
      </c>
      <c r="B424">
        <f>IF(AND(Screener!$D$8&lt;&gt;"",Database!$E424=Screener!$D$8),1,0)</f>
        <v/>
      </c>
      <c r="C424">
        <f>IF(AND(Screener!$D$7&lt;&gt;"",Database!$D424=Screener!$D$7),1,0)</f>
        <v/>
      </c>
      <c r="D424">
        <f>IF(OR(N(Database!$I424)&lt;=0,N(Screener!$D$9)&lt;=0),0,MAX(0,1-ABS(LOG10(N(Database!$I424)/Screener!$D$9))/W_SIZEHW))</f>
        <v/>
      </c>
      <c r="E424">
        <f>IF(OR(Database!$BE424="",Screener!$D$10=""),0,IF(Database!$BE424=Screener!$D$10,1,0))</f>
        <v/>
      </c>
      <c r="F424">
        <f>IF(OR(Database!$BK424="",Screener!$D$11=""),0,IF(Database!$BK424=Screener!$D$11,1,0))</f>
        <v/>
      </c>
      <c r="G424">
        <f>IF(OR(Database!$H424="",N(Screener!$D$12)&lt;=0),0,MAX(0,1-(N(Screener!$D$12)-Database!$H424)/W_RECD))</f>
        <v/>
      </c>
      <c r="H424">
        <f>IF($U$1="",0,N(ISNUMBER(SEARCH($U$1,Database!$Z424&amp;""))))+IF($V$1="",0,N(ISNUMBER(SEARCH($V$1,Database!$Z424&amp;""))))+IF($W$1="",0,N(ISNUMBER(SEARCH($W$1,Database!$Z424&amp;""))))+IF($X$1="",0,N(ISNUMBER(SEARCH($X$1,Database!$Z424&amp;""))))+IF($Y$1="",0,N(ISNUMBER(SEARCH($Y$1,Database!$Z424&amp;""))))+IF(Screener!$B$17="",0,N(ISNUMBER(SEARCH(LOWER(Screener!$B$17),Database!$Z424&amp;""))))</f>
        <v/>
      </c>
      <c r="I424">
        <f>IF(OR(N(Database!$BF424)&lt;=0,N(Screener!$D$13)&lt;=0),0,MAX(0,1-ABS(LOG10(N(Database!$BF424)/Screener!$D$13))/W_PEHW))</f>
        <v/>
      </c>
      <c r="J424">
        <f>IF(OR(N(Database!$S424)&lt;=0,N(Screener!$D$14)&lt;=0),0,MAX(0,1-ABS(LOG10(Database!$S424/Screener!$D$14))/0.6))</f>
        <v/>
      </c>
      <c r="K424">
        <f>IF(Database!$B424=Screener!$B$5,-999999,IF(ISNUMBER(SEARCH(","&amp;Database!$A424&amp;",",","&amp;SUBSTITUTE(Screener!$D$17," ","")&amp;",")),2000000,IF(IF(OR(Screener!$B$18="All",AND(Screener!$B$18="With A-share",(Database!$BK424="Y")),AND(Screener!$B$18="Without A-share",NOT((Database!$BK424="Y")))),1,0)=0,-999999,IF(Screener!$B$16="cornerstone overlap first",H424*100000,IF(Screener!$B$16="demand-similar first",J424*100000,0))+W_SUB*B424+W_SEC*C424*(1-B424)+W_SIZE*D424+W_PROF*E424+W_AH*F424+W_REC*G424+W_CS*H424+W_PE*I424)))+ROW()/1000000</f>
        <v/>
      </c>
      <c r="AA424">
        <f>Database!B414</f>
        <v/>
      </c>
      <c r="AB424">
        <f>Database!D414</f>
        <v/>
      </c>
      <c r="AC424">
        <f>Database!E414</f>
        <v/>
      </c>
      <c r="AD424">
        <f>Database!I414</f>
        <v/>
      </c>
      <c r="AE424">
        <f>Database!BE414</f>
        <v/>
      </c>
      <c r="AF424">
        <f>Database!BK414</f>
        <v/>
      </c>
      <c r="AG424">
        <f>Database!H414</f>
        <v/>
      </c>
      <c r="AH424">
        <f>Database!BF414</f>
        <v/>
      </c>
    </row>
    <row r="425">
      <c r="A425">
        <f>Database!B425</f>
        <v/>
      </c>
      <c r="B425">
        <f>IF(AND(Screener!$D$8&lt;&gt;"",Database!$E425=Screener!$D$8),1,0)</f>
        <v/>
      </c>
      <c r="C425">
        <f>IF(AND(Screener!$D$7&lt;&gt;"",Database!$D425=Screener!$D$7),1,0)</f>
        <v/>
      </c>
      <c r="D425">
        <f>IF(OR(N(Database!$I425)&lt;=0,N(Screener!$D$9)&lt;=0),0,MAX(0,1-ABS(LOG10(N(Database!$I425)/Screener!$D$9))/W_SIZEHW))</f>
        <v/>
      </c>
      <c r="E425">
        <f>IF(OR(Database!$BE425="",Screener!$D$10=""),0,IF(Database!$BE425=Screener!$D$10,1,0))</f>
        <v/>
      </c>
      <c r="F425">
        <f>IF(OR(Database!$BK425="",Screener!$D$11=""),0,IF(Database!$BK425=Screener!$D$11,1,0))</f>
        <v/>
      </c>
      <c r="G425">
        <f>IF(OR(Database!$H425="",N(Screener!$D$12)&lt;=0),0,MAX(0,1-(N(Screener!$D$12)-Database!$H425)/W_RECD))</f>
        <v/>
      </c>
      <c r="H425">
        <f>IF($U$1="",0,N(ISNUMBER(SEARCH($U$1,Database!$Z425&amp;""))))+IF($V$1="",0,N(ISNUMBER(SEARCH($V$1,Database!$Z425&amp;""))))+IF($W$1="",0,N(ISNUMBER(SEARCH($W$1,Database!$Z425&amp;""))))+IF($X$1="",0,N(ISNUMBER(SEARCH($X$1,Database!$Z425&amp;""))))+IF($Y$1="",0,N(ISNUMBER(SEARCH($Y$1,Database!$Z425&amp;""))))+IF(Screener!$B$17="",0,N(ISNUMBER(SEARCH(LOWER(Screener!$B$17),Database!$Z425&amp;""))))</f>
        <v/>
      </c>
      <c r="I425">
        <f>IF(OR(N(Database!$BF425)&lt;=0,N(Screener!$D$13)&lt;=0),0,MAX(0,1-ABS(LOG10(N(Database!$BF425)/Screener!$D$13))/W_PEHW))</f>
        <v/>
      </c>
      <c r="J425">
        <f>IF(OR(N(Database!$S425)&lt;=0,N(Screener!$D$14)&lt;=0),0,MAX(0,1-ABS(LOG10(Database!$S425/Screener!$D$14))/0.6))</f>
        <v/>
      </c>
      <c r="K425">
        <f>IF(Database!$B425=Screener!$B$5,-999999,IF(ISNUMBER(SEARCH(","&amp;Database!$A425&amp;",",","&amp;SUBSTITUTE(Screener!$D$17," ","")&amp;",")),2000000,IF(IF(OR(Screener!$B$18="All",AND(Screener!$B$18="With A-share",(Database!$BK425="Y")),AND(Screener!$B$18="Without A-share",NOT((Database!$BK425="Y")))),1,0)=0,-999999,IF(Screener!$B$16="cornerstone overlap first",H425*100000,IF(Screener!$B$16="demand-similar first",J425*100000,0))+W_SUB*B425+W_SEC*C425*(1-B425)+W_SIZE*D425+W_PROF*E425+W_AH*F425+W_REC*G425+W_CS*H425+W_PE*I425)))+ROW()/1000000</f>
        <v/>
      </c>
      <c r="AA425">
        <f>Database!B415</f>
        <v/>
      </c>
      <c r="AB425">
        <f>Database!D415</f>
        <v/>
      </c>
      <c r="AC425">
        <f>Database!E415</f>
        <v/>
      </c>
      <c r="AD425">
        <f>Database!I415</f>
        <v/>
      </c>
      <c r="AE425">
        <f>Database!BE415</f>
        <v/>
      </c>
      <c r="AF425">
        <f>Database!BK415</f>
        <v/>
      </c>
      <c r="AG425">
        <f>Database!H415</f>
        <v/>
      </c>
      <c r="AH425">
        <f>Database!BF415</f>
        <v/>
      </c>
    </row>
    <row r="426">
      <c r="A426">
        <f>Database!B426</f>
        <v/>
      </c>
      <c r="B426">
        <f>IF(AND(Screener!$D$8&lt;&gt;"",Database!$E426=Screener!$D$8),1,0)</f>
        <v/>
      </c>
      <c r="C426">
        <f>IF(AND(Screener!$D$7&lt;&gt;"",Database!$D426=Screener!$D$7),1,0)</f>
        <v/>
      </c>
      <c r="D426">
        <f>IF(OR(N(Database!$I426)&lt;=0,N(Screener!$D$9)&lt;=0),0,MAX(0,1-ABS(LOG10(N(Database!$I426)/Screener!$D$9))/W_SIZEHW))</f>
        <v/>
      </c>
      <c r="E426">
        <f>IF(OR(Database!$BE426="",Screener!$D$10=""),0,IF(Database!$BE426=Screener!$D$10,1,0))</f>
        <v/>
      </c>
      <c r="F426">
        <f>IF(OR(Database!$BK426="",Screener!$D$11=""),0,IF(Database!$BK426=Screener!$D$11,1,0))</f>
        <v/>
      </c>
      <c r="G426">
        <f>IF(OR(Database!$H426="",N(Screener!$D$12)&lt;=0),0,MAX(0,1-(N(Screener!$D$12)-Database!$H426)/W_RECD))</f>
        <v/>
      </c>
      <c r="H426">
        <f>IF($U$1="",0,N(ISNUMBER(SEARCH($U$1,Database!$Z426&amp;""))))+IF($V$1="",0,N(ISNUMBER(SEARCH($V$1,Database!$Z426&amp;""))))+IF($W$1="",0,N(ISNUMBER(SEARCH($W$1,Database!$Z426&amp;""))))+IF($X$1="",0,N(ISNUMBER(SEARCH($X$1,Database!$Z426&amp;""))))+IF($Y$1="",0,N(ISNUMBER(SEARCH($Y$1,Database!$Z426&amp;""))))+IF(Screener!$B$17="",0,N(ISNUMBER(SEARCH(LOWER(Screener!$B$17),Database!$Z426&amp;""))))</f>
        <v/>
      </c>
      <c r="I426">
        <f>IF(OR(N(Database!$BF426)&lt;=0,N(Screener!$D$13)&lt;=0),0,MAX(0,1-ABS(LOG10(N(Database!$BF426)/Screener!$D$13))/W_PEHW))</f>
        <v/>
      </c>
      <c r="J426">
        <f>IF(OR(N(Database!$S426)&lt;=0,N(Screener!$D$14)&lt;=0),0,MAX(0,1-ABS(LOG10(Database!$S426/Screener!$D$14))/0.6))</f>
        <v/>
      </c>
      <c r="K426">
        <f>IF(Database!$B426=Screener!$B$5,-999999,IF(ISNUMBER(SEARCH(","&amp;Database!$A426&amp;",",","&amp;SUBSTITUTE(Screener!$D$17," ","")&amp;",")),2000000,IF(IF(OR(Screener!$B$18="All",AND(Screener!$B$18="With A-share",(Database!$BK426="Y")),AND(Screener!$B$18="Without A-share",NOT((Database!$BK426="Y")))),1,0)=0,-999999,IF(Screener!$B$16="cornerstone overlap first",H426*100000,IF(Screener!$B$16="demand-similar first",J426*100000,0))+W_SUB*B426+W_SEC*C426*(1-B426)+W_SIZE*D426+W_PROF*E426+W_AH*F426+W_REC*G426+W_CS*H426+W_PE*I426)))+ROW()/1000000</f>
        <v/>
      </c>
      <c r="AA426">
        <f>Database!B416</f>
        <v/>
      </c>
      <c r="AB426">
        <f>Database!D416</f>
        <v/>
      </c>
      <c r="AC426">
        <f>Database!E416</f>
        <v/>
      </c>
      <c r="AD426">
        <f>Database!I416</f>
        <v/>
      </c>
      <c r="AE426">
        <f>Database!BE416</f>
        <v/>
      </c>
      <c r="AF426">
        <f>Database!BK416</f>
        <v/>
      </c>
      <c r="AG426">
        <f>Database!H416</f>
        <v/>
      </c>
      <c r="AH426">
        <f>Database!BF416</f>
        <v/>
      </c>
    </row>
    <row r="427">
      <c r="A427">
        <f>Database!B427</f>
        <v/>
      </c>
      <c r="B427">
        <f>IF(AND(Screener!$D$8&lt;&gt;"",Database!$E427=Screener!$D$8),1,0)</f>
        <v/>
      </c>
      <c r="C427">
        <f>IF(AND(Screener!$D$7&lt;&gt;"",Database!$D427=Screener!$D$7),1,0)</f>
        <v/>
      </c>
      <c r="D427">
        <f>IF(OR(N(Database!$I427)&lt;=0,N(Screener!$D$9)&lt;=0),0,MAX(0,1-ABS(LOG10(N(Database!$I427)/Screener!$D$9))/W_SIZEHW))</f>
        <v/>
      </c>
      <c r="E427">
        <f>IF(OR(Database!$BE427="",Screener!$D$10=""),0,IF(Database!$BE427=Screener!$D$10,1,0))</f>
        <v/>
      </c>
      <c r="F427">
        <f>IF(OR(Database!$BK427="",Screener!$D$11=""),0,IF(Database!$BK427=Screener!$D$11,1,0))</f>
        <v/>
      </c>
      <c r="G427">
        <f>IF(OR(Database!$H427="",N(Screener!$D$12)&lt;=0),0,MAX(0,1-(N(Screener!$D$12)-Database!$H427)/W_RECD))</f>
        <v/>
      </c>
      <c r="H427">
        <f>IF($U$1="",0,N(ISNUMBER(SEARCH($U$1,Database!$Z427&amp;""))))+IF($V$1="",0,N(ISNUMBER(SEARCH($V$1,Database!$Z427&amp;""))))+IF($W$1="",0,N(ISNUMBER(SEARCH($W$1,Database!$Z427&amp;""))))+IF($X$1="",0,N(ISNUMBER(SEARCH($X$1,Database!$Z427&amp;""))))+IF($Y$1="",0,N(ISNUMBER(SEARCH($Y$1,Database!$Z427&amp;""))))+IF(Screener!$B$17="",0,N(ISNUMBER(SEARCH(LOWER(Screener!$B$17),Database!$Z427&amp;""))))</f>
        <v/>
      </c>
      <c r="I427">
        <f>IF(OR(N(Database!$BF427)&lt;=0,N(Screener!$D$13)&lt;=0),0,MAX(0,1-ABS(LOG10(N(Database!$BF427)/Screener!$D$13))/W_PEHW))</f>
        <v/>
      </c>
      <c r="J427">
        <f>IF(OR(N(Database!$S427)&lt;=0,N(Screener!$D$14)&lt;=0),0,MAX(0,1-ABS(LOG10(Database!$S427/Screener!$D$14))/0.6))</f>
        <v/>
      </c>
      <c r="K427">
        <f>IF(Database!$B427=Screener!$B$5,-999999,IF(ISNUMBER(SEARCH(","&amp;Database!$A427&amp;",",","&amp;SUBSTITUTE(Screener!$D$17," ","")&amp;",")),2000000,IF(IF(OR(Screener!$B$18="All",AND(Screener!$B$18="With A-share",(Database!$BK427="Y")),AND(Screener!$B$18="Without A-share",NOT((Database!$BK427="Y")))),1,0)=0,-999999,IF(Screener!$B$16="cornerstone overlap first",H427*100000,IF(Screener!$B$16="demand-similar first",J427*100000,0))+W_SUB*B427+W_SEC*C427*(1-B427)+W_SIZE*D427+W_PROF*E427+W_AH*F427+W_REC*G427+W_CS*H427+W_PE*I427)))+ROW()/1000000</f>
        <v/>
      </c>
      <c r="AA427">
        <f>Database!B417</f>
        <v/>
      </c>
      <c r="AB427">
        <f>Database!D417</f>
        <v/>
      </c>
      <c r="AC427">
        <f>Database!E417</f>
        <v/>
      </c>
      <c r="AD427">
        <f>Database!I417</f>
        <v/>
      </c>
      <c r="AE427">
        <f>Database!BE417</f>
        <v/>
      </c>
      <c r="AF427">
        <f>Database!BK417</f>
        <v/>
      </c>
      <c r="AG427">
        <f>Database!H417</f>
        <v/>
      </c>
      <c r="AH427">
        <f>Database!BF417</f>
        <v/>
      </c>
    </row>
    <row r="428">
      <c r="A428">
        <f>Database!B428</f>
        <v/>
      </c>
      <c r="B428">
        <f>IF(AND(Screener!$D$8&lt;&gt;"",Database!$E428=Screener!$D$8),1,0)</f>
        <v/>
      </c>
      <c r="C428">
        <f>IF(AND(Screener!$D$7&lt;&gt;"",Database!$D428=Screener!$D$7),1,0)</f>
        <v/>
      </c>
      <c r="D428">
        <f>IF(OR(N(Database!$I428)&lt;=0,N(Screener!$D$9)&lt;=0),0,MAX(0,1-ABS(LOG10(N(Database!$I428)/Screener!$D$9))/W_SIZEHW))</f>
        <v/>
      </c>
      <c r="E428">
        <f>IF(OR(Database!$BE428="",Screener!$D$10=""),0,IF(Database!$BE428=Screener!$D$10,1,0))</f>
        <v/>
      </c>
      <c r="F428">
        <f>IF(OR(Database!$BK428="",Screener!$D$11=""),0,IF(Database!$BK428=Screener!$D$11,1,0))</f>
        <v/>
      </c>
      <c r="G428">
        <f>IF(OR(Database!$H428="",N(Screener!$D$12)&lt;=0),0,MAX(0,1-(N(Screener!$D$12)-Database!$H428)/W_RECD))</f>
        <v/>
      </c>
      <c r="H428">
        <f>IF($U$1="",0,N(ISNUMBER(SEARCH($U$1,Database!$Z428&amp;""))))+IF($V$1="",0,N(ISNUMBER(SEARCH($V$1,Database!$Z428&amp;""))))+IF($W$1="",0,N(ISNUMBER(SEARCH($W$1,Database!$Z428&amp;""))))+IF($X$1="",0,N(ISNUMBER(SEARCH($X$1,Database!$Z428&amp;""))))+IF($Y$1="",0,N(ISNUMBER(SEARCH($Y$1,Database!$Z428&amp;""))))+IF(Screener!$B$17="",0,N(ISNUMBER(SEARCH(LOWER(Screener!$B$17),Database!$Z428&amp;""))))</f>
        <v/>
      </c>
      <c r="I428">
        <f>IF(OR(N(Database!$BF428)&lt;=0,N(Screener!$D$13)&lt;=0),0,MAX(0,1-ABS(LOG10(N(Database!$BF428)/Screener!$D$13))/W_PEHW))</f>
        <v/>
      </c>
      <c r="J428">
        <f>IF(OR(N(Database!$S428)&lt;=0,N(Screener!$D$14)&lt;=0),0,MAX(0,1-ABS(LOG10(Database!$S428/Screener!$D$14))/0.6))</f>
        <v/>
      </c>
      <c r="K428">
        <f>IF(Database!$B428=Screener!$B$5,-999999,IF(ISNUMBER(SEARCH(","&amp;Database!$A428&amp;",",","&amp;SUBSTITUTE(Screener!$D$17," ","")&amp;",")),2000000,IF(IF(OR(Screener!$B$18="All",AND(Screener!$B$18="With A-share",(Database!$BK428="Y")),AND(Screener!$B$18="Without A-share",NOT((Database!$BK428="Y")))),1,0)=0,-999999,IF(Screener!$B$16="cornerstone overlap first",H428*100000,IF(Screener!$B$16="demand-similar first",J428*100000,0))+W_SUB*B428+W_SEC*C428*(1-B428)+W_SIZE*D428+W_PROF*E428+W_AH*F428+W_REC*G428+W_CS*H428+W_PE*I428)))+ROW()/1000000</f>
        <v/>
      </c>
      <c r="AA428">
        <f>Database!B418</f>
        <v/>
      </c>
      <c r="AB428">
        <f>Database!D418</f>
        <v/>
      </c>
      <c r="AC428">
        <f>Database!E418</f>
        <v/>
      </c>
      <c r="AD428">
        <f>Database!I418</f>
        <v/>
      </c>
      <c r="AE428">
        <f>Database!BE418</f>
        <v/>
      </c>
      <c r="AF428">
        <f>Database!BK418</f>
        <v/>
      </c>
      <c r="AG428">
        <f>Database!H418</f>
        <v/>
      </c>
      <c r="AH428">
        <f>Database!BF418</f>
        <v/>
      </c>
    </row>
    <row r="429">
      <c r="A429">
        <f>Database!B429</f>
        <v/>
      </c>
      <c r="B429">
        <f>IF(AND(Screener!$D$8&lt;&gt;"",Database!$E429=Screener!$D$8),1,0)</f>
        <v/>
      </c>
      <c r="C429">
        <f>IF(AND(Screener!$D$7&lt;&gt;"",Database!$D429=Screener!$D$7),1,0)</f>
        <v/>
      </c>
      <c r="D429">
        <f>IF(OR(N(Database!$I429)&lt;=0,N(Screener!$D$9)&lt;=0),0,MAX(0,1-ABS(LOG10(N(Database!$I429)/Screener!$D$9))/W_SIZEHW))</f>
        <v/>
      </c>
      <c r="E429">
        <f>IF(OR(Database!$BE429="",Screener!$D$10=""),0,IF(Database!$BE429=Screener!$D$10,1,0))</f>
        <v/>
      </c>
      <c r="F429">
        <f>IF(OR(Database!$BK429="",Screener!$D$11=""),0,IF(Database!$BK429=Screener!$D$11,1,0))</f>
        <v/>
      </c>
      <c r="G429">
        <f>IF(OR(Database!$H429="",N(Screener!$D$12)&lt;=0),0,MAX(0,1-(N(Screener!$D$12)-Database!$H429)/W_RECD))</f>
        <v/>
      </c>
      <c r="H429">
        <f>IF($U$1="",0,N(ISNUMBER(SEARCH($U$1,Database!$Z429&amp;""))))+IF($V$1="",0,N(ISNUMBER(SEARCH($V$1,Database!$Z429&amp;""))))+IF($W$1="",0,N(ISNUMBER(SEARCH($W$1,Database!$Z429&amp;""))))+IF($X$1="",0,N(ISNUMBER(SEARCH($X$1,Database!$Z429&amp;""))))+IF($Y$1="",0,N(ISNUMBER(SEARCH($Y$1,Database!$Z429&amp;""))))+IF(Screener!$B$17="",0,N(ISNUMBER(SEARCH(LOWER(Screener!$B$17),Database!$Z429&amp;""))))</f>
        <v/>
      </c>
      <c r="I429">
        <f>IF(OR(N(Database!$BF429)&lt;=0,N(Screener!$D$13)&lt;=0),0,MAX(0,1-ABS(LOG10(N(Database!$BF429)/Screener!$D$13))/W_PEHW))</f>
        <v/>
      </c>
      <c r="J429">
        <f>IF(OR(N(Database!$S429)&lt;=0,N(Screener!$D$14)&lt;=0),0,MAX(0,1-ABS(LOG10(Database!$S429/Screener!$D$14))/0.6))</f>
        <v/>
      </c>
      <c r="K429">
        <f>IF(Database!$B429=Screener!$B$5,-999999,IF(ISNUMBER(SEARCH(","&amp;Database!$A429&amp;",",","&amp;SUBSTITUTE(Screener!$D$17," ","")&amp;",")),2000000,IF(IF(OR(Screener!$B$18="All",AND(Screener!$B$18="With A-share",(Database!$BK429="Y")),AND(Screener!$B$18="Without A-share",NOT((Database!$BK429="Y")))),1,0)=0,-999999,IF(Screener!$B$16="cornerstone overlap first",H429*100000,IF(Screener!$B$16="demand-similar first",J429*100000,0))+W_SUB*B429+W_SEC*C429*(1-B429)+W_SIZE*D429+W_PROF*E429+W_AH*F429+W_REC*G429+W_CS*H429+W_PE*I429)))+ROW()/1000000</f>
        <v/>
      </c>
      <c r="AA429">
        <f>Database!B419</f>
        <v/>
      </c>
      <c r="AB429">
        <f>Database!D419</f>
        <v/>
      </c>
      <c r="AC429">
        <f>Database!E419</f>
        <v/>
      </c>
      <c r="AD429">
        <f>Database!I419</f>
        <v/>
      </c>
      <c r="AE429">
        <f>Database!BE419</f>
        <v/>
      </c>
      <c r="AF429">
        <f>Database!BK419</f>
        <v/>
      </c>
      <c r="AG429">
        <f>Database!H419</f>
        <v/>
      </c>
      <c r="AH429">
        <f>Database!BF419</f>
        <v/>
      </c>
    </row>
    <row r="430">
      <c r="A430">
        <f>Database!B430</f>
        <v/>
      </c>
      <c r="B430">
        <f>IF(AND(Screener!$D$8&lt;&gt;"",Database!$E430=Screener!$D$8),1,0)</f>
        <v/>
      </c>
      <c r="C430">
        <f>IF(AND(Screener!$D$7&lt;&gt;"",Database!$D430=Screener!$D$7),1,0)</f>
        <v/>
      </c>
      <c r="D430">
        <f>IF(OR(N(Database!$I430)&lt;=0,N(Screener!$D$9)&lt;=0),0,MAX(0,1-ABS(LOG10(N(Database!$I430)/Screener!$D$9))/W_SIZEHW))</f>
        <v/>
      </c>
      <c r="E430">
        <f>IF(OR(Database!$BE430="",Screener!$D$10=""),0,IF(Database!$BE430=Screener!$D$10,1,0))</f>
        <v/>
      </c>
      <c r="F430">
        <f>IF(OR(Database!$BK430="",Screener!$D$11=""),0,IF(Database!$BK430=Screener!$D$11,1,0))</f>
        <v/>
      </c>
      <c r="G430">
        <f>IF(OR(Database!$H430="",N(Screener!$D$12)&lt;=0),0,MAX(0,1-(N(Screener!$D$12)-Database!$H430)/W_RECD))</f>
        <v/>
      </c>
      <c r="H430">
        <f>IF($U$1="",0,N(ISNUMBER(SEARCH($U$1,Database!$Z430&amp;""))))+IF($V$1="",0,N(ISNUMBER(SEARCH($V$1,Database!$Z430&amp;""))))+IF($W$1="",0,N(ISNUMBER(SEARCH($W$1,Database!$Z430&amp;""))))+IF($X$1="",0,N(ISNUMBER(SEARCH($X$1,Database!$Z430&amp;""))))+IF($Y$1="",0,N(ISNUMBER(SEARCH($Y$1,Database!$Z430&amp;""))))+IF(Screener!$B$17="",0,N(ISNUMBER(SEARCH(LOWER(Screener!$B$17),Database!$Z430&amp;""))))</f>
        <v/>
      </c>
      <c r="I430">
        <f>IF(OR(N(Database!$BF430)&lt;=0,N(Screener!$D$13)&lt;=0),0,MAX(0,1-ABS(LOG10(N(Database!$BF430)/Screener!$D$13))/W_PEHW))</f>
        <v/>
      </c>
      <c r="J430">
        <f>IF(OR(N(Database!$S430)&lt;=0,N(Screener!$D$14)&lt;=0),0,MAX(0,1-ABS(LOG10(Database!$S430/Screener!$D$14))/0.6))</f>
        <v/>
      </c>
      <c r="K430">
        <f>IF(Database!$B430=Screener!$B$5,-999999,IF(ISNUMBER(SEARCH(","&amp;Database!$A430&amp;",",","&amp;SUBSTITUTE(Screener!$D$17," ","")&amp;",")),2000000,IF(IF(OR(Screener!$B$18="All",AND(Screener!$B$18="With A-share",(Database!$BK430="Y")),AND(Screener!$B$18="Without A-share",NOT((Database!$BK430="Y")))),1,0)=0,-999999,IF(Screener!$B$16="cornerstone overlap first",H430*100000,IF(Screener!$B$16="demand-similar first",J430*100000,0))+W_SUB*B430+W_SEC*C430*(1-B430)+W_SIZE*D430+W_PROF*E430+W_AH*F430+W_REC*G430+W_CS*H430+W_PE*I430)))+ROW()/1000000</f>
        <v/>
      </c>
      <c r="AA430">
        <f>Database!B420</f>
        <v/>
      </c>
      <c r="AB430">
        <f>Database!D420</f>
        <v/>
      </c>
      <c r="AC430">
        <f>Database!E420</f>
        <v/>
      </c>
      <c r="AD430">
        <f>Database!I420</f>
        <v/>
      </c>
      <c r="AE430">
        <f>Database!BE420</f>
        <v/>
      </c>
      <c r="AF430">
        <f>Database!BK420</f>
        <v/>
      </c>
      <c r="AG430">
        <f>Database!H420</f>
        <v/>
      </c>
      <c r="AH430">
        <f>Database!BF420</f>
        <v/>
      </c>
    </row>
    <row r="431">
      <c r="A431">
        <f>Database!B431</f>
        <v/>
      </c>
      <c r="B431">
        <f>IF(AND(Screener!$D$8&lt;&gt;"",Database!$E431=Screener!$D$8),1,0)</f>
        <v/>
      </c>
      <c r="C431">
        <f>IF(AND(Screener!$D$7&lt;&gt;"",Database!$D431=Screener!$D$7),1,0)</f>
        <v/>
      </c>
      <c r="D431">
        <f>IF(OR(N(Database!$I431)&lt;=0,N(Screener!$D$9)&lt;=0),0,MAX(0,1-ABS(LOG10(N(Database!$I431)/Screener!$D$9))/W_SIZEHW))</f>
        <v/>
      </c>
      <c r="E431">
        <f>IF(OR(Database!$BE431="",Screener!$D$10=""),0,IF(Database!$BE431=Screener!$D$10,1,0))</f>
        <v/>
      </c>
      <c r="F431">
        <f>IF(OR(Database!$BK431="",Screener!$D$11=""),0,IF(Database!$BK431=Screener!$D$11,1,0))</f>
        <v/>
      </c>
      <c r="G431">
        <f>IF(OR(Database!$H431="",N(Screener!$D$12)&lt;=0),0,MAX(0,1-(N(Screener!$D$12)-Database!$H431)/W_RECD))</f>
        <v/>
      </c>
      <c r="H431">
        <f>IF($U$1="",0,N(ISNUMBER(SEARCH($U$1,Database!$Z431&amp;""))))+IF($V$1="",0,N(ISNUMBER(SEARCH($V$1,Database!$Z431&amp;""))))+IF($W$1="",0,N(ISNUMBER(SEARCH($W$1,Database!$Z431&amp;""))))+IF($X$1="",0,N(ISNUMBER(SEARCH($X$1,Database!$Z431&amp;""))))+IF($Y$1="",0,N(ISNUMBER(SEARCH($Y$1,Database!$Z431&amp;""))))+IF(Screener!$B$17="",0,N(ISNUMBER(SEARCH(LOWER(Screener!$B$17),Database!$Z431&amp;""))))</f>
        <v/>
      </c>
      <c r="I431">
        <f>IF(OR(N(Database!$BF431)&lt;=0,N(Screener!$D$13)&lt;=0),0,MAX(0,1-ABS(LOG10(N(Database!$BF431)/Screener!$D$13))/W_PEHW))</f>
        <v/>
      </c>
      <c r="J431">
        <f>IF(OR(N(Database!$S431)&lt;=0,N(Screener!$D$14)&lt;=0),0,MAX(0,1-ABS(LOG10(Database!$S431/Screener!$D$14))/0.6))</f>
        <v/>
      </c>
      <c r="K431">
        <f>IF(Database!$B431=Screener!$B$5,-999999,IF(ISNUMBER(SEARCH(","&amp;Database!$A431&amp;",",","&amp;SUBSTITUTE(Screener!$D$17," ","")&amp;",")),2000000,IF(IF(OR(Screener!$B$18="All",AND(Screener!$B$18="With A-share",(Database!$BK431="Y")),AND(Screener!$B$18="Without A-share",NOT((Database!$BK431="Y")))),1,0)=0,-999999,IF(Screener!$B$16="cornerstone overlap first",H431*100000,IF(Screener!$B$16="demand-similar first",J431*100000,0))+W_SUB*B431+W_SEC*C431*(1-B431)+W_SIZE*D431+W_PROF*E431+W_AH*F431+W_REC*G431+W_CS*H431+W_PE*I431)))+ROW()/1000000</f>
        <v/>
      </c>
      <c r="AA431">
        <f>Database!B421</f>
        <v/>
      </c>
      <c r="AB431">
        <f>Database!D421</f>
        <v/>
      </c>
      <c r="AC431">
        <f>Database!E421</f>
        <v/>
      </c>
      <c r="AD431">
        <f>Database!I421</f>
        <v/>
      </c>
      <c r="AE431">
        <f>Database!BE421</f>
        <v/>
      </c>
      <c r="AF431">
        <f>Database!BK421</f>
        <v/>
      </c>
      <c r="AG431">
        <f>Database!H421</f>
        <v/>
      </c>
      <c r="AH431">
        <f>Database!BF421</f>
        <v/>
      </c>
    </row>
    <row r="432">
      <c r="A432">
        <f>Database!B432</f>
        <v/>
      </c>
      <c r="B432">
        <f>IF(AND(Screener!$D$8&lt;&gt;"",Database!$E432=Screener!$D$8),1,0)</f>
        <v/>
      </c>
      <c r="C432">
        <f>IF(AND(Screener!$D$7&lt;&gt;"",Database!$D432=Screener!$D$7),1,0)</f>
        <v/>
      </c>
      <c r="D432">
        <f>IF(OR(N(Database!$I432)&lt;=0,N(Screener!$D$9)&lt;=0),0,MAX(0,1-ABS(LOG10(N(Database!$I432)/Screener!$D$9))/W_SIZEHW))</f>
        <v/>
      </c>
      <c r="E432">
        <f>IF(OR(Database!$BE432="",Screener!$D$10=""),0,IF(Database!$BE432=Screener!$D$10,1,0))</f>
        <v/>
      </c>
      <c r="F432">
        <f>IF(OR(Database!$BK432="",Screener!$D$11=""),0,IF(Database!$BK432=Screener!$D$11,1,0))</f>
        <v/>
      </c>
      <c r="G432">
        <f>IF(OR(Database!$H432="",N(Screener!$D$12)&lt;=0),0,MAX(0,1-(N(Screener!$D$12)-Database!$H432)/W_RECD))</f>
        <v/>
      </c>
      <c r="H432">
        <f>IF($U$1="",0,N(ISNUMBER(SEARCH($U$1,Database!$Z432&amp;""))))+IF($V$1="",0,N(ISNUMBER(SEARCH($V$1,Database!$Z432&amp;""))))+IF($W$1="",0,N(ISNUMBER(SEARCH($W$1,Database!$Z432&amp;""))))+IF($X$1="",0,N(ISNUMBER(SEARCH($X$1,Database!$Z432&amp;""))))+IF($Y$1="",0,N(ISNUMBER(SEARCH($Y$1,Database!$Z432&amp;""))))+IF(Screener!$B$17="",0,N(ISNUMBER(SEARCH(LOWER(Screener!$B$17),Database!$Z432&amp;""))))</f>
        <v/>
      </c>
      <c r="I432">
        <f>IF(OR(N(Database!$BF432)&lt;=0,N(Screener!$D$13)&lt;=0),0,MAX(0,1-ABS(LOG10(N(Database!$BF432)/Screener!$D$13))/W_PEHW))</f>
        <v/>
      </c>
      <c r="J432">
        <f>IF(OR(N(Database!$S432)&lt;=0,N(Screener!$D$14)&lt;=0),0,MAX(0,1-ABS(LOG10(Database!$S432/Screener!$D$14))/0.6))</f>
        <v/>
      </c>
      <c r="K432">
        <f>IF(Database!$B432=Screener!$B$5,-999999,IF(ISNUMBER(SEARCH(","&amp;Database!$A432&amp;",",","&amp;SUBSTITUTE(Screener!$D$17," ","")&amp;",")),2000000,IF(IF(OR(Screener!$B$18="All",AND(Screener!$B$18="With A-share",(Database!$BK432="Y")),AND(Screener!$B$18="Without A-share",NOT((Database!$BK432="Y")))),1,0)=0,-999999,IF(Screener!$B$16="cornerstone overlap first",H432*100000,IF(Screener!$B$16="demand-similar first",J432*100000,0))+W_SUB*B432+W_SEC*C432*(1-B432)+W_SIZE*D432+W_PROF*E432+W_AH*F432+W_REC*G432+W_CS*H432+W_PE*I432)))+ROW()/1000000</f>
        <v/>
      </c>
      <c r="AA432">
        <f>Database!B422</f>
        <v/>
      </c>
      <c r="AB432">
        <f>Database!D422</f>
        <v/>
      </c>
      <c r="AC432">
        <f>Database!E422</f>
        <v/>
      </c>
      <c r="AD432">
        <f>Database!I422</f>
        <v/>
      </c>
      <c r="AE432">
        <f>Database!BE422</f>
        <v/>
      </c>
      <c r="AF432">
        <f>Database!BK422</f>
        <v/>
      </c>
      <c r="AG432">
        <f>Database!H422</f>
        <v/>
      </c>
      <c r="AH432">
        <f>Database!BF422</f>
        <v/>
      </c>
    </row>
    <row r="433">
      <c r="A433">
        <f>Database!B433</f>
        <v/>
      </c>
      <c r="B433">
        <f>IF(AND(Screener!$D$8&lt;&gt;"",Database!$E433=Screener!$D$8),1,0)</f>
        <v/>
      </c>
      <c r="C433">
        <f>IF(AND(Screener!$D$7&lt;&gt;"",Database!$D433=Screener!$D$7),1,0)</f>
        <v/>
      </c>
      <c r="D433">
        <f>IF(OR(N(Database!$I433)&lt;=0,N(Screener!$D$9)&lt;=0),0,MAX(0,1-ABS(LOG10(N(Database!$I433)/Screener!$D$9))/W_SIZEHW))</f>
        <v/>
      </c>
      <c r="E433">
        <f>IF(OR(Database!$BE433="",Screener!$D$10=""),0,IF(Database!$BE433=Screener!$D$10,1,0))</f>
        <v/>
      </c>
      <c r="F433">
        <f>IF(OR(Database!$BK433="",Screener!$D$11=""),0,IF(Database!$BK433=Screener!$D$11,1,0))</f>
        <v/>
      </c>
      <c r="G433">
        <f>IF(OR(Database!$H433="",N(Screener!$D$12)&lt;=0),0,MAX(0,1-(N(Screener!$D$12)-Database!$H433)/W_RECD))</f>
        <v/>
      </c>
      <c r="H433">
        <f>IF($U$1="",0,N(ISNUMBER(SEARCH($U$1,Database!$Z433&amp;""))))+IF($V$1="",0,N(ISNUMBER(SEARCH($V$1,Database!$Z433&amp;""))))+IF($W$1="",0,N(ISNUMBER(SEARCH($W$1,Database!$Z433&amp;""))))+IF($X$1="",0,N(ISNUMBER(SEARCH($X$1,Database!$Z433&amp;""))))+IF($Y$1="",0,N(ISNUMBER(SEARCH($Y$1,Database!$Z433&amp;""))))+IF(Screener!$B$17="",0,N(ISNUMBER(SEARCH(LOWER(Screener!$B$17),Database!$Z433&amp;""))))</f>
        <v/>
      </c>
      <c r="I433">
        <f>IF(OR(N(Database!$BF433)&lt;=0,N(Screener!$D$13)&lt;=0),0,MAX(0,1-ABS(LOG10(N(Database!$BF433)/Screener!$D$13))/W_PEHW))</f>
        <v/>
      </c>
      <c r="J433">
        <f>IF(OR(N(Database!$S433)&lt;=0,N(Screener!$D$14)&lt;=0),0,MAX(0,1-ABS(LOG10(Database!$S433/Screener!$D$14))/0.6))</f>
        <v/>
      </c>
      <c r="K433">
        <f>IF(Database!$B433=Screener!$B$5,-999999,IF(ISNUMBER(SEARCH(","&amp;Database!$A433&amp;",",","&amp;SUBSTITUTE(Screener!$D$17," ","")&amp;",")),2000000,IF(IF(OR(Screener!$B$18="All",AND(Screener!$B$18="With A-share",(Database!$BK433="Y")),AND(Screener!$B$18="Without A-share",NOT((Database!$BK433="Y")))),1,0)=0,-999999,IF(Screener!$B$16="cornerstone overlap first",H433*100000,IF(Screener!$B$16="demand-similar first",J433*100000,0))+W_SUB*B433+W_SEC*C433*(1-B433)+W_SIZE*D433+W_PROF*E433+W_AH*F433+W_REC*G433+W_CS*H433+W_PE*I433)))+ROW()/1000000</f>
        <v/>
      </c>
      <c r="AA433">
        <f>Database!B423</f>
        <v/>
      </c>
      <c r="AB433">
        <f>Database!D423</f>
        <v/>
      </c>
      <c r="AC433">
        <f>Database!E423</f>
        <v/>
      </c>
      <c r="AD433">
        <f>Database!I423</f>
        <v/>
      </c>
      <c r="AE433">
        <f>Database!BE423</f>
        <v/>
      </c>
      <c r="AF433">
        <f>Database!BK423</f>
        <v/>
      </c>
      <c r="AG433">
        <f>Database!H423</f>
        <v/>
      </c>
      <c r="AH433">
        <f>Database!BF423</f>
        <v/>
      </c>
    </row>
    <row r="434">
      <c r="A434">
        <f>Database!B434</f>
        <v/>
      </c>
      <c r="B434">
        <f>IF(AND(Screener!$D$8&lt;&gt;"",Database!$E434=Screener!$D$8),1,0)</f>
        <v/>
      </c>
      <c r="C434">
        <f>IF(AND(Screener!$D$7&lt;&gt;"",Database!$D434=Screener!$D$7),1,0)</f>
        <v/>
      </c>
      <c r="D434">
        <f>IF(OR(N(Database!$I434)&lt;=0,N(Screener!$D$9)&lt;=0),0,MAX(0,1-ABS(LOG10(N(Database!$I434)/Screener!$D$9))/W_SIZEHW))</f>
        <v/>
      </c>
      <c r="E434">
        <f>IF(OR(Database!$BE434="",Screener!$D$10=""),0,IF(Database!$BE434=Screener!$D$10,1,0))</f>
        <v/>
      </c>
      <c r="F434">
        <f>IF(OR(Database!$BK434="",Screener!$D$11=""),0,IF(Database!$BK434=Screener!$D$11,1,0))</f>
        <v/>
      </c>
      <c r="G434">
        <f>IF(OR(Database!$H434="",N(Screener!$D$12)&lt;=0),0,MAX(0,1-(N(Screener!$D$12)-Database!$H434)/W_RECD))</f>
        <v/>
      </c>
      <c r="H434">
        <f>IF($U$1="",0,N(ISNUMBER(SEARCH($U$1,Database!$Z434&amp;""))))+IF($V$1="",0,N(ISNUMBER(SEARCH($V$1,Database!$Z434&amp;""))))+IF($W$1="",0,N(ISNUMBER(SEARCH($W$1,Database!$Z434&amp;""))))+IF($X$1="",0,N(ISNUMBER(SEARCH($X$1,Database!$Z434&amp;""))))+IF($Y$1="",0,N(ISNUMBER(SEARCH($Y$1,Database!$Z434&amp;""))))+IF(Screener!$B$17="",0,N(ISNUMBER(SEARCH(LOWER(Screener!$B$17),Database!$Z434&amp;""))))</f>
        <v/>
      </c>
      <c r="I434">
        <f>IF(OR(N(Database!$BF434)&lt;=0,N(Screener!$D$13)&lt;=0),0,MAX(0,1-ABS(LOG10(N(Database!$BF434)/Screener!$D$13))/W_PEHW))</f>
        <v/>
      </c>
      <c r="J434">
        <f>IF(OR(N(Database!$S434)&lt;=0,N(Screener!$D$14)&lt;=0),0,MAX(0,1-ABS(LOG10(Database!$S434/Screener!$D$14))/0.6))</f>
        <v/>
      </c>
      <c r="K434">
        <f>IF(Database!$B434=Screener!$B$5,-999999,IF(ISNUMBER(SEARCH(","&amp;Database!$A434&amp;",",","&amp;SUBSTITUTE(Screener!$D$17," ","")&amp;",")),2000000,IF(IF(OR(Screener!$B$18="All",AND(Screener!$B$18="With A-share",(Database!$BK434="Y")),AND(Screener!$B$18="Without A-share",NOT((Database!$BK434="Y")))),1,0)=0,-999999,IF(Screener!$B$16="cornerstone overlap first",H434*100000,IF(Screener!$B$16="demand-similar first",J434*100000,0))+W_SUB*B434+W_SEC*C434*(1-B434)+W_SIZE*D434+W_PROF*E434+W_AH*F434+W_REC*G434+W_CS*H434+W_PE*I434)))+ROW()/1000000</f>
        <v/>
      </c>
      <c r="AA434">
        <f>Database!B424</f>
        <v/>
      </c>
      <c r="AB434">
        <f>Database!D424</f>
        <v/>
      </c>
      <c r="AC434">
        <f>Database!E424</f>
        <v/>
      </c>
      <c r="AD434">
        <f>Database!I424</f>
        <v/>
      </c>
      <c r="AE434">
        <f>Database!BE424</f>
        <v/>
      </c>
      <c r="AF434">
        <f>Database!BK424</f>
        <v/>
      </c>
      <c r="AG434">
        <f>Database!H424</f>
        <v/>
      </c>
      <c r="AH434">
        <f>Database!BF424</f>
        <v/>
      </c>
    </row>
    <row r="435">
      <c r="A435">
        <f>Database!B435</f>
        <v/>
      </c>
      <c r="B435">
        <f>IF(AND(Screener!$D$8&lt;&gt;"",Database!$E435=Screener!$D$8),1,0)</f>
        <v/>
      </c>
      <c r="C435">
        <f>IF(AND(Screener!$D$7&lt;&gt;"",Database!$D435=Screener!$D$7),1,0)</f>
        <v/>
      </c>
      <c r="D435">
        <f>IF(OR(N(Database!$I435)&lt;=0,N(Screener!$D$9)&lt;=0),0,MAX(0,1-ABS(LOG10(N(Database!$I435)/Screener!$D$9))/W_SIZEHW))</f>
        <v/>
      </c>
      <c r="E435">
        <f>IF(OR(Database!$BE435="",Screener!$D$10=""),0,IF(Database!$BE435=Screener!$D$10,1,0))</f>
        <v/>
      </c>
      <c r="F435">
        <f>IF(OR(Database!$BK435="",Screener!$D$11=""),0,IF(Database!$BK435=Screener!$D$11,1,0))</f>
        <v/>
      </c>
      <c r="G435">
        <f>IF(OR(Database!$H435="",N(Screener!$D$12)&lt;=0),0,MAX(0,1-(N(Screener!$D$12)-Database!$H435)/W_RECD))</f>
        <v/>
      </c>
      <c r="H435">
        <f>IF($U$1="",0,N(ISNUMBER(SEARCH($U$1,Database!$Z435&amp;""))))+IF($V$1="",0,N(ISNUMBER(SEARCH($V$1,Database!$Z435&amp;""))))+IF($W$1="",0,N(ISNUMBER(SEARCH($W$1,Database!$Z435&amp;""))))+IF($X$1="",0,N(ISNUMBER(SEARCH($X$1,Database!$Z435&amp;""))))+IF($Y$1="",0,N(ISNUMBER(SEARCH($Y$1,Database!$Z435&amp;""))))+IF(Screener!$B$17="",0,N(ISNUMBER(SEARCH(LOWER(Screener!$B$17),Database!$Z435&amp;""))))</f>
        <v/>
      </c>
      <c r="I435">
        <f>IF(OR(N(Database!$BF435)&lt;=0,N(Screener!$D$13)&lt;=0),0,MAX(0,1-ABS(LOG10(N(Database!$BF435)/Screener!$D$13))/W_PEHW))</f>
        <v/>
      </c>
      <c r="J435">
        <f>IF(OR(N(Database!$S435)&lt;=0,N(Screener!$D$14)&lt;=0),0,MAX(0,1-ABS(LOG10(Database!$S435/Screener!$D$14))/0.6))</f>
        <v/>
      </c>
      <c r="K435">
        <f>IF(Database!$B435=Screener!$B$5,-999999,IF(ISNUMBER(SEARCH(","&amp;Database!$A435&amp;",",","&amp;SUBSTITUTE(Screener!$D$17," ","")&amp;",")),2000000,IF(IF(OR(Screener!$B$18="All",AND(Screener!$B$18="With A-share",(Database!$BK435="Y")),AND(Screener!$B$18="Without A-share",NOT((Database!$BK435="Y")))),1,0)=0,-999999,IF(Screener!$B$16="cornerstone overlap first",H435*100000,IF(Screener!$B$16="demand-similar first",J435*100000,0))+W_SUB*B435+W_SEC*C435*(1-B435)+W_SIZE*D435+W_PROF*E435+W_AH*F435+W_REC*G435+W_CS*H435+W_PE*I435)))+ROW()/1000000</f>
        <v/>
      </c>
      <c r="AA435">
        <f>Database!B425</f>
        <v/>
      </c>
      <c r="AB435">
        <f>Database!D425</f>
        <v/>
      </c>
      <c r="AC435">
        <f>Database!E425</f>
        <v/>
      </c>
      <c r="AD435">
        <f>Database!I425</f>
        <v/>
      </c>
      <c r="AE435">
        <f>Database!BE425</f>
        <v/>
      </c>
      <c r="AF435">
        <f>Database!BK425</f>
        <v/>
      </c>
      <c r="AG435">
        <f>Database!H425</f>
        <v/>
      </c>
      <c r="AH435">
        <f>Database!BF425</f>
        <v/>
      </c>
    </row>
    <row r="436">
      <c r="A436">
        <f>Database!B436</f>
        <v/>
      </c>
      <c r="B436">
        <f>IF(AND(Screener!$D$8&lt;&gt;"",Database!$E436=Screener!$D$8),1,0)</f>
        <v/>
      </c>
      <c r="C436">
        <f>IF(AND(Screener!$D$7&lt;&gt;"",Database!$D436=Screener!$D$7),1,0)</f>
        <v/>
      </c>
      <c r="D436">
        <f>IF(OR(N(Database!$I436)&lt;=0,N(Screener!$D$9)&lt;=0),0,MAX(0,1-ABS(LOG10(N(Database!$I436)/Screener!$D$9))/W_SIZEHW))</f>
        <v/>
      </c>
      <c r="E436">
        <f>IF(OR(Database!$BE436="",Screener!$D$10=""),0,IF(Database!$BE436=Screener!$D$10,1,0))</f>
        <v/>
      </c>
      <c r="F436">
        <f>IF(OR(Database!$BK436="",Screener!$D$11=""),0,IF(Database!$BK436=Screener!$D$11,1,0))</f>
        <v/>
      </c>
      <c r="G436">
        <f>IF(OR(Database!$H436="",N(Screener!$D$12)&lt;=0),0,MAX(0,1-(N(Screener!$D$12)-Database!$H436)/W_RECD))</f>
        <v/>
      </c>
      <c r="H436">
        <f>IF($U$1="",0,N(ISNUMBER(SEARCH($U$1,Database!$Z436&amp;""))))+IF($V$1="",0,N(ISNUMBER(SEARCH($V$1,Database!$Z436&amp;""))))+IF($W$1="",0,N(ISNUMBER(SEARCH($W$1,Database!$Z436&amp;""))))+IF($X$1="",0,N(ISNUMBER(SEARCH($X$1,Database!$Z436&amp;""))))+IF($Y$1="",0,N(ISNUMBER(SEARCH($Y$1,Database!$Z436&amp;""))))+IF(Screener!$B$17="",0,N(ISNUMBER(SEARCH(LOWER(Screener!$B$17),Database!$Z436&amp;""))))</f>
        <v/>
      </c>
      <c r="I436">
        <f>IF(OR(N(Database!$BF436)&lt;=0,N(Screener!$D$13)&lt;=0),0,MAX(0,1-ABS(LOG10(N(Database!$BF436)/Screener!$D$13))/W_PEHW))</f>
        <v/>
      </c>
      <c r="J436">
        <f>IF(OR(N(Database!$S436)&lt;=0,N(Screener!$D$14)&lt;=0),0,MAX(0,1-ABS(LOG10(Database!$S436/Screener!$D$14))/0.6))</f>
        <v/>
      </c>
      <c r="K436">
        <f>IF(Database!$B436=Screener!$B$5,-999999,IF(ISNUMBER(SEARCH(","&amp;Database!$A436&amp;",",","&amp;SUBSTITUTE(Screener!$D$17," ","")&amp;",")),2000000,IF(IF(OR(Screener!$B$18="All",AND(Screener!$B$18="With A-share",(Database!$BK436="Y")),AND(Screener!$B$18="Without A-share",NOT((Database!$BK436="Y")))),1,0)=0,-999999,IF(Screener!$B$16="cornerstone overlap first",H436*100000,IF(Screener!$B$16="demand-similar first",J436*100000,0))+W_SUB*B436+W_SEC*C436*(1-B436)+W_SIZE*D436+W_PROF*E436+W_AH*F436+W_REC*G436+W_CS*H436+W_PE*I436)))+ROW()/1000000</f>
        <v/>
      </c>
      <c r="AA436">
        <f>Database!B426</f>
        <v/>
      </c>
      <c r="AB436">
        <f>Database!D426</f>
        <v/>
      </c>
      <c r="AC436">
        <f>Database!E426</f>
        <v/>
      </c>
      <c r="AD436">
        <f>Database!I426</f>
        <v/>
      </c>
      <c r="AE436">
        <f>Database!BE426</f>
        <v/>
      </c>
      <c r="AF436">
        <f>Database!BK426</f>
        <v/>
      </c>
      <c r="AG436">
        <f>Database!H426</f>
        <v/>
      </c>
      <c r="AH436">
        <f>Database!BF426</f>
        <v/>
      </c>
    </row>
    <row r="437">
      <c r="A437">
        <f>Database!B437</f>
        <v/>
      </c>
      <c r="B437">
        <f>IF(AND(Screener!$D$8&lt;&gt;"",Database!$E437=Screener!$D$8),1,0)</f>
        <v/>
      </c>
      <c r="C437">
        <f>IF(AND(Screener!$D$7&lt;&gt;"",Database!$D437=Screener!$D$7),1,0)</f>
        <v/>
      </c>
      <c r="D437">
        <f>IF(OR(N(Database!$I437)&lt;=0,N(Screener!$D$9)&lt;=0),0,MAX(0,1-ABS(LOG10(N(Database!$I437)/Screener!$D$9))/W_SIZEHW))</f>
        <v/>
      </c>
      <c r="E437">
        <f>IF(OR(Database!$BE437="",Screener!$D$10=""),0,IF(Database!$BE437=Screener!$D$10,1,0))</f>
        <v/>
      </c>
      <c r="F437">
        <f>IF(OR(Database!$BK437="",Screener!$D$11=""),0,IF(Database!$BK437=Screener!$D$11,1,0))</f>
        <v/>
      </c>
      <c r="G437">
        <f>IF(OR(Database!$H437="",N(Screener!$D$12)&lt;=0),0,MAX(0,1-(N(Screener!$D$12)-Database!$H437)/W_RECD))</f>
        <v/>
      </c>
      <c r="H437">
        <f>IF($U$1="",0,N(ISNUMBER(SEARCH($U$1,Database!$Z437&amp;""))))+IF($V$1="",0,N(ISNUMBER(SEARCH($V$1,Database!$Z437&amp;""))))+IF($W$1="",0,N(ISNUMBER(SEARCH($W$1,Database!$Z437&amp;""))))+IF($X$1="",0,N(ISNUMBER(SEARCH($X$1,Database!$Z437&amp;""))))+IF($Y$1="",0,N(ISNUMBER(SEARCH($Y$1,Database!$Z437&amp;""))))+IF(Screener!$B$17="",0,N(ISNUMBER(SEARCH(LOWER(Screener!$B$17),Database!$Z437&amp;""))))</f>
        <v/>
      </c>
      <c r="I437">
        <f>IF(OR(N(Database!$BF437)&lt;=0,N(Screener!$D$13)&lt;=0),0,MAX(0,1-ABS(LOG10(N(Database!$BF437)/Screener!$D$13))/W_PEHW))</f>
        <v/>
      </c>
      <c r="J437">
        <f>IF(OR(N(Database!$S437)&lt;=0,N(Screener!$D$14)&lt;=0),0,MAX(0,1-ABS(LOG10(Database!$S437/Screener!$D$14))/0.6))</f>
        <v/>
      </c>
      <c r="K437">
        <f>IF(Database!$B437=Screener!$B$5,-999999,IF(ISNUMBER(SEARCH(","&amp;Database!$A437&amp;",",","&amp;SUBSTITUTE(Screener!$D$17," ","")&amp;",")),2000000,IF(IF(OR(Screener!$B$18="All",AND(Screener!$B$18="With A-share",(Database!$BK437="Y")),AND(Screener!$B$18="Without A-share",NOT((Database!$BK437="Y")))),1,0)=0,-999999,IF(Screener!$B$16="cornerstone overlap first",H437*100000,IF(Screener!$B$16="demand-similar first",J437*100000,0))+W_SUB*B437+W_SEC*C437*(1-B437)+W_SIZE*D437+W_PROF*E437+W_AH*F437+W_REC*G437+W_CS*H437+W_PE*I437)))+ROW()/1000000</f>
        <v/>
      </c>
      <c r="AA437">
        <f>Database!B427</f>
        <v/>
      </c>
      <c r="AB437">
        <f>Database!D427</f>
        <v/>
      </c>
      <c r="AC437">
        <f>Database!E427</f>
        <v/>
      </c>
      <c r="AD437">
        <f>Database!I427</f>
        <v/>
      </c>
      <c r="AE437">
        <f>Database!BE427</f>
        <v/>
      </c>
      <c r="AF437">
        <f>Database!BK427</f>
        <v/>
      </c>
      <c r="AG437">
        <f>Database!H427</f>
        <v/>
      </c>
      <c r="AH437">
        <f>Database!BF427</f>
        <v/>
      </c>
    </row>
    <row r="438">
      <c r="A438">
        <f>Database!B438</f>
        <v/>
      </c>
      <c r="B438">
        <f>IF(AND(Screener!$D$8&lt;&gt;"",Database!$E438=Screener!$D$8),1,0)</f>
        <v/>
      </c>
      <c r="C438">
        <f>IF(AND(Screener!$D$7&lt;&gt;"",Database!$D438=Screener!$D$7),1,0)</f>
        <v/>
      </c>
      <c r="D438">
        <f>IF(OR(N(Database!$I438)&lt;=0,N(Screener!$D$9)&lt;=0),0,MAX(0,1-ABS(LOG10(N(Database!$I438)/Screener!$D$9))/W_SIZEHW))</f>
        <v/>
      </c>
      <c r="E438">
        <f>IF(OR(Database!$BE438="",Screener!$D$10=""),0,IF(Database!$BE438=Screener!$D$10,1,0))</f>
        <v/>
      </c>
      <c r="F438">
        <f>IF(OR(Database!$BK438="",Screener!$D$11=""),0,IF(Database!$BK438=Screener!$D$11,1,0))</f>
        <v/>
      </c>
      <c r="G438">
        <f>IF(OR(Database!$H438="",N(Screener!$D$12)&lt;=0),0,MAX(0,1-(N(Screener!$D$12)-Database!$H438)/W_RECD))</f>
        <v/>
      </c>
      <c r="H438">
        <f>IF($U$1="",0,N(ISNUMBER(SEARCH($U$1,Database!$Z438&amp;""))))+IF($V$1="",0,N(ISNUMBER(SEARCH($V$1,Database!$Z438&amp;""))))+IF($W$1="",0,N(ISNUMBER(SEARCH($W$1,Database!$Z438&amp;""))))+IF($X$1="",0,N(ISNUMBER(SEARCH($X$1,Database!$Z438&amp;""))))+IF($Y$1="",0,N(ISNUMBER(SEARCH($Y$1,Database!$Z438&amp;""))))+IF(Screener!$B$17="",0,N(ISNUMBER(SEARCH(LOWER(Screener!$B$17),Database!$Z438&amp;""))))</f>
        <v/>
      </c>
      <c r="I438">
        <f>IF(OR(N(Database!$BF438)&lt;=0,N(Screener!$D$13)&lt;=0),0,MAX(0,1-ABS(LOG10(N(Database!$BF438)/Screener!$D$13))/W_PEHW))</f>
        <v/>
      </c>
      <c r="J438">
        <f>IF(OR(N(Database!$S438)&lt;=0,N(Screener!$D$14)&lt;=0),0,MAX(0,1-ABS(LOG10(Database!$S438/Screener!$D$14))/0.6))</f>
        <v/>
      </c>
      <c r="K438">
        <f>IF(Database!$B438=Screener!$B$5,-999999,IF(ISNUMBER(SEARCH(","&amp;Database!$A438&amp;",",","&amp;SUBSTITUTE(Screener!$D$17," ","")&amp;",")),2000000,IF(IF(OR(Screener!$B$18="All",AND(Screener!$B$18="With A-share",(Database!$BK438="Y")),AND(Screener!$B$18="Without A-share",NOT((Database!$BK438="Y")))),1,0)=0,-999999,IF(Screener!$B$16="cornerstone overlap first",H438*100000,IF(Screener!$B$16="demand-similar first",J438*100000,0))+W_SUB*B438+W_SEC*C438*(1-B438)+W_SIZE*D438+W_PROF*E438+W_AH*F438+W_REC*G438+W_CS*H438+W_PE*I438)))+ROW()/1000000</f>
        <v/>
      </c>
      <c r="AA438">
        <f>Database!B428</f>
        <v/>
      </c>
      <c r="AB438">
        <f>Database!D428</f>
        <v/>
      </c>
      <c r="AC438">
        <f>Database!E428</f>
        <v/>
      </c>
      <c r="AD438">
        <f>Database!I428</f>
        <v/>
      </c>
      <c r="AE438">
        <f>Database!BE428</f>
        <v/>
      </c>
      <c r="AF438">
        <f>Database!BK428</f>
        <v/>
      </c>
      <c r="AG438">
        <f>Database!H428</f>
        <v/>
      </c>
      <c r="AH438">
        <f>Database!BF428</f>
        <v/>
      </c>
    </row>
    <row r="439">
      <c r="A439">
        <f>Database!B439</f>
        <v/>
      </c>
      <c r="B439">
        <f>IF(AND(Screener!$D$8&lt;&gt;"",Database!$E439=Screener!$D$8),1,0)</f>
        <v/>
      </c>
      <c r="C439">
        <f>IF(AND(Screener!$D$7&lt;&gt;"",Database!$D439=Screener!$D$7),1,0)</f>
        <v/>
      </c>
      <c r="D439">
        <f>IF(OR(N(Database!$I439)&lt;=0,N(Screener!$D$9)&lt;=0),0,MAX(0,1-ABS(LOG10(N(Database!$I439)/Screener!$D$9))/W_SIZEHW))</f>
        <v/>
      </c>
      <c r="E439">
        <f>IF(OR(Database!$BE439="",Screener!$D$10=""),0,IF(Database!$BE439=Screener!$D$10,1,0))</f>
        <v/>
      </c>
      <c r="F439">
        <f>IF(OR(Database!$BK439="",Screener!$D$11=""),0,IF(Database!$BK439=Screener!$D$11,1,0))</f>
        <v/>
      </c>
      <c r="G439">
        <f>IF(OR(Database!$H439="",N(Screener!$D$12)&lt;=0),0,MAX(0,1-(N(Screener!$D$12)-Database!$H439)/W_RECD))</f>
        <v/>
      </c>
      <c r="H439">
        <f>IF($U$1="",0,N(ISNUMBER(SEARCH($U$1,Database!$Z439&amp;""))))+IF($V$1="",0,N(ISNUMBER(SEARCH($V$1,Database!$Z439&amp;""))))+IF($W$1="",0,N(ISNUMBER(SEARCH($W$1,Database!$Z439&amp;""))))+IF($X$1="",0,N(ISNUMBER(SEARCH($X$1,Database!$Z439&amp;""))))+IF($Y$1="",0,N(ISNUMBER(SEARCH($Y$1,Database!$Z439&amp;""))))+IF(Screener!$B$17="",0,N(ISNUMBER(SEARCH(LOWER(Screener!$B$17),Database!$Z439&amp;""))))</f>
        <v/>
      </c>
      <c r="I439">
        <f>IF(OR(N(Database!$BF439)&lt;=0,N(Screener!$D$13)&lt;=0),0,MAX(0,1-ABS(LOG10(N(Database!$BF439)/Screener!$D$13))/W_PEHW))</f>
        <v/>
      </c>
      <c r="J439">
        <f>IF(OR(N(Database!$S439)&lt;=0,N(Screener!$D$14)&lt;=0),0,MAX(0,1-ABS(LOG10(Database!$S439/Screener!$D$14))/0.6))</f>
        <v/>
      </c>
      <c r="K439">
        <f>IF(Database!$B439=Screener!$B$5,-999999,IF(ISNUMBER(SEARCH(","&amp;Database!$A439&amp;",",","&amp;SUBSTITUTE(Screener!$D$17," ","")&amp;",")),2000000,IF(IF(OR(Screener!$B$18="All",AND(Screener!$B$18="With A-share",(Database!$BK439="Y")),AND(Screener!$B$18="Without A-share",NOT((Database!$BK439="Y")))),1,0)=0,-999999,IF(Screener!$B$16="cornerstone overlap first",H439*100000,IF(Screener!$B$16="demand-similar first",J439*100000,0))+W_SUB*B439+W_SEC*C439*(1-B439)+W_SIZE*D439+W_PROF*E439+W_AH*F439+W_REC*G439+W_CS*H439+W_PE*I439)))+ROW()/1000000</f>
        <v/>
      </c>
      <c r="AA439">
        <f>Database!B429</f>
        <v/>
      </c>
      <c r="AB439">
        <f>Database!D429</f>
        <v/>
      </c>
      <c r="AC439">
        <f>Database!E429</f>
        <v/>
      </c>
      <c r="AD439">
        <f>Database!I429</f>
        <v/>
      </c>
      <c r="AE439">
        <f>Database!BE429</f>
        <v/>
      </c>
      <c r="AF439">
        <f>Database!BK429</f>
        <v/>
      </c>
      <c r="AG439">
        <f>Database!H429</f>
        <v/>
      </c>
      <c r="AH439">
        <f>Database!BF429</f>
        <v/>
      </c>
    </row>
    <row r="440">
      <c r="A440">
        <f>Database!B440</f>
        <v/>
      </c>
      <c r="B440">
        <f>IF(AND(Screener!$D$8&lt;&gt;"",Database!$E440=Screener!$D$8),1,0)</f>
        <v/>
      </c>
      <c r="C440">
        <f>IF(AND(Screener!$D$7&lt;&gt;"",Database!$D440=Screener!$D$7),1,0)</f>
        <v/>
      </c>
      <c r="D440">
        <f>IF(OR(N(Database!$I440)&lt;=0,N(Screener!$D$9)&lt;=0),0,MAX(0,1-ABS(LOG10(N(Database!$I440)/Screener!$D$9))/W_SIZEHW))</f>
        <v/>
      </c>
      <c r="E440">
        <f>IF(OR(Database!$BE440="",Screener!$D$10=""),0,IF(Database!$BE440=Screener!$D$10,1,0))</f>
        <v/>
      </c>
      <c r="F440">
        <f>IF(OR(Database!$BK440="",Screener!$D$11=""),0,IF(Database!$BK440=Screener!$D$11,1,0))</f>
        <v/>
      </c>
      <c r="G440">
        <f>IF(OR(Database!$H440="",N(Screener!$D$12)&lt;=0),0,MAX(0,1-(N(Screener!$D$12)-Database!$H440)/W_RECD))</f>
        <v/>
      </c>
      <c r="H440">
        <f>IF($U$1="",0,N(ISNUMBER(SEARCH($U$1,Database!$Z440&amp;""))))+IF($V$1="",0,N(ISNUMBER(SEARCH($V$1,Database!$Z440&amp;""))))+IF($W$1="",0,N(ISNUMBER(SEARCH($W$1,Database!$Z440&amp;""))))+IF($X$1="",0,N(ISNUMBER(SEARCH($X$1,Database!$Z440&amp;""))))+IF($Y$1="",0,N(ISNUMBER(SEARCH($Y$1,Database!$Z440&amp;""))))+IF(Screener!$B$17="",0,N(ISNUMBER(SEARCH(LOWER(Screener!$B$17),Database!$Z440&amp;""))))</f>
        <v/>
      </c>
      <c r="I440">
        <f>IF(OR(N(Database!$BF440)&lt;=0,N(Screener!$D$13)&lt;=0),0,MAX(0,1-ABS(LOG10(N(Database!$BF440)/Screener!$D$13))/W_PEHW))</f>
        <v/>
      </c>
      <c r="J440">
        <f>IF(OR(N(Database!$S440)&lt;=0,N(Screener!$D$14)&lt;=0),0,MAX(0,1-ABS(LOG10(Database!$S440/Screener!$D$14))/0.6))</f>
        <v/>
      </c>
      <c r="K440">
        <f>IF(Database!$B440=Screener!$B$5,-999999,IF(ISNUMBER(SEARCH(","&amp;Database!$A440&amp;",",","&amp;SUBSTITUTE(Screener!$D$17," ","")&amp;",")),2000000,IF(IF(OR(Screener!$B$18="All",AND(Screener!$B$18="With A-share",(Database!$BK440="Y")),AND(Screener!$B$18="Without A-share",NOT((Database!$BK440="Y")))),1,0)=0,-999999,IF(Screener!$B$16="cornerstone overlap first",H440*100000,IF(Screener!$B$16="demand-similar first",J440*100000,0))+W_SUB*B440+W_SEC*C440*(1-B440)+W_SIZE*D440+W_PROF*E440+W_AH*F440+W_REC*G440+W_CS*H440+W_PE*I440)))+ROW()/1000000</f>
        <v/>
      </c>
      <c r="AA440">
        <f>Database!B430</f>
        <v/>
      </c>
      <c r="AB440">
        <f>Database!D430</f>
        <v/>
      </c>
      <c r="AC440">
        <f>Database!E430</f>
        <v/>
      </c>
      <c r="AD440">
        <f>Database!I430</f>
        <v/>
      </c>
      <c r="AE440">
        <f>Database!BE430</f>
        <v/>
      </c>
      <c r="AF440">
        <f>Database!BK430</f>
        <v/>
      </c>
      <c r="AG440">
        <f>Database!H430</f>
        <v/>
      </c>
      <c r="AH440">
        <f>Database!BF430</f>
        <v/>
      </c>
    </row>
    <row r="441">
      <c r="A441">
        <f>Database!B441</f>
        <v/>
      </c>
      <c r="B441">
        <f>IF(AND(Screener!$D$8&lt;&gt;"",Database!$E441=Screener!$D$8),1,0)</f>
        <v/>
      </c>
      <c r="C441">
        <f>IF(AND(Screener!$D$7&lt;&gt;"",Database!$D441=Screener!$D$7),1,0)</f>
        <v/>
      </c>
      <c r="D441">
        <f>IF(OR(N(Database!$I441)&lt;=0,N(Screener!$D$9)&lt;=0),0,MAX(0,1-ABS(LOG10(N(Database!$I441)/Screener!$D$9))/W_SIZEHW))</f>
        <v/>
      </c>
      <c r="E441">
        <f>IF(OR(Database!$BE441="",Screener!$D$10=""),0,IF(Database!$BE441=Screener!$D$10,1,0))</f>
        <v/>
      </c>
      <c r="F441">
        <f>IF(OR(Database!$BK441="",Screener!$D$11=""),0,IF(Database!$BK441=Screener!$D$11,1,0))</f>
        <v/>
      </c>
      <c r="G441">
        <f>IF(OR(Database!$H441="",N(Screener!$D$12)&lt;=0),0,MAX(0,1-(N(Screener!$D$12)-Database!$H441)/W_RECD))</f>
        <v/>
      </c>
      <c r="H441">
        <f>IF($U$1="",0,N(ISNUMBER(SEARCH($U$1,Database!$Z441&amp;""))))+IF($V$1="",0,N(ISNUMBER(SEARCH($V$1,Database!$Z441&amp;""))))+IF($W$1="",0,N(ISNUMBER(SEARCH($W$1,Database!$Z441&amp;""))))+IF($X$1="",0,N(ISNUMBER(SEARCH($X$1,Database!$Z441&amp;""))))+IF($Y$1="",0,N(ISNUMBER(SEARCH($Y$1,Database!$Z441&amp;""))))+IF(Screener!$B$17="",0,N(ISNUMBER(SEARCH(LOWER(Screener!$B$17),Database!$Z441&amp;""))))</f>
        <v/>
      </c>
      <c r="I441">
        <f>IF(OR(N(Database!$BF441)&lt;=0,N(Screener!$D$13)&lt;=0),0,MAX(0,1-ABS(LOG10(N(Database!$BF441)/Screener!$D$13))/W_PEHW))</f>
        <v/>
      </c>
      <c r="J441">
        <f>IF(OR(N(Database!$S441)&lt;=0,N(Screener!$D$14)&lt;=0),0,MAX(0,1-ABS(LOG10(Database!$S441/Screener!$D$14))/0.6))</f>
        <v/>
      </c>
      <c r="K441">
        <f>IF(Database!$B441=Screener!$B$5,-999999,IF(ISNUMBER(SEARCH(","&amp;Database!$A441&amp;",",","&amp;SUBSTITUTE(Screener!$D$17," ","")&amp;",")),2000000,IF(IF(OR(Screener!$B$18="All",AND(Screener!$B$18="With A-share",(Database!$BK441="Y")),AND(Screener!$B$18="Without A-share",NOT((Database!$BK441="Y")))),1,0)=0,-999999,IF(Screener!$B$16="cornerstone overlap first",H441*100000,IF(Screener!$B$16="demand-similar first",J441*100000,0))+W_SUB*B441+W_SEC*C441*(1-B441)+W_SIZE*D441+W_PROF*E441+W_AH*F441+W_REC*G441+W_CS*H441+W_PE*I441)))+ROW()/1000000</f>
        <v/>
      </c>
      <c r="AA441">
        <f>Database!B431</f>
        <v/>
      </c>
      <c r="AB441">
        <f>Database!D431</f>
        <v/>
      </c>
      <c r="AC441">
        <f>Database!E431</f>
        <v/>
      </c>
      <c r="AD441">
        <f>Database!I431</f>
        <v/>
      </c>
      <c r="AE441">
        <f>Database!BE431</f>
        <v/>
      </c>
      <c r="AF441">
        <f>Database!BK431</f>
        <v/>
      </c>
      <c r="AG441">
        <f>Database!H431</f>
        <v/>
      </c>
      <c r="AH441">
        <f>Database!BF431</f>
        <v/>
      </c>
    </row>
    <row r="442">
      <c r="A442">
        <f>Database!B442</f>
        <v/>
      </c>
      <c r="B442">
        <f>IF(AND(Screener!$D$8&lt;&gt;"",Database!$E442=Screener!$D$8),1,0)</f>
        <v/>
      </c>
      <c r="C442">
        <f>IF(AND(Screener!$D$7&lt;&gt;"",Database!$D442=Screener!$D$7),1,0)</f>
        <v/>
      </c>
      <c r="D442">
        <f>IF(OR(N(Database!$I442)&lt;=0,N(Screener!$D$9)&lt;=0),0,MAX(0,1-ABS(LOG10(N(Database!$I442)/Screener!$D$9))/W_SIZEHW))</f>
        <v/>
      </c>
      <c r="E442">
        <f>IF(OR(Database!$BE442="",Screener!$D$10=""),0,IF(Database!$BE442=Screener!$D$10,1,0))</f>
        <v/>
      </c>
      <c r="F442">
        <f>IF(OR(Database!$BK442="",Screener!$D$11=""),0,IF(Database!$BK442=Screener!$D$11,1,0))</f>
        <v/>
      </c>
      <c r="G442">
        <f>IF(OR(Database!$H442="",N(Screener!$D$12)&lt;=0),0,MAX(0,1-(N(Screener!$D$12)-Database!$H442)/W_RECD))</f>
        <v/>
      </c>
      <c r="H442">
        <f>IF($U$1="",0,N(ISNUMBER(SEARCH($U$1,Database!$Z442&amp;""))))+IF($V$1="",0,N(ISNUMBER(SEARCH($V$1,Database!$Z442&amp;""))))+IF($W$1="",0,N(ISNUMBER(SEARCH($W$1,Database!$Z442&amp;""))))+IF($X$1="",0,N(ISNUMBER(SEARCH($X$1,Database!$Z442&amp;""))))+IF($Y$1="",0,N(ISNUMBER(SEARCH($Y$1,Database!$Z442&amp;""))))+IF(Screener!$B$17="",0,N(ISNUMBER(SEARCH(LOWER(Screener!$B$17),Database!$Z442&amp;""))))</f>
        <v/>
      </c>
      <c r="I442">
        <f>IF(OR(N(Database!$BF442)&lt;=0,N(Screener!$D$13)&lt;=0),0,MAX(0,1-ABS(LOG10(N(Database!$BF442)/Screener!$D$13))/W_PEHW))</f>
        <v/>
      </c>
      <c r="J442">
        <f>IF(OR(N(Database!$S442)&lt;=0,N(Screener!$D$14)&lt;=0),0,MAX(0,1-ABS(LOG10(Database!$S442/Screener!$D$14))/0.6))</f>
        <v/>
      </c>
      <c r="K442">
        <f>IF(Database!$B442=Screener!$B$5,-999999,IF(ISNUMBER(SEARCH(","&amp;Database!$A442&amp;",",","&amp;SUBSTITUTE(Screener!$D$17," ","")&amp;",")),2000000,IF(IF(OR(Screener!$B$18="All",AND(Screener!$B$18="With A-share",(Database!$BK442="Y")),AND(Screener!$B$18="Without A-share",NOT((Database!$BK442="Y")))),1,0)=0,-999999,IF(Screener!$B$16="cornerstone overlap first",H442*100000,IF(Screener!$B$16="demand-similar first",J442*100000,0))+W_SUB*B442+W_SEC*C442*(1-B442)+W_SIZE*D442+W_PROF*E442+W_AH*F442+W_REC*G442+W_CS*H442+W_PE*I442)))+ROW()/1000000</f>
        <v/>
      </c>
      <c r="AA442">
        <f>Database!B432</f>
        <v/>
      </c>
      <c r="AB442">
        <f>Database!D432</f>
        <v/>
      </c>
      <c r="AC442">
        <f>Database!E432</f>
        <v/>
      </c>
      <c r="AD442">
        <f>Database!I432</f>
        <v/>
      </c>
      <c r="AE442">
        <f>Database!BE432</f>
        <v/>
      </c>
      <c r="AF442">
        <f>Database!BK432</f>
        <v/>
      </c>
      <c r="AG442">
        <f>Database!H432</f>
        <v/>
      </c>
      <c r="AH442">
        <f>Database!BF432</f>
        <v/>
      </c>
    </row>
    <row r="443">
      <c r="A443">
        <f>Database!B443</f>
        <v/>
      </c>
      <c r="B443">
        <f>IF(AND(Screener!$D$8&lt;&gt;"",Database!$E443=Screener!$D$8),1,0)</f>
        <v/>
      </c>
      <c r="C443">
        <f>IF(AND(Screener!$D$7&lt;&gt;"",Database!$D443=Screener!$D$7),1,0)</f>
        <v/>
      </c>
      <c r="D443">
        <f>IF(OR(N(Database!$I443)&lt;=0,N(Screener!$D$9)&lt;=0),0,MAX(0,1-ABS(LOG10(N(Database!$I443)/Screener!$D$9))/W_SIZEHW))</f>
        <v/>
      </c>
      <c r="E443">
        <f>IF(OR(Database!$BE443="",Screener!$D$10=""),0,IF(Database!$BE443=Screener!$D$10,1,0))</f>
        <v/>
      </c>
      <c r="F443">
        <f>IF(OR(Database!$BK443="",Screener!$D$11=""),0,IF(Database!$BK443=Screener!$D$11,1,0))</f>
        <v/>
      </c>
      <c r="G443">
        <f>IF(OR(Database!$H443="",N(Screener!$D$12)&lt;=0),0,MAX(0,1-(N(Screener!$D$12)-Database!$H443)/W_RECD))</f>
        <v/>
      </c>
      <c r="H443">
        <f>IF($U$1="",0,N(ISNUMBER(SEARCH($U$1,Database!$Z443&amp;""))))+IF($V$1="",0,N(ISNUMBER(SEARCH($V$1,Database!$Z443&amp;""))))+IF($W$1="",0,N(ISNUMBER(SEARCH($W$1,Database!$Z443&amp;""))))+IF($X$1="",0,N(ISNUMBER(SEARCH($X$1,Database!$Z443&amp;""))))+IF($Y$1="",0,N(ISNUMBER(SEARCH($Y$1,Database!$Z443&amp;""))))+IF(Screener!$B$17="",0,N(ISNUMBER(SEARCH(LOWER(Screener!$B$17),Database!$Z443&amp;""))))</f>
        <v/>
      </c>
      <c r="I443">
        <f>IF(OR(N(Database!$BF443)&lt;=0,N(Screener!$D$13)&lt;=0),0,MAX(0,1-ABS(LOG10(N(Database!$BF443)/Screener!$D$13))/W_PEHW))</f>
        <v/>
      </c>
      <c r="J443">
        <f>IF(OR(N(Database!$S443)&lt;=0,N(Screener!$D$14)&lt;=0),0,MAX(0,1-ABS(LOG10(Database!$S443/Screener!$D$14))/0.6))</f>
        <v/>
      </c>
      <c r="K443">
        <f>IF(Database!$B443=Screener!$B$5,-999999,IF(ISNUMBER(SEARCH(","&amp;Database!$A443&amp;",",","&amp;SUBSTITUTE(Screener!$D$17," ","")&amp;",")),2000000,IF(IF(OR(Screener!$B$18="All",AND(Screener!$B$18="With A-share",(Database!$BK443="Y")),AND(Screener!$B$18="Without A-share",NOT((Database!$BK443="Y")))),1,0)=0,-999999,IF(Screener!$B$16="cornerstone overlap first",H443*100000,IF(Screener!$B$16="demand-similar first",J443*100000,0))+W_SUB*B443+W_SEC*C443*(1-B443)+W_SIZE*D443+W_PROF*E443+W_AH*F443+W_REC*G443+W_CS*H443+W_PE*I443)))+ROW()/1000000</f>
        <v/>
      </c>
      <c r="AA443">
        <f>Database!B433</f>
        <v/>
      </c>
      <c r="AB443">
        <f>Database!D433</f>
        <v/>
      </c>
      <c r="AC443">
        <f>Database!E433</f>
        <v/>
      </c>
      <c r="AD443">
        <f>Database!I433</f>
        <v/>
      </c>
      <c r="AE443">
        <f>Database!BE433</f>
        <v/>
      </c>
      <c r="AF443">
        <f>Database!BK433</f>
        <v/>
      </c>
      <c r="AG443">
        <f>Database!H433</f>
        <v/>
      </c>
      <c r="AH443">
        <f>Database!BF433</f>
        <v/>
      </c>
    </row>
    <row r="444">
      <c r="A444">
        <f>Database!B444</f>
        <v/>
      </c>
      <c r="B444">
        <f>IF(AND(Screener!$D$8&lt;&gt;"",Database!$E444=Screener!$D$8),1,0)</f>
        <v/>
      </c>
      <c r="C444">
        <f>IF(AND(Screener!$D$7&lt;&gt;"",Database!$D444=Screener!$D$7),1,0)</f>
        <v/>
      </c>
      <c r="D444">
        <f>IF(OR(N(Database!$I444)&lt;=0,N(Screener!$D$9)&lt;=0),0,MAX(0,1-ABS(LOG10(N(Database!$I444)/Screener!$D$9))/W_SIZEHW))</f>
        <v/>
      </c>
      <c r="E444">
        <f>IF(OR(Database!$BE444="",Screener!$D$10=""),0,IF(Database!$BE444=Screener!$D$10,1,0))</f>
        <v/>
      </c>
      <c r="F444">
        <f>IF(OR(Database!$BK444="",Screener!$D$11=""),0,IF(Database!$BK444=Screener!$D$11,1,0))</f>
        <v/>
      </c>
      <c r="G444">
        <f>IF(OR(Database!$H444="",N(Screener!$D$12)&lt;=0),0,MAX(0,1-(N(Screener!$D$12)-Database!$H444)/W_RECD))</f>
        <v/>
      </c>
      <c r="H444">
        <f>IF($U$1="",0,N(ISNUMBER(SEARCH($U$1,Database!$Z444&amp;""))))+IF($V$1="",0,N(ISNUMBER(SEARCH($V$1,Database!$Z444&amp;""))))+IF($W$1="",0,N(ISNUMBER(SEARCH($W$1,Database!$Z444&amp;""))))+IF($X$1="",0,N(ISNUMBER(SEARCH($X$1,Database!$Z444&amp;""))))+IF($Y$1="",0,N(ISNUMBER(SEARCH($Y$1,Database!$Z444&amp;""))))+IF(Screener!$B$17="",0,N(ISNUMBER(SEARCH(LOWER(Screener!$B$17),Database!$Z444&amp;""))))</f>
        <v/>
      </c>
      <c r="I444">
        <f>IF(OR(N(Database!$BF444)&lt;=0,N(Screener!$D$13)&lt;=0),0,MAX(0,1-ABS(LOG10(N(Database!$BF444)/Screener!$D$13))/W_PEHW))</f>
        <v/>
      </c>
      <c r="J444">
        <f>IF(OR(N(Database!$S444)&lt;=0,N(Screener!$D$14)&lt;=0),0,MAX(0,1-ABS(LOG10(Database!$S444/Screener!$D$14))/0.6))</f>
        <v/>
      </c>
      <c r="K444">
        <f>IF(Database!$B444=Screener!$B$5,-999999,IF(ISNUMBER(SEARCH(","&amp;Database!$A444&amp;",",","&amp;SUBSTITUTE(Screener!$D$17," ","")&amp;",")),2000000,IF(IF(OR(Screener!$B$18="All",AND(Screener!$B$18="With A-share",(Database!$BK444="Y")),AND(Screener!$B$18="Without A-share",NOT((Database!$BK444="Y")))),1,0)=0,-999999,IF(Screener!$B$16="cornerstone overlap first",H444*100000,IF(Screener!$B$16="demand-similar first",J444*100000,0))+W_SUB*B444+W_SEC*C444*(1-B444)+W_SIZE*D444+W_PROF*E444+W_AH*F444+W_REC*G444+W_CS*H444+W_PE*I444)))+ROW()/1000000</f>
        <v/>
      </c>
      <c r="AA444">
        <f>Database!B434</f>
        <v/>
      </c>
      <c r="AB444">
        <f>Database!D434</f>
        <v/>
      </c>
      <c r="AC444">
        <f>Database!E434</f>
        <v/>
      </c>
      <c r="AD444">
        <f>Database!I434</f>
        <v/>
      </c>
      <c r="AE444">
        <f>Database!BE434</f>
        <v/>
      </c>
      <c r="AF444">
        <f>Database!BK434</f>
        <v/>
      </c>
      <c r="AG444">
        <f>Database!H434</f>
        <v/>
      </c>
      <c r="AH444">
        <f>Database!BF434</f>
        <v/>
      </c>
    </row>
    <row r="445">
      <c r="A445">
        <f>Database!B445</f>
        <v/>
      </c>
      <c r="B445">
        <f>IF(AND(Screener!$D$8&lt;&gt;"",Database!$E445=Screener!$D$8),1,0)</f>
        <v/>
      </c>
      <c r="C445">
        <f>IF(AND(Screener!$D$7&lt;&gt;"",Database!$D445=Screener!$D$7),1,0)</f>
        <v/>
      </c>
      <c r="D445">
        <f>IF(OR(N(Database!$I445)&lt;=0,N(Screener!$D$9)&lt;=0),0,MAX(0,1-ABS(LOG10(N(Database!$I445)/Screener!$D$9))/W_SIZEHW))</f>
        <v/>
      </c>
      <c r="E445">
        <f>IF(OR(Database!$BE445="",Screener!$D$10=""),0,IF(Database!$BE445=Screener!$D$10,1,0))</f>
        <v/>
      </c>
      <c r="F445">
        <f>IF(OR(Database!$BK445="",Screener!$D$11=""),0,IF(Database!$BK445=Screener!$D$11,1,0))</f>
        <v/>
      </c>
      <c r="G445">
        <f>IF(OR(Database!$H445="",N(Screener!$D$12)&lt;=0),0,MAX(0,1-(N(Screener!$D$12)-Database!$H445)/W_RECD))</f>
        <v/>
      </c>
      <c r="H445">
        <f>IF($U$1="",0,N(ISNUMBER(SEARCH($U$1,Database!$Z445&amp;""))))+IF($V$1="",0,N(ISNUMBER(SEARCH($V$1,Database!$Z445&amp;""))))+IF($W$1="",0,N(ISNUMBER(SEARCH($W$1,Database!$Z445&amp;""))))+IF($X$1="",0,N(ISNUMBER(SEARCH($X$1,Database!$Z445&amp;""))))+IF($Y$1="",0,N(ISNUMBER(SEARCH($Y$1,Database!$Z445&amp;""))))+IF(Screener!$B$17="",0,N(ISNUMBER(SEARCH(LOWER(Screener!$B$17),Database!$Z445&amp;""))))</f>
        <v/>
      </c>
      <c r="I445">
        <f>IF(OR(N(Database!$BF445)&lt;=0,N(Screener!$D$13)&lt;=0),0,MAX(0,1-ABS(LOG10(N(Database!$BF445)/Screener!$D$13))/W_PEHW))</f>
        <v/>
      </c>
      <c r="J445">
        <f>IF(OR(N(Database!$S445)&lt;=0,N(Screener!$D$14)&lt;=0),0,MAX(0,1-ABS(LOG10(Database!$S445/Screener!$D$14))/0.6))</f>
        <v/>
      </c>
      <c r="K445">
        <f>IF(Database!$B445=Screener!$B$5,-999999,IF(ISNUMBER(SEARCH(","&amp;Database!$A445&amp;",",","&amp;SUBSTITUTE(Screener!$D$17," ","")&amp;",")),2000000,IF(IF(OR(Screener!$B$18="All",AND(Screener!$B$18="With A-share",(Database!$BK445="Y")),AND(Screener!$B$18="Without A-share",NOT((Database!$BK445="Y")))),1,0)=0,-999999,IF(Screener!$B$16="cornerstone overlap first",H445*100000,IF(Screener!$B$16="demand-similar first",J445*100000,0))+W_SUB*B445+W_SEC*C445*(1-B445)+W_SIZE*D445+W_PROF*E445+W_AH*F445+W_REC*G445+W_CS*H445+W_PE*I445)))+ROW()/1000000</f>
        <v/>
      </c>
      <c r="AA445">
        <f>Database!B435</f>
        <v/>
      </c>
      <c r="AB445">
        <f>Database!D435</f>
        <v/>
      </c>
      <c r="AC445">
        <f>Database!E435</f>
        <v/>
      </c>
      <c r="AD445">
        <f>Database!I435</f>
        <v/>
      </c>
      <c r="AE445">
        <f>Database!BE435</f>
        <v/>
      </c>
      <c r="AF445">
        <f>Database!BK435</f>
        <v/>
      </c>
      <c r="AG445">
        <f>Database!H435</f>
        <v/>
      </c>
      <c r="AH445">
        <f>Database!BF435</f>
        <v/>
      </c>
    </row>
    <row r="446">
      <c r="A446">
        <f>Database!B446</f>
        <v/>
      </c>
      <c r="B446">
        <f>IF(AND(Screener!$D$8&lt;&gt;"",Database!$E446=Screener!$D$8),1,0)</f>
        <v/>
      </c>
      <c r="C446">
        <f>IF(AND(Screener!$D$7&lt;&gt;"",Database!$D446=Screener!$D$7),1,0)</f>
        <v/>
      </c>
      <c r="D446">
        <f>IF(OR(N(Database!$I446)&lt;=0,N(Screener!$D$9)&lt;=0),0,MAX(0,1-ABS(LOG10(N(Database!$I446)/Screener!$D$9))/W_SIZEHW))</f>
        <v/>
      </c>
      <c r="E446">
        <f>IF(OR(Database!$BE446="",Screener!$D$10=""),0,IF(Database!$BE446=Screener!$D$10,1,0))</f>
        <v/>
      </c>
      <c r="F446">
        <f>IF(OR(Database!$BK446="",Screener!$D$11=""),0,IF(Database!$BK446=Screener!$D$11,1,0))</f>
        <v/>
      </c>
      <c r="G446">
        <f>IF(OR(Database!$H446="",N(Screener!$D$12)&lt;=0),0,MAX(0,1-(N(Screener!$D$12)-Database!$H446)/W_RECD))</f>
        <v/>
      </c>
      <c r="H446">
        <f>IF($U$1="",0,N(ISNUMBER(SEARCH($U$1,Database!$Z446&amp;""))))+IF($V$1="",0,N(ISNUMBER(SEARCH($V$1,Database!$Z446&amp;""))))+IF($W$1="",0,N(ISNUMBER(SEARCH($W$1,Database!$Z446&amp;""))))+IF($X$1="",0,N(ISNUMBER(SEARCH($X$1,Database!$Z446&amp;""))))+IF($Y$1="",0,N(ISNUMBER(SEARCH($Y$1,Database!$Z446&amp;""))))+IF(Screener!$B$17="",0,N(ISNUMBER(SEARCH(LOWER(Screener!$B$17),Database!$Z446&amp;""))))</f>
        <v/>
      </c>
      <c r="I446">
        <f>IF(OR(N(Database!$BF446)&lt;=0,N(Screener!$D$13)&lt;=0),0,MAX(0,1-ABS(LOG10(N(Database!$BF446)/Screener!$D$13))/W_PEHW))</f>
        <v/>
      </c>
      <c r="J446">
        <f>IF(OR(N(Database!$S446)&lt;=0,N(Screener!$D$14)&lt;=0),0,MAX(0,1-ABS(LOG10(Database!$S446/Screener!$D$14))/0.6))</f>
        <v/>
      </c>
      <c r="K446">
        <f>IF(Database!$B446=Screener!$B$5,-999999,IF(ISNUMBER(SEARCH(","&amp;Database!$A446&amp;",",","&amp;SUBSTITUTE(Screener!$D$17," ","")&amp;",")),2000000,IF(IF(OR(Screener!$B$18="All",AND(Screener!$B$18="With A-share",(Database!$BK446="Y")),AND(Screener!$B$18="Without A-share",NOT((Database!$BK446="Y")))),1,0)=0,-999999,IF(Screener!$B$16="cornerstone overlap first",H446*100000,IF(Screener!$B$16="demand-similar first",J446*100000,0))+W_SUB*B446+W_SEC*C446*(1-B446)+W_SIZE*D446+W_PROF*E446+W_AH*F446+W_REC*G446+W_CS*H446+W_PE*I446)))+ROW()/1000000</f>
        <v/>
      </c>
      <c r="AA446">
        <f>Database!B436</f>
        <v/>
      </c>
      <c r="AB446">
        <f>Database!D436</f>
        <v/>
      </c>
      <c r="AC446">
        <f>Database!E436</f>
        <v/>
      </c>
      <c r="AD446">
        <f>Database!I436</f>
        <v/>
      </c>
      <c r="AE446">
        <f>Database!BE436</f>
        <v/>
      </c>
      <c r="AF446">
        <f>Database!BK436</f>
        <v/>
      </c>
      <c r="AG446">
        <f>Database!H436</f>
        <v/>
      </c>
      <c r="AH446">
        <f>Database!BF436</f>
        <v/>
      </c>
    </row>
    <row r="447">
      <c r="A447">
        <f>Database!B447</f>
        <v/>
      </c>
      <c r="B447">
        <f>IF(AND(Screener!$D$8&lt;&gt;"",Database!$E447=Screener!$D$8),1,0)</f>
        <v/>
      </c>
      <c r="C447">
        <f>IF(AND(Screener!$D$7&lt;&gt;"",Database!$D447=Screener!$D$7),1,0)</f>
        <v/>
      </c>
      <c r="D447">
        <f>IF(OR(N(Database!$I447)&lt;=0,N(Screener!$D$9)&lt;=0),0,MAX(0,1-ABS(LOG10(N(Database!$I447)/Screener!$D$9))/W_SIZEHW))</f>
        <v/>
      </c>
      <c r="E447">
        <f>IF(OR(Database!$BE447="",Screener!$D$10=""),0,IF(Database!$BE447=Screener!$D$10,1,0))</f>
        <v/>
      </c>
      <c r="F447">
        <f>IF(OR(Database!$BK447="",Screener!$D$11=""),0,IF(Database!$BK447=Screener!$D$11,1,0))</f>
        <v/>
      </c>
      <c r="G447">
        <f>IF(OR(Database!$H447="",N(Screener!$D$12)&lt;=0),0,MAX(0,1-(N(Screener!$D$12)-Database!$H447)/W_RECD))</f>
        <v/>
      </c>
      <c r="H447">
        <f>IF($U$1="",0,N(ISNUMBER(SEARCH($U$1,Database!$Z447&amp;""))))+IF($V$1="",0,N(ISNUMBER(SEARCH($V$1,Database!$Z447&amp;""))))+IF($W$1="",0,N(ISNUMBER(SEARCH($W$1,Database!$Z447&amp;""))))+IF($X$1="",0,N(ISNUMBER(SEARCH($X$1,Database!$Z447&amp;""))))+IF($Y$1="",0,N(ISNUMBER(SEARCH($Y$1,Database!$Z447&amp;""))))+IF(Screener!$B$17="",0,N(ISNUMBER(SEARCH(LOWER(Screener!$B$17),Database!$Z447&amp;""))))</f>
        <v/>
      </c>
      <c r="I447">
        <f>IF(OR(N(Database!$BF447)&lt;=0,N(Screener!$D$13)&lt;=0),0,MAX(0,1-ABS(LOG10(N(Database!$BF447)/Screener!$D$13))/W_PEHW))</f>
        <v/>
      </c>
      <c r="J447">
        <f>IF(OR(N(Database!$S447)&lt;=0,N(Screener!$D$14)&lt;=0),0,MAX(0,1-ABS(LOG10(Database!$S447/Screener!$D$14))/0.6))</f>
        <v/>
      </c>
      <c r="K447">
        <f>IF(Database!$B447=Screener!$B$5,-999999,IF(ISNUMBER(SEARCH(","&amp;Database!$A447&amp;",",","&amp;SUBSTITUTE(Screener!$D$17," ","")&amp;",")),2000000,IF(IF(OR(Screener!$B$18="All",AND(Screener!$B$18="With A-share",(Database!$BK447="Y")),AND(Screener!$B$18="Without A-share",NOT((Database!$BK447="Y")))),1,0)=0,-999999,IF(Screener!$B$16="cornerstone overlap first",H447*100000,IF(Screener!$B$16="demand-similar first",J447*100000,0))+W_SUB*B447+W_SEC*C447*(1-B447)+W_SIZE*D447+W_PROF*E447+W_AH*F447+W_REC*G447+W_CS*H447+W_PE*I447)))+ROW()/1000000</f>
        <v/>
      </c>
      <c r="AA447">
        <f>Database!B437</f>
        <v/>
      </c>
      <c r="AB447">
        <f>Database!D437</f>
        <v/>
      </c>
      <c r="AC447">
        <f>Database!E437</f>
        <v/>
      </c>
      <c r="AD447">
        <f>Database!I437</f>
        <v/>
      </c>
      <c r="AE447">
        <f>Database!BE437</f>
        <v/>
      </c>
      <c r="AF447">
        <f>Database!BK437</f>
        <v/>
      </c>
      <c r="AG447">
        <f>Database!H437</f>
        <v/>
      </c>
      <c r="AH447">
        <f>Database!BF437</f>
        <v/>
      </c>
    </row>
    <row r="448">
      <c r="A448">
        <f>Database!B448</f>
        <v/>
      </c>
      <c r="B448">
        <f>IF(AND(Screener!$D$8&lt;&gt;"",Database!$E448=Screener!$D$8),1,0)</f>
        <v/>
      </c>
      <c r="C448">
        <f>IF(AND(Screener!$D$7&lt;&gt;"",Database!$D448=Screener!$D$7),1,0)</f>
        <v/>
      </c>
      <c r="D448">
        <f>IF(OR(N(Database!$I448)&lt;=0,N(Screener!$D$9)&lt;=0),0,MAX(0,1-ABS(LOG10(N(Database!$I448)/Screener!$D$9))/W_SIZEHW))</f>
        <v/>
      </c>
      <c r="E448">
        <f>IF(OR(Database!$BE448="",Screener!$D$10=""),0,IF(Database!$BE448=Screener!$D$10,1,0))</f>
        <v/>
      </c>
      <c r="F448">
        <f>IF(OR(Database!$BK448="",Screener!$D$11=""),0,IF(Database!$BK448=Screener!$D$11,1,0))</f>
        <v/>
      </c>
      <c r="G448">
        <f>IF(OR(Database!$H448="",N(Screener!$D$12)&lt;=0),0,MAX(0,1-(N(Screener!$D$12)-Database!$H448)/W_RECD))</f>
        <v/>
      </c>
      <c r="H448">
        <f>IF($U$1="",0,N(ISNUMBER(SEARCH($U$1,Database!$Z448&amp;""))))+IF($V$1="",0,N(ISNUMBER(SEARCH($V$1,Database!$Z448&amp;""))))+IF($W$1="",0,N(ISNUMBER(SEARCH($W$1,Database!$Z448&amp;""))))+IF($X$1="",0,N(ISNUMBER(SEARCH($X$1,Database!$Z448&amp;""))))+IF($Y$1="",0,N(ISNUMBER(SEARCH($Y$1,Database!$Z448&amp;""))))+IF(Screener!$B$17="",0,N(ISNUMBER(SEARCH(LOWER(Screener!$B$17),Database!$Z448&amp;""))))</f>
        <v/>
      </c>
      <c r="I448">
        <f>IF(OR(N(Database!$BF448)&lt;=0,N(Screener!$D$13)&lt;=0),0,MAX(0,1-ABS(LOG10(N(Database!$BF448)/Screener!$D$13))/W_PEHW))</f>
        <v/>
      </c>
      <c r="J448">
        <f>IF(OR(N(Database!$S448)&lt;=0,N(Screener!$D$14)&lt;=0),0,MAX(0,1-ABS(LOG10(Database!$S448/Screener!$D$14))/0.6))</f>
        <v/>
      </c>
      <c r="K448">
        <f>IF(Database!$B448=Screener!$B$5,-999999,IF(ISNUMBER(SEARCH(","&amp;Database!$A448&amp;",",","&amp;SUBSTITUTE(Screener!$D$17," ","")&amp;",")),2000000,IF(IF(OR(Screener!$B$18="All",AND(Screener!$B$18="With A-share",(Database!$BK448="Y")),AND(Screener!$B$18="Without A-share",NOT((Database!$BK448="Y")))),1,0)=0,-999999,IF(Screener!$B$16="cornerstone overlap first",H448*100000,IF(Screener!$B$16="demand-similar first",J448*100000,0))+W_SUB*B448+W_SEC*C448*(1-B448)+W_SIZE*D448+W_PROF*E448+W_AH*F448+W_REC*G448+W_CS*H448+W_PE*I448)))+ROW()/1000000</f>
        <v/>
      </c>
      <c r="AA448">
        <f>Database!B438</f>
        <v/>
      </c>
      <c r="AB448">
        <f>Database!D438</f>
        <v/>
      </c>
      <c r="AC448">
        <f>Database!E438</f>
        <v/>
      </c>
      <c r="AD448">
        <f>Database!I438</f>
        <v/>
      </c>
      <c r="AE448">
        <f>Database!BE438</f>
        <v/>
      </c>
      <c r="AF448">
        <f>Database!BK438</f>
        <v/>
      </c>
      <c r="AG448">
        <f>Database!H438</f>
        <v/>
      </c>
      <c r="AH448">
        <f>Database!BF438</f>
        <v/>
      </c>
    </row>
    <row r="449">
      <c r="A449">
        <f>Database!B449</f>
        <v/>
      </c>
      <c r="B449">
        <f>IF(AND(Screener!$D$8&lt;&gt;"",Database!$E449=Screener!$D$8),1,0)</f>
        <v/>
      </c>
      <c r="C449">
        <f>IF(AND(Screener!$D$7&lt;&gt;"",Database!$D449=Screener!$D$7),1,0)</f>
        <v/>
      </c>
      <c r="D449">
        <f>IF(OR(N(Database!$I449)&lt;=0,N(Screener!$D$9)&lt;=0),0,MAX(0,1-ABS(LOG10(N(Database!$I449)/Screener!$D$9))/W_SIZEHW))</f>
        <v/>
      </c>
      <c r="E449">
        <f>IF(OR(Database!$BE449="",Screener!$D$10=""),0,IF(Database!$BE449=Screener!$D$10,1,0))</f>
        <v/>
      </c>
      <c r="F449">
        <f>IF(OR(Database!$BK449="",Screener!$D$11=""),0,IF(Database!$BK449=Screener!$D$11,1,0))</f>
        <v/>
      </c>
      <c r="G449">
        <f>IF(OR(Database!$H449="",N(Screener!$D$12)&lt;=0),0,MAX(0,1-(N(Screener!$D$12)-Database!$H449)/W_RECD))</f>
        <v/>
      </c>
      <c r="H449">
        <f>IF($U$1="",0,N(ISNUMBER(SEARCH($U$1,Database!$Z449&amp;""))))+IF($V$1="",0,N(ISNUMBER(SEARCH($V$1,Database!$Z449&amp;""))))+IF($W$1="",0,N(ISNUMBER(SEARCH($W$1,Database!$Z449&amp;""))))+IF($X$1="",0,N(ISNUMBER(SEARCH($X$1,Database!$Z449&amp;""))))+IF($Y$1="",0,N(ISNUMBER(SEARCH($Y$1,Database!$Z449&amp;""))))+IF(Screener!$B$17="",0,N(ISNUMBER(SEARCH(LOWER(Screener!$B$17),Database!$Z449&amp;""))))</f>
        <v/>
      </c>
      <c r="I449">
        <f>IF(OR(N(Database!$BF449)&lt;=0,N(Screener!$D$13)&lt;=0),0,MAX(0,1-ABS(LOG10(N(Database!$BF449)/Screener!$D$13))/W_PEHW))</f>
        <v/>
      </c>
      <c r="J449">
        <f>IF(OR(N(Database!$S449)&lt;=0,N(Screener!$D$14)&lt;=0),0,MAX(0,1-ABS(LOG10(Database!$S449/Screener!$D$14))/0.6))</f>
        <v/>
      </c>
      <c r="K449">
        <f>IF(Database!$B449=Screener!$B$5,-999999,IF(ISNUMBER(SEARCH(","&amp;Database!$A449&amp;",",","&amp;SUBSTITUTE(Screener!$D$17," ","")&amp;",")),2000000,IF(IF(OR(Screener!$B$18="All",AND(Screener!$B$18="With A-share",(Database!$BK449="Y")),AND(Screener!$B$18="Without A-share",NOT((Database!$BK449="Y")))),1,0)=0,-999999,IF(Screener!$B$16="cornerstone overlap first",H449*100000,IF(Screener!$B$16="demand-similar first",J449*100000,0))+W_SUB*B449+W_SEC*C449*(1-B449)+W_SIZE*D449+W_PROF*E449+W_AH*F449+W_REC*G449+W_CS*H449+W_PE*I449)))+ROW()/1000000</f>
        <v/>
      </c>
      <c r="AA449">
        <f>Database!B439</f>
        <v/>
      </c>
      <c r="AB449">
        <f>Database!D439</f>
        <v/>
      </c>
      <c r="AC449">
        <f>Database!E439</f>
        <v/>
      </c>
      <c r="AD449">
        <f>Database!I439</f>
        <v/>
      </c>
      <c r="AE449">
        <f>Database!BE439</f>
        <v/>
      </c>
      <c r="AF449">
        <f>Database!BK439</f>
        <v/>
      </c>
      <c r="AG449">
        <f>Database!H439</f>
        <v/>
      </c>
      <c r="AH449">
        <f>Database!BF439</f>
        <v/>
      </c>
    </row>
    <row r="450">
      <c r="A450">
        <f>Database!B450</f>
        <v/>
      </c>
      <c r="B450">
        <f>IF(AND(Screener!$D$8&lt;&gt;"",Database!$E450=Screener!$D$8),1,0)</f>
        <v/>
      </c>
      <c r="C450">
        <f>IF(AND(Screener!$D$7&lt;&gt;"",Database!$D450=Screener!$D$7),1,0)</f>
        <v/>
      </c>
      <c r="D450">
        <f>IF(OR(N(Database!$I450)&lt;=0,N(Screener!$D$9)&lt;=0),0,MAX(0,1-ABS(LOG10(N(Database!$I450)/Screener!$D$9))/W_SIZEHW))</f>
        <v/>
      </c>
      <c r="E450">
        <f>IF(OR(Database!$BE450="",Screener!$D$10=""),0,IF(Database!$BE450=Screener!$D$10,1,0))</f>
        <v/>
      </c>
      <c r="F450">
        <f>IF(OR(Database!$BK450="",Screener!$D$11=""),0,IF(Database!$BK450=Screener!$D$11,1,0))</f>
        <v/>
      </c>
      <c r="G450">
        <f>IF(OR(Database!$H450="",N(Screener!$D$12)&lt;=0),0,MAX(0,1-(N(Screener!$D$12)-Database!$H450)/W_RECD))</f>
        <v/>
      </c>
      <c r="H450">
        <f>IF($U$1="",0,N(ISNUMBER(SEARCH($U$1,Database!$Z450&amp;""))))+IF($V$1="",0,N(ISNUMBER(SEARCH($V$1,Database!$Z450&amp;""))))+IF($W$1="",0,N(ISNUMBER(SEARCH($W$1,Database!$Z450&amp;""))))+IF($X$1="",0,N(ISNUMBER(SEARCH($X$1,Database!$Z450&amp;""))))+IF($Y$1="",0,N(ISNUMBER(SEARCH($Y$1,Database!$Z450&amp;""))))+IF(Screener!$B$17="",0,N(ISNUMBER(SEARCH(LOWER(Screener!$B$17),Database!$Z450&amp;""))))</f>
        <v/>
      </c>
      <c r="I450">
        <f>IF(OR(N(Database!$BF450)&lt;=0,N(Screener!$D$13)&lt;=0),0,MAX(0,1-ABS(LOG10(N(Database!$BF450)/Screener!$D$13))/W_PEHW))</f>
        <v/>
      </c>
      <c r="J450">
        <f>IF(OR(N(Database!$S450)&lt;=0,N(Screener!$D$14)&lt;=0),0,MAX(0,1-ABS(LOG10(Database!$S450/Screener!$D$14))/0.6))</f>
        <v/>
      </c>
      <c r="K450">
        <f>IF(Database!$B450=Screener!$B$5,-999999,IF(ISNUMBER(SEARCH(","&amp;Database!$A450&amp;",",","&amp;SUBSTITUTE(Screener!$D$17," ","")&amp;",")),2000000,IF(IF(OR(Screener!$B$18="All",AND(Screener!$B$18="With A-share",(Database!$BK450="Y")),AND(Screener!$B$18="Without A-share",NOT((Database!$BK450="Y")))),1,0)=0,-999999,IF(Screener!$B$16="cornerstone overlap first",H450*100000,IF(Screener!$B$16="demand-similar first",J450*100000,0))+W_SUB*B450+W_SEC*C450*(1-B450)+W_SIZE*D450+W_PROF*E450+W_AH*F450+W_REC*G450+W_CS*H450+W_PE*I450)))+ROW()/1000000</f>
        <v/>
      </c>
      <c r="AA450">
        <f>Database!B440</f>
        <v/>
      </c>
      <c r="AB450">
        <f>Database!D440</f>
        <v/>
      </c>
      <c r="AC450">
        <f>Database!E440</f>
        <v/>
      </c>
      <c r="AD450">
        <f>Database!I440</f>
        <v/>
      </c>
      <c r="AE450">
        <f>Database!BE440</f>
        <v/>
      </c>
      <c r="AF450">
        <f>Database!BK440</f>
        <v/>
      </c>
      <c r="AG450">
        <f>Database!H440</f>
        <v/>
      </c>
      <c r="AH450">
        <f>Database!BF440</f>
        <v/>
      </c>
    </row>
    <row r="451">
      <c r="A451">
        <f>Database!B451</f>
        <v/>
      </c>
      <c r="B451">
        <f>IF(AND(Screener!$D$8&lt;&gt;"",Database!$E451=Screener!$D$8),1,0)</f>
        <v/>
      </c>
      <c r="C451">
        <f>IF(AND(Screener!$D$7&lt;&gt;"",Database!$D451=Screener!$D$7),1,0)</f>
        <v/>
      </c>
      <c r="D451">
        <f>IF(OR(N(Database!$I451)&lt;=0,N(Screener!$D$9)&lt;=0),0,MAX(0,1-ABS(LOG10(N(Database!$I451)/Screener!$D$9))/W_SIZEHW))</f>
        <v/>
      </c>
      <c r="E451">
        <f>IF(OR(Database!$BE451="",Screener!$D$10=""),0,IF(Database!$BE451=Screener!$D$10,1,0))</f>
        <v/>
      </c>
      <c r="F451">
        <f>IF(OR(Database!$BK451="",Screener!$D$11=""),0,IF(Database!$BK451=Screener!$D$11,1,0))</f>
        <v/>
      </c>
      <c r="G451">
        <f>IF(OR(Database!$H451="",N(Screener!$D$12)&lt;=0),0,MAX(0,1-(N(Screener!$D$12)-Database!$H451)/W_RECD))</f>
        <v/>
      </c>
      <c r="H451">
        <f>IF($U$1="",0,N(ISNUMBER(SEARCH($U$1,Database!$Z451&amp;""))))+IF($V$1="",0,N(ISNUMBER(SEARCH($V$1,Database!$Z451&amp;""))))+IF($W$1="",0,N(ISNUMBER(SEARCH($W$1,Database!$Z451&amp;""))))+IF($X$1="",0,N(ISNUMBER(SEARCH($X$1,Database!$Z451&amp;""))))+IF($Y$1="",0,N(ISNUMBER(SEARCH($Y$1,Database!$Z451&amp;""))))+IF(Screener!$B$17="",0,N(ISNUMBER(SEARCH(LOWER(Screener!$B$17),Database!$Z451&amp;""))))</f>
        <v/>
      </c>
      <c r="I451">
        <f>IF(OR(N(Database!$BF451)&lt;=0,N(Screener!$D$13)&lt;=0),0,MAX(0,1-ABS(LOG10(N(Database!$BF451)/Screener!$D$13))/W_PEHW))</f>
        <v/>
      </c>
      <c r="J451">
        <f>IF(OR(N(Database!$S451)&lt;=0,N(Screener!$D$14)&lt;=0),0,MAX(0,1-ABS(LOG10(Database!$S451/Screener!$D$14))/0.6))</f>
        <v/>
      </c>
      <c r="K451">
        <f>IF(Database!$B451=Screener!$B$5,-999999,IF(ISNUMBER(SEARCH(","&amp;Database!$A451&amp;",",","&amp;SUBSTITUTE(Screener!$D$17," ","")&amp;",")),2000000,IF(IF(OR(Screener!$B$18="All",AND(Screener!$B$18="With A-share",(Database!$BK451="Y")),AND(Screener!$B$18="Without A-share",NOT((Database!$BK451="Y")))),1,0)=0,-999999,IF(Screener!$B$16="cornerstone overlap first",H451*100000,IF(Screener!$B$16="demand-similar first",J451*100000,0))+W_SUB*B451+W_SEC*C451*(1-B451)+W_SIZE*D451+W_PROF*E451+W_AH*F451+W_REC*G451+W_CS*H451+W_PE*I451)))+ROW()/1000000</f>
        <v/>
      </c>
      <c r="AA451">
        <f>Database!B441</f>
        <v/>
      </c>
      <c r="AB451">
        <f>Database!D441</f>
        <v/>
      </c>
      <c r="AC451">
        <f>Database!E441</f>
        <v/>
      </c>
      <c r="AD451">
        <f>Database!I441</f>
        <v/>
      </c>
      <c r="AE451">
        <f>Database!BE441</f>
        <v/>
      </c>
      <c r="AF451">
        <f>Database!BK441</f>
        <v/>
      </c>
      <c r="AG451">
        <f>Database!H441</f>
        <v/>
      </c>
      <c r="AH451">
        <f>Database!BF441</f>
        <v/>
      </c>
    </row>
    <row r="452">
      <c r="A452">
        <f>Database!B452</f>
        <v/>
      </c>
      <c r="B452">
        <f>IF(AND(Screener!$D$8&lt;&gt;"",Database!$E452=Screener!$D$8),1,0)</f>
        <v/>
      </c>
      <c r="C452">
        <f>IF(AND(Screener!$D$7&lt;&gt;"",Database!$D452=Screener!$D$7),1,0)</f>
        <v/>
      </c>
      <c r="D452">
        <f>IF(OR(N(Database!$I452)&lt;=0,N(Screener!$D$9)&lt;=0),0,MAX(0,1-ABS(LOG10(N(Database!$I452)/Screener!$D$9))/W_SIZEHW))</f>
        <v/>
      </c>
      <c r="E452">
        <f>IF(OR(Database!$BE452="",Screener!$D$10=""),0,IF(Database!$BE452=Screener!$D$10,1,0))</f>
        <v/>
      </c>
      <c r="F452">
        <f>IF(OR(Database!$BK452="",Screener!$D$11=""),0,IF(Database!$BK452=Screener!$D$11,1,0))</f>
        <v/>
      </c>
      <c r="G452">
        <f>IF(OR(Database!$H452="",N(Screener!$D$12)&lt;=0),0,MAX(0,1-(N(Screener!$D$12)-Database!$H452)/W_RECD))</f>
        <v/>
      </c>
      <c r="H452">
        <f>IF($U$1="",0,N(ISNUMBER(SEARCH($U$1,Database!$Z452&amp;""))))+IF($V$1="",0,N(ISNUMBER(SEARCH($V$1,Database!$Z452&amp;""))))+IF($W$1="",0,N(ISNUMBER(SEARCH($W$1,Database!$Z452&amp;""))))+IF($X$1="",0,N(ISNUMBER(SEARCH($X$1,Database!$Z452&amp;""))))+IF($Y$1="",0,N(ISNUMBER(SEARCH($Y$1,Database!$Z452&amp;""))))+IF(Screener!$B$17="",0,N(ISNUMBER(SEARCH(LOWER(Screener!$B$17),Database!$Z452&amp;""))))</f>
        <v/>
      </c>
      <c r="I452">
        <f>IF(OR(N(Database!$BF452)&lt;=0,N(Screener!$D$13)&lt;=0),0,MAX(0,1-ABS(LOG10(N(Database!$BF452)/Screener!$D$13))/W_PEHW))</f>
        <v/>
      </c>
      <c r="J452">
        <f>IF(OR(N(Database!$S452)&lt;=0,N(Screener!$D$14)&lt;=0),0,MAX(0,1-ABS(LOG10(Database!$S452/Screener!$D$14))/0.6))</f>
        <v/>
      </c>
      <c r="K452">
        <f>IF(Database!$B452=Screener!$B$5,-999999,IF(ISNUMBER(SEARCH(","&amp;Database!$A452&amp;",",","&amp;SUBSTITUTE(Screener!$D$17," ","")&amp;",")),2000000,IF(IF(OR(Screener!$B$18="All",AND(Screener!$B$18="With A-share",(Database!$BK452="Y")),AND(Screener!$B$18="Without A-share",NOT((Database!$BK452="Y")))),1,0)=0,-999999,IF(Screener!$B$16="cornerstone overlap first",H452*100000,IF(Screener!$B$16="demand-similar first",J452*100000,0))+W_SUB*B452+W_SEC*C452*(1-B452)+W_SIZE*D452+W_PROF*E452+W_AH*F452+W_REC*G452+W_CS*H452+W_PE*I452)))+ROW()/1000000</f>
        <v/>
      </c>
      <c r="AA452">
        <f>Database!B442</f>
        <v/>
      </c>
      <c r="AB452">
        <f>Database!D442</f>
        <v/>
      </c>
      <c r="AC452">
        <f>Database!E442</f>
        <v/>
      </c>
      <c r="AD452">
        <f>Database!I442</f>
        <v/>
      </c>
      <c r="AE452">
        <f>Database!BE442</f>
        <v/>
      </c>
      <c r="AF452">
        <f>Database!BK442</f>
        <v/>
      </c>
      <c r="AG452">
        <f>Database!H442</f>
        <v/>
      </c>
      <c r="AH452">
        <f>Database!BF442</f>
        <v/>
      </c>
    </row>
    <row r="453">
      <c r="A453">
        <f>Database!B453</f>
        <v/>
      </c>
      <c r="B453">
        <f>IF(AND(Screener!$D$8&lt;&gt;"",Database!$E453=Screener!$D$8),1,0)</f>
        <v/>
      </c>
      <c r="C453">
        <f>IF(AND(Screener!$D$7&lt;&gt;"",Database!$D453=Screener!$D$7),1,0)</f>
        <v/>
      </c>
      <c r="D453">
        <f>IF(OR(N(Database!$I453)&lt;=0,N(Screener!$D$9)&lt;=0),0,MAX(0,1-ABS(LOG10(N(Database!$I453)/Screener!$D$9))/W_SIZEHW))</f>
        <v/>
      </c>
      <c r="E453">
        <f>IF(OR(Database!$BE453="",Screener!$D$10=""),0,IF(Database!$BE453=Screener!$D$10,1,0))</f>
        <v/>
      </c>
      <c r="F453">
        <f>IF(OR(Database!$BK453="",Screener!$D$11=""),0,IF(Database!$BK453=Screener!$D$11,1,0))</f>
        <v/>
      </c>
      <c r="G453">
        <f>IF(OR(Database!$H453="",N(Screener!$D$12)&lt;=0),0,MAX(0,1-(N(Screener!$D$12)-Database!$H453)/W_RECD))</f>
        <v/>
      </c>
      <c r="H453">
        <f>IF($U$1="",0,N(ISNUMBER(SEARCH($U$1,Database!$Z453&amp;""))))+IF($V$1="",0,N(ISNUMBER(SEARCH($V$1,Database!$Z453&amp;""))))+IF($W$1="",0,N(ISNUMBER(SEARCH($W$1,Database!$Z453&amp;""))))+IF($X$1="",0,N(ISNUMBER(SEARCH($X$1,Database!$Z453&amp;""))))+IF($Y$1="",0,N(ISNUMBER(SEARCH($Y$1,Database!$Z453&amp;""))))+IF(Screener!$B$17="",0,N(ISNUMBER(SEARCH(LOWER(Screener!$B$17),Database!$Z453&amp;""))))</f>
        <v/>
      </c>
      <c r="I453">
        <f>IF(OR(N(Database!$BF453)&lt;=0,N(Screener!$D$13)&lt;=0),0,MAX(0,1-ABS(LOG10(N(Database!$BF453)/Screener!$D$13))/W_PEHW))</f>
        <v/>
      </c>
      <c r="J453">
        <f>IF(OR(N(Database!$S453)&lt;=0,N(Screener!$D$14)&lt;=0),0,MAX(0,1-ABS(LOG10(Database!$S453/Screener!$D$14))/0.6))</f>
        <v/>
      </c>
      <c r="K453">
        <f>IF(Database!$B453=Screener!$B$5,-999999,IF(ISNUMBER(SEARCH(","&amp;Database!$A453&amp;",",","&amp;SUBSTITUTE(Screener!$D$17," ","")&amp;",")),2000000,IF(IF(OR(Screener!$B$18="All",AND(Screener!$B$18="With A-share",(Database!$BK453="Y")),AND(Screener!$B$18="Without A-share",NOT((Database!$BK453="Y")))),1,0)=0,-999999,IF(Screener!$B$16="cornerstone overlap first",H453*100000,IF(Screener!$B$16="demand-similar first",J453*100000,0))+W_SUB*B453+W_SEC*C453*(1-B453)+W_SIZE*D453+W_PROF*E453+W_AH*F453+W_REC*G453+W_CS*H453+W_PE*I453)))+ROW()/1000000</f>
        <v/>
      </c>
      <c r="AA453">
        <f>Database!B443</f>
        <v/>
      </c>
      <c r="AB453">
        <f>Database!D443</f>
        <v/>
      </c>
      <c r="AC453">
        <f>Database!E443</f>
        <v/>
      </c>
      <c r="AD453">
        <f>Database!I443</f>
        <v/>
      </c>
      <c r="AE453">
        <f>Database!BE443</f>
        <v/>
      </c>
      <c r="AF453">
        <f>Database!BK443</f>
        <v/>
      </c>
      <c r="AG453">
        <f>Database!H443</f>
        <v/>
      </c>
      <c r="AH453">
        <f>Database!BF443</f>
        <v/>
      </c>
    </row>
    <row r="454">
      <c r="A454">
        <f>Database!B454</f>
        <v/>
      </c>
      <c r="B454">
        <f>IF(AND(Screener!$D$8&lt;&gt;"",Database!$E454=Screener!$D$8),1,0)</f>
        <v/>
      </c>
      <c r="C454">
        <f>IF(AND(Screener!$D$7&lt;&gt;"",Database!$D454=Screener!$D$7),1,0)</f>
        <v/>
      </c>
      <c r="D454">
        <f>IF(OR(N(Database!$I454)&lt;=0,N(Screener!$D$9)&lt;=0),0,MAX(0,1-ABS(LOG10(N(Database!$I454)/Screener!$D$9))/W_SIZEHW))</f>
        <v/>
      </c>
      <c r="E454">
        <f>IF(OR(Database!$BE454="",Screener!$D$10=""),0,IF(Database!$BE454=Screener!$D$10,1,0))</f>
        <v/>
      </c>
      <c r="F454">
        <f>IF(OR(Database!$BK454="",Screener!$D$11=""),0,IF(Database!$BK454=Screener!$D$11,1,0))</f>
        <v/>
      </c>
      <c r="G454">
        <f>IF(OR(Database!$H454="",N(Screener!$D$12)&lt;=0),0,MAX(0,1-(N(Screener!$D$12)-Database!$H454)/W_RECD))</f>
        <v/>
      </c>
      <c r="H454">
        <f>IF($U$1="",0,N(ISNUMBER(SEARCH($U$1,Database!$Z454&amp;""))))+IF($V$1="",0,N(ISNUMBER(SEARCH($V$1,Database!$Z454&amp;""))))+IF($W$1="",0,N(ISNUMBER(SEARCH($W$1,Database!$Z454&amp;""))))+IF($X$1="",0,N(ISNUMBER(SEARCH($X$1,Database!$Z454&amp;""))))+IF($Y$1="",0,N(ISNUMBER(SEARCH($Y$1,Database!$Z454&amp;""))))+IF(Screener!$B$17="",0,N(ISNUMBER(SEARCH(LOWER(Screener!$B$17),Database!$Z454&amp;""))))</f>
        <v/>
      </c>
      <c r="I454">
        <f>IF(OR(N(Database!$BF454)&lt;=0,N(Screener!$D$13)&lt;=0),0,MAX(0,1-ABS(LOG10(N(Database!$BF454)/Screener!$D$13))/W_PEHW))</f>
        <v/>
      </c>
      <c r="J454">
        <f>IF(OR(N(Database!$S454)&lt;=0,N(Screener!$D$14)&lt;=0),0,MAX(0,1-ABS(LOG10(Database!$S454/Screener!$D$14))/0.6))</f>
        <v/>
      </c>
      <c r="K454">
        <f>IF(Database!$B454=Screener!$B$5,-999999,IF(ISNUMBER(SEARCH(","&amp;Database!$A454&amp;",",","&amp;SUBSTITUTE(Screener!$D$17," ","")&amp;",")),2000000,IF(IF(OR(Screener!$B$18="All",AND(Screener!$B$18="With A-share",(Database!$BK454="Y")),AND(Screener!$B$18="Without A-share",NOT((Database!$BK454="Y")))),1,0)=0,-999999,IF(Screener!$B$16="cornerstone overlap first",H454*100000,IF(Screener!$B$16="demand-similar first",J454*100000,0))+W_SUB*B454+W_SEC*C454*(1-B454)+W_SIZE*D454+W_PROF*E454+W_AH*F454+W_REC*G454+W_CS*H454+W_PE*I454)))+ROW()/1000000</f>
        <v/>
      </c>
      <c r="AA454">
        <f>Database!B444</f>
        <v/>
      </c>
      <c r="AB454">
        <f>Database!D444</f>
        <v/>
      </c>
      <c r="AC454">
        <f>Database!E444</f>
        <v/>
      </c>
      <c r="AD454">
        <f>Database!I444</f>
        <v/>
      </c>
      <c r="AE454">
        <f>Database!BE444</f>
        <v/>
      </c>
      <c r="AF454">
        <f>Database!BK444</f>
        <v/>
      </c>
      <c r="AG454">
        <f>Database!H444</f>
        <v/>
      </c>
      <c r="AH454">
        <f>Database!BF444</f>
        <v/>
      </c>
    </row>
    <row r="455">
      <c r="A455">
        <f>Database!B455</f>
        <v/>
      </c>
      <c r="B455">
        <f>IF(AND(Screener!$D$8&lt;&gt;"",Database!$E455=Screener!$D$8),1,0)</f>
        <v/>
      </c>
      <c r="C455">
        <f>IF(AND(Screener!$D$7&lt;&gt;"",Database!$D455=Screener!$D$7),1,0)</f>
        <v/>
      </c>
      <c r="D455">
        <f>IF(OR(N(Database!$I455)&lt;=0,N(Screener!$D$9)&lt;=0),0,MAX(0,1-ABS(LOG10(N(Database!$I455)/Screener!$D$9))/W_SIZEHW))</f>
        <v/>
      </c>
      <c r="E455">
        <f>IF(OR(Database!$BE455="",Screener!$D$10=""),0,IF(Database!$BE455=Screener!$D$10,1,0))</f>
        <v/>
      </c>
      <c r="F455">
        <f>IF(OR(Database!$BK455="",Screener!$D$11=""),0,IF(Database!$BK455=Screener!$D$11,1,0))</f>
        <v/>
      </c>
      <c r="G455">
        <f>IF(OR(Database!$H455="",N(Screener!$D$12)&lt;=0),0,MAX(0,1-(N(Screener!$D$12)-Database!$H455)/W_RECD))</f>
        <v/>
      </c>
      <c r="H455">
        <f>IF($U$1="",0,N(ISNUMBER(SEARCH($U$1,Database!$Z455&amp;""))))+IF($V$1="",0,N(ISNUMBER(SEARCH($V$1,Database!$Z455&amp;""))))+IF($W$1="",0,N(ISNUMBER(SEARCH($W$1,Database!$Z455&amp;""))))+IF($X$1="",0,N(ISNUMBER(SEARCH($X$1,Database!$Z455&amp;""))))+IF($Y$1="",0,N(ISNUMBER(SEARCH($Y$1,Database!$Z455&amp;""))))+IF(Screener!$B$17="",0,N(ISNUMBER(SEARCH(LOWER(Screener!$B$17),Database!$Z455&amp;""))))</f>
        <v/>
      </c>
      <c r="I455">
        <f>IF(OR(N(Database!$BF455)&lt;=0,N(Screener!$D$13)&lt;=0),0,MAX(0,1-ABS(LOG10(N(Database!$BF455)/Screener!$D$13))/W_PEHW))</f>
        <v/>
      </c>
      <c r="J455">
        <f>IF(OR(N(Database!$S455)&lt;=0,N(Screener!$D$14)&lt;=0),0,MAX(0,1-ABS(LOG10(Database!$S455/Screener!$D$14))/0.6))</f>
        <v/>
      </c>
      <c r="K455">
        <f>IF(Database!$B455=Screener!$B$5,-999999,IF(ISNUMBER(SEARCH(","&amp;Database!$A455&amp;",",","&amp;SUBSTITUTE(Screener!$D$17," ","")&amp;",")),2000000,IF(IF(OR(Screener!$B$18="All",AND(Screener!$B$18="With A-share",(Database!$BK455="Y")),AND(Screener!$B$18="Without A-share",NOT((Database!$BK455="Y")))),1,0)=0,-999999,IF(Screener!$B$16="cornerstone overlap first",H455*100000,IF(Screener!$B$16="demand-similar first",J455*100000,0))+W_SUB*B455+W_SEC*C455*(1-B455)+W_SIZE*D455+W_PROF*E455+W_AH*F455+W_REC*G455+W_CS*H455+W_PE*I455)))+ROW()/1000000</f>
        <v/>
      </c>
      <c r="AA455">
        <f>Database!B445</f>
        <v/>
      </c>
      <c r="AB455">
        <f>Database!D445</f>
        <v/>
      </c>
      <c r="AC455">
        <f>Database!E445</f>
        <v/>
      </c>
      <c r="AD455">
        <f>Database!I445</f>
        <v/>
      </c>
      <c r="AE455">
        <f>Database!BE445</f>
        <v/>
      </c>
      <c r="AF455">
        <f>Database!BK445</f>
        <v/>
      </c>
      <c r="AG455">
        <f>Database!H445</f>
        <v/>
      </c>
      <c r="AH455">
        <f>Database!BF445</f>
        <v/>
      </c>
    </row>
    <row r="456">
      <c r="A456">
        <f>Database!B456</f>
        <v/>
      </c>
      <c r="B456">
        <f>IF(AND(Screener!$D$8&lt;&gt;"",Database!$E456=Screener!$D$8),1,0)</f>
        <v/>
      </c>
      <c r="C456">
        <f>IF(AND(Screener!$D$7&lt;&gt;"",Database!$D456=Screener!$D$7),1,0)</f>
        <v/>
      </c>
      <c r="D456">
        <f>IF(OR(N(Database!$I456)&lt;=0,N(Screener!$D$9)&lt;=0),0,MAX(0,1-ABS(LOG10(N(Database!$I456)/Screener!$D$9))/W_SIZEHW))</f>
        <v/>
      </c>
      <c r="E456">
        <f>IF(OR(Database!$BE456="",Screener!$D$10=""),0,IF(Database!$BE456=Screener!$D$10,1,0))</f>
        <v/>
      </c>
      <c r="F456">
        <f>IF(OR(Database!$BK456="",Screener!$D$11=""),0,IF(Database!$BK456=Screener!$D$11,1,0))</f>
        <v/>
      </c>
      <c r="G456">
        <f>IF(OR(Database!$H456="",N(Screener!$D$12)&lt;=0),0,MAX(0,1-(N(Screener!$D$12)-Database!$H456)/W_RECD))</f>
        <v/>
      </c>
      <c r="H456">
        <f>IF($U$1="",0,N(ISNUMBER(SEARCH($U$1,Database!$Z456&amp;""))))+IF($V$1="",0,N(ISNUMBER(SEARCH($V$1,Database!$Z456&amp;""))))+IF($W$1="",0,N(ISNUMBER(SEARCH($W$1,Database!$Z456&amp;""))))+IF($X$1="",0,N(ISNUMBER(SEARCH($X$1,Database!$Z456&amp;""))))+IF($Y$1="",0,N(ISNUMBER(SEARCH($Y$1,Database!$Z456&amp;""))))+IF(Screener!$B$17="",0,N(ISNUMBER(SEARCH(LOWER(Screener!$B$17),Database!$Z456&amp;""))))</f>
        <v/>
      </c>
      <c r="I456">
        <f>IF(OR(N(Database!$BF456)&lt;=0,N(Screener!$D$13)&lt;=0),0,MAX(0,1-ABS(LOG10(N(Database!$BF456)/Screener!$D$13))/W_PEHW))</f>
        <v/>
      </c>
      <c r="J456">
        <f>IF(OR(N(Database!$S456)&lt;=0,N(Screener!$D$14)&lt;=0),0,MAX(0,1-ABS(LOG10(Database!$S456/Screener!$D$14))/0.6))</f>
        <v/>
      </c>
      <c r="K456">
        <f>IF(Database!$B456=Screener!$B$5,-999999,IF(ISNUMBER(SEARCH(","&amp;Database!$A456&amp;",",","&amp;SUBSTITUTE(Screener!$D$17," ","")&amp;",")),2000000,IF(IF(OR(Screener!$B$18="All",AND(Screener!$B$18="With A-share",(Database!$BK456="Y")),AND(Screener!$B$18="Without A-share",NOT((Database!$BK456="Y")))),1,0)=0,-999999,IF(Screener!$B$16="cornerstone overlap first",H456*100000,IF(Screener!$B$16="demand-similar first",J456*100000,0))+W_SUB*B456+W_SEC*C456*(1-B456)+W_SIZE*D456+W_PROF*E456+W_AH*F456+W_REC*G456+W_CS*H456+W_PE*I456)))+ROW()/1000000</f>
        <v/>
      </c>
      <c r="AA456">
        <f>Database!B446</f>
        <v/>
      </c>
      <c r="AB456">
        <f>Database!D446</f>
        <v/>
      </c>
      <c r="AC456">
        <f>Database!E446</f>
        <v/>
      </c>
      <c r="AD456">
        <f>Database!I446</f>
        <v/>
      </c>
      <c r="AE456">
        <f>Database!BE446</f>
        <v/>
      </c>
      <c r="AF456">
        <f>Database!BK446</f>
        <v/>
      </c>
      <c r="AG456">
        <f>Database!H446</f>
        <v/>
      </c>
      <c r="AH456">
        <f>Database!BF446</f>
        <v/>
      </c>
    </row>
    <row r="457">
      <c r="A457">
        <f>Database!B457</f>
        <v/>
      </c>
      <c r="B457">
        <f>IF(AND(Screener!$D$8&lt;&gt;"",Database!$E457=Screener!$D$8),1,0)</f>
        <v/>
      </c>
      <c r="C457">
        <f>IF(AND(Screener!$D$7&lt;&gt;"",Database!$D457=Screener!$D$7),1,0)</f>
        <v/>
      </c>
      <c r="D457">
        <f>IF(OR(N(Database!$I457)&lt;=0,N(Screener!$D$9)&lt;=0),0,MAX(0,1-ABS(LOG10(N(Database!$I457)/Screener!$D$9))/W_SIZEHW))</f>
        <v/>
      </c>
      <c r="E457">
        <f>IF(OR(Database!$BE457="",Screener!$D$10=""),0,IF(Database!$BE457=Screener!$D$10,1,0))</f>
        <v/>
      </c>
      <c r="F457">
        <f>IF(OR(Database!$BK457="",Screener!$D$11=""),0,IF(Database!$BK457=Screener!$D$11,1,0))</f>
        <v/>
      </c>
      <c r="G457">
        <f>IF(OR(Database!$H457="",N(Screener!$D$12)&lt;=0),0,MAX(0,1-(N(Screener!$D$12)-Database!$H457)/W_RECD))</f>
        <v/>
      </c>
      <c r="H457">
        <f>IF($U$1="",0,N(ISNUMBER(SEARCH($U$1,Database!$Z457&amp;""))))+IF($V$1="",0,N(ISNUMBER(SEARCH($V$1,Database!$Z457&amp;""))))+IF($W$1="",0,N(ISNUMBER(SEARCH($W$1,Database!$Z457&amp;""))))+IF($X$1="",0,N(ISNUMBER(SEARCH($X$1,Database!$Z457&amp;""))))+IF($Y$1="",0,N(ISNUMBER(SEARCH($Y$1,Database!$Z457&amp;""))))+IF(Screener!$B$17="",0,N(ISNUMBER(SEARCH(LOWER(Screener!$B$17),Database!$Z457&amp;""))))</f>
        <v/>
      </c>
      <c r="I457">
        <f>IF(OR(N(Database!$BF457)&lt;=0,N(Screener!$D$13)&lt;=0),0,MAX(0,1-ABS(LOG10(N(Database!$BF457)/Screener!$D$13))/W_PEHW))</f>
        <v/>
      </c>
      <c r="J457">
        <f>IF(OR(N(Database!$S457)&lt;=0,N(Screener!$D$14)&lt;=0),0,MAX(0,1-ABS(LOG10(Database!$S457/Screener!$D$14))/0.6))</f>
        <v/>
      </c>
      <c r="K457">
        <f>IF(Database!$B457=Screener!$B$5,-999999,IF(ISNUMBER(SEARCH(","&amp;Database!$A457&amp;",",","&amp;SUBSTITUTE(Screener!$D$17," ","")&amp;",")),2000000,IF(IF(OR(Screener!$B$18="All",AND(Screener!$B$18="With A-share",(Database!$BK457="Y")),AND(Screener!$B$18="Without A-share",NOT((Database!$BK457="Y")))),1,0)=0,-999999,IF(Screener!$B$16="cornerstone overlap first",H457*100000,IF(Screener!$B$16="demand-similar first",J457*100000,0))+W_SUB*B457+W_SEC*C457*(1-B457)+W_SIZE*D457+W_PROF*E457+W_AH*F457+W_REC*G457+W_CS*H457+W_PE*I457)))+ROW()/1000000</f>
        <v/>
      </c>
      <c r="AA457">
        <f>Database!B447</f>
        <v/>
      </c>
      <c r="AB457">
        <f>Database!D447</f>
        <v/>
      </c>
      <c r="AC457">
        <f>Database!E447</f>
        <v/>
      </c>
      <c r="AD457">
        <f>Database!I447</f>
        <v/>
      </c>
      <c r="AE457">
        <f>Database!BE447</f>
        <v/>
      </c>
      <c r="AF457">
        <f>Database!BK447</f>
        <v/>
      </c>
      <c r="AG457">
        <f>Database!H447</f>
        <v/>
      </c>
      <c r="AH457">
        <f>Database!BF447</f>
        <v/>
      </c>
    </row>
    <row r="458">
      <c r="A458">
        <f>Database!B458</f>
        <v/>
      </c>
      <c r="B458">
        <f>IF(AND(Screener!$D$8&lt;&gt;"",Database!$E458=Screener!$D$8),1,0)</f>
        <v/>
      </c>
      <c r="C458">
        <f>IF(AND(Screener!$D$7&lt;&gt;"",Database!$D458=Screener!$D$7),1,0)</f>
        <v/>
      </c>
      <c r="D458">
        <f>IF(OR(N(Database!$I458)&lt;=0,N(Screener!$D$9)&lt;=0),0,MAX(0,1-ABS(LOG10(N(Database!$I458)/Screener!$D$9))/W_SIZEHW))</f>
        <v/>
      </c>
      <c r="E458">
        <f>IF(OR(Database!$BE458="",Screener!$D$10=""),0,IF(Database!$BE458=Screener!$D$10,1,0))</f>
        <v/>
      </c>
      <c r="F458">
        <f>IF(OR(Database!$BK458="",Screener!$D$11=""),0,IF(Database!$BK458=Screener!$D$11,1,0))</f>
        <v/>
      </c>
      <c r="G458">
        <f>IF(OR(Database!$H458="",N(Screener!$D$12)&lt;=0),0,MAX(0,1-(N(Screener!$D$12)-Database!$H458)/W_RECD))</f>
        <v/>
      </c>
      <c r="H458">
        <f>IF($U$1="",0,N(ISNUMBER(SEARCH($U$1,Database!$Z458&amp;""))))+IF($V$1="",0,N(ISNUMBER(SEARCH($V$1,Database!$Z458&amp;""))))+IF($W$1="",0,N(ISNUMBER(SEARCH($W$1,Database!$Z458&amp;""))))+IF($X$1="",0,N(ISNUMBER(SEARCH($X$1,Database!$Z458&amp;""))))+IF($Y$1="",0,N(ISNUMBER(SEARCH($Y$1,Database!$Z458&amp;""))))+IF(Screener!$B$17="",0,N(ISNUMBER(SEARCH(LOWER(Screener!$B$17),Database!$Z458&amp;""))))</f>
        <v/>
      </c>
      <c r="I458">
        <f>IF(OR(N(Database!$BF458)&lt;=0,N(Screener!$D$13)&lt;=0),0,MAX(0,1-ABS(LOG10(N(Database!$BF458)/Screener!$D$13))/W_PEHW))</f>
        <v/>
      </c>
      <c r="J458">
        <f>IF(OR(N(Database!$S458)&lt;=0,N(Screener!$D$14)&lt;=0),0,MAX(0,1-ABS(LOG10(Database!$S458/Screener!$D$14))/0.6))</f>
        <v/>
      </c>
      <c r="K458">
        <f>IF(Database!$B458=Screener!$B$5,-999999,IF(ISNUMBER(SEARCH(","&amp;Database!$A458&amp;",",","&amp;SUBSTITUTE(Screener!$D$17," ","")&amp;",")),2000000,IF(IF(OR(Screener!$B$18="All",AND(Screener!$B$18="With A-share",(Database!$BK458="Y")),AND(Screener!$B$18="Without A-share",NOT((Database!$BK458="Y")))),1,0)=0,-999999,IF(Screener!$B$16="cornerstone overlap first",H458*100000,IF(Screener!$B$16="demand-similar first",J458*100000,0))+W_SUB*B458+W_SEC*C458*(1-B458)+W_SIZE*D458+W_PROF*E458+W_AH*F458+W_REC*G458+W_CS*H458+W_PE*I458)))+ROW()/1000000</f>
        <v/>
      </c>
      <c r="AA458">
        <f>Database!B448</f>
        <v/>
      </c>
      <c r="AB458">
        <f>Database!D448</f>
        <v/>
      </c>
      <c r="AC458">
        <f>Database!E448</f>
        <v/>
      </c>
      <c r="AD458">
        <f>Database!I448</f>
        <v/>
      </c>
      <c r="AE458">
        <f>Database!BE448</f>
        <v/>
      </c>
      <c r="AF458">
        <f>Database!BK448</f>
        <v/>
      </c>
      <c r="AG458">
        <f>Database!H448</f>
        <v/>
      </c>
      <c r="AH458">
        <f>Database!BF448</f>
        <v/>
      </c>
    </row>
    <row r="459">
      <c r="A459">
        <f>Database!B459</f>
        <v/>
      </c>
      <c r="B459">
        <f>IF(AND(Screener!$D$8&lt;&gt;"",Database!$E459=Screener!$D$8),1,0)</f>
        <v/>
      </c>
      <c r="C459">
        <f>IF(AND(Screener!$D$7&lt;&gt;"",Database!$D459=Screener!$D$7),1,0)</f>
        <v/>
      </c>
      <c r="D459">
        <f>IF(OR(N(Database!$I459)&lt;=0,N(Screener!$D$9)&lt;=0),0,MAX(0,1-ABS(LOG10(N(Database!$I459)/Screener!$D$9))/W_SIZEHW))</f>
        <v/>
      </c>
      <c r="E459">
        <f>IF(OR(Database!$BE459="",Screener!$D$10=""),0,IF(Database!$BE459=Screener!$D$10,1,0))</f>
        <v/>
      </c>
      <c r="F459">
        <f>IF(OR(Database!$BK459="",Screener!$D$11=""),0,IF(Database!$BK459=Screener!$D$11,1,0))</f>
        <v/>
      </c>
      <c r="G459">
        <f>IF(OR(Database!$H459="",N(Screener!$D$12)&lt;=0),0,MAX(0,1-(N(Screener!$D$12)-Database!$H459)/W_RECD))</f>
        <v/>
      </c>
      <c r="H459">
        <f>IF($U$1="",0,N(ISNUMBER(SEARCH($U$1,Database!$Z459&amp;""))))+IF($V$1="",0,N(ISNUMBER(SEARCH($V$1,Database!$Z459&amp;""))))+IF($W$1="",0,N(ISNUMBER(SEARCH($W$1,Database!$Z459&amp;""))))+IF($X$1="",0,N(ISNUMBER(SEARCH($X$1,Database!$Z459&amp;""))))+IF($Y$1="",0,N(ISNUMBER(SEARCH($Y$1,Database!$Z459&amp;""))))+IF(Screener!$B$17="",0,N(ISNUMBER(SEARCH(LOWER(Screener!$B$17),Database!$Z459&amp;""))))</f>
        <v/>
      </c>
      <c r="I459">
        <f>IF(OR(N(Database!$BF459)&lt;=0,N(Screener!$D$13)&lt;=0),0,MAX(0,1-ABS(LOG10(N(Database!$BF459)/Screener!$D$13))/W_PEHW))</f>
        <v/>
      </c>
      <c r="J459">
        <f>IF(OR(N(Database!$S459)&lt;=0,N(Screener!$D$14)&lt;=0),0,MAX(0,1-ABS(LOG10(Database!$S459/Screener!$D$14))/0.6))</f>
        <v/>
      </c>
      <c r="K459">
        <f>IF(Database!$B459=Screener!$B$5,-999999,IF(ISNUMBER(SEARCH(","&amp;Database!$A459&amp;",",","&amp;SUBSTITUTE(Screener!$D$17," ","")&amp;",")),2000000,IF(IF(OR(Screener!$B$18="All",AND(Screener!$B$18="With A-share",(Database!$BK459="Y")),AND(Screener!$B$18="Without A-share",NOT((Database!$BK459="Y")))),1,0)=0,-999999,IF(Screener!$B$16="cornerstone overlap first",H459*100000,IF(Screener!$B$16="demand-similar first",J459*100000,0))+W_SUB*B459+W_SEC*C459*(1-B459)+W_SIZE*D459+W_PROF*E459+W_AH*F459+W_REC*G459+W_CS*H459+W_PE*I459)))+ROW()/1000000</f>
        <v/>
      </c>
      <c r="AA459">
        <f>Database!B449</f>
        <v/>
      </c>
      <c r="AB459">
        <f>Database!D449</f>
        <v/>
      </c>
      <c r="AC459">
        <f>Database!E449</f>
        <v/>
      </c>
      <c r="AD459">
        <f>Database!I449</f>
        <v/>
      </c>
      <c r="AE459">
        <f>Database!BE449</f>
        <v/>
      </c>
      <c r="AF459">
        <f>Database!BK449</f>
        <v/>
      </c>
      <c r="AG459">
        <f>Database!H449</f>
        <v/>
      </c>
      <c r="AH459">
        <f>Database!BF449</f>
        <v/>
      </c>
    </row>
    <row r="460">
      <c r="A460">
        <f>Database!B460</f>
        <v/>
      </c>
      <c r="B460">
        <f>IF(AND(Screener!$D$8&lt;&gt;"",Database!$E460=Screener!$D$8),1,0)</f>
        <v/>
      </c>
      <c r="C460">
        <f>IF(AND(Screener!$D$7&lt;&gt;"",Database!$D460=Screener!$D$7),1,0)</f>
        <v/>
      </c>
      <c r="D460">
        <f>IF(OR(N(Database!$I460)&lt;=0,N(Screener!$D$9)&lt;=0),0,MAX(0,1-ABS(LOG10(N(Database!$I460)/Screener!$D$9))/W_SIZEHW))</f>
        <v/>
      </c>
      <c r="E460">
        <f>IF(OR(Database!$BE460="",Screener!$D$10=""),0,IF(Database!$BE460=Screener!$D$10,1,0))</f>
        <v/>
      </c>
      <c r="F460">
        <f>IF(OR(Database!$BK460="",Screener!$D$11=""),0,IF(Database!$BK460=Screener!$D$11,1,0))</f>
        <v/>
      </c>
      <c r="G460">
        <f>IF(OR(Database!$H460="",N(Screener!$D$12)&lt;=0),0,MAX(0,1-(N(Screener!$D$12)-Database!$H460)/W_RECD))</f>
        <v/>
      </c>
      <c r="H460">
        <f>IF($U$1="",0,N(ISNUMBER(SEARCH($U$1,Database!$Z460&amp;""))))+IF($V$1="",0,N(ISNUMBER(SEARCH($V$1,Database!$Z460&amp;""))))+IF($W$1="",0,N(ISNUMBER(SEARCH($W$1,Database!$Z460&amp;""))))+IF($X$1="",0,N(ISNUMBER(SEARCH($X$1,Database!$Z460&amp;""))))+IF($Y$1="",0,N(ISNUMBER(SEARCH($Y$1,Database!$Z460&amp;""))))+IF(Screener!$B$17="",0,N(ISNUMBER(SEARCH(LOWER(Screener!$B$17),Database!$Z460&amp;""))))</f>
        <v/>
      </c>
      <c r="I460">
        <f>IF(OR(N(Database!$BF460)&lt;=0,N(Screener!$D$13)&lt;=0),0,MAX(0,1-ABS(LOG10(N(Database!$BF460)/Screener!$D$13))/W_PEHW))</f>
        <v/>
      </c>
      <c r="J460">
        <f>IF(OR(N(Database!$S460)&lt;=0,N(Screener!$D$14)&lt;=0),0,MAX(0,1-ABS(LOG10(Database!$S460/Screener!$D$14))/0.6))</f>
        <v/>
      </c>
      <c r="K460">
        <f>IF(Database!$B460=Screener!$B$5,-999999,IF(ISNUMBER(SEARCH(","&amp;Database!$A460&amp;",",","&amp;SUBSTITUTE(Screener!$D$17," ","")&amp;",")),2000000,IF(IF(OR(Screener!$B$18="All",AND(Screener!$B$18="With A-share",(Database!$BK460="Y")),AND(Screener!$B$18="Without A-share",NOT((Database!$BK460="Y")))),1,0)=0,-999999,IF(Screener!$B$16="cornerstone overlap first",H460*100000,IF(Screener!$B$16="demand-similar first",J460*100000,0))+W_SUB*B460+W_SEC*C460*(1-B460)+W_SIZE*D460+W_PROF*E460+W_AH*F460+W_REC*G460+W_CS*H460+W_PE*I460)))+ROW()/1000000</f>
        <v/>
      </c>
      <c r="AA460">
        <f>Database!B450</f>
        <v/>
      </c>
      <c r="AB460">
        <f>Database!D450</f>
        <v/>
      </c>
      <c r="AC460">
        <f>Database!E450</f>
        <v/>
      </c>
      <c r="AD460">
        <f>Database!I450</f>
        <v/>
      </c>
      <c r="AE460">
        <f>Database!BE450</f>
        <v/>
      </c>
      <c r="AF460">
        <f>Database!BK450</f>
        <v/>
      </c>
      <c r="AG460">
        <f>Database!H450</f>
        <v/>
      </c>
      <c r="AH460">
        <f>Database!BF450</f>
        <v/>
      </c>
    </row>
    <row r="461">
      <c r="A461">
        <f>Database!B461</f>
        <v/>
      </c>
      <c r="B461">
        <f>IF(AND(Screener!$D$8&lt;&gt;"",Database!$E461=Screener!$D$8),1,0)</f>
        <v/>
      </c>
      <c r="C461">
        <f>IF(AND(Screener!$D$7&lt;&gt;"",Database!$D461=Screener!$D$7),1,0)</f>
        <v/>
      </c>
      <c r="D461">
        <f>IF(OR(N(Database!$I461)&lt;=0,N(Screener!$D$9)&lt;=0),0,MAX(0,1-ABS(LOG10(N(Database!$I461)/Screener!$D$9))/W_SIZEHW))</f>
        <v/>
      </c>
      <c r="E461">
        <f>IF(OR(Database!$BE461="",Screener!$D$10=""),0,IF(Database!$BE461=Screener!$D$10,1,0))</f>
        <v/>
      </c>
      <c r="F461">
        <f>IF(OR(Database!$BK461="",Screener!$D$11=""),0,IF(Database!$BK461=Screener!$D$11,1,0))</f>
        <v/>
      </c>
      <c r="G461">
        <f>IF(OR(Database!$H461="",N(Screener!$D$12)&lt;=0),0,MAX(0,1-(N(Screener!$D$12)-Database!$H461)/W_RECD))</f>
        <v/>
      </c>
      <c r="H461">
        <f>IF($U$1="",0,N(ISNUMBER(SEARCH($U$1,Database!$Z461&amp;""))))+IF($V$1="",0,N(ISNUMBER(SEARCH($V$1,Database!$Z461&amp;""))))+IF($W$1="",0,N(ISNUMBER(SEARCH($W$1,Database!$Z461&amp;""))))+IF($X$1="",0,N(ISNUMBER(SEARCH($X$1,Database!$Z461&amp;""))))+IF($Y$1="",0,N(ISNUMBER(SEARCH($Y$1,Database!$Z461&amp;""))))+IF(Screener!$B$17="",0,N(ISNUMBER(SEARCH(LOWER(Screener!$B$17),Database!$Z461&amp;""))))</f>
        <v/>
      </c>
      <c r="I461">
        <f>IF(OR(N(Database!$BF461)&lt;=0,N(Screener!$D$13)&lt;=0),0,MAX(0,1-ABS(LOG10(N(Database!$BF461)/Screener!$D$13))/W_PEHW))</f>
        <v/>
      </c>
      <c r="J461">
        <f>IF(OR(N(Database!$S461)&lt;=0,N(Screener!$D$14)&lt;=0),0,MAX(0,1-ABS(LOG10(Database!$S461/Screener!$D$14))/0.6))</f>
        <v/>
      </c>
      <c r="K461">
        <f>IF(Database!$B461=Screener!$B$5,-999999,IF(ISNUMBER(SEARCH(","&amp;Database!$A461&amp;",",","&amp;SUBSTITUTE(Screener!$D$17," ","")&amp;",")),2000000,IF(IF(OR(Screener!$B$18="All",AND(Screener!$B$18="With A-share",(Database!$BK461="Y")),AND(Screener!$B$18="Without A-share",NOT((Database!$BK461="Y")))),1,0)=0,-999999,IF(Screener!$B$16="cornerstone overlap first",H461*100000,IF(Screener!$B$16="demand-similar first",J461*100000,0))+W_SUB*B461+W_SEC*C461*(1-B461)+W_SIZE*D461+W_PROF*E461+W_AH*F461+W_REC*G461+W_CS*H461+W_PE*I461)))+ROW()/1000000</f>
        <v/>
      </c>
      <c r="AA461">
        <f>Database!B451</f>
        <v/>
      </c>
      <c r="AB461">
        <f>Database!D451</f>
        <v/>
      </c>
      <c r="AC461">
        <f>Database!E451</f>
        <v/>
      </c>
      <c r="AD461">
        <f>Database!I451</f>
        <v/>
      </c>
      <c r="AE461">
        <f>Database!BE451</f>
        <v/>
      </c>
      <c r="AF461">
        <f>Database!BK451</f>
        <v/>
      </c>
      <c r="AG461">
        <f>Database!H451</f>
        <v/>
      </c>
      <c r="AH461">
        <f>Database!BF451</f>
        <v/>
      </c>
    </row>
    <row r="462">
      <c r="A462">
        <f>Database!B462</f>
        <v/>
      </c>
      <c r="B462">
        <f>IF(AND(Screener!$D$8&lt;&gt;"",Database!$E462=Screener!$D$8),1,0)</f>
        <v/>
      </c>
      <c r="C462">
        <f>IF(AND(Screener!$D$7&lt;&gt;"",Database!$D462=Screener!$D$7),1,0)</f>
        <v/>
      </c>
      <c r="D462">
        <f>IF(OR(N(Database!$I462)&lt;=0,N(Screener!$D$9)&lt;=0),0,MAX(0,1-ABS(LOG10(N(Database!$I462)/Screener!$D$9))/W_SIZEHW))</f>
        <v/>
      </c>
      <c r="E462">
        <f>IF(OR(Database!$BE462="",Screener!$D$10=""),0,IF(Database!$BE462=Screener!$D$10,1,0))</f>
        <v/>
      </c>
      <c r="F462">
        <f>IF(OR(Database!$BK462="",Screener!$D$11=""),0,IF(Database!$BK462=Screener!$D$11,1,0))</f>
        <v/>
      </c>
      <c r="G462">
        <f>IF(OR(Database!$H462="",N(Screener!$D$12)&lt;=0),0,MAX(0,1-(N(Screener!$D$12)-Database!$H462)/W_RECD))</f>
        <v/>
      </c>
      <c r="H462">
        <f>IF($U$1="",0,N(ISNUMBER(SEARCH($U$1,Database!$Z462&amp;""))))+IF($V$1="",0,N(ISNUMBER(SEARCH($V$1,Database!$Z462&amp;""))))+IF($W$1="",0,N(ISNUMBER(SEARCH($W$1,Database!$Z462&amp;""))))+IF($X$1="",0,N(ISNUMBER(SEARCH($X$1,Database!$Z462&amp;""))))+IF($Y$1="",0,N(ISNUMBER(SEARCH($Y$1,Database!$Z462&amp;""))))+IF(Screener!$B$17="",0,N(ISNUMBER(SEARCH(LOWER(Screener!$B$17),Database!$Z462&amp;""))))</f>
        <v/>
      </c>
      <c r="I462">
        <f>IF(OR(N(Database!$BF462)&lt;=0,N(Screener!$D$13)&lt;=0),0,MAX(0,1-ABS(LOG10(N(Database!$BF462)/Screener!$D$13))/W_PEHW))</f>
        <v/>
      </c>
      <c r="J462">
        <f>IF(OR(N(Database!$S462)&lt;=0,N(Screener!$D$14)&lt;=0),0,MAX(0,1-ABS(LOG10(Database!$S462/Screener!$D$14))/0.6))</f>
        <v/>
      </c>
      <c r="K462">
        <f>IF(Database!$B462=Screener!$B$5,-999999,IF(ISNUMBER(SEARCH(","&amp;Database!$A462&amp;",",","&amp;SUBSTITUTE(Screener!$D$17," ","")&amp;",")),2000000,IF(IF(OR(Screener!$B$18="All",AND(Screener!$B$18="With A-share",(Database!$BK462="Y")),AND(Screener!$B$18="Without A-share",NOT((Database!$BK462="Y")))),1,0)=0,-999999,IF(Screener!$B$16="cornerstone overlap first",H462*100000,IF(Screener!$B$16="demand-similar first",J462*100000,0))+W_SUB*B462+W_SEC*C462*(1-B462)+W_SIZE*D462+W_PROF*E462+W_AH*F462+W_REC*G462+W_CS*H462+W_PE*I462)))+ROW()/1000000</f>
        <v/>
      </c>
      <c r="AA462">
        <f>Database!B452</f>
        <v/>
      </c>
      <c r="AB462">
        <f>Database!D452</f>
        <v/>
      </c>
      <c r="AC462">
        <f>Database!E452</f>
        <v/>
      </c>
      <c r="AD462">
        <f>Database!I452</f>
        <v/>
      </c>
      <c r="AE462">
        <f>Database!BE452</f>
        <v/>
      </c>
      <c r="AF462">
        <f>Database!BK452</f>
        <v/>
      </c>
      <c r="AG462">
        <f>Database!H452</f>
        <v/>
      </c>
      <c r="AH462">
        <f>Database!BF452</f>
        <v/>
      </c>
    </row>
    <row r="463">
      <c r="A463">
        <f>Database!B463</f>
        <v/>
      </c>
      <c r="B463">
        <f>IF(AND(Screener!$D$8&lt;&gt;"",Database!$E463=Screener!$D$8),1,0)</f>
        <v/>
      </c>
      <c r="C463">
        <f>IF(AND(Screener!$D$7&lt;&gt;"",Database!$D463=Screener!$D$7),1,0)</f>
        <v/>
      </c>
      <c r="D463">
        <f>IF(OR(N(Database!$I463)&lt;=0,N(Screener!$D$9)&lt;=0),0,MAX(0,1-ABS(LOG10(N(Database!$I463)/Screener!$D$9))/W_SIZEHW))</f>
        <v/>
      </c>
      <c r="E463">
        <f>IF(OR(Database!$BE463="",Screener!$D$10=""),0,IF(Database!$BE463=Screener!$D$10,1,0))</f>
        <v/>
      </c>
      <c r="F463">
        <f>IF(OR(Database!$BK463="",Screener!$D$11=""),0,IF(Database!$BK463=Screener!$D$11,1,0))</f>
        <v/>
      </c>
      <c r="G463">
        <f>IF(OR(Database!$H463="",N(Screener!$D$12)&lt;=0),0,MAX(0,1-(N(Screener!$D$12)-Database!$H463)/W_RECD))</f>
        <v/>
      </c>
      <c r="H463">
        <f>IF($U$1="",0,N(ISNUMBER(SEARCH($U$1,Database!$Z463&amp;""))))+IF($V$1="",0,N(ISNUMBER(SEARCH($V$1,Database!$Z463&amp;""))))+IF($W$1="",0,N(ISNUMBER(SEARCH($W$1,Database!$Z463&amp;""))))+IF($X$1="",0,N(ISNUMBER(SEARCH($X$1,Database!$Z463&amp;""))))+IF($Y$1="",0,N(ISNUMBER(SEARCH($Y$1,Database!$Z463&amp;""))))+IF(Screener!$B$17="",0,N(ISNUMBER(SEARCH(LOWER(Screener!$B$17),Database!$Z463&amp;""))))</f>
        <v/>
      </c>
      <c r="I463">
        <f>IF(OR(N(Database!$BF463)&lt;=0,N(Screener!$D$13)&lt;=0),0,MAX(0,1-ABS(LOG10(N(Database!$BF463)/Screener!$D$13))/W_PEHW))</f>
        <v/>
      </c>
      <c r="J463">
        <f>IF(OR(N(Database!$S463)&lt;=0,N(Screener!$D$14)&lt;=0),0,MAX(0,1-ABS(LOG10(Database!$S463/Screener!$D$14))/0.6))</f>
        <v/>
      </c>
      <c r="K463">
        <f>IF(Database!$B463=Screener!$B$5,-999999,IF(ISNUMBER(SEARCH(","&amp;Database!$A463&amp;",",","&amp;SUBSTITUTE(Screener!$D$17," ","")&amp;",")),2000000,IF(IF(OR(Screener!$B$18="All",AND(Screener!$B$18="With A-share",(Database!$BK463="Y")),AND(Screener!$B$18="Without A-share",NOT((Database!$BK463="Y")))),1,0)=0,-999999,IF(Screener!$B$16="cornerstone overlap first",H463*100000,IF(Screener!$B$16="demand-similar first",J463*100000,0))+W_SUB*B463+W_SEC*C463*(1-B463)+W_SIZE*D463+W_PROF*E463+W_AH*F463+W_REC*G463+W_CS*H463+W_PE*I463)))+ROW()/1000000</f>
        <v/>
      </c>
      <c r="AA463">
        <f>Database!B453</f>
        <v/>
      </c>
      <c r="AB463">
        <f>Database!D453</f>
        <v/>
      </c>
      <c r="AC463">
        <f>Database!E453</f>
        <v/>
      </c>
      <c r="AD463">
        <f>Database!I453</f>
        <v/>
      </c>
      <c r="AE463">
        <f>Database!BE453</f>
        <v/>
      </c>
      <c r="AF463">
        <f>Database!BK453</f>
        <v/>
      </c>
      <c r="AG463">
        <f>Database!H453</f>
        <v/>
      </c>
      <c r="AH463">
        <f>Database!BF453</f>
        <v/>
      </c>
    </row>
    <row r="464">
      <c r="A464">
        <f>Database!B464</f>
        <v/>
      </c>
      <c r="B464">
        <f>IF(AND(Screener!$D$8&lt;&gt;"",Database!$E464=Screener!$D$8),1,0)</f>
        <v/>
      </c>
      <c r="C464">
        <f>IF(AND(Screener!$D$7&lt;&gt;"",Database!$D464=Screener!$D$7),1,0)</f>
        <v/>
      </c>
      <c r="D464">
        <f>IF(OR(N(Database!$I464)&lt;=0,N(Screener!$D$9)&lt;=0),0,MAX(0,1-ABS(LOG10(N(Database!$I464)/Screener!$D$9))/W_SIZEHW))</f>
        <v/>
      </c>
      <c r="E464">
        <f>IF(OR(Database!$BE464="",Screener!$D$10=""),0,IF(Database!$BE464=Screener!$D$10,1,0))</f>
        <v/>
      </c>
      <c r="F464">
        <f>IF(OR(Database!$BK464="",Screener!$D$11=""),0,IF(Database!$BK464=Screener!$D$11,1,0))</f>
        <v/>
      </c>
      <c r="G464">
        <f>IF(OR(Database!$H464="",N(Screener!$D$12)&lt;=0),0,MAX(0,1-(N(Screener!$D$12)-Database!$H464)/W_RECD))</f>
        <v/>
      </c>
      <c r="H464">
        <f>IF($U$1="",0,N(ISNUMBER(SEARCH($U$1,Database!$Z464&amp;""))))+IF($V$1="",0,N(ISNUMBER(SEARCH($V$1,Database!$Z464&amp;""))))+IF($W$1="",0,N(ISNUMBER(SEARCH($W$1,Database!$Z464&amp;""))))+IF($X$1="",0,N(ISNUMBER(SEARCH($X$1,Database!$Z464&amp;""))))+IF($Y$1="",0,N(ISNUMBER(SEARCH($Y$1,Database!$Z464&amp;""))))+IF(Screener!$B$17="",0,N(ISNUMBER(SEARCH(LOWER(Screener!$B$17),Database!$Z464&amp;""))))</f>
        <v/>
      </c>
      <c r="I464">
        <f>IF(OR(N(Database!$BF464)&lt;=0,N(Screener!$D$13)&lt;=0),0,MAX(0,1-ABS(LOG10(N(Database!$BF464)/Screener!$D$13))/W_PEHW))</f>
        <v/>
      </c>
      <c r="J464">
        <f>IF(OR(N(Database!$S464)&lt;=0,N(Screener!$D$14)&lt;=0),0,MAX(0,1-ABS(LOG10(Database!$S464/Screener!$D$14))/0.6))</f>
        <v/>
      </c>
      <c r="K464">
        <f>IF(Database!$B464=Screener!$B$5,-999999,IF(ISNUMBER(SEARCH(","&amp;Database!$A464&amp;",",","&amp;SUBSTITUTE(Screener!$D$17," ","")&amp;",")),2000000,IF(IF(OR(Screener!$B$18="All",AND(Screener!$B$18="With A-share",(Database!$BK464="Y")),AND(Screener!$B$18="Without A-share",NOT((Database!$BK464="Y")))),1,0)=0,-999999,IF(Screener!$B$16="cornerstone overlap first",H464*100000,IF(Screener!$B$16="demand-similar first",J464*100000,0))+W_SUB*B464+W_SEC*C464*(1-B464)+W_SIZE*D464+W_PROF*E464+W_AH*F464+W_REC*G464+W_CS*H464+W_PE*I464)))+ROW()/1000000</f>
        <v/>
      </c>
      <c r="AA464">
        <f>Database!B454</f>
        <v/>
      </c>
      <c r="AB464">
        <f>Database!D454</f>
        <v/>
      </c>
      <c r="AC464">
        <f>Database!E454</f>
        <v/>
      </c>
      <c r="AD464">
        <f>Database!I454</f>
        <v/>
      </c>
      <c r="AE464">
        <f>Database!BE454</f>
        <v/>
      </c>
      <c r="AF464">
        <f>Database!BK454</f>
        <v/>
      </c>
      <c r="AG464">
        <f>Database!H454</f>
        <v/>
      </c>
      <c r="AH464">
        <f>Database!BF454</f>
        <v/>
      </c>
    </row>
    <row r="465">
      <c r="A465">
        <f>Database!B465</f>
        <v/>
      </c>
      <c r="B465">
        <f>IF(AND(Screener!$D$8&lt;&gt;"",Database!$E465=Screener!$D$8),1,0)</f>
        <v/>
      </c>
      <c r="C465">
        <f>IF(AND(Screener!$D$7&lt;&gt;"",Database!$D465=Screener!$D$7),1,0)</f>
        <v/>
      </c>
      <c r="D465">
        <f>IF(OR(N(Database!$I465)&lt;=0,N(Screener!$D$9)&lt;=0),0,MAX(0,1-ABS(LOG10(N(Database!$I465)/Screener!$D$9))/W_SIZEHW))</f>
        <v/>
      </c>
      <c r="E465">
        <f>IF(OR(Database!$BE465="",Screener!$D$10=""),0,IF(Database!$BE465=Screener!$D$10,1,0))</f>
        <v/>
      </c>
      <c r="F465">
        <f>IF(OR(Database!$BK465="",Screener!$D$11=""),0,IF(Database!$BK465=Screener!$D$11,1,0))</f>
        <v/>
      </c>
      <c r="G465">
        <f>IF(OR(Database!$H465="",N(Screener!$D$12)&lt;=0),0,MAX(0,1-(N(Screener!$D$12)-Database!$H465)/W_RECD))</f>
        <v/>
      </c>
      <c r="H465">
        <f>IF($U$1="",0,N(ISNUMBER(SEARCH($U$1,Database!$Z465&amp;""))))+IF($V$1="",0,N(ISNUMBER(SEARCH($V$1,Database!$Z465&amp;""))))+IF($W$1="",0,N(ISNUMBER(SEARCH($W$1,Database!$Z465&amp;""))))+IF($X$1="",0,N(ISNUMBER(SEARCH($X$1,Database!$Z465&amp;""))))+IF($Y$1="",0,N(ISNUMBER(SEARCH($Y$1,Database!$Z465&amp;""))))+IF(Screener!$B$17="",0,N(ISNUMBER(SEARCH(LOWER(Screener!$B$17),Database!$Z465&amp;""))))</f>
        <v/>
      </c>
      <c r="I465">
        <f>IF(OR(N(Database!$BF465)&lt;=0,N(Screener!$D$13)&lt;=0),0,MAX(0,1-ABS(LOG10(N(Database!$BF465)/Screener!$D$13))/W_PEHW))</f>
        <v/>
      </c>
      <c r="J465">
        <f>IF(OR(N(Database!$S465)&lt;=0,N(Screener!$D$14)&lt;=0),0,MAX(0,1-ABS(LOG10(Database!$S465/Screener!$D$14))/0.6))</f>
        <v/>
      </c>
      <c r="K465">
        <f>IF(Database!$B465=Screener!$B$5,-999999,IF(ISNUMBER(SEARCH(","&amp;Database!$A465&amp;",",","&amp;SUBSTITUTE(Screener!$D$17," ","")&amp;",")),2000000,IF(IF(OR(Screener!$B$18="All",AND(Screener!$B$18="With A-share",(Database!$BK465="Y")),AND(Screener!$B$18="Without A-share",NOT((Database!$BK465="Y")))),1,0)=0,-999999,IF(Screener!$B$16="cornerstone overlap first",H465*100000,IF(Screener!$B$16="demand-similar first",J465*100000,0))+W_SUB*B465+W_SEC*C465*(1-B465)+W_SIZE*D465+W_PROF*E465+W_AH*F465+W_REC*G465+W_CS*H465+W_PE*I465)))+ROW()/1000000</f>
        <v/>
      </c>
      <c r="AA465">
        <f>Database!B455</f>
        <v/>
      </c>
      <c r="AB465">
        <f>Database!D455</f>
        <v/>
      </c>
      <c r="AC465">
        <f>Database!E455</f>
        <v/>
      </c>
      <c r="AD465">
        <f>Database!I455</f>
        <v/>
      </c>
      <c r="AE465">
        <f>Database!BE455</f>
        <v/>
      </c>
      <c r="AF465">
        <f>Database!BK455</f>
        <v/>
      </c>
      <c r="AG465">
        <f>Database!H455</f>
        <v/>
      </c>
      <c r="AH465">
        <f>Database!BF455</f>
        <v/>
      </c>
    </row>
    <row r="466">
      <c r="A466">
        <f>Database!B466</f>
        <v/>
      </c>
      <c r="B466">
        <f>IF(AND(Screener!$D$8&lt;&gt;"",Database!$E466=Screener!$D$8),1,0)</f>
        <v/>
      </c>
      <c r="C466">
        <f>IF(AND(Screener!$D$7&lt;&gt;"",Database!$D466=Screener!$D$7),1,0)</f>
        <v/>
      </c>
      <c r="D466">
        <f>IF(OR(N(Database!$I466)&lt;=0,N(Screener!$D$9)&lt;=0),0,MAX(0,1-ABS(LOG10(N(Database!$I466)/Screener!$D$9))/W_SIZEHW))</f>
        <v/>
      </c>
      <c r="E466">
        <f>IF(OR(Database!$BE466="",Screener!$D$10=""),0,IF(Database!$BE466=Screener!$D$10,1,0))</f>
        <v/>
      </c>
      <c r="F466">
        <f>IF(OR(Database!$BK466="",Screener!$D$11=""),0,IF(Database!$BK466=Screener!$D$11,1,0))</f>
        <v/>
      </c>
      <c r="G466">
        <f>IF(OR(Database!$H466="",N(Screener!$D$12)&lt;=0),0,MAX(0,1-(N(Screener!$D$12)-Database!$H466)/W_RECD))</f>
        <v/>
      </c>
      <c r="H466">
        <f>IF($U$1="",0,N(ISNUMBER(SEARCH($U$1,Database!$Z466&amp;""))))+IF($V$1="",0,N(ISNUMBER(SEARCH($V$1,Database!$Z466&amp;""))))+IF($W$1="",0,N(ISNUMBER(SEARCH($W$1,Database!$Z466&amp;""))))+IF($X$1="",0,N(ISNUMBER(SEARCH($X$1,Database!$Z466&amp;""))))+IF($Y$1="",0,N(ISNUMBER(SEARCH($Y$1,Database!$Z466&amp;""))))+IF(Screener!$B$17="",0,N(ISNUMBER(SEARCH(LOWER(Screener!$B$17),Database!$Z466&amp;""))))</f>
        <v/>
      </c>
      <c r="I466">
        <f>IF(OR(N(Database!$BF466)&lt;=0,N(Screener!$D$13)&lt;=0),0,MAX(0,1-ABS(LOG10(N(Database!$BF466)/Screener!$D$13))/W_PEHW))</f>
        <v/>
      </c>
      <c r="J466">
        <f>IF(OR(N(Database!$S466)&lt;=0,N(Screener!$D$14)&lt;=0),0,MAX(0,1-ABS(LOG10(Database!$S466/Screener!$D$14))/0.6))</f>
        <v/>
      </c>
      <c r="K466">
        <f>IF(Database!$B466=Screener!$B$5,-999999,IF(ISNUMBER(SEARCH(","&amp;Database!$A466&amp;",",","&amp;SUBSTITUTE(Screener!$D$17," ","")&amp;",")),2000000,IF(IF(OR(Screener!$B$18="All",AND(Screener!$B$18="With A-share",(Database!$BK466="Y")),AND(Screener!$B$18="Without A-share",NOT((Database!$BK466="Y")))),1,0)=0,-999999,IF(Screener!$B$16="cornerstone overlap first",H466*100000,IF(Screener!$B$16="demand-similar first",J466*100000,0))+W_SUB*B466+W_SEC*C466*(1-B466)+W_SIZE*D466+W_PROF*E466+W_AH*F466+W_REC*G466+W_CS*H466+W_PE*I466)))+ROW()/1000000</f>
        <v/>
      </c>
      <c r="AA466">
        <f>Database!B456</f>
        <v/>
      </c>
      <c r="AB466">
        <f>Database!D456</f>
        <v/>
      </c>
      <c r="AC466">
        <f>Database!E456</f>
        <v/>
      </c>
      <c r="AD466">
        <f>Database!I456</f>
        <v/>
      </c>
      <c r="AE466">
        <f>Database!BE456</f>
        <v/>
      </c>
      <c r="AF466">
        <f>Database!BK456</f>
        <v/>
      </c>
      <c r="AG466">
        <f>Database!H456</f>
        <v/>
      </c>
      <c r="AH466">
        <f>Database!BF456</f>
        <v/>
      </c>
    </row>
    <row r="467">
      <c r="A467">
        <f>Database!B467</f>
        <v/>
      </c>
      <c r="B467">
        <f>IF(AND(Screener!$D$8&lt;&gt;"",Database!$E467=Screener!$D$8),1,0)</f>
        <v/>
      </c>
      <c r="C467">
        <f>IF(AND(Screener!$D$7&lt;&gt;"",Database!$D467=Screener!$D$7),1,0)</f>
        <v/>
      </c>
      <c r="D467">
        <f>IF(OR(N(Database!$I467)&lt;=0,N(Screener!$D$9)&lt;=0),0,MAX(0,1-ABS(LOG10(N(Database!$I467)/Screener!$D$9))/W_SIZEHW))</f>
        <v/>
      </c>
      <c r="E467">
        <f>IF(OR(Database!$BE467="",Screener!$D$10=""),0,IF(Database!$BE467=Screener!$D$10,1,0))</f>
        <v/>
      </c>
      <c r="F467">
        <f>IF(OR(Database!$BK467="",Screener!$D$11=""),0,IF(Database!$BK467=Screener!$D$11,1,0))</f>
        <v/>
      </c>
      <c r="G467">
        <f>IF(OR(Database!$H467="",N(Screener!$D$12)&lt;=0),0,MAX(0,1-(N(Screener!$D$12)-Database!$H467)/W_RECD))</f>
        <v/>
      </c>
      <c r="H467">
        <f>IF($U$1="",0,N(ISNUMBER(SEARCH($U$1,Database!$Z467&amp;""))))+IF($V$1="",0,N(ISNUMBER(SEARCH($V$1,Database!$Z467&amp;""))))+IF($W$1="",0,N(ISNUMBER(SEARCH($W$1,Database!$Z467&amp;""))))+IF($X$1="",0,N(ISNUMBER(SEARCH($X$1,Database!$Z467&amp;""))))+IF($Y$1="",0,N(ISNUMBER(SEARCH($Y$1,Database!$Z467&amp;""))))+IF(Screener!$B$17="",0,N(ISNUMBER(SEARCH(LOWER(Screener!$B$17),Database!$Z467&amp;""))))</f>
        <v/>
      </c>
      <c r="I467">
        <f>IF(OR(N(Database!$BF467)&lt;=0,N(Screener!$D$13)&lt;=0),0,MAX(0,1-ABS(LOG10(N(Database!$BF467)/Screener!$D$13))/W_PEHW))</f>
        <v/>
      </c>
      <c r="J467">
        <f>IF(OR(N(Database!$S467)&lt;=0,N(Screener!$D$14)&lt;=0),0,MAX(0,1-ABS(LOG10(Database!$S467/Screener!$D$14))/0.6))</f>
        <v/>
      </c>
      <c r="K467">
        <f>IF(Database!$B467=Screener!$B$5,-999999,IF(ISNUMBER(SEARCH(","&amp;Database!$A467&amp;",",","&amp;SUBSTITUTE(Screener!$D$17," ","")&amp;",")),2000000,IF(IF(OR(Screener!$B$18="All",AND(Screener!$B$18="With A-share",(Database!$BK467="Y")),AND(Screener!$B$18="Without A-share",NOT((Database!$BK467="Y")))),1,0)=0,-999999,IF(Screener!$B$16="cornerstone overlap first",H467*100000,IF(Screener!$B$16="demand-similar first",J467*100000,0))+W_SUB*B467+W_SEC*C467*(1-B467)+W_SIZE*D467+W_PROF*E467+W_AH*F467+W_REC*G467+W_CS*H467+W_PE*I467)))+ROW()/1000000</f>
        <v/>
      </c>
      <c r="AA467">
        <f>Database!B457</f>
        <v/>
      </c>
      <c r="AB467">
        <f>Database!D457</f>
        <v/>
      </c>
      <c r="AC467">
        <f>Database!E457</f>
        <v/>
      </c>
      <c r="AD467">
        <f>Database!I457</f>
        <v/>
      </c>
      <c r="AE467">
        <f>Database!BE457</f>
        <v/>
      </c>
      <c r="AF467">
        <f>Database!BK457</f>
        <v/>
      </c>
      <c r="AG467">
        <f>Database!H457</f>
        <v/>
      </c>
      <c r="AH467">
        <f>Database!BF457</f>
        <v/>
      </c>
    </row>
    <row r="468">
      <c r="A468">
        <f>Database!B468</f>
        <v/>
      </c>
      <c r="B468">
        <f>IF(AND(Screener!$D$8&lt;&gt;"",Database!$E468=Screener!$D$8),1,0)</f>
        <v/>
      </c>
      <c r="C468">
        <f>IF(AND(Screener!$D$7&lt;&gt;"",Database!$D468=Screener!$D$7),1,0)</f>
        <v/>
      </c>
      <c r="D468">
        <f>IF(OR(N(Database!$I468)&lt;=0,N(Screener!$D$9)&lt;=0),0,MAX(0,1-ABS(LOG10(N(Database!$I468)/Screener!$D$9))/W_SIZEHW))</f>
        <v/>
      </c>
      <c r="E468">
        <f>IF(OR(Database!$BE468="",Screener!$D$10=""),0,IF(Database!$BE468=Screener!$D$10,1,0))</f>
        <v/>
      </c>
      <c r="F468">
        <f>IF(OR(Database!$BK468="",Screener!$D$11=""),0,IF(Database!$BK468=Screener!$D$11,1,0))</f>
        <v/>
      </c>
      <c r="G468">
        <f>IF(OR(Database!$H468="",N(Screener!$D$12)&lt;=0),0,MAX(0,1-(N(Screener!$D$12)-Database!$H468)/W_RECD))</f>
        <v/>
      </c>
      <c r="H468">
        <f>IF($U$1="",0,N(ISNUMBER(SEARCH($U$1,Database!$Z468&amp;""))))+IF($V$1="",0,N(ISNUMBER(SEARCH($V$1,Database!$Z468&amp;""))))+IF($W$1="",0,N(ISNUMBER(SEARCH($W$1,Database!$Z468&amp;""))))+IF($X$1="",0,N(ISNUMBER(SEARCH($X$1,Database!$Z468&amp;""))))+IF($Y$1="",0,N(ISNUMBER(SEARCH($Y$1,Database!$Z468&amp;""))))+IF(Screener!$B$17="",0,N(ISNUMBER(SEARCH(LOWER(Screener!$B$17),Database!$Z468&amp;""))))</f>
        <v/>
      </c>
      <c r="I468">
        <f>IF(OR(N(Database!$BF468)&lt;=0,N(Screener!$D$13)&lt;=0),0,MAX(0,1-ABS(LOG10(N(Database!$BF468)/Screener!$D$13))/W_PEHW))</f>
        <v/>
      </c>
      <c r="J468">
        <f>IF(OR(N(Database!$S468)&lt;=0,N(Screener!$D$14)&lt;=0),0,MAX(0,1-ABS(LOG10(Database!$S468/Screener!$D$14))/0.6))</f>
        <v/>
      </c>
      <c r="K468">
        <f>IF(Database!$B468=Screener!$B$5,-999999,IF(ISNUMBER(SEARCH(","&amp;Database!$A468&amp;",",","&amp;SUBSTITUTE(Screener!$D$17," ","")&amp;",")),2000000,IF(IF(OR(Screener!$B$18="All",AND(Screener!$B$18="With A-share",(Database!$BK468="Y")),AND(Screener!$B$18="Without A-share",NOT((Database!$BK468="Y")))),1,0)=0,-999999,IF(Screener!$B$16="cornerstone overlap first",H468*100000,IF(Screener!$B$16="demand-similar first",J468*100000,0))+W_SUB*B468+W_SEC*C468*(1-B468)+W_SIZE*D468+W_PROF*E468+W_AH*F468+W_REC*G468+W_CS*H468+W_PE*I468)))+ROW()/1000000</f>
        <v/>
      </c>
      <c r="AA468">
        <f>Database!B458</f>
        <v/>
      </c>
      <c r="AB468">
        <f>Database!D458</f>
        <v/>
      </c>
      <c r="AC468">
        <f>Database!E458</f>
        <v/>
      </c>
      <c r="AD468">
        <f>Database!I458</f>
        <v/>
      </c>
      <c r="AE468">
        <f>Database!BE458</f>
        <v/>
      </c>
      <c r="AF468">
        <f>Database!BK458</f>
        <v/>
      </c>
      <c r="AG468">
        <f>Database!H458</f>
        <v/>
      </c>
      <c r="AH468">
        <f>Database!BF458</f>
        <v/>
      </c>
    </row>
    <row r="469">
      <c r="A469">
        <f>Database!B469</f>
        <v/>
      </c>
      <c r="B469">
        <f>IF(AND(Screener!$D$8&lt;&gt;"",Database!$E469=Screener!$D$8),1,0)</f>
        <v/>
      </c>
      <c r="C469">
        <f>IF(AND(Screener!$D$7&lt;&gt;"",Database!$D469=Screener!$D$7),1,0)</f>
        <v/>
      </c>
      <c r="D469">
        <f>IF(OR(N(Database!$I469)&lt;=0,N(Screener!$D$9)&lt;=0),0,MAX(0,1-ABS(LOG10(N(Database!$I469)/Screener!$D$9))/W_SIZEHW))</f>
        <v/>
      </c>
      <c r="E469">
        <f>IF(OR(Database!$BE469="",Screener!$D$10=""),0,IF(Database!$BE469=Screener!$D$10,1,0))</f>
        <v/>
      </c>
      <c r="F469">
        <f>IF(OR(Database!$BK469="",Screener!$D$11=""),0,IF(Database!$BK469=Screener!$D$11,1,0))</f>
        <v/>
      </c>
      <c r="G469">
        <f>IF(OR(Database!$H469="",N(Screener!$D$12)&lt;=0),0,MAX(0,1-(N(Screener!$D$12)-Database!$H469)/W_RECD))</f>
        <v/>
      </c>
      <c r="H469">
        <f>IF($U$1="",0,N(ISNUMBER(SEARCH($U$1,Database!$Z469&amp;""))))+IF($V$1="",0,N(ISNUMBER(SEARCH($V$1,Database!$Z469&amp;""))))+IF($W$1="",0,N(ISNUMBER(SEARCH($W$1,Database!$Z469&amp;""))))+IF($X$1="",0,N(ISNUMBER(SEARCH($X$1,Database!$Z469&amp;""))))+IF($Y$1="",0,N(ISNUMBER(SEARCH($Y$1,Database!$Z469&amp;""))))+IF(Screener!$B$17="",0,N(ISNUMBER(SEARCH(LOWER(Screener!$B$17),Database!$Z469&amp;""))))</f>
        <v/>
      </c>
      <c r="I469">
        <f>IF(OR(N(Database!$BF469)&lt;=0,N(Screener!$D$13)&lt;=0),0,MAX(0,1-ABS(LOG10(N(Database!$BF469)/Screener!$D$13))/W_PEHW))</f>
        <v/>
      </c>
      <c r="J469">
        <f>IF(OR(N(Database!$S469)&lt;=0,N(Screener!$D$14)&lt;=0),0,MAX(0,1-ABS(LOG10(Database!$S469/Screener!$D$14))/0.6))</f>
        <v/>
      </c>
      <c r="K469">
        <f>IF(Database!$B469=Screener!$B$5,-999999,IF(ISNUMBER(SEARCH(","&amp;Database!$A469&amp;",",","&amp;SUBSTITUTE(Screener!$D$17," ","")&amp;",")),2000000,IF(IF(OR(Screener!$B$18="All",AND(Screener!$B$18="With A-share",(Database!$BK469="Y")),AND(Screener!$B$18="Without A-share",NOT((Database!$BK469="Y")))),1,0)=0,-999999,IF(Screener!$B$16="cornerstone overlap first",H469*100000,IF(Screener!$B$16="demand-similar first",J469*100000,0))+W_SUB*B469+W_SEC*C469*(1-B469)+W_SIZE*D469+W_PROF*E469+W_AH*F469+W_REC*G469+W_CS*H469+W_PE*I469)))+ROW()/1000000</f>
        <v/>
      </c>
      <c r="AA469">
        <f>Database!B459</f>
        <v/>
      </c>
      <c r="AB469">
        <f>Database!D459</f>
        <v/>
      </c>
      <c r="AC469">
        <f>Database!E459</f>
        <v/>
      </c>
      <c r="AD469">
        <f>Database!I459</f>
        <v/>
      </c>
      <c r="AE469">
        <f>Database!BE459</f>
        <v/>
      </c>
      <c r="AF469">
        <f>Database!BK459</f>
        <v/>
      </c>
      <c r="AG469">
        <f>Database!H459</f>
        <v/>
      </c>
      <c r="AH469">
        <f>Database!BF459</f>
        <v/>
      </c>
    </row>
    <row r="470">
      <c r="A470">
        <f>Database!B470</f>
        <v/>
      </c>
      <c r="B470">
        <f>IF(AND(Screener!$D$8&lt;&gt;"",Database!$E470=Screener!$D$8),1,0)</f>
        <v/>
      </c>
      <c r="C470">
        <f>IF(AND(Screener!$D$7&lt;&gt;"",Database!$D470=Screener!$D$7),1,0)</f>
        <v/>
      </c>
      <c r="D470">
        <f>IF(OR(N(Database!$I470)&lt;=0,N(Screener!$D$9)&lt;=0),0,MAX(0,1-ABS(LOG10(N(Database!$I470)/Screener!$D$9))/W_SIZEHW))</f>
        <v/>
      </c>
      <c r="E470">
        <f>IF(OR(Database!$BE470="",Screener!$D$10=""),0,IF(Database!$BE470=Screener!$D$10,1,0))</f>
        <v/>
      </c>
      <c r="F470">
        <f>IF(OR(Database!$BK470="",Screener!$D$11=""),0,IF(Database!$BK470=Screener!$D$11,1,0))</f>
        <v/>
      </c>
      <c r="G470">
        <f>IF(OR(Database!$H470="",N(Screener!$D$12)&lt;=0),0,MAX(0,1-(N(Screener!$D$12)-Database!$H470)/W_RECD))</f>
        <v/>
      </c>
      <c r="H470">
        <f>IF($U$1="",0,N(ISNUMBER(SEARCH($U$1,Database!$Z470&amp;""))))+IF($V$1="",0,N(ISNUMBER(SEARCH($V$1,Database!$Z470&amp;""))))+IF($W$1="",0,N(ISNUMBER(SEARCH($W$1,Database!$Z470&amp;""))))+IF($X$1="",0,N(ISNUMBER(SEARCH($X$1,Database!$Z470&amp;""))))+IF($Y$1="",0,N(ISNUMBER(SEARCH($Y$1,Database!$Z470&amp;""))))+IF(Screener!$B$17="",0,N(ISNUMBER(SEARCH(LOWER(Screener!$B$17),Database!$Z470&amp;""))))</f>
        <v/>
      </c>
      <c r="I470">
        <f>IF(OR(N(Database!$BF470)&lt;=0,N(Screener!$D$13)&lt;=0),0,MAX(0,1-ABS(LOG10(N(Database!$BF470)/Screener!$D$13))/W_PEHW))</f>
        <v/>
      </c>
      <c r="J470">
        <f>IF(OR(N(Database!$S470)&lt;=0,N(Screener!$D$14)&lt;=0),0,MAX(0,1-ABS(LOG10(Database!$S470/Screener!$D$14))/0.6))</f>
        <v/>
      </c>
      <c r="K470">
        <f>IF(Database!$B470=Screener!$B$5,-999999,IF(ISNUMBER(SEARCH(","&amp;Database!$A470&amp;",",","&amp;SUBSTITUTE(Screener!$D$17," ","")&amp;",")),2000000,IF(IF(OR(Screener!$B$18="All",AND(Screener!$B$18="With A-share",(Database!$BK470="Y")),AND(Screener!$B$18="Without A-share",NOT((Database!$BK470="Y")))),1,0)=0,-999999,IF(Screener!$B$16="cornerstone overlap first",H470*100000,IF(Screener!$B$16="demand-similar first",J470*100000,0))+W_SUB*B470+W_SEC*C470*(1-B470)+W_SIZE*D470+W_PROF*E470+W_AH*F470+W_REC*G470+W_CS*H470+W_PE*I470)))+ROW()/1000000</f>
        <v/>
      </c>
      <c r="AA470">
        <f>Database!B460</f>
        <v/>
      </c>
      <c r="AB470">
        <f>Database!D460</f>
        <v/>
      </c>
      <c r="AC470">
        <f>Database!E460</f>
        <v/>
      </c>
      <c r="AD470">
        <f>Database!I460</f>
        <v/>
      </c>
      <c r="AE470">
        <f>Database!BE460</f>
        <v/>
      </c>
      <c r="AF470">
        <f>Database!BK460</f>
        <v/>
      </c>
      <c r="AG470">
        <f>Database!H460</f>
        <v/>
      </c>
      <c r="AH470">
        <f>Database!BF460</f>
        <v/>
      </c>
    </row>
    <row r="471">
      <c r="A471">
        <f>Database!B471</f>
        <v/>
      </c>
      <c r="B471">
        <f>IF(AND(Screener!$D$8&lt;&gt;"",Database!$E471=Screener!$D$8),1,0)</f>
        <v/>
      </c>
      <c r="C471">
        <f>IF(AND(Screener!$D$7&lt;&gt;"",Database!$D471=Screener!$D$7),1,0)</f>
        <v/>
      </c>
      <c r="D471">
        <f>IF(OR(N(Database!$I471)&lt;=0,N(Screener!$D$9)&lt;=0),0,MAX(0,1-ABS(LOG10(N(Database!$I471)/Screener!$D$9))/W_SIZEHW))</f>
        <v/>
      </c>
      <c r="E471">
        <f>IF(OR(Database!$BE471="",Screener!$D$10=""),0,IF(Database!$BE471=Screener!$D$10,1,0))</f>
        <v/>
      </c>
      <c r="F471">
        <f>IF(OR(Database!$BK471="",Screener!$D$11=""),0,IF(Database!$BK471=Screener!$D$11,1,0))</f>
        <v/>
      </c>
      <c r="G471">
        <f>IF(OR(Database!$H471="",N(Screener!$D$12)&lt;=0),0,MAX(0,1-(N(Screener!$D$12)-Database!$H471)/W_RECD))</f>
        <v/>
      </c>
      <c r="H471">
        <f>IF($U$1="",0,N(ISNUMBER(SEARCH($U$1,Database!$Z471&amp;""))))+IF($V$1="",0,N(ISNUMBER(SEARCH($V$1,Database!$Z471&amp;""))))+IF($W$1="",0,N(ISNUMBER(SEARCH($W$1,Database!$Z471&amp;""))))+IF($X$1="",0,N(ISNUMBER(SEARCH($X$1,Database!$Z471&amp;""))))+IF($Y$1="",0,N(ISNUMBER(SEARCH($Y$1,Database!$Z471&amp;""))))+IF(Screener!$B$17="",0,N(ISNUMBER(SEARCH(LOWER(Screener!$B$17),Database!$Z471&amp;""))))</f>
        <v/>
      </c>
      <c r="I471">
        <f>IF(OR(N(Database!$BF471)&lt;=0,N(Screener!$D$13)&lt;=0),0,MAX(0,1-ABS(LOG10(N(Database!$BF471)/Screener!$D$13))/W_PEHW))</f>
        <v/>
      </c>
      <c r="J471">
        <f>IF(OR(N(Database!$S471)&lt;=0,N(Screener!$D$14)&lt;=0),0,MAX(0,1-ABS(LOG10(Database!$S471/Screener!$D$14))/0.6))</f>
        <v/>
      </c>
      <c r="K471">
        <f>IF(Database!$B471=Screener!$B$5,-999999,IF(ISNUMBER(SEARCH(","&amp;Database!$A471&amp;",",","&amp;SUBSTITUTE(Screener!$D$17," ","")&amp;",")),2000000,IF(IF(OR(Screener!$B$18="All",AND(Screener!$B$18="With A-share",(Database!$BK471="Y")),AND(Screener!$B$18="Without A-share",NOT((Database!$BK471="Y")))),1,0)=0,-999999,IF(Screener!$B$16="cornerstone overlap first",H471*100000,IF(Screener!$B$16="demand-similar first",J471*100000,0))+W_SUB*B471+W_SEC*C471*(1-B471)+W_SIZE*D471+W_PROF*E471+W_AH*F471+W_REC*G471+W_CS*H471+W_PE*I471)))+ROW()/1000000</f>
        <v/>
      </c>
      <c r="AA471">
        <f>Database!B461</f>
        <v/>
      </c>
      <c r="AB471">
        <f>Database!D461</f>
        <v/>
      </c>
      <c r="AC471">
        <f>Database!E461</f>
        <v/>
      </c>
      <c r="AD471">
        <f>Database!I461</f>
        <v/>
      </c>
      <c r="AE471">
        <f>Database!BE461</f>
        <v/>
      </c>
      <c r="AF471">
        <f>Database!BK461</f>
        <v/>
      </c>
      <c r="AG471">
        <f>Database!H461</f>
        <v/>
      </c>
      <c r="AH471">
        <f>Database!BF461</f>
        <v/>
      </c>
    </row>
    <row r="472">
      <c r="A472">
        <f>Database!B472</f>
        <v/>
      </c>
      <c r="B472">
        <f>IF(AND(Screener!$D$8&lt;&gt;"",Database!$E472=Screener!$D$8),1,0)</f>
        <v/>
      </c>
      <c r="C472">
        <f>IF(AND(Screener!$D$7&lt;&gt;"",Database!$D472=Screener!$D$7),1,0)</f>
        <v/>
      </c>
      <c r="D472">
        <f>IF(OR(N(Database!$I472)&lt;=0,N(Screener!$D$9)&lt;=0),0,MAX(0,1-ABS(LOG10(N(Database!$I472)/Screener!$D$9))/W_SIZEHW))</f>
        <v/>
      </c>
      <c r="E472">
        <f>IF(OR(Database!$BE472="",Screener!$D$10=""),0,IF(Database!$BE472=Screener!$D$10,1,0))</f>
        <v/>
      </c>
      <c r="F472">
        <f>IF(OR(Database!$BK472="",Screener!$D$11=""),0,IF(Database!$BK472=Screener!$D$11,1,0))</f>
        <v/>
      </c>
      <c r="G472">
        <f>IF(OR(Database!$H472="",N(Screener!$D$12)&lt;=0),0,MAX(0,1-(N(Screener!$D$12)-Database!$H472)/W_RECD))</f>
        <v/>
      </c>
      <c r="H472">
        <f>IF($U$1="",0,N(ISNUMBER(SEARCH($U$1,Database!$Z472&amp;""))))+IF($V$1="",0,N(ISNUMBER(SEARCH($V$1,Database!$Z472&amp;""))))+IF($W$1="",0,N(ISNUMBER(SEARCH($W$1,Database!$Z472&amp;""))))+IF($X$1="",0,N(ISNUMBER(SEARCH($X$1,Database!$Z472&amp;""))))+IF($Y$1="",0,N(ISNUMBER(SEARCH($Y$1,Database!$Z472&amp;""))))+IF(Screener!$B$17="",0,N(ISNUMBER(SEARCH(LOWER(Screener!$B$17),Database!$Z472&amp;""))))</f>
        <v/>
      </c>
      <c r="I472">
        <f>IF(OR(N(Database!$BF472)&lt;=0,N(Screener!$D$13)&lt;=0),0,MAX(0,1-ABS(LOG10(N(Database!$BF472)/Screener!$D$13))/W_PEHW))</f>
        <v/>
      </c>
      <c r="J472">
        <f>IF(OR(N(Database!$S472)&lt;=0,N(Screener!$D$14)&lt;=0),0,MAX(0,1-ABS(LOG10(Database!$S472/Screener!$D$14))/0.6))</f>
        <v/>
      </c>
      <c r="K472">
        <f>IF(Database!$B472=Screener!$B$5,-999999,IF(ISNUMBER(SEARCH(","&amp;Database!$A472&amp;",",","&amp;SUBSTITUTE(Screener!$D$17," ","")&amp;",")),2000000,IF(IF(OR(Screener!$B$18="All",AND(Screener!$B$18="With A-share",(Database!$BK472="Y")),AND(Screener!$B$18="Without A-share",NOT((Database!$BK472="Y")))),1,0)=0,-999999,IF(Screener!$B$16="cornerstone overlap first",H472*100000,IF(Screener!$B$16="demand-similar first",J472*100000,0))+W_SUB*B472+W_SEC*C472*(1-B472)+W_SIZE*D472+W_PROF*E472+W_AH*F472+W_REC*G472+W_CS*H472+W_PE*I472)))+ROW()/1000000</f>
        <v/>
      </c>
      <c r="AA472">
        <f>Database!B462</f>
        <v/>
      </c>
      <c r="AB472">
        <f>Database!D462</f>
        <v/>
      </c>
      <c r="AC472">
        <f>Database!E462</f>
        <v/>
      </c>
      <c r="AD472">
        <f>Database!I462</f>
        <v/>
      </c>
      <c r="AE472">
        <f>Database!BE462</f>
        <v/>
      </c>
      <c r="AF472">
        <f>Database!BK462</f>
        <v/>
      </c>
      <c r="AG472">
        <f>Database!H462</f>
        <v/>
      </c>
      <c r="AH472">
        <f>Database!BF462</f>
        <v/>
      </c>
    </row>
    <row r="473">
      <c r="A473">
        <f>Database!B473</f>
        <v/>
      </c>
      <c r="B473">
        <f>IF(AND(Screener!$D$8&lt;&gt;"",Database!$E473=Screener!$D$8),1,0)</f>
        <v/>
      </c>
      <c r="C473">
        <f>IF(AND(Screener!$D$7&lt;&gt;"",Database!$D473=Screener!$D$7),1,0)</f>
        <v/>
      </c>
      <c r="D473">
        <f>IF(OR(N(Database!$I473)&lt;=0,N(Screener!$D$9)&lt;=0),0,MAX(0,1-ABS(LOG10(N(Database!$I473)/Screener!$D$9))/W_SIZEHW))</f>
        <v/>
      </c>
      <c r="E473">
        <f>IF(OR(Database!$BE473="",Screener!$D$10=""),0,IF(Database!$BE473=Screener!$D$10,1,0))</f>
        <v/>
      </c>
      <c r="F473">
        <f>IF(OR(Database!$BK473="",Screener!$D$11=""),0,IF(Database!$BK473=Screener!$D$11,1,0))</f>
        <v/>
      </c>
      <c r="G473">
        <f>IF(OR(Database!$H473="",N(Screener!$D$12)&lt;=0),0,MAX(0,1-(N(Screener!$D$12)-Database!$H473)/W_RECD))</f>
        <v/>
      </c>
      <c r="H473">
        <f>IF($U$1="",0,N(ISNUMBER(SEARCH($U$1,Database!$Z473&amp;""))))+IF($V$1="",0,N(ISNUMBER(SEARCH($V$1,Database!$Z473&amp;""))))+IF($W$1="",0,N(ISNUMBER(SEARCH($W$1,Database!$Z473&amp;""))))+IF($X$1="",0,N(ISNUMBER(SEARCH($X$1,Database!$Z473&amp;""))))+IF($Y$1="",0,N(ISNUMBER(SEARCH($Y$1,Database!$Z473&amp;""))))+IF(Screener!$B$17="",0,N(ISNUMBER(SEARCH(LOWER(Screener!$B$17),Database!$Z473&amp;""))))</f>
        <v/>
      </c>
      <c r="I473">
        <f>IF(OR(N(Database!$BF473)&lt;=0,N(Screener!$D$13)&lt;=0),0,MAX(0,1-ABS(LOG10(N(Database!$BF473)/Screener!$D$13))/W_PEHW))</f>
        <v/>
      </c>
      <c r="J473">
        <f>IF(OR(N(Database!$S473)&lt;=0,N(Screener!$D$14)&lt;=0),0,MAX(0,1-ABS(LOG10(Database!$S473/Screener!$D$14))/0.6))</f>
        <v/>
      </c>
      <c r="K473">
        <f>IF(Database!$B473=Screener!$B$5,-999999,IF(ISNUMBER(SEARCH(","&amp;Database!$A473&amp;",",","&amp;SUBSTITUTE(Screener!$D$17," ","")&amp;",")),2000000,IF(IF(OR(Screener!$B$18="All",AND(Screener!$B$18="With A-share",(Database!$BK473="Y")),AND(Screener!$B$18="Without A-share",NOT((Database!$BK473="Y")))),1,0)=0,-999999,IF(Screener!$B$16="cornerstone overlap first",H473*100000,IF(Screener!$B$16="demand-similar first",J473*100000,0))+W_SUB*B473+W_SEC*C473*(1-B473)+W_SIZE*D473+W_PROF*E473+W_AH*F473+W_REC*G473+W_CS*H473+W_PE*I473)))+ROW()/1000000</f>
        <v/>
      </c>
      <c r="AA473">
        <f>Database!B463</f>
        <v/>
      </c>
      <c r="AB473">
        <f>Database!D463</f>
        <v/>
      </c>
      <c r="AC473">
        <f>Database!E463</f>
        <v/>
      </c>
      <c r="AD473">
        <f>Database!I463</f>
        <v/>
      </c>
      <c r="AE473">
        <f>Database!BE463</f>
        <v/>
      </c>
      <c r="AF473">
        <f>Database!BK463</f>
        <v/>
      </c>
      <c r="AG473">
        <f>Database!H463</f>
        <v/>
      </c>
      <c r="AH473">
        <f>Database!BF463</f>
        <v/>
      </c>
    </row>
    <row r="474">
      <c r="A474">
        <f>Database!B474</f>
        <v/>
      </c>
      <c r="B474">
        <f>IF(AND(Screener!$D$8&lt;&gt;"",Database!$E474=Screener!$D$8),1,0)</f>
        <v/>
      </c>
      <c r="C474">
        <f>IF(AND(Screener!$D$7&lt;&gt;"",Database!$D474=Screener!$D$7),1,0)</f>
        <v/>
      </c>
      <c r="D474">
        <f>IF(OR(N(Database!$I474)&lt;=0,N(Screener!$D$9)&lt;=0),0,MAX(0,1-ABS(LOG10(N(Database!$I474)/Screener!$D$9))/W_SIZEHW))</f>
        <v/>
      </c>
      <c r="E474">
        <f>IF(OR(Database!$BE474="",Screener!$D$10=""),0,IF(Database!$BE474=Screener!$D$10,1,0))</f>
        <v/>
      </c>
      <c r="F474">
        <f>IF(OR(Database!$BK474="",Screener!$D$11=""),0,IF(Database!$BK474=Screener!$D$11,1,0))</f>
        <v/>
      </c>
      <c r="G474">
        <f>IF(OR(Database!$H474="",N(Screener!$D$12)&lt;=0),0,MAX(0,1-(N(Screener!$D$12)-Database!$H474)/W_RECD))</f>
        <v/>
      </c>
      <c r="H474">
        <f>IF($U$1="",0,N(ISNUMBER(SEARCH($U$1,Database!$Z474&amp;""))))+IF($V$1="",0,N(ISNUMBER(SEARCH($V$1,Database!$Z474&amp;""))))+IF($W$1="",0,N(ISNUMBER(SEARCH($W$1,Database!$Z474&amp;""))))+IF($X$1="",0,N(ISNUMBER(SEARCH($X$1,Database!$Z474&amp;""))))+IF($Y$1="",0,N(ISNUMBER(SEARCH($Y$1,Database!$Z474&amp;""))))+IF(Screener!$B$17="",0,N(ISNUMBER(SEARCH(LOWER(Screener!$B$17),Database!$Z474&amp;""))))</f>
        <v/>
      </c>
      <c r="I474">
        <f>IF(OR(N(Database!$BF474)&lt;=0,N(Screener!$D$13)&lt;=0),0,MAX(0,1-ABS(LOG10(N(Database!$BF474)/Screener!$D$13))/W_PEHW))</f>
        <v/>
      </c>
      <c r="J474">
        <f>IF(OR(N(Database!$S474)&lt;=0,N(Screener!$D$14)&lt;=0),0,MAX(0,1-ABS(LOG10(Database!$S474/Screener!$D$14))/0.6))</f>
        <v/>
      </c>
      <c r="K474">
        <f>IF(Database!$B474=Screener!$B$5,-999999,IF(ISNUMBER(SEARCH(","&amp;Database!$A474&amp;",",","&amp;SUBSTITUTE(Screener!$D$17," ","")&amp;",")),2000000,IF(IF(OR(Screener!$B$18="All",AND(Screener!$B$18="With A-share",(Database!$BK474="Y")),AND(Screener!$B$18="Without A-share",NOT((Database!$BK474="Y")))),1,0)=0,-999999,IF(Screener!$B$16="cornerstone overlap first",H474*100000,IF(Screener!$B$16="demand-similar first",J474*100000,0))+W_SUB*B474+W_SEC*C474*(1-B474)+W_SIZE*D474+W_PROF*E474+W_AH*F474+W_REC*G474+W_CS*H474+W_PE*I474)))+ROW()/1000000</f>
        <v/>
      </c>
      <c r="AA474">
        <f>Database!B464</f>
        <v/>
      </c>
      <c r="AB474">
        <f>Database!D464</f>
        <v/>
      </c>
      <c r="AC474">
        <f>Database!E464</f>
        <v/>
      </c>
      <c r="AD474">
        <f>Database!I464</f>
        <v/>
      </c>
      <c r="AE474">
        <f>Database!BE464</f>
        <v/>
      </c>
      <c r="AF474">
        <f>Database!BK464</f>
        <v/>
      </c>
      <c r="AG474">
        <f>Database!H464</f>
        <v/>
      </c>
      <c r="AH474">
        <f>Database!BF464</f>
        <v/>
      </c>
    </row>
    <row r="475">
      <c r="A475">
        <f>Database!B475</f>
        <v/>
      </c>
      <c r="B475">
        <f>IF(AND(Screener!$D$8&lt;&gt;"",Database!$E475=Screener!$D$8),1,0)</f>
        <v/>
      </c>
      <c r="C475">
        <f>IF(AND(Screener!$D$7&lt;&gt;"",Database!$D475=Screener!$D$7),1,0)</f>
        <v/>
      </c>
      <c r="D475">
        <f>IF(OR(N(Database!$I475)&lt;=0,N(Screener!$D$9)&lt;=0),0,MAX(0,1-ABS(LOG10(N(Database!$I475)/Screener!$D$9))/W_SIZEHW))</f>
        <v/>
      </c>
      <c r="E475">
        <f>IF(OR(Database!$BE475="",Screener!$D$10=""),0,IF(Database!$BE475=Screener!$D$10,1,0))</f>
        <v/>
      </c>
      <c r="F475">
        <f>IF(OR(Database!$BK475="",Screener!$D$11=""),0,IF(Database!$BK475=Screener!$D$11,1,0))</f>
        <v/>
      </c>
      <c r="G475">
        <f>IF(OR(Database!$H475="",N(Screener!$D$12)&lt;=0),0,MAX(0,1-(N(Screener!$D$12)-Database!$H475)/W_RECD))</f>
        <v/>
      </c>
      <c r="H475">
        <f>IF($U$1="",0,N(ISNUMBER(SEARCH($U$1,Database!$Z475&amp;""))))+IF($V$1="",0,N(ISNUMBER(SEARCH($V$1,Database!$Z475&amp;""))))+IF($W$1="",0,N(ISNUMBER(SEARCH($W$1,Database!$Z475&amp;""))))+IF($X$1="",0,N(ISNUMBER(SEARCH($X$1,Database!$Z475&amp;""))))+IF($Y$1="",0,N(ISNUMBER(SEARCH($Y$1,Database!$Z475&amp;""))))+IF(Screener!$B$17="",0,N(ISNUMBER(SEARCH(LOWER(Screener!$B$17),Database!$Z475&amp;""))))</f>
        <v/>
      </c>
      <c r="I475">
        <f>IF(OR(N(Database!$BF475)&lt;=0,N(Screener!$D$13)&lt;=0),0,MAX(0,1-ABS(LOG10(N(Database!$BF475)/Screener!$D$13))/W_PEHW))</f>
        <v/>
      </c>
      <c r="J475">
        <f>IF(OR(N(Database!$S475)&lt;=0,N(Screener!$D$14)&lt;=0),0,MAX(0,1-ABS(LOG10(Database!$S475/Screener!$D$14))/0.6))</f>
        <v/>
      </c>
      <c r="K475">
        <f>IF(Database!$B475=Screener!$B$5,-999999,IF(ISNUMBER(SEARCH(","&amp;Database!$A475&amp;",",","&amp;SUBSTITUTE(Screener!$D$17," ","")&amp;",")),2000000,IF(IF(OR(Screener!$B$18="All",AND(Screener!$B$18="With A-share",(Database!$BK475="Y")),AND(Screener!$B$18="Without A-share",NOT((Database!$BK475="Y")))),1,0)=0,-999999,IF(Screener!$B$16="cornerstone overlap first",H475*100000,IF(Screener!$B$16="demand-similar first",J475*100000,0))+W_SUB*B475+W_SEC*C475*(1-B475)+W_SIZE*D475+W_PROF*E475+W_AH*F475+W_REC*G475+W_CS*H475+W_PE*I475)))+ROW()/1000000</f>
        <v/>
      </c>
      <c r="AA475">
        <f>Database!B465</f>
        <v/>
      </c>
      <c r="AB475">
        <f>Database!D465</f>
        <v/>
      </c>
      <c r="AC475">
        <f>Database!E465</f>
        <v/>
      </c>
      <c r="AD475">
        <f>Database!I465</f>
        <v/>
      </c>
      <c r="AE475">
        <f>Database!BE465</f>
        <v/>
      </c>
      <c r="AF475">
        <f>Database!BK465</f>
        <v/>
      </c>
      <c r="AG475">
        <f>Database!H465</f>
        <v/>
      </c>
      <c r="AH475">
        <f>Database!BF465</f>
        <v/>
      </c>
    </row>
    <row r="476">
      <c r="A476">
        <f>Database!B476</f>
        <v/>
      </c>
      <c r="B476">
        <f>IF(AND(Screener!$D$8&lt;&gt;"",Database!$E476=Screener!$D$8),1,0)</f>
        <v/>
      </c>
      <c r="C476">
        <f>IF(AND(Screener!$D$7&lt;&gt;"",Database!$D476=Screener!$D$7),1,0)</f>
        <v/>
      </c>
      <c r="D476">
        <f>IF(OR(N(Database!$I476)&lt;=0,N(Screener!$D$9)&lt;=0),0,MAX(0,1-ABS(LOG10(N(Database!$I476)/Screener!$D$9))/W_SIZEHW))</f>
        <v/>
      </c>
      <c r="E476">
        <f>IF(OR(Database!$BE476="",Screener!$D$10=""),0,IF(Database!$BE476=Screener!$D$10,1,0))</f>
        <v/>
      </c>
      <c r="F476">
        <f>IF(OR(Database!$BK476="",Screener!$D$11=""),0,IF(Database!$BK476=Screener!$D$11,1,0))</f>
        <v/>
      </c>
      <c r="G476">
        <f>IF(OR(Database!$H476="",N(Screener!$D$12)&lt;=0),0,MAX(0,1-(N(Screener!$D$12)-Database!$H476)/W_RECD))</f>
        <v/>
      </c>
      <c r="H476">
        <f>IF($U$1="",0,N(ISNUMBER(SEARCH($U$1,Database!$Z476&amp;""))))+IF($V$1="",0,N(ISNUMBER(SEARCH($V$1,Database!$Z476&amp;""))))+IF($W$1="",0,N(ISNUMBER(SEARCH($W$1,Database!$Z476&amp;""))))+IF($X$1="",0,N(ISNUMBER(SEARCH($X$1,Database!$Z476&amp;""))))+IF($Y$1="",0,N(ISNUMBER(SEARCH($Y$1,Database!$Z476&amp;""))))+IF(Screener!$B$17="",0,N(ISNUMBER(SEARCH(LOWER(Screener!$B$17),Database!$Z476&amp;""))))</f>
        <v/>
      </c>
      <c r="I476">
        <f>IF(OR(N(Database!$BF476)&lt;=0,N(Screener!$D$13)&lt;=0),0,MAX(0,1-ABS(LOG10(N(Database!$BF476)/Screener!$D$13))/W_PEHW))</f>
        <v/>
      </c>
      <c r="J476">
        <f>IF(OR(N(Database!$S476)&lt;=0,N(Screener!$D$14)&lt;=0),0,MAX(0,1-ABS(LOG10(Database!$S476/Screener!$D$14))/0.6))</f>
        <v/>
      </c>
      <c r="K476">
        <f>IF(Database!$B476=Screener!$B$5,-999999,IF(ISNUMBER(SEARCH(","&amp;Database!$A476&amp;",",","&amp;SUBSTITUTE(Screener!$D$17," ","")&amp;",")),2000000,IF(IF(OR(Screener!$B$18="All",AND(Screener!$B$18="With A-share",(Database!$BK476="Y")),AND(Screener!$B$18="Without A-share",NOT((Database!$BK476="Y")))),1,0)=0,-999999,IF(Screener!$B$16="cornerstone overlap first",H476*100000,IF(Screener!$B$16="demand-similar first",J476*100000,0))+W_SUB*B476+W_SEC*C476*(1-B476)+W_SIZE*D476+W_PROF*E476+W_AH*F476+W_REC*G476+W_CS*H476+W_PE*I476)))+ROW()/1000000</f>
        <v/>
      </c>
      <c r="AA476">
        <f>Database!B466</f>
        <v/>
      </c>
      <c r="AB476">
        <f>Database!D466</f>
        <v/>
      </c>
      <c r="AC476">
        <f>Database!E466</f>
        <v/>
      </c>
      <c r="AD476">
        <f>Database!I466</f>
        <v/>
      </c>
      <c r="AE476">
        <f>Database!BE466</f>
        <v/>
      </c>
      <c r="AF476">
        <f>Database!BK466</f>
        <v/>
      </c>
      <c r="AG476">
        <f>Database!H466</f>
        <v/>
      </c>
      <c r="AH476">
        <f>Database!BF466</f>
        <v/>
      </c>
    </row>
    <row r="477">
      <c r="A477">
        <f>Database!B477</f>
        <v/>
      </c>
      <c r="B477">
        <f>IF(AND(Screener!$D$8&lt;&gt;"",Database!$E477=Screener!$D$8),1,0)</f>
        <v/>
      </c>
      <c r="C477">
        <f>IF(AND(Screener!$D$7&lt;&gt;"",Database!$D477=Screener!$D$7),1,0)</f>
        <v/>
      </c>
      <c r="D477">
        <f>IF(OR(N(Database!$I477)&lt;=0,N(Screener!$D$9)&lt;=0),0,MAX(0,1-ABS(LOG10(N(Database!$I477)/Screener!$D$9))/W_SIZEHW))</f>
        <v/>
      </c>
      <c r="E477">
        <f>IF(OR(Database!$BE477="",Screener!$D$10=""),0,IF(Database!$BE477=Screener!$D$10,1,0))</f>
        <v/>
      </c>
      <c r="F477">
        <f>IF(OR(Database!$BK477="",Screener!$D$11=""),0,IF(Database!$BK477=Screener!$D$11,1,0))</f>
        <v/>
      </c>
      <c r="G477">
        <f>IF(OR(Database!$H477="",N(Screener!$D$12)&lt;=0),0,MAX(0,1-(N(Screener!$D$12)-Database!$H477)/W_RECD))</f>
        <v/>
      </c>
      <c r="H477">
        <f>IF($U$1="",0,N(ISNUMBER(SEARCH($U$1,Database!$Z477&amp;""))))+IF($V$1="",0,N(ISNUMBER(SEARCH($V$1,Database!$Z477&amp;""))))+IF($W$1="",0,N(ISNUMBER(SEARCH($W$1,Database!$Z477&amp;""))))+IF($X$1="",0,N(ISNUMBER(SEARCH($X$1,Database!$Z477&amp;""))))+IF($Y$1="",0,N(ISNUMBER(SEARCH($Y$1,Database!$Z477&amp;""))))+IF(Screener!$B$17="",0,N(ISNUMBER(SEARCH(LOWER(Screener!$B$17),Database!$Z477&amp;""))))</f>
        <v/>
      </c>
      <c r="I477">
        <f>IF(OR(N(Database!$BF477)&lt;=0,N(Screener!$D$13)&lt;=0),0,MAX(0,1-ABS(LOG10(N(Database!$BF477)/Screener!$D$13))/W_PEHW))</f>
        <v/>
      </c>
      <c r="J477">
        <f>IF(OR(N(Database!$S477)&lt;=0,N(Screener!$D$14)&lt;=0),0,MAX(0,1-ABS(LOG10(Database!$S477/Screener!$D$14))/0.6))</f>
        <v/>
      </c>
      <c r="K477">
        <f>IF(Database!$B477=Screener!$B$5,-999999,IF(ISNUMBER(SEARCH(","&amp;Database!$A477&amp;",",","&amp;SUBSTITUTE(Screener!$D$17," ","")&amp;",")),2000000,IF(IF(OR(Screener!$B$18="All",AND(Screener!$B$18="With A-share",(Database!$BK477="Y")),AND(Screener!$B$18="Without A-share",NOT((Database!$BK477="Y")))),1,0)=0,-999999,IF(Screener!$B$16="cornerstone overlap first",H477*100000,IF(Screener!$B$16="demand-similar first",J477*100000,0))+W_SUB*B477+W_SEC*C477*(1-B477)+W_SIZE*D477+W_PROF*E477+W_AH*F477+W_REC*G477+W_CS*H477+W_PE*I477)))+ROW()/1000000</f>
        <v/>
      </c>
      <c r="AA477">
        <f>Database!B467</f>
        <v/>
      </c>
      <c r="AB477">
        <f>Database!D467</f>
        <v/>
      </c>
      <c r="AC477">
        <f>Database!E467</f>
        <v/>
      </c>
      <c r="AD477">
        <f>Database!I467</f>
        <v/>
      </c>
      <c r="AE477">
        <f>Database!BE467</f>
        <v/>
      </c>
      <c r="AF477">
        <f>Database!BK467</f>
        <v/>
      </c>
      <c r="AG477">
        <f>Database!H467</f>
        <v/>
      </c>
      <c r="AH477">
        <f>Database!BF467</f>
        <v/>
      </c>
    </row>
    <row r="478">
      <c r="A478">
        <f>Database!B478</f>
        <v/>
      </c>
      <c r="B478">
        <f>IF(AND(Screener!$D$8&lt;&gt;"",Database!$E478=Screener!$D$8),1,0)</f>
        <v/>
      </c>
      <c r="C478">
        <f>IF(AND(Screener!$D$7&lt;&gt;"",Database!$D478=Screener!$D$7),1,0)</f>
        <v/>
      </c>
      <c r="D478">
        <f>IF(OR(N(Database!$I478)&lt;=0,N(Screener!$D$9)&lt;=0),0,MAX(0,1-ABS(LOG10(N(Database!$I478)/Screener!$D$9))/W_SIZEHW))</f>
        <v/>
      </c>
      <c r="E478">
        <f>IF(OR(Database!$BE478="",Screener!$D$10=""),0,IF(Database!$BE478=Screener!$D$10,1,0))</f>
        <v/>
      </c>
      <c r="F478">
        <f>IF(OR(Database!$BK478="",Screener!$D$11=""),0,IF(Database!$BK478=Screener!$D$11,1,0))</f>
        <v/>
      </c>
      <c r="G478">
        <f>IF(OR(Database!$H478="",N(Screener!$D$12)&lt;=0),0,MAX(0,1-(N(Screener!$D$12)-Database!$H478)/W_RECD))</f>
        <v/>
      </c>
      <c r="H478">
        <f>IF($U$1="",0,N(ISNUMBER(SEARCH($U$1,Database!$Z478&amp;""))))+IF($V$1="",0,N(ISNUMBER(SEARCH($V$1,Database!$Z478&amp;""))))+IF($W$1="",0,N(ISNUMBER(SEARCH($W$1,Database!$Z478&amp;""))))+IF($X$1="",0,N(ISNUMBER(SEARCH($X$1,Database!$Z478&amp;""))))+IF($Y$1="",0,N(ISNUMBER(SEARCH($Y$1,Database!$Z478&amp;""))))+IF(Screener!$B$17="",0,N(ISNUMBER(SEARCH(LOWER(Screener!$B$17),Database!$Z478&amp;""))))</f>
        <v/>
      </c>
      <c r="I478">
        <f>IF(OR(N(Database!$BF478)&lt;=0,N(Screener!$D$13)&lt;=0),0,MAX(0,1-ABS(LOG10(N(Database!$BF478)/Screener!$D$13))/W_PEHW))</f>
        <v/>
      </c>
      <c r="J478">
        <f>IF(OR(N(Database!$S478)&lt;=0,N(Screener!$D$14)&lt;=0),0,MAX(0,1-ABS(LOG10(Database!$S478/Screener!$D$14))/0.6))</f>
        <v/>
      </c>
      <c r="K478">
        <f>IF(Database!$B478=Screener!$B$5,-999999,IF(ISNUMBER(SEARCH(","&amp;Database!$A478&amp;",",","&amp;SUBSTITUTE(Screener!$D$17," ","")&amp;",")),2000000,IF(IF(OR(Screener!$B$18="All",AND(Screener!$B$18="With A-share",(Database!$BK478="Y")),AND(Screener!$B$18="Without A-share",NOT((Database!$BK478="Y")))),1,0)=0,-999999,IF(Screener!$B$16="cornerstone overlap first",H478*100000,IF(Screener!$B$16="demand-similar first",J478*100000,0))+W_SUB*B478+W_SEC*C478*(1-B478)+W_SIZE*D478+W_PROF*E478+W_AH*F478+W_REC*G478+W_CS*H478+W_PE*I478)))+ROW()/1000000</f>
        <v/>
      </c>
      <c r="AA478">
        <f>Database!B468</f>
        <v/>
      </c>
      <c r="AB478">
        <f>Database!D468</f>
        <v/>
      </c>
      <c r="AC478">
        <f>Database!E468</f>
        <v/>
      </c>
      <c r="AD478">
        <f>Database!I468</f>
        <v/>
      </c>
      <c r="AE478">
        <f>Database!BE468</f>
        <v/>
      </c>
      <c r="AF478">
        <f>Database!BK468</f>
        <v/>
      </c>
      <c r="AG478">
        <f>Database!H468</f>
        <v/>
      </c>
      <c r="AH478">
        <f>Database!BF468</f>
        <v/>
      </c>
    </row>
    <row r="479">
      <c r="A479">
        <f>Database!B479</f>
        <v/>
      </c>
      <c r="B479">
        <f>IF(AND(Screener!$D$8&lt;&gt;"",Database!$E479=Screener!$D$8),1,0)</f>
        <v/>
      </c>
      <c r="C479">
        <f>IF(AND(Screener!$D$7&lt;&gt;"",Database!$D479=Screener!$D$7),1,0)</f>
        <v/>
      </c>
      <c r="D479">
        <f>IF(OR(N(Database!$I479)&lt;=0,N(Screener!$D$9)&lt;=0),0,MAX(0,1-ABS(LOG10(N(Database!$I479)/Screener!$D$9))/W_SIZEHW))</f>
        <v/>
      </c>
      <c r="E479">
        <f>IF(OR(Database!$BE479="",Screener!$D$10=""),0,IF(Database!$BE479=Screener!$D$10,1,0))</f>
        <v/>
      </c>
      <c r="F479">
        <f>IF(OR(Database!$BK479="",Screener!$D$11=""),0,IF(Database!$BK479=Screener!$D$11,1,0))</f>
        <v/>
      </c>
      <c r="G479">
        <f>IF(OR(Database!$H479="",N(Screener!$D$12)&lt;=0),0,MAX(0,1-(N(Screener!$D$12)-Database!$H479)/W_RECD))</f>
        <v/>
      </c>
      <c r="H479">
        <f>IF($U$1="",0,N(ISNUMBER(SEARCH($U$1,Database!$Z479&amp;""))))+IF($V$1="",0,N(ISNUMBER(SEARCH($V$1,Database!$Z479&amp;""))))+IF($W$1="",0,N(ISNUMBER(SEARCH($W$1,Database!$Z479&amp;""))))+IF($X$1="",0,N(ISNUMBER(SEARCH($X$1,Database!$Z479&amp;""))))+IF($Y$1="",0,N(ISNUMBER(SEARCH($Y$1,Database!$Z479&amp;""))))+IF(Screener!$B$17="",0,N(ISNUMBER(SEARCH(LOWER(Screener!$B$17),Database!$Z479&amp;""))))</f>
        <v/>
      </c>
      <c r="I479">
        <f>IF(OR(N(Database!$BF479)&lt;=0,N(Screener!$D$13)&lt;=0),0,MAX(0,1-ABS(LOG10(N(Database!$BF479)/Screener!$D$13))/W_PEHW))</f>
        <v/>
      </c>
      <c r="J479">
        <f>IF(OR(N(Database!$S479)&lt;=0,N(Screener!$D$14)&lt;=0),0,MAX(0,1-ABS(LOG10(Database!$S479/Screener!$D$14))/0.6))</f>
        <v/>
      </c>
      <c r="K479">
        <f>IF(Database!$B479=Screener!$B$5,-999999,IF(ISNUMBER(SEARCH(","&amp;Database!$A479&amp;",",","&amp;SUBSTITUTE(Screener!$D$17," ","")&amp;",")),2000000,IF(IF(OR(Screener!$B$18="All",AND(Screener!$B$18="With A-share",(Database!$BK479="Y")),AND(Screener!$B$18="Without A-share",NOT((Database!$BK479="Y")))),1,0)=0,-999999,IF(Screener!$B$16="cornerstone overlap first",H479*100000,IF(Screener!$B$16="demand-similar first",J479*100000,0))+W_SUB*B479+W_SEC*C479*(1-B479)+W_SIZE*D479+W_PROF*E479+W_AH*F479+W_REC*G479+W_CS*H479+W_PE*I479)))+ROW()/1000000</f>
        <v/>
      </c>
      <c r="AA479">
        <f>Database!B469</f>
        <v/>
      </c>
      <c r="AB479">
        <f>Database!D469</f>
        <v/>
      </c>
      <c r="AC479">
        <f>Database!E469</f>
        <v/>
      </c>
      <c r="AD479">
        <f>Database!I469</f>
        <v/>
      </c>
      <c r="AE479">
        <f>Database!BE469</f>
        <v/>
      </c>
      <c r="AF479">
        <f>Database!BK469</f>
        <v/>
      </c>
      <c r="AG479">
        <f>Database!H469</f>
        <v/>
      </c>
      <c r="AH479">
        <f>Database!BF469</f>
        <v/>
      </c>
    </row>
    <row r="480">
      <c r="A480">
        <f>Database!B480</f>
        <v/>
      </c>
      <c r="B480">
        <f>IF(AND(Screener!$D$8&lt;&gt;"",Database!$E480=Screener!$D$8),1,0)</f>
        <v/>
      </c>
      <c r="C480">
        <f>IF(AND(Screener!$D$7&lt;&gt;"",Database!$D480=Screener!$D$7),1,0)</f>
        <v/>
      </c>
      <c r="D480">
        <f>IF(OR(N(Database!$I480)&lt;=0,N(Screener!$D$9)&lt;=0),0,MAX(0,1-ABS(LOG10(N(Database!$I480)/Screener!$D$9))/W_SIZEHW))</f>
        <v/>
      </c>
      <c r="E480">
        <f>IF(OR(Database!$BE480="",Screener!$D$10=""),0,IF(Database!$BE480=Screener!$D$10,1,0))</f>
        <v/>
      </c>
      <c r="F480">
        <f>IF(OR(Database!$BK480="",Screener!$D$11=""),0,IF(Database!$BK480=Screener!$D$11,1,0))</f>
        <v/>
      </c>
      <c r="G480">
        <f>IF(OR(Database!$H480="",N(Screener!$D$12)&lt;=0),0,MAX(0,1-(N(Screener!$D$12)-Database!$H480)/W_RECD))</f>
        <v/>
      </c>
      <c r="H480">
        <f>IF($U$1="",0,N(ISNUMBER(SEARCH($U$1,Database!$Z480&amp;""))))+IF($V$1="",0,N(ISNUMBER(SEARCH($V$1,Database!$Z480&amp;""))))+IF($W$1="",0,N(ISNUMBER(SEARCH($W$1,Database!$Z480&amp;""))))+IF($X$1="",0,N(ISNUMBER(SEARCH($X$1,Database!$Z480&amp;""))))+IF($Y$1="",0,N(ISNUMBER(SEARCH($Y$1,Database!$Z480&amp;""))))+IF(Screener!$B$17="",0,N(ISNUMBER(SEARCH(LOWER(Screener!$B$17),Database!$Z480&amp;""))))</f>
        <v/>
      </c>
      <c r="I480">
        <f>IF(OR(N(Database!$BF480)&lt;=0,N(Screener!$D$13)&lt;=0),0,MAX(0,1-ABS(LOG10(N(Database!$BF480)/Screener!$D$13))/W_PEHW))</f>
        <v/>
      </c>
      <c r="J480">
        <f>IF(OR(N(Database!$S480)&lt;=0,N(Screener!$D$14)&lt;=0),0,MAX(0,1-ABS(LOG10(Database!$S480/Screener!$D$14))/0.6))</f>
        <v/>
      </c>
      <c r="K480">
        <f>IF(Database!$B480=Screener!$B$5,-999999,IF(ISNUMBER(SEARCH(","&amp;Database!$A480&amp;",",","&amp;SUBSTITUTE(Screener!$D$17," ","")&amp;",")),2000000,IF(IF(OR(Screener!$B$18="All",AND(Screener!$B$18="With A-share",(Database!$BK480="Y")),AND(Screener!$B$18="Without A-share",NOT((Database!$BK480="Y")))),1,0)=0,-999999,IF(Screener!$B$16="cornerstone overlap first",H480*100000,IF(Screener!$B$16="demand-similar first",J480*100000,0))+W_SUB*B480+W_SEC*C480*(1-B480)+W_SIZE*D480+W_PROF*E480+W_AH*F480+W_REC*G480+W_CS*H480+W_PE*I480)))+ROW()/1000000</f>
        <v/>
      </c>
      <c r="AA480">
        <f>Database!B470</f>
        <v/>
      </c>
      <c r="AB480">
        <f>Database!D470</f>
        <v/>
      </c>
      <c r="AC480">
        <f>Database!E470</f>
        <v/>
      </c>
      <c r="AD480">
        <f>Database!I470</f>
        <v/>
      </c>
      <c r="AE480">
        <f>Database!BE470</f>
        <v/>
      </c>
      <c r="AF480">
        <f>Database!BK470</f>
        <v/>
      </c>
      <c r="AG480">
        <f>Database!H470</f>
        <v/>
      </c>
      <c r="AH480">
        <f>Database!BF470</f>
        <v/>
      </c>
    </row>
    <row r="481">
      <c r="A481">
        <f>Database!B481</f>
        <v/>
      </c>
      <c r="B481">
        <f>IF(AND(Screener!$D$8&lt;&gt;"",Database!$E481=Screener!$D$8),1,0)</f>
        <v/>
      </c>
      <c r="C481">
        <f>IF(AND(Screener!$D$7&lt;&gt;"",Database!$D481=Screener!$D$7),1,0)</f>
        <v/>
      </c>
      <c r="D481">
        <f>IF(OR(N(Database!$I481)&lt;=0,N(Screener!$D$9)&lt;=0),0,MAX(0,1-ABS(LOG10(N(Database!$I481)/Screener!$D$9))/W_SIZEHW))</f>
        <v/>
      </c>
      <c r="E481">
        <f>IF(OR(Database!$BE481="",Screener!$D$10=""),0,IF(Database!$BE481=Screener!$D$10,1,0))</f>
        <v/>
      </c>
      <c r="F481">
        <f>IF(OR(Database!$BK481="",Screener!$D$11=""),0,IF(Database!$BK481=Screener!$D$11,1,0))</f>
        <v/>
      </c>
      <c r="G481">
        <f>IF(OR(Database!$H481="",N(Screener!$D$12)&lt;=0),0,MAX(0,1-(N(Screener!$D$12)-Database!$H481)/W_RECD))</f>
        <v/>
      </c>
      <c r="H481">
        <f>IF($U$1="",0,N(ISNUMBER(SEARCH($U$1,Database!$Z481&amp;""))))+IF($V$1="",0,N(ISNUMBER(SEARCH($V$1,Database!$Z481&amp;""))))+IF($W$1="",0,N(ISNUMBER(SEARCH($W$1,Database!$Z481&amp;""))))+IF($X$1="",0,N(ISNUMBER(SEARCH($X$1,Database!$Z481&amp;""))))+IF($Y$1="",0,N(ISNUMBER(SEARCH($Y$1,Database!$Z481&amp;""))))+IF(Screener!$B$17="",0,N(ISNUMBER(SEARCH(LOWER(Screener!$B$17),Database!$Z481&amp;""))))</f>
        <v/>
      </c>
      <c r="I481">
        <f>IF(OR(N(Database!$BF481)&lt;=0,N(Screener!$D$13)&lt;=0),0,MAX(0,1-ABS(LOG10(N(Database!$BF481)/Screener!$D$13))/W_PEHW))</f>
        <v/>
      </c>
      <c r="J481">
        <f>IF(OR(N(Database!$S481)&lt;=0,N(Screener!$D$14)&lt;=0),0,MAX(0,1-ABS(LOG10(Database!$S481/Screener!$D$14))/0.6))</f>
        <v/>
      </c>
      <c r="K481">
        <f>IF(Database!$B481=Screener!$B$5,-999999,IF(ISNUMBER(SEARCH(","&amp;Database!$A481&amp;",",","&amp;SUBSTITUTE(Screener!$D$17," ","")&amp;",")),2000000,IF(IF(OR(Screener!$B$18="All",AND(Screener!$B$18="With A-share",(Database!$BK481="Y")),AND(Screener!$B$18="Without A-share",NOT((Database!$BK481="Y")))),1,0)=0,-999999,IF(Screener!$B$16="cornerstone overlap first",H481*100000,IF(Screener!$B$16="demand-similar first",J481*100000,0))+W_SUB*B481+W_SEC*C481*(1-B481)+W_SIZE*D481+W_PROF*E481+W_AH*F481+W_REC*G481+W_CS*H481+W_PE*I481)))+ROW()/1000000</f>
        <v/>
      </c>
      <c r="AA481">
        <f>Database!B471</f>
        <v/>
      </c>
      <c r="AB481">
        <f>Database!D471</f>
        <v/>
      </c>
      <c r="AC481">
        <f>Database!E471</f>
        <v/>
      </c>
      <c r="AD481">
        <f>Database!I471</f>
        <v/>
      </c>
      <c r="AE481">
        <f>Database!BE471</f>
        <v/>
      </c>
      <c r="AF481">
        <f>Database!BK471</f>
        <v/>
      </c>
      <c r="AG481">
        <f>Database!H471</f>
        <v/>
      </c>
      <c r="AH481">
        <f>Database!BF471</f>
        <v/>
      </c>
    </row>
    <row r="482">
      <c r="A482">
        <f>Database!B482</f>
        <v/>
      </c>
      <c r="B482">
        <f>IF(AND(Screener!$D$8&lt;&gt;"",Database!$E482=Screener!$D$8),1,0)</f>
        <v/>
      </c>
      <c r="C482">
        <f>IF(AND(Screener!$D$7&lt;&gt;"",Database!$D482=Screener!$D$7),1,0)</f>
        <v/>
      </c>
      <c r="D482">
        <f>IF(OR(N(Database!$I482)&lt;=0,N(Screener!$D$9)&lt;=0),0,MAX(0,1-ABS(LOG10(N(Database!$I482)/Screener!$D$9))/W_SIZEHW))</f>
        <v/>
      </c>
      <c r="E482">
        <f>IF(OR(Database!$BE482="",Screener!$D$10=""),0,IF(Database!$BE482=Screener!$D$10,1,0))</f>
        <v/>
      </c>
      <c r="F482">
        <f>IF(OR(Database!$BK482="",Screener!$D$11=""),0,IF(Database!$BK482=Screener!$D$11,1,0))</f>
        <v/>
      </c>
      <c r="G482">
        <f>IF(OR(Database!$H482="",N(Screener!$D$12)&lt;=0),0,MAX(0,1-(N(Screener!$D$12)-Database!$H482)/W_RECD))</f>
        <v/>
      </c>
      <c r="H482">
        <f>IF($U$1="",0,N(ISNUMBER(SEARCH($U$1,Database!$Z482&amp;""))))+IF($V$1="",0,N(ISNUMBER(SEARCH($V$1,Database!$Z482&amp;""))))+IF($W$1="",0,N(ISNUMBER(SEARCH($W$1,Database!$Z482&amp;""))))+IF($X$1="",0,N(ISNUMBER(SEARCH($X$1,Database!$Z482&amp;""))))+IF($Y$1="",0,N(ISNUMBER(SEARCH($Y$1,Database!$Z482&amp;""))))+IF(Screener!$B$17="",0,N(ISNUMBER(SEARCH(LOWER(Screener!$B$17),Database!$Z482&amp;""))))</f>
        <v/>
      </c>
      <c r="I482">
        <f>IF(OR(N(Database!$BF482)&lt;=0,N(Screener!$D$13)&lt;=0),0,MAX(0,1-ABS(LOG10(N(Database!$BF482)/Screener!$D$13))/W_PEHW))</f>
        <v/>
      </c>
      <c r="J482">
        <f>IF(OR(N(Database!$S482)&lt;=0,N(Screener!$D$14)&lt;=0),0,MAX(0,1-ABS(LOG10(Database!$S482/Screener!$D$14))/0.6))</f>
        <v/>
      </c>
      <c r="K482">
        <f>IF(Database!$B482=Screener!$B$5,-999999,IF(ISNUMBER(SEARCH(","&amp;Database!$A482&amp;",",","&amp;SUBSTITUTE(Screener!$D$17," ","")&amp;",")),2000000,IF(IF(OR(Screener!$B$18="All",AND(Screener!$B$18="With A-share",(Database!$BK482="Y")),AND(Screener!$B$18="Without A-share",NOT((Database!$BK482="Y")))),1,0)=0,-999999,IF(Screener!$B$16="cornerstone overlap first",H482*100000,IF(Screener!$B$16="demand-similar first",J482*100000,0))+W_SUB*B482+W_SEC*C482*(1-B482)+W_SIZE*D482+W_PROF*E482+W_AH*F482+W_REC*G482+W_CS*H482+W_PE*I482)))+ROW()/1000000</f>
        <v/>
      </c>
      <c r="AA482">
        <f>Database!B472</f>
        <v/>
      </c>
      <c r="AB482">
        <f>Database!D472</f>
        <v/>
      </c>
      <c r="AC482">
        <f>Database!E472</f>
        <v/>
      </c>
      <c r="AD482">
        <f>Database!I472</f>
        <v/>
      </c>
      <c r="AE482">
        <f>Database!BE472</f>
        <v/>
      </c>
      <c r="AF482">
        <f>Database!BK472</f>
        <v/>
      </c>
      <c r="AG482">
        <f>Database!H472</f>
        <v/>
      </c>
      <c r="AH482">
        <f>Database!BF472</f>
        <v/>
      </c>
    </row>
    <row r="483">
      <c r="A483">
        <f>Database!B483</f>
        <v/>
      </c>
      <c r="B483">
        <f>IF(AND(Screener!$D$8&lt;&gt;"",Database!$E483=Screener!$D$8),1,0)</f>
        <v/>
      </c>
      <c r="C483">
        <f>IF(AND(Screener!$D$7&lt;&gt;"",Database!$D483=Screener!$D$7),1,0)</f>
        <v/>
      </c>
      <c r="D483">
        <f>IF(OR(N(Database!$I483)&lt;=0,N(Screener!$D$9)&lt;=0),0,MAX(0,1-ABS(LOG10(N(Database!$I483)/Screener!$D$9))/W_SIZEHW))</f>
        <v/>
      </c>
      <c r="E483">
        <f>IF(OR(Database!$BE483="",Screener!$D$10=""),0,IF(Database!$BE483=Screener!$D$10,1,0))</f>
        <v/>
      </c>
      <c r="F483">
        <f>IF(OR(Database!$BK483="",Screener!$D$11=""),0,IF(Database!$BK483=Screener!$D$11,1,0))</f>
        <v/>
      </c>
      <c r="G483">
        <f>IF(OR(Database!$H483="",N(Screener!$D$12)&lt;=0),0,MAX(0,1-(N(Screener!$D$12)-Database!$H483)/W_RECD))</f>
        <v/>
      </c>
      <c r="H483">
        <f>IF($U$1="",0,N(ISNUMBER(SEARCH($U$1,Database!$Z483&amp;""))))+IF($V$1="",0,N(ISNUMBER(SEARCH($V$1,Database!$Z483&amp;""))))+IF($W$1="",0,N(ISNUMBER(SEARCH($W$1,Database!$Z483&amp;""))))+IF($X$1="",0,N(ISNUMBER(SEARCH($X$1,Database!$Z483&amp;""))))+IF($Y$1="",0,N(ISNUMBER(SEARCH($Y$1,Database!$Z483&amp;""))))+IF(Screener!$B$17="",0,N(ISNUMBER(SEARCH(LOWER(Screener!$B$17),Database!$Z483&amp;""))))</f>
        <v/>
      </c>
      <c r="I483">
        <f>IF(OR(N(Database!$BF483)&lt;=0,N(Screener!$D$13)&lt;=0),0,MAX(0,1-ABS(LOG10(N(Database!$BF483)/Screener!$D$13))/W_PEHW))</f>
        <v/>
      </c>
      <c r="J483">
        <f>IF(OR(N(Database!$S483)&lt;=0,N(Screener!$D$14)&lt;=0),0,MAX(0,1-ABS(LOG10(Database!$S483/Screener!$D$14))/0.6))</f>
        <v/>
      </c>
      <c r="K483">
        <f>IF(Database!$B483=Screener!$B$5,-999999,IF(ISNUMBER(SEARCH(","&amp;Database!$A483&amp;",",","&amp;SUBSTITUTE(Screener!$D$17," ","")&amp;",")),2000000,IF(IF(OR(Screener!$B$18="All",AND(Screener!$B$18="With A-share",(Database!$BK483="Y")),AND(Screener!$B$18="Without A-share",NOT((Database!$BK483="Y")))),1,0)=0,-999999,IF(Screener!$B$16="cornerstone overlap first",H483*100000,IF(Screener!$B$16="demand-similar first",J483*100000,0))+W_SUB*B483+W_SEC*C483*(1-B483)+W_SIZE*D483+W_PROF*E483+W_AH*F483+W_REC*G483+W_CS*H483+W_PE*I483)))+ROW()/1000000</f>
        <v/>
      </c>
      <c r="AA483">
        <f>Database!B473</f>
        <v/>
      </c>
      <c r="AB483">
        <f>Database!D473</f>
        <v/>
      </c>
      <c r="AC483">
        <f>Database!E473</f>
        <v/>
      </c>
      <c r="AD483">
        <f>Database!I473</f>
        <v/>
      </c>
      <c r="AE483">
        <f>Database!BE473</f>
        <v/>
      </c>
      <c r="AF483">
        <f>Database!BK473</f>
        <v/>
      </c>
      <c r="AG483">
        <f>Database!H473</f>
        <v/>
      </c>
      <c r="AH483">
        <f>Database!BF473</f>
        <v/>
      </c>
    </row>
    <row r="484">
      <c r="A484">
        <f>Database!B484</f>
        <v/>
      </c>
      <c r="B484">
        <f>IF(AND(Screener!$D$8&lt;&gt;"",Database!$E484=Screener!$D$8),1,0)</f>
        <v/>
      </c>
      <c r="C484">
        <f>IF(AND(Screener!$D$7&lt;&gt;"",Database!$D484=Screener!$D$7),1,0)</f>
        <v/>
      </c>
      <c r="D484">
        <f>IF(OR(N(Database!$I484)&lt;=0,N(Screener!$D$9)&lt;=0),0,MAX(0,1-ABS(LOG10(N(Database!$I484)/Screener!$D$9))/W_SIZEHW))</f>
        <v/>
      </c>
      <c r="E484">
        <f>IF(OR(Database!$BE484="",Screener!$D$10=""),0,IF(Database!$BE484=Screener!$D$10,1,0))</f>
        <v/>
      </c>
      <c r="F484">
        <f>IF(OR(Database!$BK484="",Screener!$D$11=""),0,IF(Database!$BK484=Screener!$D$11,1,0))</f>
        <v/>
      </c>
      <c r="G484">
        <f>IF(OR(Database!$H484="",N(Screener!$D$12)&lt;=0),0,MAX(0,1-(N(Screener!$D$12)-Database!$H484)/W_RECD))</f>
        <v/>
      </c>
      <c r="H484">
        <f>IF($U$1="",0,N(ISNUMBER(SEARCH($U$1,Database!$Z484&amp;""))))+IF($V$1="",0,N(ISNUMBER(SEARCH($V$1,Database!$Z484&amp;""))))+IF($W$1="",0,N(ISNUMBER(SEARCH($W$1,Database!$Z484&amp;""))))+IF($X$1="",0,N(ISNUMBER(SEARCH($X$1,Database!$Z484&amp;""))))+IF($Y$1="",0,N(ISNUMBER(SEARCH($Y$1,Database!$Z484&amp;""))))+IF(Screener!$B$17="",0,N(ISNUMBER(SEARCH(LOWER(Screener!$B$17),Database!$Z484&amp;""))))</f>
        <v/>
      </c>
      <c r="I484">
        <f>IF(OR(N(Database!$BF484)&lt;=0,N(Screener!$D$13)&lt;=0),0,MAX(0,1-ABS(LOG10(N(Database!$BF484)/Screener!$D$13))/W_PEHW))</f>
        <v/>
      </c>
      <c r="J484">
        <f>IF(OR(N(Database!$S484)&lt;=0,N(Screener!$D$14)&lt;=0),0,MAX(0,1-ABS(LOG10(Database!$S484/Screener!$D$14))/0.6))</f>
        <v/>
      </c>
      <c r="K484">
        <f>IF(Database!$B484=Screener!$B$5,-999999,IF(ISNUMBER(SEARCH(","&amp;Database!$A484&amp;",",","&amp;SUBSTITUTE(Screener!$D$17," ","")&amp;",")),2000000,IF(IF(OR(Screener!$B$18="All",AND(Screener!$B$18="With A-share",(Database!$BK484="Y")),AND(Screener!$B$18="Without A-share",NOT((Database!$BK484="Y")))),1,0)=0,-999999,IF(Screener!$B$16="cornerstone overlap first",H484*100000,IF(Screener!$B$16="demand-similar first",J484*100000,0))+W_SUB*B484+W_SEC*C484*(1-B484)+W_SIZE*D484+W_PROF*E484+W_AH*F484+W_REC*G484+W_CS*H484+W_PE*I484)))+ROW()/1000000</f>
        <v/>
      </c>
      <c r="AA484">
        <f>Database!B474</f>
        <v/>
      </c>
      <c r="AB484">
        <f>Database!D474</f>
        <v/>
      </c>
      <c r="AC484">
        <f>Database!E474</f>
        <v/>
      </c>
      <c r="AD484">
        <f>Database!I474</f>
        <v/>
      </c>
      <c r="AE484">
        <f>Database!BE474</f>
        <v/>
      </c>
      <c r="AF484">
        <f>Database!BK474</f>
        <v/>
      </c>
      <c r="AG484">
        <f>Database!H474</f>
        <v/>
      </c>
      <c r="AH484">
        <f>Database!BF474</f>
        <v/>
      </c>
    </row>
    <row r="485">
      <c r="A485">
        <f>Database!B485</f>
        <v/>
      </c>
      <c r="B485">
        <f>IF(AND(Screener!$D$8&lt;&gt;"",Database!$E485=Screener!$D$8),1,0)</f>
        <v/>
      </c>
      <c r="C485">
        <f>IF(AND(Screener!$D$7&lt;&gt;"",Database!$D485=Screener!$D$7),1,0)</f>
        <v/>
      </c>
      <c r="D485">
        <f>IF(OR(N(Database!$I485)&lt;=0,N(Screener!$D$9)&lt;=0),0,MAX(0,1-ABS(LOG10(N(Database!$I485)/Screener!$D$9))/W_SIZEHW))</f>
        <v/>
      </c>
      <c r="E485">
        <f>IF(OR(Database!$BE485="",Screener!$D$10=""),0,IF(Database!$BE485=Screener!$D$10,1,0))</f>
        <v/>
      </c>
      <c r="F485">
        <f>IF(OR(Database!$BK485="",Screener!$D$11=""),0,IF(Database!$BK485=Screener!$D$11,1,0))</f>
        <v/>
      </c>
      <c r="G485">
        <f>IF(OR(Database!$H485="",N(Screener!$D$12)&lt;=0),0,MAX(0,1-(N(Screener!$D$12)-Database!$H485)/W_RECD))</f>
        <v/>
      </c>
      <c r="H485">
        <f>IF($U$1="",0,N(ISNUMBER(SEARCH($U$1,Database!$Z485&amp;""))))+IF($V$1="",0,N(ISNUMBER(SEARCH($V$1,Database!$Z485&amp;""))))+IF($W$1="",0,N(ISNUMBER(SEARCH($W$1,Database!$Z485&amp;""))))+IF($X$1="",0,N(ISNUMBER(SEARCH($X$1,Database!$Z485&amp;""))))+IF($Y$1="",0,N(ISNUMBER(SEARCH($Y$1,Database!$Z485&amp;""))))+IF(Screener!$B$17="",0,N(ISNUMBER(SEARCH(LOWER(Screener!$B$17),Database!$Z485&amp;""))))</f>
        <v/>
      </c>
      <c r="I485">
        <f>IF(OR(N(Database!$BF485)&lt;=0,N(Screener!$D$13)&lt;=0),0,MAX(0,1-ABS(LOG10(N(Database!$BF485)/Screener!$D$13))/W_PEHW))</f>
        <v/>
      </c>
      <c r="J485">
        <f>IF(OR(N(Database!$S485)&lt;=0,N(Screener!$D$14)&lt;=0),0,MAX(0,1-ABS(LOG10(Database!$S485/Screener!$D$14))/0.6))</f>
        <v/>
      </c>
      <c r="K485">
        <f>IF(Database!$B485=Screener!$B$5,-999999,IF(ISNUMBER(SEARCH(","&amp;Database!$A485&amp;",",","&amp;SUBSTITUTE(Screener!$D$17," ","")&amp;",")),2000000,IF(IF(OR(Screener!$B$18="All",AND(Screener!$B$18="With A-share",(Database!$BK485="Y")),AND(Screener!$B$18="Without A-share",NOT((Database!$BK485="Y")))),1,0)=0,-999999,IF(Screener!$B$16="cornerstone overlap first",H485*100000,IF(Screener!$B$16="demand-similar first",J485*100000,0))+W_SUB*B485+W_SEC*C485*(1-B485)+W_SIZE*D485+W_PROF*E485+W_AH*F485+W_REC*G485+W_CS*H485+W_PE*I485)))+ROW()/1000000</f>
        <v/>
      </c>
      <c r="AA485">
        <f>Database!B475</f>
        <v/>
      </c>
      <c r="AB485">
        <f>Database!D475</f>
        <v/>
      </c>
      <c r="AC485">
        <f>Database!E475</f>
        <v/>
      </c>
      <c r="AD485">
        <f>Database!I475</f>
        <v/>
      </c>
      <c r="AE485">
        <f>Database!BE475</f>
        <v/>
      </c>
      <c r="AF485">
        <f>Database!BK475</f>
        <v/>
      </c>
      <c r="AG485">
        <f>Database!H475</f>
        <v/>
      </c>
      <c r="AH485">
        <f>Database!BF475</f>
        <v/>
      </c>
    </row>
    <row r="486">
      <c r="A486">
        <f>Database!B486</f>
        <v/>
      </c>
      <c r="B486">
        <f>IF(AND(Screener!$D$8&lt;&gt;"",Database!$E486=Screener!$D$8),1,0)</f>
        <v/>
      </c>
      <c r="C486">
        <f>IF(AND(Screener!$D$7&lt;&gt;"",Database!$D486=Screener!$D$7),1,0)</f>
        <v/>
      </c>
      <c r="D486">
        <f>IF(OR(N(Database!$I486)&lt;=0,N(Screener!$D$9)&lt;=0),0,MAX(0,1-ABS(LOG10(N(Database!$I486)/Screener!$D$9))/W_SIZEHW))</f>
        <v/>
      </c>
      <c r="E486">
        <f>IF(OR(Database!$BE486="",Screener!$D$10=""),0,IF(Database!$BE486=Screener!$D$10,1,0))</f>
        <v/>
      </c>
      <c r="F486">
        <f>IF(OR(Database!$BK486="",Screener!$D$11=""),0,IF(Database!$BK486=Screener!$D$11,1,0))</f>
        <v/>
      </c>
      <c r="G486">
        <f>IF(OR(Database!$H486="",N(Screener!$D$12)&lt;=0),0,MAX(0,1-(N(Screener!$D$12)-Database!$H486)/W_RECD))</f>
        <v/>
      </c>
      <c r="H486">
        <f>IF($U$1="",0,N(ISNUMBER(SEARCH($U$1,Database!$Z486&amp;""))))+IF($V$1="",0,N(ISNUMBER(SEARCH($V$1,Database!$Z486&amp;""))))+IF($W$1="",0,N(ISNUMBER(SEARCH($W$1,Database!$Z486&amp;""))))+IF($X$1="",0,N(ISNUMBER(SEARCH($X$1,Database!$Z486&amp;""))))+IF($Y$1="",0,N(ISNUMBER(SEARCH($Y$1,Database!$Z486&amp;""))))+IF(Screener!$B$17="",0,N(ISNUMBER(SEARCH(LOWER(Screener!$B$17),Database!$Z486&amp;""))))</f>
        <v/>
      </c>
      <c r="I486">
        <f>IF(OR(N(Database!$BF486)&lt;=0,N(Screener!$D$13)&lt;=0),0,MAX(0,1-ABS(LOG10(N(Database!$BF486)/Screener!$D$13))/W_PEHW))</f>
        <v/>
      </c>
      <c r="J486">
        <f>IF(OR(N(Database!$S486)&lt;=0,N(Screener!$D$14)&lt;=0),0,MAX(0,1-ABS(LOG10(Database!$S486/Screener!$D$14))/0.6))</f>
        <v/>
      </c>
      <c r="K486">
        <f>IF(Database!$B486=Screener!$B$5,-999999,IF(ISNUMBER(SEARCH(","&amp;Database!$A486&amp;",",","&amp;SUBSTITUTE(Screener!$D$17," ","")&amp;",")),2000000,IF(IF(OR(Screener!$B$18="All",AND(Screener!$B$18="With A-share",(Database!$BK486="Y")),AND(Screener!$B$18="Without A-share",NOT((Database!$BK486="Y")))),1,0)=0,-999999,IF(Screener!$B$16="cornerstone overlap first",H486*100000,IF(Screener!$B$16="demand-similar first",J486*100000,0))+W_SUB*B486+W_SEC*C486*(1-B486)+W_SIZE*D486+W_PROF*E486+W_AH*F486+W_REC*G486+W_CS*H486+W_PE*I486)))+ROW()/1000000</f>
        <v/>
      </c>
      <c r="AA486">
        <f>Database!B476</f>
        <v/>
      </c>
      <c r="AB486">
        <f>Database!D476</f>
        <v/>
      </c>
      <c r="AC486">
        <f>Database!E476</f>
        <v/>
      </c>
      <c r="AD486">
        <f>Database!I476</f>
        <v/>
      </c>
      <c r="AE486">
        <f>Database!BE476</f>
        <v/>
      </c>
      <c r="AF486">
        <f>Database!BK476</f>
        <v/>
      </c>
      <c r="AG486">
        <f>Database!H476</f>
        <v/>
      </c>
      <c r="AH486">
        <f>Database!BF476</f>
        <v/>
      </c>
    </row>
    <row r="487">
      <c r="A487">
        <f>Database!B487</f>
        <v/>
      </c>
      <c r="B487">
        <f>IF(AND(Screener!$D$8&lt;&gt;"",Database!$E487=Screener!$D$8),1,0)</f>
        <v/>
      </c>
      <c r="C487">
        <f>IF(AND(Screener!$D$7&lt;&gt;"",Database!$D487=Screener!$D$7),1,0)</f>
        <v/>
      </c>
      <c r="D487">
        <f>IF(OR(N(Database!$I487)&lt;=0,N(Screener!$D$9)&lt;=0),0,MAX(0,1-ABS(LOG10(N(Database!$I487)/Screener!$D$9))/W_SIZEHW))</f>
        <v/>
      </c>
      <c r="E487">
        <f>IF(OR(Database!$BE487="",Screener!$D$10=""),0,IF(Database!$BE487=Screener!$D$10,1,0))</f>
        <v/>
      </c>
      <c r="F487">
        <f>IF(OR(Database!$BK487="",Screener!$D$11=""),0,IF(Database!$BK487=Screener!$D$11,1,0))</f>
        <v/>
      </c>
      <c r="G487">
        <f>IF(OR(Database!$H487="",N(Screener!$D$12)&lt;=0),0,MAX(0,1-(N(Screener!$D$12)-Database!$H487)/W_RECD))</f>
        <v/>
      </c>
      <c r="H487">
        <f>IF($U$1="",0,N(ISNUMBER(SEARCH($U$1,Database!$Z487&amp;""))))+IF($V$1="",0,N(ISNUMBER(SEARCH($V$1,Database!$Z487&amp;""))))+IF($W$1="",0,N(ISNUMBER(SEARCH($W$1,Database!$Z487&amp;""))))+IF($X$1="",0,N(ISNUMBER(SEARCH($X$1,Database!$Z487&amp;""))))+IF($Y$1="",0,N(ISNUMBER(SEARCH($Y$1,Database!$Z487&amp;""))))+IF(Screener!$B$17="",0,N(ISNUMBER(SEARCH(LOWER(Screener!$B$17),Database!$Z487&amp;""))))</f>
        <v/>
      </c>
      <c r="I487">
        <f>IF(OR(N(Database!$BF487)&lt;=0,N(Screener!$D$13)&lt;=0),0,MAX(0,1-ABS(LOG10(N(Database!$BF487)/Screener!$D$13))/W_PEHW))</f>
        <v/>
      </c>
      <c r="J487">
        <f>IF(OR(N(Database!$S487)&lt;=0,N(Screener!$D$14)&lt;=0),0,MAX(0,1-ABS(LOG10(Database!$S487/Screener!$D$14))/0.6))</f>
        <v/>
      </c>
      <c r="K487">
        <f>IF(Database!$B487=Screener!$B$5,-999999,IF(ISNUMBER(SEARCH(","&amp;Database!$A487&amp;",",","&amp;SUBSTITUTE(Screener!$D$17," ","")&amp;",")),2000000,IF(IF(OR(Screener!$B$18="All",AND(Screener!$B$18="With A-share",(Database!$BK487="Y")),AND(Screener!$B$18="Without A-share",NOT((Database!$BK487="Y")))),1,0)=0,-999999,IF(Screener!$B$16="cornerstone overlap first",H487*100000,IF(Screener!$B$16="demand-similar first",J487*100000,0))+W_SUB*B487+W_SEC*C487*(1-B487)+W_SIZE*D487+W_PROF*E487+W_AH*F487+W_REC*G487+W_CS*H487+W_PE*I487)))+ROW()/1000000</f>
        <v/>
      </c>
      <c r="AA487">
        <f>Database!B477</f>
        <v/>
      </c>
      <c r="AB487">
        <f>Database!D477</f>
        <v/>
      </c>
      <c r="AC487">
        <f>Database!E477</f>
        <v/>
      </c>
      <c r="AD487">
        <f>Database!I477</f>
        <v/>
      </c>
      <c r="AE487">
        <f>Database!BE477</f>
        <v/>
      </c>
      <c r="AF487">
        <f>Database!BK477</f>
        <v/>
      </c>
      <c r="AG487">
        <f>Database!H477</f>
        <v/>
      </c>
      <c r="AH487">
        <f>Database!BF477</f>
        <v/>
      </c>
    </row>
    <row r="488">
      <c r="A488">
        <f>Database!B488</f>
        <v/>
      </c>
      <c r="B488">
        <f>IF(AND(Screener!$D$8&lt;&gt;"",Database!$E488=Screener!$D$8),1,0)</f>
        <v/>
      </c>
      <c r="C488">
        <f>IF(AND(Screener!$D$7&lt;&gt;"",Database!$D488=Screener!$D$7),1,0)</f>
        <v/>
      </c>
      <c r="D488">
        <f>IF(OR(N(Database!$I488)&lt;=0,N(Screener!$D$9)&lt;=0),0,MAX(0,1-ABS(LOG10(N(Database!$I488)/Screener!$D$9))/W_SIZEHW))</f>
        <v/>
      </c>
      <c r="E488">
        <f>IF(OR(Database!$BE488="",Screener!$D$10=""),0,IF(Database!$BE488=Screener!$D$10,1,0))</f>
        <v/>
      </c>
      <c r="F488">
        <f>IF(OR(Database!$BK488="",Screener!$D$11=""),0,IF(Database!$BK488=Screener!$D$11,1,0))</f>
        <v/>
      </c>
      <c r="G488">
        <f>IF(OR(Database!$H488="",N(Screener!$D$12)&lt;=0),0,MAX(0,1-(N(Screener!$D$12)-Database!$H488)/W_RECD))</f>
        <v/>
      </c>
      <c r="H488">
        <f>IF($U$1="",0,N(ISNUMBER(SEARCH($U$1,Database!$Z488&amp;""))))+IF($V$1="",0,N(ISNUMBER(SEARCH($V$1,Database!$Z488&amp;""))))+IF($W$1="",0,N(ISNUMBER(SEARCH($W$1,Database!$Z488&amp;""))))+IF($X$1="",0,N(ISNUMBER(SEARCH($X$1,Database!$Z488&amp;""))))+IF($Y$1="",0,N(ISNUMBER(SEARCH($Y$1,Database!$Z488&amp;""))))+IF(Screener!$B$17="",0,N(ISNUMBER(SEARCH(LOWER(Screener!$B$17),Database!$Z488&amp;""))))</f>
        <v/>
      </c>
      <c r="I488">
        <f>IF(OR(N(Database!$BF488)&lt;=0,N(Screener!$D$13)&lt;=0),0,MAX(0,1-ABS(LOG10(N(Database!$BF488)/Screener!$D$13))/W_PEHW))</f>
        <v/>
      </c>
      <c r="J488">
        <f>IF(OR(N(Database!$S488)&lt;=0,N(Screener!$D$14)&lt;=0),0,MAX(0,1-ABS(LOG10(Database!$S488/Screener!$D$14))/0.6))</f>
        <v/>
      </c>
      <c r="K488">
        <f>IF(Database!$B488=Screener!$B$5,-999999,IF(ISNUMBER(SEARCH(","&amp;Database!$A488&amp;",",","&amp;SUBSTITUTE(Screener!$D$17," ","")&amp;",")),2000000,IF(IF(OR(Screener!$B$18="All",AND(Screener!$B$18="With A-share",(Database!$BK488="Y")),AND(Screener!$B$18="Without A-share",NOT((Database!$BK488="Y")))),1,0)=0,-999999,IF(Screener!$B$16="cornerstone overlap first",H488*100000,IF(Screener!$B$16="demand-similar first",J488*100000,0))+W_SUB*B488+W_SEC*C488*(1-B488)+W_SIZE*D488+W_PROF*E488+W_AH*F488+W_REC*G488+W_CS*H488+W_PE*I488)))+ROW()/1000000</f>
        <v/>
      </c>
      <c r="AA488">
        <f>Database!B478</f>
        <v/>
      </c>
      <c r="AB488">
        <f>Database!D478</f>
        <v/>
      </c>
      <c r="AC488">
        <f>Database!E478</f>
        <v/>
      </c>
      <c r="AD488">
        <f>Database!I478</f>
        <v/>
      </c>
      <c r="AE488">
        <f>Database!BE478</f>
        <v/>
      </c>
      <c r="AF488">
        <f>Database!BK478</f>
        <v/>
      </c>
      <c r="AG488">
        <f>Database!H478</f>
        <v/>
      </c>
      <c r="AH488">
        <f>Database!BF478</f>
        <v/>
      </c>
    </row>
    <row r="489">
      <c r="A489">
        <f>Database!B489</f>
        <v/>
      </c>
      <c r="B489">
        <f>IF(AND(Screener!$D$8&lt;&gt;"",Database!$E489=Screener!$D$8),1,0)</f>
        <v/>
      </c>
      <c r="C489">
        <f>IF(AND(Screener!$D$7&lt;&gt;"",Database!$D489=Screener!$D$7),1,0)</f>
        <v/>
      </c>
      <c r="D489">
        <f>IF(OR(N(Database!$I489)&lt;=0,N(Screener!$D$9)&lt;=0),0,MAX(0,1-ABS(LOG10(N(Database!$I489)/Screener!$D$9))/W_SIZEHW))</f>
        <v/>
      </c>
      <c r="E489">
        <f>IF(OR(Database!$BE489="",Screener!$D$10=""),0,IF(Database!$BE489=Screener!$D$10,1,0))</f>
        <v/>
      </c>
      <c r="F489">
        <f>IF(OR(Database!$BK489="",Screener!$D$11=""),0,IF(Database!$BK489=Screener!$D$11,1,0))</f>
        <v/>
      </c>
      <c r="G489">
        <f>IF(OR(Database!$H489="",N(Screener!$D$12)&lt;=0),0,MAX(0,1-(N(Screener!$D$12)-Database!$H489)/W_RECD))</f>
        <v/>
      </c>
      <c r="H489">
        <f>IF($U$1="",0,N(ISNUMBER(SEARCH($U$1,Database!$Z489&amp;""))))+IF($V$1="",0,N(ISNUMBER(SEARCH($V$1,Database!$Z489&amp;""))))+IF($W$1="",0,N(ISNUMBER(SEARCH($W$1,Database!$Z489&amp;""))))+IF($X$1="",0,N(ISNUMBER(SEARCH($X$1,Database!$Z489&amp;""))))+IF($Y$1="",0,N(ISNUMBER(SEARCH($Y$1,Database!$Z489&amp;""))))+IF(Screener!$B$17="",0,N(ISNUMBER(SEARCH(LOWER(Screener!$B$17),Database!$Z489&amp;""))))</f>
        <v/>
      </c>
      <c r="I489">
        <f>IF(OR(N(Database!$BF489)&lt;=0,N(Screener!$D$13)&lt;=0),0,MAX(0,1-ABS(LOG10(N(Database!$BF489)/Screener!$D$13))/W_PEHW))</f>
        <v/>
      </c>
      <c r="J489">
        <f>IF(OR(N(Database!$S489)&lt;=0,N(Screener!$D$14)&lt;=0),0,MAX(0,1-ABS(LOG10(Database!$S489/Screener!$D$14))/0.6))</f>
        <v/>
      </c>
      <c r="K489">
        <f>IF(Database!$B489=Screener!$B$5,-999999,IF(ISNUMBER(SEARCH(","&amp;Database!$A489&amp;",",","&amp;SUBSTITUTE(Screener!$D$17," ","")&amp;",")),2000000,IF(IF(OR(Screener!$B$18="All",AND(Screener!$B$18="With A-share",(Database!$BK489="Y")),AND(Screener!$B$18="Without A-share",NOT((Database!$BK489="Y")))),1,0)=0,-999999,IF(Screener!$B$16="cornerstone overlap first",H489*100000,IF(Screener!$B$16="demand-similar first",J489*100000,0))+W_SUB*B489+W_SEC*C489*(1-B489)+W_SIZE*D489+W_PROF*E489+W_AH*F489+W_REC*G489+W_CS*H489+W_PE*I489)))+ROW()/1000000</f>
        <v/>
      </c>
      <c r="AA489">
        <f>Database!B479</f>
        <v/>
      </c>
      <c r="AB489">
        <f>Database!D479</f>
        <v/>
      </c>
      <c r="AC489">
        <f>Database!E479</f>
        <v/>
      </c>
      <c r="AD489">
        <f>Database!I479</f>
        <v/>
      </c>
      <c r="AE489">
        <f>Database!BE479</f>
        <v/>
      </c>
      <c r="AF489">
        <f>Database!BK479</f>
        <v/>
      </c>
      <c r="AG489">
        <f>Database!H479</f>
        <v/>
      </c>
      <c r="AH489">
        <f>Database!BF479</f>
        <v/>
      </c>
    </row>
    <row r="490">
      <c r="A490">
        <f>Database!B490</f>
        <v/>
      </c>
      <c r="B490">
        <f>IF(AND(Screener!$D$8&lt;&gt;"",Database!$E490=Screener!$D$8),1,0)</f>
        <v/>
      </c>
      <c r="C490">
        <f>IF(AND(Screener!$D$7&lt;&gt;"",Database!$D490=Screener!$D$7),1,0)</f>
        <v/>
      </c>
      <c r="D490">
        <f>IF(OR(N(Database!$I490)&lt;=0,N(Screener!$D$9)&lt;=0),0,MAX(0,1-ABS(LOG10(N(Database!$I490)/Screener!$D$9))/W_SIZEHW))</f>
        <v/>
      </c>
      <c r="E490">
        <f>IF(OR(Database!$BE490="",Screener!$D$10=""),0,IF(Database!$BE490=Screener!$D$10,1,0))</f>
        <v/>
      </c>
      <c r="F490">
        <f>IF(OR(Database!$BK490="",Screener!$D$11=""),0,IF(Database!$BK490=Screener!$D$11,1,0))</f>
        <v/>
      </c>
      <c r="G490">
        <f>IF(OR(Database!$H490="",N(Screener!$D$12)&lt;=0),0,MAX(0,1-(N(Screener!$D$12)-Database!$H490)/W_RECD))</f>
        <v/>
      </c>
      <c r="H490">
        <f>IF($U$1="",0,N(ISNUMBER(SEARCH($U$1,Database!$Z490&amp;""))))+IF($V$1="",0,N(ISNUMBER(SEARCH($V$1,Database!$Z490&amp;""))))+IF($W$1="",0,N(ISNUMBER(SEARCH($W$1,Database!$Z490&amp;""))))+IF($X$1="",0,N(ISNUMBER(SEARCH($X$1,Database!$Z490&amp;""))))+IF($Y$1="",0,N(ISNUMBER(SEARCH($Y$1,Database!$Z490&amp;""))))+IF(Screener!$B$17="",0,N(ISNUMBER(SEARCH(LOWER(Screener!$B$17),Database!$Z490&amp;""))))</f>
        <v/>
      </c>
      <c r="I490">
        <f>IF(OR(N(Database!$BF490)&lt;=0,N(Screener!$D$13)&lt;=0),0,MAX(0,1-ABS(LOG10(N(Database!$BF490)/Screener!$D$13))/W_PEHW))</f>
        <v/>
      </c>
      <c r="J490">
        <f>IF(OR(N(Database!$S490)&lt;=0,N(Screener!$D$14)&lt;=0),0,MAX(0,1-ABS(LOG10(Database!$S490/Screener!$D$14))/0.6))</f>
        <v/>
      </c>
      <c r="K490">
        <f>IF(Database!$B490=Screener!$B$5,-999999,IF(ISNUMBER(SEARCH(","&amp;Database!$A490&amp;",",","&amp;SUBSTITUTE(Screener!$D$17," ","")&amp;",")),2000000,IF(IF(OR(Screener!$B$18="All",AND(Screener!$B$18="With A-share",(Database!$BK490="Y")),AND(Screener!$B$18="Without A-share",NOT((Database!$BK490="Y")))),1,0)=0,-999999,IF(Screener!$B$16="cornerstone overlap first",H490*100000,IF(Screener!$B$16="demand-similar first",J490*100000,0))+W_SUB*B490+W_SEC*C490*(1-B490)+W_SIZE*D490+W_PROF*E490+W_AH*F490+W_REC*G490+W_CS*H490+W_PE*I490)))+ROW()/1000000</f>
        <v/>
      </c>
      <c r="AA490">
        <f>Database!B480</f>
        <v/>
      </c>
      <c r="AB490">
        <f>Database!D480</f>
        <v/>
      </c>
      <c r="AC490">
        <f>Database!E480</f>
        <v/>
      </c>
      <c r="AD490">
        <f>Database!I480</f>
        <v/>
      </c>
      <c r="AE490">
        <f>Database!BE480</f>
        <v/>
      </c>
      <c r="AF490">
        <f>Database!BK480</f>
        <v/>
      </c>
      <c r="AG490">
        <f>Database!H480</f>
        <v/>
      </c>
      <c r="AH490">
        <f>Database!BF480</f>
        <v/>
      </c>
    </row>
    <row r="491">
      <c r="A491">
        <f>Database!B491</f>
        <v/>
      </c>
      <c r="B491">
        <f>IF(AND(Screener!$D$8&lt;&gt;"",Database!$E491=Screener!$D$8),1,0)</f>
        <v/>
      </c>
      <c r="C491">
        <f>IF(AND(Screener!$D$7&lt;&gt;"",Database!$D491=Screener!$D$7),1,0)</f>
        <v/>
      </c>
      <c r="D491">
        <f>IF(OR(N(Database!$I491)&lt;=0,N(Screener!$D$9)&lt;=0),0,MAX(0,1-ABS(LOG10(N(Database!$I491)/Screener!$D$9))/W_SIZEHW))</f>
        <v/>
      </c>
      <c r="E491">
        <f>IF(OR(Database!$BE491="",Screener!$D$10=""),0,IF(Database!$BE491=Screener!$D$10,1,0))</f>
        <v/>
      </c>
      <c r="F491">
        <f>IF(OR(Database!$BK491="",Screener!$D$11=""),0,IF(Database!$BK491=Screener!$D$11,1,0))</f>
        <v/>
      </c>
      <c r="G491">
        <f>IF(OR(Database!$H491="",N(Screener!$D$12)&lt;=0),0,MAX(0,1-(N(Screener!$D$12)-Database!$H491)/W_RECD))</f>
        <v/>
      </c>
      <c r="H491">
        <f>IF($U$1="",0,N(ISNUMBER(SEARCH($U$1,Database!$Z491&amp;""))))+IF($V$1="",0,N(ISNUMBER(SEARCH($V$1,Database!$Z491&amp;""))))+IF($W$1="",0,N(ISNUMBER(SEARCH($W$1,Database!$Z491&amp;""))))+IF($X$1="",0,N(ISNUMBER(SEARCH($X$1,Database!$Z491&amp;""))))+IF($Y$1="",0,N(ISNUMBER(SEARCH($Y$1,Database!$Z491&amp;""))))+IF(Screener!$B$17="",0,N(ISNUMBER(SEARCH(LOWER(Screener!$B$17),Database!$Z491&amp;""))))</f>
        <v/>
      </c>
      <c r="I491">
        <f>IF(OR(N(Database!$BF491)&lt;=0,N(Screener!$D$13)&lt;=0),0,MAX(0,1-ABS(LOG10(N(Database!$BF491)/Screener!$D$13))/W_PEHW))</f>
        <v/>
      </c>
      <c r="J491">
        <f>IF(OR(N(Database!$S491)&lt;=0,N(Screener!$D$14)&lt;=0),0,MAX(0,1-ABS(LOG10(Database!$S491/Screener!$D$14))/0.6))</f>
        <v/>
      </c>
      <c r="K491">
        <f>IF(Database!$B491=Screener!$B$5,-999999,IF(ISNUMBER(SEARCH(","&amp;Database!$A491&amp;",",","&amp;SUBSTITUTE(Screener!$D$17," ","")&amp;",")),2000000,IF(IF(OR(Screener!$B$18="All",AND(Screener!$B$18="With A-share",(Database!$BK491="Y")),AND(Screener!$B$18="Without A-share",NOT((Database!$BK491="Y")))),1,0)=0,-999999,IF(Screener!$B$16="cornerstone overlap first",H491*100000,IF(Screener!$B$16="demand-similar first",J491*100000,0))+W_SUB*B491+W_SEC*C491*(1-B491)+W_SIZE*D491+W_PROF*E491+W_AH*F491+W_REC*G491+W_CS*H491+W_PE*I491)))+ROW()/1000000</f>
        <v/>
      </c>
      <c r="AA491">
        <f>Database!B481</f>
        <v/>
      </c>
      <c r="AB491">
        <f>Database!D481</f>
        <v/>
      </c>
      <c r="AC491">
        <f>Database!E481</f>
        <v/>
      </c>
      <c r="AD491">
        <f>Database!I481</f>
        <v/>
      </c>
      <c r="AE491">
        <f>Database!BE481</f>
        <v/>
      </c>
      <c r="AF491">
        <f>Database!BK481</f>
        <v/>
      </c>
      <c r="AG491">
        <f>Database!H481</f>
        <v/>
      </c>
      <c r="AH491">
        <f>Database!BF481</f>
        <v/>
      </c>
    </row>
    <row r="492">
      <c r="A492">
        <f>Database!B492</f>
        <v/>
      </c>
      <c r="B492">
        <f>IF(AND(Screener!$D$8&lt;&gt;"",Database!$E492=Screener!$D$8),1,0)</f>
        <v/>
      </c>
      <c r="C492">
        <f>IF(AND(Screener!$D$7&lt;&gt;"",Database!$D492=Screener!$D$7),1,0)</f>
        <v/>
      </c>
      <c r="D492">
        <f>IF(OR(N(Database!$I492)&lt;=0,N(Screener!$D$9)&lt;=0),0,MAX(0,1-ABS(LOG10(N(Database!$I492)/Screener!$D$9))/W_SIZEHW))</f>
        <v/>
      </c>
      <c r="E492">
        <f>IF(OR(Database!$BE492="",Screener!$D$10=""),0,IF(Database!$BE492=Screener!$D$10,1,0))</f>
        <v/>
      </c>
      <c r="F492">
        <f>IF(OR(Database!$BK492="",Screener!$D$11=""),0,IF(Database!$BK492=Screener!$D$11,1,0))</f>
        <v/>
      </c>
      <c r="G492">
        <f>IF(OR(Database!$H492="",N(Screener!$D$12)&lt;=0),0,MAX(0,1-(N(Screener!$D$12)-Database!$H492)/W_RECD))</f>
        <v/>
      </c>
      <c r="H492">
        <f>IF($U$1="",0,N(ISNUMBER(SEARCH($U$1,Database!$Z492&amp;""))))+IF($V$1="",0,N(ISNUMBER(SEARCH($V$1,Database!$Z492&amp;""))))+IF($W$1="",0,N(ISNUMBER(SEARCH($W$1,Database!$Z492&amp;""))))+IF($X$1="",0,N(ISNUMBER(SEARCH($X$1,Database!$Z492&amp;""))))+IF($Y$1="",0,N(ISNUMBER(SEARCH($Y$1,Database!$Z492&amp;""))))+IF(Screener!$B$17="",0,N(ISNUMBER(SEARCH(LOWER(Screener!$B$17),Database!$Z492&amp;""))))</f>
        <v/>
      </c>
      <c r="I492">
        <f>IF(OR(N(Database!$BF492)&lt;=0,N(Screener!$D$13)&lt;=0),0,MAX(0,1-ABS(LOG10(N(Database!$BF492)/Screener!$D$13))/W_PEHW))</f>
        <v/>
      </c>
      <c r="J492">
        <f>IF(OR(N(Database!$S492)&lt;=0,N(Screener!$D$14)&lt;=0),0,MAX(0,1-ABS(LOG10(Database!$S492/Screener!$D$14))/0.6))</f>
        <v/>
      </c>
      <c r="K492">
        <f>IF(Database!$B492=Screener!$B$5,-999999,IF(ISNUMBER(SEARCH(","&amp;Database!$A492&amp;",",","&amp;SUBSTITUTE(Screener!$D$17," ","")&amp;",")),2000000,IF(IF(OR(Screener!$B$18="All",AND(Screener!$B$18="With A-share",(Database!$BK492="Y")),AND(Screener!$B$18="Without A-share",NOT((Database!$BK492="Y")))),1,0)=0,-999999,IF(Screener!$B$16="cornerstone overlap first",H492*100000,IF(Screener!$B$16="demand-similar first",J492*100000,0))+W_SUB*B492+W_SEC*C492*(1-B492)+W_SIZE*D492+W_PROF*E492+W_AH*F492+W_REC*G492+W_CS*H492+W_PE*I492)))+ROW()/1000000</f>
        <v/>
      </c>
      <c r="AA492">
        <f>Database!B482</f>
        <v/>
      </c>
      <c r="AB492">
        <f>Database!D482</f>
        <v/>
      </c>
      <c r="AC492">
        <f>Database!E482</f>
        <v/>
      </c>
      <c r="AD492">
        <f>Database!I482</f>
        <v/>
      </c>
      <c r="AE492">
        <f>Database!BE482</f>
        <v/>
      </c>
      <c r="AF492">
        <f>Database!BK482</f>
        <v/>
      </c>
      <c r="AG492">
        <f>Database!H482</f>
        <v/>
      </c>
      <c r="AH492">
        <f>Database!BF482</f>
        <v/>
      </c>
    </row>
    <row r="493">
      <c r="A493">
        <f>Database!B493</f>
        <v/>
      </c>
      <c r="B493">
        <f>IF(AND(Screener!$D$8&lt;&gt;"",Database!$E493=Screener!$D$8),1,0)</f>
        <v/>
      </c>
      <c r="C493">
        <f>IF(AND(Screener!$D$7&lt;&gt;"",Database!$D493=Screener!$D$7),1,0)</f>
        <v/>
      </c>
      <c r="D493">
        <f>IF(OR(N(Database!$I493)&lt;=0,N(Screener!$D$9)&lt;=0),0,MAX(0,1-ABS(LOG10(N(Database!$I493)/Screener!$D$9))/W_SIZEHW))</f>
        <v/>
      </c>
      <c r="E493">
        <f>IF(OR(Database!$BE493="",Screener!$D$10=""),0,IF(Database!$BE493=Screener!$D$10,1,0))</f>
        <v/>
      </c>
      <c r="F493">
        <f>IF(OR(Database!$BK493="",Screener!$D$11=""),0,IF(Database!$BK493=Screener!$D$11,1,0))</f>
        <v/>
      </c>
      <c r="G493">
        <f>IF(OR(Database!$H493="",N(Screener!$D$12)&lt;=0),0,MAX(0,1-(N(Screener!$D$12)-Database!$H493)/W_RECD))</f>
        <v/>
      </c>
      <c r="H493">
        <f>IF($U$1="",0,N(ISNUMBER(SEARCH($U$1,Database!$Z493&amp;""))))+IF($V$1="",0,N(ISNUMBER(SEARCH($V$1,Database!$Z493&amp;""))))+IF($W$1="",0,N(ISNUMBER(SEARCH($W$1,Database!$Z493&amp;""))))+IF($X$1="",0,N(ISNUMBER(SEARCH($X$1,Database!$Z493&amp;""))))+IF($Y$1="",0,N(ISNUMBER(SEARCH($Y$1,Database!$Z493&amp;""))))+IF(Screener!$B$17="",0,N(ISNUMBER(SEARCH(LOWER(Screener!$B$17),Database!$Z493&amp;""))))</f>
        <v/>
      </c>
      <c r="I493">
        <f>IF(OR(N(Database!$BF493)&lt;=0,N(Screener!$D$13)&lt;=0),0,MAX(0,1-ABS(LOG10(N(Database!$BF493)/Screener!$D$13))/W_PEHW))</f>
        <v/>
      </c>
      <c r="J493">
        <f>IF(OR(N(Database!$S493)&lt;=0,N(Screener!$D$14)&lt;=0),0,MAX(0,1-ABS(LOG10(Database!$S493/Screener!$D$14))/0.6))</f>
        <v/>
      </c>
      <c r="K493">
        <f>IF(Database!$B493=Screener!$B$5,-999999,IF(ISNUMBER(SEARCH(","&amp;Database!$A493&amp;",",","&amp;SUBSTITUTE(Screener!$D$17," ","")&amp;",")),2000000,IF(IF(OR(Screener!$B$18="All",AND(Screener!$B$18="With A-share",(Database!$BK493="Y")),AND(Screener!$B$18="Without A-share",NOT((Database!$BK493="Y")))),1,0)=0,-999999,IF(Screener!$B$16="cornerstone overlap first",H493*100000,IF(Screener!$B$16="demand-similar first",J493*100000,0))+W_SUB*B493+W_SEC*C493*(1-B493)+W_SIZE*D493+W_PROF*E493+W_AH*F493+W_REC*G493+W_CS*H493+W_PE*I493)))+ROW()/1000000</f>
        <v/>
      </c>
      <c r="AA493">
        <f>Database!B483</f>
        <v/>
      </c>
      <c r="AB493">
        <f>Database!D483</f>
        <v/>
      </c>
      <c r="AC493">
        <f>Database!E483</f>
        <v/>
      </c>
      <c r="AD493">
        <f>Database!I483</f>
        <v/>
      </c>
      <c r="AE493">
        <f>Database!BE483</f>
        <v/>
      </c>
      <c r="AF493">
        <f>Database!BK483</f>
        <v/>
      </c>
      <c r="AG493">
        <f>Database!H483</f>
        <v/>
      </c>
      <c r="AH493">
        <f>Database!BF483</f>
        <v/>
      </c>
    </row>
    <row r="494">
      <c r="A494">
        <f>Database!B494</f>
        <v/>
      </c>
      <c r="B494">
        <f>IF(AND(Screener!$D$8&lt;&gt;"",Database!$E494=Screener!$D$8),1,0)</f>
        <v/>
      </c>
      <c r="C494">
        <f>IF(AND(Screener!$D$7&lt;&gt;"",Database!$D494=Screener!$D$7),1,0)</f>
        <v/>
      </c>
      <c r="D494">
        <f>IF(OR(N(Database!$I494)&lt;=0,N(Screener!$D$9)&lt;=0),0,MAX(0,1-ABS(LOG10(N(Database!$I494)/Screener!$D$9))/W_SIZEHW))</f>
        <v/>
      </c>
      <c r="E494">
        <f>IF(OR(Database!$BE494="",Screener!$D$10=""),0,IF(Database!$BE494=Screener!$D$10,1,0))</f>
        <v/>
      </c>
      <c r="F494">
        <f>IF(OR(Database!$BK494="",Screener!$D$11=""),0,IF(Database!$BK494=Screener!$D$11,1,0))</f>
        <v/>
      </c>
      <c r="G494">
        <f>IF(OR(Database!$H494="",N(Screener!$D$12)&lt;=0),0,MAX(0,1-(N(Screener!$D$12)-Database!$H494)/W_RECD))</f>
        <v/>
      </c>
      <c r="H494">
        <f>IF($U$1="",0,N(ISNUMBER(SEARCH($U$1,Database!$Z494&amp;""))))+IF($V$1="",0,N(ISNUMBER(SEARCH($V$1,Database!$Z494&amp;""))))+IF($W$1="",0,N(ISNUMBER(SEARCH($W$1,Database!$Z494&amp;""))))+IF($X$1="",0,N(ISNUMBER(SEARCH($X$1,Database!$Z494&amp;""))))+IF($Y$1="",0,N(ISNUMBER(SEARCH($Y$1,Database!$Z494&amp;""))))+IF(Screener!$B$17="",0,N(ISNUMBER(SEARCH(LOWER(Screener!$B$17),Database!$Z494&amp;""))))</f>
        <v/>
      </c>
      <c r="I494">
        <f>IF(OR(N(Database!$BF494)&lt;=0,N(Screener!$D$13)&lt;=0),0,MAX(0,1-ABS(LOG10(N(Database!$BF494)/Screener!$D$13))/W_PEHW))</f>
        <v/>
      </c>
      <c r="J494">
        <f>IF(OR(N(Database!$S494)&lt;=0,N(Screener!$D$14)&lt;=0),0,MAX(0,1-ABS(LOG10(Database!$S494/Screener!$D$14))/0.6))</f>
        <v/>
      </c>
      <c r="K494">
        <f>IF(Database!$B494=Screener!$B$5,-999999,IF(ISNUMBER(SEARCH(","&amp;Database!$A494&amp;",",","&amp;SUBSTITUTE(Screener!$D$17," ","")&amp;",")),2000000,IF(IF(OR(Screener!$B$18="All",AND(Screener!$B$18="With A-share",(Database!$BK494="Y")),AND(Screener!$B$18="Without A-share",NOT((Database!$BK494="Y")))),1,0)=0,-999999,IF(Screener!$B$16="cornerstone overlap first",H494*100000,IF(Screener!$B$16="demand-similar first",J494*100000,0))+W_SUB*B494+W_SEC*C494*(1-B494)+W_SIZE*D494+W_PROF*E494+W_AH*F494+W_REC*G494+W_CS*H494+W_PE*I494)))+ROW()/1000000</f>
        <v/>
      </c>
      <c r="AA494">
        <f>Database!B484</f>
        <v/>
      </c>
      <c r="AB494">
        <f>Database!D484</f>
        <v/>
      </c>
      <c r="AC494">
        <f>Database!E484</f>
        <v/>
      </c>
      <c r="AD494">
        <f>Database!I484</f>
        <v/>
      </c>
      <c r="AE494">
        <f>Database!BE484</f>
        <v/>
      </c>
      <c r="AF494">
        <f>Database!BK484</f>
        <v/>
      </c>
      <c r="AG494">
        <f>Database!H484</f>
        <v/>
      </c>
      <c r="AH494">
        <f>Database!BF484</f>
        <v/>
      </c>
    </row>
    <row r="495">
      <c r="A495">
        <f>Database!B495</f>
        <v/>
      </c>
      <c r="B495">
        <f>IF(AND(Screener!$D$8&lt;&gt;"",Database!$E495=Screener!$D$8),1,0)</f>
        <v/>
      </c>
      <c r="C495">
        <f>IF(AND(Screener!$D$7&lt;&gt;"",Database!$D495=Screener!$D$7),1,0)</f>
        <v/>
      </c>
      <c r="D495">
        <f>IF(OR(N(Database!$I495)&lt;=0,N(Screener!$D$9)&lt;=0),0,MAX(0,1-ABS(LOG10(N(Database!$I495)/Screener!$D$9))/W_SIZEHW))</f>
        <v/>
      </c>
      <c r="E495">
        <f>IF(OR(Database!$BE495="",Screener!$D$10=""),0,IF(Database!$BE495=Screener!$D$10,1,0))</f>
        <v/>
      </c>
      <c r="F495">
        <f>IF(OR(Database!$BK495="",Screener!$D$11=""),0,IF(Database!$BK495=Screener!$D$11,1,0))</f>
        <v/>
      </c>
      <c r="G495">
        <f>IF(OR(Database!$H495="",N(Screener!$D$12)&lt;=0),0,MAX(0,1-(N(Screener!$D$12)-Database!$H495)/W_RECD))</f>
        <v/>
      </c>
      <c r="H495">
        <f>IF($U$1="",0,N(ISNUMBER(SEARCH($U$1,Database!$Z495&amp;""))))+IF($V$1="",0,N(ISNUMBER(SEARCH($V$1,Database!$Z495&amp;""))))+IF($W$1="",0,N(ISNUMBER(SEARCH($W$1,Database!$Z495&amp;""))))+IF($X$1="",0,N(ISNUMBER(SEARCH($X$1,Database!$Z495&amp;""))))+IF($Y$1="",0,N(ISNUMBER(SEARCH($Y$1,Database!$Z495&amp;""))))+IF(Screener!$B$17="",0,N(ISNUMBER(SEARCH(LOWER(Screener!$B$17),Database!$Z495&amp;""))))</f>
        <v/>
      </c>
      <c r="I495">
        <f>IF(OR(N(Database!$BF495)&lt;=0,N(Screener!$D$13)&lt;=0),0,MAX(0,1-ABS(LOG10(N(Database!$BF495)/Screener!$D$13))/W_PEHW))</f>
        <v/>
      </c>
      <c r="J495">
        <f>IF(OR(N(Database!$S495)&lt;=0,N(Screener!$D$14)&lt;=0),0,MAX(0,1-ABS(LOG10(Database!$S495/Screener!$D$14))/0.6))</f>
        <v/>
      </c>
      <c r="K495">
        <f>IF(Database!$B495=Screener!$B$5,-999999,IF(ISNUMBER(SEARCH(","&amp;Database!$A495&amp;",",","&amp;SUBSTITUTE(Screener!$D$17," ","")&amp;",")),2000000,IF(IF(OR(Screener!$B$18="All",AND(Screener!$B$18="With A-share",(Database!$BK495="Y")),AND(Screener!$B$18="Without A-share",NOT((Database!$BK495="Y")))),1,0)=0,-999999,IF(Screener!$B$16="cornerstone overlap first",H495*100000,IF(Screener!$B$16="demand-similar first",J495*100000,0))+W_SUB*B495+W_SEC*C495*(1-B495)+W_SIZE*D495+W_PROF*E495+W_AH*F495+W_REC*G495+W_CS*H495+W_PE*I495)))+ROW()/1000000</f>
        <v/>
      </c>
      <c r="AA495">
        <f>Database!B485</f>
        <v/>
      </c>
      <c r="AB495">
        <f>Database!D485</f>
        <v/>
      </c>
      <c r="AC495">
        <f>Database!E485</f>
        <v/>
      </c>
      <c r="AD495">
        <f>Database!I485</f>
        <v/>
      </c>
      <c r="AE495">
        <f>Database!BE485</f>
        <v/>
      </c>
      <c r="AF495">
        <f>Database!BK485</f>
        <v/>
      </c>
      <c r="AG495">
        <f>Database!H485</f>
        <v/>
      </c>
      <c r="AH495">
        <f>Database!BF485</f>
        <v/>
      </c>
    </row>
    <row r="496">
      <c r="A496">
        <f>Database!B496</f>
        <v/>
      </c>
      <c r="B496">
        <f>IF(AND(Screener!$D$8&lt;&gt;"",Database!$E496=Screener!$D$8),1,0)</f>
        <v/>
      </c>
      <c r="C496">
        <f>IF(AND(Screener!$D$7&lt;&gt;"",Database!$D496=Screener!$D$7),1,0)</f>
        <v/>
      </c>
      <c r="D496">
        <f>IF(OR(N(Database!$I496)&lt;=0,N(Screener!$D$9)&lt;=0),0,MAX(0,1-ABS(LOG10(N(Database!$I496)/Screener!$D$9))/W_SIZEHW))</f>
        <v/>
      </c>
      <c r="E496">
        <f>IF(OR(Database!$BE496="",Screener!$D$10=""),0,IF(Database!$BE496=Screener!$D$10,1,0))</f>
        <v/>
      </c>
      <c r="F496">
        <f>IF(OR(Database!$BK496="",Screener!$D$11=""),0,IF(Database!$BK496=Screener!$D$11,1,0))</f>
        <v/>
      </c>
      <c r="G496">
        <f>IF(OR(Database!$H496="",N(Screener!$D$12)&lt;=0),0,MAX(0,1-(N(Screener!$D$12)-Database!$H496)/W_RECD))</f>
        <v/>
      </c>
      <c r="H496">
        <f>IF($U$1="",0,N(ISNUMBER(SEARCH($U$1,Database!$Z496&amp;""))))+IF($V$1="",0,N(ISNUMBER(SEARCH($V$1,Database!$Z496&amp;""))))+IF($W$1="",0,N(ISNUMBER(SEARCH($W$1,Database!$Z496&amp;""))))+IF($X$1="",0,N(ISNUMBER(SEARCH($X$1,Database!$Z496&amp;""))))+IF($Y$1="",0,N(ISNUMBER(SEARCH($Y$1,Database!$Z496&amp;""))))+IF(Screener!$B$17="",0,N(ISNUMBER(SEARCH(LOWER(Screener!$B$17),Database!$Z496&amp;""))))</f>
        <v/>
      </c>
      <c r="I496">
        <f>IF(OR(N(Database!$BF496)&lt;=0,N(Screener!$D$13)&lt;=0),0,MAX(0,1-ABS(LOG10(N(Database!$BF496)/Screener!$D$13))/W_PEHW))</f>
        <v/>
      </c>
      <c r="J496">
        <f>IF(OR(N(Database!$S496)&lt;=0,N(Screener!$D$14)&lt;=0),0,MAX(0,1-ABS(LOG10(Database!$S496/Screener!$D$14))/0.6))</f>
        <v/>
      </c>
      <c r="K496">
        <f>IF(Database!$B496=Screener!$B$5,-999999,IF(ISNUMBER(SEARCH(","&amp;Database!$A496&amp;",",","&amp;SUBSTITUTE(Screener!$D$17," ","")&amp;",")),2000000,IF(IF(OR(Screener!$B$18="All",AND(Screener!$B$18="With A-share",(Database!$BK496="Y")),AND(Screener!$B$18="Without A-share",NOT((Database!$BK496="Y")))),1,0)=0,-999999,IF(Screener!$B$16="cornerstone overlap first",H496*100000,IF(Screener!$B$16="demand-similar first",J496*100000,0))+W_SUB*B496+W_SEC*C496*(1-B496)+W_SIZE*D496+W_PROF*E496+W_AH*F496+W_REC*G496+W_CS*H496+W_PE*I496)))+ROW()/1000000</f>
        <v/>
      </c>
      <c r="AA496">
        <f>Database!B486</f>
        <v/>
      </c>
      <c r="AB496">
        <f>Database!D486</f>
        <v/>
      </c>
      <c r="AC496">
        <f>Database!E486</f>
        <v/>
      </c>
      <c r="AD496">
        <f>Database!I486</f>
        <v/>
      </c>
      <c r="AE496">
        <f>Database!BE486</f>
        <v/>
      </c>
      <c r="AF496">
        <f>Database!BK486</f>
        <v/>
      </c>
      <c r="AG496">
        <f>Database!H486</f>
        <v/>
      </c>
      <c r="AH496">
        <f>Database!BF486</f>
        <v/>
      </c>
    </row>
    <row r="497">
      <c r="A497">
        <f>Database!B497</f>
        <v/>
      </c>
      <c r="B497">
        <f>IF(AND(Screener!$D$8&lt;&gt;"",Database!$E497=Screener!$D$8),1,0)</f>
        <v/>
      </c>
      <c r="C497">
        <f>IF(AND(Screener!$D$7&lt;&gt;"",Database!$D497=Screener!$D$7),1,0)</f>
        <v/>
      </c>
      <c r="D497">
        <f>IF(OR(N(Database!$I497)&lt;=0,N(Screener!$D$9)&lt;=0),0,MAX(0,1-ABS(LOG10(N(Database!$I497)/Screener!$D$9))/W_SIZEHW))</f>
        <v/>
      </c>
      <c r="E497">
        <f>IF(OR(Database!$BE497="",Screener!$D$10=""),0,IF(Database!$BE497=Screener!$D$10,1,0))</f>
        <v/>
      </c>
      <c r="F497">
        <f>IF(OR(Database!$BK497="",Screener!$D$11=""),0,IF(Database!$BK497=Screener!$D$11,1,0))</f>
        <v/>
      </c>
      <c r="G497">
        <f>IF(OR(Database!$H497="",N(Screener!$D$12)&lt;=0),0,MAX(0,1-(N(Screener!$D$12)-Database!$H497)/W_RECD))</f>
        <v/>
      </c>
      <c r="H497">
        <f>IF($U$1="",0,N(ISNUMBER(SEARCH($U$1,Database!$Z497&amp;""))))+IF($V$1="",0,N(ISNUMBER(SEARCH($V$1,Database!$Z497&amp;""))))+IF($W$1="",0,N(ISNUMBER(SEARCH($W$1,Database!$Z497&amp;""))))+IF($X$1="",0,N(ISNUMBER(SEARCH($X$1,Database!$Z497&amp;""))))+IF($Y$1="",0,N(ISNUMBER(SEARCH($Y$1,Database!$Z497&amp;""))))+IF(Screener!$B$17="",0,N(ISNUMBER(SEARCH(LOWER(Screener!$B$17),Database!$Z497&amp;""))))</f>
        <v/>
      </c>
      <c r="I497">
        <f>IF(OR(N(Database!$BF497)&lt;=0,N(Screener!$D$13)&lt;=0),0,MAX(0,1-ABS(LOG10(N(Database!$BF497)/Screener!$D$13))/W_PEHW))</f>
        <v/>
      </c>
      <c r="J497">
        <f>IF(OR(N(Database!$S497)&lt;=0,N(Screener!$D$14)&lt;=0),0,MAX(0,1-ABS(LOG10(Database!$S497/Screener!$D$14))/0.6))</f>
        <v/>
      </c>
      <c r="K497">
        <f>IF(Database!$B497=Screener!$B$5,-999999,IF(ISNUMBER(SEARCH(","&amp;Database!$A497&amp;",",","&amp;SUBSTITUTE(Screener!$D$17," ","")&amp;",")),2000000,IF(IF(OR(Screener!$B$18="All",AND(Screener!$B$18="With A-share",(Database!$BK497="Y")),AND(Screener!$B$18="Without A-share",NOT((Database!$BK497="Y")))),1,0)=0,-999999,IF(Screener!$B$16="cornerstone overlap first",H497*100000,IF(Screener!$B$16="demand-similar first",J497*100000,0))+W_SUB*B497+W_SEC*C497*(1-B497)+W_SIZE*D497+W_PROF*E497+W_AH*F497+W_REC*G497+W_CS*H497+W_PE*I497)))+ROW()/1000000</f>
        <v/>
      </c>
      <c r="AA497">
        <f>Database!B487</f>
        <v/>
      </c>
      <c r="AB497">
        <f>Database!D487</f>
        <v/>
      </c>
      <c r="AC497">
        <f>Database!E487</f>
        <v/>
      </c>
      <c r="AD497">
        <f>Database!I487</f>
        <v/>
      </c>
      <c r="AE497">
        <f>Database!BE487</f>
        <v/>
      </c>
      <c r="AF497">
        <f>Database!BK487</f>
        <v/>
      </c>
      <c r="AG497">
        <f>Database!H487</f>
        <v/>
      </c>
      <c r="AH497">
        <f>Database!BF487</f>
        <v/>
      </c>
    </row>
    <row r="498">
      <c r="A498">
        <f>Database!B498</f>
        <v/>
      </c>
      <c r="B498">
        <f>IF(AND(Screener!$D$8&lt;&gt;"",Database!$E498=Screener!$D$8),1,0)</f>
        <v/>
      </c>
      <c r="C498">
        <f>IF(AND(Screener!$D$7&lt;&gt;"",Database!$D498=Screener!$D$7),1,0)</f>
        <v/>
      </c>
      <c r="D498">
        <f>IF(OR(N(Database!$I498)&lt;=0,N(Screener!$D$9)&lt;=0),0,MAX(0,1-ABS(LOG10(N(Database!$I498)/Screener!$D$9))/W_SIZEHW))</f>
        <v/>
      </c>
      <c r="E498">
        <f>IF(OR(Database!$BE498="",Screener!$D$10=""),0,IF(Database!$BE498=Screener!$D$10,1,0))</f>
        <v/>
      </c>
      <c r="F498">
        <f>IF(OR(Database!$BK498="",Screener!$D$11=""),0,IF(Database!$BK498=Screener!$D$11,1,0))</f>
        <v/>
      </c>
      <c r="G498">
        <f>IF(OR(Database!$H498="",N(Screener!$D$12)&lt;=0),0,MAX(0,1-(N(Screener!$D$12)-Database!$H498)/W_RECD))</f>
        <v/>
      </c>
      <c r="H498">
        <f>IF($U$1="",0,N(ISNUMBER(SEARCH($U$1,Database!$Z498&amp;""))))+IF($V$1="",0,N(ISNUMBER(SEARCH($V$1,Database!$Z498&amp;""))))+IF($W$1="",0,N(ISNUMBER(SEARCH($W$1,Database!$Z498&amp;""))))+IF($X$1="",0,N(ISNUMBER(SEARCH($X$1,Database!$Z498&amp;""))))+IF($Y$1="",0,N(ISNUMBER(SEARCH($Y$1,Database!$Z498&amp;""))))+IF(Screener!$B$17="",0,N(ISNUMBER(SEARCH(LOWER(Screener!$B$17),Database!$Z498&amp;""))))</f>
        <v/>
      </c>
      <c r="I498">
        <f>IF(OR(N(Database!$BF498)&lt;=0,N(Screener!$D$13)&lt;=0),0,MAX(0,1-ABS(LOG10(N(Database!$BF498)/Screener!$D$13))/W_PEHW))</f>
        <v/>
      </c>
      <c r="J498">
        <f>IF(OR(N(Database!$S498)&lt;=0,N(Screener!$D$14)&lt;=0),0,MAX(0,1-ABS(LOG10(Database!$S498/Screener!$D$14))/0.6))</f>
        <v/>
      </c>
      <c r="K498">
        <f>IF(Database!$B498=Screener!$B$5,-999999,IF(ISNUMBER(SEARCH(","&amp;Database!$A498&amp;",",","&amp;SUBSTITUTE(Screener!$D$17," ","")&amp;",")),2000000,IF(IF(OR(Screener!$B$18="All",AND(Screener!$B$18="With A-share",(Database!$BK498="Y")),AND(Screener!$B$18="Without A-share",NOT((Database!$BK498="Y")))),1,0)=0,-999999,IF(Screener!$B$16="cornerstone overlap first",H498*100000,IF(Screener!$B$16="demand-similar first",J498*100000,0))+W_SUB*B498+W_SEC*C498*(1-B498)+W_SIZE*D498+W_PROF*E498+W_AH*F498+W_REC*G498+W_CS*H498+W_PE*I498)))+ROW()/1000000</f>
        <v/>
      </c>
      <c r="AA498">
        <f>Database!B488</f>
        <v/>
      </c>
      <c r="AB498">
        <f>Database!D488</f>
        <v/>
      </c>
      <c r="AC498">
        <f>Database!E488</f>
        <v/>
      </c>
      <c r="AD498">
        <f>Database!I488</f>
        <v/>
      </c>
      <c r="AE498">
        <f>Database!BE488</f>
        <v/>
      </c>
      <c r="AF498">
        <f>Database!BK488</f>
        <v/>
      </c>
      <c r="AG498">
        <f>Database!H488</f>
        <v/>
      </c>
      <c r="AH498">
        <f>Database!BF488</f>
        <v/>
      </c>
    </row>
    <row r="499">
      <c r="A499">
        <f>Database!B499</f>
        <v/>
      </c>
      <c r="B499">
        <f>IF(AND(Screener!$D$8&lt;&gt;"",Database!$E499=Screener!$D$8),1,0)</f>
        <v/>
      </c>
      <c r="C499">
        <f>IF(AND(Screener!$D$7&lt;&gt;"",Database!$D499=Screener!$D$7),1,0)</f>
        <v/>
      </c>
      <c r="D499">
        <f>IF(OR(N(Database!$I499)&lt;=0,N(Screener!$D$9)&lt;=0),0,MAX(0,1-ABS(LOG10(N(Database!$I499)/Screener!$D$9))/W_SIZEHW))</f>
        <v/>
      </c>
      <c r="E499">
        <f>IF(OR(Database!$BE499="",Screener!$D$10=""),0,IF(Database!$BE499=Screener!$D$10,1,0))</f>
        <v/>
      </c>
      <c r="F499">
        <f>IF(OR(Database!$BK499="",Screener!$D$11=""),0,IF(Database!$BK499=Screener!$D$11,1,0))</f>
        <v/>
      </c>
      <c r="G499">
        <f>IF(OR(Database!$H499="",N(Screener!$D$12)&lt;=0),0,MAX(0,1-(N(Screener!$D$12)-Database!$H499)/W_RECD))</f>
        <v/>
      </c>
      <c r="H499">
        <f>IF($U$1="",0,N(ISNUMBER(SEARCH($U$1,Database!$Z499&amp;""))))+IF($V$1="",0,N(ISNUMBER(SEARCH($V$1,Database!$Z499&amp;""))))+IF($W$1="",0,N(ISNUMBER(SEARCH($W$1,Database!$Z499&amp;""))))+IF($X$1="",0,N(ISNUMBER(SEARCH($X$1,Database!$Z499&amp;""))))+IF($Y$1="",0,N(ISNUMBER(SEARCH($Y$1,Database!$Z499&amp;""))))+IF(Screener!$B$17="",0,N(ISNUMBER(SEARCH(LOWER(Screener!$B$17),Database!$Z499&amp;""))))</f>
        <v/>
      </c>
      <c r="I499">
        <f>IF(OR(N(Database!$BF499)&lt;=0,N(Screener!$D$13)&lt;=0),0,MAX(0,1-ABS(LOG10(N(Database!$BF499)/Screener!$D$13))/W_PEHW))</f>
        <v/>
      </c>
      <c r="J499">
        <f>IF(OR(N(Database!$S499)&lt;=0,N(Screener!$D$14)&lt;=0),0,MAX(0,1-ABS(LOG10(Database!$S499/Screener!$D$14))/0.6))</f>
        <v/>
      </c>
      <c r="K499">
        <f>IF(Database!$B499=Screener!$B$5,-999999,IF(ISNUMBER(SEARCH(","&amp;Database!$A499&amp;",",","&amp;SUBSTITUTE(Screener!$D$17," ","")&amp;",")),2000000,IF(IF(OR(Screener!$B$18="All",AND(Screener!$B$18="With A-share",(Database!$BK499="Y")),AND(Screener!$B$18="Without A-share",NOT((Database!$BK499="Y")))),1,0)=0,-999999,IF(Screener!$B$16="cornerstone overlap first",H499*100000,IF(Screener!$B$16="demand-similar first",J499*100000,0))+W_SUB*B499+W_SEC*C499*(1-B499)+W_SIZE*D499+W_PROF*E499+W_AH*F499+W_REC*G499+W_CS*H499+W_PE*I499)))+ROW()/1000000</f>
        <v/>
      </c>
      <c r="AA499">
        <f>Database!B489</f>
        <v/>
      </c>
      <c r="AB499">
        <f>Database!D489</f>
        <v/>
      </c>
      <c r="AC499">
        <f>Database!E489</f>
        <v/>
      </c>
      <c r="AD499">
        <f>Database!I489</f>
        <v/>
      </c>
      <c r="AE499">
        <f>Database!BE489</f>
        <v/>
      </c>
      <c r="AF499">
        <f>Database!BK489</f>
        <v/>
      </c>
      <c r="AG499">
        <f>Database!H489</f>
        <v/>
      </c>
      <c r="AH499">
        <f>Database!BF489</f>
        <v/>
      </c>
    </row>
    <row r="500">
      <c r="A500">
        <f>Database!B500</f>
        <v/>
      </c>
      <c r="B500">
        <f>IF(AND(Screener!$D$8&lt;&gt;"",Database!$E500=Screener!$D$8),1,0)</f>
        <v/>
      </c>
      <c r="C500">
        <f>IF(AND(Screener!$D$7&lt;&gt;"",Database!$D500=Screener!$D$7),1,0)</f>
        <v/>
      </c>
      <c r="D500">
        <f>IF(OR(N(Database!$I500)&lt;=0,N(Screener!$D$9)&lt;=0),0,MAX(0,1-ABS(LOG10(N(Database!$I500)/Screener!$D$9))/W_SIZEHW))</f>
        <v/>
      </c>
      <c r="E500">
        <f>IF(OR(Database!$BE500="",Screener!$D$10=""),0,IF(Database!$BE500=Screener!$D$10,1,0))</f>
        <v/>
      </c>
      <c r="F500">
        <f>IF(OR(Database!$BK500="",Screener!$D$11=""),0,IF(Database!$BK500=Screener!$D$11,1,0))</f>
        <v/>
      </c>
      <c r="G500">
        <f>IF(OR(Database!$H500="",N(Screener!$D$12)&lt;=0),0,MAX(0,1-(N(Screener!$D$12)-Database!$H500)/W_RECD))</f>
        <v/>
      </c>
      <c r="H500">
        <f>IF($U$1="",0,N(ISNUMBER(SEARCH($U$1,Database!$Z500&amp;""))))+IF($V$1="",0,N(ISNUMBER(SEARCH($V$1,Database!$Z500&amp;""))))+IF($W$1="",0,N(ISNUMBER(SEARCH($W$1,Database!$Z500&amp;""))))+IF($X$1="",0,N(ISNUMBER(SEARCH($X$1,Database!$Z500&amp;""))))+IF($Y$1="",0,N(ISNUMBER(SEARCH($Y$1,Database!$Z500&amp;""))))+IF(Screener!$B$17="",0,N(ISNUMBER(SEARCH(LOWER(Screener!$B$17),Database!$Z500&amp;""))))</f>
        <v/>
      </c>
      <c r="I500">
        <f>IF(OR(N(Database!$BF500)&lt;=0,N(Screener!$D$13)&lt;=0),0,MAX(0,1-ABS(LOG10(N(Database!$BF500)/Screener!$D$13))/W_PEHW))</f>
        <v/>
      </c>
      <c r="J500">
        <f>IF(OR(N(Database!$S500)&lt;=0,N(Screener!$D$14)&lt;=0),0,MAX(0,1-ABS(LOG10(Database!$S500/Screener!$D$14))/0.6))</f>
        <v/>
      </c>
      <c r="K500">
        <f>IF(Database!$B500=Screener!$B$5,-999999,IF(ISNUMBER(SEARCH(","&amp;Database!$A500&amp;",",","&amp;SUBSTITUTE(Screener!$D$17," ","")&amp;",")),2000000,IF(IF(OR(Screener!$B$18="All",AND(Screener!$B$18="With A-share",(Database!$BK500="Y")),AND(Screener!$B$18="Without A-share",NOT((Database!$BK500="Y")))),1,0)=0,-999999,IF(Screener!$B$16="cornerstone overlap first",H500*100000,IF(Screener!$B$16="demand-similar first",J500*100000,0))+W_SUB*B500+W_SEC*C500*(1-B500)+W_SIZE*D500+W_PROF*E500+W_AH*F500+W_REC*G500+W_CS*H500+W_PE*I500)))+ROW()/1000000</f>
        <v/>
      </c>
      <c r="AA500">
        <f>Database!B490</f>
        <v/>
      </c>
      <c r="AB500">
        <f>Database!D490</f>
        <v/>
      </c>
      <c r="AC500">
        <f>Database!E490</f>
        <v/>
      </c>
      <c r="AD500">
        <f>Database!I490</f>
        <v/>
      </c>
      <c r="AE500">
        <f>Database!BE490</f>
        <v/>
      </c>
      <c r="AF500">
        <f>Database!BK490</f>
        <v/>
      </c>
      <c r="AG500">
        <f>Database!H490</f>
        <v/>
      </c>
      <c r="AH500">
        <f>Database!BF490</f>
        <v/>
      </c>
    </row>
    <row r="501">
      <c r="A501">
        <f>Database!B501</f>
        <v/>
      </c>
      <c r="B501">
        <f>IF(AND(Screener!$D$8&lt;&gt;"",Database!$E501=Screener!$D$8),1,0)</f>
        <v/>
      </c>
      <c r="C501">
        <f>IF(AND(Screener!$D$7&lt;&gt;"",Database!$D501=Screener!$D$7),1,0)</f>
        <v/>
      </c>
      <c r="D501">
        <f>IF(OR(N(Database!$I501)&lt;=0,N(Screener!$D$9)&lt;=0),0,MAX(0,1-ABS(LOG10(N(Database!$I501)/Screener!$D$9))/W_SIZEHW))</f>
        <v/>
      </c>
      <c r="E501">
        <f>IF(OR(Database!$BE501="",Screener!$D$10=""),0,IF(Database!$BE501=Screener!$D$10,1,0))</f>
        <v/>
      </c>
      <c r="F501">
        <f>IF(OR(Database!$BK501="",Screener!$D$11=""),0,IF(Database!$BK501=Screener!$D$11,1,0))</f>
        <v/>
      </c>
      <c r="G501">
        <f>IF(OR(Database!$H501="",N(Screener!$D$12)&lt;=0),0,MAX(0,1-(N(Screener!$D$12)-Database!$H501)/W_RECD))</f>
        <v/>
      </c>
      <c r="H501">
        <f>IF($U$1="",0,N(ISNUMBER(SEARCH($U$1,Database!$Z501&amp;""))))+IF($V$1="",0,N(ISNUMBER(SEARCH($V$1,Database!$Z501&amp;""))))+IF($W$1="",0,N(ISNUMBER(SEARCH($W$1,Database!$Z501&amp;""))))+IF($X$1="",0,N(ISNUMBER(SEARCH($X$1,Database!$Z501&amp;""))))+IF($Y$1="",0,N(ISNUMBER(SEARCH($Y$1,Database!$Z501&amp;""))))+IF(Screener!$B$17="",0,N(ISNUMBER(SEARCH(LOWER(Screener!$B$17),Database!$Z501&amp;""))))</f>
        <v/>
      </c>
      <c r="I501">
        <f>IF(OR(N(Database!$BF501)&lt;=0,N(Screener!$D$13)&lt;=0),0,MAX(0,1-ABS(LOG10(N(Database!$BF501)/Screener!$D$13))/W_PEHW))</f>
        <v/>
      </c>
      <c r="J501">
        <f>IF(OR(N(Database!$S501)&lt;=0,N(Screener!$D$14)&lt;=0),0,MAX(0,1-ABS(LOG10(Database!$S501/Screener!$D$14))/0.6))</f>
        <v/>
      </c>
      <c r="K501">
        <f>IF(Database!$B501=Screener!$B$5,-999999,IF(ISNUMBER(SEARCH(","&amp;Database!$A501&amp;",",","&amp;SUBSTITUTE(Screener!$D$17," ","")&amp;",")),2000000,IF(IF(OR(Screener!$B$18="All",AND(Screener!$B$18="With A-share",(Database!$BK501="Y")),AND(Screener!$B$18="Without A-share",NOT((Database!$BK501="Y")))),1,0)=0,-999999,IF(Screener!$B$16="cornerstone overlap first",H501*100000,IF(Screener!$B$16="demand-similar first",J501*100000,0))+W_SUB*B501+W_SEC*C501*(1-B501)+W_SIZE*D501+W_PROF*E501+W_AH*F501+W_REC*G501+W_CS*H501+W_PE*I501)))+ROW()/1000000</f>
        <v/>
      </c>
      <c r="AA501">
        <f>Database!B491</f>
        <v/>
      </c>
      <c r="AB501">
        <f>Database!D491</f>
        <v/>
      </c>
      <c r="AC501">
        <f>Database!E491</f>
        <v/>
      </c>
      <c r="AD501">
        <f>Database!I491</f>
        <v/>
      </c>
      <c r="AE501">
        <f>Database!BE491</f>
        <v/>
      </c>
      <c r="AF501">
        <f>Database!BK491</f>
        <v/>
      </c>
      <c r="AG501">
        <f>Database!H491</f>
        <v/>
      </c>
      <c r="AH501">
        <f>Database!BF491</f>
        <v/>
      </c>
    </row>
    <row r="502">
      <c r="A502">
        <f>Database!B502</f>
        <v/>
      </c>
      <c r="B502">
        <f>IF(AND(Screener!$D$8&lt;&gt;"",Database!$E502=Screener!$D$8),1,0)</f>
        <v/>
      </c>
      <c r="C502">
        <f>IF(AND(Screener!$D$7&lt;&gt;"",Database!$D502=Screener!$D$7),1,0)</f>
        <v/>
      </c>
      <c r="D502">
        <f>IF(OR(N(Database!$I502)&lt;=0,N(Screener!$D$9)&lt;=0),0,MAX(0,1-ABS(LOG10(N(Database!$I502)/Screener!$D$9))/W_SIZEHW))</f>
        <v/>
      </c>
      <c r="E502">
        <f>IF(OR(Database!$BE502="",Screener!$D$10=""),0,IF(Database!$BE502=Screener!$D$10,1,0))</f>
        <v/>
      </c>
      <c r="F502">
        <f>IF(OR(Database!$BK502="",Screener!$D$11=""),0,IF(Database!$BK502=Screener!$D$11,1,0))</f>
        <v/>
      </c>
      <c r="G502">
        <f>IF(OR(Database!$H502="",N(Screener!$D$12)&lt;=0),0,MAX(0,1-(N(Screener!$D$12)-Database!$H502)/W_RECD))</f>
        <v/>
      </c>
      <c r="H502">
        <f>IF($U$1="",0,N(ISNUMBER(SEARCH($U$1,Database!$Z502&amp;""))))+IF($V$1="",0,N(ISNUMBER(SEARCH($V$1,Database!$Z502&amp;""))))+IF($W$1="",0,N(ISNUMBER(SEARCH($W$1,Database!$Z502&amp;""))))+IF($X$1="",0,N(ISNUMBER(SEARCH($X$1,Database!$Z502&amp;""))))+IF($Y$1="",0,N(ISNUMBER(SEARCH($Y$1,Database!$Z502&amp;""))))+IF(Screener!$B$17="",0,N(ISNUMBER(SEARCH(LOWER(Screener!$B$17),Database!$Z502&amp;""))))</f>
        <v/>
      </c>
      <c r="I502">
        <f>IF(OR(N(Database!$BF502)&lt;=0,N(Screener!$D$13)&lt;=0),0,MAX(0,1-ABS(LOG10(N(Database!$BF502)/Screener!$D$13))/W_PEHW))</f>
        <v/>
      </c>
      <c r="J502">
        <f>IF(OR(N(Database!$S502)&lt;=0,N(Screener!$D$14)&lt;=0),0,MAX(0,1-ABS(LOG10(Database!$S502/Screener!$D$14))/0.6))</f>
        <v/>
      </c>
      <c r="K502">
        <f>IF(Database!$B502=Screener!$B$5,-999999,IF(ISNUMBER(SEARCH(","&amp;Database!$A502&amp;",",","&amp;SUBSTITUTE(Screener!$D$17," ","")&amp;",")),2000000,IF(IF(OR(Screener!$B$18="All",AND(Screener!$B$18="With A-share",(Database!$BK502="Y")),AND(Screener!$B$18="Without A-share",NOT((Database!$BK502="Y")))),1,0)=0,-999999,IF(Screener!$B$16="cornerstone overlap first",H502*100000,IF(Screener!$B$16="demand-similar first",J502*100000,0))+W_SUB*B502+W_SEC*C502*(1-B502)+W_SIZE*D502+W_PROF*E502+W_AH*F502+W_REC*G502+W_CS*H502+W_PE*I502)))+ROW()/1000000</f>
        <v/>
      </c>
      <c r="AA502">
        <f>Database!B492</f>
        <v/>
      </c>
      <c r="AB502">
        <f>Database!D492</f>
        <v/>
      </c>
      <c r="AC502">
        <f>Database!E492</f>
        <v/>
      </c>
      <c r="AD502">
        <f>Database!I492</f>
        <v/>
      </c>
      <c r="AE502">
        <f>Database!BE492</f>
        <v/>
      </c>
      <c r="AF502">
        <f>Database!BK492</f>
        <v/>
      </c>
      <c r="AG502">
        <f>Database!H492</f>
        <v/>
      </c>
      <c r="AH502">
        <f>Database!BF492</f>
        <v/>
      </c>
    </row>
    <row r="503">
      <c r="A503">
        <f>Database!B503</f>
        <v/>
      </c>
      <c r="B503">
        <f>IF(AND(Screener!$D$8&lt;&gt;"",Database!$E503=Screener!$D$8),1,0)</f>
        <v/>
      </c>
      <c r="C503">
        <f>IF(AND(Screener!$D$7&lt;&gt;"",Database!$D503=Screener!$D$7),1,0)</f>
        <v/>
      </c>
      <c r="D503">
        <f>IF(OR(N(Database!$I503)&lt;=0,N(Screener!$D$9)&lt;=0),0,MAX(0,1-ABS(LOG10(N(Database!$I503)/Screener!$D$9))/W_SIZEHW))</f>
        <v/>
      </c>
      <c r="E503">
        <f>IF(OR(Database!$BE503="",Screener!$D$10=""),0,IF(Database!$BE503=Screener!$D$10,1,0))</f>
        <v/>
      </c>
      <c r="F503">
        <f>IF(OR(Database!$BK503="",Screener!$D$11=""),0,IF(Database!$BK503=Screener!$D$11,1,0))</f>
        <v/>
      </c>
      <c r="G503">
        <f>IF(OR(Database!$H503="",N(Screener!$D$12)&lt;=0),0,MAX(0,1-(N(Screener!$D$12)-Database!$H503)/W_RECD))</f>
        <v/>
      </c>
      <c r="H503">
        <f>IF($U$1="",0,N(ISNUMBER(SEARCH($U$1,Database!$Z503&amp;""))))+IF($V$1="",0,N(ISNUMBER(SEARCH($V$1,Database!$Z503&amp;""))))+IF($W$1="",0,N(ISNUMBER(SEARCH($W$1,Database!$Z503&amp;""))))+IF($X$1="",0,N(ISNUMBER(SEARCH($X$1,Database!$Z503&amp;""))))+IF($Y$1="",0,N(ISNUMBER(SEARCH($Y$1,Database!$Z503&amp;""))))+IF(Screener!$B$17="",0,N(ISNUMBER(SEARCH(LOWER(Screener!$B$17),Database!$Z503&amp;""))))</f>
        <v/>
      </c>
      <c r="I503">
        <f>IF(OR(N(Database!$BF503)&lt;=0,N(Screener!$D$13)&lt;=0),0,MAX(0,1-ABS(LOG10(N(Database!$BF503)/Screener!$D$13))/W_PEHW))</f>
        <v/>
      </c>
      <c r="J503">
        <f>IF(OR(N(Database!$S503)&lt;=0,N(Screener!$D$14)&lt;=0),0,MAX(0,1-ABS(LOG10(Database!$S503/Screener!$D$14))/0.6))</f>
        <v/>
      </c>
      <c r="K503">
        <f>IF(Database!$B503=Screener!$B$5,-999999,IF(ISNUMBER(SEARCH(","&amp;Database!$A503&amp;",",","&amp;SUBSTITUTE(Screener!$D$17," ","")&amp;",")),2000000,IF(IF(OR(Screener!$B$18="All",AND(Screener!$B$18="With A-share",(Database!$BK503="Y")),AND(Screener!$B$18="Without A-share",NOT((Database!$BK503="Y")))),1,0)=0,-999999,IF(Screener!$B$16="cornerstone overlap first",H503*100000,IF(Screener!$B$16="demand-similar first",J503*100000,0))+W_SUB*B503+W_SEC*C503*(1-B503)+W_SIZE*D503+W_PROF*E503+W_AH*F503+W_REC*G503+W_CS*H503+W_PE*I503)))+ROW()/1000000</f>
        <v/>
      </c>
      <c r="AA503">
        <f>Database!B493</f>
        <v/>
      </c>
      <c r="AB503">
        <f>Database!D493</f>
        <v/>
      </c>
      <c r="AC503">
        <f>Database!E493</f>
        <v/>
      </c>
      <c r="AD503">
        <f>Database!I493</f>
        <v/>
      </c>
      <c r="AE503">
        <f>Database!BE493</f>
        <v/>
      </c>
      <c r="AF503">
        <f>Database!BK493</f>
        <v/>
      </c>
      <c r="AG503">
        <f>Database!H493</f>
        <v/>
      </c>
      <c r="AH503">
        <f>Database!BF493</f>
        <v/>
      </c>
    </row>
    <row r="504">
      <c r="A504">
        <f>Database!B504</f>
        <v/>
      </c>
      <c r="B504">
        <f>IF(AND(Screener!$D$8&lt;&gt;"",Database!$E504=Screener!$D$8),1,0)</f>
        <v/>
      </c>
      <c r="C504">
        <f>IF(AND(Screener!$D$7&lt;&gt;"",Database!$D504=Screener!$D$7),1,0)</f>
        <v/>
      </c>
      <c r="D504">
        <f>IF(OR(N(Database!$I504)&lt;=0,N(Screener!$D$9)&lt;=0),0,MAX(0,1-ABS(LOG10(N(Database!$I504)/Screener!$D$9))/W_SIZEHW))</f>
        <v/>
      </c>
      <c r="E504">
        <f>IF(OR(Database!$BE504="",Screener!$D$10=""),0,IF(Database!$BE504=Screener!$D$10,1,0))</f>
        <v/>
      </c>
      <c r="F504">
        <f>IF(OR(Database!$BK504="",Screener!$D$11=""),0,IF(Database!$BK504=Screener!$D$11,1,0))</f>
        <v/>
      </c>
      <c r="G504">
        <f>IF(OR(Database!$H504="",N(Screener!$D$12)&lt;=0),0,MAX(0,1-(N(Screener!$D$12)-Database!$H504)/W_RECD))</f>
        <v/>
      </c>
      <c r="H504">
        <f>IF($U$1="",0,N(ISNUMBER(SEARCH($U$1,Database!$Z504&amp;""))))+IF($V$1="",0,N(ISNUMBER(SEARCH($V$1,Database!$Z504&amp;""))))+IF($W$1="",0,N(ISNUMBER(SEARCH($W$1,Database!$Z504&amp;""))))+IF($X$1="",0,N(ISNUMBER(SEARCH($X$1,Database!$Z504&amp;""))))+IF($Y$1="",0,N(ISNUMBER(SEARCH($Y$1,Database!$Z504&amp;""))))+IF(Screener!$B$17="",0,N(ISNUMBER(SEARCH(LOWER(Screener!$B$17),Database!$Z504&amp;""))))</f>
        <v/>
      </c>
      <c r="I504">
        <f>IF(OR(N(Database!$BF504)&lt;=0,N(Screener!$D$13)&lt;=0),0,MAX(0,1-ABS(LOG10(N(Database!$BF504)/Screener!$D$13))/W_PEHW))</f>
        <v/>
      </c>
      <c r="J504">
        <f>IF(OR(N(Database!$S504)&lt;=0,N(Screener!$D$14)&lt;=0),0,MAX(0,1-ABS(LOG10(Database!$S504/Screener!$D$14))/0.6))</f>
        <v/>
      </c>
      <c r="K504">
        <f>IF(Database!$B504=Screener!$B$5,-999999,IF(ISNUMBER(SEARCH(","&amp;Database!$A504&amp;",",","&amp;SUBSTITUTE(Screener!$D$17," ","")&amp;",")),2000000,IF(IF(OR(Screener!$B$18="All",AND(Screener!$B$18="With A-share",(Database!$BK504="Y")),AND(Screener!$B$18="Without A-share",NOT((Database!$BK504="Y")))),1,0)=0,-999999,IF(Screener!$B$16="cornerstone overlap first",H504*100000,IF(Screener!$B$16="demand-similar first",J504*100000,0))+W_SUB*B504+W_SEC*C504*(1-B504)+W_SIZE*D504+W_PROF*E504+W_AH*F504+W_REC*G504+W_CS*H504+W_PE*I504)))+ROW()/1000000</f>
        <v/>
      </c>
      <c r="AA504">
        <f>Database!B494</f>
        <v/>
      </c>
      <c r="AB504">
        <f>Database!D494</f>
        <v/>
      </c>
      <c r="AC504">
        <f>Database!E494</f>
        <v/>
      </c>
      <c r="AD504">
        <f>Database!I494</f>
        <v/>
      </c>
      <c r="AE504">
        <f>Database!BE494</f>
        <v/>
      </c>
      <c r="AF504">
        <f>Database!BK494</f>
        <v/>
      </c>
      <c r="AG504">
        <f>Database!H494</f>
        <v/>
      </c>
      <c r="AH504">
        <f>Database!BF494</f>
        <v/>
      </c>
    </row>
    <row r="505">
      <c r="A505">
        <f>Database!B505</f>
        <v/>
      </c>
      <c r="B505">
        <f>IF(AND(Screener!$D$8&lt;&gt;"",Database!$E505=Screener!$D$8),1,0)</f>
        <v/>
      </c>
      <c r="C505">
        <f>IF(AND(Screener!$D$7&lt;&gt;"",Database!$D505=Screener!$D$7),1,0)</f>
        <v/>
      </c>
      <c r="D505">
        <f>IF(OR(N(Database!$I505)&lt;=0,N(Screener!$D$9)&lt;=0),0,MAX(0,1-ABS(LOG10(N(Database!$I505)/Screener!$D$9))/W_SIZEHW))</f>
        <v/>
      </c>
      <c r="E505">
        <f>IF(OR(Database!$BE505="",Screener!$D$10=""),0,IF(Database!$BE505=Screener!$D$10,1,0))</f>
        <v/>
      </c>
      <c r="F505">
        <f>IF(OR(Database!$BK505="",Screener!$D$11=""),0,IF(Database!$BK505=Screener!$D$11,1,0))</f>
        <v/>
      </c>
      <c r="G505">
        <f>IF(OR(Database!$H505="",N(Screener!$D$12)&lt;=0),0,MAX(0,1-(N(Screener!$D$12)-Database!$H505)/W_RECD))</f>
        <v/>
      </c>
      <c r="H505">
        <f>IF($U$1="",0,N(ISNUMBER(SEARCH($U$1,Database!$Z505&amp;""))))+IF($V$1="",0,N(ISNUMBER(SEARCH($V$1,Database!$Z505&amp;""))))+IF($W$1="",0,N(ISNUMBER(SEARCH($W$1,Database!$Z505&amp;""))))+IF($X$1="",0,N(ISNUMBER(SEARCH($X$1,Database!$Z505&amp;""))))+IF($Y$1="",0,N(ISNUMBER(SEARCH($Y$1,Database!$Z505&amp;""))))+IF(Screener!$B$17="",0,N(ISNUMBER(SEARCH(LOWER(Screener!$B$17),Database!$Z505&amp;""))))</f>
        <v/>
      </c>
      <c r="I505">
        <f>IF(OR(N(Database!$BF505)&lt;=0,N(Screener!$D$13)&lt;=0),0,MAX(0,1-ABS(LOG10(N(Database!$BF505)/Screener!$D$13))/W_PEHW))</f>
        <v/>
      </c>
      <c r="J505">
        <f>IF(OR(N(Database!$S505)&lt;=0,N(Screener!$D$14)&lt;=0),0,MAX(0,1-ABS(LOG10(Database!$S505/Screener!$D$14))/0.6))</f>
        <v/>
      </c>
      <c r="K505">
        <f>IF(Database!$B505=Screener!$B$5,-999999,IF(ISNUMBER(SEARCH(","&amp;Database!$A505&amp;",",","&amp;SUBSTITUTE(Screener!$D$17," ","")&amp;",")),2000000,IF(IF(OR(Screener!$B$18="All",AND(Screener!$B$18="With A-share",(Database!$BK505="Y")),AND(Screener!$B$18="Without A-share",NOT((Database!$BK505="Y")))),1,0)=0,-999999,IF(Screener!$B$16="cornerstone overlap first",H505*100000,IF(Screener!$B$16="demand-similar first",J505*100000,0))+W_SUB*B505+W_SEC*C505*(1-B505)+W_SIZE*D505+W_PROF*E505+W_AH*F505+W_REC*G505+W_CS*H505+W_PE*I505)))+ROW()/1000000</f>
        <v/>
      </c>
      <c r="AA505">
        <f>Database!B495</f>
        <v/>
      </c>
      <c r="AB505">
        <f>Database!D495</f>
        <v/>
      </c>
      <c r="AC505">
        <f>Database!E495</f>
        <v/>
      </c>
      <c r="AD505">
        <f>Database!I495</f>
        <v/>
      </c>
      <c r="AE505">
        <f>Database!BE495</f>
        <v/>
      </c>
      <c r="AF505">
        <f>Database!BK495</f>
        <v/>
      </c>
      <c r="AG505">
        <f>Database!H495</f>
        <v/>
      </c>
      <c r="AH505">
        <f>Database!BF495</f>
        <v/>
      </c>
    </row>
    <row r="506">
      <c r="A506">
        <f>Database!B506</f>
        <v/>
      </c>
      <c r="B506">
        <f>IF(AND(Screener!$D$8&lt;&gt;"",Database!$E506=Screener!$D$8),1,0)</f>
        <v/>
      </c>
      <c r="C506">
        <f>IF(AND(Screener!$D$7&lt;&gt;"",Database!$D506=Screener!$D$7),1,0)</f>
        <v/>
      </c>
      <c r="D506">
        <f>IF(OR(N(Database!$I506)&lt;=0,N(Screener!$D$9)&lt;=0),0,MAX(0,1-ABS(LOG10(N(Database!$I506)/Screener!$D$9))/W_SIZEHW))</f>
        <v/>
      </c>
      <c r="E506">
        <f>IF(OR(Database!$BE506="",Screener!$D$10=""),0,IF(Database!$BE506=Screener!$D$10,1,0))</f>
        <v/>
      </c>
      <c r="F506">
        <f>IF(OR(Database!$BK506="",Screener!$D$11=""),0,IF(Database!$BK506=Screener!$D$11,1,0))</f>
        <v/>
      </c>
      <c r="G506">
        <f>IF(OR(Database!$H506="",N(Screener!$D$12)&lt;=0),0,MAX(0,1-(N(Screener!$D$12)-Database!$H506)/W_RECD))</f>
        <v/>
      </c>
      <c r="H506">
        <f>IF($U$1="",0,N(ISNUMBER(SEARCH($U$1,Database!$Z506&amp;""))))+IF($V$1="",0,N(ISNUMBER(SEARCH($V$1,Database!$Z506&amp;""))))+IF($W$1="",0,N(ISNUMBER(SEARCH($W$1,Database!$Z506&amp;""))))+IF($X$1="",0,N(ISNUMBER(SEARCH($X$1,Database!$Z506&amp;""))))+IF($Y$1="",0,N(ISNUMBER(SEARCH($Y$1,Database!$Z506&amp;""))))+IF(Screener!$B$17="",0,N(ISNUMBER(SEARCH(LOWER(Screener!$B$17),Database!$Z506&amp;""))))</f>
        <v/>
      </c>
      <c r="I506">
        <f>IF(OR(N(Database!$BF506)&lt;=0,N(Screener!$D$13)&lt;=0),0,MAX(0,1-ABS(LOG10(N(Database!$BF506)/Screener!$D$13))/W_PEHW))</f>
        <v/>
      </c>
      <c r="J506">
        <f>IF(OR(N(Database!$S506)&lt;=0,N(Screener!$D$14)&lt;=0),0,MAX(0,1-ABS(LOG10(Database!$S506/Screener!$D$14))/0.6))</f>
        <v/>
      </c>
      <c r="K506">
        <f>IF(Database!$B506=Screener!$B$5,-999999,IF(ISNUMBER(SEARCH(","&amp;Database!$A506&amp;",",","&amp;SUBSTITUTE(Screener!$D$17," ","")&amp;",")),2000000,IF(IF(OR(Screener!$B$18="All",AND(Screener!$B$18="With A-share",(Database!$BK506="Y")),AND(Screener!$B$18="Without A-share",NOT((Database!$BK506="Y")))),1,0)=0,-999999,IF(Screener!$B$16="cornerstone overlap first",H506*100000,IF(Screener!$B$16="demand-similar first",J506*100000,0))+W_SUB*B506+W_SEC*C506*(1-B506)+W_SIZE*D506+W_PROF*E506+W_AH*F506+W_REC*G506+W_CS*H506+W_PE*I506)))+ROW()/1000000</f>
        <v/>
      </c>
      <c r="AA506">
        <f>Database!B496</f>
        <v/>
      </c>
      <c r="AB506">
        <f>Database!D496</f>
        <v/>
      </c>
      <c r="AC506">
        <f>Database!E496</f>
        <v/>
      </c>
      <c r="AD506">
        <f>Database!I496</f>
        <v/>
      </c>
      <c r="AE506">
        <f>Database!BE496</f>
        <v/>
      </c>
      <c r="AF506">
        <f>Database!BK496</f>
        <v/>
      </c>
      <c r="AG506">
        <f>Database!H496</f>
        <v/>
      </c>
      <c r="AH506">
        <f>Database!BF496</f>
        <v/>
      </c>
    </row>
    <row r="507">
      <c r="A507">
        <f>Database!B507</f>
        <v/>
      </c>
      <c r="B507">
        <f>IF(AND(Screener!$D$8&lt;&gt;"",Database!$E507=Screener!$D$8),1,0)</f>
        <v/>
      </c>
      <c r="C507">
        <f>IF(AND(Screener!$D$7&lt;&gt;"",Database!$D507=Screener!$D$7),1,0)</f>
        <v/>
      </c>
      <c r="D507">
        <f>IF(OR(N(Database!$I507)&lt;=0,N(Screener!$D$9)&lt;=0),0,MAX(0,1-ABS(LOG10(N(Database!$I507)/Screener!$D$9))/W_SIZEHW))</f>
        <v/>
      </c>
      <c r="E507">
        <f>IF(OR(Database!$BE507="",Screener!$D$10=""),0,IF(Database!$BE507=Screener!$D$10,1,0))</f>
        <v/>
      </c>
      <c r="F507">
        <f>IF(OR(Database!$BK507="",Screener!$D$11=""),0,IF(Database!$BK507=Screener!$D$11,1,0))</f>
        <v/>
      </c>
      <c r="G507">
        <f>IF(OR(Database!$H507="",N(Screener!$D$12)&lt;=0),0,MAX(0,1-(N(Screener!$D$12)-Database!$H507)/W_RECD))</f>
        <v/>
      </c>
      <c r="H507">
        <f>IF($U$1="",0,N(ISNUMBER(SEARCH($U$1,Database!$Z507&amp;""))))+IF($V$1="",0,N(ISNUMBER(SEARCH($V$1,Database!$Z507&amp;""))))+IF($W$1="",0,N(ISNUMBER(SEARCH($W$1,Database!$Z507&amp;""))))+IF($X$1="",0,N(ISNUMBER(SEARCH($X$1,Database!$Z507&amp;""))))+IF($Y$1="",0,N(ISNUMBER(SEARCH($Y$1,Database!$Z507&amp;""))))+IF(Screener!$B$17="",0,N(ISNUMBER(SEARCH(LOWER(Screener!$B$17),Database!$Z507&amp;""))))</f>
        <v/>
      </c>
      <c r="I507">
        <f>IF(OR(N(Database!$BF507)&lt;=0,N(Screener!$D$13)&lt;=0),0,MAX(0,1-ABS(LOG10(N(Database!$BF507)/Screener!$D$13))/W_PEHW))</f>
        <v/>
      </c>
      <c r="J507">
        <f>IF(OR(N(Database!$S507)&lt;=0,N(Screener!$D$14)&lt;=0),0,MAX(0,1-ABS(LOG10(Database!$S507/Screener!$D$14))/0.6))</f>
        <v/>
      </c>
      <c r="K507">
        <f>IF(Database!$B507=Screener!$B$5,-999999,IF(ISNUMBER(SEARCH(","&amp;Database!$A507&amp;",",","&amp;SUBSTITUTE(Screener!$D$17," ","")&amp;",")),2000000,IF(IF(OR(Screener!$B$18="All",AND(Screener!$B$18="With A-share",(Database!$BK507="Y")),AND(Screener!$B$18="Without A-share",NOT((Database!$BK507="Y")))),1,0)=0,-999999,IF(Screener!$B$16="cornerstone overlap first",H507*100000,IF(Screener!$B$16="demand-similar first",J507*100000,0))+W_SUB*B507+W_SEC*C507*(1-B507)+W_SIZE*D507+W_PROF*E507+W_AH*F507+W_REC*G507+W_CS*H507+W_PE*I507)))+ROW()/1000000</f>
        <v/>
      </c>
      <c r="AA507">
        <f>Database!B497</f>
        <v/>
      </c>
      <c r="AB507">
        <f>Database!D497</f>
        <v/>
      </c>
      <c r="AC507">
        <f>Database!E497</f>
        <v/>
      </c>
      <c r="AD507">
        <f>Database!I497</f>
        <v/>
      </c>
      <c r="AE507">
        <f>Database!BE497</f>
        <v/>
      </c>
      <c r="AF507">
        <f>Database!BK497</f>
        <v/>
      </c>
      <c r="AG507">
        <f>Database!H497</f>
        <v/>
      </c>
      <c r="AH507">
        <f>Database!BF497</f>
        <v/>
      </c>
    </row>
    <row r="508">
      <c r="A508">
        <f>Database!B508</f>
        <v/>
      </c>
      <c r="B508">
        <f>IF(AND(Screener!$D$8&lt;&gt;"",Database!$E508=Screener!$D$8),1,0)</f>
        <v/>
      </c>
      <c r="C508">
        <f>IF(AND(Screener!$D$7&lt;&gt;"",Database!$D508=Screener!$D$7),1,0)</f>
        <v/>
      </c>
      <c r="D508">
        <f>IF(OR(N(Database!$I508)&lt;=0,N(Screener!$D$9)&lt;=0),0,MAX(0,1-ABS(LOG10(N(Database!$I508)/Screener!$D$9))/W_SIZEHW))</f>
        <v/>
      </c>
      <c r="E508">
        <f>IF(OR(Database!$BE508="",Screener!$D$10=""),0,IF(Database!$BE508=Screener!$D$10,1,0))</f>
        <v/>
      </c>
      <c r="F508">
        <f>IF(OR(Database!$BK508="",Screener!$D$11=""),0,IF(Database!$BK508=Screener!$D$11,1,0))</f>
        <v/>
      </c>
      <c r="G508">
        <f>IF(OR(Database!$H508="",N(Screener!$D$12)&lt;=0),0,MAX(0,1-(N(Screener!$D$12)-Database!$H508)/W_RECD))</f>
        <v/>
      </c>
      <c r="H508">
        <f>IF($U$1="",0,N(ISNUMBER(SEARCH($U$1,Database!$Z508&amp;""))))+IF($V$1="",0,N(ISNUMBER(SEARCH($V$1,Database!$Z508&amp;""))))+IF($W$1="",0,N(ISNUMBER(SEARCH($W$1,Database!$Z508&amp;""))))+IF($X$1="",0,N(ISNUMBER(SEARCH($X$1,Database!$Z508&amp;""))))+IF($Y$1="",0,N(ISNUMBER(SEARCH($Y$1,Database!$Z508&amp;""))))+IF(Screener!$B$17="",0,N(ISNUMBER(SEARCH(LOWER(Screener!$B$17),Database!$Z508&amp;""))))</f>
        <v/>
      </c>
      <c r="I508">
        <f>IF(OR(N(Database!$BF508)&lt;=0,N(Screener!$D$13)&lt;=0),0,MAX(0,1-ABS(LOG10(N(Database!$BF508)/Screener!$D$13))/W_PEHW))</f>
        <v/>
      </c>
      <c r="J508">
        <f>IF(OR(N(Database!$S508)&lt;=0,N(Screener!$D$14)&lt;=0),0,MAX(0,1-ABS(LOG10(Database!$S508/Screener!$D$14))/0.6))</f>
        <v/>
      </c>
      <c r="K508">
        <f>IF(Database!$B508=Screener!$B$5,-999999,IF(ISNUMBER(SEARCH(","&amp;Database!$A508&amp;",",","&amp;SUBSTITUTE(Screener!$D$17," ","")&amp;",")),2000000,IF(IF(OR(Screener!$B$18="All",AND(Screener!$B$18="With A-share",(Database!$BK508="Y")),AND(Screener!$B$18="Without A-share",NOT((Database!$BK508="Y")))),1,0)=0,-999999,IF(Screener!$B$16="cornerstone overlap first",H508*100000,IF(Screener!$B$16="demand-similar first",J508*100000,0))+W_SUB*B508+W_SEC*C508*(1-B508)+W_SIZE*D508+W_PROF*E508+W_AH*F508+W_REC*G508+W_CS*H508+W_PE*I508)))+ROW()/1000000</f>
        <v/>
      </c>
      <c r="AA508">
        <f>Database!B498</f>
        <v/>
      </c>
      <c r="AB508">
        <f>Database!D498</f>
        <v/>
      </c>
      <c r="AC508">
        <f>Database!E498</f>
        <v/>
      </c>
      <c r="AD508">
        <f>Database!I498</f>
        <v/>
      </c>
      <c r="AE508">
        <f>Database!BE498</f>
        <v/>
      </c>
      <c r="AF508">
        <f>Database!BK498</f>
        <v/>
      </c>
      <c r="AG508">
        <f>Database!H498</f>
        <v/>
      </c>
      <c r="AH508">
        <f>Database!BF498</f>
        <v/>
      </c>
    </row>
    <row r="509">
      <c r="A509">
        <f>Database!B509</f>
        <v/>
      </c>
      <c r="B509">
        <f>IF(AND(Screener!$D$8&lt;&gt;"",Database!$E509=Screener!$D$8),1,0)</f>
        <v/>
      </c>
      <c r="C509">
        <f>IF(AND(Screener!$D$7&lt;&gt;"",Database!$D509=Screener!$D$7),1,0)</f>
        <v/>
      </c>
      <c r="D509">
        <f>IF(OR(N(Database!$I509)&lt;=0,N(Screener!$D$9)&lt;=0),0,MAX(0,1-ABS(LOG10(N(Database!$I509)/Screener!$D$9))/W_SIZEHW))</f>
        <v/>
      </c>
      <c r="E509">
        <f>IF(OR(Database!$BE509="",Screener!$D$10=""),0,IF(Database!$BE509=Screener!$D$10,1,0))</f>
        <v/>
      </c>
      <c r="F509">
        <f>IF(OR(Database!$BK509="",Screener!$D$11=""),0,IF(Database!$BK509=Screener!$D$11,1,0))</f>
        <v/>
      </c>
      <c r="G509">
        <f>IF(OR(Database!$H509="",N(Screener!$D$12)&lt;=0),0,MAX(0,1-(N(Screener!$D$12)-Database!$H509)/W_RECD))</f>
        <v/>
      </c>
      <c r="H509">
        <f>IF($U$1="",0,N(ISNUMBER(SEARCH($U$1,Database!$Z509&amp;""))))+IF($V$1="",0,N(ISNUMBER(SEARCH($V$1,Database!$Z509&amp;""))))+IF($W$1="",0,N(ISNUMBER(SEARCH($W$1,Database!$Z509&amp;""))))+IF($X$1="",0,N(ISNUMBER(SEARCH($X$1,Database!$Z509&amp;""))))+IF($Y$1="",0,N(ISNUMBER(SEARCH($Y$1,Database!$Z509&amp;""))))+IF(Screener!$B$17="",0,N(ISNUMBER(SEARCH(LOWER(Screener!$B$17),Database!$Z509&amp;""))))</f>
        <v/>
      </c>
      <c r="I509">
        <f>IF(OR(N(Database!$BF509)&lt;=0,N(Screener!$D$13)&lt;=0),0,MAX(0,1-ABS(LOG10(N(Database!$BF509)/Screener!$D$13))/W_PEHW))</f>
        <v/>
      </c>
      <c r="J509">
        <f>IF(OR(N(Database!$S509)&lt;=0,N(Screener!$D$14)&lt;=0),0,MAX(0,1-ABS(LOG10(Database!$S509/Screener!$D$14))/0.6))</f>
        <v/>
      </c>
      <c r="K509">
        <f>IF(Database!$B509=Screener!$B$5,-999999,IF(ISNUMBER(SEARCH(","&amp;Database!$A509&amp;",",","&amp;SUBSTITUTE(Screener!$D$17," ","")&amp;",")),2000000,IF(IF(OR(Screener!$B$18="All",AND(Screener!$B$18="With A-share",(Database!$BK509="Y")),AND(Screener!$B$18="Without A-share",NOT((Database!$BK509="Y")))),1,0)=0,-999999,IF(Screener!$B$16="cornerstone overlap first",H509*100000,IF(Screener!$B$16="demand-similar first",J509*100000,0))+W_SUB*B509+W_SEC*C509*(1-B509)+W_SIZE*D509+W_PROF*E509+W_AH*F509+W_REC*G509+W_CS*H509+W_PE*I509)))+ROW()/1000000</f>
        <v/>
      </c>
      <c r="AA509">
        <f>Database!B499</f>
        <v/>
      </c>
      <c r="AB509">
        <f>Database!D499</f>
        <v/>
      </c>
      <c r="AC509">
        <f>Database!E499</f>
        <v/>
      </c>
      <c r="AD509">
        <f>Database!I499</f>
        <v/>
      </c>
      <c r="AE509">
        <f>Database!BE499</f>
        <v/>
      </c>
      <c r="AF509">
        <f>Database!BK499</f>
        <v/>
      </c>
      <c r="AG509">
        <f>Database!H499</f>
        <v/>
      </c>
      <c r="AH509">
        <f>Database!BF499</f>
        <v/>
      </c>
    </row>
    <row r="510">
      <c r="A510">
        <f>Database!B510</f>
        <v/>
      </c>
      <c r="B510">
        <f>IF(AND(Screener!$D$8&lt;&gt;"",Database!$E510=Screener!$D$8),1,0)</f>
        <v/>
      </c>
      <c r="C510">
        <f>IF(AND(Screener!$D$7&lt;&gt;"",Database!$D510=Screener!$D$7),1,0)</f>
        <v/>
      </c>
      <c r="D510">
        <f>IF(OR(N(Database!$I510)&lt;=0,N(Screener!$D$9)&lt;=0),0,MAX(0,1-ABS(LOG10(N(Database!$I510)/Screener!$D$9))/W_SIZEHW))</f>
        <v/>
      </c>
      <c r="E510">
        <f>IF(OR(Database!$BE510="",Screener!$D$10=""),0,IF(Database!$BE510=Screener!$D$10,1,0))</f>
        <v/>
      </c>
      <c r="F510">
        <f>IF(OR(Database!$BK510="",Screener!$D$11=""),0,IF(Database!$BK510=Screener!$D$11,1,0))</f>
        <v/>
      </c>
      <c r="G510">
        <f>IF(OR(Database!$H510="",N(Screener!$D$12)&lt;=0),0,MAX(0,1-(N(Screener!$D$12)-Database!$H510)/W_RECD))</f>
        <v/>
      </c>
      <c r="H510">
        <f>IF($U$1="",0,N(ISNUMBER(SEARCH($U$1,Database!$Z510&amp;""))))+IF($V$1="",0,N(ISNUMBER(SEARCH($V$1,Database!$Z510&amp;""))))+IF($W$1="",0,N(ISNUMBER(SEARCH($W$1,Database!$Z510&amp;""))))+IF($X$1="",0,N(ISNUMBER(SEARCH($X$1,Database!$Z510&amp;""))))+IF($Y$1="",0,N(ISNUMBER(SEARCH($Y$1,Database!$Z510&amp;""))))+IF(Screener!$B$17="",0,N(ISNUMBER(SEARCH(LOWER(Screener!$B$17),Database!$Z510&amp;""))))</f>
        <v/>
      </c>
      <c r="I510">
        <f>IF(OR(N(Database!$BF510)&lt;=0,N(Screener!$D$13)&lt;=0),0,MAX(0,1-ABS(LOG10(N(Database!$BF510)/Screener!$D$13))/W_PEHW))</f>
        <v/>
      </c>
      <c r="J510">
        <f>IF(OR(N(Database!$S510)&lt;=0,N(Screener!$D$14)&lt;=0),0,MAX(0,1-ABS(LOG10(Database!$S510/Screener!$D$14))/0.6))</f>
        <v/>
      </c>
      <c r="K510">
        <f>IF(Database!$B510=Screener!$B$5,-999999,IF(ISNUMBER(SEARCH(","&amp;Database!$A510&amp;",",","&amp;SUBSTITUTE(Screener!$D$17," ","")&amp;",")),2000000,IF(IF(OR(Screener!$B$18="All",AND(Screener!$B$18="With A-share",(Database!$BK510="Y")),AND(Screener!$B$18="Without A-share",NOT((Database!$BK510="Y")))),1,0)=0,-999999,IF(Screener!$B$16="cornerstone overlap first",H510*100000,IF(Screener!$B$16="demand-similar first",J510*100000,0))+W_SUB*B510+W_SEC*C510*(1-B510)+W_SIZE*D510+W_PROF*E510+W_AH*F510+W_REC*G510+W_CS*H510+W_PE*I510)))+ROW()/1000000</f>
        <v/>
      </c>
      <c r="AA510">
        <f>Database!B500</f>
        <v/>
      </c>
      <c r="AB510">
        <f>Database!D500</f>
        <v/>
      </c>
      <c r="AC510">
        <f>Database!E500</f>
        <v/>
      </c>
      <c r="AD510">
        <f>Database!I500</f>
        <v/>
      </c>
      <c r="AE510">
        <f>Database!BE500</f>
        <v/>
      </c>
      <c r="AF510">
        <f>Database!BK500</f>
        <v/>
      </c>
      <c r="AG510">
        <f>Database!H500</f>
        <v/>
      </c>
      <c r="AH510">
        <f>Database!BF500</f>
        <v/>
      </c>
    </row>
    <row r="511">
      <c r="A511">
        <f>Database!B511</f>
        <v/>
      </c>
      <c r="B511">
        <f>IF(AND(Screener!$D$8&lt;&gt;"",Database!$E511=Screener!$D$8),1,0)</f>
        <v/>
      </c>
      <c r="C511">
        <f>IF(AND(Screener!$D$7&lt;&gt;"",Database!$D511=Screener!$D$7),1,0)</f>
        <v/>
      </c>
      <c r="D511">
        <f>IF(OR(N(Database!$I511)&lt;=0,N(Screener!$D$9)&lt;=0),0,MAX(0,1-ABS(LOG10(N(Database!$I511)/Screener!$D$9))/W_SIZEHW))</f>
        <v/>
      </c>
      <c r="E511">
        <f>IF(OR(Database!$BE511="",Screener!$D$10=""),0,IF(Database!$BE511=Screener!$D$10,1,0))</f>
        <v/>
      </c>
      <c r="F511">
        <f>IF(OR(Database!$BK511="",Screener!$D$11=""),0,IF(Database!$BK511=Screener!$D$11,1,0))</f>
        <v/>
      </c>
      <c r="G511">
        <f>IF(OR(Database!$H511="",N(Screener!$D$12)&lt;=0),0,MAX(0,1-(N(Screener!$D$12)-Database!$H511)/W_RECD))</f>
        <v/>
      </c>
      <c r="H511">
        <f>IF($U$1="",0,N(ISNUMBER(SEARCH($U$1,Database!$Z511&amp;""))))+IF($V$1="",0,N(ISNUMBER(SEARCH($V$1,Database!$Z511&amp;""))))+IF($W$1="",0,N(ISNUMBER(SEARCH($W$1,Database!$Z511&amp;""))))+IF($X$1="",0,N(ISNUMBER(SEARCH($X$1,Database!$Z511&amp;""))))+IF($Y$1="",0,N(ISNUMBER(SEARCH($Y$1,Database!$Z511&amp;""))))+IF(Screener!$B$17="",0,N(ISNUMBER(SEARCH(LOWER(Screener!$B$17),Database!$Z511&amp;""))))</f>
        <v/>
      </c>
      <c r="I511">
        <f>IF(OR(N(Database!$BF511)&lt;=0,N(Screener!$D$13)&lt;=0),0,MAX(0,1-ABS(LOG10(N(Database!$BF511)/Screener!$D$13))/W_PEHW))</f>
        <v/>
      </c>
      <c r="J511">
        <f>IF(OR(N(Database!$S511)&lt;=0,N(Screener!$D$14)&lt;=0),0,MAX(0,1-ABS(LOG10(Database!$S511/Screener!$D$14))/0.6))</f>
        <v/>
      </c>
      <c r="K511">
        <f>IF(Database!$B511=Screener!$B$5,-999999,IF(ISNUMBER(SEARCH(","&amp;Database!$A511&amp;",",","&amp;SUBSTITUTE(Screener!$D$17," ","")&amp;",")),2000000,IF(IF(OR(Screener!$B$18="All",AND(Screener!$B$18="With A-share",(Database!$BK511="Y")),AND(Screener!$B$18="Without A-share",NOT((Database!$BK511="Y")))),1,0)=0,-999999,IF(Screener!$B$16="cornerstone overlap first",H511*100000,IF(Screener!$B$16="demand-similar first",J511*100000,0))+W_SUB*B511+W_SEC*C511*(1-B511)+W_SIZE*D511+W_PROF*E511+W_AH*F511+W_REC*G511+W_CS*H511+W_PE*I511)))+ROW()/1000000</f>
        <v/>
      </c>
      <c r="AA511">
        <f>Database!B501</f>
        <v/>
      </c>
      <c r="AB511">
        <f>Database!D501</f>
        <v/>
      </c>
      <c r="AC511">
        <f>Database!E501</f>
        <v/>
      </c>
      <c r="AD511">
        <f>Database!I501</f>
        <v/>
      </c>
      <c r="AE511">
        <f>Database!BE501</f>
        <v/>
      </c>
      <c r="AF511">
        <f>Database!BK501</f>
        <v/>
      </c>
      <c r="AG511">
        <f>Database!H501</f>
        <v/>
      </c>
      <c r="AH511">
        <f>Database!BF501</f>
        <v/>
      </c>
    </row>
    <row r="512">
      <c r="A512">
        <f>Database!B512</f>
        <v/>
      </c>
      <c r="B512">
        <f>IF(AND(Screener!$D$8&lt;&gt;"",Database!$E512=Screener!$D$8),1,0)</f>
        <v/>
      </c>
      <c r="C512">
        <f>IF(AND(Screener!$D$7&lt;&gt;"",Database!$D512=Screener!$D$7),1,0)</f>
        <v/>
      </c>
      <c r="D512">
        <f>IF(OR(N(Database!$I512)&lt;=0,N(Screener!$D$9)&lt;=0),0,MAX(0,1-ABS(LOG10(N(Database!$I512)/Screener!$D$9))/W_SIZEHW))</f>
        <v/>
      </c>
      <c r="E512">
        <f>IF(OR(Database!$BE512="",Screener!$D$10=""),0,IF(Database!$BE512=Screener!$D$10,1,0))</f>
        <v/>
      </c>
      <c r="F512">
        <f>IF(OR(Database!$BK512="",Screener!$D$11=""),0,IF(Database!$BK512=Screener!$D$11,1,0))</f>
        <v/>
      </c>
      <c r="G512">
        <f>IF(OR(Database!$H512="",N(Screener!$D$12)&lt;=0),0,MAX(0,1-(N(Screener!$D$12)-Database!$H512)/W_RECD))</f>
        <v/>
      </c>
      <c r="H512">
        <f>IF($U$1="",0,N(ISNUMBER(SEARCH($U$1,Database!$Z512&amp;""))))+IF($V$1="",0,N(ISNUMBER(SEARCH($V$1,Database!$Z512&amp;""))))+IF($W$1="",0,N(ISNUMBER(SEARCH($W$1,Database!$Z512&amp;""))))+IF($X$1="",0,N(ISNUMBER(SEARCH($X$1,Database!$Z512&amp;""))))+IF($Y$1="",0,N(ISNUMBER(SEARCH($Y$1,Database!$Z512&amp;""))))+IF(Screener!$B$17="",0,N(ISNUMBER(SEARCH(LOWER(Screener!$B$17),Database!$Z512&amp;""))))</f>
        <v/>
      </c>
      <c r="I512">
        <f>IF(OR(N(Database!$BF512)&lt;=0,N(Screener!$D$13)&lt;=0),0,MAX(0,1-ABS(LOG10(N(Database!$BF512)/Screener!$D$13))/W_PEHW))</f>
        <v/>
      </c>
      <c r="J512">
        <f>IF(OR(N(Database!$S512)&lt;=0,N(Screener!$D$14)&lt;=0),0,MAX(0,1-ABS(LOG10(Database!$S512/Screener!$D$14))/0.6))</f>
        <v/>
      </c>
      <c r="K512">
        <f>IF(Database!$B512=Screener!$B$5,-999999,IF(ISNUMBER(SEARCH(","&amp;Database!$A512&amp;",",","&amp;SUBSTITUTE(Screener!$D$17," ","")&amp;",")),2000000,IF(IF(OR(Screener!$B$18="All",AND(Screener!$B$18="With A-share",(Database!$BK512="Y")),AND(Screener!$B$18="Without A-share",NOT((Database!$BK512="Y")))),1,0)=0,-999999,IF(Screener!$B$16="cornerstone overlap first",H512*100000,IF(Screener!$B$16="demand-similar first",J512*100000,0))+W_SUB*B512+W_SEC*C512*(1-B512)+W_SIZE*D512+W_PROF*E512+W_AH*F512+W_REC*G512+W_CS*H512+W_PE*I512)))+ROW()/1000000</f>
        <v/>
      </c>
      <c r="AA512">
        <f>Database!B502</f>
        <v/>
      </c>
      <c r="AB512">
        <f>Database!D502</f>
        <v/>
      </c>
      <c r="AC512">
        <f>Database!E502</f>
        <v/>
      </c>
      <c r="AD512">
        <f>Database!I502</f>
        <v/>
      </c>
      <c r="AE512">
        <f>Database!BE502</f>
        <v/>
      </c>
      <c r="AF512">
        <f>Database!BK502</f>
        <v/>
      </c>
      <c r="AG512">
        <f>Database!H502</f>
        <v/>
      </c>
      <c r="AH512">
        <f>Database!BF502</f>
        <v/>
      </c>
    </row>
    <row r="513">
      <c r="A513">
        <f>Database!B513</f>
        <v/>
      </c>
      <c r="B513">
        <f>IF(AND(Screener!$D$8&lt;&gt;"",Database!$E513=Screener!$D$8),1,0)</f>
        <v/>
      </c>
      <c r="C513">
        <f>IF(AND(Screener!$D$7&lt;&gt;"",Database!$D513=Screener!$D$7),1,0)</f>
        <v/>
      </c>
      <c r="D513">
        <f>IF(OR(N(Database!$I513)&lt;=0,N(Screener!$D$9)&lt;=0),0,MAX(0,1-ABS(LOG10(N(Database!$I513)/Screener!$D$9))/W_SIZEHW))</f>
        <v/>
      </c>
      <c r="E513">
        <f>IF(OR(Database!$BE513="",Screener!$D$10=""),0,IF(Database!$BE513=Screener!$D$10,1,0))</f>
        <v/>
      </c>
      <c r="F513">
        <f>IF(OR(Database!$BK513="",Screener!$D$11=""),0,IF(Database!$BK513=Screener!$D$11,1,0))</f>
        <v/>
      </c>
      <c r="G513">
        <f>IF(OR(Database!$H513="",N(Screener!$D$12)&lt;=0),0,MAX(0,1-(N(Screener!$D$12)-Database!$H513)/W_RECD))</f>
        <v/>
      </c>
      <c r="H513">
        <f>IF($U$1="",0,N(ISNUMBER(SEARCH($U$1,Database!$Z513&amp;""))))+IF($V$1="",0,N(ISNUMBER(SEARCH($V$1,Database!$Z513&amp;""))))+IF($W$1="",0,N(ISNUMBER(SEARCH($W$1,Database!$Z513&amp;""))))+IF($X$1="",0,N(ISNUMBER(SEARCH($X$1,Database!$Z513&amp;""))))+IF($Y$1="",0,N(ISNUMBER(SEARCH($Y$1,Database!$Z513&amp;""))))+IF(Screener!$B$17="",0,N(ISNUMBER(SEARCH(LOWER(Screener!$B$17),Database!$Z513&amp;""))))</f>
        <v/>
      </c>
      <c r="I513">
        <f>IF(OR(N(Database!$BF513)&lt;=0,N(Screener!$D$13)&lt;=0),0,MAX(0,1-ABS(LOG10(N(Database!$BF513)/Screener!$D$13))/W_PEHW))</f>
        <v/>
      </c>
      <c r="J513">
        <f>IF(OR(N(Database!$S513)&lt;=0,N(Screener!$D$14)&lt;=0),0,MAX(0,1-ABS(LOG10(Database!$S513/Screener!$D$14))/0.6))</f>
        <v/>
      </c>
      <c r="K513">
        <f>IF(Database!$B513=Screener!$B$5,-999999,IF(ISNUMBER(SEARCH(","&amp;Database!$A513&amp;",",","&amp;SUBSTITUTE(Screener!$D$17," ","")&amp;",")),2000000,IF(IF(OR(Screener!$B$18="All",AND(Screener!$B$18="With A-share",(Database!$BK513="Y")),AND(Screener!$B$18="Without A-share",NOT((Database!$BK513="Y")))),1,0)=0,-999999,IF(Screener!$B$16="cornerstone overlap first",H513*100000,IF(Screener!$B$16="demand-similar first",J513*100000,0))+W_SUB*B513+W_SEC*C513*(1-B513)+W_SIZE*D513+W_PROF*E513+W_AH*F513+W_REC*G513+W_CS*H513+W_PE*I513)))+ROW()/1000000</f>
        <v/>
      </c>
      <c r="AA513">
        <f>Database!B503</f>
        <v/>
      </c>
      <c r="AB513">
        <f>Database!D503</f>
        <v/>
      </c>
      <c r="AC513">
        <f>Database!E503</f>
        <v/>
      </c>
      <c r="AD513">
        <f>Database!I503</f>
        <v/>
      </c>
      <c r="AE513">
        <f>Database!BE503</f>
        <v/>
      </c>
      <c r="AF513">
        <f>Database!BK503</f>
        <v/>
      </c>
      <c r="AG513">
        <f>Database!H503</f>
        <v/>
      </c>
      <c r="AH513">
        <f>Database!BF503</f>
        <v/>
      </c>
    </row>
    <row r="514">
      <c r="A514">
        <f>Database!B514</f>
        <v/>
      </c>
      <c r="B514">
        <f>IF(AND(Screener!$D$8&lt;&gt;"",Database!$E514=Screener!$D$8),1,0)</f>
        <v/>
      </c>
      <c r="C514">
        <f>IF(AND(Screener!$D$7&lt;&gt;"",Database!$D514=Screener!$D$7),1,0)</f>
        <v/>
      </c>
      <c r="D514">
        <f>IF(OR(N(Database!$I514)&lt;=0,N(Screener!$D$9)&lt;=0),0,MAX(0,1-ABS(LOG10(N(Database!$I514)/Screener!$D$9))/W_SIZEHW))</f>
        <v/>
      </c>
      <c r="E514">
        <f>IF(OR(Database!$BE514="",Screener!$D$10=""),0,IF(Database!$BE514=Screener!$D$10,1,0))</f>
        <v/>
      </c>
      <c r="F514">
        <f>IF(OR(Database!$BK514="",Screener!$D$11=""),0,IF(Database!$BK514=Screener!$D$11,1,0))</f>
        <v/>
      </c>
      <c r="G514">
        <f>IF(OR(Database!$H514="",N(Screener!$D$12)&lt;=0),0,MAX(0,1-(N(Screener!$D$12)-Database!$H514)/W_RECD))</f>
        <v/>
      </c>
      <c r="H514">
        <f>IF($U$1="",0,N(ISNUMBER(SEARCH($U$1,Database!$Z514&amp;""))))+IF($V$1="",0,N(ISNUMBER(SEARCH($V$1,Database!$Z514&amp;""))))+IF($W$1="",0,N(ISNUMBER(SEARCH($W$1,Database!$Z514&amp;""))))+IF($X$1="",0,N(ISNUMBER(SEARCH($X$1,Database!$Z514&amp;""))))+IF($Y$1="",0,N(ISNUMBER(SEARCH($Y$1,Database!$Z514&amp;""))))+IF(Screener!$B$17="",0,N(ISNUMBER(SEARCH(LOWER(Screener!$B$17),Database!$Z514&amp;""))))</f>
        <v/>
      </c>
      <c r="I514">
        <f>IF(OR(N(Database!$BF514)&lt;=0,N(Screener!$D$13)&lt;=0),0,MAX(0,1-ABS(LOG10(N(Database!$BF514)/Screener!$D$13))/W_PEHW))</f>
        <v/>
      </c>
      <c r="J514">
        <f>IF(OR(N(Database!$S514)&lt;=0,N(Screener!$D$14)&lt;=0),0,MAX(0,1-ABS(LOG10(Database!$S514/Screener!$D$14))/0.6))</f>
        <v/>
      </c>
      <c r="K514">
        <f>IF(Database!$B514=Screener!$B$5,-999999,IF(ISNUMBER(SEARCH(","&amp;Database!$A514&amp;",",","&amp;SUBSTITUTE(Screener!$D$17," ","")&amp;",")),2000000,IF(IF(OR(Screener!$B$18="All",AND(Screener!$B$18="With A-share",(Database!$BK514="Y")),AND(Screener!$B$18="Without A-share",NOT((Database!$BK514="Y")))),1,0)=0,-999999,IF(Screener!$B$16="cornerstone overlap first",H514*100000,IF(Screener!$B$16="demand-similar first",J514*100000,0))+W_SUB*B514+W_SEC*C514*(1-B514)+W_SIZE*D514+W_PROF*E514+W_AH*F514+W_REC*G514+W_CS*H514+W_PE*I514)))+ROW()/1000000</f>
        <v/>
      </c>
      <c r="AA514">
        <f>Database!B504</f>
        <v/>
      </c>
      <c r="AB514">
        <f>Database!D504</f>
        <v/>
      </c>
      <c r="AC514">
        <f>Database!E504</f>
        <v/>
      </c>
      <c r="AD514">
        <f>Database!I504</f>
        <v/>
      </c>
      <c r="AE514">
        <f>Database!BE504</f>
        <v/>
      </c>
      <c r="AF514">
        <f>Database!BK504</f>
        <v/>
      </c>
      <c r="AG514">
        <f>Database!H504</f>
        <v/>
      </c>
      <c r="AH514">
        <f>Database!BF504</f>
        <v/>
      </c>
    </row>
    <row r="515">
      <c r="A515">
        <f>Database!B515</f>
        <v/>
      </c>
      <c r="B515">
        <f>IF(AND(Screener!$D$8&lt;&gt;"",Database!$E515=Screener!$D$8),1,0)</f>
        <v/>
      </c>
      <c r="C515">
        <f>IF(AND(Screener!$D$7&lt;&gt;"",Database!$D515=Screener!$D$7),1,0)</f>
        <v/>
      </c>
      <c r="D515">
        <f>IF(OR(N(Database!$I515)&lt;=0,N(Screener!$D$9)&lt;=0),0,MAX(0,1-ABS(LOG10(N(Database!$I515)/Screener!$D$9))/W_SIZEHW))</f>
        <v/>
      </c>
      <c r="E515">
        <f>IF(OR(Database!$BE515="",Screener!$D$10=""),0,IF(Database!$BE515=Screener!$D$10,1,0))</f>
        <v/>
      </c>
      <c r="F515">
        <f>IF(OR(Database!$BK515="",Screener!$D$11=""),0,IF(Database!$BK515=Screener!$D$11,1,0))</f>
        <v/>
      </c>
      <c r="G515">
        <f>IF(OR(Database!$H515="",N(Screener!$D$12)&lt;=0),0,MAX(0,1-(N(Screener!$D$12)-Database!$H515)/W_RECD))</f>
        <v/>
      </c>
      <c r="H515">
        <f>IF($U$1="",0,N(ISNUMBER(SEARCH($U$1,Database!$Z515&amp;""))))+IF($V$1="",0,N(ISNUMBER(SEARCH($V$1,Database!$Z515&amp;""))))+IF($W$1="",0,N(ISNUMBER(SEARCH($W$1,Database!$Z515&amp;""))))+IF($X$1="",0,N(ISNUMBER(SEARCH($X$1,Database!$Z515&amp;""))))+IF($Y$1="",0,N(ISNUMBER(SEARCH($Y$1,Database!$Z515&amp;""))))+IF(Screener!$B$17="",0,N(ISNUMBER(SEARCH(LOWER(Screener!$B$17),Database!$Z515&amp;""))))</f>
        <v/>
      </c>
      <c r="I515">
        <f>IF(OR(N(Database!$BF515)&lt;=0,N(Screener!$D$13)&lt;=0),0,MAX(0,1-ABS(LOG10(N(Database!$BF515)/Screener!$D$13))/W_PEHW))</f>
        <v/>
      </c>
      <c r="J515">
        <f>IF(OR(N(Database!$S515)&lt;=0,N(Screener!$D$14)&lt;=0),0,MAX(0,1-ABS(LOG10(Database!$S515/Screener!$D$14))/0.6))</f>
        <v/>
      </c>
      <c r="K515">
        <f>IF(Database!$B515=Screener!$B$5,-999999,IF(ISNUMBER(SEARCH(","&amp;Database!$A515&amp;",",","&amp;SUBSTITUTE(Screener!$D$17," ","")&amp;",")),2000000,IF(IF(OR(Screener!$B$18="All",AND(Screener!$B$18="With A-share",(Database!$BK515="Y")),AND(Screener!$B$18="Without A-share",NOT((Database!$BK515="Y")))),1,0)=0,-999999,IF(Screener!$B$16="cornerstone overlap first",H515*100000,IF(Screener!$B$16="demand-similar first",J515*100000,0))+W_SUB*B515+W_SEC*C515*(1-B515)+W_SIZE*D515+W_PROF*E515+W_AH*F515+W_REC*G515+W_CS*H515+W_PE*I515)))+ROW()/1000000</f>
        <v/>
      </c>
      <c r="AA515">
        <f>Database!B505</f>
        <v/>
      </c>
      <c r="AB515">
        <f>Database!D505</f>
        <v/>
      </c>
      <c r="AC515">
        <f>Database!E505</f>
        <v/>
      </c>
      <c r="AD515">
        <f>Database!I505</f>
        <v/>
      </c>
      <c r="AE515">
        <f>Database!BE505</f>
        <v/>
      </c>
      <c r="AF515">
        <f>Database!BK505</f>
        <v/>
      </c>
      <c r="AG515">
        <f>Database!H505</f>
        <v/>
      </c>
      <c r="AH515">
        <f>Database!BF505</f>
        <v/>
      </c>
    </row>
    <row r="516">
      <c r="A516">
        <f>Database!B516</f>
        <v/>
      </c>
      <c r="B516">
        <f>IF(AND(Screener!$D$8&lt;&gt;"",Database!$E516=Screener!$D$8),1,0)</f>
        <v/>
      </c>
      <c r="C516">
        <f>IF(AND(Screener!$D$7&lt;&gt;"",Database!$D516=Screener!$D$7),1,0)</f>
        <v/>
      </c>
      <c r="D516">
        <f>IF(OR(N(Database!$I516)&lt;=0,N(Screener!$D$9)&lt;=0),0,MAX(0,1-ABS(LOG10(N(Database!$I516)/Screener!$D$9))/W_SIZEHW))</f>
        <v/>
      </c>
      <c r="E516">
        <f>IF(OR(Database!$BE516="",Screener!$D$10=""),0,IF(Database!$BE516=Screener!$D$10,1,0))</f>
        <v/>
      </c>
      <c r="F516">
        <f>IF(OR(Database!$BK516="",Screener!$D$11=""),0,IF(Database!$BK516=Screener!$D$11,1,0))</f>
        <v/>
      </c>
      <c r="G516">
        <f>IF(OR(Database!$H516="",N(Screener!$D$12)&lt;=0),0,MAX(0,1-(N(Screener!$D$12)-Database!$H516)/W_RECD))</f>
        <v/>
      </c>
      <c r="H516">
        <f>IF($U$1="",0,N(ISNUMBER(SEARCH($U$1,Database!$Z516&amp;""))))+IF($V$1="",0,N(ISNUMBER(SEARCH($V$1,Database!$Z516&amp;""))))+IF($W$1="",0,N(ISNUMBER(SEARCH($W$1,Database!$Z516&amp;""))))+IF($X$1="",0,N(ISNUMBER(SEARCH($X$1,Database!$Z516&amp;""))))+IF($Y$1="",0,N(ISNUMBER(SEARCH($Y$1,Database!$Z516&amp;""))))+IF(Screener!$B$17="",0,N(ISNUMBER(SEARCH(LOWER(Screener!$B$17),Database!$Z516&amp;""))))</f>
        <v/>
      </c>
      <c r="I516">
        <f>IF(OR(N(Database!$BF516)&lt;=0,N(Screener!$D$13)&lt;=0),0,MAX(0,1-ABS(LOG10(N(Database!$BF516)/Screener!$D$13))/W_PEHW))</f>
        <v/>
      </c>
      <c r="J516">
        <f>IF(OR(N(Database!$S516)&lt;=0,N(Screener!$D$14)&lt;=0),0,MAX(0,1-ABS(LOG10(Database!$S516/Screener!$D$14))/0.6))</f>
        <v/>
      </c>
      <c r="K516">
        <f>IF(Database!$B516=Screener!$B$5,-999999,IF(ISNUMBER(SEARCH(","&amp;Database!$A516&amp;",",","&amp;SUBSTITUTE(Screener!$D$17," ","")&amp;",")),2000000,IF(IF(OR(Screener!$B$18="All",AND(Screener!$B$18="With A-share",(Database!$BK516="Y")),AND(Screener!$B$18="Without A-share",NOT((Database!$BK516="Y")))),1,0)=0,-999999,IF(Screener!$B$16="cornerstone overlap first",H516*100000,IF(Screener!$B$16="demand-similar first",J516*100000,0))+W_SUB*B516+W_SEC*C516*(1-B516)+W_SIZE*D516+W_PROF*E516+W_AH*F516+W_REC*G516+W_CS*H516+W_PE*I516)))+ROW()/1000000</f>
        <v/>
      </c>
      <c r="AA516">
        <f>Database!B506</f>
        <v/>
      </c>
      <c r="AB516">
        <f>Database!D506</f>
        <v/>
      </c>
      <c r="AC516">
        <f>Database!E506</f>
        <v/>
      </c>
      <c r="AD516">
        <f>Database!I506</f>
        <v/>
      </c>
      <c r="AE516">
        <f>Database!BE506</f>
        <v/>
      </c>
      <c r="AF516">
        <f>Database!BK506</f>
        <v/>
      </c>
      <c r="AG516">
        <f>Database!H506</f>
        <v/>
      </c>
      <c r="AH516">
        <f>Database!BF506</f>
        <v/>
      </c>
    </row>
    <row r="517">
      <c r="A517">
        <f>Database!B517</f>
        <v/>
      </c>
      <c r="B517">
        <f>IF(AND(Screener!$D$8&lt;&gt;"",Database!$E517=Screener!$D$8),1,0)</f>
        <v/>
      </c>
      <c r="C517">
        <f>IF(AND(Screener!$D$7&lt;&gt;"",Database!$D517=Screener!$D$7),1,0)</f>
        <v/>
      </c>
      <c r="D517">
        <f>IF(OR(N(Database!$I517)&lt;=0,N(Screener!$D$9)&lt;=0),0,MAX(0,1-ABS(LOG10(N(Database!$I517)/Screener!$D$9))/W_SIZEHW))</f>
        <v/>
      </c>
      <c r="E517">
        <f>IF(OR(Database!$BE517="",Screener!$D$10=""),0,IF(Database!$BE517=Screener!$D$10,1,0))</f>
        <v/>
      </c>
      <c r="F517">
        <f>IF(OR(Database!$BK517="",Screener!$D$11=""),0,IF(Database!$BK517=Screener!$D$11,1,0))</f>
        <v/>
      </c>
      <c r="G517">
        <f>IF(OR(Database!$H517="",N(Screener!$D$12)&lt;=0),0,MAX(0,1-(N(Screener!$D$12)-Database!$H517)/W_RECD))</f>
        <v/>
      </c>
      <c r="H517">
        <f>IF($U$1="",0,N(ISNUMBER(SEARCH($U$1,Database!$Z517&amp;""))))+IF($V$1="",0,N(ISNUMBER(SEARCH($V$1,Database!$Z517&amp;""))))+IF($W$1="",0,N(ISNUMBER(SEARCH($W$1,Database!$Z517&amp;""))))+IF($X$1="",0,N(ISNUMBER(SEARCH($X$1,Database!$Z517&amp;""))))+IF($Y$1="",0,N(ISNUMBER(SEARCH($Y$1,Database!$Z517&amp;""))))+IF(Screener!$B$17="",0,N(ISNUMBER(SEARCH(LOWER(Screener!$B$17),Database!$Z517&amp;""))))</f>
        <v/>
      </c>
      <c r="I517">
        <f>IF(OR(N(Database!$BF517)&lt;=0,N(Screener!$D$13)&lt;=0),0,MAX(0,1-ABS(LOG10(N(Database!$BF517)/Screener!$D$13))/W_PEHW))</f>
        <v/>
      </c>
      <c r="J517">
        <f>IF(OR(N(Database!$S517)&lt;=0,N(Screener!$D$14)&lt;=0),0,MAX(0,1-ABS(LOG10(Database!$S517/Screener!$D$14))/0.6))</f>
        <v/>
      </c>
      <c r="K517">
        <f>IF(Database!$B517=Screener!$B$5,-999999,IF(ISNUMBER(SEARCH(","&amp;Database!$A517&amp;",",","&amp;SUBSTITUTE(Screener!$D$17," ","")&amp;",")),2000000,IF(IF(OR(Screener!$B$18="All",AND(Screener!$B$18="With A-share",(Database!$BK517="Y")),AND(Screener!$B$18="Without A-share",NOT((Database!$BK517="Y")))),1,0)=0,-999999,IF(Screener!$B$16="cornerstone overlap first",H517*100000,IF(Screener!$B$16="demand-similar first",J517*100000,0))+W_SUB*B517+W_SEC*C517*(1-B517)+W_SIZE*D517+W_PROF*E517+W_AH*F517+W_REC*G517+W_CS*H517+W_PE*I517)))+ROW()/1000000</f>
        <v/>
      </c>
      <c r="AA517">
        <f>Database!B507</f>
        <v/>
      </c>
      <c r="AB517">
        <f>Database!D507</f>
        <v/>
      </c>
      <c r="AC517">
        <f>Database!E507</f>
        <v/>
      </c>
      <c r="AD517">
        <f>Database!I507</f>
        <v/>
      </c>
      <c r="AE517">
        <f>Database!BE507</f>
        <v/>
      </c>
      <c r="AF517">
        <f>Database!BK507</f>
        <v/>
      </c>
      <c r="AG517">
        <f>Database!H507</f>
        <v/>
      </c>
      <c r="AH517">
        <f>Database!BF507</f>
        <v/>
      </c>
    </row>
    <row r="518">
      <c r="A518">
        <f>Database!B518</f>
        <v/>
      </c>
      <c r="B518">
        <f>IF(AND(Screener!$D$8&lt;&gt;"",Database!$E518=Screener!$D$8),1,0)</f>
        <v/>
      </c>
      <c r="C518">
        <f>IF(AND(Screener!$D$7&lt;&gt;"",Database!$D518=Screener!$D$7),1,0)</f>
        <v/>
      </c>
      <c r="D518">
        <f>IF(OR(N(Database!$I518)&lt;=0,N(Screener!$D$9)&lt;=0),0,MAX(0,1-ABS(LOG10(N(Database!$I518)/Screener!$D$9))/W_SIZEHW))</f>
        <v/>
      </c>
      <c r="E518">
        <f>IF(OR(Database!$BE518="",Screener!$D$10=""),0,IF(Database!$BE518=Screener!$D$10,1,0))</f>
        <v/>
      </c>
      <c r="F518">
        <f>IF(OR(Database!$BK518="",Screener!$D$11=""),0,IF(Database!$BK518=Screener!$D$11,1,0))</f>
        <v/>
      </c>
      <c r="G518">
        <f>IF(OR(Database!$H518="",N(Screener!$D$12)&lt;=0),0,MAX(0,1-(N(Screener!$D$12)-Database!$H518)/W_RECD))</f>
        <v/>
      </c>
      <c r="H518">
        <f>IF($U$1="",0,N(ISNUMBER(SEARCH($U$1,Database!$Z518&amp;""))))+IF($V$1="",0,N(ISNUMBER(SEARCH($V$1,Database!$Z518&amp;""))))+IF($W$1="",0,N(ISNUMBER(SEARCH($W$1,Database!$Z518&amp;""))))+IF($X$1="",0,N(ISNUMBER(SEARCH($X$1,Database!$Z518&amp;""))))+IF($Y$1="",0,N(ISNUMBER(SEARCH($Y$1,Database!$Z518&amp;""))))+IF(Screener!$B$17="",0,N(ISNUMBER(SEARCH(LOWER(Screener!$B$17),Database!$Z518&amp;""))))</f>
        <v/>
      </c>
      <c r="I518">
        <f>IF(OR(N(Database!$BF518)&lt;=0,N(Screener!$D$13)&lt;=0),0,MAX(0,1-ABS(LOG10(N(Database!$BF518)/Screener!$D$13))/W_PEHW))</f>
        <v/>
      </c>
      <c r="J518">
        <f>IF(OR(N(Database!$S518)&lt;=0,N(Screener!$D$14)&lt;=0),0,MAX(0,1-ABS(LOG10(Database!$S518/Screener!$D$14))/0.6))</f>
        <v/>
      </c>
      <c r="K518">
        <f>IF(Database!$B518=Screener!$B$5,-999999,IF(ISNUMBER(SEARCH(","&amp;Database!$A518&amp;",",","&amp;SUBSTITUTE(Screener!$D$17," ","")&amp;",")),2000000,IF(IF(OR(Screener!$B$18="All",AND(Screener!$B$18="With A-share",(Database!$BK518="Y")),AND(Screener!$B$18="Without A-share",NOT((Database!$BK518="Y")))),1,0)=0,-999999,IF(Screener!$B$16="cornerstone overlap first",H518*100000,IF(Screener!$B$16="demand-similar first",J518*100000,0))+W_SUB*B518+W_SEC*C518*(1-B518)+W_SIZE*D518+W_PROF*E518+W_AH*F518+W_REC*G518+W_CS*H518+W_PE*I518)))+ROW()/1000000</f>
        <v/>
      </c>
      <c r="AA518">
        <f>Database!B508</f>
        <v/>
      </c>
      <c r="AB518">
        <f>Database!D508</f>
        <v/>
      </c>
      <c r="AC518">
        <f>Database!E508</f>
        <v/>
      </c>
      <c r="AD518">
        <f>Database!I508</f>
        <v/>
      </c>
      <c r="AE518">
        <f>Database!BE508</f>
        <v/>
      </c>
      <c r="AF518">
        <f>Database!BK508</f>
        <v/>
      </c>
      <c r="AG518">
        <f>Database!H508</f>
        <v/>
      </c>
      <c r="AH518">
        <f>Database!BF508</f>
        <v/>
      </c>
    </row>
    <row r="519">
      <c r="AA519">
        <f>Database!B509</f>
        <v/>
      </c>
      <c r="AB519">
        <f>Database!D509</f>
        <v/>
      </c>
      <c r="AC519">
        <f>Database!E509</f>
        <v/>
      </c>
      <c r="AD519">
        <f>Database!I509</f>
        <v/>
      </c>
      <c r="AE519">
        <f>Database!BE509</f>
        <v/>
      </c>
      <c r="AF519">
        <f>Database!BK509</f>
        <v/>
      </c>
      <c r="AG519">
        <f>Database!H509</f>
        <v/>
      </c>
      <c r="AH519">
        <f>Database!BF509</f>
        <v/>
      </c>
    </row>
    <row r="520">
      <c r="AA520">
        <f>Database!B510</f>
        <v/>
      </c>
      <c r="AB520">
        <f>Database!D510</f>
        <v/>
      </c>
      <c r="AC520">
        <f>Database!E510</f>
        <v/>
      </c>
      <c r="AD520">
        <f>Database!I510</f>
        <v/>
      </c>
      <c r="AE520">
        <f>Database!BE510</f>
        <v/>
      </c>
      <c r="AF520">
        <f>Database!BK510</f>
        <v/>
      </c>
      <c r="AG520">
        <f>Database!H510</f>
        <v/>
      </c>
      <c r="AH520">
        <f>Database!BF510</f>
        <v/>
      </c>
    </row>
    <row r="521">
      <c r="AA521">
        <f>Database!B511</f>
        <v/>
      </c>
      <c r="AB521">
        <f>Database!D511</f>
        <v/>
      </c>
      <c r="AC521">
        <f>Database!E511</f>
        <v/>
      </c>
      <c r="AD521">
        <f>Database!I511</f>
        <v/>
      </c>
      <c r="AE521">
        <f>Database!BE511</f>
        <v/>
      </c>
      <c r="AF521">
        <f>Database!BK511</f>
        <v/>
      </c>
      <c r="AG521">
        <f>Database!H511</f>
        <v/>
      </c>
      <c r="AH521">
        <f>Database!BF511</f>
        <v/>
      </c>
    </row>
    <row r="522">
      <c r="AA522">
        <f>Database!B512</f>
        <v/>
      </c>
      <c r="AB522">
        <f>Database!D512</f>
        <v/>
      </c>
      <c r="AC522">
        <f>Database!E512</f>
        <v/>
      </c>
      <c r="AD522">
        <f>Database!I512</f>
        <v/>
      </c>
      <c r="AE522">
        <f>Database!BE512</f>
        <v/>
      </c>
      <c r="AF522">
        <f>Database!BK512</f>
        <v/>
      </c>
      <c r="AG522">
        <f>Database!H512</f>
        <v/>
      </c>
      <c r="AH522">
        <f>Database!BF512</f>
        <v/>
      </c>
    </row>
    <row r="523">
      <c r="AA523">
        <f>Database!B513</f>
        <v/>
      </c>
      <c r="AB523">
        <f>Database!D513</f>
        <v/>
      </c>
      <c r="AC523">
        <f>Database!E513</f>
        <v/>
      </c>
      <c r="AD523">
        <f>Database!I513</f>
        <v/>
      </c>
      <c r="AE523">
        <f>Database!BE513</f>
        <v/>
      </c>
      <c r="AF523">
        <f>Database!BK513</f>
        <v/>
      </c>
      <c r="AG523">
        <f>Database!H513</f>
        <v/>
      </c>
      <c r="AH523">
        <f>Database!BF513</f>
        <v/>
      </c>
    </row>
    <row r="524">
      <c r="AA524">
        <f>Database!B514</f>
        <v/>
      </c>
      <c r="AB524">
        <f>Database!D514</f>
        <v/>
      </c>
      <c r="AC524">
        <f>Database!E514</f>
        <v/>
      </c>
      <c r="AD524">
        <f>Database!I514</f>
        <v/>
      </c>
      <c r="AE524">
        <f>Database!BE514</f>
        <v/>
      </c>
      <c r="AF524">
        <f>Database!BK514</f>
        <v/>
      </c>
      <c r="AG524">
        <f>Database!H514</f>
        <v/>
      </c>
      <c r="AH524">
        <f>Database!BF514</f>
        <v/>
      </c>
    </row>
    <row r="525">
      <c r="AA525">
        <f>Database!B515</f>
        <v/>
      </c>
      <c r="AB525">
        <f>Database!D515</f>
        <v/>
      </c>
      <c r="AC525">
        <f>Database!E515</f>
        <v/>
      </c>
      <c r="AD525">
        <f>Database!I515</f>
        <v/>
      </c>
      <c r="AE525">
        <f>Database!BE515</f>
        <v/>
      </c>
      <c r="AF525">
        <f>Database!BK515</f>
        <v/>
      </c>
      <c r="AG525">
        <f>Database!H515</f>
        <v/>
      </c>
      <c r="AH525">
        <f>Database!BF515</f>
        <v/>
      </c>
    </row>
    <row r="526">
      <c r="AA526">
        <f>Database!B516</f>
        <v/>
      </c>
      <c r="AB526">
        <f>Database!D516</f>
        <v/>
      </c>
      <c r="AC526">
        <f>Database!E516</f>
        <v/>
      </c>
      <c r="AD526">
        <f>Database!I516</f>
        <v/>
      </c>
      <c r="AE526">
        <f>Database!BE516</f>
        <v/>
      </c>
      <c r="AF526">
        <f>Database!BK516</f>
        <v/>
      </c>
      <c r="AG526">
        <f>Database!H516</f>
        <v/>
      </c>
      <c r="AH526">
        <f>Database!BF516</f>
        <v/>
      </c>
    </row>
    <row r="527">
      <c r="AA527">
        <f>Database!B517</f>
        <v/>
      </c>
      <c r="AB527">
        <f>Database!D517</f>
        <v/>
      </c>
      <c r="AC527">
        <f>Database!E517</f>
        <v/>
      </c>
      <c r="AD527">
        <f>Database!I517</f>
        <v/>
      </c>
      <c r="AE527">
        <f>Database!BE517</f>
        <v/>
      </c>
      <c r="AF527">
        <f>Database!BK517</f>
        <v/>
      </c>
      <c r="AG527">
        <f>Database!H517</f>
        <v/>
      </c>
      <c r="AH527">
        <f>Database!BF517</f>
        <v/>
      </c>
    </row>
    <row r="528">
      <c r="AA528">
        <f>Database!B518</f>
        <v/>
      </c>
      <c r="AB528">
        <f>Database!D518</f>
        <v/>
      </c>
      <c r="AC528">
        <f>Database!E518</f>
        <v/>
      </c>
      <c r="AD528">
        <f>Database!I518</f>
        <v/>
      </c>
      <c r="AE528">
        <f>Database!BE518</f>
        <v/>
      </c>
      <c r="AF528">
        <f>Database!BK518</f>
        <v/>
      </c>
      <c r="AG528">
        <f>Database!H518</f>
        <v/>
      </c>
      <c r="AH528">
        <f>Database!BF518</f>
        <v/>
      </c>
    </row>
  </sheetData>
  <pageMargins left="0.75" right="0.75" top="1" bottom="1" header="0.5" footer="0.5"/>
</worksheet>
</file>

<file path=xl/worksheets/sheet14.xml><?xml version="1.0" encoding="utf-8"?>
<worksheet xmlns="http://schemas.openxmlformats.org/spreadsheetml/2006/main">
  <sheetPr>
    <tabColor rgb="00BFBFBF"/>
    <outlinePr summaryBelow="1" summaryRight="1"/>
    <pageSetUpPr/>
  </sheetPr>
  <dimension ref="A1:C76"/>
  <sheetViews>
    <sheetView workbookViewId="0">
      <selection activeCell="A1" sqref="A1"/>
    </sheetView>
  </sheetViews>
  <sheetFormatPr baseColWidth="8" defaultRowHeight="15"/>
  <cols>
    <col width="24" customWidth="1" min="1" max="1"/>
    <col width="96" customWidth="1" min="2" max="2"/>
    <col width="40" customWidth="1" min="3" max="3"/>
  </cols>
  <sheetData>
    <row r="1">
      <c r="A1" s="1" t="inlineStr">
        <is>
          <t>HK IPO DATABASE</t>
        </is>
      </c>
    </row>
    <row r="2">
      <c r="A2" s="2" t="inlineStr">
        <is>
          <t>514 Main Board IPOs 2021-2026 + pipeline · data as of 2026-09-07</t>
        </is>
      </c>
    </row>
    <row r="3"/>
    <row r="4">
      <c r="A4" s="63" t="inlineStr"/>
      <c r="B4" s="63" t="inlineStr"/>
    </row>
    <row r="5">
      <c r="A5" s="14" t="inlineStr">
        <is>
          <t>Blue cells</t>
        </is>
      </c>
      <c r="B5" s="63" t="inlineStr">
        <is>
          <t>you type these. Everything else calculates.</t>
        </is>
      </c>
    </row>
    <row r="6">
      <c r="A6" s="14" t="inlineStr">
        <is>
          <t>Start here</t>
        </is>
      </c>
      <c r="B6" s="63" t="inlineStr">
        <is>
          <t>Screener tab — pick a deal OR type your own terms; comps rank instantly.</t>
        </is>
      </c>
    </row>
    <row r="7">
      <c r="A7" s="14" t="inlineStr">
        <is>
          <t>Screener</t>
        </is>
      </c>
      <c r="B7" s="63" t="inlineStr">
        <is>
          <t>pick any past or pipeline deal, get its closest comps.</t>
        </is>
      </c>
    </row>
    <row r="8">
      <c r="A8" s="14" t="inlineStr">
        <is>
          <t>CS League</t>
        </is>
      </c>
      <c r="B8" s="63" t="inlineStr">
        <is>
          <t>one row per cornerstone investor: every deal they anchored, average day-1 pop and 1w/1m/3m ex-pop. Same grouping key as the Screener.</t>
        </is>
      </c>
    </row>
    <row r="9">
      <c r="A9" s="14" t="inlineStr">
        <is>
          <t>SM League</t>
        </is>
      </c>
      <c r="B9" s="63" t="inlineStr">
        <is>
          <t>the same table for STABILISING MANAGERS — the bank holding the greenshoe and the after-market bid. Read it against CS League: one says who anchored the deal, the other who defended it. The shoe columns are the tell — exercised in full means the price never needed support; lapsed means stock was bought back in.</t>
        </is>
      </c>
    </row>
    <row r="10">
      <c r="A10" s="14" t="inlineStr">
        <is>
          <t>Eff. free float</t>
        </is>
      </c>
      <c r="B10" s="63" t="inlineStr">
        <is>
          <t>deal size x (1 - cornerstone %) / market cap - the slice of the company that can actually trade on day 1 (cornerstones are locked 6 months).</t>
        </is>
      </c>
    </row>
    <row r="11">
      <c r="A11" s="14" t="inlineStr">
        <is>
          <t>Analogs</t>
        </is>
      </c>
      <c r="B11" s="63" t="inlineStr">
        <is>
          <t>the raw subscription-bucket history behind the Screener read-out.</t>
        </is>
      </c>
    </row>
    <row r="12">
      <c r="A12" s="14" t="inlineStr">
        <is>
          <t>Green / amber</t>
        </is>
      </c>
      <c r="B12" s="63" t="inlineStr">
        <is>
          <t>cross-checked / single-source or judgment.</t>
        </is>
      </c>
    </row>
    <row r="13">
      <c r="A13" s="14" t="inlineStr">
        <is>
          <t>Money</t>
        </is>
      </c>
      <c r="B13" s="63" t="inlineStr">
        <is>
          <t>HK$ millions. Day-1 + = closed above offer. A premium + = A trades ABOVE H.</t>
        </is>
      </c>
    </row>
    <row r="14">
      <c r="A14" s="14" t="inlineStr">
        <is>
          <t>Subscription</t>
        </is>
      </c>
      <c r="B14" s="63" t="inlineStr">
        <is>
          <t>filing basis: 10x = ten times the shares on offer. Bloomberg CP036/CP037 override the scrape wherever the desk paste carries them.</t>
        </is>
      </c>
    </row>
    <row r="15">
      <c r="A15" s="14" t="inlineStr">
        <is>
          <t>Ex-pop columns</t>
        </is>
      </c>
      <c r="B15" s="63" t="inlineStr">
        <is>
          <t>TEAL headers. 1w/1m/3m ex-pop start at the day-1 CLOSE (standard aftermarket basis); Alpha 1m ex-pop nets the index over the identical window. The TRADEABLE-entry view — buy at the day-1 OPEN — is the Day-1 open→close column here plus the open-rebased charts in the dashboard.</t>
        </is>
      </c>
    </row>
    <row r="16">
      <c r="A16" s="14" t="inlineStr">
        <is>
          <t>P/E &amp; P/S basis</t>
        </is>
      </c>
      <c r="B16" s="63" t="inlineStr">
        <is>
          <t>ALL at-IPO multiples are TRAILING, never forward: market cap at the final offer price ÷ the last FULL pre-IPO fiscal year's net income (P/E) or revenue (P/S), as filed in the prospectus. One basis for every deal AND the pipeline's expected multiples, so they compare. Loss-makers show n/m P/E — use P/S; an 18A pre-revenue biotech's huge P/S is shown with its scale explained rather than left blank.</t>
        </is>
      </c>
    </row>
    <row r="17">
      <c r="A17" s="14" t="inlineStr">
        <is>
          <t>P/E, two readings — WHICH TO USE</t>
        </is>
      </c>
      <c r="B17" s="63" t="inlineStr">
        <is>
          <t>There are two AT-IPO P/E columns and they are both right, on different bases. 'P/E at IPO' = final mktcap ÷ last PRE-IPO fiscal-year net income, the prospectus basis — the SAME basis for all 514 rows, with both inputs visible as columns beside it. 'P/E at IPO (BBG)' = price ÷ trailing-12m EPS at listing, Bloomberg's own basis. They diverge most for 2021-23 vintages (median BBG/ours ~0.5) because earnings grew between the covered FY and listing and BBG uses weighted pre-deal shares. USE OURS to compare deals against each other — it is the only one computed identically for every row, and you can audit it. USE BLOOMBERG'S when quoting a number someone will check on a terminal, because that is what they will see. The book already treats BBG as the referee: where our derived multiple breaks the plausibility cap, a BBG print within 25% restores it as real (CALB at ~549x), and agreement at an absurd level is read as a shared data artifact rather than a confirmation.</t>
        </is>
      </c>
    </row>
    <row r="18">
      <c r="A18" s="14" t="inlineStr">
        <is>
          <t>P/E today / P/S today</t>
        </is>
      </c>
      <c r="B18" s="63" t="inlineStr">
        <is>
          <t>'P/E today (BBG)' is the desk paste; 'P/S today (BBG)' has no public source at all, so every row resolves off BBG Verify col S on the terminal and says 'run on terminal' off it. Both sit in FUNDAMENTALS beside the at-IPO multiples so the then-vs-now comparison is one glance.</t>
        </is>
      </c>
    </row>
    <row r="19">
      <c r="A19" s="14" t="inlineStr">
        <is>
          <t>P/S now (Screener)</t>
        </is>
      </c>
      <c r="B19" s="63" t="inlineStr">
        <is>
          <t>live BDP PX_TO_SALES_RATIO beside P/E now — resolves on the terminal; off-terminal it falls back to the at-IPO P/S.</t>
        </is>
      </c>
    </row>
    <row r="20">
      <c r="A20" s="14" t="inlineStr">
        <is>
          <t>A-share mkt cap now</t>
        </is>
      </c>
      <c r="B20" s="63" t="inlineStr">
        <is>
          <t>the Tencent snapshot fills it for A/H pairs; where it cannot, the cell resolves off BBG Verify col T (CUR_MKT_CAP on the A ticker). Non-A/H rows read N/A.</t>
        </is>
      </c>
    </row>
    <row r="21">
      <c r="A21" s="14" t="inlineStr">
        <is>
          <t>Force-include (D17)</t>
        </is>
      </c>
      <c r="B21" s="63" t="inlineStr">
        <is>
          <t>type codes comma-separated (e.g. 9888, 2015) and those deals pin to the top of the comps, past every filter. Same control exists in the dashboard's Screener.</t>
        </is>
      </c>
    </row>
    <row r="22">
      <c r="A22" s="63" t="inlineStr"/>
      <c r="B22" s="63" t="inlineStr"/>
    </row>
    <row r="23">
      <c r="A23" s="14" t="inlineStr">
        <is>
          <t>Not captured</t>
        </is>
      </c>
      <c r="B23" s="63" t="inlineStr">
        <is>
          <t>underwriting fee splits (never public per deal).</t>
        </is>
      </c>
    </row>
    <row r="24">
      <c r="A24" s="14" t="inlineStr">
        <is>
          <t>Judgment call</t>
        </is>
      </c>
      <c r="B24" s="63" t="inlineStr">
        <is>
          <t>sector and subsector are analyst-assigned, shown amber.</t>
        </is>
      </c>
    </row>
    <row r="25"/>
    <row r="26">
      <c r="A26" s="14" t="inlineStr">
        <is>
          <t>SCREENER WEIGHTS (edit to re-tune)</t>
        </is>
      </c>
    </row>
    <row r="27">
      <c r="A27" s="14" t="inlineStr">
        <is>
          <t>W_SUB</t>
        </is>
      </c>
      <c r="B27" s="7" t="n">
        <v>1000</v>
      </c>
      <c r="C27" s="2" t="inlineStr">
        <is>
          <t>same subsector — dominant by design</t>
        </is>
      </c>
    </row>
    <row r="28">
      <c r="A28" s="14" t="inlineStr">
        <is>
          <t>W_SEC</t>
        </is>
      </c>
      <c r="B28" s="7" t="n">
        <v>300</v>
      </c>
      <c r="C28" s="2" t="inlineStr">
        <is>
          <t>same sector fallback</t>
        </is>
      </c>
    </row>
    <row r="29">
      <c r="A29" s="14" t="inlineStr">
        <is>
          <t>W_SIZE</t>
        </is>
      </c>
      <c r="B29" s="7" t="n">
        <v>200</v>
      </c>
      <c r="C29" s="2" t="inlineStr">
        <is>
          <t>size proximity</t>
        </is>
      </c>
    </row>
    <row r="30">
      <c r="A30" s="14" t="inlineStr">
        <is>
          <t>W_PROF</t>
        </is>
      </c>
      <c r="B30" s="7" t="n">
        <v>80</v>
      </c>
      <c r="C30" s="2" t="inlineStr">
        <is>
          <t>profitability match</t>
        </is>
      </c>
    </row>
    <row r="31">
      <c r="A31" s="14" t="inlineStr">
        <is>
          <t>W_AH</t>
        </is>
      </c>
      <c r="B31" s="7" t="n">
        <v>50</v>
      </c>
      <c r="C31" s="2" t="inlineStr">
        <is>
          <t>H-share match</t>
        </is>
      </c>
    </row>
    <row r="32">
      <c r="A32" s="14" t="inlineStr">
        <is>
          <t>W_REC</t>
        </is>
      </c>
      <c r="B32" s="7" t="n">
        <v>80</v>
      </c>
      <c r="C32" s="2" t="inlineStr">
        <is>
          <t>recency</t>
        </is>
      </c>
    </row>
    <row r="33">
      <c r="A33" s="14" t="inlineStr">
        <is>
          <t>W_CS</t>
        </is>
      </c>
      <c r="B33" s="7" t="n">
        <v>12</v>
      </c>
      <c r="C33" s="2" t="inlineStr">
        <is>
          <t>shares a cornerstone investor with the target</t>
        </is>
      </c>
    </row>
    <row r="34">
      <c r="A34" s="14" t="inlineStr">
        <is>
          <t>W_PE</t>
        </is>
      </c>
      <c r="B34" s="7" t="n">
        <v>150</v>
      </c>
      <c r="C34" s="2" t="inlineStr">
        <is>
          <t>P/E proximity — closer multiples rank higher (beats profitability)</t>
        </is>
      </c>
    </row>
    <row r="35">
      <c r="A35" s="14" t="inlineStr">
        <is>
          <t>W_PEHW</t>
        </is>
      </c>
      <c r="B35" s="7" t="n">
        <v>0.6</v>
      </c>
      <c r="C35" s="2" t="inlineStr">
        <is>
          <t>P/E log half-width</t>
        </is>
      </c>
    </row>
    <row r="36">
      <c r="A36" s="14" t="inlineStr">
        <is>
          <t>W_SIZEHW</t>
        </is>
      </c>
      <c r="B36" s="7" t="n">
        <v>1.5</v>
      </c>
      <c r="C36" s="2" t="inlineStr">
        <is>
          <t>size log half-width</t>
        </is>
      </c>
    </row>
    <row r="37">
      <c r="A37" s="14" t="inlineStr">
        <is>
          <t>W_RECD</t>
        </is>
      </c>
      <c r="B37" s="7" t="n">
        <v>1825</v>
      </c>
      <c r="C37" s="2" t="inlineStr">
        <is>
          <t>recency horizon (days)</t>
        </is>
      </c>
    </row>
    <row r="38"/>
    <row r="39">
      <c r="A39" s="14" t="inlineStr">
        <is>
          <t>WHY THESE WEIGHTS (measured, not assumed)</t>
        </is>
      </c>
    </row>
    <row r="40">
      <c r="A40" s="2" t="inlineStr">
        <is>
          <t>Tested on 24,090 deal pairs: how close were two deals' day-1 returns when they</t>
        </is>
      </c>
    </row>
    <row r="41">
      <c r="A41" s="2" t="inlineStr">
        <is>
          <t>matched on each factor, versus two random deals (median gap 27.5pp)?</t>
        </is>
      </c>
    </row>
    <row r="42">
      <c r="A42" s="2" t="inlineStr">
        <is>
          <t xml:space="preserve">  both A+H .................. 14.2pp  (+49% better than random)</t>
        </is>
      </c>
    </row>
    <row r="43">
      <c r="A43" s="2" t="inlineStr">
        <is>
          <t xml:space="preserve">  subscription within 2x .... 18.6pp  (+32% better)</t>
        </is>
      </c>
    </row>
    <row r="44">
      <c r="A44" s="2" t="inlineStr">
        <is>
          <t xml:space="preserve">  same sector ............... 26.3pp  (+4% better)</t>
        </is>
      </c>
    </row>
    <row r="45">
      <c r="A45" s="2" t="inlineStr">
        <is>
          <t xml:space="preserve">  same subsector ............ 29.2pp  (no better than random)</t>
        </is>
      </c>
    </row>
    <row r="46">
      <c r="A46" s="2" t="inlineStr">
        <is>
          <t xml:space="preserve">  size / P/E / cornerstone .. 29-33pp (no better than random)</t>
        </is>
      </c>
    </row>
    <row r="47">
      <c r="A47" s="2" t="inlineStr">
        <is>
          <t>So subsector-first still decides WHICH companies are comparable (a chip maker is</t>
        </is>
      </c>
    </row>
    <row r="48">
      <c r="A48" s="2" t="inlineStr">
        <is>
          <t>valued against chip makers), but it does NOT predict the debut. When the question</t>
        </is>
      </c>
    </row>
    <row r="49">
      <c r="A49" s="2" t="inlineStr">
        <is>
          <t>is 'how will it trade', switch Rank by -&gt; 'demand-similar first', and read the</t>
        </is>
      </c>
    </row>
    <row r="50">
      <c r="A50" s="2" t="inlineStr">
        <is>
          <t>Analogs tab, where subscription buckets carry the real signal.</t>
        </is>
      </c>
    </row>
    <row r="51"/>
    <row r="52">
      <c r="A52" s="14" t="inlineStr">
        <is>
          <t>WHERE EACH DATABASE COLUMN COMES FROM</t>
        </is>
      </c>
    </row>
    <row r="53">
      <c r="A53" s="12" t="inlineStr">
        <is>
          <t>Column</t>
        </is>
      </c>
      <c r="B53" s="12" t="inlineStr">
        <is>
          <t>Source and method</t>
        </is>
      </c>
    </row>
    <row r="54" ht="26" customHeight="1">
      <c r="A54" s="45" t="inlineStr">
        <is>
          <t>Code / Name / date</t>
        </is>
      </c>
      <c r="B54" s="107" t="inlineStr">
        <is>
          <t>HKEX Allotment Results announcement — every IPO must file one, so the roster is enumerated from the filings themselves, not from a list.</t>
        </is>
      </c>
    </row>
    <row r="55" ht="26" customHeight="1">
      <c r="A55" s="45" t="inlineStr">
        <is>
          <t>Name (CN)</t>
        </is>
      </c>
      <c r="B55" s="107" t="inlineStr">
        <is>
          <t>HKEX bilingual securities feed (activestock/inactivestock _c.json).</t>
        </is>
      </c>
    </row>
    <row r="56" ht="26" customHeight="1">
      <c r="A56" s="45" t="inlineStr">
        <is>
          <t>Sector / Subsector</t>
        </is>
      </c>
      <c r="B56" s="107" t="inlineStr">
        <is>
          <t>Analyst-assigned against data/taxonomy.json. New deals get a provisional keyword label (~49% exact) shown amber until relabelled.</t>
        </is>
      </c>
    </row>
    <row r="57" ht="26" customHeight="1">
      <c r="A57" s="45" t="inlineStr">
        <is>
          <t>Deal size</t>
        </is>
      </c>
      <c r="B57" s="107" t="inlineStr">
        <is>
          <t>Ladder, and the basis is printed beside it: stated gross proceeds &gt; final price x offer shares &gt; net proceeds. From the final-price announcement and the prospectus.</t>
        </is>
      </c>
    </row>
    <row r="58" ht="26" customHeight="1">
      <c r="A58" s="45" t="inlineStr">
        <is>
          <t>Range low / Max-cap</t>
        </is>
      </c>
      <c r="B58" s="107" t="inlineStr">
        <is>
          <t>Prospectus indicative range; the cap is the 'Maximum Offer Price'. A fixed-price offer has no range and is labelled as such.</t>
        </is>
      </c>
    </row>
    <row r="59" ht="26" customHeight="1">
      <c r="A59" s="45" t="inlineStr">
        <is>
          <t>Final px</t>
        </is>
      </c>
      <c r="B59" s="107" t="inlineStr">
        <is>
          <t>Allotment Results announcement (the struck price).</t>
        </is>
      </c>
    </row>
    <row r="60" ht="26" customHeight="1">
      <c r="A60" s="45" t="inlineStr">
        <is>
          <t>% of cap</t>
        </is>
      </c>
      <c r="B60" s="107" t="inlineStr">
        <is>
          <t>final price / cap. Fixed-price offers are 100% by definition.</t>
        </is>
      </c>
    </row>
    <row r="61" ht="26" customHeight="1">
      <c r="A61" s="45" t="inlineStr">
        <is>
          <t>Mkt cap at IPO</t>
        </is>
      </c>
      <c r="B61" s="107" t="inlineStr">
        <is>
          <t>Ladder, printed in 'Mkt cap basis': final price x shares on listing &gt; deal size / offer % of enlarged capital &gt; issuer-stated expected market cap &gt; AAStocks 上市市值 scaled to the struck price. Cross-checked against AAStocks; &gt;25% disagreement is flagged orange.</t>
        </is>
      </c>
    </row>
    <row r="62" ht="26" customHeight="1">
      <c r="A62" s="45" t="inlineStr">
        <is>
          <t>Public / Intl sub</t>
        </is>
      </c>
      <c r="B62" s="107" t="inlineStr">
        <is>
          <t>Allotment Results — the subscription section, read per tranche. Under-subscription (&lt;1x) is captured as data, not dropped.</t>
        </is>
      </c>
    </row>
    <row r="63" ht="26" customHeight="1">
      <c r="A63" s="45" t="inlineStr">
        <is>
          <t>Cornerstone % / investors</t>
        </is>
      </c>
      <c r="B63" s="107" t="inlineStr">
        <is>
          <t>Prospectus cornerstone section (names cleaned of PDF table damage), filled from AAStocks 機構性投資者 where the filing text did not survive extraction.</t>
        </is>
      </c>
    </row>
    <row r="64" ht="26" customHeight="1">
      <c r="A64" s="45" t="inlineStr">
        <is>
          <t>Greenshoe size</t>
        </is>
      </c>
      <c r="B64" s="107" t="inlineStr">
        <is>
          <t>over-allocated shares / offer shares, from the prospectus.</t>
        </is>
      </c>
    </row>
    <row r="65" ht="26" customHeight="1">
      <c r="A65" s="45" t="inlineStr">
        <is>
          <t>Shoe outcome</t>
        </is>
      </c>
      <c r="B65" s="107" t="inlineStr">
        <is>
          <t>The END OF STABILISATION notice filed ~30 days after listing — the allotment-day wording can only ever say 'not yet'.</t>
        </is>
      </c>
    </row>
    <row r="66" ht="26" customHeight="1">
      <c r="A66" s="45" t="inlineStr">
        <is>
          <t>Day-1</t>
        </is>
      </c>
      <c r="B66" s="107" t="inlineStr">
        <is>
          <t>Listing-day close vs the struck offer price (Yahoo). Where Yahoo has no session at the listing date the value comes from AAStocks instead — it is never measured off a later session.</t>
        </is>
      </c>
    </row>
    <row r="67" ht="26" customHeight="1">
      <c r="A67" s="45" t="inlineStr">
        <is>
          <t>1-week / 1-month / 3-month</t>
        </is>
      </c>
      <c r="B67" s="107" t="inlineStr">
        <is>
          <t>Close 5 / 21 / 63 trading bars after the debut, all vs the OFFER price.</t>
        </is>
      </c>
    </row>
    <row r="68" ht="26" customHeight="1">
      <c r="A68" s="45" t="inlineStr">
        <is>
          <t>1m ex-pop</t>
        </is>
      </c>
      <c r="B68" s="107" t="inlineStr">
        <is>
          <t>Same horizon measured from the day-1 CLOSE instead — strips the debut pop and answers whether it held.</t>
        </is>
      </c>
    </row>
    <row r="69" ht="26" customHeight="1">
      <c r="A69" s="45" t="inlineStr">
        <is>
          <t>Alpha / Index</t>
        </is>
      </c>
      <c r="B69" s="107" t="inlineStr">
        <is>
          <t>The deal's own sector index over the identical window, anchored at the index close BEFORE the listing (the moment the subscription money was committed). Index named per row; map on the Taxonomy tab.</t>
        </is>
      </c>
    </row>
    <row r="70" ht="26" customHeight="1">
      <c r="A70" s="45" t="inlineStr">
        <is>
          <t>Since IPO</t>
        </is>
      </c>
      <c r="B70" s="107" t="inlineStr">
        <is>
          <t>Latest close vs the offer price.</t>
        </is>
      </c>
    </row>
    <row r="71" ht="26" customHeight="1">
      <c r="A71" s="45" t="inlineStr">
        <is>
          <t>Revenue / NI</t>
        </is>
      </c>
      <c r="B71" s="107" t="inlineStr">
        <is>
          <t>Prospectus Financial Information section, latest full year, converted to HK$ at a fixed rate stated in the file.</t>
        </is>
      </c>
    </row>
    <row r="72" ht="26" customHeight="1">
      <c r="A72" s="45" t="inlineStr">
        <is>
          <t>P/E at IPO</t>
        </is>
      </c>
      <c r="B72" s="107" t="inlineStr">
        <is>
          <t>market cap / latest FY net income. Loss-makers read n/m — a negative P/E is meaningless — and carry P/S instead.</t>
        </is>
      </c>
    </row>
    <row r="73" ht="26" customHeight="1">
      <c r="A73" s="45" t="inlineStr">
        <is>
          <t>H disc vs A at IPO</t>
        </is>
      </c>
      <c r="B73" s="107" t="inlineStr">
        <is>
          <t>H offer price vs the A-share close on the last session BEFORE the H listing, converted at that day's CNYHKD. Negative = H struck below the A line. Verified by hand on CATL (-6.7%).</t>
        </is>
      </c>
    </row>
    <row r="74" ht="26" customHeight="1">
      <c r="A74" s="45" t="inlineStr">
        <is>
          <t>A/H premium (today)</t>
        </is>
      </c>
      <c r="B74" s="107" t="inlineStr">
        <is>
          <t>Latest A and H closes, same conversion.</t>
        </is>
      </c>
    </row>
    <row r="75" ht="26" customHeight="1">
      <c r="A75" s="45" t="inlineStr">
        <is>
          <t>Sponsors / Bookrunners</t>
        </is>
      </c>
      <c r="B75" s="107" t="inlineStr">
        <is>
          <t>Prospectus cover page. The AAStocks columns beside them are 保薦人 and 包銷商 from the deal's AAStocks page — a second, independent print of the same fact.</t>
        </is>
      </c>
    </row>
    <row r="76" ht="26" customHeight="1">
      <c r="A76" s="45" t="inlineStr">
        <is>
          <t>Prospectus / Allotment / Stabilisation</t>
        </is>
      </c>
      <c r="B76" s="107" t="inlineStr">
        <is>
          <t>Direct HKEX filing URLs, resolved per stock code.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2026-09-06T17:45:51Z</dcterms:created>
  <dcterms:modified xmlns:dcterms="http://purl.org/dc/terms/" xmlns:xsi="http://www.w3.org/2001/XMLSchema-instance" xsi:type="dcterms:W3CDTF">2026-09-06T17:45:53Z</dcterms:modified>
</cp:coreProperties>
</file>